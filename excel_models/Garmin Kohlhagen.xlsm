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UBLIC\excel_models\"/>
    </mc:Choice>
  </mc:AlternateContent>
  <xr:revisionPtr revIDLastSave="0" documentId="13_ncr:1_{4D426633-2363-4C58-9C79-DC266B2A6B25}" xr6:coauthVersionLast="47" xr6:coauthVersionMax="47" xr10:uidLastSave="{00000000-0000-0000-0000-000000000000}"/>
  <bookViews>
    <workbookView xWindow="-120" yWindow="-120" windowWidth="29040" windowHeight="15360" activeTab="1" xr2:uid="{ECF69F75-2137-4D55-89AF-FF1ED5BD7C36}"/>
  </bookViews>
  <sheets>
    <sheet name="GK Pricer" sheetId="6" r:id="rId1"/>
    <sheet name="MonteCarlo" sheetId="4" r:id="rId2"/>
    <sheet name="GK Bulk" sheetId="5" r:id="rId3"/>
    <sheet name="Data Validation" sheetId="3" state="hidden" r:id="rId4"/>
  </sheets>
  <definedNames>
    <definedName name="CP">'GK Pricer'!$G$4</definedName>
    <definedName name="d1_">'GK Pricer'!$G$22</definedName>
    <definedName name="d2_">'GK Pricer'!$G$23</definedName>
    <definedName name="Domestic_Ccy_Notional">'GK Pricer'!$G$14</definedName>
    <definedName name="F">'GK Pricer'!$G$11</definedName>
    <definedName name="Foreign_Ccy_Notional">'GK Pricer'!$G$13</definedName>
    <definedName name="H">'GK Pricer'!$G$18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Pricer'!$K$3</definedName>
    <definedName name="ResultDomesticFXSpotRate">'GK Pricer'!$K$6</definedName>
    <definedName name="ResultNotionalFXSpotRate">'GK Pricer'!$K$7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6" l="1"/>
  <c r="G8" i="6"/>
  <c r="G7" i="6"/>
  <c r="G18" i="6"/>
  <c r="L7" i="6"/>
  <c r="L6" i="6"/>
  <c r="K7" i="6"/>
  <c r="G4" i="6" l="1" a="1"/>
  <c r="G4" i="6" s="1"/>
  <c r="K6" i="6" a="1"/>
  <c r="K6" i="6" s="1"/>
  <c r="G5" i="6"/>
  <c r="G6" i="6"/>
  <c r="L11" i="6"/>
  <c r="G10" i="6"/>
  <c r="G12" i="6" s="1"/>
  <c r="L12" i="6"/>
  <c r="G11" i="6"/>
  <c r="L13" i="6"/>
  <c r="L14" i="6"/>
  <c r="G13" i="6"/>
  <c r="L15" i="6"/>
  <c r="G14" i="6"/>
  <c r="L16" i="6"/>
  <c r="L17" i="6"/>
  <c r="L18" i="6"/>
  <c r="L19" i="6"/>
  <c r="L23" i="6"/>
  <c r="L24" i="6"/>
  <c r="H4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L15" i="4"/>
  <c r="L3" i="4" s="1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G16" i="6" l="1"/>
  <c r="G15" i="6" a="1"/>
  <c r="G15" i="6" s="1"/>
  <c r="G39" i="6" s="1" a="1"/>
  <c r="G39" i="6" s="1"/>
  <c r="L4" i="4" s="1"/>
  <c r="L5" i="4" s="1"/>
  <c r="J3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C2516" i="4" a="1"/>
  <c r="J4" i="4" l="1"/>
  <c r="J5" i="4" s="1"/>
  <c r="G17" i="6"/>
  <c r="D267" i="4" s="1"/>
  <c r="E267" i="4" s="1"/>
  <c r="D480" i="4"/>
  <c r="F480" i="4" s="1"/>
  <c r="D806" i="4"/>
  <c r="E806" i="4" s="1"/>
  <c r="D391" i="4"/>
  <c r="E391" i="4" s="1"/>
  <c r="D290" i="4"/>
  <c r="E290" i="4" s="1"/>
  <c r="D1077" i="4"/>
  <c r="F1077" i="4" s="1"/>
  <c r="D34" i="4"/>
  <c r="E34" i="4" s="1"/>
  <c r="D642" i="4"/>
  <c r="F642" i="4" s="1"/>
  <c r="D489" i="4"/>
  <c r="E489" i="4" s="1"/>
  <c r="D767" i="4"/>
  <c r="F767" i="4" s="1"/>
  <c r="D584" i="4"/>
  <c r="E584" i="4" s="1"/>
  <c r="D1650" i="4"/>
  <c r="F1650" i="4" s="1"/>
  <c r="D75" i="4"/>
  <c r="F75" i="4" s="1"/>
  <c r="D382" i="4"/>
  <c r="F382" i="4" s="1"/>
  <c r="D969" i="4"/>
  <c r="E969" i="4" s="1"/>
  <c r="D640" i="4"/>
  <c r="F640" i="4" s="1"/>
  <c r="D1356" i="4"/>
  <c r="F1356" i="4" s="1"/>
  <c r="D213" i="4"/>
  <c r="F213" i="4" s="1"/>
  <c r="D1347" i="4"/>
  <c r="F1347" i="4" s="1"/>
  <c r="D744" i="4"/>
  <c r="F744" i="4" s="1"/>
  <c r="D1628" i="4"/>
  <c r="F1628" i="4" s="1"/>
  <c r="D219" i="4"/>
  <c r="F219" i="4" s="1"/>
  <c r="D1132" i="4"/>
  <c r="F1132" i="4" s="1"/>
  <c r="D1731" i="4"/>
  <c r="F1731" i="4" s="1"/>
  <c r="D550" i="4"/>
  <c r="F550" i="4" s="1"/>
  <c r="D797" i="4"/>
  <c r="D828" i="4"/>
  <c r="F828" i="4" s="1"/>
  <c r="D1789" i="4"/>
  <c r="F1789" i="4" s="1"/>
  <c r="D1166" i="4"/>
  <c r="F1166" i="4" s="1"/>
  <c r="D132" i="4"/>
  <c r="F132" i="4" s="1"/>
  <c r="D416" i="4"/>
  <c r="F416" i="4" s="1"/>
  <c r="D891" i="4"/>
  <c r="F891" i="4" s="1"/>
  <c r="D583" i="4"/>
  <c r="F583" i="4" s="1"/>
  <c r="D601" i="4"/>
  <c r="F601" i="4" s="1"/>
  <c r="D956" i="4"/>
  <c r="F956" i="4" s="1"/>
  <c r="D1508" i="4"/>
  <c r="F1508" i="4" s="1"/>
  <c r="D2020" i="4"/>
  <c r="F2020" i="4" s="1"/>
  <c r="D746" i="4"/>
  <c r="F746" i="4" s="1"/>
  <c r="D1932" i="4"/>
  <c r="F1932" i="4" s="1"/>
  <c r="L6" i="4"/>
  <c r="K24" i="6" s="1"/>
  <c r="D770" i="4"/>
  <c r="F770" i="4" s="1"/>
  <c r="D517" i="4"/>
  <c r="F517" i="4" s="1"/>
  <c r="D606" i="4"/>
  <c r="F606" i="4" s="1"/>
  <c r="D434" i="4"/>
  <c r="F434" i="4" s="1"/>
  <c r="D949" i="4"/>
  <c r="F949" i="4" s="1"/>
  <c r="D189" i="4"/>
  <c r="F189" i="4" s="1"/>
  <c r="D717" i="4"/>
  <c r="F717" i="4" s="1"/>
  <c r="D1200" i="4"/>
  <c r="F1200" i="4" s="1"/>
  <c r="D1531" i="4"/>
  <c r="F1531" i="4" s="1"/>
  <c r="D903" i="4"/>
  <c r="F903" i="4" s="1"/>
  <c r="D1288" i="4"/>
  <c r="F1288" i="4" s="1"/>
  <c r="D1222" i="4"/>
  <c r="F1222" i="4" s="1"/>
  <c r="D1095" i="4"/>
  <c r="F1095" i="4" s="1"/>
  <c r="D1659" i="4"/>
  <c r="F1659" i="4" s="1"/>
  <c r="D1297" i="4"/>
  <c r="F1297" i="4" s="1"/>
  <c r="D1882" i="4"/>
  <c r="F1882" i="4" s="1"/>
  <c r="D1662" i="4"/>
  <c r="F1662" i="4" s="1"/>
  <c r="D1735" i="4"/>
  <c r="F1735" i="4" s="1"/>
  <c r="D2080" i="4"/>
  <c r="F2080" i="4" s="1"/>
  <c r="D457" i="4"/>
  <c r="F457" i="4" s="1"/>
  <c r="D449" i="4"/>
  <c r="F449" i="4" s="1"/>
  <c r="D340" i="4"/>
  <c r="F340" i="4" s="1"/>
  <c r="D1048" i="4"/>
  <c r="F1048" i="4" s="1"/>
  <c r="D459" i="4"/>
  <c r="F459" i="4" s="1"/>
  <c r="D2003" i="4"/>
  <c r="F2003" i="4" s="1"/>
  <c r="D2123" i="4"/>
  <c r="F2123" i="4" s="1"/>
  <c r="D2297" i="4"/>
  <c r="F2297" i="4" s="1"/>
  <c r="D2331" i="4"/>
  <c r="F2331" i="4" s="1"/>
  <c r="D2428" i="4"/>
  <c r="F2428" i="4" s="1"/>
  <c r="D2245" i="4"/>
  <c r="F2245" i="4" s="1"/>
  <c r="D1397" i="4"/>
  <c r="F1397" i="4" s="1"/>
  <c r="D2411" i="4"/>
  <c r="F2411" i="4" s="1"/>
  <c r="D2447" i="4"/>
  <c r="F2447" i="4" s="1"/>
  <c r="D2179" i="4"/>
  <c r="F2179" i="4" s="1"/>
  <c r="D2310" i="4"/>
  <c r="F2310" i="4" s="1"/>
  <c r="D2047" i="4"/>
  <c r="F2047" i="4" s="1"/>
  <c r="D2237" i="4"/>
  <c r="F2237" i="4" s="1"/>
  <c r="D1389" i="4"/>
  <c r="F1389" i="4" s="1"/>
  <c r="D2491" i="4"/>
  <c r="F2491" i="4" s="1"/>
  <c r="D2424" i="4"/>
  <c r="F2424" i="4" s="1"/>
  <c r="D1995" i="4"/>
  <c r="F1995" i="4" s="1"/>
  <c r="D2446" i="4"/>
  <c r="F2446" i="4" s="1"/>
  <c r="D2002" i="4"/>
  <c r="F2002" i="4" s="1"/>
  <c r="D2390" i="4"/>
  <c r="F2390" i="4" s="1"/>
  <c r="D1873" i="4"/>
  <c r="F1873" i="4" s="1"/>
  <c r="D2283" i="4"/>
  <c r="F2283" i="4" s="1"/>
  <c r="D2150" i="4"/>
  <c r="F2150" i="4" s="1"/>
  <c r="D1898" i="4"/>
  <c r="F1898" i="4" s="1"/>
  <c r="D2171" i="4"/>
  <c r="F2171" i="4" s="1"/>
  <c r="D2046" i="4"/>
  <c r="F2046" i="4" s="1"/>
  <c r="D1649" i="4"/>
  <c r="F1649" i="4" s="1"/>
  <c r="D1522" i="4"/>
  <c r="F1522" i="4" s="1"/>
  <c r="D2340" i="4"/>
  <c r="F2340" i="4" s="1"/>
  <c r="D2077" i="4"/>
  <c r="F2077" i="4" s="1"/>
  <c r="D1951" i="4"/>
  <c r="F1951" i="4" s="1"/>
  <c r="D1720" i="4"/>
  <c r="F1720" i="4" s="1"/>
  <c r="D1656" i="4"/>
  <c r="F1656" i="4" s="1"/>
  <c r="D2240" i="4"/>
  <c r="F2240" i="4" s="1"/>
  <c r="D2100" i="4"/>
  <c r="F2100" i="4" s="1"/>
  <c r="D1807" i="4"/>
  <c r="F1807" i="4" s="1"/>
  <c r="D1743" i="4"/>
  <c r="F1743" i="4" s="1"/>
  <c r="D1544" i="4"/>
  <c r="F1544" i="4" s="1"/>
  <c r="D2286" i="4"/>
  <c r="F2286" i="4" s="1"/>
  <c r="D2160" i="4"/>
  <c r="F2160" i="4" s="1"/>
  <c r="D2099" i="4"/>
  <c r="F2099" i="4" s="1"/>
  <c r="D1893" i="4"/>
  <c r="F1893" i="4" s="1"/>
  <c r="D1766" i="4"/>
  <c r="F1766" i="4" s="1"/>
  <c r="D2120" i="4"/>
  <c r="F2120" i="4" s="1"/>
  <c r="D2474" i="4"/>
  <c r="F2474" i="4" s="1"/>
  <c r="D2039" i="4"/>
  <c r="F2039" i="4" s="1"/>
  <c r="D78" i="4"/>
  <c r="F78" i="4" s="1"/>
  <c r="D2229" i="4"/>
  <c r="F2229" i="4" s="1"/>
  <c r="D2141" i="4"/>
  <c r="F2141" i="4" s="1"/>
  <c r="D2347" i="4"/>
  <c r="F2347" i="4" s="1"/>
  <c r="D2456" i="4"/>
  <c r="F2456" i="4" s="1"/>
  <c r="D2444" i="4"/>
  <c r="F2444" i="4" s="1"/>
  <c r="D2166" i="4"/>
  <c r="F2166" i="4" s="1"/>
  <c r="D1987" i="4"/>
  <c r="F1987" i="4" s="1"/>
  <c r="D1859" i="4"/>
  <c r="F1859" i="4" s="1"/>
  <c r="D2392" i="4"/>
  <c r="F2392" i="4" s="1"/>
  <c r="D2508" i="4"/>
  <c r="F2508" i="4" s="1"/>
  <c r="D1834" i="4"/>
  <c r="F1834" i="4" s="1"/>
  <c r="D2514" i="4"/>
  <c r="F2514" i="4" s="1"/>
  <c r="D2382" i="4"/>
  <c r="F2382" i="4" s="1"/>
  <c r="D2389" i="4"/>
  <c r="F2389" i="4" s="1"/>
  <c r="D2404" i="4"/>
  <c r="F2404" i="4" s="1"/>
  <c r="D2031" i="4"/>
  <c r="F2031" i="4" s="1"/>
  <c r="D62" i="4"/>
  <c r="F62" i="4" s="1"/>
  <c r="D2418" i="4"/>
  <c r="F2418" i="4" s="1"/>
  <c r="D1373" i="4"/>
  <c r="F1373" i="4" s="1"/>
  <c r="D2158" i="4"/>
  <c r="F2158" i="4" s="1"/>
  <c r="D2441" i="4"/>
  <c r="F2441" i="4" s="1"/>
  <c r="D2284" i="4"/>
  <c r="F2284" i="4" s="1"/>
  <c r="D2384" i="4"/>
  <c r="F2384" i="4" s="1"/>
  <c r="D1979" i="4"/>
  <c r="F1979" i="4" s="1"/>
  <c r="D2483" i="4"/>
  <c r="F2483" i="4" s="1"/>
  <c r="D2403" i="4"/>
  <c r="F2403" i="4" s="1"/>
  <c r="D2423" i="4"/>
  <c r="F2423" i="4" s="1"/>
  <c r="D1826" i="4"/>
  <c r="F1826" i="4" s="1"/>
  <c r="D2507" i="4"/>
  <c r="F2507" i="4" s="1"/>
  <c r="D2438" i="4"/>
  <c r="F2438" i="4" s="1"/>
  <c r="D2081" i="4"/>
  <c r="F2081" i="4" s="1"/>
  <c r="D1857" i="4"/>
  <c r="F1857" i="4" s="1"/>
  <c r="D2267" i="4"/>
  <c r="F2267" i="4" s="1"/>
  <c r="D2204" i="4"/>
  <c r="F2204" i="4" s="1"/>
  <c r="D2008" i="4"/>
  <c r="F2008" i="4" s="1"/>
  <c r="D1803" i="4"/>
  <c r="F1803" i="4" s="1"/>
  <c r="D2156" i="4"/>
  <c r="F2156" i="4" s="1"/>
  <c r="D2094" i="4"/>
  <c r="F2094" i="4" s="1"/>
  <c r="D1904" i="4"/>
  <c r="F1904" i="4" s="1"/>
  <c r="D1633" i="4"/>
  <c r="F1633" i="4" s="1"/>
  <c r="D1506" i="4"/>
  <c r="F1506" i="4" s="1"/>
  <c r="D1428" i="4"/>
  <c r="F1428" i="4" s="1"/>
  <c r="D2201" i="4"/>
  <c r="F2201" i="4" s="1"/>
  <c r="D2061" i="4"/>
  <c r="F2061" i="4" s="1"/>
  <c r="D1935" i="4"/>
  <c r="F1935" i="4" s="1"/>
  <c r="D1768" i="4"/>
  <c r="F1768" i="4" s="1"/>
  <c r="D1243" i="4"/>
  <c r="F1243" i="4" s="1"/>
  <c r="D2224" i="4"/>
  <c r="F2224" i="4" s="1"/>
  <c r="D2084" i="4"/>
  <c r="F2084" i="4" s="1"/>
  <c r="D1854" i="4"/>
  <c r="F1854" i="4" s="1"/>
  <c r="D2365" i="4"/>
  <c r="F2365" i="4" s="1"/>
  <c r="D2458" i="4"/>
  <c r="F2458" i="4" s="1"/>
  <c r="D2087" i="4"/>
  <c r="F2087" i="4" s="1"/>
  <c r="D2023" i="4"/>
  <c r="F2023" i="4" s="1"/>
  <c r="D2410" i="4"/>
  <c r="F2410" i="4" s="1"/>
  <c r="D2125" i="4"/>
  <c r="F2125" i="4" s="1"/>
  <c r="D2349" i="4"/>
  <c r="F2349" i="4" s="1"/>
  <c r="D1126" i="4"/>
  <c r="F1126" i="4" s="1"/>
  <c r="D2276" i="4"/>
  <c r="F2276" i="4" s="1"/>
  <c r="D254" i="4"/>
  <c r="F254" i="4" s="1"/>
  <c r="D2211" i="4"/>
  <c r="F2211" i="4" s="1"/>
  <c r="D1971" i="4"/>
  <c r="F1971" i="4" s="1"/>
  <c r="D2363" i="4"/>
  <c r="F2363" i="4" s="1"/>
  <c r="D2493" i="4"/>
  <c r="F2493" i="4" s="1"/>
  <c r="D2274" i="4"/>
  <c r="F2274" i="4" s="1"/>
  <c r="D1818" i="4"/>
  <c r="F1818" i="4" s="1"/>
  <c r="D2430" i="4"/>
  <c r="F2430" i="4" s="1"/>
  <c r="D2289" i="4"/>
  <c r="F2289" i="4" s="1"/>
  <c r="D2009" i="4"/>
  <c r="F2009" i="4" s="1"/>
  <c r="D1849" i="4"/>
  <c r="F1849" i="4" s="1"/>
  <c r="D2196" i="4"/>
  <c r="F2196" i="4" s="1"/>
  <c r="D2064" i="4"/>
  <c r="F2064" i="4" s="1"/>
  <c r="D1938" i="4"/>
  <c r="F1938" i="4" s="1"/>
  <c r="D1795" i="4"/>
  <c r="F1795" i="4" s="1"/>
  <c r="D2086" i="4"/>
  <c r="F2086" i="4" s="1"/>
  <c r="D1960" i="4"/>
  <c r="F1960" i="4" s="1"/>
  <c r="D1689" i="4"/>
  <c r="F1689" i="4" s="1"/>
  <c r="D1625" i="4"/>
  <c r="F1625" i="4" s="1"/>
  <c r="D2380" i="4"/>
  <c r="F2380" i="4" s="1"/>
  <c r="D2256" i="4"/>
  <c r="F2256" i="4" s="1"/>
  <c r="D2116" i="4"/>
  <c r="F2116" i="4" s="1"/>
  <c r="D2053" i="4"/>
  <c r="F2053" i="4" s="1"/>
  <c r="D1760" i="4"/>
  <c r="F1760" i="4" s="1"/>
  <c r="D1632" i="4"/>
  <c r="F1632" i="4" s="1"/>
  <c r="D2279" i="4"/>
  <c r="F2279" i="4" s="1"/>
  <c r="D2216" i="4"/>
  <c r="F2216" i="4" s="1"/>
  <c r="D1846" i="4"/>
  <c r="F1846" i="4" s="1"/>
  <c r="D1719" i="4"/>
  <c r="F1719" i="4" s="1"/>
  <c r="D1584" i="4"/>
  <c r="F1584" i="4" s="1"/>
  <c r="D1520" i="4"/>
  <c r="F1520" i="4" s="1"/>
  <c r="D2199" i="4"/>
  <c r="F2199" i="4" s="1"/>
  <c r="D2075" i="4"/>
  <c r="F2075" i="4" s="1"/>
  <c r="D1933" i="4"/>
  <c r="F1933" i="4" s="1"/>
  <c r="D1869" i="4"/>
  <c r="F1869" i="4" s="1"/>
  <c r="D2451" i="4"/>
  <c r="F2451" i="4" s="1"/>
  <c r="D2079" i="4"/>
  <c r="F2079" i="4" s="1"/>
  <c r="D1038" i="4"/>
  <c r="F1038" i="4" s="1"/>
  <c r="D2503" i="4"/>
  <c r="F2503" i="4" s="1"/>
  <c r="D1421" i="4"/>
  <c r="F1421" i="4" s="1"/>
  <c r="D2496" i="4"/>
  <c r="F2496" i="4" s="1"/>
  <c r="D30" i="4"/>
  <c r="F30" i="4" s="1"/>
  <c r="D2502" i="4"/>
  <c r="F2502" i="4" s="1"/>
  <c r="D22" i="4"/>
  <c r="F22" i="4" s="1"/>
  <c r="D2203" i="4"/>
  <c r="F2203" i="4" s="1"/>
  <c r="D1899" i="4"/>
  <c r="F1899" i="4" s="1"/>
  <c r="D2429" i="4"/>
  <c r="F2429" i="4" s="1"/>
  <c r="D2485" i="4"/>
  <c r="F2485" i="4" s="1"/>
  <c r="D2266" i="4"/>
  <c r="F2266" i="4" s="1"/>
  <c r="D446" i="4"/>
  <c r="F446" i="4" s="1"/>
  <c r="D2492" i="4"/>
  <c r="F2492" i="4" s="1"/>
  <c r="D2281" i="4"/>
  <c r="F2281" i="4" s="1"/>
  <c r="D1993" i="4"/>
  <c r="F1993" i="4" s="1"/>
  <c r="D2312" i="4"/>
  <c r="F2312" i="4" s="1"/>
  <c r="D2252" i="4"/>
  <c r="F2252" i="4" s="1"/>
  <c r="D2056" i="4"/>
  <c r="F2056" i="4" s="1"/>
  <c r="D1930" i="4"/>
  <c r="F1930" i="4" s="1"/>
  <c r="D2202" i="4"/>
  <c r="F2202" i="4" s="1"/>
  <c r="D2140" i="4"/>
  <c r="F2140" i="4" s="1"/>
  <c r="D1952" i="4"/>
  <c r="F1952" i="4" s="1"/>
  <c r="D1681" i="4"/>
  <c r="F1681" i="4" s="1"/>
  <c r="D1554" i="4"/>
  <c r="F1554" i="4" s="1"/>
  <c r="D1490" i="4"/>
  <c r="F1490" i="4" s="1"/>
  <c r="D2249" i="4"/>
  <c r="F2249" i="4" s="1"/>
  <c r="D2108" i="4"/>
  <c r="F2108" i="4" s="1"/>
  <c r="D1983" i="4"/>
  <c r="F1983" i="4" s="1"/>
  <c r="D1919" i="4"/>
  <c r="F1919" i="4" s="1"/>
  <c r="D1624" i="4"/>
  <c r="F1624" i="4" s="1"/>
  <c r="D2271" i="4"/>
  <c r="F2271" i="4" s="1"/>
  <c r="D2138" i="4"/>
  <c r="F2138" i="4" s="1"/>
  <c r="D2068" i="4"/>
  <c r="F2068" i="4" s="1"/>
  <c r="D1711" i="4"/>
  <c r="F1711" i="4" s="1"/>
  <c r="D1576" i="4"/>
  <c r="F1576" i="4" s="1"/>
  <c r="D2315" i="4"/>
  <c r="F2315" i="4" s="1"/>
  <c r="D2254" i="4"/>
  <c r="F2254" i="4" s="1"/>
  <c r="D2067" i="4"/>
  <c r="F2067" i="4" s="1"/>
  <c r="D1925" i="4"/>
  <c r="F1925" i="4" s="1"/>
  <c r="D2071" i="4"/>
  <c r="F2071" i="4" s="1"/>
  <c r="D2394" i="4"/>
  <c r="F2394" i="4" s="1"/>
  <c r="D2195" i="4"/>
  <c r="F2195" i="4" s="1"/>
  <c r="D2469" i="4"/>
  <c r="F2469" i="4" s="1"/>
  <c r="D2468" i="4"/>
  <c r="F2468" i="4" s="1"/>
  <c r="D2273" i="4"/>
  <c r="F2273" i="4" s="1"/>
  <c r="D2180" i="4"/>
  <c r="F2180" i="4" s="1"/>
  <c r="D1922" i="4"/>
  <c r="F1922" i="4" s="1"/>
  <c r="D2070" i="4"/>
  <c r="F2070" i="4" s="1"/>
  <c r="D1944" i="4"/>
  <c r="F1944" i="4" s="1"/>
  <c r="D2364" i="4"/>
  <c r="F2364" i="4" s="1"/>
  <c r="D2101" i="4"/>
  <c r="F2101" i="4" s="1"/>
  <c r="D1744" i="4"/>
  <c r="F1744" i="4" s="1"/>
  <c r="D1617" i="4"/>
  <c r="F1617" i="4" s="1"/>
  <c r="D1831" i="4"/>
  <c r="F1831" i="4" s="1"/>
  <c r="D1600" i="4"/>
  <c r="F1600" i="4" s="1"/>
  <c r="D2270" i="4"/>
  <c r="F2270" i="4" s="1"/>
  <c r="D2168" i="4"/>
  <c r="F2168" i="4" s="1"/>
  <c r="D1853" i="4"/>
  <c r="F1853" i="4" s="1"/>
  <c r="D2440" i="4"/>
  <c r="F2440" i="4" s="1"/>
  <c r="D2314" i="4"/>
  <c r="F2314" i="4" s="1"/>
  <c r="D2246" i="4"/>
  <c r="F2246" i="4" s="1"/>
  <c r="D2050" i="4"/>
  <c r="F2050" i="4" s="1"/>
  <c r="D1916" i="4"/>
  <c r="F1916" i="4" s="1"/>
  <c r="D1553" i="4"/>
  <c r="F1553" i="4" s="1"/>
  <c r="D1489" i="4"/>
  <c r="F1489" i="4" s="1"/>
  <c r="D1284" i="4"/>
  <c r="F1284" i="4" s="1"/>
  <c r="D1029" i="4"/>
  <c r="F1029" i="4" s="1"/>
  <c r="D1718" i="4"/>
  <c r="F1718" i="4" s="1"/>
  <c r="D1654" i="4"/>
  <c r="F1654" i="4" s="1"/>
  <c r="D1457" i="4"/>
  <c r="F1457" i="4" s="1"/>
  <c r="D1330" i="4"/>
  <c r="F1330" i="4" s="1"/>
  <c r="D1937" i="4"/>
  <c r="F1937" i="4" s="1"/>
  <c r="D1874" i="4"/>
  <c r="F1874" i="4" s="1"/>
  <c r="D1677" i="4"/>
  <c r="F1677" i="4" s="1"/>
  <c r="D2063" i="4"/>
  <c r="F2063" i="4" s="1"/>
  <c r="D2450" i="4"/>
  <c r="F2450" i="4" s="1"/>
  <c r="D2172" i="4"/>
  <c r="F2172" i="4" s="1"/>
  <c r="D2461" i="4"/>
  <c r="F2461" i="4" s="1"/>
  <c r="D2414" i="4"/>
  <c r="F2414" i="4" s="1"/>
  <c r="D1889" i="4"/>
  <c r="F1889" i="4" s="1"/>
  <c r="D2298" i="4"/>
  <c r="F2298" i="4" s="1"/>
  <c r="D1914" i="4"/>
  <c r="F1914" i="4" s="1"/>
  <c r="D2062" i="4"/>
  <c r="F2062" i="4" s="1"/>
  <c r="D1665" i="4"/>
  <c r="F1665" i="4" s="1"/>
  <c r="D1538" i="4"/>
  <c r="F1538" i="4" s="1"/>
  <c r="D2093" i="4"/>
  <c r="F2093" i="4" s="1"/>
  <c r="D1736" i="4"/>
  <c r="F1736" i="4" s="1"/>
  <c r="D2255" i="4"/>
  <c r="F2255" i="4" s="1"/>
  <c r="D2115" i="4"/>
  <c r="F2115" i="4" s="1"/>
  <c r="D1592" i="4"/>
  <c r="F1592" i="4" s="1"/>
  <c r="D2247" i="4"/>
  <c r="F2247" i="4" s="1"/>
  <c r="D2051" i="4"/>
  <c r="F2051" i="4" s="1"/>
  <c r="D1941" i="4"/>
  <c r="F1941" i="4" s="1"/>
  <c r="D2433" i="4"/>
  <c r="F2433" i="4" s="1"/>
  <c r="D2306" i="4"/>
  <c r="F2306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D1120" i="4" l="1"/>
  <c r="F1120" i="4" s="1"/>
  <c r="D1485" i="4"/>
  <c r="E1485" i="4" s="1"/>
  <c r="D306" i="4"/>
  <c r="E306" i="4" s="1"/>
  <c r="D104" i="4"/>
  <c r="F104" i="4" s="1"/>
  <c r="D691" i="4"/>
  <c r="E691" i="4" s="1"/>
  <c r="D695" i="4"/>
  <c r="F695" i="4" s="1"/>
  <c r="D596" i="4"/>
  <c r="F596" i="4" s="1"/>
  <c r="D86" i="4"/>
  <c r="F86" i="4" s="1"/>
  <c r="D121" i="4"/>
  <c r="F121" i="4" s="1"/>
  <c r="D2351" i="4"/>
  <c r="F2351" i="4" s="1"/>
  <c r="D1588" i="4"/>
  <c r="F1588" i="4" s="1"/>
  <c r="D338" i="4"/>
  <c r="F338" i="4" s="1"/>
  <c r="D2226" i="4"/>
  <c r="F2226" i="4" s="1"/>
  <c r="D149" i="4"/>
  <c r="F149" i="4" s="1"/>
  <c r="D2128" i="4"/>
  <c r="F2128" i="4" s="1"/>
  <c r="D115" i="4"/>
  <c r="F115" i="4" s="1"/>
  <c r="D1523" i="4"/>
  <c r="F1523" i="4" s="1"/>
  <c r="D1346" i="4"/>
  <c r="F1346" i="4" s="1"/>
  <c r="D834" i="4"/>
  <c r="F834" i="4" s="1"/>
  <c r="D591" i="4"/>
  <c r="F591" i="4" s="1"/>
  <c r="D796" i="4"/>
  <c r="F796" i="4" s="1"/>
  <c r="D1027" i="4"/>
  <c r="F1027" i="4" s="1"/>
  <c r="D2028" i="4"/>
  <c r="F2028" i="4" s="1"/>
  <c r="D1402" i="4"/>
  <c r="F1402" i="4" s="1"/>
  <c r="D2357" i="4"/>
  <c r="F2357" i="4" s="1"/>
  <c r="D1136" i="4"/>
  <c r="F1136" i="4" s="1"/>
  <c r="D1623" i="4"/>
  <c r="F1623" i="4" s="1"/>
  <c r="D2318" i="4"/>
  <c r="F2318" i="4" s="1"/>
  <c r="D2467" i="4"/>
  <c r="F2467" i="4" s="1"/>
  <c r="D1939" i="4"/>
  <c r="F1939" i="4" s="1"/>
  <c r="D2149" i="4"/>
  <c r="F2149" i="4" s="1"/>
  <c r="D2243" i="4"/>
  <c r="F2243" i="4" s="1"/>
  <c r="D2355" i="4"/>
  <c r="F2355" i="4" s="1"/>
  <c r="D2220" i="4"/>
  <c r="F2220" i="4" s="1"/>
  <c r="D2109" i="4"/>
  <c r="F2109" i="4" s="1"/>
  <c r="D1444" i="4"/>
  <c r="F1444" i="4" s="1"/>
  <c r="D1784" i="4"/>
  <c r="F1784" i="4" s="1"/>
  <c r="D1870" i="4"/>
  <c r="F1870" i="4" s="1"/>
  <c r="D2223" i="4"/>
  <c r="F2223" i="4" s="1"/>
  <c r="D2421" i="4"/>
  <c r="F2421" i="4" s="1"/>
  <c r="D2426" i="4"/>
  <c r="F2426" i="4" s="1"/>
  <c r="D2292" i="4"/>
  <c r="F2292" i="4" s="1"/>
  <c r="D2435" i="4"/>
  <c r="F2435" i="4" s="1"/>
  <c r="D2445" i="4"/>
  <c r="F2445" i="4" s="1"/>
  <c r="D2174" i="4"/>
  <c r="F2174" i="4" s="1"/>
  <c r="D54" i="4"/>
  <c r="F54" i="4" s="1"/>
  <c r="D1915" i="4"/>
  <c r="F1915" i="4" s="1"/>
  <c r="D2118" i="4"/>
  <c r="F2118" i="4" s="1"/>
  <c r="D2328" i="4"/>
  <c r="F2328" i="4" s="1"/>
  <c r="D2218" i="4"/>
  <c r="F2218" i="4" s="1"/>
  <c r="D1570" i="4"/>
  <c r="F1570" i="4" s="1"/>
  <c r="D1998" i="4"/>
  <c r="F1998" i="4" s="1"/>
  <c r="D2154" i="4"/>
  <c r="F2154" i="4" s="1"/>
  <c r="D2396" i="4"/>
  <c r="F2396" i="4" s="1"/>
  <c r="D1365" i="4"/>
  <c r="F1365" i="4" s="1"/>
  <c r="D2368" i="4"/>
  <c r="F2368" i="4" s="1"/>
  <c r="D2415" i="4"/>
  <c r="F2415" i="4" s="1"/>
  <c r="D2073" i="4"/>
  <c r="F2073" i="4" s="1"/>
  <c r="D2001" i="4"/>
  <c r="F2001" i="4" s="1"/>
  <c r="D1896" i="4"/>
  <c r="F1896" i="4" s="1"/>
  <c r="D2193" i="4"/>
  <c r="F2193" i="4" s="1"/>
  <c r="D1235" i="4"/>
  <c r="F1235" i="4" s="1"/>
  <c r="D1655" i="4"/>
  <c r="F1655" i="4" s="1"/>
  <c r="D2011" i="4"/>
  <c r="F2011" i="4" s="1"/>
  <c r="D2015" i="4"/>
  <c r="F2015" i="4" s="1"/>
  <c r="D430" i="4"/>
  <c r="F430" i="4" s="1"/>
  <c r="D1963" i="4"/>
  <c r="F1963" i="4" s="1"/>
  <c r="D2513" i="4"/>
  <c r="F2513" i="4" s="1"/>
  <c r="D1841" i="4"/>
  <c r="F1841" i="4" s="1"/>
  <c r="D1787" i="4"/>
  <c r="F1787" i="4" s="1"/>
  <c r="D1618" i="4"/>
  <c r="F1618" i="4" s="1"/>
  <c r="D2045" i="4"/>
  <c r="F2045" i="4" s="1"/>
  <c r="D2208" i="4"/>
  <c r="F2208" i="4" s="1"/>
  <c r="D1512" i="4"/>
  <c r="F1512" i="4" s="1"/>
  <c r="D2333" i="4"/>
  <c r="F2333" i="4" s="1"/>
  <c r="D2475" i="4"/>
  <c r="F2475" i="4" s="1"/>
  <c r="D2194" i="4"/>
  <c r="F2194" i="4" s="1"/>
  <c r="D1975" i="4"/>
  <c r="F1975" i="4" s="1"/>
  <c r="D2370" i="4"/>
  <c r="F2370" i="4" s="1"/>
  <c r="D2377" i="4"/>
  <c r="F2377" i="4" s="1"/>
  <c r="D1852" i="4"/>
  <c r="F1852" i="4" s="1"/>
  <c r="D1781" i="4"/>
  <c r="F1781" i="4" s="1"/>
  <c r="D1266" i="4"/>
  <c r="F1266" i="4" s="1"/>
  <c r="D2386" i="4"/>
  <c r="F2386" i="4" s="1"/>
  <c r="D2265" i="4"/>
  <c r="F2265" i="4" s="1"/>
  <c r="D1936" i="4"/>
  <c r="F1936" i="4" s="1"/>
  <c r="D1609" i="4"/>
  <c r="F1609" i="4" s="1"/>
  <c r="D2153" i="4"/>
  <c r="F2153" i="4" s="1"/>
  <c r="D2238" i="4"/>
  <c r="F2238" i="4" s="1"/>
  <c r="D662" i="4"/>
  <c r="E662" i="4" s="1"/>
  <c r="D496" i="4"/>
  <c r="F496" i="4" s="1"/>
  <c r="D298" i="4"/>
  <c r="F298" i="4" s="1"/>
  <c r="D226" i="4"/>
  <c r="F226" i="4" s="1"/>
  <c r="D716" i="4"/>
  <c r="F716" i="4" s="1"/>
  <c r="D186" i="4"/>
  <c r="F186" i="4" s="1"/>
  <c r="D860" i="4"/>
  <c r="F860" i="4" s="1"/>
  <c r="D2385" i="4"/>
  <c r="F2385" i="4" s="1"/>
  <c r="D371" i="4"/>
  <c r="F371" i="4" s="1"/>
  <c r="D1591" i="4"/>
  <c r="F1591" i="4" s="1"/>
  <c r="D1085" i="4"/>
  <c r="F1085" i="4" s="1"/>
  <c r="D385" i="4"/>
  <c r="F385" i="4" s="1"/>
  <c r="D941" i="4"/>
  <c r="F941" i="4" s="1"/>
  <c r="D1147" i="4"/>
  <c r="F1147" i="4" s="1"/>
  <c r="D1631" i="4"/>
  <c r="F1631" i="4" s="1"/>
  <c r="D771" i="4"/>
  <c r="F771" i="4" s="1"/>
  <c r="D363" i="4"/>
  <c r="F363" i="4" s="1"/>
  <c r="D1153" i="4"/>
  <c r="F1153" i="4" s="1"/>
  <c r="D705" i="4"/>
  <c r="F705" i="4" s="1"/>
  <c r="D1810" i="4"/>
  <c r="F1810" i="4" s="1"/>
  <c r="D1988" i="4"/>
  <c r="F1988" i="4" s="1"/>
  <c r="D428" i="4"/>
  <c r="F428" i="4" s="1"/>
  <c r="D1049" i="4"/>
  <c r="F1049" i="4" s="1"/>
  <c r="D2177" i="4"/>
  <c r="F2177" i="4" s="1"/>
  <c r="D2135" i="4"/>
  <c r="F2135" i="4" s="1"/>
  <c r="D198" i="4"/>
  <c r="F198" i="4" s="1"/>
  <c r="D2482" i="4"/>
  <c r="F2482" i="4" s="1"/>
  <c r="D2437" i="4"/>
  <c r="F2437" i="4" s="1"/>
  <c r="D1931" i="4"/>
  <c r="F1931" i="4" s="1"/>
  <c r="D2327" i="4"/>
  <c r="F2327" i="4" s="1"/>
  <c r="D2088" i="4"/>
  <c r="F2088" i="4" s="1"/>
  <c r="D1984" i="4"/>
  <c r="F1984" i="4" s="1"/>
  <c r="D2280" i="4"/>
  <c r="F2280" i="4" s="1"/>
  <c r="D295" i="4"/>
  <c r="E295" i="4" s="1"/>
  <c r="D272" i="4"/>
  <c r="E272" i="4" s="1"/>
  <c r="D171" i="4"/>
  <c r="E171" i="4" s="1"/>
  <c r="D331" i="4"/>
  <c r="F331" i="4" s="1"/>
  <c r="D819" i="4"/>
  <c r="E819" i="4" s="1"/>
  <c r="D188" i="4"/>
  <c r="E188" i="4" s="1"/>
  <c r="D1210" i="4"/>
  <c r="F1210" i="4" s="1"/>
  <c r="D1616" i="4"/>
  <c r="F1616" i="4" s="1"/>
  <c r="D942" i="4"/>
  <c r="F942" i="4" s="1"/>
  <c r="D1868" i="4"/>
  <c r="F1868" i="4" s="1"/>
  <c r="D1454" i="4"/>
  <c r="F1454" i="4" s="1"/>
  <c r="D448" i="4"/>
  <c r="F448" i="4" s="1"/>
  <c r="D284" i="4"/>
  <c r="F284" i="4" s="1"/>
  <c r="D697" i="4"/>
  <c r="F697" i="4" s="1"/>
  <c r="D2316" i="4"/>
  <c r="F2316" i="4" s="1"/>
  <c r="D962" i="4"/>
  <c r="F962" i="4" s="1"/>
  <c r="D719" i="4"/>
  <c r="F719" i="4" s="1"/>
  <c r="D1278" i="4"/>
  <c r="F1278" i="4" s="1"/>
  <c r="D1227" i="4"/>
  <c r="F1227" i="4" s="1"/>
  <c r="D570" i="4"/>
  <c r="F570" i="4" s="1"/>
  <c r="D1790" i="4"/>
  <c r="F1790" i="4" s="1"/>
  <c r="D534" i="4"/>
  <c r="F534" i="4" s="1"/>
  <c r="D475" i="4"/>
  <c r="F475" i="4" s="1"/>
  <c r="D2157" i="4"/>
  <c r="F2157" i="4" s="1"/>
  <c r="D2055" i="4"/>
  <c r="F2055" i="4" s="1"/>
  <c r="D2164" i="4"/>
  <c r="F2164" i="4" s="1"/>
  <c r="D2420" i="4"/>
  <c r="F2420" i="4" s="1"/>
  <c r="D2379" i="4"/>
  <c r="F2379" i="4" s="1"/>
  <c r="D2408" i="4"/>
  <c r="F2408" i="4" s="1"/>
  <c r="D2097" i="4"/>
  <c r="F2097" i="4" s="1"/>
  <c r="D2024" i="4"/>
  <c r="F2024" i="4" s="1"/>
  <c r="D1920" i="4"/>
  <c r="F1920" i="4" s="1"/>
  <c r="D2217" i="4"/>
  <c r="F2217" i="4" s="1"/>
  <c r="D1593" i="4"/>
  <c r="F1593" i="4" s="1"/>
  <c r="D1679" i="4"/>
  <c r="F1679" i="4" s="1"/>
  <c r="D2035" i="4"/>
  <c r="F2035" i="4" s="1"/>
  <c r="D2412" i="4"/>
  <c r="F2412" i="4" s="1"/>
  <c r="D1381" i="4"/>
  <c r="F1381" i="4" s="1"/>
  <c r="D2400" i="4"/>
  <c r="F2400" i="4" s="1"/>
  <c r="D2431" i="4"/>
  <c r="F2431" i="4" s="1"/>
  <c r="D2112" i="4"/>
  <c r="F2112" i="4" s="1"/>
  <c r="D2221" i="4"/>
  <c r="F2221" i="4" s="1"/>
  <c r="D2413" i="4"/>
  <c r="F2413" i="4" s="1"/>
  <c r="D2376" i="4"/>
  <c r="F2376" i="4" s="1"/>
  <c r="D2374" i="4"/>
  <c r="F2374" i="4" s="1"/>
  <c r="D2134" i="4"/>
  <c r="F2134" i="4" s="1"/>
  <c r="D2030" i="4"/>
  <c r="F2030" i="4" s="1"/>
  <c r="D2325" i="4"/>
  <c r="F2325" i="4" s="1"/>
  <c r="D1704" i="4"/>
  <c r="F1704" i="4" s="1"/>
  <c r="D1791" i="4"/>
  <c r="F1791" i="4" s="1"/>
  <c r="D2110" i="4"/>
  <c r="F2110" i="4" s="1"/>
  <c r="D38" i="4"/>
  <c r="F38" i="4" s="1"/>
  <c r="D1907" i="4"/>
  <c r="F1907" i="4" s="1"/>
  <c r="D1046" i="4"/>
  <c r="F1046" i="4" s="1"/>
  <c r="D2320" i="4"/>
  <c r="F2320" i="4" s="1"/>
  <c r="D2210" i="4"/>
  <c r="F2210" i="4" s="1"/>
  <c r="D1562" i="4"/>
  <c r="F1562" i="4" s="1"/>
  <c r="D1991" i="4"/>
  <c r="F1991" i="4" s="1"/>
  <c r="D2146" i="4"/>
  <c r="F2146" i="4" s="1"/>
  <c r="D2323" i="4"/>
  <c r="F2323" i="4" s="1"/>
  <c r="D2341" i="4"/>
  <c r="F2341" i="4" s="1"/>
  <c r="D2402" i="4"/>
  <c r="F2402" i="4" s="1"/>
  <c r="D2268" i="4"/>
  <c r="F2268" i="4" s="1"/>
  <c r="D2478" i="4"/>
  <c r="F2478" i="4" s="1"/>
  <c r="D2422" i="4"/>
  <c r="F2422" i="4" s="1"/>
  <c r="D2188" i="4"/>
  <c r="F2188" i="4" s="1"/>
  <c r="D2078" i="4"/>
  <c r="F2078" i="4" s="1"/>
  <c r="D2372" i="4"/>
  <c r="F2372" i="4" s="1"/>
  <c r="D1752" i="4"/>
  <c r="F1752" i="4" s="1"/>
  <c r="D1838" i="4"/>
  <c r="F1838" i="4" s="1"/>
  <c r="D2191" i="4"/>
  <c r="F2191" i="4" s="1"/>
  <c r="D2473" i="4"/>
  <c r="F2473" i="4" s="1"/>
  <c r="D1985" i="4"/>
  <c r="F1985" i="4" s="1"/>
  <c r="D1673" i="4"/>
  <c r="F1673" i="4" s="1"/>
  <c r="D2263" i="4"/>
  <c r="F2263" i="4" s="1"/>
  <c r="D2059" i="4"/>
  <c r="F2059" i="4" s="1"/>
  <c r="D2182" i="4"/>
  <c r="F2182" i="4" s="1"/>
  <c r="D1412" i="4"/>
  <c r="F1412" i="4" s="1"/>
  <c r="D1583" i="4"/>
  <c r="F1583" i="4" s="1"/>
  <c r="D1804" i="4"/>
  <c r="F1804" i="4" s="1"/>
  <c r="D2187" i="4"/>
  <c r="F2187" i="4" s="1"/>
  <c r="D2173" i="4"/>
  <c r="F2173" i="4" s="1"/>
  <c r="D2356" i="4"/>
  <c r="F2356" i="4" s="1"/>
  <c r="D1823" i="4"/>
  <c r="F1823" i="4" s="1"/>
  <c r="D1845" i="4"/>
  <c r="F1845" i="4" s="1"/>
  <c r="D374" i="4"/>
  <c r="E374" i="4" s="1"/>
  <c r="D63" i="4"/>
  <c r="F63" i="4" s="1"/>
  <c r="D780" i="4"/>
  <c r="F780" i="4" s="1"/>
  <c r="D368" i="4"/>
  <c r="F368" i="4" s="1"/>
  <c r="D300" i="4"/>
  <c r="F300" i="4" s="1"/>
  <c r="D794" i="4"/>
  <c r="E794" i="4" s="1"/>
  <c r="D498" i="4"/>
  <c r="F498" i="4" s="1"/>
  <c r="D649" i="4"/>
  <c r="F649" i="4" s="1"/>
  <c r="D1342" i="4"/>
  <c r="E1342" i="4" s="1"/>
  <c r="D692" i="4"/>
  <c r="E692" i="4" s="1"/>
  <c r="D1739" i="4"/>
  <c r="F1739" i="4" s="1"/>
  <c r="D699" i="4"/>
  <c r="F699" i="4" s="1"/>
  <c r="D117" i="4"/>
  <c r="F117" i="4" s="1"/>
  <c r="D1355" i="4"/>
  <c r="F1355" i="4" s="1"/>
  <c r="D1229" i="4"/>
  <c r="F1229" i="4" s="1"/>
  <c r="D266" i="4"/>
  <c r="F266" i="4" s="1"/>
  <c r="D782" i="4"/>
  <c r="F782" i="4" s="1"/>
  <c r="D1406" i="4"/>
  <c r="F1406" i="4" s="1"/>
  <c r="D1037" i="4"/>
  <c r="F1037" i="4" s="1"/>
  <c r="D1097" i="4"/>
  <c r="F1097" i="4" s="1"/>
  <c r="D2176" i="4"/>
  <c r="F2176" i="4" s="1"/>
  <c r="D615" i="4"/>
  <c r="F615" i="4" s="1"/>
  <c r="D1119" i="4"/>
  <c r="F1119" i="4" s="1"/>
  <c r="D2515" i="4"/>
  <c r="F2515" i="4" s="1"/>
  <c r="D2457" i="4"/>
  <c r="F2457" i="4" s="1"/>
  <c r="D2395" i="4"/>
  <c r="F2395" i="4" s="1"/>
  <c r="D2127" i="4"/>
  <c r="F2127" i="4" s="1"/>
  <c r="D182" i="4"/>
  <c r="F182" i="4" s="1"/>
  <c r="D2227" i="4"/>
  <c r="F2227" i="4" s="1"/>
  <c r="D2033" i="4"/>
  <c r="F2033" i="4" s="1"/>
  <c r="D1962" i="4"/>
  <c r="F1962" i="4" s="1"/>
  <c r="D1713" i="4"/>
  <c r="F1713" i="4" s="1"/>
  <c r="D2147" i="4"/>
  <c r="F2147" i="4" s="1"/>
  <c r="D2308" i="4"/>
  <c r="F2308" i="4" s="1"/>
  <c r="D1608" i="4"/>
  <c r="F1608" i="4" s="1"/>
  <c r="D1957" i="4"/>
  <c r="F1957" i="4" s="1"/>
  <c r="D2103" i="4"/>
  <c r="F2103" i="4" s="1"/>
  <c r="D2405" i="4"/>
  <c r="F2405" i="4" s="1"/>
  <c r="D2235" i="4"/>
  <c r="F2235" i="4" s="1"/>
  <c r="D2290" i="4"/>
  <c r="F2290" i="4" s="1"/>
  <c r="D2466" i="4"/>
  <c r="F2466" i="4" s="1"/>
  <c r="D2133" i="4"/>
  <c r="F2133" i="4" s="1"/>
  <c r="D1134" i="4"/>
  <c r="F1134" i="4" s="1"/>
  <c r="D2500" i="4"/>
  <c r="F2500" i="4" s="1"/>
  <c r="D2311" i="4"/>
  <c r="F2311" i="4" s="1"/>
  <c r="D2072" i="4"/>
  <c r="F2072" i="4" s="1"/>
  <c r="D1968" i="4"/>
  <c r="F1968" i="4" s="1"/>
  <c r="D2264" i="4"/>
  <c r="F2264" i="4" s="1"/>
  <c r="D1640" i="4"/>
  <c r="F1640" i="4" s="1"/>
  <c r="D1727" i="4"/>
  <c r="F1727" i="4" s="1"/>
  <c r="D46" i="4"/>
  <c r="F46" i="4" s="1"/>
  <c r="D2509" i="4"/>
  <c r="F2509" i="4" s="1"/>
  <c r="D2452" i="4"/>
  <c r="F2452" i="4" s="1"/>
  <c r="D2499" i="4"/>
  <c r="F2499" i="4" s="1"/>
  <c r="D2259" i="4"/>
  <c r="F2259" i="4" s="1"/>
  <c r="D2148" i="4"/>
  <c r="F2148" i="4" s="1"/>
  <c r="D1498" i="4"/>
  <c r="F1498" i="4" s="1"/>
  <c r="D1927" i="4"/>
  <c r="F1927" i="4" s="1"/>
  <c r="D2076" i="4"/>
  <c r="F2076" i="4" s="1"/>
  <c r="D2262" i="4"/>
  <c r="F2262" i="4" s="1"/>
  <c r="D2512" i="4"/>
  <c r="F2512" i="4" s="1"/>
  <c r="D2205" i="4"/>
  <c r="F2205" i="4" s="1"/>
  <c r="D2511" i="4"/>
  <c r="F2511" i="4" s="1"/>
  <c r="D2344" i="4"/>
  <c r="F2344" i="4" s="1"/>
  <c r="D2358" i="4"/>
  <c r="F2358" i="4" s="1"/>
  <c r="D2119" i="4"/>
  <c r="F2119" i="4" s="1"/>
  <c r="D2014" i="4"/>
  <c r="F2014" i="4" s="1"/>
  <c r="D2309" i="4"/>
  <c r="F2309" i="4" s="1"/>
  <c r="D1688" i="4"/>
  <c r="F1688" i="4" s="1"/>
  <c r="D1775" i="4"/>
  <c r="F1775" i="4" s="1"/>
  <c r="D2129" i="4"/>
  <c r="F2129" i="4" s="1"/>
  <c r="D2260" i="4"/>
  <c r="F2260" i="4" s="1"/>
  <c r="D2304" i="4"/>
  <c r="F2304" i="4" s="1"/>
  <c r="D1546" i="4"/>
  <c r="F1546" i="4" s="1"/>
  <c r="D2130" i="4"/>
  <c r="F2130" i="4" s="1"/>
  <c r="D1949" i="4"/>
  <c r="F1949" i="4" s="1"/>
  <c r="D2121" i="4"/>
  <c r="F2121" i="4" s="1"/>
  <c r="D1348" i="4"/>
  <c r="F1348" i="4" s="1"/>
  <c r="D1519" i="4"/>
  <c r="F1519" i="4" s="1"/>
  <c r="D1741" i="4"/>
  <c r="F1741" i="4" s="1"/>
  <c r="D2454" i="4"/>
  <c r="F2454" i="4" s="1"/>
  <c r="D2040" i="4"/>
  <c r="F2040" i="4" s="1"/>
  <c r="D2233" i="4"/>
  <c r="F2233" i="4" s="1"/>
  <c r="D1695" i="4"/>
  <c r="F1695" i="4" s="1"/>
  <c r="D1774" i="4"/>
  <c r="F1774" i="4" s="1"/>
  <c r="D273" i="4"/>
  <c r="E273" i="4" s="1"/>
  <c r="D485" i="4"/>
  <c r="F485" i="4" s="1"/>
  <c r="D579" i="4"/>
  <c r="F579" i="4" s="1"/>
  <c r="D853" i="4"/>
  <c r="F853" i="4" s="1"/>
  <c r="D1462" i="4"/>
  <c r="F1462" i="4" s="1"/>
  <c r="D324" i="4"/>
  <c r="F324" i="4" s="1"/>
  <c r="D814" i="4"/>
  <c r="F814" i="4" s="1"/>
  <c r="D961" i="4"/>
  <c r="F961" i="4" s="1"/>
  <c r="D1958" i="4"/>
  <c r="F1958" i="4" s="1"/>
  <c r="D559" i="4"/>
  <c r="F559" i="4" s="1"/>
  <c r="D2494" i="4"/>
  <c r="F2494" i="4" s="1"/>
  <c r="D827" i="4"/>
  <c r="F827" i="4" s="1"/>
  <c r="D868" i="4"/>
  <c r="F868" i="4" s="1"/>
  <c r="D562" i="4"/>
  <c r="F562" i="4" s="1"/>
  <c r="D447" i="4"/>
  <c r="F447" i="4" s="1"/>
  <c r="D187" i="4"/>
  <c r="F187" i="4" s="1"/>
  <c r="D529" i="4"/>
  <c r="F529" i="4" s="1"/>
  <c r="D1516" i="4"/>
  <c r="F1516" i="4" s="1"/>
  <c r="D1403" i="4"/>
  <c r="F1403" i="4" s="1"/>
  <c r="D1622" i="4"/>
  <c r="F1622" i="4" s="1"/>
  <c r="D1648" i="4"/>
  <c r="F1648" i="4" s="1"/>
  <c r="D654" i="4"/>
  <c r="F654" i="4" s="1"/>
  <c r="D2105" i="4"/>
  <c r="F2105" i="4" s="1"/>
  <c r="D2453" i="4"/>
  <c r="F2453" i="4" s="1"/>
  <c r="D2181" i="4"/>
  <c r="F2181" i="4" s="1"/>
  <c r="D2251" i="4"/>
  <c r="F2251" i="4" s="1"/>
  <c r="D2419" i="4"/>
  <c r="F2419" i="4" s="1"/>
  <c r="D2339" i="4"/>
  <c r="F2339" i="4" s="1"/>
  <c r="D2375" i="4"/>
  <c r="F2375" i="4" s="1"/>
  <c r="D2343" i="4"/>
  <c r="F2343" i="4" s="1"/>
  <c r="D2234" i="4"/>
  <c r="F2234" i="4" s="1"/>
  <c r="D1586" i="4"/>
  <c r="F1586" i="4" s="1"/>
  <c r="D2013" i="4"/>
  <c r="F2013" i="4" s="1"/>
  <c r="D2169" i="4"/>
  <c r="F2169" i="4" s="1"/>
  <c r="D2354" i="4"/>
  <c r="F2354" i="4" s="1"/>
  <c r="D1830" i="4"/>
  <c r="F1830" i="4" s="1"/>
  <c r="D2371" i="4"/>
  <c r="F2371" i="4" s="1"/>
  <c r="D70" i="4"/>
  <c r="F70" i="4" s="1"/>
  <c r="D1923" i="4"/>
  <c r="F1923" i="4" s="1"/>
  <c r="D2324" i="4"/>
  <c r="F2324" i="4" s="1"/>
  <c r="D2095" i="4"/>
  <c r="F2095" i="4" s="1"/>
  <c r="D2381" i="4"/>
  <c r="F2381" i="4" s="1"/>
  <c r="D2219" i="4"/>
  <c r="F2219" i="4" s="1"/>
  <c r="D2282" i="4"/>
  <c r="F2282" i="4" s="1"/>
  <c r="D2017" i="4"/>
  <c r="F2017" i="4" s="1"/>
  <c r="D1946" i="4"/>
  <c r="F1946" i="4" s="1"/>
  <c r="D1697" i="4"/>
  <c r="F1697" i="4" s="1"/>
  <c r="D2131" i="4"/>
  <c r="F2131" i="4" s="1"/>
  <c r="D2287" i="4"/>
  <c r="F2287" i="4" s="1"/>
  <c r="D2000" i="4"/>
  <c r="F2000" i="4" s="1"/>
  <c r="D2213" i="4"/>
  <c r="F2213" i="4" s="1"/>
  <c r="D2373" i="4"/>
  <c r="F2373" i="4" s="1"/>
  <c r="D2360" i="4"/>
  <c r="F2360" i="4" s="1"/>
  <c r="D2366" i="4"/>
  <c r="F2366" i="4" s="1"/>
  <c r="D2126" i="4"/>
  <c r="F2126" i="4" s="1"/>
  <c r="D2022" i="4"/>
  <c r="F2022" i="4" s="1"/>
  <c r="D2317" i="4"/>
  <c r="F2317" i="4" s="1"/>
  <c r="D1696" i="4"/>
  <c r="F1696" i="4" s="1"/>
  <c r="D1783" i="4"/>
  <c r="F1783" i="4" s="1"/>
  <c r="D2137" i="4"/>
  <c r="F2137" i="4" s="1"/>
  <c r="D2388" i="4"/>
  <c r="F2388" i="4" s="1"/>
  <c r="D1237" i="4"/>
  <c r="F1237" i="4" s="1"/>
  <c r="D2352" i="4"/>
  <c r="F2352" i="4" s="1"/>
  <c r="D2407" i="4"/>
  <c r="F2407" i="4" s="1"/>
  <c r="D2065" i="4"/>
  <c r="F2065" i="4" s="1"/>
  <c r="D1994" i="4"/>
  <c r="F1994" i="4" s="1"/>
  <c r="D1745" i="4"/>
  <c r="F1745" i="4" s="1"/>
  <c r="D2185" i="4"/>
  <c r="F2185" i="4" s="1"/>
  <c r="D1052" i="4"/>
  <c r="F1052" i="4" s="1"/>
  <c r="D1647" i="4"/>
  <c r="F1647" i="4" s="1"/>
  <c r="D1989" i="4"/>
  <c r="F1989" i="4" s="1"/>
  <c r="D2504" i="4"/>
  <c r="F2504" i="4" s="1"/>
  <c r="D2048" i="4"/>
  <c r="F2048" i="4" s="1"/>
  <c r="D2241" i="4"/>
  <c r="F2241" i="4" s="1"/>
  <c r="D1703" i="4"/>
  <c r="F1703" i="4" s="1"/>
  <c r="D1782" i="4"/>
  <c r="F1782" i="4" s="1"/>
  <c r="D1980" i="4"/>
  <c r="F1980" i="4" s="1"/>
  <c r="D1197" i="4"/>
  <c r="F1197" i="4" s="1"/>
  <c r="D1394" i="4"/>
  <c r="F1394" i="4" s="1"/>
  <c r="D2326" i="4"/>
  <c r="F2326" i="4" s="1"/>
  <c r="D2427" i="4"/>
  <c r="F2427" i="4" s="1"/>
  <c r="D2186" i="4"/>
  <c r="F2186" i="4" s="1"/>
  <c r="D1967" i="4"/>
  <c r="F1967" i="4" s="1"/>
  <c r="D2362" i="4"/>
  <c r="F2362" i="4" s="1"/>
  <c r="D2369" i="4"/>
  <c r="F2369" i="4" s="1"/>
  <c r="D2460" i="4"/>
  <c r="F2460" i="4" s="1"/>
  <c r="D2465" i="4"/>
  <c r="F2465" i="4" s="1"/>
  <c r="D2299" i="4"/>
  <c r="F2299" i="4" s="1"/>
  <c r="D2434" i="4"/>
  <c r="F2434" i="4" s="1"/>
  <c r="D2459" i="4"/>
  <c r="F2459" i="4" s="1"/>
  <c r="D2479" i="4"/>
  <c r="F2479" i="4" s="1"/>
  <c r="D2449" i="4"/>
  <c r="F2449" i="4" s="1"/>
  <c r="D2498" i="4"/>
  <c r="F2498" i="4" s="1"/>
  <c r="D1482" i="4"/>
  <c r="F1482" i="4" s="1"/>
  <c r="D1836" i="4"/>
  <c r="F1836" i="4" s="1"/>
  <c r="D1033" i="4"/>
  <c r="F1033" i="4" s="1"/>
  <c r="D548" i="4"/>
  <c r="F548" i="4" s="1"/>
  <c r="D1976" i="4"/>
  <c r="F1976" i="4" s="1"/>
  <c r="D1497" i="4"/>
  <c r="F1497" i="4" s="1"/>
  <c r="D1684" i="4"/>
  <c r="F1684" i="4" s="1"/>
  <c r="D1887" i="4"/>
  <c r="F1887" i="4" s="1"/>
  <c r="D1102" i="4"/>
  <c r="F1102" i="4" s="1"/>
  <c r="D1263" i="4"/>
  <c r="F1263" i="4" s="1"/>
  <c r="D987" i="4"/>
  <c r="F987" i="4" s="1"/>
  <c r="D125" i="4"/>
  <c r="F125" i="4" s="1"/>
  <c r="D821" i="4"/>
  <c r="F821" i="4" s="1"/>
  <c r="D456" i="4"/>
  <c r="F456" i="4" s="1"/>
  <c r="D424" i="4"/>
  <c r="F424" i="4" s="1"/>
  <c r="D2041" i="4"/>
  <c r="F2041" i="4" s="1"/>
  <c r="D1432" i="4"/>
  <c r="F1432" i="4" s="1"/>
  <c r="D1220" i="4"/>
  <c r="F1220" i="4" s="1"/>
  <c r="D1145" i="4"/>
  <c r="F1145" i="4" s="1"/>
  <c r="D774" i="4"/>
  <c r="F774" i="4" s="1"/>
  <c r="D441" i="4"/>
  <c r="F441" i="4" s="1"/>
  <c r="D375" i="4"/>
  <c r="F375" i="4" s="1"/>
  <c r="D1369" i="4"/>
  <c r="F1369" i="4" s="1"/>
  <c r="D1204" i="4"/>
  <c r="F1204" i="4" s="1"/>
  <c r="D663" i="4"/>
  <c r="F663" i="4" s="1"/>
  <c r="D305" i="4"/>
  <c r="F305" i="4" s="1"/>
  <c r="D1860" i="4"/>
  <c r="F1860" i="4" s="1"/>
  <c r="D765" i="4"/>
  <c r="F765" i="4" s="1"/>
  <c r="D2393" i="4"/>
  <c r="F2393" i="4" s="1"/>
  <c r="D221" i="4"/>
  <c r="F221" i="4" s="1"/>
  <c r="D1341" i="4"/>
  <c r="F1341" i="4" s="1"/>
  <c r="D1028" i="4"/>
  <c r="F1028" i="4" s="1"/>
  <c r="D490" i="4"/>
  <c r="E490" i="4" s="1"/>
  <c r="D72" i="4"/>
  <c r="E72" i="4" s="1"/>
  <c r="D405" i="4"/>
  <c r="F405" i="4" s="1"/>
  <c r="D861" i="4"/>
  <c r="F861" i="4" s="1"/>
  <c r="D1291" i="4"/>
  <c r="F1291" i="4" s="1"/>
  <c r="D415" i="4"/>
  <c r="F415" i="4" s="1"/>
  <c r="D512" i="4"/>
  <c r="E512" i="4" s="1"/>
  <c r="D751" i="4"/>
  <c r="F751" i="4" s="1"/>
  <c r="D678" i="4"/>
  <c r="E678" i="4" s="1"/>
  <c r="D210" i="4"/>
  <c r="F210" i="4" s="1"/>
  <c r="D332" i="4"/>
  <c r="F332" i="4" s="1"/>
  <c r="D627" i="4"/>
  <c r="F627" i="4" s="1"/>
  <c r="D2470" i="4"/>
  <c r="F2470" i="4" s="1"/>
  <c r="D1867" i="4"/>
  <c r="F1867" i="4" s="1"/>
  <c r="D2472" i="4"/>
  <c r="F2472" i="4" s="1"/>
  <c r="D190" i="4"/>
  <c r="F190" i="4" s="1"/>
  <c r="D1875" i="4"/>
  <c r="F1875" i="4" s="1"/>
  <c r="D2480" i="4"/>
  <c r="F2480" i="4" s="1"/>
  <c r="D206" i="4"/>
  <c r="F206" i="4" s="1"/>
  <c r="D2439" i="4"/>
  <c r="F2439" i="4" s="1"/>
  <c r="D1467" i="4"/>
  <c r="F1467" i="4" s="1"/>
  <c r="D1812" i="4"/>
  <c r="F1812" i="4" s="1"/>
  <c r="D1245" i="4"/>
  <c r="F1245" i="4" s="1"/>
  <c r="D541" i="4"/>
  <c r="F541" i="4" s="1"/>
  <c r="D2272" i="4"/>
  <c r="F2272" i="4" s="1"/>
  <c r="D1205" i="4"/>
  <c r="F1205" i="4" s="1"/>
  <c r="D1501" i="4"/>
  <c r="F1501" i="4" s="1"/>
  <c r="D1706" i="4"/>
  <c r="F1706" i="4" s="1"/>
  <c r="D967" i="4"/>
  <c r="F967" i="4" s="1"/>
  <c r="D1138" i="4"/>
  <c r="F1138" i="4" s="1"/>
  <c r="D876" i="4"/>
  <c r="F876" i="4" s="1"/>
  <c r="D910" i="4"/>
  <c r="F910" i="4" s="1"/>
  <c r="D758" i="4"/>
  <c r="F758" i="4" s="1"/>
  <c r="D330" i="4"/>
  <c r="F330" i="4" s="1"/>
  <c r="D360" i="4"/>
  <c r="F360" i="4" s="1"/>
  <c r="D1970" i="4"/>
  <c r="F1970" i="4" s="1"/>
  <c r="D1058" i="4"/>
  <c r="F1058" i="4" s="1"/>
  <c r="D1094" i="4"/>
  <c r="F1094" i="4" s="1"/>
  <c r="D996" i="4"/>
  <c r="F996" i="4" s="1"/>
  <c r="D648" i="4"/>
  <c r="F648" i="4" s="1"/>
  <c r="D322" i="4"/>
  <c r="F322" i="4" s="1"/>
  <c r="D24" i="4"/>
  <c r="F24" i="4" s="1"/>
  <c r="D1439" i="4"/>
  <c r="F1439" i="4" s="1"/>
  <c r="D904" i="4"/>
  <c r="F904" i="4" s="1"/>
  <c r="D395" i="4"/>
  <c r="F395" i="4" s="1"/>
  <c r="D2487" i="4"/>
  <c r="F2487" i="4" s="1"/>
  <c r="D1566" i="4"/>
  <c r="F1566" i="4" s="1"/>
  <c r="D656" i="4"/>
  <c r="F656" i="4" s="1"/>
  <c r="D1558" i="4"/>
  <c r="F1558" i="4" s="1"/>
  <c r="D727" i="4"/>
  <c r="F727" i="4" s="1"/>
  <c r="D1129" i="4"/>
  <c r="F1129" i="4" s="1"/>
  <c r="D1580" i="4"/>
  <c r="F1580" i="4" s="1"/>
  <c r="D1039" i="4"/>
  <c r="E1039" i="4" s="1"/>
  <c r="D608" i="4"/>
  <c r="F608" i="4" s="1"/>
  <c r="D208" i="4"/>
  <c r="F208" i="4" s="1"/>
  <c r="D701" i="4"/>
  <c r="F701" i="4" s="1"/>
  <c r="D1264" i="4"/>
  <c r="F1264" i="4" s="1"/>
  <c r="D417" i="4"/>
  <c r="F417" i="4" s="1"/>
  <c r="D184" i="4"/>
  <c r="E184" i="4" s="1"/>
  <c r="D403" i="4"/>
  <c r="F403" i="4" s="1"/>
  <c r="D478" i="4"/>
  <c r="F478" i="4" s="1"/>
  <c r="D474" i="4"/>
  <c r="F474" i="4" s="1"/>
  <c r="D148" i="4"/>
  <c r="F148" i="4" s="1"/>
  <c r="D676" i="4"/>
  <c r="F676" i="4" s="1"/>
  <c r="D609" i="4"/>
  <c r="F609" i="4" s="1"/>
  <c r="D427" i="4"/>
  <c r="F427" i="4" s="1"/>
  <c r="D251" i="4"/>
  <c r="F251" i="4" s="1"/>
  <c r="D835" i="4"/>
  <c r="F835" i="4" s="1"/>
  <c r="D644" i="4"/>
  <c r="F644" i="4" s="1"/>
  <c r="D2198" i="4"/>
  <c r="F2198" i="4" s="1"/>
  <c r="D905" i="4"/>
  <c r="F905" i="4" s="1"/>
  <c r="D760" i="4"/>
  <c r="F760" i="4" s="1"/>
  <c r="D672" i="4"/>
  <c r="F672" i="4" s="1"/>
  <c r="D686" i="4"/>
  <c r="F686" i="4" s="1"/>
  <c r="D509" i="4"/>
  <c r="F509" i="4" s="1"/>
  <c r="D196" i="4"/>
  <c r="F196" i="4" s="1"/>
  <c r="D1973" i="4"/>
  <c r="F1973" i="4" s="1"/>
  <c r="D1026" i="4"/>
  <c r="E1026" i="4" s="1"/>
  <c r="D646" i="4"/>
  <c r="F646" i="4" s="1"/>
  <c r="D738" i="4"/>
  <c r="F738" i="4" s="1"/>
  <c r="D784" i="4"/>
  <c r="F784" i="4" s="1"/>
  <c r="D260" i="4"/>
  <c r="F260" i="4" s="1"/>
  <c r="D1101" i="4"/>
  <c r="F1101" i="4" s="1"/>
  <c r="D1621" i="4"/>
  <c r="F1621" i="4" s="1"/>
  <c r="D703" i="4"/>
  <c r="F703" i="4" s="1"/>
  <c r="D301" i="4"/>
  <c r="F301" i="4" s="1"/>
  <c r="D378" i="4"/>
  <c r="F378" i="4" s="1"/>
  <c r="D122" i="4"/>
  <c r="F122" i="4" s="1"/>
  <c r="D2378" i="4"/>
  <c r="F2378" i="4" s="1"/>
  <c r="D667" i="4"/>
  <c r="F667" i="4" s="1"/>
  <c r="D726" i="4"/>
  <c r="E726" i="4" s="1"/>
  <c r="D557" i="4"/>
  <c r="F557" i="4" s="1"/>
  <c r="D231" i="4"/>
  <c r="E231" i="4" s="1"/>
  <c r="D795" i="4"/>
  <c r="E795" i="4" s="1"/>
  <c r="D620" i="4"/>
  <c r="F620" i="4" s="1"/>
  <c r="D316" i="4"/>
  <c r="E316" i="4" s="1"/>
  <c r="D47" i="4"/>
  <c r="F47" i="4" s="1"/>
  <c r="D44" i="4"/>
  <c r="F44" i="4" s="1"/>
  <c r="D2490" i="4"/>
  <c r="F2490" i="4" s="1"/>
  <c r="D2303" i="4"/>
  <c r="F2303" i="4" s="1"/>
  <c r="D2253" i="4"/>
  <c r="F2253" i="4" s="1"/>
  <c r="D768" i="4"/>
  <c r="F768" i="4" s="1"/>
  <c r="G22" i="6"/>
  <c r="G23" i="6" s="1"/>
  <c r="G38" i="6" s="1"/>
  <c r="G40" i="6" s="1"/>
  <c r="G41" i="6" s="1"/>
  <c r="K23" i="6" s="1"/>
  <c r="D2319" i="4"/>
  <c r="F2319" i="4" s="1"/>
  <c r="D2261" i="4"/>
  <c r="F2261" i="4" s="1"/>
  <c r="D1440" i="4"/>
  <c r="F1440" i="4" s="1"/>
  <c r="D913" i="4"/>
  <c r="F913" i="4" s="1"/>
  <c r="D882" i="4"/>
  <c r="F882" i="4" s="1"/>
  <c r="D775" i="4"/>
  <c r="F775" i="4" s="1"/>
  <c r="D1301" i="4"/>
  <c r="F1301" i="4" s="1"/>
  <c r="D253" i="4"/>
  <c r="F253" i="4" s="1"/>
  <c r="D292" i="4"/>
  <c r="F292" i="4" s="1"/>
  <c r="D677" i="4"/>
  <c r="F677" i="4" s="1"/>
  <c r="D645" i="4"/>
  <c r="F645" i="4" s="1"/>
  <c r="D1599" i="4"/>
  <c r="F1599" i="4" s="1"/>
  <c r="D1031" i="4"/>
  <c r="F1031" i="4" s="1"/>
  <c r="D981" i="4"/>
  <c r="F981" i="4" s="1"/>
  <c r="D181" i="4"/>
  <c r="F181" i="4" s="1"/>
  <c r="D179" i="4"/>
  <c r="F179" i="4" s="1"/>
  <c r="D826" i="4"/>
  <c r="F826" i="4" s="1"/>
  <c r="D2083" i="4"/>
  <c r="F2083" i="4" s="1"/>
  <c r="D1431" i="4"/>
  <c r="F1431" i="4" s="1"/>
  <c r="D277" i="4"/>
  <c r="F277" i="4" s="1"/>
  <c r="D803" i="4"/>
  <c r="F803" i="4" s="1"/>
  <c r="D2477" i="4"/>
  <c r="F2477" i="4" s="1"/>
  <c r="D965" i="4"/>
  <c r="F965" i="4" s="1"/>
  <c r="D494" i="4"/>
  <c r="F494" i="4" s="1"/>
  <c r="D1144" i="4"/>
  <c r="F1144" i="4" s="1"/>
  <c r="D954" i="4"/>
  <c r="F954" i="4" s="1"/>
  <c r="D1613" i="4"/>
  <c r="F1613" i="4" s="1"/>
  <c r="D1053" i="4"/>
  <c r="F1053" i="4" s="1"/>
  <c r="D859" i="4"/>
  <c r="E859" i="4" s="1"/>
  <c r="D185" i="4"/>
  <c r="F185" i="4" s="1"/>
  <c r="D852" i="4"/>
  <c r="E852" i="4" s="1"/>
  <c r="D500" i="4"/>
  <c r="F500" i="4" s="1"/>
  <c r="D684" i="4"/>
  <c r="F684" i="4" s="1"/>
  <c r="D225" i="4"/>
  <c r="F225" i="4" s="1"/>
  <c r="D1141" i="4"/>
  <c r="F1141" i="4" s="1"/>
  <c r="D894" i="4"/>
  <c r="F894" i="4" s="1"/>
  <c r="D307" i="4"/>
  <c r="E307" i="4" s="1"/>
  <c r="D616" i="4"/>
  <c r="E616" i="4" s="1"/>
  <c r="D128" i="4"/>
  <c r="F128" i="4" s="1"/>
  <c r="D842" i="4"/>
  <c r="F842" i="4" s="1"/>
  <c r="D74" i="4"/>
  <c r="E74" i="4" s="1"/>
  <c r="D218" i="4"/>
  <c r="F218" i="4" s="1"/>
  <c r="D392" i="4"/>
  <c r="F392" i="4" s="1"/>
  <c r="D143" i="4"/>
  <c r="F143" i="4" s="1"/>
  <c r="D69" i="4"/>
  <c r="E69" i="4" s="1"/>
  <c r="D28" i="4"/>
  <c r="E28" i="4" s="1"/>
  <c r="D455" i="4"/>
  <c r="E455" i="4" s="1"/>
  <c r="D840" i="4"/>
  <c r="F840" i="4" s="1"/>
  <c r="D1391" i="4"/>
  <c r="F1391" i="4" s="1"/>
  <c r="D1003" i="4"/>
  <c r="F1003" i="4" s="1"/>
  <c r="D680" i="4"/>
  <c r="F680" i="4" s="1"/>
  <c r="D846" i="4"/>
  <c r="F846" i="4" s="1"/>
  <c r="D885" i="4"/>
  <c r="F885" i="4" s="1"/>
  <c r="D123" i="4"/>
  <c r="F123" i="4" s="1"/>
  <c r="D899" i="4"/>
  <c r="F899" i="4" s="1"/>
  <c r="D297" i="4"/>
  <c r="F297" i="4" s="1"/>
  <c r="D2305" i="4"/>
  <c r="F2305" i="4" s="1"/>
  <c r="D2455" i="4"/>
  <c r="F2455" i="4" s="1"/>
  <c r="D1614" i="4"/>
  <c r="F1614" i="4" s="1"/>
  <c r="D1128" i="4"/>
  <c r="F1128" i="4" s="1"/>
  <c r="D547" i="4"/>
  <c r="F547" i="4" s="1"/>
  <c r="D895" i="4"/>
  <c r="F895" i="4" s="1"/>
  <c r="D1270" i="4"/>
  <c r="F1270" i="4" s="1"/>
  <c r="D87" i="4"/>
  <c r="F87" i="4" s="1"/>
  <c r="D838" i="4"/>
  <c r="F838" i="4" s="1"/>
  <c r="D813" i="4"/>
  <c r="F813" i="4" s="1"/>
  <c r="D510" i="4"/>
  <c r="F510" i="4" s="1"/>
  <c r="D637" i="4"/>
  <c r="F637" i="4" s="1"/>
  <c r="D439" i="4"/>
  <c r="F439" i="4" s="1"/>
  <c r="D259" i="4"/>
  <c r="F259" i="4" s="1"/>
  <c r="D1819" i="4"/>
  <c r="F1819" i="4" s="1"/>
  <c r="D2005" i="4"/>
  <c r="F2005" i="4" s="1"/>
  <c r="D1634" i="4"/>
  <c r="F1634" i="4" s="1"/>
  <c r="D1230" i="4"/>
  <c r="F1230" i="4" s="1"/>
  <c r="D759" i="4"/>
  <c r="F759" i="4" s="1"/>
  <c r="D147" i="4"/>
  <c r="F147" i="4" s="1"/>
  <c r="D400" i="4"/>
  <c r="F400" i="4" s="1"/>
  <c r="D1002" i="4"/>
  <c r="F1002" i="4" s="1"/>
  <c r="D2448" i="4"/>
  <c r="F2448" i="4" s="1"/>
  <c r="D1024" i="4"/>
  <c r="F1024" i="4" s="1"/>
  <c r="D932" i="4"/>
  <c r="F932" i="4" s="1"/>
  <c r="D632" i="4"/>
  <c r="F632" i="4" s="1"/>
  <c r="D630" i="4"/>
  <c r="F630" i="4" s="1"/>
  <c r="D1527" i="4"/>
  <c r="F1527" i="4" s="1"/>
  <c r="D776" i="4"/>
  <c r="F776" i="4" s="1"/>
  <c r="D749" i="4"/>
  <c r="F749" i="4" s="1"/>
  <c r="D2242" i="4"/>
  <c r="F2242" i="4" s="1"/>
  <c r="D1824" i="4"/>
  <c r="F1824" i="4" s="1"/>
  <c r="D1225" i="4"/>
  <c r="F1225" i="4" s="1"/>
  <c r="D918" i="4"/>
  <c r="F918" i="4" s="1"/>
  <c r="D1424" i="4"/>
  <c r="F1424" i="4" s="1"/>
  <c r="D1005" i="4"/>
  <c r="F1005" i="4" s="1"/>
  <c r="D593" i="4"/>
  <c r="F593" i="4" s="1"/>
  <c r="D157" i="4"/>
  <c r="F157" i="4" s="1"/>
  <c r="D854" i="4"/>
  <c r="F854" i="4" s="1"/>
  <c r="D369" i="4"/>
  <c r="E369" i="4" s="1"/>
  <c r="D454" i="4"/>
  <c r="F454" i="4" s="1"/>
  <c r="D39" i="4"/>
  <c r="F39" i="4" s="1"/>
  <c r="D249" i="4"/>
  <c r="E249" i="4" s="1"/>
  <c r="D279" i="4"/>
  <c r="E279" i="4" s="1"/>
  <c r="D940" i="4"/>
  <c r="F940" i="4" s="1"/>
  <c r="D536" i="4"/>
  <c r="E536" i="4" s="1"/>
  <c r="D939" i="4"/>
  <c r="F939" i="4" s="1"/>
  <c r="D56" i="4"/>
  <c r="F56" i="4" s="1"/>
  <c r="D2136" i="4"/>
  <c r="F2136" i="4" s="1"/>
  <c r="D268" i="4"/>
  <c r="E268" i="4" s="1"/>
  <c r="D811" i="4"/>
  <c r="E811" i="4" s="1"/>
  <c r="D576" i="4"/>
  <c r="F576" i="4" s="1"/>
  <c r="D37" i="4"/>
  <c r="F37" i="4" s="1"/>
  <c r="D36" i="4"/>
  <c r="F36" i="4" s="1"/>
  <c r="D51" i="4"/>
  <c r="E51" i="4" s="1"/>
  <c r="D103" i="4"/>
  <c r="F103" i="4" s="1"/>
  <c r="D950" i="4"/>
  <c r="F950" i="4" s="1"/>
  <c r="D486" i="4"/>
  <c r="F486" i="4" s="1"/>
  <c r="D728" i="4"/>
  <c r="F728" i="4" s="1"/>
  <c r="D638" i="4"/>
  <c r="F638" i="4" s="1"/>
  <c r="D731" i="4"/>
  <c r="E731" i="4" s="1"/>
  <c r="D140" i="4"/>
  <c r="E140" i="4" s="1"/>
  <c r="D336" i="4"/>
  <c r="F336" i="4" s="1"/>
  <c r="D966" i="4"/>
  <c r="F966" i="4" s="1"/>
  <c r="D1168" i="4"/>
  <c r="E1168" i="4" s="1"/>
  <c r="D538" i="4"/>
  <c r="E538" i="4" s="1"/>
  <c r="D484" i="4"/>
  <c r="E484" i="4" s="1"/>
  <c r="D432" i="4"/>
  <c r="F432" i="4" s="1"/>
  <c r="D461" i="4"/>
  <c r="F461" i="4" s="1"/>
  <c r="D216" i="4"/>
  <c r="E216" i="4" s="1"/>
  <c r="D33" i="4"/>
  <c r="E33" i="4" s="1"/>
  <c r="D25" i="4"/>
  <c r="F25" i="4" s="1"/>
  <c r="D383" i="4"/>
  <c r="F383" i="4" s="1"/>
  <c r="D433" i="4"/>
  <c r="E433" i="4" s="1"/>
  <c r="D137" i="4"/>
  <c r="E137" i="4" s="1"/>
  <c r="D328" i="4"/>
  <c r="F328" i="4" s="1"/>
  <c r="D209" i="4"/>
  <c r="E209" i="4" s="1"/>
  <c r="D1172" i="4"/>
  <c r="E1172" i="4" s="1"/>
  <c r="D590" i="4"/>
  <c r="F590" i="4" s="1"/>
  <c r="D394" i="4"/>
  <c r="F394" i="4" s="1"/>
  <c r="D789" i="4"/>
  <c r="E789" i="4" s="1"/>
  <c r="D100" i="4"/>
  <c r="E100" i="4" s="1"/>
  <c r="D130" i="4"/>
  <c r="F130" i="4" s="1"/>
  <c r="D35" i="4"/>
  <c r="F35" i="4" s="1"/>
  <c r="D200" i="4"/>
  <c r="E200" i="4" s="1"/>
  <c r="D653" i="4"/>
  <c r="E653" i="4" s="1"/>
  <c r="D114" i="4"/>
  <c r="E114" i="4" s="1"/>
  <c r="D613" i="4"/>
  <c r="E613" i="4" s="1"/>
  <c r="D564" i="4"/>
  <c r="E564" i="4" s="1"/>
  <c r="D657" i="4"/>
  <c r="E657" i="4" s="1"/>
  <c r="D1155" i="4"/>
  <c r="F1155" i="4" s="1"/>
  <c r="D989" i="4"/>
  <c r="F989" i="4" s="1"/>
  <c r="D1083" i="4"/>
  <c r="F1083" i="4" s="1"/>
  <c r="D317" i="4"/>
  <c r="F317" i="4" s="1"/>
  <c r="D655" i="4"/>
  <c r="F655" i="4" s="1"/>
  <c r="D694" i="4"/>
  <c r="F694" i="4" s="1"/>
  <c r="D518" i="4"/>
  <c r="F518" i="4" s="1"/>
  <c r="D708" i="4"/>
  <c r="F708" i="4" s="1"/>
  <c r="D707" i="4"/>
  <c r="F707" i="4" s="1"/>
  <c r="D1721" i="4"/>
  <c r="F1721" i="4" s="1"/>
  <c r="D1427" i="4"/>
  <c r="F1427" i="4" s="1"/>
  <c r="D1676" i="4"/>
  <c r="F1676" i="4" s="1"/>
  <c r="D1839" i="4"/>
  <c r="F1839" i="4" s="1"/>
  <c r="D960" i="4"/>
  <c r="F960" i="4" s="1"/>
  <c r="D1383" i="4"/>
  <c r="F1383" i="4" s="1"/>
  <c r="D1285" i="4"/>
  <c r="F1285" i="4" s="1"/>
  <c r="D309" i="4"/>
  <c r="F309" i="4" s="1"/>
  <c r="D419" i="4"/>
  <c r="F419" i="4" s="1"/>
  <c r="D426" i="4"/>
  <c r="F426" i="4" s="1"/>
  <c r="D258" i="4"/>
  <c r="F258" i="4" s="1"/>
  <c r="D352" i="4"/>
  <c r="F352" i="4" s="1"/>
  <c r="D639" i="4"/>
  <c r="F639" i="4" s="1"/>
  <c r="D2506" i="4"/>
  <c r="F2506" i="4" s="1"/>
  <c r="D841" i="4"/>
  <c r="F841" i="4" s="1"/>
  <c r="D1756" i="4"/>
  <c r="F1756" i="4" s="1"/>
  <c r="D1233" i="4"/>
  <c r="F1233" i="4" s="1"/>
  <c r="D712" i="4"/>
  <c r="F712" i="4" s="1"/>
  <c r="D276" i="4"/>
  <c r="F276" i="4" s="1"/>
  <c r="D361" i="4"/>
  <c r="F361" i="4" s="1"/>
  <c r="D1763" i="4"/>
  <c r="F1763" i="4" s="1"/>
  <c r="D1023" i="4"/>
  <c r="F1023" i="4" s="1"/>
  <c r="D1755" i="4"/>
  <c r="F1755" i="4" s="1"/>
  <c r="D839" i="4"/>
  <c r="F839" i="4" s="1"/>
  <c r="D364" i="4"/>
  <c r="F364" i="4" s="1"/>
  <c r="D869" i="4"/>
  <c r="F869" i="4" s="1"/>
  <c r="D234" i="4"/>
  <c r="F234" i="4" s="1"/>
  <c r="D682" i="4"/>
  <c r="F682" i="4" s="1"/>
  <c r="D1603" i="4"/>
  <c r="F1603" i="4" s="1"/>
  <c r="D93" i="4"/>
  <c r="F93" i="4" s="1"/>
  <c r="D1364" i="4"/>
  <c r="E1364" i="4" s="1"/>
  <c r="D1035" i="4"/>
  <c r="F1035" i="4" s="1"/>
  <c r="D916" i="4"/>
  <c r="F916" i="4" s="1"/>
  <c r="D2025" i="4"/>
  <c r="F2025" i="4" s="1"/>
  <c r="D857" i="4"/>
  <c r="F857" i="4" s="1"/>
  <c r="D1217" i="4"/>
  <c r="F1217" i="4" s="1"/>
  <c r="D944" i="4"/>
  <c r="E944" i="4" s="1"/>
  <c r="D912" i="4"/>
  <c r="F912" i="4" s="1"/>
  <c r="D917" i="4"/>
  <c r="F917" i="4" s="1"/>
  <c r="D740" i="4"/>
  <c r="F740" i="4" s="1"/>
  <c r="D523" i="4"/>
  <c r="F523" i="4" s="1"/>
  <c r="D61" i="4"/>
  <c r="F61" i="4" s="1"/>
  <c r="D619" i="4"/>
  <c r="E619" i="4" s="1"/>
  <c r="D2139" i="4"/>
  <c r="F2139" i="4" s="1"/>
  <c r="D1352" i="4"/>
  <c r="F1352" i="4" s="1"/>
  <c r="D734" i="4"/>
  <c r="E734" i="4" s="1"/>
  <c r="D525" i="4"/>
  <c r="E525" i="4" s="1"/>
  <c r="D425" i="4"/>
  <c r="E425" i="4" s="1"/>
  <c r="D1202" i="4"/>
  <c r="F1202" i="4" s="1"/>
  <c r="D195" i="4"/>
  <c r="E195" i="4" s="1"/>
  <c r="D257" i="4"/>
  <c r="F257" i="4" s="1"/>
  <c r="D244" i="4"/>
  <c r="E244" i="4" s="1"/>
  <c r="D422" i="4"/>
  <c r="F422" i="4" s="1"/>
  <c r="D451" i="4"/>
  <c r="F451" i="4" s="1"/>
  <c r="D495" i="4"/>
  <c r="E495" i="4" s="1"/>
  <c r="D515" i="4"/>
  <c r="E515" i="4" s="1"/>
  <c r="D845" i="4"/>
  <c r="E845" i="4" s="1"/>
  <c r="D1274" i="4"/>
  <c r="F1274" i="4" s="1"/>
  <c r="D387" i="4"/>
  <c r="F387" i="4" s="1"/>
  <c r="D883" i="4"/>
  <c r="E883" i="4" s="1"/>
  <c r="D16" i="4"/>
  <c r="E16" i="4" s="1"/>
  <c r="D146" i="4"/>
  <c r="F146" i="4" s="1"/>
  <c r="D145" i="4"/>
  <c r="E145" i="4" s="1"/>
  <c r="D933" i="4"/>
  <c r="E933" i="4" s="1"/>
  <c r="D875" i="4"/>
  <c r="E875" i="4" s="1"/>
  <c r="D463" i="4"/>
  <c r="E463" i="4" s="1"/>
  <c r="D131" i="4"/>
  <c r="F131" i="4" s="1"/>
  <c r="D194" i="4"/>
  <c r="F194" i="4" s="1"/>
  <c r="D497" i="4"/>
  <c r="E497" i="4" s="1"/>
  <c r="D450" i="4"/>
  <c r="F450" i="4" s="1"/>
  <c r="D112" i="4"/>
  <c r="F112" i="4" s="1"/>
  <c r="D401" i="4"/>
  <c r="F401" i="4" s="1"/>
  <c r="D367" i="4"/>
  <c r="F367" i="4" s="1"/>
  <c r="D739" i="4"/>
  <c r="E739" i="4" s="1"/>
  <c r="D444" i="4"/>
  <c r="F444" i="4" s="1"/>
  <c r="D155" i="4"/>
  <c r="E155" i="4" s="1"/>
  <c r="D2155" i="4"/>
  <c r="F2155" i="4" s="1"/>
  <c r="D1149" i="4"/>
  <c r="F1149" i="4" s="1"/>
  <c r="D1493" i="4"/>
  <c r="F1493" i="4" s="1"/>
  <c r="D1698" i="4"/>
  <c r="F1698" i="4" s="1"/>
  <c r="D832" i="4"/>
  <c r="F832" i="4" s="1"/>
  <c r="D1255" i="4"/>
  <c r="F1255" i="4" s="1"/>
  <c r="D1075" i="4"/>
  <c r="F1075" i="4" s="1"/>
  <c r="D245" i="4"/>
  <c r="F245" i="4" s="1"/>
  <c r="D355" i="4"/>
  <c r="F355" i="4" s="1"/>
  <c r="D243" i="4"/>
  <c r="F243" i="4" s="1"/>
  <c r="D955" i="4"/>
  <c r="F955" i="4" s="1"/>
  <c r="D289" i="4"/>
  <c r="F289" i="4" s="1"/>
  <c r="D568" i="4"/>
  <c r="F568" i="4" s="1"/>
  <c r="D2021" i="4"/>
  <c r="F2021" i="4" s="1"/>
  <c r="D1642" i="4"/>
  <c r="F1642" i="4" s="1"/>
  <c r="D1050" i="4"/>
  <c r="F1050" i="4" s="1"/>
  <c r="D879" i="4"/>
  <c r="F879" i="4" s="1"/>
  <c r="D561" i="4"/>
  <c r="F561" i="4" s="1"/>
  <c r="D909" i="4"/>
  <c r="F909" i="4" s="1"/>
  <c r="D250" i="4"/>
  <c r="F250" i="4" s="1"/>
  <c r="D1965" i="4"/>
  <c r="F1965" i="4" s="1"/>
  <c r="D1150" i="4"/>
  <c r="F1150" i="4" s="1"/>
  <c r="D730" i="4"/>
  <c r="F730" i="4" s="1"/>
  <c r="D1335" i="4"/>
  <c r="F1335" i="4" s="1"/>
  <c r="D229" i="4"/>
  <c r="F229" i="4" s="1"/>
  <c r="D781" i="4"/>
  <c r="F781" i="4" s="1"/>
  <c r="D2250" i="4"/>
  <c r="F2250" i="4" s="1"/>
  <c r="D1832" i="4"/>
  <c r="F1832" i="4" s="1"/>
  <c r="D1254" i="4"/>
  <c r="E1254" i="4" s="1"/>
  <c r="D934" i="4"/>
  <c r="F934" i="4" s="1"/>
  <c r="D1338" i="4"/>
  <c r="F1338" i="4" s="1"/>
  <c r="D681" i="4"/>
  <c r="F681" i="4" s="1"/>
  <c r="D741" i="4"/>
  <c r="F741" i="4" s="1"/>
  <c r="D1578" i="4"/>
  <c r="F1578" i="4" s="1"/>
  <c r="D1339" i="4"/>
  <c r="F1339" i="4" s="1"/>
  <c r="D1277" i="4"/>
  <c r="F1277" i="4" s="1"/>
  <c r="D847" i="4"/>
  <c r="F847" i="4" s="1"/>
  <c r="D1492" i="4"/>
  <c r="F1492" i="4" s="1"/>
  <c r="D766" i="4"/>
  <c r="E766" i="4" s="1"/>
  <c r="D621" i="4"/>
  <c r="E621" i="4" s="1"/>
  <c r="D440" i="4"/>
  <c r="F440" i="4" s="1"/>
  <c r="D513" i="4"/>
  <c r="E513" i="4" s="1"/>
  <c r="D556" i="4"/>
  <c r="F556" i="4" s="1"/>
  <c r="D849" i="4"/>
  <c r="F849" i="4" s="1"/>
  <c r="D1367" i="4"/>
  <c r="F1367" i="4" s="1"/>
  <c r="D567" i="4"/>
  <c r="F567" i="4" s="1"/>
  <c r="D384" i="4"/>
  <c r="F384" i="4" s="1"/>
  <c r="D339" i="4"/>
  <c r="F339" i="4" s="1"/>
  <c r="D844" i="4"/>
  <c r="F844" i="4" s="1"/>
  <c r="D685" i="4"/>
  <c r="E685" i="4" s="1"/>
  <c r="D747" i="4"/>
  <c r="E747" i="4" s="1"/>
  <c r="D164" i="4"/>
  <c r="E164" i="4" s="1"/>
  <c r="D351" i="4"/>
  <c r="F351" i="4" s="1"/>
  <c r="D381" i="4"/>
  <c r="F381" i="4" s="1"/>
  <c r="D420" i="4"/>
  <c r="F420" i="4" s="1"/>
  <c r="D1116" i="4"/>
  <c r="F1116" i="4" s="1"/>
  <c r="D718" i="4"/>
  <c r="E718" i="4" s="1"/>
  <c r="D460" i="4"/>
  <c r="E460" i="4" s="1"/>
  <c r="D957" i="4"/>
  <c r="E957" i="4" s="1"/>
  <c r="D779" i="4"/>
  <c r="F779" i="4" s="1"/>
  <c r="D552" i="4"/>
  <c r="F552" i="4" s="1"/>
  <c r="D84" i="4"/>
  <c r="F84" i="4" s="1"/>
  <c r="D20" i="4"/>
  <c r="F20" i="4" s="1"/>
  <c r="D575" i="4"/>
  <c r="E575" i="4" s="1"/>
  <c r="D629" i="4"/>
  <c r="E629" i="4" s="1"/>
  <c r="D843" i="4"/>
  <c r="F843" i="4" s="1"/>
  <c r="D274" i="4"/>
  <c r="F274" i="4" s="1"/>
  <c r="D77" i="4"/>
  <c r="E77" i="4" s="1"/>
  <c r="D390" i="4"/>
  <c r="E390" i="4" s="1"/>
  <c r="D302" i="4"/>
  <c r="F302" i="4" s="1"/>
  <c r="D443" i="4"/>
  <c r="E443" i="4" s="1"/>
  <c r="D204" i="4"/>
  <c r="E204" i="4" s="1"/>
  <c r="D264" i="4"/>
  <c r="E264" i="4" s="1"/>
  <c r="D377" i="4"/>
  <c r="E377" i="4" s="1"/>
  <c r="D242" i="4"/>
  <c r="F242" i="4" s="1"/>
  <c r="D178" i="4"/>
  <c r="F178" i="4" s="1"/>
  <c r="D101" i="4"/>
  <c r="F101" i="4" s="1"/>
  <c r="D670" i="4"/>
  <c r="F670" i="4" s="1"/>
  <c r="D2161" i="4"/>
  <c r="F2161" i="4" s="1"/>
  <c r="D1473" i="4"/>
  <c r="F1473" i="4" s="1"/>
  <c r="D1349" i="4"/>
  <c r="F1349" i="4" s="1"/>
  <c r="D822" i="4"/>
  <c r="F822" i="4" s="1"/>
  <c r="D1550" i="4"/>
  <c r="F1550" i="4" s="1"/>
  <c r="D1093" i="4"/>
  <c r="F1093" i="4" s="1"/>
  <c r="D641" i="4"/>
  <c r="F641" i="4" s="1"/>
  <c r="D2190" i="4"/>
  <c r="F2190" i="4" s="1"/>
  <c r="D539" i="4"/>
  <c r="F539" i="4" s="1"/>
  <c r="D1067" i="4"/>
  <c r="F1067" i="4" s="1"/>
  <c r="D1468" i="4"/>
  <c r="F1468" i="4" s="1"/>
  <c r="D1350" i="4"/>
  <c r="F1350" i="4" s="1"/>
  <c r="D599" i="4"/>
  <c r="F599" i="4" s="1"/>
  <c r="D408" i="4"/>
  <c r="F408" i="4" s="1"/>
  <c r="D275" i="4"/>
  <c r="F275" i="4" s="1"/>
  <c r="D445" i="4"/>
  <c r="F445" i="4" s="1"/>
  <c r="D473" i="4"/>
  <c r="F473" i="4" s="1"/>
  <c r="D816" i="4"/>
  <c r="E816" i="4" s="1"/>
  <c r="D1099" i="4"/>
  <c r="F1099" i="4" s="1"/>
  <c r="D211" i="4"/>
  <c r="F211" i="4" s="1"/>
  <c r="D265" i="4"/>
  <c r="E265" i="4" s="1"/>
  <c r="D172" i="4"/>
  <c r="F172" i="4" s="1"/>
  <c r="D293" i="4"/>
  <c r="E293" i="4" s="1"/>
  <c r="D502" i="4"/>
  <c r="F502" i="4" s="1"/>
  <c r="D652" i="4"/>
  <c r="F652" i="4" s="1"/>
  <c r="D79" i="4"/>
  <c r="F79" i="4" s="1"/>
  <c r="D288" i="4"/>
  <c r="F288" i="4" s="1"/>
  <c r="D319" i="4"/>
  <c r="F319" i="4" s="1"/>
  <c r="D294" i="4"/>
  <c r="E294" i="4" s="1"/>
  <c r="D1269" i="4"/>
  <c r="F1269" i="4" s="1"/>
  <c r="D418" i="4"/>
  <c r="F418" i="4" s="1"/>
  <c r="D974" i="4"/>
  <c r="F974" i="4" s="1"/>
  <c r="D829" i="4"/>
  <c r="F829" i="4" s="1"/>
  <c r="D668" i="4"/>
  <c r="F668" i="4" s="1"/>
  <c r="D476" i="4"/>
  <c r="F476" i="4" s="1"/>
  <c r="D542" i="4"/>
  <c r="F542" i="4" s="1"/>
  <c r="D580" i="4"/>
  <c r="E580" i="4" s="1"/>
  <c r="D1476" i="4"/>
  <c r="F1476" i="4" s="1"/>
  <c r="D321" i="4"/>
  <c r="F321" i="4" s="1"/>
  <c r="D493" i="4"/>
  <c r="E493" i="4" s="1"/>
  <c r="D732" i="4"/>
  <c r="F732" i="4" s="1"/>
  <c r="D893" i="4"/>
  <c r="F893" i="4" s="1"/>
  <c r="D177" i="4"/>
  <c r="F177" i="4" s="1"/>
  <c r="D151" i="4"/>
  <c r="E151" i="4" s="1"/>
  <c r="D286" i="4"/>
  <c r="F286" i="4" s="1"/>
  <c r="D805" i="4"/>
  <c r="F805" i="4" s="1"/>
  <c r="D169" i="4"/>
  <c r="F169" i="4" s="1"/>
  <c r="D180" i="4"/>
  <c r="F180" i="4" s="1"/>
  <c r="D370" i="4"/>
  <c r="E370" i="4" s="1"/>
  <c r="D42" i="4"/>
  <c r="E42" i="4" s="1"/>
  <c r="D2091" i="4"/>
  <c r="F2091" i="4" s="1"/>
  <c r="D1827" i="4"/>
  <c r="F1827" i="4" s="1"/>
  <c r="D1802" i="4"/>
  <c r="F1802" i="4" s="1"/>
  <c r="D1030" i="4"/>
  <c r="F1030" i="4" s="1"/>
  <c r="D1021" i="4"/>
  <c r="F1021" i="4" s="1"/>
  <c r="D1398" i="4"/>
  <c r="F1398" i="4" s="1"/>
  <c r="D788" i="4"/>
  <c r="F788" i="4" s="1"/>
  <c r="D902" i="4"/>
  <c r="F902" i="4" s="1"/>
  <c r="D877" i="4"/>
  <c r="F877" i="4" s="1"/>
  <c r="D669" i="4"/>
  <c r="F669" i="4" s="1"/>
  <c r="D700" i="4"/>
  <c r="F700" i="4" s="1"/>
  <c r="D636" i="4"/>
  <c r="F636" i="4" s="1"/>
  <c r="D323" i="4"/>
  <c r="F323" i="4" s="1"/>
  <c r="D1797" i="4"/>
  <c r="F1797" i="4" s="1"/>
  <c r="D1954" i="4"/>
  <c r="F1954" i="4" s="1"/>
  <c r="D2012" i="4"/>
  <c r="F2012" i="4" s="1"/>
  <c r="D1382" i="4"/>
  <c r="F1382" i="4" s="1"/>
  <c r="D870" i="4"/>
  <c r="F870" i="4" s="1"/>
  <c r="D235" i="4"/>
  <c r="F235" i="4" s="1"/>
  <c r="D605" i="4"/>
  <c r="F605" i="4" s="1"/>
  <c r="D1748" i="4"/>
  <c r="F1748" i="4" s="1"/>
  <c r="D2184" i="4"/>
  <c r="F2184" i="4" s="1"/>
  <c r="D1481" i="4"/>
  <c r="F1481" i="4" s="1"/>
  <c r="D964" i="4"/>
  <c r="F964" i="4" s="1"/>
  <c r="D743" i="4"/>
  <c r="F743" i="4" s="1"/>
  <c r="D107" i="4"/>
  <c r="F107" i="4" s="1"/>
  <c r="D1420" i="4"/>
  <c r="F1420" i="4" s="1"/>
  <c r="D1079" i="4"/>
  <c r="F1079" i="4" s="1"/>
  <c r="D924" i="4"/>
  <c r="F924" i="4" s="1"/>
  <c r="D624" i="4"/>
  <c r="F624" i="4" s="1"/>
  <c r="D506" i="4"/>
  <c r="F506" i="4" s="1"/>
  <c r="D1595" i="4"/>
  <c r="F1595" i="4" s="1"/>
  <c r="D85" i="4"/>
  <c r="F85" i="4" s="1"/>
  <c r="D1282" i="4"/>
  <c r="F1282" i="4" s="1"/>
  <c r="D1360" i="4"/>
  <c r="F1360" i="4" s="1"/>
  <c r="D736" i="4"/>
  <c r="F736" i="4" s="1"/>
  <c r="D664" i="4"/>
  <c r="F664" i="4" s="1"/>
  <c r="D585" i="4"/>
  <c r="F585" i="4" s="1"/>
  <c r="D582" i="4"/>
  <c r="F582" i="4" s="1"/>
  <c r="D683" i="4"/>
  <c r="E683" i="4" s="1"/>
  <c r="D108" i="4"/>
  <c r="E108" i="4" s="1"/>
  <c r="D312" i="4"/>
  <c r="F312" i="4" s="1"/>
  <c r="D342" i="4"/>
  <c r="F342" i="4" s="1"/>
  <c r="D1130" i="4"/>
  <c r="F1130" i="4" s="1"/>
  <c r="D372" i="4"/>
  <c r="F372" i="4" s="1"/>
  <c r="D314" i="4"/>
  <c r="E314" i="4" s="1"/>
  <c r="D423" i="4"/>
  <c r="E423" i="4" s="1"/>
  <c r="D170" i="4"/>
  <c r="F170" i="4" s="1"/>
  <c r="D411" i="4"/>
  <c r="E411" i="4" s="1"/>
  <c r="D931" i="4"/>
  <c r="F931" i="4" s="1"/>
  <c r="D40" i="4"/>
  <c r="F40" i="4" s="1"/>
  <c r="D162" i="4"/>
  <c r="F162" i="4" s="1"/>
  <c r="D97" i="4"/>
  <c r="F97" i="4" s="1"/>
  <c r="D120" i="4"/>
  <c r="E120" i="4" s="1"/>
  <c r="D167" i="4"/>
  <c r="F167" i="4" s="1"/>
  <c r="D285" i="4"/>
  <c r="E285" i="4" s="1"/>
  <c r="D661" i="4"/>
  <c r="F661" i="4" s="1"/>
  <c r="D1253" i="4"/>
  <c r="E1253" i="4" s="1"/>
  <c r="D410" i="4"/>
  <c r="F410" i="4" s="1"/>
  <c r="D818" i="4"/>
  <c r="F818" i="4" s="1"/>
  <c r="D228" i="4"/>
  <c r="F228" i="4" s="1"/>
  <c r="D406" i="4"/>
  <c r="E406" i="4" s="1"/>
  <c r="D1377" i="4"/>
  <c r="F1377" i="4" s="1"/>
  <c r="D925" i="4"/>
  <c r="F925" i="4" s="1"/>
  <c r="D80" i="4"/>
  <c r="F80" i="4" s="1"/>
  <c r="D628" i="4"/>
  <c r="F628" i="4" s="1"/>
  <c r="D600" i="4"/>
  <c r="F600" i="4" s="1"/>
  <c r="D407" i="4"/>
  <c r="E407" i="4" s="1"/>
  <c r="D303" i="4"/>
  <c r="F303" i="4" s="1"/>
  <c r="D102" i="4"/>
  <c r="F102" i="4" s="1"/>
  <c r="D158" i="4"/>
  <c r="F158" i="4" s="1"/>
  <c r="D810" i="4"/>
  <c r="E810" i="4" s="1"/>
  <c r="D611" i="4"/>
  <c r="F611" i="4" s="1"/>
  <c r="D90" i="4"/>
  <c r="F90" i="4" s="1"/>
  <c r="D437" i="4"/>
  <c r="F437" i="4" s="1"/>
  <c r="D545" i="4"/>
  <c r="F545" i="4" s="1"/>
  <c r="D129" i="4"/>
  <c r="E129" i="4" s="1"/>
  <c r="D398" i="4"/>
  <c r="E398" i="4" s="1"/>
  <c r="D477" i="4"/>
  <c r="F477" i="4" s="1"/>
  <c r="D404" i="4"/>
  <c r="F404" i="4" s="1"/>
  <c r="D135" i="4"/>
  <c r="E135" i="4" s="1"/>
  <c r="D635" i="4"/>
  <c r="F635" i="4" s="1"/>
  <c r="D350" i="4"/>
  <c r="F350" i="4" s="1"/>
  <c r="D105" i="4"/>
  <c r="E105" i="4" s="1"/>
  <c r="D436" i="4"/>
  <c r="F436" i="4" s="1"/>
  <c r="D623" i="4"/>
  <c r="E623" i="4" s="1"/>
  <c r="D452" i="4"/>
  <c r="F452" i="4" s="1"/>
  <c r="D106" i="4"/>
  <c r="E106" i="4" s="1"/>
  <c r="D481" i="4"/>
  <c r="E481" i="4" s="1"/>
  <c r="D720" i="4"/>
  <c r="F720" i="4" s="1"/>
  <c r="D66" i="4"/>
  <c r="E66" i="4" s="1"/>
  <c r="D465" i="4"/>
  <c r="F465" i="4" s="1"/>
  <c r="D526" i="4"/>
  <c r="E526" i="4" s="1"/>
  <c r="D280" i="4"/>
  <c r="F280" i="4" s="1"/>
  <c r="D748" i="4"/>
  <c r="E748" i="4" s="1"/>
  <c r="D778" i="4"/>
  <c r="F778" i="4" s="1"/>
  <c r="D32" i="4"/>
  <c r="F32" i="4" s="1"/>
  <c r="D165" i="4"/>
  <c r="F165" i="4" s="1"/>
  <c r="D647" i="4"/>
  <c r="E647" i="4" s="1"/>
  <c r="D886" i="4"/>
  <c r="F886" i="4" s="1"/>
  <c r="D83" i="4"/>
  <c r="F83" i="4" s="1"/>
  <c r="D21" i="4"/>
  <c r="F21" i="4" s="1"/>
  <c r="D393" i="4"/>
  <c r="F393" i="4" s="1"/>
  <c r="D337" i="4"/>
  <c r="F337" i="4" s="1"/>
  <c r="D163" i="4"/>
  <c r="F163" i="4" s="1"/>
  <c r="D237" i="4"/>
  <c r="E237" i="4" s="1"/>
  <c r="D923" i="4"/>
  <c r="F923" i="4" s="1"/>
  <c r="D979" i="4"/>
  <c r="E979" i="4" s="1"/>
  <c r="D1219" i="4"/>
  <c r="E1219" i="4" s="1"/>
  <c r="D357" i="4"/>
  <c r="E357" i="4" s="1"/>
  <c r="D248" i="4"/>
  <c r="F248" i="4" s="1"/>
  <c r="D161" i="4"/>
  <c r="F161" i="4" s="1"/>
  <c r="D98" i="4"/>
  <c r="E98" i="4" s="1"/>
  <c r="D492" i="4"/>
  <c r="F492" i="4" s="1"/>
  <c r="D501" i="4"/>
  <c r="F501" i="4" s="1"/>
  <c r="D551" i="4"/>
  <c r="E551" i="4" s="1"/>
  <c r="D980" i="4"/>
  <c r="E980" i="4" s="1"/>
  <c r="D252" i="4"/>
  <c r="F252" i="4" s="1"/>
  <c r="D755" i="4"/>
  <c r="F755" i="4" s="1"/>
  <c r="D566" i="4"/>
  <c r="F566" i="4" s="1"/>
  <c r="D790" i="4"/>
  <c r="E790" i="4" s="1"/>
  <c r="D577" i="4"/>
  <c r="F577" i="4" s="1"/>
  <c r="D144" i="4"/>
  <c r="F144" i="4" s="1"/>
  <c r="D60" i="4"/>
  <c r="E60" i="4" s="1"/>
  <c r="D581" i="4"/>
  <c r="F581" i="4" s="1"/>
  <c r="D362" i="4"/>
  <c r="E362" i="4" s="1"/>
  <c r="D281" i="4"/>
  <c r="E281" i="4" s="1"/>
  <c r="D99" i="4"/>
  <c r="E99" i="4" s="1"/>
  <c r="D109" i="4"/>
  <c r="E109" i="4" s="1"/>
  <c r="D878" i="4"/>
  <c r="F878" i="4" s="1"/>
  <c r="D173" i="4"/>
  <c r="F173" i="4" s="1"/>
  <c r="D1507" i="4"/>
  <c r="E1507" i="4" s="1"/>
  <c r="D1777" i="4"/>
  <c r="F1777" i="4" s="1"/>
  <c r="D1528" i="4"/>
  <c r="F1528" i="4" s="1"/>
  <c r="D348" i="4"/>
  <c r="F348" i="4" s="1"/>
  <c r="D1240" i="4"/>
  <c r="F1240" i="4" s="1"/>
  <c r="D992" i="4"/>
  <c r="F992" i="4" s="1"/>
  <c r="D1594" i="4"/>
  <c r="F1594" i="4" s="1"/>
  <c r="D356" i="4"/>
  <c r="F356" i="4" s="1"/>
  <c r="D1327" i="4"/>
  <c r="F1327" i="4" s="1"/>
  <c r="D1088" i="4"/>
  <c r="F1088" i="4" s="1"/>
  <c r="D1705" i="4"/>
  <c r="F1705" i="4" s="1"/>
  <c r="D442" i="4"/>
  <c r="F442" i="4" s="1"/>
  <c r="D830" i="4"/>
  <c r="F830" i="4" s="1"/>
  <c r="D1152" i="4"/>
  <c r="F1152" i="4" s="1"/>
  <c r="D1164" i="4"/>
  <c r="F1164" i="4" s="1"/>
  <c r="D1535" i="4"/>
  <c r="F1535" i="4" s="1"/>
  <c r="D1966" i="4"/>
  <c r="F1966" i="4" s="1"/>
  <c r="D2295" i="4"/>
  <c r="F2295" i="4" s="1"/>
  <c r="D907" i="4"/>
  <c r="F907" i="4" s="1"/>
  <c r="D702" i="4"/>
  <c r="F702" i="4" s="1"/>
  <c r="D958" i="4"/>
  <c r="F958" i="4" s="1"/>
  <c r="D1084" i="4"/>
  <c r="F1084" i="4" s="1"/>
  <c r="D1158" i="4"/>
  <c r="F1158" i="4" s="1"/>
  <c r="D1924" i="4"/>
  <c r="F1924" i="4" s="1"/>
  <c r="D1794" i="4"/>
  <c r="F1794" i="4" s="1"/>
  <c r="D2335" i="4"/>
  <c r="F2335" i="4" s="1"/>
  <c r="D508" i="4"/>
  <c r="F508" i="4" s="1"/>
  <c r="D763" i="4"/>
  <c r="F763" i="4" s="1"/>
  <c r="D764" i="4"/>
  <c r="F764" i="4" s="1"/>
  <c r="D598" i="4"/>
  <c r="F598" i="4" s="1"/>
  <c r="D750" i="4"/>
  <c r="F750" i="4" s="1"/>
  <c r="D711" i="4"/>
  <c r="F711" i="4" s="1"/>
  <c r="D521" i="4"/>
  <c r="F521" i="4" s="1"/>
  <c r="D1184" i="4"/>
  <c r="F1184" i="4" s="1"/>
  <c r="D1131" i="4"/>
  <c r="F1131" i="4" s="1"/>
  <c r="D1280" i="4"/>
  <c r="F1280" i="4" s="1"/>
  <c r="D1214" i="4"/>
  <c r="F1214" i="4" s="1"/>
  <c r="D299" i="4"/>
  <c r="E299" i="4" s="1"/>
  <c r="D604" i="4"/>
  <c r="F604" i="4" s="1"/>
  <c r="D223" i="4"/>
  <c r="F223" i="4" s="1"/>
  <c r="D519" i="4"/>
  <c r="E519" i="4" s="1"/>
  <c r="D802" i="4"/>
  <c r="E802" i="4" s="1"/>
  <c r="D23" i="4"/>
  <c r="E23" i="4" s="1"/>
  <c r="D64" i="4"/>
  <c r="E64" i="4" s="1"/>
  <c r="D343" i="4"/>
  <c r="E343" i="4" s="1"/>
  <c r="D124" i="4"/>
  <c r="E124" i="4" s="1"/>
  <c r="D262" i="4"/>
  <c r="F262" i="4" s="1"/>
  <c r="D236" i="4"/>
  <c r="E236" i="4" s="1"/>
  <c r="D76" i="4"/>
  <c r="F76" i="4" s="1"/>
  <c r="D618" i="4"/>
  <c r="E618" i="4" s="1"/>
  <c r="D166" i="4"/>
  <c r="F166" i="4" s="1"/>
  <c r="D27" i="4"/>
  <c r="F27" i="4" s="1"/>
  <c r="D94" i="4"/>
  <c r="F94" i="4" s="1"/>
  <c r="D573" i="4"/>
  <c r="E573" i="4" s="1"/>
  <c r="D212" i="4"/>
  <c r="E212" i="4" s="1"/>
  <c r="D588" i="4"/>
  <c r="F588" i="4" s="1"/>
  <c r="D353" i="4"/>
  <c r="F353" i="4" s="1"/>
  <c r="D565" i="4"/>
  <c r="E565" i="4" s="1"/>
  <c r="D402" i="4"/>
  <c r="F402" i="4" s="1"/>
  <c r="D549" i="4"/>
  <c r="E549" i="4" s="1"/>
  <c r="D263" i="4"/>
  <c r="F263" i="4" s="1"/>
  <c r="D528" i="4"/>
  <c r="F528" i="4" s="1"/>
  <c r="D118" i="4"/>
  <c r="F118" i="4" s="1"/>
  <c r="D315" i="4"/>
  <c r="E315" i="4" s="1"/>
  <c r="D431" i="4"/>
  <c r="F431" i="4" s="1"/>
  <c r="D614" i="4"/>
  <c r="E614" i="4" s="1"/>
  <c r="D597" i="4"/>
  <c r="E597" i="4" s="1"/>
  <c r="D389" i="4"/>
  <c r="F389" i="4" s="1"/>
  <c r="D373" i="4"/>
  <c r="E373" i="4" s="1"/>
  <c r="D68" i="4"/>
  <c r="F68" i="4" s="1"/>
  <c r="D365" i="4"/>
  <c r="F365" i="4" s="1"/>
  <c r="D742" i="4"/>
  <c r="E742" i="4" s="1"/>
  <c r="D574" i="4"/>
  <c r="F574" i="4" s="1"/>
  <c r="D589" i="4"/>
  <c r="E589" i="4" s="1"/>
  <c r="D215" i="4"/>
  <c r="E215" i="4" s="1"/>
  <c r="D631" i="4"/>
  <c r="E631" i="4" s="1"/>
  <c r="D241" i="4"/>
  <c r="F241" i="4" s="1"/>
  <c r="D715" i="4"/>
  <c r="F715" i="4" s="1"/>
  <c r="D233" i="4"/>
  <c r="E233" i="4" s="1"/>
  <c r="D334" i="4"/>
  <c r="F334" i="4" s="1"/>
  <c r="D687" i="4"/>
  <c r="E687" i="4" s="1"/>
  <c r="D168" i="4"/>
  <c r="F168" i="4" s="1"/>
  <c r="D191" i="4"/>
  <c r="E191" i="4" s="1"/>
  <c r="D71" i="4"/>
  <c r="E71" i="4" s="1"/>
  <c r="D504" i="4"/>
  <c r="E504" i="4" s="1"/>
  <c r="D458" i="4"/>
  <c r="F458" i="4" s="1"/>
  <c r="D227" i="4"/>
  <c r="F227" i="4" s="1"/>
  <c r="D82" i="4"/>
  <c r="F82" i="4" s="1"/>
  <c r="D679" i="4"/>
  <c r="F679" i="4" s="1"/>
  <c r="D154" i="4"/>
  <c r="F154" i="4" s="1"/>
  <c r="D327" i="4"/>
  <c r="E327" i="4" s="1"/>
  <c r="D240" i="4"/>
  <c r="E240" i="4" s="1"/>
  <c r="D560" i="4"/>
  <c r="F560" i="4" s="1"/>
  <c r="D587" i="4"/>
  <c r="F587" i="4" s="1"/>
  <c r="D867" i="4"/>
  <c r="F867" i="4" s="1"/>
  <c r="D414" i="4"/>
  <c r="F414" i="4" s="1"/>
  <c r="D675" i="4"/>
  <c r="F675" i="4" s="1"/>
  <c r="D634" i="4"/>
  <c r="F634" i="4" s="1"/>
  <c r="D358" i="4"/>
  <c r="F358" i="4" s="1"/>
  <c r="D202" i="4"/>
  <c r="F202" i="4" s="1"/>
  <c r="D527" i="4"/>
  <c r="E527" i="4" s="1"/>
  <c r="D487" i="4"/>
  <c r="E487" i="4" s="1"/>
  <c r="D344" i="4"/>
  <c r="E344" i="4" s="1"/>
  <c r="D304" i="4"/>
  <c r="F304" i="4" s="1"/>
  <c r="D347" i="4"/>
  <c r="E347" i="4" s="1"/>
  <c r="D503" i="4"/>
  <c r="F503" i="4" s="1"/>
  <c r="D540" i="4"/>
  <c r="E540" i="4" s="1"/>
  <c r="D201" i="4"/>
  <c r="F201" i="4" s="1"/>
  <c r="D532" i="4"/>
  <c r="F532" i="4" s="1"/>
  <c r="D380" i="4"/>
  <c r="F380" i="4" s="1"/>
  <c r="D255" i="4"/>
  <c r="F255" i="4" s="1"/>
  <c r="D45" i="4"/>
  <c r="E45" i="4" s="1"/>
  <c r="D413" i="4"/>
  <c r="E413" i="4" s="1"/>
  <c r="D113" i="4"/>
  <c r="E113" i="4" s="1"/>
  <c r="J6" i="4"/>
  <c r="K12" i="6"/>
  <c r="D2464" i="4"/>
  <c r="D320" i="4"/>
  <c r="D329" i="4"/>
  <c r="D53" i="4"/>
  <c r="D296" i="4"/>
  <c r="D612" i="4"/>
  <c r="D311" i="4"/>
  <c r="D152" i="4"/>
  <c r="D650" i="4"/>
  <c r="D479" i="4"/>
  <c r="D341" i="4"/>
  <c r="D207" i="4"/>
  <c r="D95" i="4"/>
  <c r="D142" i="4"/>
  <c r="D49" i="4"/>
  <c r="D516" i="4"/>
  <c r="D29" i="4"/>
  <c r="D256" i="4"/>
  <c r="D572" i="4"/>
  <c r="D287" i="4"/>
  <c r="D136" i="4"/>
  <c r="D626" i="4"/>
  <c r="D472" i="4"/>
  <c r="D326" i="4"/>
  <c r="D199" i="4"/>
  <c r="D88" i="4"/>
  <c r="D134" i="4"/>
  <c r="D41" i="4"/>
  <c r="D354" i="4"/>
  <c r="D535" i="4"/>
  <c r="D217" i="4"/>
  <c r="D520" i="4"/>
  <c r="D271" i="4"/>
  <c r="D96" i="4"/>
  <c r="D603" i="4"/>
  <c r="D464" i="4"/>
  <c r="D318" i="4"/>
  <c r="D183" i="4"/>
  <c r="D58" i="4"/>
  <c r="D126" i="4"/>
  <c r="D17" i="4"/>
  <c r="D366" i="4"/>
  <c r="D19" i="4"/>
  <c r="D388" i="4"/>
  <c r="D119" i="4"/>
  <c r="D174" i="4"/>
  <c r="D239" i="4"/>
  <c r="D291" i="4"/>
  <c r="D505" i="4"/>
  <c r="D193" i="4"/>
  <c r="D488" i="4"/>
  <c r="D232" i="4"/>
  <c r="D67" i="4"/>
  <c r="D595" i="4"/>
  <c r="D435" i="4"/>
  <c r="D310" i="4"/>
  <c r="D175" i="4"/>
  <c r="D50" i="4"/>
  <c r="D110" i="4"/>
  <c r="D335" i="4"/>
  <c r="D511" i="4"/>
  <c r="D349" i="4"/>
  <c r="D111" i="4"/>
  <c r="D150" i="4"/>
  <c r="D57" i="4"/>
  <c r="D91" i="4"/>
  <c r="D116" i="4"/>
  <c r="D466" i="4"/>
  <c r="D153" i="4"/>
  <c r="D421" i="4"/>
  <c r="D224" i="4"/>
  <c r="D59" i="4"/>
  <c r="D571" i="4"/>
  <c r="D412" i="4"/>
  <c r="D278" i="4"/>
  <c r="D159" i="4"/>
  <c r="D26" i="4"/>
  <c r="D81" i="4"/>
  <c r="D947" i="4"/>
  <c r="D55" i="4"/>
  <c r="D429" i="4"/>
  <c r="D89" i="4"/>
  <c r="D397" i="4"/>
  <c r="D192" i="4"/>
  <c r="D43" i="4"/>
  <c r="D563" i="4"/>
  <c r="D396" i="4"/>
  <c r="D270" i="4"/>
  <c r="D127" i="4"/>
  <c r="D18" i="4"/>
  <c r="D73" i="4"/>
  <c r="D756" i="4"/>
  <c r="D359" i="4"/>
  <c r="D52" i="4"/>
  <c r="D176" i="4"/>
  <c r="D555" i="4"/>
  <c r="D247" i="4"/>
  <c r="D65" i="4"/>
  <c r="D462" i="4"/>
  <c r="D138" i="4"/>
  <c r="D643" i="4"/>
  <c r="D160" i="4"/>
  <c r="E480" i="4"/>
  <c r="F806" i="4"/>
  <c r="E1077" i="4"/>
  <c r="F34" i="4"/>
  <c r="F267" i="4"/>
  <c r="E640" i="4"/>
  <c r="F489" i="4"/>
  <c r="F584" i="4"/>
  <c r="E642" i="4"/>
  <c r="E75" i="4"/>
  <c r="E767" i="4"/>
  <c r="E382" i="4"/>
  <c r="F969" i="4"/>
  <c r="F290" i="4"/>
  <c r="F391" i="4"/>
  <c r="E1650" i="4"/>
  <c r="E797" i="4"/>
  <c r="F797" i="4"/>
  <c r="E219" i="4"/>
  <c r="E1731" i="4"/>
  <c r="E1628" i="4"/>
  <c r="E1789" i="4"/>
  <c r="E744" i="4"/>
  <c r="E1166" i="4"/>
  <c r="E828" i="4"/>
  <c r="E1132" i="4"/>
  <c r="E213" i="4"/>
  <c r="E1347" i="4"/>
  <c r="E1356" i="4"/>
  <c r="E55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31" i="4"/>
  <c r="E459" i="4"/>
  <c r="E1662" i="4"/>
  <c r="E1095" i="4"/>
  <c r="E601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047" i="4"/>
  <c r="E2179" i="4"/>
  <c r="E2411" i="4"/>
  <c r="E2123" i="4"/>
  <c r="E340" i="4"/>
  <c r="E1735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2297" i="4"/>
  <c r="E457" i="4"/>
  <c r="E1882" i="4"/>
  <c r="E1222" i="4"/>
  <c r="E1288" i="4"/>
  <c r="E1200" i="4"/>
  <c r="E606" i="4"/>
  <c r="E770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2446" i="4"/>
  <c r="E2424" i="4"/>
  <c r="E1389" i="4"/>
  <c r="E2447" i="4"/>
  <c r="E1397" i="4"/>
  <c r="E2428" i="4"/>
  <c r="E2003" i="4"/>
  <c r="E449" i="4"/>
  <c r="E1659" i="4"/>
  <c r="E956" i="4"/>
  <c r="E583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G32" i="6"/>
  <c r="K17" i="6" s="1"/>
  <c r="E1531" i="4"/>
  <c r="E1932" i="4"/>
  <c r="E2020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91" i="4"/>
  <c r="E2237" i="4"/>
  <c r="E2310" i="4"/>
  <c r="E2245" i="4"/>
  <c r="E1048" i="4"/>
  <c r="E2080" i="4"/>
  <c r="E1297" i="4"/>
  <c r="E903" i="4"/>
  <c r="E189" i="4"/>
  <c r="E434" i="4"/>
  <c r="E517" i="4"/>
  <c r="E416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1508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717" i="4"/>
  <c r="E949" i="4"/>
  <c r="E746" i="4"/>
  <c r="E891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E1462" i="4" l="1"/>
  <c r="F306" i="4"/>
  <c r="E1704" i="4"/>
  <c r="E1623" i="4"/>
  <c r="E2333" i="4"/>
  <c r="E1097" i="4"/>
  <c r="E814" i="4"/>
  <c r="E1588" i="4"/>
  <c r="E1266" i="4"/>
  <c r="E1695" i="4"/>
  <c r="E1923" i="4"/>
  <c r="E2112" i="4"/>
  <c r="E1697" i="4"/>
  <c r="E2109" i="4"/>
  <c r="E2422" i="4"/>
  <c r="E2500" i="4"/>
  <c r="E834" i="4"/>
  <c r="E2352" i="4"/>
  <c r="E2435" i="4"/>
  <c r="E447" i="4"/>
  <c r="E2105" i="4"/>
  <c r="E1985" i="4"/>
  <c r="E2509" i="4"/>
  <c r="E1989" i="4"/>
  <c r="E1591" i="4"/>
  <c r="E1570" i="4"/>
  <c r="E2187" i="4"/>
  <c r="E2262" i="4"/>
  <c r="E198" i="4"/>
  <c r="E1394" i="4"/>
  <c r="E942" i="4"/>
  <c r="E368" i="4"/>
  <c r="E496" i="4"/>
  <c r="F295" i="4"/>
  <c r="E2001" i="4"/>
  <c r="E2309" i="4"/>
  <c r="E182" i="4"/>
  <c r="E1153" i="4"/>
  <c r="E1963" i="4"/>
  <c r="E2217" i="4"/>
  <c r="E699" i="4"/>
  <c r="E1949" i="4"/>
  <c r="E2055" i="4"/>
  <c r="E2234" i="4"/>
  <c r="E1562" i="4"/>
  <c r="E719" i="4"/>
  <c r="E1957" i="4"/>
  <c r="E2126" i="4"/>
  <c r="E2073" i="4"/>
  <c r="E1998" i="4"/>
  <c r="E2095" i="4"/>
  <c r="E2110" i="4"/>
  <c r="E2181" i="4"/>
  <c r="E1454" i="4"/>
  <c r="E2356" i="4"/>
  <c r="E2065" i="4"/>
  <c r="E1512" i="4"/>
  <c r="E1037" i="4"/>
  <c r="E2351" i="4"/>
  <c r="E2366" i="4"/>
  <c r="E2431" i="4"/>
  <c r="E1346" i="4"/>
  <c r="E2467" i="4"/>
  <c r="E2317" i="4"/>
  <c r="E2413" i="4"/>
  <c r="E2263" i="4"/>
  <c r="E2013" i="4"/>
  <c r="E2048" i="4"/>
  <c r="E226" i="4"/>
  <c r="E2146" i="4"/>
  <c r="E2287" i="4"/>
  <c r="E1679" i="4"/>
  <c r="E2427" i="4"/>
  <c r="F171" i="4"/>
  <c r="E2078" i="4"/>
  <c r="E1355" i="4"/>
  <c r="E1852" i="4"/>
  <c r="E2357" i="4"/>
  <c r="E1052" i="4"/>
  <c r="E2415" i="4"/>
  <c r="F692" i="4"/>
  <c r="E2385" i="4"/>
  <c r="E2030" i="4"/>
  <c r="E1278" i="4"/>
  <c r="E591" i="4"/>
  <c r="E2324" i="4"/>
  <c r="F272" i="4"/>
  <c r="E338" i="4"/>
  <c r="E1406" i="4"/>
  <c r="E2024" i="4"/>
  <c r="E2191" i="4"/>
  <c r="E2133" i="4"/>
  <c r="E1546" i="4"/>
  <c r="E1648" i="4"/>
  <c r="E2360" i="4"/>
  <c r="E2316" i="4"/>
  <c r="E2238" i="4"/>
  <c r="E771" i="4"/>
  <c r="E475" i="4"/>
  <c r="E2371" i="4"/>
  <c r="E2426" i="4"/>
  <c r="E2015" i="4"/>
  <c r="E2320" i="4"/>
  <c r="E1727" i="4"/>
  <c r="E2040" i="4"/>
  <c r="E2177" i="4"/>
  <c r="E1980" i="4"/>
  <c r="E1120" i="4"/>
  <c r="E121" i="4"/>
  <c r="E2395" i="4"/>
  <c r="E2400" i="4"/>
  <c r="E1583" i="4"/>
  <c r="E63" i="4"/>
  <c r="E2328" i="4"/>
  <c r="E2208" i="4"/>
  <c r="E868" i="4"/>
  <c r="E1984" i="4"/>
  <c r="E1523" i="4"/>
  <c r="E1927" i="4"/>
  <c r="E2388" i="4"/>
  <c r="E2268" i="4"/>
  <c r="E2375" i="4"/>
  <c r="E2017" i="4"/>
  <c r="E2369" i="4"/>
  <c r="E1210" i="4"/>
  <c r="E2308" i="4"/>
  <c r="E2119" i="4"/>
  <c r="E2355" i="4"/>
  <c r="E1896" i="4"/>
  <c r="E2512" i="4"/>
  <c r="E1586" i="4"/>
  <c r="E2445" i="4"/>
  <c r="E2318" i="4"/>
  <c r="E2482" i="4"/>
  <c r="E1593" i="4"/>
  <c r="E1774" i="4"/>
  <c r="E2453" i="4"/>
  <c r="E104" i="4"/>
  <c r="E2386" i="4"/>
  <c r="E2227" i="4"/>
  <c r="E1791" i="4"/>
  <c r="E2188" i="4"/>
  <c r="E2173" i="4"/>
  <c r="E2311" i="4"/>
  <c r="E2513" i="4"/>
  <c r="E2164" i="4"/>
  <c r="E1688" i="4"/>
  <c r="E187" i="4"/>
  <c r="E2452" i="4"/>
  <c r="E705" i="4"/>
  <c r="E1085" i="4"/>
  <c r="E1444" i="4"/>
  <c r="E117" i="4"/>
  <c r="E2221" i="4"/>
  <c r="E1991" i="4"/>
  <c r="E1673" i="4"/>
  <c r="E2176" i="4"/>
  <c r="E2121" i="4"/>
  <c r="E2326" i="4"/>
  <c r="E300" i="4"/>
  <c r="E2475" i="4"/>
  <c r="E2103" i="4"/>
  <c r="E2407" i="4"/>
  <c r="E1868" i="4"/>
  <c r="E298" i="4"/>
  <c r="E2260" i="4"/>
  <c r="E2370" i="4"/>
  <c r="E649" i="4"/>
  <c r="F819" i="4"/>
  <c r="E2515" i="4"/>
  <c r="E2341" i="4"/>
  <c r="E1365" i="4"/>
  <c r="E2223" i="4"/>
  <c r="E2088" i="4"/>
  <c r="E1787" i="4"/>
  <c r="E2290" i="4"/>
  <c r="E1745" i="4"/>
  <c r="E1915" i="4"/>
  <c r="E1609" i="4"/>
  <c r="E1403" i="4"/>
  <c r="E2419" i="4"/>
  <c r="E1618" i="4"/>
  <c r="E2213" i="4"/>
  <c r="E1655" i="4"/>
  <c r="E1838" i="4"/>
  <c r="E86" i="4"/>
  <c r="E2149" i="4"/>
  <c r="E1049" i="4"/>
  <c r="E2219" i="4"/>
  <c r="E853" i="4"/>
  <c r="E2408" i="4"/>
  <c r="E1870" i="4"/>
  <c r="E1975" i="4"/>
  <c r="E2028" i="4"/>
  <c r="E2147" i="4"/>
  <c r="E2264" i="4"/>
  <c r="E1703" i="4"/>
  <c r="E2118" i="4"/>
  <c r="E2153" i="4"/>
  <c r="E2097" i="4"/>
  <c r="E2304" i="4"/>
  <c r="E1402" i="4"/>
  <c r="E697" i="4"/>
  <c r="E534" i="4"/>
  <c r="F1342" i="4"/>
  <c r="E115" i="4"/>
  <c r="E2421" i="4"/>
  <c r="E2377" i="4"/>
  <c r="E1907" i="4"/>
  <c r="E1845" i="4"/>
  <c r="E2344" i="4"/>
  <c r="E428" i="4"/>
  <c r="E860" i="4"/>
  <c r="E596" i="4"/>
  <c r="E1631" i="4"/>
  <c r="E2402" i="4"/>
  <c r="E1640" i="4"/>
  <c r="E1235" i="4"/>
  <c r="E266" i="4"/>
  <c r="E2396" i="4"/>
  <c r="E284" i="4"/>
  <c r="E2339" i="4"/>
  <c r="E1790" i="4"/>
  <c r="E2374" i="4"/>
  <c r="E2182" i="4"/>
  <c r="E2243" i="4"/>
  <c r="E2466" i="4"/>
  <c r="E1741" i="4"/>
  <c r="E2457" i="4"/>
  <c r="E2022" i="4"/>
  <c r="E2128" i="4"/>
  <c r="F188" i="4"/>
  <c r="E579" i="4"/>
  <c r="E2045" i="4"/>
  <c r="E1622" i="4"/>
  <c r="E1046" i="4"/>
  <c r="E2358" i="4"/>
  <c r="E1229" i="4"/>
  <c r="E2011" i="4"/>
  <c r="E2412" i="4"/>
  <c r="E2134" i="4"/>
  <c r="E1412" i="4"/>
  <c r="E1147" i="4"/>
  <c r="E2148" i="4"/>
  <c r="E2454" i="4"/>
  <c r="E782" i="4"/>
  <c r="E2354" i="4"/>
  <c r="E1967" i="4"/>
  <c r="E186" i="4"/>
  <c r="E695" i="4"/>
  <c r="E54" i="4"/>
  <c r="E2368" i="4"/>
  <c r="E1936" i="4"/>
  <c r="E2327" i="4"/>
  <c r="E1381" i="4"/>
  <c r="E1752" i="4"/>
  <c r="E1713" i="4"/>
  <c r="E1498" i="4"/>
  <c r="E827" i="4"/>
  <c r="E1939" i="4"/>
  <c r="E1830" i="4"/>
  <c r="E2131" i="4"/>
  <c r="E1783" i="4"/>
  <c r="E2504" i="4"/>
  <c r="E2362" i="4"/>
  <c r="E961" i="4"/>
  <c r="E2494" i="4"/>
  <c r="F374" i="4"/>
  <c r="E70" i="4"/>
  <c r="E371" i="4"/>
  <c r="E962" i="4"/>
  <c r="E2218" i="4"/>
  <c r="E1804" i="4"/>
  <c r="E2127" i="4"/>
  <c r="E2076" i="4"/>
  <c r="E2343" i="4"/>
  <c r="E1782" i="4"/>
  <c r="E2292" i="4"/>
  <c r="E2473" i="4"/>
  <c r="E2185" i="4"/>
  <c r="E780" i="4"/>
  <c r="E2220" i="4"/>
  <c r="E363" i="4"/>
  <c r="E2478" i="4"/>
  <c r="E654" i="4"/>
  <c r="E46" i="4"/>
  <c r="E2233" i="4"/>
  <c r="E2137" i="4"/>
  <c r="E1197" i="4"/>
  <c r="F1485" i="4"/>
  <c r="F662" i="4"/>
  <c r="E2157" i="4"/>
  <c r="E2210" i="4"/>
  <c r="E2373" i="4"/>
  <c r="E1647" i="4"/>
  <c r="E1739" i="4"/>
  <c r="E1616" i="4"/>
  <c r="E324" i="4"/>
  <c r="E1781" i="4"/>
  <c r="E2280" i="4"/>
  <c r="E2325" i="4"/>
  <c r="E1134" i="4"/>
  <c r="E2130" i="4"/>
  <c r="E2282" i="4"/>
  <c r="E1237" i="4"/>
  <c r="E430" i="4"/>
  <c r="E1920" i="4"/>
  <c r="E2135" i="4"/>
  <c r="E1608" i="4"/>
  <c r="E2014" i="4"/>
  <c r="E562" i="4"/>
  <c r="E1136" i="4"/>
  <c r="E1946" i="4"/>
  <c r="E2376" i="4"/>
  <c r="E1994" i="4"/>
  <c r="E1027" i="4"/>
  <c r="E2033" i="4"/>
  <c r="E2405" i="4"/>
  <c r="E2072" i="4"/>
  <c r="E2499" i="4"/>
  <c r="E2205" i="4"/>
  <c r="E1775" i="4"/>
  <c r="E1348" i="4"/>
  <c r="E2226" i="4"/>
  <c r="E498" i="4"/>
  <c r="F691" i="4"/>
  <c r="E38" i="4"/>
  <c r="E2379" i="4"/>
  <c r="E2241" i="4"/>
  <c r="E941" i="4"/>
  <c r="E1784" i="4"/>
  <c r="E2174" i="4"/>
  <c r="E2154" i="4"/>
  <c r="E2193" i="4"/>
  <c r="E1841" i="4"/>
  <c r="E2194" i="4"/>
  <c r="E2265" i="4"/>
  <c r="E1227" i="4"/>
  <c r="E385" i="4"/>
  <c r="E2420" i="4"/>
  <c r="E1810" i="4"/>
  <c r="E1962" i="4"/>
  <c r="E2235" i="4"/>
  <c r="E1968" i="4"/>
  <c r="E2259" i="4"/>
  <c r="E2511" i="4"/>
  <c r="E2129" i="4"/>
  <c r="E1519" i="4"/>
  <c r="E2323" i="4"/>
  <c r="E2169" i="4"/>
  <c r="E2372" i="4"/>
  <c r="E2251" i="4"/>
  <c r="E1696" i="4"/>
  <c r="E796" i="4"/>
  <c r="E1988" i="4"/>
  <c r="E1119" i="4"/>
  <c r="E1958" i="4"/>
  <c r="E716" i="4"/>
  <c r="E2059" i="4"/>
  <c r="E2381" i="4"/>
  <c r="E529" i="4"/>
  <c r="E2437" i="4"/>
  <c r="E1931" i="4"/>
  <c r="E559" i="4"/>
  <c r="E331" i="4"/>
  <c r="E2186" i="4"/>
  <c r="E1516" i="4"/>
  <c r="E615" i="4"/>
  <c r="E448" i="4"/>
  <c r="F273" i="4"/>
  <c r="E2035" i="4"/>
  <c r="E1823" i="4"/>
  <c r="E2000" i="4"/>
  <c r="E570" i="4"/>
  <c r="E149" i="4"/>
  <c r="E485" i="4"/>
  <c r="F794" i="4"/>
  <c r="E2299" i="4"/>
  <c r="E1976" i="4"/>
  <c r="E839" i="4"/>
  <c r="E330" i="4"/>
  <c r="E637" i="4"/>
  <c r="F1254" i="4"/>
  <c r="E251" i="4"/>
  <c r="E987" i="4"/>
  <c r="E509" i="4"/>
  <c r="E1205" i="4"/>
  <c r="E1220" i="4"/>
  <c r="E759" i="4"/>
  <c r="E2480" i="4"/>
  <c r="E1440" i="4"/>
  <c r="E779" i="4"/>
  <c r="E1263" i="4"/>
  <c r="F484" i="4"/>
  <c r="E645" i="4"/>
  <c r="E686" i="4"/>
  <c r="E1141" i="4"/>
  <c r="E740" i="4"/>
  <c r="E44" i="4"/>
  <c r="E24" i="4"/>
  <c r="E309" i="4"/>
  <c r="E727" i="4"/>
  <c r="E289" i="4"/>
  <c r="E1836" i="4"/>
  <c r="E427" i="4"/>
  <c r="E408" i="4"/>
  <c r="E210" i="4"/>
  <c r="E1698" i="4"/>
  <c r="E2465" i="4"/>
  <c r="E707" i="4"/>
  <c r="E636" i="4"/>
  <c r="E260" i="4"/>
  <c r="F425" i="4"/>
  <c r="E417" i="4"/>
  <c r="F933" i="4"/>
  <c r="E510" i="4"/>
  <c r="E1424" i="4"/>
  <c r="E630" i="4"/>
  <c r="E305" i="4"/>
  <c r="E728" i="4"/>
  <c r="E1155" i="4"/>
  <c r="E1614" i="4"/>
  <c r="E680" i="4"/>
  <c r="E1431" i="4"/>
  <c r="E1613" i="4"/>
  <c r="F72" i="4"/>
  <c r="E667" i="4"/>
  <c r="E392" i="4"/>
  <c r="E172" i="4"/>
  <c r="E805" i="4"/>
  <c r="F77" i="4"/>
  <c r="E101" i="4"/>
  <c r="E1035" i="4"/>
  <c r="E736" i="4"/>
  <c r="E162" i="4"/>
  <c r="E1030" i="4"/>
  <c r="E1079" i="4"/>
  <c r="E1832" i="4"/>
  <c r="E1756" i="4"/>
  <c r="F811" i="4"/>
  <c r="F164" i="4"/>
  <c r="F137" i="4"/>
  <c r="E250" i="4"/>
  <c r="F249" i="4"/>
  <c r="E178" i="4"/>
  <c r="E605" i="4"/>
  <c r="E1130" i="4"/>
  <c r="E849" i="4"/>
  <c r="E545" i="4"/>
  <c r="E1277" i="4"/>
  <c r="E1093" i="4"/>
  <c r="E818" i="4"/>
  <c r="E1476" i="4"/>
  <c r="E1269" i="4"/>
  <c r="F515" i="4"/>
  <c r="E401" i="4"/>
  <c r="F407" i="4"/>
  <c r="E130" i="4"/>
  <c r="E821" i="4"/>
  <c r="E1599" i="4"/>
  <c r="E913" i="4"/>
  <c r="E1129" i="4"/>
  <c r="E924" i="4"/>
  <c r="F279" i="4"/>
  <c r="F845" i="4"/>
  <c r="E328" i="4"/>
  <c r="E1501" i="4"/>
  <c r="E1145" i="4"/>
  <c r="E1033" i="4"/>
  <c r="E1721" i="4"/>
  <c r="E568" i="4"/>
  <c r="E846" i="4"/>
  <c r="E147" i="4"/>
  <c r="E1860" i="4"/>
  <c r="E405" i="4"/>
  <c r="E847" i="4"/>
  <c r="E1202" i="4"/>
  <c r="E360" i="4"/>
  <c r="E1021" i="4"/>
  <c r="E364" i="4"/>
  <c r="F726" i="4"/>
  <c r="E576" i="4"/>
  <c r="E1053" i="4"/>
  <c r="F184" i="4"/>
  <c r="E206" i="4"/>
  <c r="E2490" i="4"/>
  <c r="E1527" i="4"/>
  <c r="E1233" i="4"/>
  <c r="E1439" i="4"/>
  <c r="E1005" i="4"/>
  <c r="E1367" i="4"/>
  <c r="E894" i="4"/>
  <c r="E432" i="4"/>
  <c r="F875" i="4"/>
  <c r="E332" i="4"/>
  <c r="E323" i="4"/>
  <c r="E989" i="4"/>
  <c r="E832" i="4"/>
  <c r="E1128" i="4"/>
  <c r="E277" i="4"/>
  <c r="E1101" i="4"/>
  <c r="E523" i="4"/>
  <c r="E143" i="4"/>
  <c r="E419" i="4"/>
  <c r="E638" i="4"/>
  <c r="E351" i="4"/>
  <c r="E367" i="4"/>
  <c r="E1420" i="4"/>
  <c r="E2460" i="4"/>
  <c r="E955" i="4"/>
  <c r="E774" i="4"/>
  <c r="E502" i="4"/>
  <c r="E2434" i="4"/>
  <c r="E765" i="4"/>
  <c r="E125" i="4"/>
  <c r="E2303" i="4"/>
  <c r="E461" i="4"/>
  <c r="F69" i="4"/>
  <c r="E548" i="4"/>
  <c r="F200" i="4"/>
  <c r="E1706" i="4"/>
  <c r="E196" i="4"/>
  <c r="E882" i="4"/>
  <c r="F463" i="4"/>
  <c r="E1970" i="4"/>
  <c r="E1621" i="4"/>
  <c r="E776" i="4"/>
  <c r="E557" i="4"/>
  <c r="E2439" i="4"/>
  <c r="E627" i="4"/>
  <c r="E1031" i="4"/>
  <c r="E547" i="4"/>
  <c r="E803" i="4"/>
  <c r="F307" i="4"/>
  <c r="E403" i="4"/>
  <c r="E1580" i="4"/>
  <c r="E1083" i="4"/>
  <c r="E835" i="4"/>
  <c r="E904" i="4"/>
  <c r="F859" i="4"/>
  <c r="E861" i="4"/>
  <c r="E169" i="4"/>
  <c r="E641" i="4"/>
  <c r="E552" i="4"/>
  <c r="E303" i="4"/>
  <c r="E1432" i="4"/>
  <c r="E677" i="4"/>
  <c r="E784" i="4"/>
  <c r="E700" i="4"/>
  <c r="E2455" i="4"/>
  <c r="E909" i="4"/>
  <c r="E1550" i="4"/>
  <c r="E486" i="4"/>
  <c r="E1482" i="4"/>
  <c r="E1875" i="4"/>
  <c r="E1102" i="4"/>
  <c r="E708" i="4"/>
  <c r="E813" i="4"/>
  <c r="F678" i="4"/>
  <c r="F268" i="4"/>
  <c r="E609" i="4"/>
  <c r="E663" i="4"/>
  <c r="E1558" i="4"/>
  <c r="F1364" i="4"/>
  <c r="F580" i="4"/>
  <c r="F657" i="4"/>
  <c r="E1493" i="4"/>
  <c r="E2261" i="4"/>
  <c r="E1802" i="4"/>
  <c r="E918" i="4"/>
  <c r="E2083" i="4"/>
  <c r="E1230" i="4"/>
  <c r="E47" i="4"/>
  <c r="E322" i="4"/>
  <c r="E758" i="4"/>
  <c r="E1285" i="4"/>
  <c r="E1003" i="4"/>
  <c r="E954" i="4"/>
  <c r="E632" i="4"/>
  <c r="E2378" i="4"/>
  <c r="E672" i="4"/>
  <c r="E2272" i="4"/>
  <c r="E841" i="4"/>
  <c r="E1264" i="4"/>
  <c r="F490" i="4"/>
  <c r="E342" i="4"/>
  <c r="E218" i="4"/>
  <c r="E185" i="4"/>
  <c r="F294" i="4"/>
  <c r="E600" i="4"/>
  <c r="E1150" i="4"/>
  <c r="E2021" i="4"/>
  <c r="E1492" i="4"/>
  <c r="E439" i="4"/>
  <c r="E2190" i="4"/>
  <c r="E593" i="4"/>
  <c r="E670" i="4"/>
  <c r="F731" i="4"/>
  <c r="E869" i="4"/>
  <c r="E934" i="4"/>
  <c r="E1274" i="4"/>
  <c r="E567" i="4"/>
  <c r="F739" i="4"/>
  <c r="E1427" i="4"/>
  <c r="E426" i="4"/>
  <c r="E885" i="4"/>
  <c r="E2184" i="4"/>
  <c r="E2025" i="4"/>
  <c r="E974" i="4"/>
  <c r="E61" i="4"/>
  <c r="E84" i="4"/>
  <c r="E400" i="4"/>
  <c r="E381" i="4"/>
  <c r="E445" i="4"/>
  <c r="F195" i="4"/>
  <c r="E940" i="4"/>
  <c r="E1398" i="4"/>
  <c r="E1255" i="4"/>
  <c r="E712" i="4"/>
  <c r="F209" i="4"/>
  <c r="E37" i="4"/>
  <c r="F493" i="4"/>
  <c r="E235" i="4"/>
  <c r="E410" i="4"/>
  <c r="E437" i="4"/>
  <c r="E556" i="4"/>
  <c r="F265" i="4"/>
  <c r="F145" i="4"/>
  <c r="F495" i="4"/>
  <c r="E917" i="4"/>
  <c r="E286" i="4"/>
  <c r="F100" i="4"/>
  <c r="E2250" i="4"/>
  <c r="E40" i="4"/>
  <c r="E225" i="4"/>
  <c r="E112" i="4"/>
  <c r="F433" i="4"/>
  <c r="E1797" i="4"/>
  <c r="E599" i="4"/>
  <c r="F747" i="4"/>
  <c r="F398" i="4"/>
  <c r="F538" i="4"/>
  <c r="E274" i="4"/>
  <c r="E1360" i="4"/>
  <c r="E1339" i="4"/>
  <c r="E1755" i="4"/>
  <c r="F957" i="4"/>
  <c r="E39" i="4"/>
  <c r="F525" i="4"/>
  <c r="F406" i="4"/>
  <c r="E242" i="4"/>
  <c r="E2459" i="4"/>
  <c r="E703" i="4"/>
  <c r="E1291" i="4"/>
  <c r="E2470" i="4"/>
  <c r="E775" i="4"/>
  <c r="E644" i="4"/>
  <c r="F1039" i="4"/>
  <c r="E478" i="4"/>
  <c r="E441" i="4"/>
  <c r="E395" i="4"/>
  <c r="E1467" i="4"/>
  <c r="E2393" i="4"/>
  <c r="E1973" i="4"/>
  <c r="E2253" i="4"/>
  <c r="F616" i="4"/>
  <c r="E1058" i="4"/>
  <c r="E981" i="4"/>
  <c r="F231" i="4"/>
  <c r="E967" i="4"/>
  <c r="E624" i="4"/>
  <c r="E585" i="4"/>
  <c r="F314" i="4"/>
  <c r="E302" i="4"/>
  <c r="E876" i="4"/>
  <c r="E1603" i="4"/>
  <c r="E180" i="4"/>
  <c r="E2477" i="4"/>
  <c r="E102" i="4"/>
  <c r="E1075" i="4"/>
  <c r="F621" i="4"/>
  <c r="E456" i="4"/>
  <c r="E2319" i="4"/>
  <c r="E822" i="4"/>
  <c r="E2479" i="4"/>
  <c r="E964" i="4"/>
  <c r="E781" i="4"/>
  <c r="E1887" i="4"/>
  <c r="E221" i="4"/>
  <c r="F1026" i="4"/>
  <c r="E608" i="4"/>
  <c r="E1497" i="4"/>
  <c r="E1819" i="4"/>
  <c r="E2487" i="4"/>
  <c r="E336" i="4"/>
  <c r="E415" i="4"/>
  <c r="E1350" i="4"/>
  <c r="E1094" i="4"/>
  <c r="E2198" i="4"/>
  <c r="E1301" i="4"/>
  <c r="E1282" i="4"/>
  <c r="E1217" i="4"/>
  <c r="F795" i="4"/>
  <c r="F455" i="4"/>
  <c r="E768" i="4"/>
  <c r="E146" i="4"/>
  <c r="E454" i="4"/>
  <c r="E474" i="4"/>
  <c r="E1867" i="4"/>
  <c r="E245" i="4"/>
  <c r="E965" i="4"/>
  <c r="E128" i="4"/>
  <c r="E181" i="4"/>
  <c r="E1473" i="4"/>
  <c r="E301" i="4"/>
  <c r="E854" i="4"/>
  <c r="E1812" i="4"/>
  <c r="E2498" i="4"/>
  <c r="E375" i="4"/>
  <c r="E2305" i="4"/>
  <c r="E1138" i="4"/>
  <c r="F852" i="4"/>
  <c r="E996" i="4"/>
  <c r="E253" i="4"/>
  <c r="E494" i="4"/>
  <c r="E743" i="4"/>
  <c r="E177" i="4"/>
  <c r="E297" i="4"/>
  <c r="F629" i="4"/>
  <c r="E639" i="4"/>
  <c r="F264" i="4"/>
  <c r="F613" i="4"/>
  <c r="E611" i="4"/>
  <c r="E1684" i="4"/>
  <c r="E2449" i="4"/>
  <c r="F944" i="4"/>
  <c r="E440" i="4"/>
  <c r="E2041" i="4"/>
  <c r="E960" i="4"/>
  <c r="E292" i="4"/>
  <c r="E355" i="4"/>
  <c r="G29" i="6"/>
  <c r="K14" i="6" s="1"/>
  <c r="E1341" i="4"/>
  <c r="E932" i="4"/>
  <c r="E741" i="4"/>
  <c r="E103" i="4"/>
  <c r="F685" i="4"/>
  <c r="E122" i="4"/>
  <c r="E312" i="4"/>
  <c r="E620" i="4"/>
  <c r="E1099" i="4"/>
  <c r="E950" i="4"/>
  <c r="E1352" i="4"/>
  <c r="E628" i="4"/>
  <c r="E676" i="4"/>
  <c r="E910" i="4"/>
  <c r="E243" i="4"/>
  <c r="E646" i="4"/>
  <c r="E107" i="4"/>
  <c r="E1024" i="4"/>
  <c r="F512" i="4"/>
  <c r="F411" i="4"/>
  <c r="E56" i="4"/>
  <c r="E542" i="4"/>
  <c r="F789" i="4"/>
  <c r="F564" i="4"/>
  <c r="F16" i="4"/>
  <c r="F151" i="4"/>
  <c r="E25" i="4"/>
  <c r="E80" i="4"/>
  <c r="E541" i="4"/>
  <c r="E190" i="4"/>
  <c r="G33" i="6"/>
  <c r="K18" i="6" s="1"/>
  <c r="E518" i="4"/>
  <c r="E826" i="4"/>
  <c r="E1566" i="4"/>
  <c r="E1634" i="4"/>
  <c r="E738" i="4"/>
  <c r="F1253" i="4"/>
  <c r="E288" i="4"/>
  <c r="E1468" i="4"/>
  <c r="E211" i="4"/>
  <c r="E912" i="4"/>
  <c r="E394" i="4"/>
  <c r="E500" i="4"/>
  <c r="F1168" i="4"/>
  <c r="E93" i="4"/>
  <c r="E701" i="4"/>
  <c r="E2136" i="4"/>
  <c r="E877" i="4"/>
  <c r="E1245" i="4"/>
  <c r="E2472" i="4"/>
  <c r="E179" i="4"/>
  <c r="E1149" i="4"/>
  <c r="G28" i="6"/>
  <c r="K13" i="6" s="1"/>
  <c r="E694" i="4"/>
  <c r="E1827" i="4"/>
  <c r="E2005" i="4"/>
  <c r="E1349" i="4"/>
  <c r="E85" i="4"/>
  <c r="E1023" i="4"/>
  <c r="E1578" i="4"/>
  <c r="E870" i="4"/>
  <c r="E1382" i="4"/>
  <c r="E684" i="4"/>
  <c r="F734" i="4"/>
  <c r="F108" i="4"/>
  <c r="F316" i="4"/>
  <c r="E148" i="4"/>
  <c r="F369" i="4"/>
  <c r="E383" i="4"/>
  <c r="E966" i="4"/>
  <c r="E931" i="4"/>
  <c r="E319" i="4"/>
  <c r="E208" i="4"/>
  <c r="E450" i="4"/>
  <c r="F74" i="4"/>
  <c r="E1383" i="4"/>
  <c r="E1144" i="4"/>
  <c r="E838" i="4"/>
  <c r="E2155" i="4"/>
  <c r="E760" i="4"/>
  <c r="G30" i="6"/>
  <c r="K15" i="6" s="1"/>
  <c r="J9" i="4" s="1"/>
  <c r="E905" i="4"/>
  <c r="E2091" i="4"/>
  <c r="E669" i="4"/>
  <c r="E1391" i="4"/>
  <c r="E229" i="4"/>
  <c r="E1369" i="4"/>
  <c r="E1225" i="4"/>
  <c r="E656" i="4"/>
  <c r="E879" i="4"/>
  <c r="E1824" i="4"/>
  <c r="E1763" i="4"/>
  <c r="E476" i="4"/>
  <c r="F718" i="4"/>
  <c r="E422" i="4"/>
  <c r="F513" i="4"/>
  <c r="E451" i="4"/>
  <c r="F377" i="4"/>
  <c r="E842" i="4"/>
  <c r="E87" i="4"/>
  <c r="E424" i="4"/>
  <c r="G34" i="6"/>
  <c r="K19" i="6" s="1"/>
  <c r="E648" i="4"/>
  <c r="E840" i="4"/>
  <c r="E1028" i="4"/>
  <c r="E561" i="4"/>
  <c r="E1204" i="4"/>
  <c r="E2506" i="4"/>
  <c r="E751" i="4"/>
  <c r="E844" i="4"/>
  <c r="F460" i="4"/>
  <c r="E843" i="4"/>
  <c r="E661" i="4"/>
  <c r="E378" i="4"/>
  <c r="F497" i="4"/>
  <c r="E90" i="4"/>
  <c r="E681" i="4"/>
  <c r="F244" i="4"/>
  <c r="E899" i="4"/>
  <c r="E1067" i="4"/>
  <c r="E1748" i="4"/>
  <c r="E2161" i="4"/>
  <c r="E2242" i="4"/>
  <c r="F883" i="4"/>
  <c r="E275" i="4"/>
  <c r="F575" i="4"/>
  <c r="F129" i="4"/>
  <c r="E321" i="4"/>
  <c r="F155" i="4"/>
  <c r="E902" i="4"/>
  <c r="E1270" i="4"/>
  <c r="E361" i="4"/>
  <c r="E420" i="4"/>
  <c r="E339" i="4"/>
  <c r="E939" i="4"/>
  <c r="E1595" i="4"/>
  <c r="E170" i="4"/>
  <c r="E668" i="4"/>
  <c r="F683" i="4"/>
  <c r="E2139" i="4"/>
  <c r="E97" i="4"/>
  <c r="E590" i="4"/>
  <c r="E194" i="4"/>
  <c r="F42" i="4"/>
  <c r="E655" i="4"/>
  <c r="E682" i="4"/>
  <c r="E925" i="4"/>
  <c r="F51" i="4"/>
  <c r="E404" i="4"/>
  <c r="F33" i="4"/>
  <c r="F28" i="4"/>
  <c r="F114" i="4"/>
  <c r="E1839" i="4"/>
  <c r="E2448" i="4"/>
  <c r="E372" i="4"/>
  <c r="E664" i="4"/>
  <c r="F816" i="4"/>
  <c r="E418" i="4"/>
  <c r="E228" i="4"/>
  <c r="E79" i="4"/>
  <c r="F390" i="4"/>
  <c r="E893" i="4"/>
  <c r="F204" i="4"/>
  <c r="E352" i="4"/>
  <c r="E2012" i="4"/>
  <c r="E1335" i="4"/>
  <c r="E1050" i="4"/>
  <c r="E1965" i="4"/>
  <c r="E916" i="4"/>
  <c r="F285" i="4"/>
  <c r="F293" i="4"/>
  <c r="F810" i="4"/>
  <c r="E1116" i="4"/>
  <c r="E35" i="4"/>
  <c r="E259" i="4"/>
  <c r="F536" i="4"/>
  <c r="F140" i="4"/>
  <c r="E1338" i="4"/>
  <c r="E157" i="4"/>
  <c r="E582" i="4"/>
  <c r="E167" i="4"/>
  <c r="E1377" i="4"/>
  <c r="E257" i="4"/>
  <c r="F443" i="4"/>
  <c r="E158" i="4"/>
  <c r="E258" i="4"/>
  <c r="E895" i="4"/>
  <c r="E123" i="4"/>
  <c r="E1954" i="4"/>
  <c r="E730" i="4"/>
  <c r="E1642" i="4"/>
  <c r="E506" i="4"/>
  <c r="E384" i="4"/>
  <c r="E652" i="4"/>
  <c r="E473" i="4"/>
  <c r="F423" i="4"/>
  <c r="E36" i="4"/>
  <c r="F370" i="4"/>
  <c r="E131" i="4"/>
  <c r="E732" i="4"/>
  <c r="E1676" i="4"/>
  <c r="F766" i="4"/>
  <c r="E317" i="4"/>
  <c r="E234" i="4"/>
  <c r="F619" i="4"/>
  <c r="E387" i="4"/>
  <c r="E829" i="4"/>
  <c r="F216" i="4"/>
  <c r="F1172" i="4"/>
  <c r="E20" i="4"/>
  <c r="F653" i="4"/>
  <c r="E444" i="4"/>
  <c r="E539" i="4"/>
  <c r="E1002" i="4"/>
  <c r="E749" i="4"/>
  <c r="E788" i="4"/>
  <c r="E276" i="4"/>
  <c r="E857" i="4"/>
  <c r="E1481" i="4"/>
  <c r="F120" i="4"/>
  <c r="E477" i="4"/>
  <c r="F135" i="4"/>
  <c r="F481" i="4"/>
  <c r="E32" i="4"/>
  <c r="E992" i="4"/>
  <c r="E2295" i="4"/>
  <c r="F105" i="4"/>
  <c r="E702" i="4"/>
  <c r="E1777" i="4"/>
  <c r="E501" i="4"/>
  <c r="E492" i="4"/>
  <c r="E720" i="4"/>
  <c r="E750" i="4"/>
  <c r="E1794" i="4"/>
  <c r="E886" i="4"/>
  <c r="F979" i="4"/>
  <c r="F551" i="4"/>
  <c r="E521" i="4"/>
  <c r="E1327" i="4"/>
  <c r="F60" i="4"/>
  <c r="E465" i="4"/>
  <c r="E1966" i="4"/>
  <c r="F1507" i="4"/>
  <c r="F98" i="4"/>
  <c r="E1152" i="4"/>
  <c r="E163" i="4"/>
  <c r="F109" i="4"/>
  <c r="F790" i="4"/>
  <c r="E598" i="4"/>
  <c r="E1084" i="4"/>
  <c r="F299" i="4"/>
  <c r="E173" i="4"/>
  <c r="E711" i="4"/>
  <c r="F519" i="4"/>
  <c r="E350" i="4"/>
  <c r="E1924" i="4"/>
  <c r="E144" i="4"/>
  <c r="E923" i="4"/>
  <c r="F66" i="4"/>
  <c r="E356" i="4"/>
  <c r="E1535" i="4"/>
  <c r="F742" i="4"/>
  <c r="F647" i="4"/>
  <c r="F315" i="4"/>
  <c r="E223" i="4"/>
  <c r="E581" i="4"/>
  <c r="F980" i="4"/>
  <c r="E21" i="4"/>
  <c r="E1131" i="4"/>
  <c r="E503" i="4"/>
  <c r="E1088" i="4"/>
  <c r="E604" i="4"/>
  <c r="E907" i="4"/>
  <c r="E508" i="4"/>
  <c r="F236" i="4"/>
  <c r="F124" i="4"/>
  <c r="E588" i="4"/>
  <c r="E958" i="4"/>
  <c r="F106" i="4"/>
  <c r="E566" i="4"/>
  <c r="E161" i="4"/>
  <c r="E442" i="4"/>
  <c r="F281" i="4"/>
  <c r="E755" i="4"/>
  <c r="E1280" i="4"/>
  <c r="E830" i="4"/>
  <c r="F99" i="4"/>
  <c r="F343" i="4"/>
  <c r="F748" i="4"/>
  <c r="E763" i="4"/>
  <c r="E1214" i="4"/>
  <c r="E348" i="4"/>
  <c r="E393" i="4"/>
  <c r="F64" i="4"/>
  <c r="E764" i="4"/>
  <c r="E1240" i="4"/>
  <c r="E248" i="4"/>
  <c r="E452" i="4"/>
  <c r="E337" i="4"/>
  <c r="E778" i="4"/>
  <c r="E2335" i="4"/>
  <c r="F1219" i="4"/>
  <c r="E280" i="4"/>
  <c r="E1184" i="4"/>
  <c r="F237" i="4"/>
  <c r="F357" i="4"/>
  <c r="F623" i="4"/>
  <c r="F802" i="4"/>
  <c r="E436" i="4"/>
  <c r="F191" i="4"/>
  <c r="E252" i="4"/>
  <c r="F23" i="4"/>
  <c r="F526" i="4"/>
  <c r="E1705" i="4"/>
  <c r="E1158" i="4"/>
  <c r="E1528" i="4"/>
  <c r="E577" i="4"/>
  <c r="F362" i="4"/>
  <c r="E262" i="4"/>
  <c r="E165" i="4"/>
  <c r="E83" i="4"/>
  <c r="E1594" i="4"/>
  <c r="E1164" i="4"/>
  <c r="E878" i="4"/>
  <c r="E635" i="4"/>
  <c r="F71" i="4"/>
  <c r="F540" i="4"/>
  <c r="F215" i="4"/>
  <c r="E389" i="4"/>
  <c r="F549" i="4"/>
  <c r="F589" i="4"/>
  <c r="E154" i="4"/>
  <c r="F614" i="4"/>
  <c r="F565" i="4"/>
  <c r="F618" i="4"/>
  <c r="E574" i="4"/>
  <c r="E353" i="4"/>
  <c r="E431" i="4"/>
  <c r="E76" i="4"/>
  <c r="E27" i="4"/>
  <c r="E334" i="4"/>
  <c r="F240" i="4"/>
  <c r="E201" i="4"/>
  <c r="E94" i="4"/>
  <c r="F631" i="4"/>
  <c r="E263" i="4"/>
  <c r="E634" i="4"/>
  <c r="F327" i="4"/>
  <c r="F687" i="4"/>
  <c r="F113" i="4"/>
  <c r="E168" i="4"/>
  <c r="F373" i="4"/>
  <c r="E241" i="4"/>
  <c r="E532" i="4"/>
  <c r="F504" i="4"/>
  <c r="E202" i="4"/>
  <c r="E68" i="4"/>
  <c r="F527" i="4"/>
  <c r="F597" i="4"/>
  <c r="E402" i="4"/>
  <c r="E166" i="4"/>
  <c r="E458" i="4"/>
  <c r="E358" i="4"/>
  <c r="E118" i="4"/>
  <c r="F233" i="4"/>
  <c r="E587" i="4"/>
  <c r="F487" i="4"/>
  <c r="E365" i="4"/>
  <c r="E380" i="4"/>
  <c r="F573" i="4"/>
  <c r="F212" i="4"/>
  <c r="E715" i="4"/>
  <c r="E528" i="4"/>
  <c r="E675" i="4"/>
  <c r="E414" i="4"/>
  <c r="F413" i="4"/>
  <c r="F347" i="4"/>
  <c r="E82" i="4"/>
  <c r="E560" i="4"/>
  <c r="E679" i="4"/>
  <c r="E304" i="4"/>
  <c r="F344" i="4"/>
  <c r="E867" i="4"/>
  <c r="E255" i="4"/>
  <c r="E227" i="4"/>
  <c r="F45" i="4"/>
  <c r="E160" i="4"/>
  <c r="F160" i="4"/>
  <c r="F421" i="4"/>
  <c r="E421" i="4"/>
  <c r="F183" i="4"/>
  <c r="E183" i="4"/>
  <c r="F359" i="4"/>
  <c r="E359" i="4"/>
  <c r="F26" i="4"/>
  <c r="E26" i="4"/>
  <c r="E153" i="4"/>
  <c r="F153" i="4"/>
  <c r="E511" i="4"/>
  <c r="F511" i="4"/>
  <c r="F67" i="4"/>
  <c r="E67" i="4"/>
  <c r="E296" i="4"/>
  <c r="F296" i="4"/>
  <c r="F138" i="4"/>
  <c r="E138" i="4"/>
  <c r="E756" i="4"/>
  <c r="F756" i="4"/>
  <c r="F192" i="4"/>
  <c r="E192" i="4"/>
  <c r="F159" i="4"/>
  <c r="E159" i="4"/>
  <c r="F466" i="4"/>
  <c r="E466" i="4"/>
  <c r="E335" i="4"/>
  <c r="F335" i="4"/>
  <c r="F232" i="4"/>
  <c r="E232" i="4"/>
  <c r="E388" i="4"/>
  <c r="F388" i="4"/>
  <c r="F464" i="4"/>
  <c r="E464" i="4"/>
  <c r="F41" i="4"/>
  <c r="E41" i="4"/>
  <c r="E287" i="4"/>
  <c r="F287" i="4"/>
  <c r="E207" i="4"/>
  <c r="F207" i="4"/>
  <c r="E53" i="4"/>
  <c r="F53" i="4"/>
  <c r="F563" i="4"/>
  <c r="E563" i="4"/>
  <c r="F612" i="4"/>
  <c r="E612" i="4"/>
  <c r="F119" i="4"/>
  <c r="E119" i="4"/>
  <c r="F462" i="4"/>
  <c r="E462" i="4"/>
  <c r="E73" i="4"/>
  <c r="F73" i="4"/>
  <c r="F397" i="4"/>
  <c r="E397" i="4"/>
  <c r="F278" i="4"/>
  <c r="E278" i="4"/>
  <c r="E116" i="4"/>
  <c r="F116" i="4"/>
  <c r="E110" i="4"/>
  <c r="F110" i="4"/>
  <c r="F488" i="4"/>
  <c r="E488" i="4"/>
  <c r="F19" i="4"/>
  <c r="E19" i="4"/>
  <c r="E603" i="4"/>
  <c r="F603" i="4"/>
  <c r="E134" i="4"/>
  <c r="F134" i="4"/>
  <c r="E572" i="4"/>
  <c r="F572" i="4"/>
  <c r="E341" i="4"/>
  <c r="F341" i="4"/>
  <c r="F329" i="4"/>
  <c r="E329" i="4"/>
  <c r="E81" i="4"/>
  <c r="F81" i="4"/>
  <c r="F174" i="4"/>
  <c r="E174" i="4"/>
  <c r="E136" i="4"/>
  <c r="F136" i="4"/>
  <c r="F65" i="4"/>
  <c r="E65" i="4"/>
  <c r="F18" i="4"/>
  <c r="E18" i="4"/>
  <c r="E89" i="4"/>
  <c r="F89" i="4"/>
  <c r="F412" i="4"/>
  <c r="E412" i="4"/>
  <c r="E91" i="4"/>
  <c r="F91" i="4"/>
  <c r="E50" i="4"/>
  <c r="F50" i="4"/>
  <c r="E193" i="4"/>
  <c r="F193" i="4"/>
  <c r="F366" i="4"/>
  <c r="E366" i="4"/>
  <c r="F96" i="4"/>
  <c r="E96" i="4"/>
  <c r="F88" i="4"/>
  <c r="E88" i="4"/>
  <c r="F256" i="4"/>
  <c r="E256" i="4"/>
  <c r="E479" i="4"/>
  <c r="F479" i="4"/>
  <c r="E320" i="4"/>
  <c r="F320" i="4"/>
  <c r="F626" i="4"/>
  <c r="E626" i="4"/>
  <c r="F318" i="4"/>
  <c r="E318" i="4"/>
  <c r="E247" i="4"/>
  <c r="F247" i="4"/>
  <c r="E127" i="4"/>
  <c r="F127" i="4"/>
  <c r="F429" i="4"/>
  <c r="E429" i="4"/>
  <c r="E571" i="4"/>
  <c r="F571" i="4"/>
  <c r="F57" i="4"/>
  <c r="E57" i="4"/>
  <c r="F175" i="4"/>
  <c r="E175" i="4"/>
  <c r="E505" i="4"/>
  <c r="F505" i="4"/>
  <c r="E17" i="4"/>
  <c r="F17" i="4"/>
  <c r="E271" i="4"/>
  <c r="F271" i="4"/>
  <c r="E199" i="4"/>
  <c r="F199" i="4"/>
  <c r="F29" i="4"/>
  <c r="E29" i="4"/>
  <c r="F650" i="4"/>
  <c r="E650" i="4"/>
  <c r="E2464" i="4"/>
  <c r="F2464" i="4"/>
  <c r="E349" i="4"/>
  <c r="F349" i="4"/>
  <c r="E535" i="4"/>
  <c r="F535" i="4"/>
  <c r="F643" i="4"/>
  <c r="E643" i="4"/>
  <c r="F43" i="4"/>
  <c r="E43" i="4"/>
  <c r="F354" i="4"/>
  <c r="E354" i="4"/>
  <c r="E555" i="4"/>
  <c r="F555" i="4"/>
  <c r="F270" i="4"/>
  <c r="E270" i="4"/>
  <c r="F55" i="4"/>
  <c r="E55" i="4"/>
  <c r="E59" i="4"/>
  <c r="F59" i="4"/>
  <c r="E150" i="4"/>
  <c r="F150" i="4"/>
  <c r="E310" i="4"/>
  <c r="F310" i="4"/>
  <c r="E291" i="4"/>
  <c r="F291" i="4"/>
  <c r="E126" i="4"/>
  <c r="F126" i="4"/>
  <c r="E520" i="4"/>
  <c r="F520" i="4"/>
  <c r="F326" i="4"/>
  <c r="E326" i="4"/>
  <c r="F516" i="4"/>
  <c r="E516" i="4"/>
  <c r="F152" i="4"/>
  <c r="E152" i="4"/>
  <c r="E52" i="4"/>
  <c r="F52" i="4"/>
  <c r="F595" i="4"/>
  <c r="E595" i="4"/>
  <c r="E142" i="4"/>
  <c r="F142" i="4"/>
  <c r="F95" i="4"/>
  <c r="E95" i="4"/>
  <c r="F176" i="4"/>
  <c r="E176" i="4"/>
  <c r="E396" i="4"/>
  <c r="F396" i="4"/>
  <c r="E947" i="4"/>
  <c r="F947" i="4"/>
  <c r="F224" i="4"/>
  <c r="E224" i="4"/>
  <c r="F111" i="4"/>
  <c r="E111" i="4"/>
  <c r="E435" i="4"/>
  <c r="F435" i="4"/>
  <c r="E239" i="4"/>
  <c r="F239" i="4"/>
  <c r="F58" i="4"/>
  <c r="E58" i="4"/>
  <c r="E217" i="4"/>
  <c r="F217" i="4"/>
  <c r="F472" i="4"/>
  <c r="E472" i="4"/>
  <c r="F49" i="4"/>
  <c r="E49" i="4"/>
  <c r="F311" i="4"/>
  <c r="E311" i="4"/>
  <c r="L8" i="4"/>
  <c r="L10" i="4" s="1"/>
  <c r="G31" i="6"/>
  <c r="K16" i="6" s="1"/>
  <c r="G27" i="6" a="1"/>
  <c r="G27" i="6" s="1"/>
  <c r="K11" i="6" s="1"/>
  <c r="J8" i="4" s="1"/>
  <c r="J10" i="4" s="1"/>
  <c r="J11" i="4" s="1"/>
  <c r="E2516" i="4"/>
  <c r="D15" i="4"/>
  <c r="E15" i="4" l="1"/>
  <c r="F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<sst xmlns="http://schemas.openxmlformats.org/spreadsheetml/2006/main" count="265" uniqueCount="154">
  <si>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</si>
  <si>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</si>
  <si>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</si>
  <si>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</si>
  <si>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</si>
  <si>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</si>
  <si>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</si>
  <si>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</si>
  <si>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</si>
  <si>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</si>
  <si>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</si>
  <si>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</si>
  <si>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</si>
  <si>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</si>
  <si>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</si>
  <si>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</si>
  <si>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</si>
  <si>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</si>
  <si>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</si>
  <si>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</si>
  <si>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</si>
  <si>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</si>
  <si>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</si>
  <si>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</si>
  <si>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</si>
  <si>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</si>
  <si>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</si>
  <si>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</si>
  <si>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</si>
  <si>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</si>
  <si>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</si>
  <si>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</si>
  <si>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</si>
  <si>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</si>
  <si>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</si>
  <si>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</si>
  <si>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</si>
  <si>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</si>
  <si>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</si>
  <si>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t>Option Value</t>
  </si>
  <si>
    <t>Unit Gamma</t>
  </si>
  <si>
    <t>Unit Theta</t>
  </si>
  <si>
    <t>Unit Vega</t>
  </si>
  <si>
    <t>Px</t>
  </si>
  <si>
    <t>μ</t>
  </si>
  <si>
    <t>q</t>
  </si>
  <si>
    <t>r</t>
  </si>
  <si>
    <t>Result Ccy Divisor</t>
  </si>
  <si>
    <t>DOM Notional</t>
  </si>
  <si>
    <t>FOR Notional</t>
  </si>
  <si>
    <t>T</t>
  </si>
  <si>
    <t>CP</t>
  </si>
  <si>
    <t>Methodology</t>
  </si>
  <si>
    <t>Result Ccy</t>
  </si>
  <si>
    <t>σ</t>
  </si>
  <si>
    <t>F</t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</si>
  <si>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</si>
  <si>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</si>
  <si>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</si>
  <si>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</si>
  <si>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</si>
  <si>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</si>
  <si>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</si>
  <si>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</si>
  <si>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</si>
  <si>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</si>
  <si>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</si>
  <si>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</si>
  <si>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</si>
  <si>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</si>
  <si>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</si>
  <si>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</si>
  <si>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</si>
  <si>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</si>
  <si>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</si>
  <si>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</si>
  <si>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</si>
  <si>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</si>
  <si>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</si>
  <si>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by IR Parity</t>
  </si>
  <si>
    <t>Price in domestic currency</t>
  </si>
  <si>
    <t>Price in notional currency</t>
  </si>
  <si>
    <t>% in-the-money</t>
  </si>
  <si>
    <t>Field</t>
  </si>
  <si>
    <t>European digital option pricing</t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</si>
  <si>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</si>
  <si>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</si>
  <si>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</si>
  <si>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</si>
  <si>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</si>
  <si>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t>Volatility</t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</si>
  <si>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</si>
  <si>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</si>
  <si>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</si>
  <si>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</si>
  <si>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</si>
  <si>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</si>
  <si>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</si>
  <si>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</si>
  <si>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</si>
  <si>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</si>
  <si>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</si>
  <si>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</si>
  <si>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</si>
  <si>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</si>
  <si>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</si>
  <si>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</si>
  <si>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</si>
  <si>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</si>
  <si>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</si>
  <si>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</si>
  <si>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</si>
  <si>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</si>
  <si>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</si>
  <si>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</si>
  <si>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</si>
  <si>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t>Core / vanilla contractual inputs</t>
  </si>
  <si>
    <t xml:space="preserve">K </t>
  </si>
  <si>
    <t>Result/Notional FX spot rate</t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</si>
  <si>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</si>
  <si>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</si>
  <si>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</si>
  <si>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</si>
  <si>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</si>
  <si>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</si>
  <si>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</si>
  <si>
    <r>
      <t>S</t>
    </r>
    <r>
      <rPr>
        <vertAlign val="subscript"/>
        <sz val="9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</si>
  <si>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r>
      <t>Rho</t>
    </r>
    <r>
      <rPr>
        <vertAlign val="subscript"/>
        <sz val="9"/>
        <color theme="1"/>
        <rFont val="Arial"/>
        <family val="2"/>
      </rPr>
      <t>foreign currency</t>
    </r>
  </si>
  <si>
    <r>
      <t>Rho</t>
    </r>
    <r>
      <rPr>
        <vertAlign val="subscript"/>
        <sz val="9"/>
        <color theme="1"/>
        <rFont val="Arial"/>
        <family val="2"/>
      </rPr>
      <t>domestic currency</t>
    </r>
  </si>
  <si>
    <r>
      <t>d</t>
    </r>
    <r>
      <rPr>
        <vertAlign val="subscript"/>
        <sz val="9"/>
        <color theme="1"/>
        <rFont val="Arial"/>
        <family val="2"/>
      </rPr>
      <t>1</t>
    </r>
  </si>
  <si>
    <r>
      <t>d</t>
    </r>
    <r>
      <rPr>
        <vertAlign val="subscript"/>
        <sz val="9"/>
        <color theme="1"/>
        <rFont val="Arial"/>
        <family val="2"/>
      </rPr>
      <t>2</t>
    </r>
  </si>
  <si>
    <r>
      <t>S</t>
    </r>
    <r>
      <rPr>
        <b/>
        <vertAlign val="subscript"/>
        <sz val="9"/>
        <color theme="0"/>
        <rFont val="Arial"/>
        <family val="2"/>
      </rPr>
      <t>0</t>
    </r>
  </si>
  <si>
    <r>
      <t>r</t>
    </r>
    <r>
      <rPr>
        <b/>
        <vertAlign val="subscript"/>
        <sz val="9"/>
        <color theme="0"/>
        <rFont val="Arial"/>
        <family val="2"/>
      </rPr>
      <t>f</t>
    </r>
  </si>
  <si>
    <r>
      <t>r</t>
    </r>
    <r>
      <rPr>
        <b/>
        <vertAlign val="subscript"/>
        <sz val="9"/>
        <color theme="0"/>
        <rFont val="Arial"/>
        <family val="2"/>
      </rPr>
      <t>d</t>
    </r>
  </si>
  <si>
    <r>
      <t>μ</t>
    </r>
    <r>
      <rPr>
        <b/>
        <vertAlign val="subscript"/>
        <sz val="9"/>
        <color theme="0"/>
        <rFont val="Arial"/>
        <family val="2"/>
      </rPr>
      <t>by interest rate parity</t>
    </r>
  </si>
  <si>
    <r>
      <t>μ</t>
    </r>
    <r>
      <rPr>
        <b/>
        <vertAlign val="subscript"/>
        <sz val="9"/>
        <color theme="0"/>
        <rFont val="Arial"/>
        <family val="2"/>
      </rPr>
      <t>with currency basis</t>
    </r>
  </si>
  <si>
    <r>
      <t>r</t>
    </r>
    <r>
      <rPr>
        <b/>
        <vertAlign val="subscript"/>
        <sz val="9"/>
        <color theme="0"/>
        <rFont val="Arial"/>
        <family val="2"/>
      </rPr>
      <t>d_basis_adj</t>
    </r>
  </si>
  <si>
    <r>
      <t>d</t>
    </r>
    <r>
      <rPr>
        <b/>
        <vertAlign val="subscript"/>
        <sz val="9"/>
        <color theme="0"/>
        <rFont val="Arial"/>
        <family val="2"/>
      </rPr>
      <t>1</t>
    </r>
  </si>
  <si>
    <r>
      <t>d</t>
    </r>
    <r>
      <rPr>
        <b/>
        <vertAlign val="subscript"/>
        <sz val="9"/>
        <color theme="0"/>
        <rFont val="Arial"/>
        <family val="2"/>
      </rPr>
      <t>2</t>
    </r>
  </si>
  <si>
    <r>
      <t>Unit Δ</t>
    </r>
    <r>
      <rPr>
        <b/>
        <vertAlign val="subscript"/>
        <sz val="9"/>
        <color theme="0"/>
        <rFont val="Arial"/>
        <family val="2"/>
      </rPr>
      <t>spot</t>
    </r>
  </si>
  <si>
    <r>
      <t>Unit Δ</t>
    </r>
    <r>
      <rPr>
        <b/>
        <vertAlign val="subscript"/>
        <sz val="9"/>
        <color theme="0"/>
        <rFont val="Arial"/>
        <family val="2"/>
      </rPr>
      <t>forward</t>
    </r>
  </si>
  <si>
    <r>
      <t>Unit Rho</t>
    </r>
    <r>
      <rPr>
        <b/>
        <vertAlign val="subscript"/>
        <sz val="9"/>
        <color theme="0"/>
        <rFont val="Arial"/>
        <family val="2"/>
      </rPr>
      <t>foreign currency</t>
    </r>
  </si>
  <si>
    <r>
      <t>Unit Rho</t>
    </r>
    <r>
      <rPr>
        <b/>
        <vertAlign val="subscript"/>
        <sz val="9"/>
        <color theme="0"/>
        <rFont val="Arial"/>
        <family val="2"/>
      </rPr>
      <t>domestic currency</t>
    </r>
  </si>
  <si>
    <r>
      <t>Δ</t>
    </r>
    <r>
      <rPr>
        <vertAlign val="subscript"/>
        <sz val="9"/>
        <color theme="1"/>
        <rFont val="Arial"/>
        <family val="2"/>
      </rPr>
      <t>spot</t>
    </r>
  </si>
  <si>
    <r>
      <t>Δ</t>
    </r>
    <r>
      <rPr>
        <vertAlign val="subscript"/>
        <sz val="9"/>
        <color theme="0"/>
        <rFont val="Arial"/>
        <family val="2"/>
      </rPr>
      <t>forward</t>
    </r>
  </si>
  <si>
    <t>FX Rates for conversions</t>
  </si>
  <si>
    <r>
      <t>Δ</t>
    </r>
    <r>
      <rPr>
        <vertAlign val="subscript"/>
        <sz val="11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</si>
  <si>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Δ</t>
    </r>
    <r>
      <rPr>
        <vertAlign val="subscript"/>
        <sz val="12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</si>
  <si>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1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</si>
  <si>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</si>
  <si>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r</t>
    </r>
    <r>
      <rPr>
        <vertAlign val="subscript"/>
        <sz val="11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</si>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</sst>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6" formatCode="d\-mmm\-yyyy_-;;"/>
  </numFmts>
  <fonts count="16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theme="1"/>
      <name val="Arial"/>
      <family val="2"/>
    </font>
    <font>
      <b/>
      <sz val="9"/>
      <color theme="0"/>
      <name val="Arial"/>
      <family val="2"/>
    </font>
    <font>
      <sz val="9"/>
      <color rgb="FF0070C0"/>
      <name val="Arial"/>
      <family val="2"/>
    </font>
    <font>
      <vertAlign val="subscript"/>
      <sz val="9"/>
      <color theme="1"/>
      <name val="Arial"/>
      <family val="2"/>
    </font>
    <font>
      <sz val="9"/>
      <color theme="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vertAlign val="subscript"/>
      <sz val="9"/>
      <color theme="0"/>
      <name val="Arial"/>
      <family val="2"/>
    </font>
    <font>
      <vertAlign val="subscript"/>
      <sz val="9"/>
      <color theme="0"/>
      <name val="Arial"/>
      <family val="2"/>
    </font>
    <font>
      <u/>
      <sz val="9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6">
    <xf numFmtId="0" fontId="0" fillId="0" borderId="0" xfId="0"/>
    <xf numFmtId="0" fontId="1" fillId="0" borderId="0" xfId="3" applyFont="1"/>
    <xf numFmtId="0" fontId="6" fillId="2" borderId="0" xfId="3" applyFont="1" applyFill="1"/>
    <xf numFmtId="0" fontId="1" fillId="0" borderId="18" xfId="3" applyFont="1" applyBorder="1"/>
    <xf numFmtId="0" fontId="1" fillId="0" borderId="2" xfId="3" applyFont="1" applyBorder="1"/>
    <xf numFmtId="0" fontId="1" fillId="0" borderId="17" xfId="3" applyFont="1" applyBorder="1"/>
    <xf numFmtId="0" fontId="6" fillId="2" borderId="17" xfId="3" applyFont="1" applyFill="1" applyBorder="1"/>
    <xf numFmtId="0" fontId="1" fillId="0" borderId="7" xfId="3" applyFont="1" applyBorder="1"/>
    <xf numFmtId="0" fontId="1" fillId="0" borderId="6" xfId="3" applyFont="1" applyBorder="1"/>
    <xf numFmtId="0" fontId="1" fillId="0" borderId="5" xfId="3" applyFont="1" applyBorder="1"/>
    <xf numFmtId="0" fontId="1" fillId="0" borderId="9" xfId="3" applyFont="1" applyBorder="1"/>
    <xf numFmtId="165" fontId="1" fillId="0" borderId="0" xfId="4" applyNumberFormat="1" applyFont="1" applyBorder="1"/>
    <xf numFmtId="0" fontId="1" fillId="0" borderId="8" xfId="3" applyFont="1" applyBorder="1"/>
    <xf numFmtId="175" fontId="1" fillId="0" borderId="0" xfId="3" applyNumberFormat="1" applyFont="1"/>
    <xf numFmtId="168" fontId="1" fillId="0" borderId="0" xfId="3" applyNumberFormat="1" applyFont="1"/>
    <xf numFmtId="0" fontId="6" fillId="2" borderId="6" xfId="3" applyFont="1" applyFill="1" applyBorder="1"/>
    <xf numFmtId="167" fontId="1" fillId="0" borderId="0" xfId="5" applyNumberFormat="1" applyFont="1" applyBorder="1"/>
    <xf numFmtId="166" fontId="1" fillId="0" borderId="6" xfId="3" applyNumberFormat="1" applyFont="1" applyBorder="1"/>
    <xf numFmtId="166" fontId="1" fillId="0" borderId="5" xfId="3" applyNumberFormat="1" applyFont="1" applyBorder="1"/>
    <xf numFmtId="175" fontId="6" fillId="2" borderId="0" xfId="3" applyNumberFormat="1" applyFont="1" applyFill="1"/>
    <xf numFmtId="174" fontId="1" fillId="0" borderId="0" xfId="4" applyNumberFormat="1" applyFont="1" applyBorder="1"/>
    <xf numFmtId="166" fontId="1" fillId="0" borderId="0" xfId="3" applyNumberFormat="1" applyFont="1"/>
    <xf numFmtId="166" fontId="1" fillId="0" borderId="8" xfId="3" applyNumberFormat="1" applyFont="1" applyBorder="1"/>
    <xf numFmtId="165" fontId="1" fillId="0" borderId="0" xfId="3" applyNumberFormat="1" applyFont="1"/>
    <xf numFmtId="10" fontId="1" fillId="0" borderId="0" xfId="5" applyNumberFormat="1" applyFont="1" applyBorder="1"/>
    <xf numFmtId="176" fontId="6" fillId="2" borderId="0" xfId="3" applyNumberFormat="1" applyFont="1" applyFill="1"/>
    <xf numFmtId="166" fontId="6" fillId="2" borderId="0" xfId="3" applyNumberFormat="1" applyFont="1" applyFill="1"/>
    <xf numFmtId="0" fontId="1" fillId="0" borderId="4" xfId="3" applyFont="1" applyBorder="1"/>
    <xf numFmtId="0" fontId="6" fillId="2" borderId="1" xfId="3" applyFont="1" applyFill="1" applyBorder="1"/>
    <xf numFmtId="0" fontId="1" fillId="0" borderId="3" xfId="3" applyFont="1" applyBorder="1"/>
    <xf numFmtId="0" fontId="8" fillId="2" borderId="17" xfId="3" applyFont="1" applyFill="1" applyBorder="1"/>
    <xf numFmtId="166" fontId="1" fillId="0" borderId="1" xfId="3" applyNumberFormat="1" applyFont="1" applyBorder="1"/>
    <xf numFmtId="166" fontId="1" fillId="0" borderId="3" xfId="3" applyNumberFormat="1" applyFont="1" applyBorder="1"/>
    <xf numFmtId="167" fontId="1" fillId="0" borderId="0" xfId="5" applyNumberFormat="1" applyFont="1"/>
    <xf numFmtId="175" fontId="6" fillId="2" borderId="1" xfId="3" applyNumberFormat="1" applyFont="1" applyFill="1" applyBorder="1"/>
    <xf numFmtId="170" fontId="1" fillId="0" borderId="5" xfId="4" applyNumberFormat="1" applyFont="1" applyBorder="1"/>
    <xf numFmtId="166" fontId="1" fillId="0" borderId="7" xfId="3" applyNumberFormat="1" applyFont="1" applyBorder="1"/>
    <xf numFmtId="170" fontId="1" fillId="0" borderId="3" xfId="4" applyNumberFormat="1" applyFont="1" applyBorder="1"/>
    <xf numFmtId="166" fontId="1" fillId="0" borderId="4" xfId="3" applyNumberFormat="1" applyFont="1" applyBorder="1"/>
    <xf numFmtId="165" fontId="6" fillId="2" borderId="0" xfId="4" applyNumberFormat="1" applyFont="1" applyFill="1" applyBorder="1"/>
    <xf numFmtId="171" fontId="1" fillId="0" borderId="0" xfId="5" applyNumberFormat="1" applyFont="1" applyBorder="1"/>
    <xf numFmtId="172" fontId="1" fillId="0" borderId="0" xfId="5" applyNumberFormat="1" applyFont="1" applyBorder="1"/>
    <xf numFmtId="171" fontId="1" fillId="0" borderId="0" xfId="5" applyNumberFormat="1" applyFont="1"/>
    <xf numFmtId="171" fontId="1" fillId="0" borderId="1" xfId="5" applyNumberFormat="1" applyFont="1" applyBorder="1"/>
    <xf numFmtId="10" fontId="1" fillId="0" borderId="6" xfId="5" applyNumberFormat="1" applyFont="1" applyBorder="1"/>
    <xf numFmtId="170" fontId="1" fillId="0" borderId="0" xfId="4" applyNumberFormat="1" applyFont="1" applyBorder="1"/>
    <xf numFmtId="166" fontId="1" fillId="0" borderId="0" xfId="5" applyNumberFormat="1" applyFont="1" applyBorder="1"/>
    <xf numFmtId="166" fontId="1" fillId="0" borderId="1" xfId="5" applyNumberFormat="1" applyFont="1" applyBorder="1"/>
    <xf numFmtId="0" fontId="9" fillId="0" borderId="0" xfId="3" applyFont="1"/>
    <xf numFmtId="0" fontId="10" fillId="0" borderId="16" xfId="3" applyFont="1" applyBorder="1" applyAlignment="1">
      <alignment horizontal="centerContinuous"/>
    </xf>
    <xf numFmtId="0" fontId="10" fillId="0" borderId="15" xfId="3" applyFont="1" applyBorder="1" applyAlignment="1">
      <alignment horizontal="centerContinuous"/>
    </xf>
    <xf numFmtId="0" fontId="10" fillId="0" borderId="14" xfId="3" applyFont="1" applyBorder="1" applyAlignment="1">
      <alignment horizontal="centerContinuous"/>
    </xf>
    <xf numFmtId="0" fontId="9" fillId="0" borderId="15" xfId="3" applyFont="1" applyBorder="1" applyAlignment="1">
      <alignment horizontal="centerContinuous"/>
    </xf>
    <xf numFmtId="0" fontId="9" fillId="0" borderId="0" xfId="3" applyFont="1" applyAlignment="1">
      <alignment horizontal="center"/>
    </xf>
    <xf numFmtId="0" fontId="9" fillId="0" borderId="10" xfId="3" applyFont="1" applyBorder="1" applyAlignment="1">
      <alignment horizontal="center"/>
    </xf>
    <xf numFmtId="0" fontId="9" fillId="0" borderId="11" xfId="3" applyFont="1" applyBorder="1" applyAlignment="1">
      <alignment horizontal="center"/>
    </xf>
    <xf numFmtId="0" fontId="5" fillId="0" borderId="10" xfId="3" applyFont="1" applyBorder="1"/>
    <xf numFmtId="0" fontId="5" fillId="0" borderId="0" xfId="3" applyFont="1"/>
    <xf numFmtId="0" fontId="5" fillId="0" borderId="11" xfId="3" applyFont="1" applyBorder="1"/>
    <xf numFmtId="0" fontId="5" fillId="0" borderId="13" xfId="3" applyFont="1" applyBorder="1"/>
    <xf numFmtId="0" fontId="5" fillId="0" borderId="1" xfId="3" applyFont="1" applyBorder="1"/>
    <xf numFmtId="0" fontId="5" fillId="0" borderId="9" xfId="3" applyFont="1" applyBorder="1"/>
    <xf numFmtId="0" fontId="5" fillId="0" borderId="12" xfId="3" applyFont="1" applyBorder="1"/>
    <xf numFmtId="0" fontId="1" fillId="0" borderId="12" xfId="3" applyFont="1" applyBorder="1"/>
    <xf numFmtId="0" fontId="8" fillId="2" borderId="10" xfId="3" applyFont="1" applyFill="1" applyBorder="1"/>
    <xf numFmtId="170" fontId="8" fillId="2" borderId="0" xfId="4" applyNumberFormat="1" applyFont="1" applyFill="1" applyBorder="1"/>
    <xf numFmtId="0" fontId="8" fillId="2" borderId="0" xfId="3" applyFont="1" applyFill="1"/>
    <xf numFmtId="173" fontId="8" fillId="2" borderId="0" xfId="3" applyNumberFormat="1" applyFont="1" applyFill="1"/>
    <xf numFmtId="166" fontId="8" fillId="2" borderId="0" xfId="3" applyNumberFormat="1" applyFont="1" applyFill="1"/>
    <xf numFmtId="0" fontId="8" fillId="2" borderId="11" xfId="3" applyFont="1" applyFill="1" applyBorder="1"/>
    <xf numFmtId="173" fontId="8" fillId="2" borderId="10" xfId="3" applyNumberFormat="1" applyFont="1" applyFill="1" applyBorder="1"/>
    <xf numFmtId="10" fontId="8" fillId="2" borderId="0" xfId="5" applyNumberFormat="1" applyFont="1" applyFill="1" applyBorder="1"/>
    <xf numFmtId="10" fontId="8" fillId="2" borderId="11" xfId="5" applyNumberFormat="1" applyFont="1" applyFill="1" applyBorder="1"/>
    <xf numFmtId="166" fontId="1" fillId="0" borderId="10" xfId="5" applyNumberFormat="1" applyFont="1" applyBorder="1"/>
    <xf numFmtId="169" fontId="1" fillId="0" borderId="0" xfId="4" applyNumberFormat="1" applyFont="1" applyBorder="1"/>
    <xf numFmtId="168" fontId="1" fillId="0" borderId="10" xfId="5" applyNumberFormat="1" applyFont="1" applyBorder="1"/>
    <xf numFmtId="170" fontId="1" fillId="0" borderId="0" xfId="5" applyNumberFormat="1" applyFont="1" applyBorder="1"/>
    <xf numFmtId="171" fontId="1" fillId="0" borderId="11" xfId="5" applyNumberFormat="1" applyFont="1" applyBorder="1"/>
    <xf numFmtId="166" fontId="1" fillId="0" borderId="11" xfId="5" applyNumberFormat="1" applyFont="1" applyBorder="1"/>
    <xf numFmtId="170" fontId="1" fillId="0" borderId="0" xfId="4" applyNumberFormat="1" applyFont="1"/>
    <xf numFmtId="169" fontId="1" fillId="0" borderId="6" xfId="1" applyNumberFormat="1" applyFont="1" applyBorder="1"/>
    <xf numFmtId="169" fontId="1" fillId="0" borderId="1" xfId="4" applyNumberFormat="1" applyFont="1" applyBorder="1"/>
    <xf numFmtId="0" fontId="13" fillId="0" borderId="7" xfId="3" applyFont="1" applyBorder="1"/>
    <xf numFmtId="165" fontId="1" fillId="0" borderId="7" xfId="3" applyNumberFormat="1" applyFont="1" applyBorder="1" applyAlignment="1">
      <alignment horizontal="center"/>
    </xf>
    <xf numFmtId="0" fontId="1" fillId="0" borderId="6" xfId="3" applyFont="1" applyBorder="1" applyAlignment="1">
      <alignment horizontal="center"/>
    </xf>
    <xf numFmtId="166" fontId="1" fillId="0" borderId="9" xfId="3" applyNumberFormat="1" applyFont="1" applyBorder="1"/>
    <xf numFmtId="166" fontId="6" fillId="2" borderId="8" xfId="3" applyNumberFormat="1" applyFont="1" applyFill="1" applyBorder="1"/>
    <xf numFmtId="170" fontId="1" fillId="0" borderId="9" xfId="4" applyNumberFormat="1" applyFont="1" applyBorder="1"/>
    <xf numFmtId="170" fontId="1" fillId="0" borderId="8" xfId="4" applyNumberFormat="1" applyFont="1" applyBorder="1"/>
    <xf numFmtId="43" fontId="1" fillId="0" borderId="8" xfId="4" applyFont="1" applyBorder="1"/>
    <xf numFmtId="0" fontId="1" fillId="0" borderId="0" xfId="3" applyFont="1" applyAlignment="1">
      <alignment horizontal="center"/>
    </xf>
    <xf numFmtId="0" fontId="1" fillId="0" borderId="1" xfId="3" applyFont="1" applyBorder="1"/>
    <xf numFmtId="166" fontId="1" fillId="0" borderId="3" xfId="5" applyNumberFormat="1" applyFont="1" applyBorder="1"/>
    <xf numFmtId="166" fontId="1" fillId="0" borderId="1" xfId="4" applyNumberFormat="1" applyFont="1" applyBorder="1"/>
    <xf numFmtId="43" fontId="1" fillId="0" borderId="3" xfId="4" applyFont="1" applyBorder="1"/>
    <xf numFmtId="165" fontId="1" fillId="0" borderId="0" xfId="3" applyNumberFormat="1" applyFont="1" applyAlignment="1">
      <alignment horizontal="center"/>
    </xf>
    <xf numFmtId="169" fontId="1" fillId="0" borderId="4" xfId="4" applyNumberFormat="1" applyFont="1" applyBorder="1"/>
    <xf numFmtId="164" fontId="1" fillId="0" borderId="2" xfId="4" applyNumberFormat="1" applyFont="1" applyBorder="1"/>
    <xf numFmtId="168" fontId="1" fillId="0" borderId="2" xfId="5" applyNumberFormat="1" applyFont="1" applyBorder="1"/>
    <xf numFmtId="167" fontId="1" fillId="0" borderId="2" xfId="5" applyNumberFormat="1" applyFont="1" applyBorder="1"/>
    <xf numFmtId="164" fontId="1" fillId="0" borderId="0" xfId="3" quotePrefix="1" applyNumberFormat="1" applyFont="1"/>
    <xf numFmtId="164" fontId="1" fillId="0" borderId="0" xfId="4" applyNumberFormat="1" applyFont="1"/>
    <xf numFmtId="165" fontId="1" fillId="0" borderId="0" xfId="4" applyNumberFormat="1" applyFont="1"/>
    <xf numFmtId="168" fontId="1" fillId="0" borderId="0" xfId="2" applyNumberFormat="1" applyFont="1"/>
    <xf numFmtId="164" fontId="1" fillId="0" borderId="0" xfId="3" applyNumberFormat="1" applyFont="1"/>
    <xf numFmtId="164" fontId="1" fillId="0" borderId="1" xfId="4" applyNumberFormat="1" applyFont="1" applyBorder="1"/>
    <xf numFmtId="0" fontId="2" fillId="0" borderId="9" xfId="3" applyBorder="1"/>
    <xf numFmtId="0" fontId="0" fillId="0" borderId="9" xfId="3" applyFont="1" applyBorder="1"/>
    <xf numFmtId="0" fontId="0" fillId="0" borderId="4" xfId="3" applyFont="1" applyBorder="1"/>
    <xf numFmtId="0" fontId="0" fillId="0" borderId="0" xfId="3" applyFont="1"/>
    <xf numFmtId="43" fontId="1" fillId="0" borderId="0" xfId="1" applyFont="1"/>
    <xf numFmtId="175" fontId="1" fillId="0" borderId="1" xfId="3" applyNumberFormat="1" applyFont="1" applyBorder="1"/>
    <xf numFmtId="169" fontId="6" fillId="2" borderId="0" xfId="1" applyNumberFormat="1" applyFont="1" applyFill="1" applyBorder="1"/>
    <xf numFmtId="169" fontId="6" fillId="2" borderId="1" xfId="1" applyNumberFormat="1" applyFont="1" applyFill="1" applyBorder="1"/>
    <xf numFmtId="165" fontId="6" fillId="2" borderId="0" xfId="1" applyNumberFormat="1" applyFont="1" applyFill="1" applyBorder="1"/>
    <xf numFmtId="165" fontId="1" fillId="0" borderId="0" xfId="3" applyNumberFormat="1" applyFont="1" applyAlignment="1">
      <alignment horizontal="center"/>
    </xf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  <border diagonalUp="0" diagonalDown="0" outline="0">
        <right style="medium">
          <color indexed="64"/>
        </righ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8" formatCode="0.000%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9"/>
        <name val="Arial"/>
        <family val="2"/>
        <scheme val="none"/>
      </font>
    </dxf>
    <dxf>
      <font>
        <b/>
        <strike val="0"/>
        <outline val="0"/>
        <shadow val="0"/>
        <u val="none"/>
        <sz val="9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L49"/>
  <sheetViews>
    <sheetView workbookViewId="0"/>
  </sheetViews>
  <sheetFormatPr defaultRowHeight="12" x14ac:dyDescent="0.2"/>
  <cols>
    <col min="1" max="1" width="9.140625" style="1"/>
    <col min="2" max="2" width="26" style="1" bestFit="1" customWidth="1"/>
    <col min="3" max="3" width="18.28515625" style="1" bestFit="1" customWidth="1"/>
    <col min="4" max="4" width="8.85546875" style="1" bestFit="1" customWidth="1"/>
    <col min="5" max="5" width="9.140625" style="1"/>
    <col min="6" max="6" width="66.28515625" style="1" bestFit="1" customWidth="1"/>
    <col min="7" max="7" width="11.5703125" style="1" bestFit="1" customWidth="1"/>
    <col min="8" max="8" width="8.85546875" style="1" bestFit="1" customWidth="1"/>
    <col min="9" max="9" width="7.7109375" style="1" customWidth="1"/>
    <col min="10" max="10" width="26.140625" style="1" bestFit="1" customWidth="1"/>
    <col min="11" max="11" width="7" style="1" bestFit="1" customWidth="1"/>
    <col min="12" max="12" width="8.85546875" style="1" bestFit="1" customWidth="1"/>
    <col min="13" max="14" width="9.140625" style="1"/>
    <col min="15" max="16" width="12" style="1" bestFit="1" customWidth="1"/>
    <col min="17" max="16384" width="9.140625" style="1"/>
  </cols>
  <sheetData>
    <row r="2" spans="2:12" x14ac:dyDescent="0.2">
      <c r="B2" s="1" t="s">
        <v>125</v>
      </c>
      <c r="C2" s="2" t="s">
        <v>124</v>
      </c>
      <c r="F2" s="1" t="s">
        <v>123</v>
      </c>
    </row>
    <row r="3" spans="2:12" x14ac:dyDescent="0.2">
      <c r="F3" s="3" t="s">
        <v>83</v>
      </c>
      <c r="G3" s="4" t="s">
        <v>96</v>
      </c>
      <c r="H3" s="5" t="s">
        <v>31</v>
      </c>
      <c r="J3" s="3" t="s">
        <v>122</v>
      </c>
      <c r="K3" s="6" t="s">
        <v>1</v>
      </c>
    </row>
    <row r="4" spans="2:12" x14ac:dyDescent="0.2">
      <c r="F4" s="7" t="s">
        <v>121</v>
      </c>
      <c r="G4" s="8" cm="1">
        <f t="array" ref="G4">_xlfn.IFS(C12="Call FOR, Put DOM",1,C12="Put FOR, Call DOM",-1)</f>
        <v>1</v>
      </c>
      <c r="H4" s="9" t="s">
        <v>120</v>
      </c>
    </row>
    <row r="5" spans="2:12" ht="13.5" x14ac:dyDescent="0.25">
      <c r="F5" s="10" t="s">
        <v>126</v>
      </c>
      <c r="G5" s="11">
        <f>C26</f>
        <v>0.66290000000000004</v>
      </c>
      <c r="H5" s="12" t="s">
        <v>3</v>
      </c>
      <c r="J5" s="3" t="s">
        <v>145</v>
      </c>
      <c r="K5" s="4" t="s">
        <v>96</v>
      </c>
      <c r="L5" s="5" t="s">
        <v>31</v>
      </c>
    </row>
    <row r="6" spans="2:12" x14ac:dyDescent="0.2">
      <c r="F6" s="10" t="s">
        <v>117</v>
      </c>
      <c r="G6" s="13">
        <f>C10</f>
        <v>0.78820000000000001</v>
      </c>
      <c r="H6" s="12" t="s">
        <v>3</v>
      </c>
      <c r="J6" s="7" t="s">
        <v>119</v>
      </c>
      <c r="K6" s="80" cm="1">
        <f t="array" ref="K6">_xlfn.IFS(K3="DOM",1,K3="FOR",S0)</f>
        <v>0.66290000000000004</v>
      </c>
      <c r="L6" s="9" t="str">
        <f>ResultCurrency&amp;"/"&amp;"DOM"</f>
        <v>FOR/DOM</v>
      </c>
    </row>
    <row r="7" spans="2:12" ht="18.75" x14ac:dyDescent="0.35">
      <c r="B7" s="1" t="s">
        <v>116</v>
      </c>
      <c r="F7" s="106" t="s">
        <v>150</v>
      </c>
      <c r="G7" s="14">
        <f>C30%</f>
        <v>5.3810000000000004E-2</v>
      </c>
      <c r="H7" s="12" t="s">
        <v>65</v>
      </c>
      <c r="J7" s="27" t="s">
        <v>118</v>
      </c>
      <c r="K7" s="81">
        <f>IF(Notional_Ccy=ResultCurrency,1,1/S0)</f>
        <v>1</v>
      </c>
      <c r="L7" s="29" t="str">
        <f>ResultCurrency&amp;"/"&amp;Notional_Ccy</f>
        <v>FOR/FOR</v>
      </c>
    </row>
    <row r="8" spans="2:12" ht="15.75" x14ac:dyDescent="0.3">
      <c r="B8" s="3" t="s">
        <v>83</v>
      </c>
      <c r="C8" s="4" t="s">
        <v>96</v>
      </c>
      <c r="D8" s="5" t="s">
        <v>31</v>
      </c>
      <c r="F8" s="107" t="s">
        <v>114</v>
      </c>
      <c r="G8" s="14">
        <f>C29%</f>
        <v>4.6600000000000003E-2</v>
      </c>
      <c r="H8" s="12" t="s">
        <v>65</v>
      </c>
    </row>
    <row r="9" spans="2:12" x14ac:dyDescent="0.2">
      <c r="B9" s="7" t="s">
        <v>112</v>
      </c>
      <c r="C9" s="15" t="s">
        <v>0</v>
      </c>
      <c r="D9" s="9"/>
      <c r="F9" s="10" t="s">
        <v>54</v>
      </c>
      <c r="G9" s="16">
        <f>C28%</f>
        <v>9.8172399999999993E-2</v>
      </c>
      <c r="H9" s="12" t="s">
        <v>65</v>
      </c>
      <c r="J9" s="1" t="s">
        <v>115</v>
      </c>
    </row>
    <row r="10" spans="2:12" x14ac:dyDescent="0.2">
      <c r="B10" s="10" t="s">
        <v>61</v>
      </c>
      <c r="C10" s="19">
        <v>0.78820000000000001</v>
      </c>
      <c r="D10" s="12" t="s">
        <v>3</v>
      </c>
      <c r="F10" s="10" t="s">
        <v>111</v>
      </c>
      <c r="G10" s="20">
        <f>YEARFRAC(C25,C13,1)</f>
        <v>1.0095759233926129</v>
      </c>
      <c r="H10" s="12" t="s">
        <v>68</v>
      </c>
      <c r="J10" s="3" t="s">
        <v>113</v>
      </c>
      <c r="K10" s="4" t="s">
        <v>96</v>
      </c>
      <c r="L10" s="5" t="s">
        <v>31</v>
      </c>
    </row>
    <row r="11" spans="2:12" x14ac:dyDescent="0.2">
      <c r="B11" s="10"/>
      <c r="D11" s="12"/>
      <c r="F11" s="10" t="s">
        <v>110</v>
      </c>
      <c r="G11" s="23">
        <f>C27</f>
        <v>0.66796199999999994</v>
      </c>
      <c r="H11" s="12" t="s">
        <v>3</v>
      </c>
      <c r="J11" s="7" t="s">
        <v>39</v>
      </c>
      <c r="K11" s="17">
        <f>G27*Foreign_Ccy_Notional/ResultDomesticFXSpotRate</f>
        <v>1954.810873537243</v>
      </c>
      <c r="L11" s="18" t="str">
        <f t="shared" ref="L11:L19" si="0">$K$3</f>
        <v>FOR</v>
      </c>
    </row>
    <row r="12" spans="2:12" ht="15.75" x14ac:dyDescent="0.3">
      <c r="B12" s="10" t="s">
        <v>109</v>
      </c>
      <c r="C12" s="2" t="s">
        <v>2</v>
      </c>
      <c r="D12" s="12"/>
      <c r="F12" s="107" t="s">
        <v>108</v>
      </c>
      <c r="G12" s="24">
        <f>r_f+LN(F/S0)/T</f>
        <v>5.4134982032959737E-2</v>
      </c>
      <c r="H12" s="12" t="s">
        <v>65</v>
      </c>
      <c r="J12" s="10" t="s">
        <v>98</v>
      </c>
      <c r="K12" s="21">
        <f>MonteCarlo!J5/ResultDomesticFXSpotRate</f>
        <v>1956.6671523825867</v>
      </c>
      <c r="L12" s="22" t="str">
        <f t="shared" si="0"/>
        <v>FOR</v>
      </c>
    </row>
    <row r="13" spans="2:12" ht="18.75" x14ac:dyDescent="0.35">
      <c r="B13" s="10" t="s">
        <v>59</v>
      </c>
      <c r="C13" s="25">
        <v>45476</v>
      </c>
      <c r="D13" s="12" t="s">
        <v>71</v>
      </c>
      <c r="F13" s="10" t="s">
        <v>107</v>
      </c>
      <c r="G13" s="21">
        <f>IF(Notional_Ccy="FOR",C14,C14/C10)</f>
        <v>1000000</v>
      </c>
      <c r="H13" s="12" t="s">
        <v>1</v>
      </c>
      <c r="J13" s="107" t="s">
        <v>148</v>
      </c>
      <c r="K13" s="21">
        <f>G28*Foreign_Ccy_Notional*S0/ResultDomesticFXSpotRate</f>
        <v>48979.344950531406</v>
      </c>
      <c r="L13" s="22" t="str">
        <f t="shared" si="0"/>
        <v>FOR</v>
      </c>
    </row>
    <row r="14" spans="2:12" ht="15.75" x14ac:dyDescent="0.3">
      <c r="B14" s="10" t="s">
        <v>106</v>
      </c>
      <c r="C14" s="26">
        <v>1000000</v>
      </c>
      <c r="D14" s="12" t="s">
        <v>72</v>
      </c>
      <c r="F14" s="10" t="s">
        <v>105</v>
      </c>
      <c r="G14" s="21">
        <f>IF(Notional_Ccy="DOM",C14,C14*C10)</f>
        <v>788200</v>
      </c>
      <c r="H14" s="12" t="s">
        <v>7</v>
      </c>
      <c r="J14" s="107" t="s">
        <v>149</v>
      </c>
      <c r="K14" s="21">
        <f>G29*Foreign_Ccy_Notional*S0/ResultDomesticFXSpotRate</f>
        <v>51338.703178580028</v>
      </c>
      <c r="L14" s="22" t="str">
        <f t="shared" si="0"/>
        <v>FOR</v>
      </c>
    </row>
    <row r="15" spans="2:12" x14ac:dyDescent="0.2">
      <c r="B15" s="27" t="s">
        <v>104</v>
      </c>
      <c r="C15" s="28" t="s">
        <v>1</v>
      </c>
      <c r="D15" s="29"/>
      <c r="F15" s="10" t="s">
        <v>46</v>
      </c>
      <c r="G15" s="24" cm="1">
        <f t="array" ref="G15">_xlfn.IFS(Methodology="With Currency Basis",r_d_basis_adj,Methodology="By Interest Rate Parity",r_d)</f>
        <v>5.3810000000000004E-2</v>
      </c>
      <c r="H15" s="12" t="s">
        <v>65</v>
      </c>
      <c r="J15" s="10" t="s">
        <v>21</v>
      </c>
      <c r="K15" s="21">
        <f>G30*Foreign_Ccy_Notional/ResultDomesticFXSpotRate</f>
        <v>1009.683980683159</v>
      </c>
      <c r="L15" s="22" t="str">
        <f t="shared" si="0"/>
        <v>FOR</v>
      </c>
    </row>
    <row r="16" spans="2:12" x14ac:dyDescent="0.2">
      <c r="F16" s="10" t="s">
        <v>45</v>
      </c>
      <c r="G16" s="24">
        <f>r_f</f>
        <v>4.6600000000000003E-2</v>
      </c>
      <c r="H16" s="12" t="s">
        <v>65</v>
      </c>
      <c r="J16" s="10" t="s">
        <v>38</v>
      </c>
      <c r="K16" s="21">
        <f>G31*Foreign_Ccy_Notional/ResultDomesticFXSpotRate</f>
        <v>-14.031490265650316</v>
      </c>
      <c r="L16" s="22" t="str">
        <f t="shared" si="0"/>
        <v>FOR</v>
      </c>
    </row>
    <row r="17" spans="2:12" x14ac:dyDescent="0.2">
      <c r="B17" s="3" t="s">
        <v>52</v>
      </c>
      <c r="C17" s="30" t="s">
        <v>5</v>
      </c>
      <c r="F17" s="10" t="s">
        <v>44</v>
      </c>
      <c r="G17" s="24">
        <f>r_-q_</f>
        <v>7.2100000000000011E-3</v>
      </c>
      <c r="H17" s="12" t="s">
        <v>65</v>
      </c>
      <c r="J17" s="10" t="s">
        <v>37</v>
      </c>
      <c r="K17" s="21">
        <f>G32*Foreign_Ccy_Notional*S0/ResultDomesticFXSpotRate</f>
        <v>10187.25255119459</v>
      </c>
      <c r="L17" s="22" t="str">
        <f t="shared" si="0"/>
        <v>FOR</v>
      </c>
    </row>
    <row r="18" spans="2:12" ht="15.75" x14ac:dyDescent="0.3">
      <c r="F18" s="27" t="s">
        <v>153</v>
      </c>
      <c r="G18" s="111">
        <f>C21</f>
        <v>0.65627100000000005</v>
      </c>
      <c r="H18" s="29" t="s">
        <v>3</v>
      </c>
      <c r="J18" s="107" t="s">
        <v>36</v>
      </c>
      <c r="K18" s="21">
        <f>G33*Foreign_Ccy_Notional/ResultDomesticFXSpotRate</f>
        <v>-494.48367405598066</v>
      </c>
      <c r="L18" s="22" t="str">
        <f t="shared" si="0"/>
        <v>FOR</v>
      </c>
    </row>
    <row r="19" spans="2:12" ht="15.75" x14ac:dyDescent="0.3">
      <c r="B19" s="1" t="s">
        <v>103</v>
      </c>
      <c r="J19" s="108" t="s">
        <v>35</v>
      </c>
      <c r="K19" s="31">
        <f>G34*Foreign_Ccy_Notional/ResultDomesticFXSpotRate</f>
        <v>-399.27771785084946</v>
      </c>
      <c r="L19" s="32" t="str">
        <f t="shared" si="0"/>
        <v>FOR</v>
      </c>
    </row>
    <row r="20" spans="2:12" x14ac:dyDescent="0.2">
      <c r="B20" s="3" t="s">
        <v>83</v>
      </c>
      <c r="C20" s="4" t="s">
        <v>96</v>
      </c>
      <c r="D20" s="5" t="s">
        <v>31</v>
      </c>
      <c r="F20" s="1" t="s">
        <v>102</v>
      </c>
      <c r="G20" s="33"/>
    </row>
    <row r="21" spans="2:12" x14ac:dyDescent="0.2">
      <c r="B21" s="27" t="s">
        <v>99</v>
      </c>
      <c r="C21" s="34">
        <v>0.65627100000000005</v>
      </c>
      <c r="D21" s="29" t="s">
        <v>3</v>
      </c>
      <c r="F21" s="3" t="s">
        <v>83</v>
      </c>
      <c r="G21" s="9" t="s">
        <v>96</v>
      </c>
      <c r="J21" s="1" t="s">
        <v>101</v>
      </c>
    </row>
    <row r="22" spans="2:12" ht="13.5" x14ac:dyDescent="0.25">
      <c r="F22" s="7" t="s">
        <v>129</v>
      </c>
      <c r="G22" s="35">
        <f>(LN(S0/K)+(μ+0.5*σ*σ)*T)/(σ*SQRT(T))</f>
        <v>-1.632009872950889</v>
      </c>
      <c r="J22" s="3" t="s">
        <v>100</v>
      </c>
      <c r="K22" s="4" t="s">
        <v>96</v>
      </c>
      <c r="L22" s="5" t="s">
        <v>31</v>
      </c>
    </row>
    <row r="23" spans="2:12" ht="13.5" x14ac:dyDescent="0.25">
      <c r="B23" s="1" t="s">
        <v>97</v>
      </c>
      <c r="F23" s="27" t="s">
        <v>130</v>
      </c>
      <c r="G23" s="37">
        <f>d1_-σ*SQRT(T)</f>
        <v>-1.73065119871711</v>
      </c>
      <c r="J23" s="36" t="s">
        <v>39</v>
      </c>
      <c r="K23" s="17">
        <f>G41/ResultDomesticFXSpotRate</f>
        <v>39837.98260648569</v>
      </c>
      <c r="L23" s="18" t="str">
        <f>$K$3</f>
        <v>FOR</v>
      </c>
    </row>
    <row r="24" spans="2:12" x14ac:dyDescent="0.2">
      <c r="B24" s="3" t="s">
        <v>83</v>
      </c>
      <c r="C24" s="4" t="s">
        <v>96</v>
      </c>
      <c r="D24" s="5" t="s">
        <v>31</v>
      </c>
      <c r="J24" s="38" t="s">
        <v>98</v>
      </c>
      <c r="K24" s="31">
        <f>MonteCarlo!L6</f>
        <v>39843.099060626686</v>
      </c>
      <c r="L24" s="32" t="str">
        <f>$K$3</f>
        <v>FOR</v>
      </c>
    </row>
    <row r="25" spans="2:12" x14ac:dyDescent="0.2">
      <c r="B25" s="10" t="s">
        <v>94</v>
      </c>
      <c r="C25" s="25">
        <v>45107</v>
      </c>
      <c r="D25" s="12"/>
      <c r="F25" s="1" t="s">
        <v>95</v>
      </c>
    </row>
    <row r="26" spans="2:12" x14ac:dyDescent="0.2">
      <c r="B26" s="10" t="s">
        <v>93</v>
      </c>
      <c r="C26" s="39">
        <v>0.66290000000000004</v>
      </c>
      <c r="D26" s="12" t="s">
        <v>3</v>
      </c>
      <c r="F26" s="3" t="s">
        <v>83</v>
      </c>
      <c r="G26" s="4" t="s">
        <v>79</v>
      </c>
      <c r="H26" s="5" t="s">
        <v>31</v>
      </c>
    </row>
    <row r="27" spans="2:12" x14ac:dyDescent="0.2">
      <c r="B27" s="10" t="s">
        <v>91</v>
      </c>
      <c r="C27" s="39">
        <v>0.66796199999999994</v>
      </c>
      <c r="D27" s="12" t="s">
        <v>3</v>
      </c>
      <c r="F27" s="10" t="s">
        <v>92</v>
      </c>
      <c r="G27" s="16" cm="1">
        <f t="array" ref="G27">CP*(S0*EXP(-q_*T)*_xlfn.NORM.S.DIST(CP*d1_,TRUE)-K*EXP(-r_*T)*_xlfn.NORM.S.DIST(CP*d2_,TRUE))</f>
        <v>1.2958441280678384E-3</v>
      </c>
      <c r="H27" s="12" t="s">
        <v>7</v>
      </c>
    </row>
    <row r="28" spans="2:12" ht="19.5" x14ac:dyDescent="0.35">
      <c r="B28" s="10" t="s">
        <v>90</v>
      </c>
      <c r="C28" s="114">
        <v>9.81724</v>
      </c>
      <c r="D28" s="12" t="s">
        <v>65</v>
      </c>
      <c r="F28" s="107" t="s">
        <v>147</v>
      </c>
      <c r="G28" s="40">
        <f>CP*EXP(-q_*T)*_xlfn.NORM.S.DIST(CP*d1_,TRUE)</f>
        <v>4.8979344950531405E-2</v>
      </c>
      <c r="H28" s="12" t="s">
        <v>1</v>
      </c>
    </row>
    <row r="29" spans="2:12" ht="18.75" x14ac:dyDescent="0.35">
      <c r="B29" s="10" t="s">
        <v>89</v>
      </c>
      <c r="C29" s="112">
        <v>4.66</v>
      </c>
      <c r="D29" s="12" t="s">
        <v>65</v>
      </c>
      <c r="F29" s="107" t="s">
        <v>146</v>
      </c>
      <c r="G29" s="40">
        <f>CP*_xlfn.NORM.S.DIST(CP*d1_,TRUE)</f>
        <v>5.1338703178580025E-2</v>
      </c>
      <c r="H29" s="12" t="s">
        <v>1</v>
      </c>
    </row>
    <row r="30" spans="2:12" x14ac:dyDescent="0.2">
      <c r="B30" s="27" t="s">
        <v>87</v>
      </c>
      <c r="C30" s="113">
        <v>5.3810000000000002</v>
      </c>
      <c r="D30" s="29" t="s">
        <v>65</v>
      </c>
      <c r="F30" s="10" t="s">
        <v>88</v>
      </c>
      <c r="G30" s="40">
        <f>1%*S0*SQRT(T)*_xlfn.NORM.S.DIST(d1_,FALSE)*EXP(-q_*T)</f>
        <v>6.6931951079486607E-4</v>
      </c>
      <c r="H30" s="12" t="s">
        <v>7</v>
      </c>
    </row>
    <row r="31" spans="2:12" x14ac:dyDescent="0.2">
      <c r="F31" s="10" t="s">
        <v>86</v>
      </c>
      <c r="G31" s="41">
        <f>(1/365)*
(
-(S0*EXP(-r_*T)*_xlfn.NORM.S.DIST(d1_*CP,FALSE)*σ)/(2*SQRT(T))
+q_*EXP(-q_*T)*S0*_xlfn.NORM.S.DIST(d1_*CP,TRUE)
-r_*EXP(-r_*T)*K*_xlfn.NORM.S.DIST(d2_*CP,TRUE)
)</f>
        <v>-9.3014748970995955E-6</v>
      </c>
      <c r="H31" s="12" t="s">
        <v>7</v>
      </c>
    </row>
    <row r="32" spans="2:12" x14ac:dyDescent="0.2">
      <c r="F32" s="10" t="s">
        <v>85</v>
      </c>
      <c r="G32" s="42">
        <f>(1%*S0)*(EXP(-q_*T)*_xlfn.NORM.S.DIST(d1_,FALSE)/(S0*σ*SQRT(T)))</f>
        <v>1.0187252551194589E-2</v>
      </c>
      <c r="H32" s="12" t="s">
        <v>1</v>
      </c>
    </row>
    <row r="33" spans="6:8" ht="15.75" x14ac:dyDescent="0.3">
      <c r="F33" s="107" t="s">
        <v>151</v>
      </c>
      <c r="G33" s="42">
        <f>(1%)*(-T*EXP(-q_*T)*S0*_xlfn.NORM.S.DIST(d1_,TRUE))</f>
        <v>-3.2779322753170956E-4</v>
      </c>
      <c r="H33" s="12" t="s">
        <v>7</v>
      </c>
    </row>
    <row r="34" spans="6:8" ht="15.75" x14ac:dyDescent="0.3">
      <c r="F34" s="108" t="s">
        <v>152</v>
      </c>
      <c r="G34" s="43">
        <f>1%*-T*EXP(-r_*T)*S0*_xlfn.NORM.S.DIST(d2_,TRUE)</f>
        <v>-2.6468119916332815E-4</v>
      </c>
      <c r="H34" s="29" t="s">
        <v>7</v>
      </c>
    </row>
    <row r="36" spans="6:8" x14ac:dyDescent="0.2">
      <c r="F36" s="1" t="s">
        <v>84</v>
      </c>
    </row>
    <row r="37" spans="6:8" x14ac:dyDescent="0.2">
      <c r="F37" s="3" t="s">
        <v>83</v>
      </c>
      <c r="G37" s="4" t="s">
        <v>83</v>
      </c>
      <c r="H37" s="5" t="s">
        <v>31</v>
      </c>
    </row>
    <row r="38" spans="6:8" x14ac:dyDescent="0.2">
      <c r="F38" s="7" t="s">
        <v>82</v>
      </c>
      <c r="G38" s="44">
        <f>_xlfn.NORM.S.DIST(CP*d2_,TRUE)</f>
        <v>4.1756997083841417E-2</v>
      </c>
      <c r="H38" s="9" t="s">
        <v>65</v>
      </c>
    </row>
    <row r="39" spans="6:8" x14ac:dyDescent="0.2">
      <c r="F39" s="10" t="s">
        <v>27</v>
      </c>
      <c r="G39" s="45" cm="1">
        <f t="array" ref="G39">_xlfn.IFS(Notional_Ccy="FOR",EXP(-q_*T),Notional_Ccy="DOM",EXP(-r_*T))</f>
        <v>0.9540432834884498</v>
      </c>
      <c r="H39" s="12"/>
    </row>
    <row r="40" spans="6:8" x14ac:dyDescent="0.2">
      <c r="F40" s="10" t="s">
        <v>81</v>
      </c>
      <c r="G40" s="46">
        <f>Notional_amount*G38*G39</f>
        <v>39837.98260648569</v>
      </c>
      <c r="H40" s="12" t="str">
        <f>Notional_Ccy</f>
        <v>FOR</v>
      </c>
    </row>
    <row r="41" spans="6:8" x14ac:dyDescent="0.2">
      <c r="F41" s="27" t="s">
        <v>80</v>
      </c>
      <c r="G41" s="47">
        <f>IF(Notional_Ccy="DOM",G40,G40*S0)</f>
        <v>26408.598669839364</v>
      </c>
      <c r="H41" s="29" t="s">
        <v>7</v>
      </c>
    </row>
    <row r="45" spans="6:8" x14ac:dyDescent="0.2">
      <c r="F45" s="109"/>
      <c r="G45" s="110"/>
    </row>
    <row r="46" spans="6:8" x14ac:dyDescent="0.2">
      <c r="F46" s="109"/>
      <c r="G46" s="110"/>
    </row>
    <row r="47" spans="6:8" x14ac:dyDescent="0.2">
      <c r="F47" s="109"/>
    </row>
    <row r="48" spans="6:8" x14ac:dyDescent="0.2">
      <c r="F48" s="109"/>
    </row>
    <row r="49" spans="6:6" x14ac:dyDescent="0.2">
      <c r="F49" s="109"/>
    </row>
  </sheetData>
  <pageMargins left="0.7" right="0.7" top="0.75" bottom="0.75" header="0.3" footer="0.3"/>
  <pageSetup paperSize="9" orientation="portrait" r:id="rId1"/>
  <ignoredErrors>
    <ignoredError sqref="K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F9C843D-DCCF-4AAD-B6D1-10B4EC88E42E}">
          <x14:formula1>
            <xm:f>'Data Validation'!$A$1:$A$2</xm:f>
          </x14:formula1>
          <xm:sqref>C9</xm:sqref>
        </x14:dataValidation>
        <x14:dataValidation type="list" allowBlank="1" showInputMessage="1" showErrorMessage="1" xr:uid="{F5BD900C-F250-4238-B035-AFD75B0623DC}">
          <x14:formula1>
            <xm:f>'Data Validation'!$C$1:$C$2</xm:f>
          </x14:formula1>
          <xm:sqref>C12</xm:sqref>
        </x14:dataValidation>
        <x14:dataValidation type="list" allowBlank="1" showInputMessage="1" showErrorMessage="1" xr:uid="{3841EB14-2F97-4F0F-8058-79184E216DA3}">
          <x14:formula1>
            <xm:f>'Data Validation'!$B$1:$B$2</xm:f>
          </x14:formula1>
          <xm:sqref>C15 K3</xm:sqref>
        </x14:dataValidation>
        <x14:dataValidation type="list" allowBlank="1" showInputMessage="1" showErrorMessage="1" xr:uid="{AD8C4DC1-7A1B-4469-8B4C-9254FD51F025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tabSelected="1" workbookViewId="0">
      <selection activeCell="O2" sqref="O2"/>
    </sheetView>
  </sheetViews>
  <sheetFormatPr defaultRowHeight="12" x14ac:dyDescent="0.2"/>
  <cols>
    <col min="1" max="1" width="16.85546875" style="1" bestFit="1" customWidth="1"/>
    <col min="2" max="2" width="10.85546875" style="1" bestFit="1" customWidth="1"/>
    <col min="3" max="3" width="11.5703125" style="1" bestFit="1" customWidth="1"/>
    <col min="4" max="4" width="9.5703125" style="1" bestFit="1" customWidth="1"/>
    <col min="5" max="5" width="14.42578125" style="1" bestFit="1" customWidth="1"/>
    <col min="6" max="6" width="14.140625" style="1" bestFit="1" customWidth="1"/>
    <col min="7" max="7" width="9.140625" style="1"/>
    <col min="8" max="8" width="20.7109375" style="1" bestFit="1" customWidth="1"/>
    <col min="9" max="9" width="9.5703125" style="1" bestFit="1" customWidth="1"/>
    <col min="10" max="10" width="14.42578125" style="1" bestFit="1" customWidth="1"/>
    <col min="11" max="11" width="5.140625" style="1" bestFit="1" customWidth="1"/>
    <col min="12" max="12" width="14.140625" style="1" bestFit="1" customWidth="1"/>
    <col min="13" max="13" width="5.140625" style="1" bestFit="1" customWidth="1"/>
    <col min="14" max="14" width="9.7109375" style="1" customWidth="1"/>
    <col min="15" max="15" width="17.7109375" style="1" bestFit="1" customWidth="1"/>
    <col min="16" max="16" width="10.42578125" style="1" bestFit="1" customWidth="1"/>
    <col min="17" max="16384" width="9.140625" style="1"/>
  </cols>
  <sheetData>
    <row r="1" spans="2:16" x14ac:dyDescent="0.2">
      <c r="J1" s="21"/>
      <c r="K1" s="21"/>
    </row>
    <row r="2" spans="2:16" x14ac:dyDescent="0.2">
      <c r="H2" s="82" t="s">
        <v>34</v>
      </c>
      <c r="I2" s="8"/>
      <c r="J2" s="83" t="s">
        <v>33</v>
      </c>
      <c r="K2" s="9" t="s">
        <v>31</v>
      </c>
      <c r="L2" s="84" t="s">
        <v>32</v>
      </c>
      <c r="M2" s="9" t="s">
        <v>31</v>
      </c>
      <c r="O2" s="7" t="s">
        <v>30</v>
      </c>
      <c r="P2" s="18">
        <v>5000</v>
      </c>
    </row>
    <row r="3" spans="2:16" x14ac:dyDescent="0.2">
      <c r="H3" s="10" t="s">
        <v>29</v>
      </c>
      <c r="J3" s="85">
        <f>J15*Foreign_Ccy_Notional</f>
        <v>1369.4877216524887</v>
      </c>
      <c r="K3" s="22" t="s">
        <v>7</v>
      </c>
      <c r="L3" s="46">
        <f>Notional_amount*L15</f>
        <v>41762.359999999986</v>
      </c>
      <c r="M3" s="12" t="str">
        <f>Notional_Ccy</f>
        <v>FOR</v>
      </c>
      <c r="O3" s="10" t="s">
        <v>28</v>
      </c>
      <c r="P3" s="86">
        <v>5000</v>
      </c>
    </row>
    <row r="4" spans="2:16" x14ac:dyDescent="0.2">
      <c r="H4" s="10" t="s">
        <v>27</v>
      </c>
      <c r="J4" s="87">
        <f>EXP(-r_*T)</f>
        <v>0.94712397548866312</v>
      </c>
      <c r="K4" s="88"/>
      <c r="L4" s="45">
        <f>'GK Pricer'!G39</f>
        <v>0.9540432834884498</v>
      </c>
      <c r="M4" s="12"/>
      <c r="O4" s="10" t="s">
        <v>26</v>
      </c>
      <c r="P4" s="22">
        <f>P2*P3</f>
        <v>25000000</v>
      </c>
    </row>
    <row r="5" spans="2:16" x14ac:dyDescent="0.2">
      <c r="H5" s="10" t="s">
        <v>22</v>
      </c>
      <c r="J5" s="85">
        <f>J3*J4</f>
        <v>1297.0746553144168</v>
      </c>
      <c r="K5" s="22" t="s">
        <v>7</v>
      </c>
      <c r="L5" s="21">
        <f>L3*L4</f>
        <v>39843.099060626686</v>
      </c>
      <c r="M5" s="12" t="str">
        <f>Notional_Ccy</f>
        <v>FOR</v>
      </c>
      <c r="O5" s="10" t="s">
        <v>25</v>
      </c>
      <c r="P5" s="89">
        <v>34.52734375</v>
      </c>
    </row>
    <row r="6" spans="2:16" x14ac:dyDescent="0.2">
      <c r="D6" s="90"/>
      <c r="E6" s="23"/>
      <c r="H6" s="27"/>
      <c r="I6" s="91"/>
      <c r="J6" s="38">
        <f>J5/ResultDomesticFXSpotRate</f>
        <v>1956.6671523825867</v>
      </c>
      <c r="K6" s="92" t="str">
        <f>ResultCurrency</f>
        <v>FOR</v>
      </c>
      <c r="L6" s="93">
        <f>L5/ResultNotionalFXSpotRate</f>
        <v>39843.099060626686</v>
      </c>
      <c r="M6" s="29" t="str">
        <f>ResultCurrency</f>
        <v>FOR</v>
      </c>
      <c r="O6" s="27" t="s">
        <v>24</v>
      </c>
      <c r="P6" s="94">
        <f>Monte_Carlo_Runtime/60</f>
        <v>0.57545572916666665</v>
      </c>
    </row>
    <row r="7" spans="2:16" x14ac:dyDescent="0.2">
      <c r="D7" s="23"/>
      <c r="E7" s="115"/>
      <c r="F7" s="115"/>
      <c r="H7" s="82" t="s">
        <v>23</v>
      </c>
      <c r="I7" s="8"/>
      <c r="J7" s="7"/>
      <c r="K7" s="9"/>
      <c r="L7" s="17"/>
      <c r="M7" s="9"/>
    </row>
    <row r="8" spans="2:16" x14ac:dyDescent="0.2">
      <c r="D8" s="23"/>
      <c r="E8" s="95"/>
      <c r="F8" s="95"/>
      <c r="H8" s="10" t="s">
        <v>22</v>
      </c>
      <c r="J8" s="85">
        <f>'GK Pricer'!K11</f>
        <v>1954.810873537243</v>
      </c>
      <c r="K8" s="12" t="str">
        <f>ResultCurrency</f>
        <v>FOR</v>
      </c>
      <c r="L8" s="21">
        <f>'GK Pricer'!$K$23</f>
        <v>39837.98260648569</v>
      </c>
      <c r="M8" s="12" t="str">
        <f>ResultCurrency</f>
        <v>FOR</v>
      </c>
    </row>
    <row r="9" spans="2:16" x14ac:dyDescent="0.2">
      <c r="D9" s="23"/>
      <c r="E9" s="95"/>
      <c r="F9" s="95"/>
      <c r="H9" s="27" t="s">
        <v>21</v>
      </c>
      <c r="I9" s="91"/>
      <c r="J9" s="38">
        <f>'GK Pricer'!K15</f>
        <v>1009.683980683159</v>
      </c>
      <c r="K9" s="29" t="str">
        <f>ResultCurrency</f>
        <v>FOR</v>
      </c>
      <c r="L9" s="91"/>
      <c r="M9" s="29" t="str">
        <f>ResultCurrency</f>
        <v>FOR</v>
      </c>
    </row>
    <row r="10" spans="2:16" x14ac:dyDescent="0.2">
      <c r="D10" s="23"/>
      <c r="E10" s="95"/>
      <c r="F10" s="95"/>
      <c r="H10" s="7" t="s">
        <v>20</v>
      </c>
      <c r="I10" s="8"/>
      <c r="J10" s="36">
        <f>J8-J6</f>
        <v>-1.8562788453436951</v>
      </c>
      <c r="K10" s="9" t="str">
        <f>ResultCurrency</f>
        <v>FOR</v>
      </c>
      <c r="L10" s="17">
        <f>L8-L6</f>
        <v>-5.1164541409962112</v>
      </c>
      <c r="M10" s="9" t="str">
        <f>ResultCurrency</f>
        <v>FOR</v>
      </c>
    </row>
    <row r="11" spans="2:16" x14ac:dyDescent="0.2">
      <c r="D11" s="23"/>
      <c r="E11" s="95"/>
      <c r="F11" s="95"/>
      <c r="H11" s="27" t="s">
        <v>19</v>
      </c>
      <c r="I11" s="91"/>
      <c r="J11" s="96">
        <f>J10/J9</f>
        <v>-1.8384750881040267E-3</v>
      </c>
      <c r="K11" s="29"/>
      <c r="L11" s="31"/>
      <c r="M11" s="29"/>
    </row>
    <row r="12" spans="2:16" x14ac:dyDescent="0.2">
      <c r="D12" s="23"/>
      <c r="E12" s="95"/>
      <c r="F12" s="95"/>
      <c r="L12" s="21"/>
    </row>
    <row r="13" spans="2:16" x14ac:dyDescent="0.2">
      <c r="D13" s="23"/>
      <c r="E13" s="95"/>
      <c r="F13" s="95"/>
      <c r="L13" s="21"/>
    </row>
    <row r="14" spans="2:16" x14ac:dyDescent="0.2">
      <c r="B14" s="91"/>
      <c r="C14" s="91" t="s">
        <v>18</v>
      </c>
      <c r="D14" s="91" t="s">
        <v>17</v>
      </c>
      <c r="E14" s="91" t="s">
        <v>16</v>
      </c>
      <c r="F14" s="91" t="s">
        <v>15</v>
      </c>
      <c r="I14" s="1" t="s">
        <v>17</v>
      </c>
      <c r="J14" s="1" t="s">
        <v>16</v>
      </c>
      <c r="L14" s="21" t="s">
        <v>15</v>
      </c>
    </row>
    <row r="15" spans="2:16" x14ac:dyDescent="0.2">
      <c r="B15" s="4" t="s">
        <v>14</v>
      </c>
      <c r="C15" s="97">
        <f ca="1">AVERAGE(C16:C5015)</f>
        <v>-5.5067062021407762E-18</v>
      </c>
      <c r="D15" s="97">
        <f ca="1">AVERAGE(D16:D5015)</f>
        <v>0.66777791743342918</v>
      </c>
      <c r="E15" s="98">
        <f ca="1">AVERAGE(E16:E5015)</f>
        <v>1.3229385931250804E-3</v>
      </c>
      <c r="F15" s="99">
        <f ca="1">AVERAGE(F16:F5015)</f>
        <v>4.2200000000000001E-2</v>
      </c>
      <c r="H15" s="1" t="s">
        <v>13</v>
      </c>
      <c r="I15" s="97">
        <f>AVERAGE(I16:I5015)</f>
        <v>0.66774354897216448</v>
      </c>
      <c r="J15" s="98">
        <f>AVERAGE(J16:J5015)</f>
        <v>1.3694877216524888E-3</v>
      </c>
      <c r="K15" s="98"/>
      <c r="L15" s="98">
        <f>AVERAGE(L16:L5015)</f>
        <v>4.1762359999999984E-2</v>
      </c>
      <c r="O15" s="100"/>
      <c r="P15" s="21"/>
    </row>
    <row r="16" spans="2:16" x14ac:dyDescent="0.2">
      <c r="B16" s="1">
        <v>1</v>
      </c>
      <c r="C16" s="101">
        <f t="shared" ref="C16:C79" ca="1" si="0">_xlfn.NORM.S.INV(RAND())</f>
        <v>0.95369386547886004</v>
      </c>
      <c r="D16" s="101">
        <f t="shared" ref="D16:D79" ca="1" si="1">S0*EXP((μ-0.5*σ*σ)*T+σ*SQRT(T)*$C16)</f>
        <v>0.73004907896871374</v>
      </c>
      <c r="E16" s="101">
        <f t="shared" ref="E16:E79" ca="1" si="2">MAX(0,CP*(D16-K))</f>
        <v>0</v>
      </c>
      <c r="F16" s="21">
        <f t="shared" ref="F16:F79" ca="1" si="3">(CP*(D16-K)&gt;0)*1</f>
        <v>0</v>
      </c>
      <c r="H16" s="21">
        <v>1</v>
      </c>
      <c r="I16" s="102">
        <v>0.66776703563950057</v>
      </c>
      <c r="J16" s="103">
        <v>1.2960386532177776E-3</v>
      </c>
      <c r="K16" s="103"/>
      <c r="L16" s="103">
        <v>4.2599999999999999E-2</v>
      </c>
      <c r="O16" s="100"/>
    </row>
    <row r="17" spans="2:15" x14ac:dyDescent="0.2">
      <c r="B17" s="1">
        <v>2</v>
      </c>
      <c r="C17" s="101">
        <f t="shared" ca="1" si="0"/>
        <v>1.7054388950905708</v>
      </c>
      <c r="D17" s="101">
        <f t="shared" ca="1" si="1"/>
        <v>0.78624220176815118</v>
      </c>
      <c r="E17" s="101">
        <f t="shared" ca="1" si="2"/>
        <v>0</v>
      </c>
      <c r="F17" s="21">
        <f t="shared" ca="1" si="3"/>
        <v>0</v>
      </c>
      <c r="H17" s="21">
        <v>2</v>
      </c>
      <c r="I17" s="102">
        <v>0.66768882637132188</v>
      </c>
      <c r="J17" s="103">
        <v>1.396618653239056E-3</v>
      </c>
      <c r="K17" s="103"/>
      <c r="L17" s="103">
        <v>4.2599999999999999E-2</v>
      </c>
      <c r="O17" s="100"/>
    </row>
    <row r="18" spans="2:15" x14ac:dyDescent="0.2">
      <c r="B18" s="1">
        <v>3</v>
      </c>
      <c r="C18" s="101">
        <f t="shared" ca="1" si="0"/>
        <v>2.2761156087665149</v>
      </c>
      <c r="D18" s="101">
        <f t="shared" ca="1" si="1"/>
        <v>0.83177102892521926</v>
      </c>
      <c r="E18" s="101">
        <f t="shared" ca="1" si="2"/>
        <v>4.3571028925219246E-2</v>
      </c>
      <c r="F18" s="21">
        <f t="shared" ca="1" si="3"/>
        <v>1</v>
      </c>
      <c r="H18" s="21">
        <v>3</v>
      </c>
      <c r="I18" s="102">
        <v>0.66785079821954596</v>
      </c>
      <c r="J18" s="103">
        <v>1.473600720880661E-3</v>
      </c>
      <c r="K18" s="103"/>
      <c r="L18" s="103">
        <v>4.3999999999999997E-2</v>
      </c>
      <c r="O18" s="16"/>
    </row>
    <row r="19" spans="2:15" x14ac:dyDescent="0.2">
      <c r="B19" s="1">
        <v>4</v>
      </c>
      <c r="C19" s="101">
        <f t="shared" ca="1" si="0"/>
        <v>-0.81344331265599379</v>
      </c>
      <c r="D19" s="101">
        <f t="shared" ca="1" si="1"/>
        <v>0.61326614472148344</v>
      </c>
      <c r="E19" s="101">
        <f t="shared" ca="1" si="2"/>
        <v>0</v>
      </c>
      <c r="F19" s="21">
        <f t="shared" ca="1" si="3"/>
        <v>0</v>
      </c>
      <c r="H19" s="21">
        <v>4</v>
      </c>
      <c r="I19" s="102">
        <v>0.66759025644363479</v>
      </c>
      <c r="J19" s="103">
        <v>1.1101527662044587E-3</v>
      </c>
      <c r="K19" s="103"/>
      <c r="L19" s="103">
        <v>3.78E-2</v>
      </c>
      <c r="O19" s="100"/>
    </row>
    <row r="20" spans="2:15" x14ac:dyDescent="0.2">
      <c r="B20" s="1">
        <v>5</v>
      </c>
      <c r="C20" s="101">
        <f t="shared" ca="1" si="0"/>
        <v>0.53037559266844247</v>
      </c>
      <c r="D20" s="101">
        <f t="shared" ca="1" si="1"/>
        <v>0.70019235327997942</v>
      </c>
      <c r="E20" s="101">
        <f t="shared" ca="1" si="2"/>
        <v>0</v>
      </c>
      <c r="F20" s="21">
        <f t="shared" ca="1" si="3"/>
        <v>0</v>
      </c>
      <c r="H20" s="21">
        <v>5</v>
      </c>
      <c r="I20" s="102">
        <v>0.66777040761783912</v>
      </c>
      <c r="J20" s="103">
        <v>1.3288693276814337E-3</v>
      </c>
      <c r="K20" s="103"/>
      <c r="L20" s="103">
        <v>4.36E-2</v>
      </c>
      <c r="O20" s="100"/>
    </row>
    <row r="21" spans="2:15" x14ac:dyDescent="0.2">
      <c r="B21" s="1">
        <v>6</v>
      </c>
      <c r="C21" s="101">
        <f t="shared" ca="1" si="0"/>
        <v>-0.23930235182415646</v>
      </c>
      <c r="D21" s="101">
        <f t="shared" ca="1" si="1"/>
        <v>0.64900020646870571</v>
      </c>
      <c r="E21" s="101">
        <f t="shared" ca="1" si="2"/>
        <v>0</v>
      </c>
      <c r="F21" s="21">
        <f t="shared" ca="1" si="3"/>
        <v>0</v>
      </c>
      <c r="H21" s="21">
        <v>6</v>
      </c>
      <c r="I21" s="102">
        <v>0.66776502954697559</v>
      </c>
      <c r="J21" s="103">
        <v>1.4592337801726672E-3</v>
      </c>
      <c r="K21" s="103"/>
      <c r="L21" s="103">
        <v>4.3999999999999997E-2</v>
      </c>
      <c r="O21" s="100"/>
    </row>
    <row r="22" spans="2:15" x14ac:dyDescent="0.2">
      <c r="B22" s="1">
        <v>7</v>
      </c>
      <c r="C22" s="101">
        <f t="shared" ca="1" si="0"/>
        <v>0.22567199560295256</v>
      </c>
      <c r="D22" s="101">
        <f t="shared" ca="1" si="1"/>
        <v>0.67946024179980347</v>
      </c>
      <c r="E22" s="101">
        <f t="shared" ca="1" si="2"/>
        <v>0</v>
      </c>
      <c r="F22" s="21">
        <f t="shared" ca="1" si="3"/>
        <v>0</v>
      </c>
      <c r="H22" s="21">
        <v>7</v>
      </c>
      <c r="I22" s="102">
        <v>0.66784500328255658</v>
      </c>
      <c r="J22" s="103">
        <v>1.4133959455391537E-3</v>
      </c>
      <c r="K22" s="103"/>
      <c r="L22" s="103">
        <v>4.3200000000000002E-2</v>
      </c>
      <c r="O22" s="100"/>
    </row>
    <row r="23" spans="2:15" x14ac:dyDescent="0.2">
      <c r="B23" s="1">
        <v>8</v>
      </c>
      <c r="C23" s="101">
        <f t="shared" ca="1" si="0"/>
        <v>-1.5048374532125237</v>
      </c>
      <c r="D23" s="101">
        <f t="shared" ca="1" si="1"/>
        <v>0.57283572034123498</v>
      </c>
      <c r="E23" s="101">
        <f t="shared" ca="1" si="2"/>
        <v>0</v>
      </c>
      <c r="F23" s="21">
        <f t="shared" ca="1" si="3"/>
        <v>0</v>
      </c>
      <c r="H23" s="21">
        <v>8</v>
      </c>
      <c r="I23" s="102">
        <v>0.66774836643201407</v>
      </c>
      <c r="J23" s="103">
        <v>1.3667654922595509E-3</v>
      </c>
      <c r="K23" s="103"/>
      <c r="L23" s="103">
        <v>4.1799999999999997E-2</v>
      </c>
      <c r="O23" s="100"/>
    </row>
    <row r="24" spans="2:15" x14ac:dyDescent="0.2">
      <c r="B24" s="1">
        <v>9</v>
      </c>
      <c r="C24" s="101">
        <f t="shared" ca="1" si="0"/>
        <v>-0.29506576560466774</v>
      </c>
      <c r="D24" s="101">
        <f t="shared" ca="1" si="1"/>
        <v>0.64544013102900066</v>
      </c>
      <c r="E24" s="101">
        <f t="shared" ca="1" si="2"/>
        <v>0</v>
      </c>
      <c r="F24" s="21">
        <f t="shared" ca="1" si="3"/>
        <v>0</v>
      </c>
      <c r="H24" s="21">
        <v>9</v>
      </c>
      <c r="I24" s="102">
        <v>0.66770823338445984</v>
      </c>
      <c r="J24" s="103">
        <v>1.2315142125441472E-3</v>
      </c>
      <c r="K24" s="103"/>
      <c r="L24" s="103">
        <v>0.04</v>
      </c>
      <c r="O24" s="100"/>
    </row>
    <row r="25" spans="2:15" x14ac:dyDescent="0.2">
      <c r="B25" s="1">
        <v>10</v>
      </c>
      <c r="C25" s="101">
        <f t="shared" ca="1" si="0"/>
        <v>-0.39587120458165598</v>
      </c>
      <c r="D25" s="101">
        <f t="shared" ca="1" si="1"/>
        <v>0.6390539474561342</v>
      </c>
      <c r="E25" s="101">
        <f t="shared" ca="1" si="2"/>
        <v>0</v>
      </c>
      <c r="F25" s="21">
        <f t="shared" ca="1" si="3"/>
        <v>0</v>
      </c>
      <c r="H25" s="21">
        <v>10</v>
      </c>
      <c r="I25" s="102">
        <v>0.66774814278363359</v>
      </c>
      <c r="J25" s="103">
        <v>1.4308163884120657E-3</v>
      </c>
      <c r="K25" s="103"/>
      <c r="L25" s="103">
        <v>4.4999999999999998E-2</v>
      </c>
      <c r="O25" s="100"/>
    </row>
    <row r="26" spans="2:15" x14ac:dyDescent="0.2">
      <c r="B26" s="1">
        <v>11</v>
      </c>
      <c r="C26" s="101">
        <f t="shared" ca="1" si="0"/>
        <v>-1.2416064257219643</v>
      </c>
      <c r="D26" s="101">
        <f t="shared" ca="1" si="1"/>
        <v>0.58790444851460222</v>
      </c>
      <c r="E26" s="101">
        <f t="shared" ca="1" si="2"/>
        <v>0</v>
      </c>
      <c r="F26" s="21">
        <f t="shared" ca="1" si="3"/>
        <v>0</v>
      </c>
      <c r="H26" s="21">
        <v>11</v>
      </c>
      <c r="I26" s="102">
        <v>0.66777267839014709</v>
      </c>
      <c r="J26" s="103">
        <v>1.3507550728280792E-3</v>
      </c>
      <c r="K26" s="103"/>
      <c r="L26" s="103">
        <v>3.9600000000000003E-2</v>
      </c>
      <c r="O26" s="100"/>
    </row>
    <row r="27" spans="2:15" x14ac:dyDescent="0.2">
      <c r="B27" s="1">
        <v>12</v>
      </c>
      <c r="C27" s="101">
        <f t="shared" ca="1" si="0"/>
        <v>1.4237209067181824</v>
      </c>
      <c r="D27" s="101">
        <f t="shared" ca="1" si="1"/>
        <v>0.76469407649625953</v>
      </c>
      <c r="E27" s="101">
        <f t="shared" ca="1" si="2"/>
        <v>0</v>
      </c>
      <c r="F27" s="21">
        <f t="shared" ca="1" si="3"/>
        <v>0</v>
      </c>
      <c r="H27" s="21">
        <v>12</v>
      </c>
      <c r="I27" s="102">
        <v>0.6675340280571741</v>
      </c>
      <c r="J27" s="103">
        <v>1.2598706194506138E-3</v>
      </c>
      <c r="K27" s="103"/>
      <c r="L27" s="103">
        <v>3.44E-2</v>
      </c>
      <c r="O27" s="100"/>
    </row>
    <row r="28" spans="2:15" x14ac:dyDescent="0.2">
      <c r="B28" s="1">
        <v>13</v>
      </c>
      <c r="C28" s="101">
        <f t="shared" ca="1" si="0"/>
        <v>-8.2732478165492382E-2</v>
      </c>
      <c r="D28" s="101">
        <f t="shared" ca="1" si="1"/>
        <v>0.65910133579385599</v>
      </c>
      <c r="E28" s="101">
        <f t="shared" ca="1" si="2"/>
        <v>0</v>
      </c>
      <c r="F28" s="21">
        <f t="shared" ca="1" si="3"/>
        <v>0</v>
      </c>
      <c r="H28" s="21">
        <v>13</v>
      </c>
      <c r="I28" s="102">
        <v>0.66777748055072705</v>
      </c>
      <c r="J28" s="103">
        <v>1.3669892397403099E-3</v>
      </c>
      <c r="K28" s="103"/>
      <c r="L28" s="103">
        <v>4.36E-2</v>
      </c>
      <c r="O28" s="100"/>
    </row>
    <row r="29" spans="2:15" x14ac:dyDescent="0.2">
      <c r="B29" s="1">
        <v>14</v>
      </c>
      <c r="C29" s="101">
        <f t="shared" ca="1" si="0"/>
        <v>-2.2271070767918899</v>
      </c>
      <c r="D29" s="101">
        <f t="shared" ca="1" si="1"/>
        <v>0.53344359637927052</v>
      </c>
      <c r="E29" s="101">
        <f t="shared" ca="1" si="2"/>
        <v>0</v>
      </c>
      <c r="F29" s="21">
        <f t="shared" ca="1" si="3"/>
        <v>0</v>
      </c>
      <c r="H29" s="21">
        <v>14</v>
      </c>
      <c r="I29" s="102">
        <v>0.66773797271426616</v>
      </c>
      <c r="J29" s="103">
        <v>1.3965172891750755E-3</v>
      </c>
      <c r="K29" s="103"/>
      <c r="L29" s="103">
        <v>4.3400000000000001E-2</v>
      </c>
      <c r="O29" s="100"/>
    </row>
    <row r="30" spans="2:15" x14ac:dyDescent="0.2">
      <c r="B30" s="1">
        <v>15</v>
      </c>
      <c r="C30" s="101">
        <f t="shared" ca="1" si="0"/>
        <v>-2.6503757847321578</v>
      </c>
      <c r="D30" s="101">
        <f t="shared" ca="1" si="1"/>
        <v>0.51162992189879908</v>
      </c>
      <c r="E30" s="101">
        <f t="shared" ca="1" si="2"/>
        <v>0</v>
      </c>
      <c r="F30" s="21">
        <f t="shared" ca="1" si="3"/>
        <v>0</v>
      </c>
      <c r="H30" s="21">
        <v>15</v>
      </c>
      <c r="I30" s="102">
        <v>0.66791340323891091</v>
      </c>
      <c r="J30" s="103">
        <v>1.4166231563555399E-3</v>
      </c>
      <c r="K30" s="103"/>
      <c r="L30" s="103">
        <v>4.3400000000000001E-2</v>
      </c>
      <c r="O30" s="100"/>
    </row>
    <row r="31" spans="2:15" x14ac:dyDescent="0.2">
      <c r="B31" s="1">
        <v>16</v>
      </c>
      <c r="C31" s="101">
        <f t="shared" ca="1" si="0"/>
        <v>-0.52384899356605652</v>
      </c>
      <c r="D31" s="101">
        <f t="shared" ca="1" si="1"/>
        <v>0.63103730223383703</v>
      </c>
      <c r="E31" s="101">
        <f t="shared" ca="1" si="2"/>
        <v>0</v>
      </c>
      <c r="F31" s="21">
        <f t="shared" ca="1" si="3"/>
        <v>0</v>
      </c>
      <c r="H31" s="21">
        <v>16</v>
      </c>
      <c r="I31" s="102">
        <v>0.667733715005279</v>
      </c>
      <c r="J31" s="103">
        <v>1.4320324040405286E-3</v>
      </c>
      <c r="K31" s="103"/>
      <c r="L31" s="103">
        <v>4.1599999999999998E-2</v>
      </c>
      <c r="O31" s="100"/>
    </row>
    <row r="32" spans="2:15" x14ac:dyDescent="0.2">
      <c r="B32" s="1">
        <v>17</v>
      </c>
      <c r="C32" s="101">
        <f t="shared" ca="1" si="0"/>
        <v>-0.64196188626368011</v>
      </c>
      <c r="D32" s="101">
        <f t="shared" ca="1" si="1"/>
        <v>0.62372786815981252</v>
      </c>
      <c r="E32" s="101">
        <f t="shared" ca="1" si="2"/>
        <v>0</v>
      </c>
      <c r="F32" s="21">
        <f t="shared" ca="1" si="3"/>
        <v>0</v>
      </c>
      <c r="H32" s="21">
        <v>17</v>
      </c>
      <c r="I32" s="102">
        <v>0.66774099917112539</v>
      </c>
      <c r="J32" s="103">
        <v>1.3507378335595344E-3</v>
      </c>
      <c r="K32" s="103"/>
      <c r="L32" s="103">
        <v>4.0599999999999997E-2</v>
      </c>
      <c r="O32" s="100"/>
    </row>
    <row r="33" spans="2:15" x14ac:dyDescent="0.2">
      <c r="B33" s="1">
        <v>18</v>
      </c>
      <c r="C33" s="101">
        <f t="shared" ca="1" si="0"/>
        <v>0.92926716167961232</v>
      </c>
      <c r="D33" s="101">
        <f t="shared" ca="1" si="1"/>
        <v>0.72829215601510344</v>
      </c>
      <c r="E33" s="101">
        <f t="shared" ca="1" si="2"/>
        <v>0</v>
      </c>
      <c r="F33" s="21">
        <f t="shared" ca="1" si="3"/>
        <v>0</v>
      </c>
      <c r="H33" s="21">
        <v>18</v>
      </c>
      <c r="I33" s="102">
        <v>0.66771253276846643</v>
      </c>
      <c r="J33" s="103">
        <v>1.361275067525741E-3</v>
      </c>
      <c r="K33" s="103"/>
      <c r="L33" s="103">
        <v>4.0399999999999998E-2</v>
      </c>
      <c r="O33" s="100"/>
    </row>
    <row r="34" spans="2:15" x14ac:dyDescent="0.2">
      <c r="B34" s="1">
        <v>19</v>
      </c>
      <c r="C34" s="101">
        <f t="shared" ca="1" si="0"/>
        <v>1.3767113284492054</v>
      </c>
      <c r="D34" s="101">
        <f t="shared" ca="1" si="1"/>
        <v>0.76115633219370815</v>
      </c>
      <c r="E34" s="101">
        <f t="shared" ca="1" si="2"/>
        <v>0</v>
      </c>
      <c r="F34" s="21">
        <f t="shared" ca="1" si="3"/>
        <v>0</v>
      </c>
      <c r="H34" s="21">
        <v>19</v>
      </c>
      <c r="I34" s="102">
        <v>0.66763928688632046</v>
      </c>
      <c r="J34" s="103">
        <v>1.1610378761916342E-3</v>
      </c>
      <c r="K34" s="103"/>
      <c r="L34" s="103">
        <v>3.9399999999999998E-2</v>
      </c>
      <c r="O34" s="100"/>
    </row>
    <row r="35" spans="2:15" x14ac:dyDescent="0.2">
      <c r="B35" s="1">
        <v>20</v>
      </c>
      <c r="C35" s="101">
        <f t="shared" ca="1" si="0"/>
        <v>0.37905662093766579</v>
      </c>
      <c r="D35" s="101">
        <f t="shared" ca="1" si="1"/>
        <v>0.689818682249563</v>
      </c>
      <c r="E35" s="101">
        <f t="shared" ca="1" si="2"/>
        <v>0</v>
      </c>
      <c r="F35" s="21">
        <f t="shared" ca="1" si="3"/>
        <v>0</v>
      </c>
      <c r="H35" s="21">
        <v>20</v>
      </c>
      <c r="I35" s="102">
        <v>0.66763054691734647</v>
      </c>
      <c r="J35" s="103">
        <v>1.2480366372019859E-3</v>
      </c>
      <c r="K35" s="103"/>
      <c r="L35" s="103">
        <v>3.9199999999999999E-2</v>
      </c>
      <c r="O35" s="100"/>
    </row>
    <row r="36" spans="2:15" x14ac:dyDescent="0.2">
      <c r="B36" s="1">
        <v>21</v>
      </c>
      <c r="C36" s="101">
        <f t="shared" ca="1" si="0"/>
        <v>0.34290596396739181</v>
      </c>
      <c r="D36" s="101">
        <f t="shared" ca="1" si="1"/>
        <v>0.68736320485030922</v>
      </c>
      <c r="E36" s="101">
        <f t="shared" ca="1" si="2"/>
        <v>0</v>
      </c>
      <c r="F36" s="21">
        <f t="shared" ca="1" si="3"/>
        <v>0</v>
      </c>
      <c r="H36" s="21">
        <v>21</v>
      </c>
      <c r="I36" s="102">
        <v>0.66795029037088405</v>
      </c>
      <c r="J36" s="103">
        <v>1.5238704105218555E-3</v>
      </c>
      <c r="K36" s="103"/>
      <c r="L36" s="103">
        <v>4.5600000000000002E-2</v>
      </c>
      <c r="O36" s="100"/>
    </row>
    <row r="37" spans="2:15" x14ac:dyDescent="0.2">
      <c r="B37" s="1">
        <v>22</v>
      </c>
      <c r="C37" s="101">
        <f t="shared" ca="1" si="0"/>
        <v>-0.64284458352354068</v>
      </c>
      <c r="D37" s="101">
        <f t="shared" ca="1" si="1"/>
        <v>0.62367356227165216</v>
      </c>
      <c r="E37" s="101">
        <f t="shared" ca="1" si="2"/>
        <v>0</v>
      </c>
      <c r="F37" s="21">
        <f t="shared" ca="1" si="3"/>
        <v>0</v>
      </c>
      <c r="H37" s="21">
        <v>22</v>
      </c>
      <c r="I37" s="102">
        <v>0.66783155411341721</v>
      </c>
      <c r="J37" s="103">
        <v>1.6424090681929208E-3</v>
      </c>
      <c r="K37" s="103"/>
      <c r="L37" s="103">
        <v>4.8599999999999997E-2</v>
      </c>
      <c r="O37" s="100"/>
    </row>
    <row r="38" spans="2:15" x14ac:dyDescent="0.2">
      <c r="B38" s="1">
        <v>23</v>
      </c>
      <c r="C38" s="101">
        <f t="shared" ca="1" si="0"/>
        <v>2.3086804037317723</v>
      </c>
      <c r="D38" s="101">
        <f t="shared" ca="1" si="1"/>
        <v>0.83444716845371369</v>
      </c>
      <c r="E38" s="101">
        <f t="shared" ca="1" si="2"/>
        <v>4.6247168453713683E-2</v>
      </c>
      <c r="F38" s="21">
        <f t="shared" ca="1" si="3"/>
        <v>1</v>
      </c>
      <c r="H38" s="21">
        <v>23</v>
      </c>
      <c r="I38" s="102">
        <v>0.66776511682469952</v>
      </c>
      <c r="J38" s="103">
        <v>1.4399693045787513E-3</v>
      </c>
      <c r="K38" s="103"/>
      <c r="L38" s="103">
        <v>4.02E-2</v>
      </c>
      <c r="O38" s="100"/>
    </row>
    <row r="39" spans="2:15" x14ac:dyDescent="0.2">
      <c r="B39" s="1">
        <v>24</v>
      </c>
      <c r="C39" s="101">
        <f t="shared" ca="1" si="0"/>
        <v>1.2241223047919989</v>
      </c>
      <c r="D39" s="101">
        <f t="shared" ca="1" si="1"/>
        <v>0.74978551312175334</v>
      </c>
      <c r="E39" s="101">
        <f t="shared" ca="1" si="2"/>
        <v>0</v>
      </c>
      <c r="F39" s="21">
        <f t="shared" ca="1" si="3"/>
        <v>0</v>
      </c>
      <c r="H39" s="21">
        <v>24</v>
      </c>
      <c r="I39" s="102">
        <v>0.66772504326749305</v>
      </c>
      <c r="J39" s="103">
        <v>1.2258044758674156E-3</v>
      </c>
      <c r="K39" s="103"/>
      <c r="L39" s="103">
        <v>4.2000000000000003E-2</v>
      </c>
      <c r="O39" s="100"/>
    </row>
    <row r="40" spans="2:15" x14ac:dyDescent="0.2">
      <c r="B40" s="1">
        <v>25</v>
      </c>
      <c r="C40" s="101">
        <f t="shared" ca="1" si="0"/>
        <v>2.3906538337333267</v>
      </c>
      <c r="D40" s="101">
        <f t="shared" ca="1" si="1"/>
        <v>0.84122183435242326</v>
      </c>
      <c r="E40" s="101">
        <f t="shared" ca="1" si="2"/>
        <v>5.3021834352423247E-2</v>
      </c>
      <c r="F40" s="21">
        <f t="shared" ca="1" si="3"/>
        <v>1</v>
      </c>
      <c r="H40" s="21">
        <v>25</v>
      </c>
      <c r="I40" s="102">
        <v>0.66769380711321014</v>
      </c>
      <c r="J40" s="103">
        <v>1.3086809194496651E-3</v>
      </c>
      <c r="K40" s="103"/>
      <c r="L40" s="103">
        <v>4.1599999999999998E-2</v>
      </c>
      <c r="O40" s="100"/>
    </row>
    <row r="41" spans="2:15" x14ac:dyDescent="0.2">
      <c r="B41" s="1">
        <v>26</v>
      </c>
      <c r="C41" s="101">
        <f t="shared" ca="1" si="0"/>
        <v>0.59048955602718611</v>
      </c>
      <c r="D41" s="101">
        <f t="shared" ca="1" si="1"/>
        <v>0.70435663291762229</v>
      </c>
      <c r="E41" s="101">
        <f t="shared" ca="1" si="2"/>
        <v>0</v>
      </c>
      <c r="F41" s="21">
        <f t="shared" ca="1" si="3"/>
        <v>0</v>
      </c>
      <c r="H41" s="21">
        <v>26</v>
      </c>
      <c r="I41" s="102">
        <v>0.66786747669020796</v>
      </c>
      <c r="J41" s="103">
        <v>1.5354383611550877E-3</v>
      </c>
      <c r="K41" s="103"/>
      <c r="L41" s="103">
        <v>4.5400000000000003E-2</v>
      </c>
      <c r="O41" s="100"/>
    </row>
    <row r="42" spans="2:15" x14ac:dyDescent="0.2">
      <c r="B42" s="1">
        <v>27</v>
      </c>
      <c r="C42" s="101">
        <f t="shared" ca="1" si="0"/>
        <v>0.92313460645438339</v>
      </c>
      <c r="D42" s="101">
        <f t="shared" ca="1" si="1"/>
        <v>0.7278517282900413</v>
      </c>
      <c r="E42" s="101">
        <f t="shared" ca="1" si="2"/>
        <v>0</v>
      </c>
      <c r="F42" s="21">
        <f t="shared" ca="1" si="3"/>
        <v>0</v>
      </c>
      <c r="H42" s="21">
        <v>27</v>
      </c>
      <c r="I42" s="102">
        <v>0.6677986898711149</v>
      </c>
      <c r="J42" s="103">
        <v>1.4769224191670061E-3</v>
      </c>
      <c r="K42" s="103"/>
      <c r="L42" s="103">
        <v>4.3999999999999997E-2</v>
      </c>
      <c r="O42" s="100"/>
    </row>
    <row r="43" spans="2:15" x14ac:dyDescent="0.2">
      <c r="B43" s="1">
        <v>28</v>
      </c>
      <c r="C43" s="101">
        <f t="shared" ca="1" si="0"/>
        <v>-1.122770499536482</v>
      </c>
      <c r="D43" s="101">
        <f t="shared" ca="1" si="1"/>
        <v>0.59483649262823313</v>
      </c>
      <c r="E43" s="101">
        <f t="shared" ca="1" si="2"/>
        <v>0</v>
      </c>
      <c r="F43" s="21">
        <f t="shared" ca="1" si="3"/>
        <v>0</v>
      </c>
      <c r="H43" s="21">
        <v>28</v>
      </c>
      <c r="I43" s="102">
        <v>0.66771144651801484</v>
      </c>
      <c r="J43" s="103">
        <v>1.4741369600716017E-3</v>
      </c>
      <c r="K43" s="103"/>
      <c r="L43" s="103">
        <v>4.4400000000000002E-2</v>
      </c>
      <c r="O43" s="100"/>
    </row>
    <row r="44" spans="2:15" x14ac:dyDescent="0.2">
      <c r="B44" s="1">
        <v>29</v>
      </c>
      <c r="C44" s="101">
        <f t="shared" ca="1" si="0"/>
        <v>-1.06614646138342</v>
      </c>
      <c r="D44" s="101">
        <f t="shared" ca="1" si="1"/>
        <v>0.59816823012633824</v>
      </c>
      <c r="E44" s="101">
        <f t="shared" ca="1" si="2"/>
        <v>0</v>
      </c>
      <c r="F44" s="21">
        <f t="shared" ca="1" si="3"/>
        <v>0</v>
      </c>
      <c r="H44" s="21">
        <v>29</v>
      </c>
      <c r="I44" s="102">
        <v>0.66774987968299671</v>
      </c>
      <c r="J44" s="103">
        <v>1.2999633744094851E-3</v>
      </c>
      <c r="K44" s="103"/>
      <c r="L44" s="103">
        <v>4.1599999999999998E-2</v>
      </c>
      <c r="O44" s="100"/>
    </row>
    <row r="45" spans="2:15" x14ac:dyDescent="0.2">
      <c r="B45" s="1">
        <v>30</v>
      </c>
      <c r="C45" s="101">
        <f t="shared" ca="1" si="0"/>
        <v>1.2023218963860349</v>
      </c>
      <c r="D45" s="101">
        <f t="shared" ca="1" si="1"/>
        <v>0.74817489084712407</v>
      </c>
      <c r="E45" s="101">
        <f t="shared" ca="1" si="2"/>
        <v>0</v>
      </c>
      <c r="F45" s="21">
        <f t="shared" ca="1" si="3"/>
        <v>0</v>
      </c>
      <c r="H45" s="21">
        <v>30</v>
      </c>
      <c r="I45" s="102">
        <v>0.66760989939526927</v>
      </c>
      <c r="J45" s="103">
        <v>1.2850436567125112E-3</v>
      </c>
      <c r="K45" s="103"/>
      <c r="L45" s="103">
        <v>3.8399999999999997E-2</v>
      </c>
      <c r="O45" s="100"/>
    </row>
    <row r="46" spans="2:15" x14ac:dyDescent="0.2">
      <c r="B46" s="1">
        <v>31</v>
      </c>
      <c r="C46" s="101">
        <f t="shared" ca="1" si="0"/>
        <v>0.25400255559415297</v>
      </c>
      <c r="D46" s="101">
        <f t="shared" ca="1" si="1"/>
        <v>0.68136169255453605</v>
      </c>
      <c r="E46" s="101">
        <f t="shared" ca="1" si="2"/>
        <v>0</v>
      </c>
      <c r="F46" s="21">
        <f t="shared" ca="1" si="3"/>
        <v>0</v>
      </c>
      <c r="H46" s="21">
        <v>31</v>
      </c>
      <c r="I46" s="102">
        <v>0.66779392750185884</v>
      </c>
      <c r="J46" s="103">
        <v>1.4110541267978983E-3</v>
      </c>
      <c r="K46" s="103"/>
      <c r="L46" s="103">
        <v>4.3400000000000001E-2</v>
      </c>
      <c r="O46" s="100"/>
    </row>
    <row r="47" spans="2:15" x14ac:dyDescent="0.2">
      <c r="B47" s="1">
        <v>32</v>
      </c>
      <c r="C47" s="101">
        <f t="shared" ca="1" si="0"/>
        <v>-0.78252174594168278</v>
      </c>
      <c r="D47" s="101">
        <f t="shared" ca="1" si="1"/>
        <v>0.61513955060569592</v>
      </c>
      <c r="E47" s="101">
        <f t="shared" ca="1" si="2"/>
        <v>0</v>
      </c>
      <c r="F47" s="21">
        <f t="shared" ca="1" si="3"/>
        <v>0</v>
      </c>
      <c r="H47" s="21">
        <v>32</v>
      </c>
      <c r="I47" s="102">
        <v>0.66797419125523494</v>
      </c>
      <c r="J47" s="103">
        <v>1.6753703646686547E-3</v>
      </c>
      <c r="K47" s="103"/>
      <c r="L47" s="103">
        <v>4.8399999999999999E-2</v>
      </c>
      <c r="O47" s="100"/>
    </row>
    <row r="48" spans="2:15" x14ac:dyDescent="0.2">
      <c r="B48" s="1">
        <v>33</v>
      </c>
      <c r="C48" s="101">
        <f t="shared" ca="1" si="0"/>
        <v>0.81592713172167763</v>
      </c>
      <c r="D48" s="101">
        <f t="shared" ca="1" si="1"/>
        <v>0.72019518826439655</v>
      </c>
      <c r="E48" s="101">
        <f t="shared" ca="1" si="2"/>
        <v>0</v>
      </c>
      <c r="F48" s="21">
        <f t="shared" ca="1" si="3"/>
        <v>0</v>
      </c>
      <c r="H48" s="21">
        <v>33</v>
      </c>
      <c r="I48" s="102">
        <v>0.66792128171834719</v>
      </c>
      <c r="J48" s="103">
        <v>1.5684613064001279E-3</v>
      </c>
      <c r="K48" s="103"/>
      <c r="L48" s="103">
        <v>4.6800000000000001E-2</v>
      </c>
      <c r="O48" s="100"/>
    </row>
    <row r="49" spans="2:15" x14ac:dyDescent="0.2">
      <c r="B49" s="1">
        <v>34</v>
      </c>
      <c r="C49" s="101">
        <f t="shared" ca="1" si="0"/>
        <v>-0.28523827047844513</v>
      </c>
      <c r="D49" s="101">
        <f t="shared" ca="1" si="1"/>
        <v>0.64606612221937709</v>
      </c>
      <c r="E49" s="101">
        <f t="shared" ca="1" si="2"/>
        <v>0</v>
      </c>
      <c r="F49" s="21">
        <f t="shared" ca="1" si="3"/>
        <v>0</v>
      </c>
      <c r="H49" s="21">
        <v>34</v>
      </c>
      <c r="I49" s="102">
        <v>0.667811679632906</v>
      </c>
      <c r="J49" s="103">
        <v>1.4304864573829392E-3</v>
      </c>
      <c r="K49" s="103"/>
      <c r="L49" s="103">
        <v>4.3200000000000002E-2</v>
      </c>
      <c r="O49" s="100"/>
    </row>
    <row r="50" spans="2:15" x14ac:dyDescent="0.2">
      <c r="B50" s="1">
        <v>35</v>
      </c>
      <c r="C50" s="101">
        <f t="shared" ca="1" si="0"/>
        <v>0.70254247290692395</v>
      </c>
      <c r="D50" s="101">
        <f t="shared" ca="1" si="1"/>
        <v>0.71218510532708723</v>
      </c>
      <c r="E50" s="101">
        <f t="shared" ca="1" si="2"/>
        <v>0</v>
      </c>
      <c r="F50" s="21">
        <f t="shared" ca="1" si="3"/>
        <v>0</v>
      </c>
      <c r="H50" s="21">
        <v>35</v>
      </c>
      <c r="I50" s="102">
        <v>0.66778984729065105</v>
      </c>
      <c r="J50" s="103">
        <v>1.4642870965713944E-3</v>
      </c>
      <c r="K50" s="103"/>
      <c r="L50" s="103">
        <v>4.24E-2</v>
      </c>
      <c r="O50" s="100"/>
    </row>
    <row r="51" spans="2:15" x14ac:dyDescent="0.2">
      <c r="B51" s="1">
        <v>36</v>
      </c>
      <c r="C51" s="101">
        <f t="shared" ca="1" si="0"/>
        <v>-1.6844203195362804</v>
      </c>
      <c r="D51" s="101">
        <f t="shared" ca="1" si="1"/>
        <v>0.56277768957213958</v>
      </c>
      <c r="E51" s="101">
        <f t="shared" ca="1" si="2"/>
        <v>0</v>
      </c>
      <c r="F51" s="21">
        <f t="shared" ca="1" si="3"/>
        <v>0</v>
      </c>
      <c r="H51" s="21">
        <v>36</v>
      </c>
      <c r="I51" s="102">
        <v>0.66769740245676978</v>
      </c>
      <c r="J51" s="103">
        <v>1.2988314381138484E-3</v>
      </c>
      <c r="K51" s="103"/>
      <c r="L51" s="103">
        <v>3.9399999999999998E-2</v>
      </c>
      <c r="O51" s="100"/>
    </row>
    <row r="52" spans="2:15" x14ac:dyDescent="0.2">
      <c r="B52" s="1">
        <v>37</v>
      </c>
      <c r="C52" s="101">
        <f t="shared" ca="1" si="0"/>
        <v>-0.36241730336616435</v>
      </c>
      <c r="D52" s="101">
        <f t="shared" ca="1" si="1"/>
        <v>0.64116626867646342</v>
      </c>
      <c r="E52" s="101">
        <f t="shared" ca="1" si="2"/>
        <v>0</v>
      </c>
      <c r="F52" s="21">
        <f t="shared" ca="1" si="3"/>
        <v>0</v>
      </c>
      <c r="H52" s="21">
        <v>37</v>
      </c>
      <c r="I52" s="102">
        <v>0.66774549116196524</v>
      </c>
      <c r="J52" s="103">
        <v>1.3787988418774923E-3</v>
      </c>
      <c r="K52" s="103"/>
      <c r="L52" s="103">
        <v>3.9800000000000002E-2</v>
      </c>
      <c r="O52" s="100"/>
    </row>
    <row r="53" spans="2:15" x14ac:dyDescent="0.2">
      <c r="B53" s="1">
        <v>38</v>
      </c>
      <c r="C53" s="101">
        <f t="shared" ca="1" si="0"/>
        <v>0.83902091251735578</v>
      </c>
      <c r="D53" s="101">
        <f t="shared" ca="1" si="1"/>
        <v>0.72183766380514491</v>
      </c>
      <c r="E53" s="101">
        <f t="shared" ca="1" si="2"/>
        <v>0</v>
      </c>
      <c r="F53" s="21">
        <f t="shared" ca="1" si="3"/>
        <v>0</v>
      </c>
      <c r="H53" s="21">
        <v>38</v>
      </c>
      <c r="I53" s="102">
        <v>0.66783919732501495</v>
      </c>
      <c r="J53" s="103">
        <v>1.3211153617108977E-3</v>
      </c>
      <c r="K53" s="103"/>
      <c r="L53" s="103">
        <v>4.3400000000000001E-2</v>
      </c>
      <c r="O53" s="100"/>
    </row>
    <row r="54" spans="2:15" x14ac:dyDescent="0.2">
      <c r="B54" s="1">
        <v>39</v>
      </c>
      <c r="C54" s="101">
        <f t="shared" ca="1" si="0"/>
        <v>-0.60392584924541737</v>
      </c>
      <c r="D54" s="101">
        <f t="shared" ca="1" si="1"/>
        <v>0.62607244400151674</v>
      </c>
      <c r="E54" s="101">
        <f t="shared" ca="1" si="2"/>
        <v>0</v>
      </c>
      <c r="F54" s="21">
        <f t="shared" ca="1" si="3"/>
        <v>0</v>
      </c>
      <c r="H54" s="21">
        <v>39</v>
      </c>
      <c r="I54" s="102">
        <v>0.66769820480964903</v>
      </c>
      <c r="J54" s="103">
        <v>1.2303746417411362E-3</v>
      </c>
      <c r="K54" s="103"/>
      <c r="L54" s="103">
        <v>4.0800000000000003E-2</v>
      </c>
      <c r="O54" s="100"/>
    </row>
    <row r="55" spans="2:15" x14ac:dyDescent="0.2">
      <c r="B55" s="1">
        <v>40</v>
      </c>
      <c r="C55" s="101">
        <f t="shared" ca="1" si="0"/>
        <v>-0.94058720522468564</v>
      </c>
      <c r="D55" s="101">
        <f t="shared" ca="1" si="1"/>
        <v>0.60562281037489185</v>
      </c>
      <c r="E55" s="101">
        <f t="shared" ca="1" si="2"/>
        <v>0</v>
      </c>
      <c r="F55" s="21">
        <f t="shared" ca="1" si="3"/>
        <v>0</v>
      </c>
      <c r="H55" s="21">
        <v>40</v>
      </c>
      <c r="I55" s="102">
        <v>0.66783706626598471</v>
      </c>
      <c r="J55" s="103">
        <v>1.2971293210238175E-3</v>
      </c>
      <c r="K55" s="103"/>
      <c r="L55" s="103">
        <v>4.3799999999999999E-2</v>
      </c>
      <c r="O55" s="100"/>
    </row>
    <row r="56" spans="2:15" x14ac:dyDescent="0.2">
      <c r="B56" s="1">
        <v>41</v>
      </c>
      <c r="C56" s="101">
        <f t="shared" ca="1" si="0"/>
        <v>-1.048365906522871</v>
      </c>
      <c r="D56" s="101">
        <f t="shared" ca="1" si="1"/>
        <v>0.59921827645995696</v>
      </c>
      <c r="E56" s="101">
        <f t="shared" ca="1" si="2"/>
        <v>0</v>
      </c>
      <c r="F56" s="21">
        <f t="shared" ca="1" si="3"/>
        <v>0</v>
      </c>
      <c r="H56" s="21">
        <v>41</v>
      </c>
      <c r="I56" s="102">
        <v>0.66763099290809624</v>
      </c>
      <c r="J56" s="103">
        <v>1.2105587232309034E-3</v>
      </c>
      <c r="K56" s="103"/>
      <c r="L56" s="103">
        <v>4.1200000000000001E-2</v>
      </c>
      <c r="O56" s="100"/>
    </row>
    <row r="57" spans="2:15" x14ac:dyDescent="0.2">
      <c r="B57" s="1">
        <v>42</v>
      </c>
      <c r="C57" s="101">
        <f t="shared" ca="1" si="0"/>
        <v>-1.0448896507164562</v>
      </c>
      <c r="D57" s="101">
        <f t="shared" ca="1" si="1"/>
        <v>0.59942378512658578</v>
      </c>
      <c r="E57" s="101">
        <f t="shared" ca="1" si="2"/>
        <v>0</v>
      </c>
      <c r="F57" s="21">
        <f t="shared" ca="1" si="3"/>
        <v>0</v>
      </c>
      <c r="H57" s="21">
        <v>42</v>
      </c>
      <c r="I57" s="102">
        <v>0.66773778923020277</v>
      </c>
      <c r="J57" s="103">
        <v>1.4461387783322702E-3</v>
      </c>
      <c r="K57" s="103"/>
      <c r="L57" s="103">
        <v>0.04</v>
      </c>
      <c r="O57" s="100"/>
    </row>
    <row r="58" spans="2:15" x14ac:dyDescent="0.2">
      <c r="B58" s="1">
        <v>43</v>
      </c>
      <c r="C58" s="101">
        <f t="shared" ca="1" si="0"/>
        <v>0.53701506258854059</v>
      </c>
      <c r="D58" s="101">
        <f t="shared" ca="1" si="1"/>
        <v>0.70065107773679469</v>
      </c>
      <c r="E58" s="101">
        <f t="shared" ca="1" si="2"/>
        <v>0</v>
      </c>
      <c r="F58" s="21">
        <f t="shared" ca="1" si="3"/>
        <v>0</v>
      </c>
      <c r="H58" s="21">
        <v>43</v>
      </c>
      <c r="I58" s="102">
        <v>0.66772793905918293</v>
      </c>
      <c r="J58" s="103">
        <v>1.2328250607220688E-3</v>
      </c>
      <c r="K58" s="103"/>
      <c r="L58" s="103">
        <v>3.9800000000000002E-2</v>
      </c>
      <c r="O58" s="100"/>
    </row>
    <row r="59" spans="2:15" x14ac:dyDescent="0.2">
      <c r="B59" s="1">
        <v>44</v>
      </c>
      <c r="C59" s="101">
        <f t="shared" ca="1" si="0"/>
        <v>0.72254250062043091</v>
      </c>
      <c r="D59" s="101">
        <f t="shared" ca="1" si="1"/>
        <v>0.71359151177733349</v>
      </c>
      <c r="E59" s="101">
        <f t="shared" ca="1" si="2"/>
        <v>0</v>
      </c>
      <c r="F59" s="21">
        <f t="shared" ca="1" si="3"/>
        <v>0</v>
      </c>
      <c r="H59" s="21">
        <v>44</v>
      </c>
      <c r="I59" s="102">
        <v>0.66772466920354623</v>
      </c>
      <c r="J59" s="103">
        <v>1.3096573750996658E-3</v>
      </c>
      <c r="K59" s="103"/>
      <c r="L59" s="103">
        <v>4.1200000000000001E-2</v>
      </c>
      <c r="O59" s="100"/>
    </row>
    <row r="60" spans="2:15" x14ac:dyDescent="0.2">
      <c r="B60" s="1">
        <v>45</v>
      </c>
      <c r="C60" s="101">
        <f t="shared" ca="1" si="0"/>
        <v>-2.4652583505398526</v>
      </c>
      <c r="D60" s="101">
        <f t="shared" ca="1" si="1"/>
        <v>0.52105822097740018</v>
      </c>
      <c r="E60" s="101">
        <f t="shared" ca="1" si="2"/>
        <v>0</v>
      </c>
      <c r="F60" s="21">
        <f t="shared" ca="1" si="3"/>
        <v>0</v>
      </c>
      <c r="H60" s="21">
        <v>45</v>
      </c>
      <c r="I60" s="102">
        <v>0.66778809466275602</v>
      </c>
      <c r="J60" s="103">
        <v>1.3168146215619056E-3</v>
      </c>
      <c r="K60" s="103"/>
      <c r="L60" s="103">
        <v>4.2799999999999998E-2</v>
      </c>
      <c r="O60" s="100"/>
    </row>
    <row r="61" spans="2:15" x14ac:dyDescent="0.2">
      <c r="B61" s="1">
        <v>46</v>
      </c>
      <c r="C61" s="101">
        <f t="shared" ca="1" si="0"/>
        <v>1.6848330081199461</v>
      </c>
      <c r="D61" s="101">
        <f t="shared" ca="1" si="1"/>
        <v>0.78464571520397119</v>
      </c>
      <c r="E61" s="101">
        <f t="shared" ca="1" si="2"/>
        <v>0</v>
      </c>
      <c r="F61" s="21">
        <f t="shared" ca="1" si="3"/>
        <v>0</v>
      </c>
      <c r="H61" s="21">
        <v>46</v>
      </c>
      <c r="I61" s="102">
        <v>0.66781986463516119</v>
      </c>
      <c r="J61" s="103">
        <v>1.4163507883887131E-3</v>
      </c>
      <c r="K61" s="103"/>
      <c r="L61" s="103">
        <v>4.5400000000000003E-2</v>
      </c>
      <c r="O61" s="100"/>
    </row>
    <row r="62" spans="2:15" x14ac:dyDescent="0.2">
      <c r="B62" s="1">
        <v>47</v>
      </c>
      <c r="C62" s="101">
        <f t="shared" ca="1" si="0"/>
        <v>-2.7689550567007211</v>
      </c>
      <c r="D62" s="101">
        <f t="shared" ca="1" si="1"/>
        <v>0.50568034393152383</v>
      </c>
      <c r="E62" s="101">
        <f t="shared" ca="1" si="2"/>
        <v>0</v>
      </c>
      <c r="F62" s="21">
        <f t="shared" ca="1" si="3"/>
        <v>0</v>
      </c>
      <c r="H62" s="21">
        <v>47</v>
      </c>
      <c r="I62" s="102">
        <v>0.66779328927746107</v>
      </c>
      <c r="J62" s="103">
        <v>1.4492296158742331E-3</v>
      </c>
      <c r="K62" s="103"/>
      <c r="L62" s="103">
        <v>4.1000000000000002E-2</v>
      </c>
      <c r="O62" s="100"/>
    </row>
    <row r="63" spans="2:15" x14ac:dyDescent="0.2">
      <c r="B63" s="1">
        <v>48</v>
      </c>
      <c r="C63" s="101">
        <f t="shared" ca="1" si="0"/>
        <v>9.4227157161902667E-3</v>
      </c>
      <c r="D63" s="101">
        <f t="shared" ca="1" si="1"/>
        <v>0.66512008629718633</v>
      </c>
      <c r="E63" s="101">
        <f t="shared" ca="1" si="2"/>
        <v>0</v>
      </c>
      <c r="F63" s="21">
        <f t="shared" ca="1" si="3"/>
        <v>0</v>
      </c>
      <c r="H63" s="21">
        <v>48</v>
      </c>
      <c r="I63" s="102">
        <v>0.66759509929288707</v>
      </c>
      <c r="J63" s="103">
        <v>1.1196756896398182E-3</v>
      </c>
      <c r="K63" s="103"/>
      <c r="L63" s="103">
        <v>3.8800000000000001E-2</v>
      </c>
      <c r="O63" s="100"/>
    </row>
    <row r="64" spans="2:15" x14ac:dyDescent="0.2">
      <c r="B64" s="1">
        <v>49</v>
      </c>
      <c r="C64" s="101">
        <f t="shared" ca="1" si="0"/>
        <v>-1.0727091693489985</v>
      </c>
      <c r="D64" s="101">
        <f t="shared" ca="1" si="1"/>
        <v>0.5977811287110657</v>
      </c>
      <c r="E64" s="101">
        <f t="shared" ca="1" si="2"/>
        <v>0</v>
      </c>
      <c r="F64" s="21">
        <f t="shared" ca="1" si="3"/>
        <v>0</v>
      </c>
      <c r="H64" s="21">
        <v>49</v>
      </c>
      <c r="I64" s="102">
        <v>0.66772903842418085</v>
      </c>
      <c r="J64" s="103">
        <v>1.4034282292921718E-3</v>
      </c>
      <c r="K64" s="103"/>
      <c r="L64" s="103">
        <v>4.1799999999999997E-2</v>
      </c>
      <c r="O64" s="100"/>
    </row>
    <row r="65" spans="2:15" x14ac:dyDescent="0.2">
      <c r="B65" s="1">
        <v>50</v>
      </c>
      <c r="C65" s="101">
        <f t="shared" ca="1" si="0"/>
        <v>-0.2963950464369422</v>
      </c>
      <c r="D65" s="101">
        <f t="shared" ca="1" si="1"/>
        <v>0.64535550516117912</v>
      </c>
      <c r="E65" s="101">
        <f t="shared" ca="1" si="2"/>
        <v>0</v>
      </c>
      <c r="F65" s="21">
        <f t="shared" ca="1" si="3"/>
        <v>0</v>
      </c>
      <c r="H65" s="21">
        <v>50</v>
      </c>
      <c r="I65" s="102">
        <v>0.66762474487336998</v>
      </c>
      <c r="J65" s="103">
        <v>1.2801793618135253E-3</v>
      </c>
      <c r="K65" s="103"/>
      <c r="L65" s="103">
        <v>4.1200000000000001E-2</v>
      </c>
      <c r="O65" s="100"/>
    </row>
    <row r="66" spans="2:15" x14ac:dyDescent="0.2">
      <c r="B66" s="1">
        <v>51</v>
      </c>
      <c r="C66" s="101">
        <f t="shared" ca="1" si="0"/>
        <v>-0.17968641423831211</v>
      </c>
      <c r="D66" s="101">
        <f t="shared" ca="1" si="1"/>
        <v>0.6528279576125221</v>
      </c>
      <c r="E66" s="101">
        <f t="shared" ca="1" si="2"/>
        <v>0</v>
      </c>
      <c r="F66" s="21">
        <f t="shared" ca="1" si="3"/>
        <v>0</v>
      </c>
      <c r="H66" s="21">
        <v>51</v>
      </c>
      <c r="I66" s="102">
        <v>0.66790446038217754</v>
      </c>
      <c r="J66" s="103">
        <v>1.4949961068463787E-3</v>
      </c>
      <c r="K66" s="103"/>
      <c r="L66" s="103">
        <v>4.7E-2</v>
      </c>
      <c r="O66" s="100"/>
    </row>
    <row r="67" spans="2:15" x14ac:dyDescent="0.2">
      <c r="B67" s="1">
        <v>52</v>
      </c>
      <c r="C67" s="101">
        <f t="shared" ca="1" si="0"/>
        <v>0.34637212710962978</v>
      </c>
      <c r="D67" s="101">
        <f t="shared" ca="1" si="1"/>
        <v>0.68759825927295248</v>
      </c>
      <c r="E67" s="101">
        <f t="shared" ca="1" si="2"/>
        <v>0</v>
      </c>
      <c r="F67" s="21">
        <f t="shared" ca="1" si="3"/>
        <v>0</v>
      </c>
      <c r="H67" s="21">
        <v>52</v>
      </c>
      <c r="I67" s="102">
        <v>0.66771264753481219</v>
      </c>
      <c r="J67" s="103">
        <v>1.3564633142678136E-3</v>
      </c>
      <c r="K67" s="103"/>
      <c r="L67" s="103">
        <v>3.9600000000000003E-2</v>
      </c>
      <c r="O67" s="100"/>
    </row>
    <row r="68" spans="2:15" x14ac:dyDescent="0.2">
      <c r="B68" s="1">
        <v>53</v>
      </c>
      <c r="C68" s="101">
        <f t="shared" ca="1" si="0"/>
        <v>0.65614616930162173</v>
      </c>
      <c r="D68" s="101">
        <f t="shared" ca="1" si="1"/>
        <v>0.70893317109737097</v>
      </c>
      <c r="E68" s="101">
        <f t="shared" ca="1" si="2"/>
        <v>0</v>
      </c>
      <c r="F68" s="21">
        <f t="shared" ca="1" si="3"/>
        <v>0</v>
      </c>
      <c r="H68" s="21">
        <v>53</v>
      </c>
      <c r="I68" s="102">
        <v>0.66773464094852542</v>
      </c>
      <c r="J68" s="103">
        <v>1.4241220018465803E-3</v>
      </c>
      <c r="K68" s="103"/>
      <c r="L68" s="103">
        <v>4.2999999999999997E-2</v>
      </c>
      <c r="O68" s="100"/>
    </row>
    <row r="69" spans="2:15" x14ac:dyDescent="0.2">
      <c r="B69" s="1">
        <v>54</v>
      </c>
      <c r="C69" s="101">
        <f t="shared" ca="1" si="0"/>
        <v>1.0217998457296007</v>
      </c>
      <c r="D69" s="101">
        <f t="shared" ca="1" si="1"/>
        <v>0.73497010692178144</v>
      </c>
      <c r="E69" s="101">
        <f t="shared" ca="1" si="2"/>
        <v>0</v>
      </c>
      <c r="F69" s="21">
        <f t="shared" ca="1" si="3"/>
        <v>0</v>
      </c>
      <c r="H69" s="21">
        <v>54</v>
      </c>
      <c r="I69" s="102">
        <v>0.66782051478912763</v>
      </c>
      <c r="J69" s="103">
        <v>1.4447141103197164E-3</v>
      </c>
      <c r="K69" s="103"/>
      <c r="L69" s="103">
        <v>4.48E-2</v>
      </c>
      <c r="O69" s="100"/>
    </row>
    <row r="70" spans="2:15" x14ac:dyDescent="0.2">
      <c r="B70" s="1">
        <v>55</v>
      </c>
      <c r="C70" s="101">
        <f t="shared" ca="1" si="0"/>
        <v>-0.64920935658245826</v>
      </c>
      <c r="D70" s="101">
        <f t="shared" ca="1" si="1"/>
        <v>0.62328212440663977</v>
      </c>
      <c r="E70" s="101">
        <f t="shared" ca="1" si="2"/>
        <v>0</v>
      </c>
      <c r="F70" s="21">
        <f t="shared" ca="1" si="3"/>
        <v>0</v>
      </c>
      <c r="H70" s="21">
        <v>55</v>
      </c>
      <c r="I70" s="102">
        <v>0.66790972306849095</v>
      </c>
      <c r="J70" s="103">
        <v>1.5285613014694838E-3</v>
      </c>
      <c r="K70" s="103"/>
      <c r="L70" s="103">
        <v>4.6399999999999997E-2</v>
      </c>
      <c r="O70" s="100"/>
    </row>
    <row r="71" spans="2:15" x14ac:dyDescent="0.2">
      <c r="B71" s="1">
        <v>56</v>
      </c>
      <c r="C71" s="101">
        <f t="shared" ca="1" si="0"/>
        <v>7.7109072863287095E-2</v>
      </c>
      <c r="D71" s="101">
        <f t="shared" ca="1" si="1"/>
        <v>0.66957573285086525</v>
      </c>
      <c r="E71" s="101">
        <f t="shared" ca="1" si="2"/>
        <v>0</v>
      </c>
      <c r="F71" s="21">
        <f t="shared" ca="1" si="3"/>
        <v>0</v>
      </c>
      <c r="H71" s="21">
        <v>56</v>
      </c>
      <c r="I71" s="102">
        <v>0.66769744289922761</v>
      </c>
      <c r="J71" s="103">
        <v>1.4297260368954011E-3</v>
      </c>
      <c r="K71" s="103"/>
      <c r="L71" s="103">
        <v>4.1799999999999997E-2</v>
      </c>
      <c r="O71" s="100"/>
    </row>
    <row r="72" spans="2:15" x14ac:dyDescent="0.2">
      <c r="B72" s="1">
        <v>57</v>
      </c>
      <c r="C72" s="101">
        <f t="shared" ca="1" si="0"/>
        <v>2.523303785903221</v>
      </c>
      <c r="D72" s="101">
        <f t="shared" ca="1" si="1"/>
        <v>0.85230135456548461</v>
      </c>
      <c r="E72" s="101">
        <f t="shared" ca="1" si="2"/>
        <v>6.4101354565484603E-2</v>
      </c>
      <c r="F72" s="21">
        <f t="shared" ca="1" si="3"/>
        <v>1</v>
      </c>
      <c r="H72" s="21">
        <v>57</v>
      </c>
      <c r="I72" s="102">
        <v>0.66781459803076715</v>
      </c>
      <c r="J72" s="103">
        <v>1.4277249761818081E-3</v>
      </c>
      <c r="K72" s="103"/>
      <c r="L72" s="103">
        <v>4.24E-2</v>
      </c>
      <c r="O72" s="100"/>
    </row>
    <row r="73" spans="2:15" x14ac:dyDescent="0.2">
      <c r="B73" s="1">
        <v>58</v>
      </c>
      <c r="C73" s="101">
        <f t="shared" ca="1" si="0"/>
        <v>-0.9725371387235332</v>
      </c>
      <c r="D73" s="101">
        <f t="shared" ca="1" si="1"/>
        <v>0.60371714384893815</v>
      </c>
      <c r="E73" s="101">
        <f t="shared" ca="1" si="2"/>
        <v>0</v>
      </c>
      <c r="F73" s="21">
        <f t="shared" ca="1" si="3"/>
        <v>0</v>
      </c>
      <c r="H73" s="21">
        <v>58</v>
      </c>
      <c r="I73" s="102">
        <v>0.667709663130442</v>
      </c>
      <c r="J73" s="103">
        <v>1.4451275403262545E-3</v>
      </c>
      <c r="K73" s="103"/>
      <c r="L73" s="103">
        <v>4.3400000000000001E-2</v>
      </c>
      <c r="O73" s="100"/>
    </row>
    <row r="74" spans="2:15" x14ac:dyDescent="0.2">
      <c r="B74" s="1">
        <v>59</v>
      </c>
      <c r="C74" s="101">
        <f t="shared" ca="1" si="0"/>
        <v>1.7990118709085854</v>
      </c>
      <c r="D74" s="101">
        <f t="shared" ca="1" si="1"/>
        <v>0.79353294055861012</v>
      </c>
      <c r="E74" s="101">
        <f t="shared" ca="1" si="2"/>
        <v>5.3329405586101108E-3</v>
      </c>
      <c r="F74" s="21">
        <f t="shared" ca="1" si="3"/>
        <v>1</v>
      </c>
      <c r="H74" s="21">
        <v>59</v>
      </c>
      <c r="I74" s="102">
        <v>0.66760749956520005</v>
      </c>
      <c r="J74" s="103">
        <v>1.1985877433062459E-3</v>
      </c>
      <c r="K74" s="103"/>
      <c r="L74" s="103">
        <v>3.9600000000000003E-2</v>
      </c>
      <c r="O74" s="100"/>
    </row>
    <row r="75" spans="2:15" x14ac:dyDescent="0.2">
      <c r="B75" s="1">
        <v>60</v>
      </c>
      <c r="C75" s="101">
        <f t="shared" ca="1" si="0"/>
        <v>-0.2352808114856334</v>
      </c>
      <c r="D75" s="101">
        <f t="shared" ca="1" si="1"/>
        <v>0.64925770947750505</v>
      </c>
      <c r="E75" s="101">
        <f t="shared" ca="1" si="2"/>
        <v>0</v>
      </c>
      <c r="F75" s="21">
        <f t="shared" ca="1" si="3"/>
        <v>0</v>
      </c>
      <c r="H75" s="21">
        <v>60</v>
      </c>
      <c r="I75" s="102">
        <v>0.66775509304546798</v>
      </c>
      <c r="J75" s="103">
        <v>1.3017271263083476E-3</v>
      </c>
      <c r="K75" s="103"/>
      <c r="L75" s="103">
        <v>4.3200000000000002E-2</v>
      </c>
      <c r="O75" s="100"/>
    </row>
    <row r="76" spans="2:15" x14ac:dyDescent="0.2">
      <c r="B76" s="1">
        <v>61</v>
      </c>
      <c r="C76" s="101">
        <f t="shared" ca="1" si="0"/>
        <v>1.7452690182059285</v>
      </c>
      <c r="D76" s="101">
        <f t="shared" ca="1" si="1"/>
        <v>0.78933734198808381</v>
      </c>
      <c r="E76" s="101">
        <f t="shared" ca="1" si="2"/>
        <v>1.1373419880837954E-3</v>
      </c>
      <c r="F76" s="21">
        <f t="shared" ca="1" si="3"/>
        <v>1</v>
      </c>
      <c r="H76" s="21">
        <v>61</v>
      </c>
      <c r="I76" s="102">
        <v>0.66800372850399115</v>
      </c>
      <c r="J76" s="103">
        <v>1.561933840417757E-3</v>
      </c>
      <c r="K76" s="103"/>
      <c r="L76" s="103">
        <v>4.7399999999999998E-2</v>
      </c>
      <c r="O76" s="100"/>
    </row>
    <row r="77" spans="2:15" x14ac:dyDescent="0.2">
      <c r="B77" s="1">
        <v>62</v>
      </c>
      <c r="C77" s="101">
        <f t="shared" ca="1" si="0"/>
        <v>-3.2703407107270197E-2</v>
      </c>
      <c r="D77" s="101">
        <f t="shared" ca="1" si="1"/>
        <v>0.66236199627135273</v>
      </c>
      <c r="E77" s="101">
        <f t="shared" ca="1" si="2"/>
        <v>0</v>
      </c>
      <c r="F77" s="21">
        <f t="shared" ca="1" si="3"/>
        <v>0</v>
      </c>
      <c r="H77" s="21">
        <v>62</v>
      </c>
      <c r="I77" s="102">
        <v>0.6676284916977111</v>
      </c>
      <c r="J77" s="103">
        <v>1.2210495835086521E-3</v>
      </c>
      <c r="K77" s="103"/>
      <c r="L77" s="103">
        <v>3.9E-2</v>
      </c>
      <c r="O77" s="100"/>
    </row>
    <row r="78" spans="2:15" x14ac:dyDescent="0.2">
      <c r="B78" s="1">
        <v>63</v>
      </c>
      <c r="C78" s="101">
        <f t="shared" ca="1" si="0"/>
        <v>-2.0416261884586113</v>
      </c>
      <c r="D78" s="101">
        <f t="shared" ca="1" si="1"/>
        <v>0.54329335470715379</v>
      </c>
      <c r="E78" s="101">
        <f t="shared" ca="1" si="2"/>
        <v>0</v>
      </c>
      <c r="F78" s="21">
        <f t="shared" ca="1" si="3"/>
        <v>0</v>
      </c>
      <c r="H78" s="21">
        <v>63</v>
      </c>
      <c r="I78" s="102">
        <v>0.667732651637576</v>
      </c>
      <c r="J78" s="103">
        <v>1.3882937896966398E-3</v>
      </c>
      <c r="K78" s="103"/>
      <c r="L78" s="103">
        <v>4.36E-2</v>
      </c>
      <c r="O78" s="100"/>
    </row>
    <row r="79" spans="2:15" x14ac:dyDescent="0.2">
      <c r="B79" s="1">
        <v>64</v>
      </c>
      <c r="C79" s="101">
        <f t="shared" ca="1" si="0"/>
        <v>-0.18593889713639408</v>
      </c>
      <c r="D79" s="101">
        <f t="shared" ca="1" si="1"/>
        <v>0.65242544801635027</v>
      </c>
      <c r="E79" s="101">
        <f t="shared" ca="1" si="2"/>
        <v>0</v>
      </c>
      <c r="F79" s="21">
        <f t="shared" ca="1" si="3"/>
        <v>0</v>
      </c>
      <c r="H79" s="21">
        <v>64</v>
      </c>
      <c r="I79" s="102">
        <v>0.66779549867638532</v>
      </c>
      <c r="J79" s="103">
        <v>1.3691534516091697E-3</v>
      </c>
      <c r="K79" s="103"/>
      <c r="L79" s="103">
        <v>4.1200000000000001E-2</v>
      </c>
      <c r="O79" s="100"/>
    </row>
    <row r="80" spans="2:15" x14ac:dyDescent="0.2">
      <c r="B80" s="1">
        <v>65</v>
      </c>
      <c r="C80" s="101">
        <f t="shared" ref="C80:C143" ca="1" si="4">_xlfn.NORM.S.INV(RAND())</f>
        <v>-0.82199549295986141</v>
      </c>
      <c r="D80" s="101">
        <f t="shared" ref="D80:D143" ca="1" si="5">S0*EXP((μ-0.5*σ*σ)*T+σ*SQRT(T)*$C80)</f>
        <v>0.61274901253756919</v>
      </c>
      <c r="E80" s="101">
        <f t="shared" ref="E80:E143" ca="1" si="6">MAX(0,CP*(D80-K))</f>
        <v>0</v>
      </c>
      <c r="F80" s="21">
        <f t="shared" ref="F80:F143" ca="1" si="7">(CP*(D80-K)&gt;0)*1</f>
        <v>0</v>
      </c>
      <c r="H80" s="21">
        <v>65</v>
      </c>
      <c r="I80" s="102">
        <v>0.66761805240098815</v>
      </c>
      <c r="J80" s="103">
        <v>1.218396420682505E-3</v>
      </c>
      <c r="K80" s="103"/>
      <c r="L80" s="103">
        <v>3.6400000000000002E-2</v>
      </c>
      <c r="O80" s="100"/>
    </row>
    <row r="81" spans="2:15" x14ac:dyDescent="0.2">
      <c r="B81" s="1">
        <v>66</v>
      </c>
      <c r="C81" s="101">
        <f t="shared" ca="1" si="4"/>
        <v>-0.83907723410361945</v>
      </c>
      <c r="D81" s="101">
        <f t="shared" ca="1" si="5"/>
        <v>0.61171742087670555</v>
      </c>
      <c r="E81" s="101">
        <f t="shared" ca="1" si="6"/>
        <v>0</v>
      </c>
      <c r="F81" s="21">
        <f t="shared" ca="1" si="7"/>
        <v>0</v>
      </c>
      <c r="H81" s="21">
        <v>66</v>
      </c>
      <c r="I81" s="102">
        <v>0.66762360085025574</v>
      </c>
      <c r="J81" s="103">
        <v>1.3903272346839949E-3</v>
      </c>
      <c r="K81" s="103"/>
      <c r="L81" s="103">
        <v>4.0800000000000003E-2</v>
      </c>
      <c r="O81" s="100"/>
    </row>
    <row r="82" spans="2:15" x14ac:dyDescent="0.2">
      <c r="B82" s="1">
        <v>67</v>
      </c>
      <c r="C82" s="101">
        <f t="shared" ca="1" si="4"/>
        <v>-1.3297945482660336</v>
      </c>
      <c r="D82" s="101">
        <f t="shared" ca="1" si="5"/>
        <v>0.58281245137633864</v>
      </c>
      <c r="E82" s="101">
        <f t="shared" ca="1" si="6"/>
        <v>0</v>
      </c>
      <c r="F82" s="21">
        <f t="shared" ca="1" si="7"/>
        <v>0</v>
      </c>
      <c r="H82" s="21">
        <v>67</v>
      </c>
      <c r="I82" s="102">
        <v>0.66775614994945465</v>
      </c>
      <c r="J82" s="103">
        <v>1.3856069789686092E-3</v>
      </c>
      <c r="K82" s="103"/>
      <c r="L82" s="103">
        <v>4.3200000000000002E-2</v>
      </c>
      <c r="O82" s="100"/>
    </row>
    <row r="83" spans="2:15" x14ac:dyDescent="0.2">
      <c r="B83" s="1">
        <v>68</v>
      </c>
      <c r="C83" s="101">
        <f t="shared" ca="1" si="4"/>
        <v>-0.86803314575467416</v>
      </c>
      <c r="D83" s="101">
        <f t="shared" ca="1" si="5"/>
        <v>0.60997269616130856</v>
      </c>
      <c r="E83" s="101">
        <f t="shared" ca="1" si="6"/>
        <v>0</v>
      </c>
      <c r="F83" s="21">
        <f t="shared" ca="1" si="7"/>
        <v>0</v>
      </c>
      <c r="H83" s="21">
        <v>68</v>
      </c>
      <c r="I83" s="102">
        <v>0.66779171454264241</v>
      </c>
      <c r="J83" s="103">
        <v>1.3521850720268353E-3</v>
      </c>
      <c r="K83" s="103"/>
      <c r="L83" s="103">
        <v>4.4600000000000001E-2</v>
      </c>
      <c r="O83" s="100"/>
    </row>
    <row r="84" spans="2:15" x14ac:dyDescent="0.2">
      <c r="B84" s="1">
        <v>69</v>
      </c>
      <c r="C84" s="101">
        <f t="shared" ca="1" si="4"/>
        <v>1.2404251887520401</v>
      </c>
      <c r="D84" s="101">
        <f t="shared" ca="1" si="5"/>
        <v>0.75099224179606905</v>
      </c>
      <c r="E84" s="101">
        <f t="shared" ca="1" si="6"/>
        <v>0</v>
      </c>
      <c r="F84" s="21">
        <f t="shared" ca="1" si="7"/>
        <v>0</v>
      </c>
      <c r="H84" s="21">
        <v>69</v>
      </c>
      <c r="I84" s="102">
        <v>0.66763976557722116</v>
      </c>
      <c r="J84" s="103">
        <v>1.259074693006795E-3</v>
      </c>
      <c r="K84" s="103"/>
      <c r="L84" s="103">
        <v>3.9600000000000003E-2</v>
      </c>
      <c r="O84" s="100"/>
    </row>
    <row r="85" spans="2:15" x14ac:dyDescent="0.2">
      <c r="B85" s="1">
        <v>70</v>
      </c>
      <c r="C85" s="101">
        <f t="shared" ca="1" si="4"/>
        <v>-1.5195176010536338</v>
      </c>
      <c r="D85" s="101">
        <f t="shared" ca="1" si="5"/>
        <v>0.57200681485300708</v>
      </c>
      <c r="E85" s="101">
        <f t="shared" ca="1" si="6"/>
        <v>0</v>
      </c>
      <c r="F85" s="21">
        <f t="shared" ca="1" si="7"/>
        <v>0</v>
      </c>
      <c r="H85" s="21">
        <v>70</v>
      </c>
      <c r="I85" s="102">
        <v>0.66775785277891087</v>
      </c>
      <c r="J85" s="103">
        <v>1.3351695871145189E-3</v>
      </c>
      <c r="K85" s="103"/>
      <c r="L85" s="103">
        <v>3.9199999999999999E-2</v>
      </c>
      <c r="O85" s="100"/>
    </row>
    <row r="86" spans="2:15" x14ac:dyDescent="0.2">
      <c r="B86" s="1">
        <v>71</v>
      </c>
      <c r="C86" s="101">
        <f t="shared" ca="1" si="4"/>
        <v>-0.87976772815803161</v>
      </c>
      <c r="D86" s="101">
        <f t="shared" ca="1" si="5"/>
        <v>0.60926705223432098</v>
      </c>
      <c r="E86" s="101">
        <f t="shared" ca="1" si="6"/>
        <v>0</v>
      </c>
      <c r="F86" s="21">
        <f t="shared" ca="1" si="7"/>
        <v>0</v>
      </c>
      <c r="H86" s="21">
        <v>71</v>
      </c>
      <c r="I86" s="102">
        <v>0.66768869540089792</v>
      </c>
      <c r="J86" s="103">
        <v>1.3445897359782967E-3</v>
      </c>
      <c r="K86" s="103"/>
      <c r="L86" s="103">
        <v>4.1399999999999999E-2</v>
      </c>
      <c r="O86" s="100"/>
    </row>
    <row r="87" spans="2:15" x14ac:dyDescent="0.2">
      <c r="B87" s="1">
        <v>72</v>
      </c>
      <c r="C87" s="101">
        <f t="shared" ca="1" si="4"/>
        <v>-2.0353040514389331</v>
      </c>
      <c r="D87" s="101">
        <f t="shared" ca="1" si="5"/>
        <v>0.54363227113707724</v>
      </c>
      <c r="E87" s="101">
        <f t="shared" ca="1" si="6"/>
        <v>0</v>
      </c>
      <c r="F87" s="21">
        <f t="shared" ca="1" si="7"/>
        <v>0</v>
      </c>
      <c r="H87" s="21">
        <v>72</v>
      </c>
      <c r="I87" s="102">
        <v>0.66777407791870269</v>
      </c>
      <c r="J87" s="103">
        <v>1.3008822656982067E-3</v>
      </c>
      <c r="K87" s="103"/>
      <c r="L87" s="103">
        <v>4.2599999999999999E-2</v>
      </c>
      <c r="O87" s="100"/>
    </row>
    <row r="88" spans="2:15" x14ac:dyDescent="0.2">
      <c r="B88" s="1">
        <v>73</v>
      </c>
      <c r="C88" s="101">
        <f t="shared" ca="1" si="4"/>
        <v>-0.72195828434776943</v>
      </c>
      <c r="D88" s="101">
        <f t="shared" ca="1" si="5"/>
        <v>0.61882543014915758</v>
      </c>
      <c r="E88" s="101">
        <f t="shared" ca="1" si="6"/>
        <v>0</v>
      </c>
      <c r="F88" s="21">
        <f t="shared" ca="1" si="7"/>
        <v>0</v>
      </c>
      <c r="H88" s="21">
        <v>73</v>
      </c>
      <c r="I88" s="102">
        <v>0.66790286565416501</v>
      </c>
      <c r="J88" s="103">
        <v>1.5191437686460983E-3</v>
      </c>
      <c r="K88" s="103"/>
      <c r="L88" s="103">
        <v>4.36E-2</v>
      </c>
      <c r="O88" s="100"/>
    </row>
    <row r="89" spans="2:15" x14ac:dyDescent="0.2">
      <c r="B89" s="1">
        <v>74</v>
      </c>
      <c r="C89" s="101">
        <f t="shared" ca="1" si="4"/>
        <v>0.35544143732067318</v>
      </c>
      <c r="D89" s="101">
        <f t="shared" ca="1" si="5"/>
        <v>0.68821366594793987</v>
      </c>
      <c r="E89" s="101">
        <f t="shared" ca="1" si="6"/>
        <v>0</v>
      </c>
      <c r="F89" s="21">
        <f t="shared" ca="1" si="7"/>
        <v>0</v>
      </c>
      <c r="H89" s="21">
        <v>74</v>
      </c>
      <c r="I89" s="102">
        <v>0.66783812692383027</v>
      </c>
      <c r="J89" s="103">
        <v>1.4168036822074471E-3</v>
      </c>
      <c r="K89" s="103"/>
      <c r="L89" s="103">
        <v>4.58E-2</v>
      </c>
      <c r="O89" s="100"/>
    </row>
    <row r="90" spans="2:15" x14ac:dyDescent="0.2">
      <c r="B90" s="1">
        <v>75</v>
      </c>
      <c r="C90" s="101">
        <f t="shared" ca="1" si="4"/>
        <v>2.0648472871702784E-2</v>
      </c>
      <c r="D90" s="101">
        <f t="shared" ca="1" si="5"/>
        <v>0.66585699736885973</v>
      </c>
      <c r="E90" s="101">
        <f t="shared" ca="1" si="6"/>
        <v>0</v>
      </c>
      <c r="F90" s="21">
        <f t="shared" ca="1" si="7"/>
        <v>0</v>
      </c>
      <c r="H90" s="21">
        <v>75</v>
      </c>
      <c r="I90" s="102">
        <v>0.66785926403844864</v>
      </c>
      <c r="J90" s="103">
        <v>1.5236097335464564E-3</v>
      </c>
      <c r="K90" s="103"/>
      <c r="L90" s="103">
        <v>4.5600000000000002E-2</v>
      </c>
      <c r="O90" s="100"/>
    </row>
    <row r="91" spans="2:15" x14ac:dyDescent="0.2">
      <c r="B91" s="1">
        <v>76</v>
      </c>
      <c r="C91" s="101">
        <f t="shared" ca="1" si="4"/>
        <v>9.9605521248871717E-2</v>
      </c>
      <c r="D91" s="101">
        <f t="shared" ca="1" si="5"/>
        <v>0.67106322444981692</v>
      </c>
      <c r="E91" s="101">
        <f t="shared" ca="1" si="6"/>
        <v>0</v>
      </c>
      <c r="F91" s="21">
        <f t="shared" ca="1" si="7"/>
        <v>0</v>
      </c>
      <c r="H91" s="21">
        <v>76</v>
      </c>
      <c r="I91" s="102">
        <v>0.66773294709717013</v>
      </c>
      <c r="J91" s="103">
        <v>1.3926444766805017E-3</v>
      </c>
      <c r="K91" s="103"/>
      <c r="L91" s="103">
        <v>4.3400000000000001E-2</v>
      </c>
      <c r="O91" s="100"/>
    </row>
    <row r="92" spans="2:15" x14ac:dyDescent="0.2">
      <c r="B92" s="1">
        <v>77</v>
      </c>
      <c r="C92" s="101">
        <f t="shared" ca="1" si="4"/>
        <v>0.46898465026137559</v>
      </c>
      <c r="D92" s="101">
        <f t="shared" ca="1" si="5"/>
        <v>0.69596502229363222</v>
      </c>
      <c r="E92" s="101">
        <f t="shared" ca="1" si="6"/>
        <v>0</v>
      </c>
      <c r="F92" s="21">
        <f t="shared" ca="1" si="7"/>
        <v>0</v>
      </c>
      <c r="H92" s="21">
        <v>77</v>
      </c>
      <c r="I92" s="102">
        <v>0.66796990011695745</v>
      </c>
      <c r="J92" s="103">
        <v>1.5850126619249925E-3</v>
      </c>
      <c r="K92" s="103"/>
      <c r="L92" s="103">
        <v>4.6399999999999997E-2</v>
      </c>
      <c r="O92" s="100"/>
    </row>
    <row r="93" spans="2:15" x14ac:dyDescent="0.2">
      <c r="B93" s="1">
        <v>78</v>
      </c>
      <c r="C93" s="101">
        <f t="shared" ca="1" si="4"/>
        <v>-0.29314957666914682</v>
      </c>
      <c r="D93" s="101">
        <f t="shared" ca="1" si="5"/>
        <v>0.64556214069501827</v>
      </c>
      <c r="E93" s="101">
        <f t="shared" ca="1" si="6"/>
        <v>0</v>
      </c>
      <c r="F93" s="21">
        <f t="shared" ca="1" si="7"/>
        <v>0</v>
      </c>
      <c r="H93" s="21">
        <v>78</v>
      </c>
      <c r="I93" s="102">
        <v>0.66780736671111884</v>
      </c>
      <c r="J93" s="103">
        <v>1.4427406930951393E-3</v>
      </c>
      <c r="K93" s="103"/>
      <c r="L93" s="103">
        <v>4.2000000000000003E-2</v>
      </c>
      <c r="O93" s="100"/>
    </row>
    <row r="94" spans="2:15" x14ac:dyDescent="0.2">
      <c r="B94" s="1">
        <v>79</v>
      </c>
      <c r="C94" s="101">
        <f t="shared" ca="1" si="4"/>
        <v>-0.23724526384121725</v>
      </c>
      <c r="D94" s="101">
        <f t="shared" ca="1" si="5"/>
        <v>0.64913191098440648</v>
      </c>
      <c r="E94" s="101">
        <f t="shared" ca="1" si="6"/>
        <v>0</v>
      </c>
      <c r="F94" s="21">
        <f t="shared" ca="1" si="7"/>
        <v>0</v>
      </c>
      <c r="H94" s="21">
        <v>79</v>
      </c>
      <c r="I94" s="102">
        <v>0.66770465064218698</v>
      </c>
      <c r="J94" s="103">
        <v>1.4282681997180701E-3</v>
      </c>
      <c r="K94" s="103"/>
      <c r="L94" s="103">
        <v>4.0399999999999998E-2</v>
      </c>
      <c r="O94" s="100"/>
    </row>
    <row r="95" spans="2:15" x14ac:dyDescent="0.2">
      <c r="B95" s="1">
        <v>80</v>
      </c>
      <c r="C95" s="101">
        <f t="shared" ca="1" si="4"/>
        <v>0.82241617012204016</v>
      </c>
      <c r="D95" s="101">
        <f t="shared" ca="1" si="5"/>
        <v>0.72065632366220567</v>
      </c>
      <c r="E95" s="101">
        <f t="shared" ca="1" si="6"/>
        <v>0</v>
      </c>
      <c r="F95" s="21">
        <f t="shared" ca="1" si="7"/>
        <v>0</v>
      </c>
      <c r="H95" s="21">
        <v>80</v>
      </c>
      <c r="I95" s="102">
        <v>0.66780395869540921</v>
      </c>
      <c r="J95" s="103">
        <v>1.444695870543332E-3</v>
      </c>
      <c r="K95" s="103"/>
      <c r="L95" s="103">
        <v>4.4999999999999998E-2</v>
      </c>
      <c r="O95" s="100"/>
    </row>
    <row r="96" spans="2:15" x14ac:dyDescent="0.2">
      <c r="B96" s="1">
        <v>81</v>
      </c>
      <c r="C96" s="101">
        <f t="shared" ca="1" si="4"/>
        <v>0.26721542849024033</v>
      </c>
      <c r="D96" s="101">
        <f t="shared" ca="1" si="5"/>
        <v>0.68225031426050031</v>
      </c>
      <c r="E96" s="101">
        <f t="shared" ca="1" si="6"/>
        <v>0</v>
      </c>
      <c r="F96" s="21">
        <f t="shared" ca="1" si="7"/>
        <v>0</v>
      </c>
      <c r="H96" s="21">
        <v>81</v>
      </c>
      <c r="I96" s="102">
        <v>0.66784722274095842</v>
      </c>
      <c r="J96" s="103">
        <v>1.5705221445181901E-3</v>
      </c>
      <c r="K96" s="103"/>
      <c r="L96" s="103">
        <v>4.5999999999999999E-2</v>
      </c>
      <c r="O96" s="100"/>
    </row>
    <row r="97" spans="2:15" x14ac:dyDescent="0.2">
      <c r="B97" s="1">
        <v>82</v>
      </c>
      <c r="C97" s="101">
        <f t="shared" ca="1" si="4"/>
        <v>0.13121575915879286</v>
      </c>
      <c r="D97" s="101">
        <f t="shared" ca="1" si="5"/>
        <v>0.67315891599821154</v>
      </c>
      <c r="E97" s="101">
        <f t="shared" ca="1" si="6"/>
        <v>0</v>
      </c>
      <c r="F97" s="21">
        <f t="shared" ca="1" si="7"/>
        <v>0</v>
      </c>
      <c r="H97" s="21">
        <v>82</v>
      </c>
      <c r="I97" s="102">
        <v>0.6677063285557252</v>
      </c>
      <c r="J97" s="103">
        <v>1.3510356666481258E-3</v>
      </c>
      <c r="K97" s="103"/>
      <c r="L97" s="103">
        <v>4.2599999999999999E-2</v>
      </c>
      <c r="O97" s="100"/>
    </row>
    <row r="98" spans="2:15" x14ac:dyDescent="0.2">
      <c r="B98" s="1">
        <v>83</v>
      </c>
      <c r="C98" s="101">
        <f t="shared" ca="1" si="4"/>
        <v>1.4198447174810174</v>
      </c>
      <c r="D98" s="101">
        <f t="shared" ca="1" si="5"/>
        <v>0.7644017497357114</v>
      </c>
      <c r="E98" s="101">
        <f t="shared" ca="1" si="6"/>
        <v>0</v>
      </c>
      <c r="F98" s="21">
        <f t="shared" ca="1" si="7"/>
        <v>0</v>
      </c>
      <c r="H98" s="21">
        <v>83</v>
      </c>
      <c r="I98" s="102">
        <v>0.66771361888977776</v>
      </c>
      <c r="J98" s="103">
        <v>1.5098721264702535E-3</v>
      </c>
      <c r="K98" s="103"/>
      <c r="L98" s="103">
        <v>4.36E-2</v>
      </c>
      <c r="O98" s="100"/>
    </row>
    <row r="99" spans="2:15" x14ac:dyDescent="0.2">
      <c r="B99" s="1">
        <v>84</v>
      </c>
      <c r="C99" s="101">
        <f t="shared" ca="1" si="4"/>
        <v>-0.13623496331417201</v>
      </c>
      <c r="D99" s="101">
        <f t="shared" ca="1" si="5"/>
        <v>0.65563205425674953</v>
      </c>
      <c r="E99" s="101">
        <f t="shared" ca="1" si="6"/>
        <v>0</v>
      </c>
      <c r="F99" s="21">
        <f t="shared" ca="1" si="7"/>
        <v>0</v>
      </c>
      <c r="H99" s="21">
        <v>84</v>
      </c>
      <c r="I99" s="102">
        <v>0.66780366288232695</v>
      </c>
      <c r="J99" s="103">
        <v>1.3468904818903036E-3</v>
      </c>
      <c r="K99" s="103"/>
      <c r="L99" s="103">
        <v>4.1599999999999998E-2</v>
      </c>
      <c r="O99" s="100"/>
    </row>
    <row r="100" spans="2:15" x14ac:dyDescent="0.2">
      <c r="B100" s="1">
        <v>85</v>
      </c>
      <c r="C100" s="101">
        <f t="shared" ca="1" si="4"/>
        <v>-1.2136175419467563</v>
      </c>
      <c r="D100" s="101">
        <f t="shared" ca="1" si="5"/>
        <v>0.5895298134149588</v>
      </c>
      <c r="E100" s="101">
        <f t="shared" ca="1" si="6"/>
        <v>0</v>
      </c>
      <c r="F100" s="21">
        <f t="shared" ca="1" si="7"/>
        <v>0</v>
      </c>
      <c r="H100" s="21">
        <v>85</v>
      </c>
      <c r="I100" s="102">
        <v>0.66775929782334342</v>
      </c>
      <c r="J100" s="103">
        <v>1.3027548190740544E-3</v>
      </c>
      <c r="K100" s="103"/>
      <c r="L100" s="103">
        <v>4.0399999999999998E-2</v>
      </c>
      <c r="O100" s="100"/>
    </row>
    <row r="101" spans="2:15" x14ac:dyDescent="0.2">
      <c r="B101" s="1">
        <v>86</v>
      </c>
      <c r="C101" s="101">
        <f t="shared" ca="1" si="4"/>
        <v>0.14095600445364032</v>
      </c>
      <c r="D101" s="101">
        <f t="shared" ca="1" si="5"/>
        <v>0.67380599163285038</v>
      </c>
      <c r="E101" s="101">
        <f t="shared" ca="1" si="6"/>
        <v>0</v>
      </c>
      <c r="F101" s="21">
        <f t="shared" ca="1" si="7"/>
        <v>0</v>
      </c>
      <c r="H101" s="21">
        <v>86</v>
      </c>
      <c r="I101" s="102">
        <v>0.66759745809689408</v>
      </c>
      <c r="J101" s="103">
        <v>1.1428869538325284E-3</v>
      </c>
      <c r="K101" s="103"/>
      <c r="L101" s="103">
        <v>3.6400000000000002E-2</v>
      </c>
      <c r="O101" s="100"/>
    </row>
    <row r="102" spans="2:15" x14ac:dyDescent="0.2">
      <c r="B102" s="1">
        <v>87</v>
      </c>
      <c r="C102" s="101">
        <f t="shared" ca="1" si="4"/>
        <v>-0.25316539250451281</v>
      </c>
      <c r="D102" s="101">
        <f t="shared" ca="1" si="5"/>
        <v>0.64811332552154477</v>
      </c>
      <c r="E102" s="101">
        <f t="shared" ca="1" si="6"/>
        <v>0</v>
      </c>
      <c r="F102" s="21">
        <f t="shared" ca="1" si="7"/>
        <v>0</v>
      </c>
      <c r="H102" s="21">
        <v>87</v>
      </c>
      <c r="I102" s="102">
        <v>0.66790392872013282</v>
      </c>
      <c r="J102" s="103">
        <v>1.7458066620532999E-3</v>
      </c>
      <c r="K102" s="103"/>
      <c r="L102" s="103">
        <v>4.5999999999999999E-2</v>
      </c>
      <c r="O102" s="100"/>
    </row>
    <row r="103" spans="2:15" x14ac:dyDescent="0.2">
      <c r="B103" s="1">
        <v>88</v>
      </c>
      <c r="C103" s="101">
        <f t="shared" ca="1" si="4"/>
        <v>0.56676070506505516</v>
      </c>
      <c r="D103" s="101">
        <f t="shared" ca="1" si="5"/>
        <v>0.70270991180955167</v>
      </c>
      <c r="E103" s="101">
        <f t="shared" ca="1" si="6"/>
        <v>0</v>
      </c>
      <c r="F103" s="21">
        <f t="shared" ca="1" si="7"/>
        <v>0</v>
      </c>
      <c r="H103" s="21">
        <v>88</v>
      </c>
      <c r="I103" s="102">
        <v>0.66768484766356295</v>
      </c>
      <c r="J103" s="103">
        <v>1.2387011972665753E-3</v>
      </c>
      <c r="K103" s="103"/>
      <c r="L103" s="103">
        <v>4.1200000000000001E-2</v>
      </c>
      <c r="O103" s="100"/>
    </row>
    <row r="104" spans="2:15" x14ac:dyDescent="0.2">
      <c r="B104" s="1">
        <v>89</v>
      </c>
      <c r="C104" s="101">
        <f t="shared" ca="1" si="4"/>
        <v>-0.52025267429226885</v>
      </c>
      <c r="D104" s="101">
        <f t="shared" ca="1" si="5"/>
        <v>0.63126119971498995</v>
      </c>
      <c r="E104" s="101">
        <f t="shared" ca="1" si="6"/>
        <v>0</v>
      </c>
      <c r="F104" s="21">
        <f t="shared" ca="1" si="7"/>
        <v>0</v>
      </c>
      <c r="H104" s="21">
        <v>89</v>
      </c>
      <c r="I104" s="102">
        <v>0.66800945634876585</v>
      </c>
      <c r="J104" s="103">
        <v>1.6201319851147672E-3</v>
      </c>
      <c r="K104" s="103"/>
      <c r="L104" s="103">
        <v>4.7800000000000002E-2</v>
      </c>
      <c r="O104" s="100"/>
    </row>
    <row r="105" spans="2:15" x14ac:dyDescent="0.2">
      <c r="B105" s="1">
        <v>90</v>
      </c>
      <c r="C105" s="101">
        <f t="shared" ca="1" si="4"/>
        <v>-1.1117140800148371</v>
      </c>
      <c r="D105" s="101">
        <f t="shared" ca="1" si="5"/>
        <v>0.59548558702563725</v>
      </c>
      <c r="E105" s="101">
        <f t="shared" ca="1" si="6"/>
        <v>0</v>
      </c>
      <c r="F105" s="21">
        <f t="shared" ca="1" si="7"/>
        <v>0</v>
      </c>
      <c r="H105" s="21">
        <v>90</v>
      </c>
      <c r="I105" s="102">
        <v>0.6677145287306564</v>
      </c>
      <c r="J105" s="103">
        <v>1.3961159460616926E-3</v>
      </c>
      <c r="K105" s="103"/>
      <c r="L105" s="103">
        <v>4.0599999999999997E-2</v>
      </c>
      <c r="O105" s="100"/>
    </row>
    <row r="106" spans="2:15" x14ac:dyDescent="0.2">
      <c r="B106" s="1">
        <v>91</v>
      </c>
      <c r="C106" s="101">
        <f t="shared" ca="1" si="4"/>
        <v>-0.30799946506876857</v>
      </c>
      <c r="D106" s="101">
        <f t="shared" ca="1" si="5"/>
        <v>0.6446172053317154</v>
      </c>
      <c r="E106" s="101">
        <f t="shared" ca="1" si="6"/>
        <v>0</v>
      </c>
      <c r="F106" s="21">
        <f t="shared" ca="1" si="7"/>
        <v>0</v>
      </c>
      <c r="H106" s="21">
        <v>91</v>
      </c>
      <c r="I106" s="102">
        <v>0.66757590386084587</v>
      </c>
      <c r="J106" s="103">
        <v>1.1584583608569453E-3</v>
      </c>
      <c r="K106" s="103"/>
      <c r="L106" s="103">
        <v>3.9600000000000003E-2</v>
      </c>
      <c r="O106" s="100"/>
    </row>
    <row r="107" spans="2:15" x14ac:dyDescent="0.2">
      <c r="B107" s="1">
        <v>92</v>
      </c>
      <c r="C107" s="101">
        <f t="shared" ca="1" si="4"/>
        <v>0.51371617351683774</v>
      </c>
      <c r="D107" s="101">
        <f t="shared" ca="1" si="5"/>
        <v>0.69904266705287033</v>
      </c>
      <c r="E107" s="101">
        <f t="shared" ca="1" si="6"/>
        <v>0</v>
      </c>
      <c r="F107" s="21">
        <f t="shared" ca="1" si="7"/>
        <v>0</v>
      </c>
      <c r="H107" s="21">
        <v>92</v>
      </c>
      <c r="I107" s="102">
        <v>0.66774874545090801</v>
      </c>
      <c r="J107" s="103">
        <v>1.3472570684559156E-3</v>
      </c>
      <c r="K107" s="103"/>
      <c r="L107" s="103">
        <v>4.2200000000000001E-2</v>
      </c>
      <c r="O107" s="100"/>
    </row>
    <row r="108" spans="2:15" x14ac:dyDescent="0.2">
      <c r="B108" s="1">
        <v>93</v>
      </c>
      <c r="C108" s="101">
        <f t="shared" ca="1" si="4"/>
        <v>0.74674142653085707</v>
      </c>
      <c r="D108" s="101">
        <f t="shared" ca="1" si="5"/>
        <v>0.71529689938420271</v>
      </c>
      <c r="E108" s="101">
        <f t="shared" ca="1" si="6"/>
        <v>0</v>
      </c>
      <c r="F108" s="21">
        <f t="shared" ca="1" si="7"/>
        <v>0</v>
      </c>
      <c r="H108" s="21">
        <v>93</v>
      </c>
      <c r="I108" s="102">
        <v>0.66780423414668089</v>
      </c>
      <c r="J108" s="103">
        <v>1.4402140464874718E-3</v>
      </c>
      <c r="K108" s="103"/>
      <c r="L108" s="103">
        <v>4.2000000000000003E-2</v>
      </c>
      <c r="O108" s="100"/>
    </row>
    <row r="109" spans="2:15" x14ac:dyDescent="0.2">
      <c r="B109" s="1">
        <v>94</v>
      </c>
      <c r="C109" s="101">
        <f t="shared" ca="1" si="4"/>
        <v>0.82800597739196491</v>
      </c>
      <c r="D109" s="101">
        <f t="shared" ca="1" si="5"/>
        <v>0.7210537930392551</v>
      </c>
      <c r="E109" s="101">
        <f t="shared" ca="1" si="6"/>
        <v>0</v>
      </c>
      <c r="F109" s="21">
        <f t="shared" ca="1" si="7"/>
        <v>0</v>
      </c>
      <c r="H109" s="21">
        <v>94</v>
      </c>
      <c r="I109" s="102">
        <v>0.66787685071533864</v>
      </c>
      <c r="J109" s="103">
        <v>1.7128731620232674E-3</v>
      </c>
      <c r="K109" s="103"/>
      <c r="L109" s="103">
        <v>4.7E-2</v>
      </c>
      <c r="O109" s="100"/>
    </row>
    <row r="110" spans="2:15" x14ac:dyDescent="0.2">
      <c r="B110" s="1">
        <v>95</v>
      </c>
      <c r="C110" s="101">
        <f t="shared" ca="1" si="4"/>
        <v>-1.1160003165327492</v>
      </c>
      <c r="D110" s="101">
        <f t="shared" ca="1" si="5"/>
        <v>0.59523386890504304</v>
      </c>
      <c r="E110" s="101">
        <f t="shared" ca="1" si="6"/>
        <v>0</v>
      </c>
      <c r="F110" s="21">
        <f t="shared" ca="1" si="7"/>
        <v>0</v>
      </c>
      <c r="H110" s="21">
        <v>95</v>
      </c>
      <c r="I110" s="102">
        <v>0.66764237060627796</v>
      </c>
      <c r="J110" s="103">
        <v>1.2942796535601073E-3</v>
      </c>
      <c r="K110" s="103"/>
      <c r="L110" s="103">
        <v>3.4000000000000002E-2</v>
      </c>
      <c r="O110" s="100"/>
    </row>
    <row r="111" spans="2:15" x14ac:dyDescent="0.2">
      <c r="B111" s="1">
        <v>96</v>
      </c>
      <c r="C111" s="101">
        <f t="shared" ca="1" si="4"/>
        <v>-1.1728059013789922</v>
      </c>
      <c r="D111" s="101">
        <f t="shared" ca="1" si="5"/>
        <v>0.59190787552184765</v>
      </c>
      <c r="E111" s="101">
        <f t="shared" ca="1" si="6"/>
        <v>0</v>
      </c>
      <c r="F111" s="21">
        <f t="shared" ca="1" si="7"/>
        <v>0</v>
      </c>
      <c r="H111" s="21">
        <v>96</v>
      </c>
      <c r="I111" s="102">
        <v>0.66775502139082421</v>
      </c>
      <c r="J111" s="103">
        <v>1.4144234665781198E-3</v>
      </c>
      <c r="K111" s="103"/>
      <c r="L111" s="103">
        <v>4.3799999999999999E-2</v>
      </c>
      <c r="O111" s="100"/>
    </row>
    <row r="112" spans="2:15" x14ac:dyDescent="0.2">
      <c r="B112" s="1">
        <v>97</v>
      </c>
      <c r="C112" s="101">
        <f t="shared" ca="1" si="4"/>
        <v>1.406225837746256</v>
      </c>
      <c r="D112" s="101">
        <f t="shared" ca="1" si="5"/>
        <v>0.76337555382819433</v>
      </c>
      <c r="E112" s="101">
        <f t="shared" ca="1" si="6"/>
        <v>0</v>
      </c>
      <c r="F112" s="21">
        <f t="shared" ca="1" si="7"/>
        <v>0</v>
      </c>
      <c r="H112" s="21">
        <v>97</v>
      </c>
      <c r="I112" s="102">
        <v>0.66779235749813504</v>
      </c>
      <c r="J112" s="103">
        <v>1.4572526465383789E-3</v>
      </c>
      <c r="K112" s="103"/>
      <c r="L112" s="103">
        <v>4.24E-2</v>
      </c>
      <c r="O112" s="100"/>
    </row>
    <row r="113" spans="2:15" x14ac:dyDescent="0.2">
      <c r="B113" s="1">
        <v>98</v>
      </c>
      <c r="C113" s="101">
        <f t="shared" ca="1" si="4"/>
        <v>-3.0848509350335271E-2</v>
      </c>
      <c r="D113" s="101">
        <f t="shared" ca="1" si="5"/>
        <v>0.66248319945149026</v>
      </c>
      <c r="E113" s="101">
        <f t="shared" ca="1" si="6"/>
        <v>0</v>
      </c>
      <c r="F113" s="21">
        <f t="shared" ca="1" si="7"/>
        <v>0</v>
      </c>
      <c r="H113" s="21">
        <v>98</v>
      </c>
      <c r="I113" s="102">
        <v>0.66786927548911312</v>
      </c>
      <c r="J113" s="103">
        <v>1.4149181455991701E-3</v>
      </c>
      <c r="K113" s="103"/>
      <c r="L113" s="103">
        <v>4.2999999999999997E-2</v>
      </c>
      <c r="O113" s="100"/>
    </row>
    <row r="114" spans="2:15" x14ac:dyDescent="0.2">
      <c r="B114" s="1">
        <v>99</v>
      </c>
      <c r="C114" s="101">
        <f t="shared" ca="1" si="4"/>
        <v>-0.20521384064109788</v>
      </c>
      <c r="D114" s="101">
        <f t="shared" ca="1" si="5"/>
        <v>0.65118616611001734</v>
      </c>
      <c r="E114" s="101">
        <f t="shared" ca="1" si="6"/>
        <v>0</v>
      </c>
      <c r="F114" s="21">
        <f t="shared" ca="1" si="7"/>
        <v>0</v>
      </c>
      <c r="H114" s="21">
        <v>99</v>
      </c>
      <c r="I114" s="102">
        <v>0.66754868278066082</v>
      </c>
      <c r="J114" s="103">
        <v>1.1855953502210865E-3</v>
      </c>
      <c r="K114" s="103"/>
      <c r="L114" s="103">
        <v>3.9199999999999999E-2</v>
      </c>
      <c r="O114" s="100"/>
    </row>
    <row r="115" spans="2:15" x14ac:dyDescent="0.2">
      <c r="B115" s="1">
        <v>100</v>
      </c>
      <c r="C115" s="101">
        <f t="shared" ca="1" si="4"/>
        <v>-0.22670427918069153</v>
      </c>
      <c r="D115" s="101">
        <f t="shared" ca="1" si="5"/>
        <v>0.64980721424329668</v>
      </c>
      <c r="E115" s="101">
        <f t="shared" ca="1" si="6"/>
        <v>0</v>
      </c>
      <c r="F115" s="21">
        <f t="shared" ca="1" si="7"/>
        <v>0</v>
      </c>
      <c r="H115" s="21">
        <v>100</v>
      </c>
      <c r="I115" s="102">
        <v>0.66768832273348855</v>
      </c>
      <c r="J115" s="103">
        <v>1.3181037024949413E-3</v>
      </c>
      <c r="K115" s="103"/>
      <c r="L115" s="103">
        <v>4.02E-2</v>
      </c>
      <c r="O115" s="100"/>
    </row>
    <row r="116" spans="2:15" x14ac:dyDescent="0.2">
      <c r="B116" s="1">
        <v>101</v>
      </c>
      <c r="C116" s="101">
        <f t="shared" ca="1" si="4"/>
        <v>0.59896756325238953</v>
      </c>
      <c r="D116" s="101">
        <f t="shared" ca="1" si="5"/>
        <v>0.70494591997223832</v>
      </c>
      <c r="E116" s="101">
        <f t="shared" ca="1" si="6"/>
        <v>0</v>
      </c>
      <c r="F116" s="21">
        <f t="shared" ca="1" si="7"/>
        <v>0</v>
      </c>
      <c r="H116" s="21">
        <v>101</v>
      </c>
      <c r="I116" s="102">
        <v>0.66757202463237619</v>
      </c>
      <c r="J116" s="103">
        <v>1.2422316254027351E-3</v>
      </c>
      <c r="K116" s="103"/>
      <c r="L116" s="103">
        <v>3.7400000000000003E-2</v>
      </c>
      <c r="M116" s="104"/>
      <c r="N116" s="104"/>
      <c r="O116" s="100"/>
    </row>
    <row r="117" spans="2:15" x14ac:dyDescent="0.2">
      <c r="B117" s="1">
        <v>102</v>
      </c>
      <c r="C117" s="101">
        <f t="shared" ca="1" si="4"/>
        <v>1.9321850849011211</v>
      </c>
      <c r="D117" s="101">
        <f t="shared" ca="1" si="5"/>
        <v>0.80402586131868137</v>
      </c>
      <c r="E117" s="101">
        <f t="shared" ca="1" si="6"/>
        <v>1.5825861318681356E-2</v>
      </c>
      <c r="F117" s="21">
        <f t="shared" ca="1" si="7"/>
        <v>1</v>
      </c>
      <c r="H117" s="21">
        <v>102</v>
      </c>
      <c r="I117" s="102">
        <v>0.66784660314388478</v>
      </c>
      <c r="J117" s="103">
        <v>1.6571248761324093E-3</v>
      </c>
      <c r="K117" s="103"/>
      <c r="L117" s="103">
        <v>4.36E-2</v>
      </c>
      <c r="O117" s="100"/>
    </row>
    <row r="118" spans="2:15" x14ac:dyDescent="0.2">
      <c r="B118" s="1">
        <v>103</v>
      </c>
      <c r="C118" s="101">
        <f t="shared" ca="1" si="4"/>
        <v>-1.3064999133947235</v>
      </c>
      <c r="D118" s="101">
        <f t="shared" ca="1" si="5"/>
        <v>0.58415318558115026</v>
      </c>
      <c r="E118" s="101">
        <f t="shared" ca="1" si="6"/>
        <v>0</v>
      </c>
      <c r="F118" s="21">
        <f t="shared" ca="1" si="7"/>
        <v>0</v>
      </c>
      <c r="H118" s="21">
        <v>103</v>
      </c>
      <c r="I118" s="102">
        <v>0.66767839087722958</v>
      </c>
      <c r="J118" s="103">
        <v>1.25058307955876E-3</v>
      </c>
      <c r="K118" s="103"/>
      <c r="L118" s="103">
        <v>3.9399999999999998E-2</v>
      </c>
      <c r="O118" s="100"/>
    </row>
    <row r="119" spans="2:15" x14ac:dyDescent="0.2">
      <c r="B119" s="1">
        <v>104</v>
      </c>
      <c r="C119" s="101">
        <f t="shared" ca="1" si="4"/>
        <v>-0.41899267554357089</v>
      </c>
      <c r="D119" s="101">
        <f t="shared" ca="1" si="5"/>
        <v>0.63759809715104987</v>
      </c>
      <c r="E119" s="101">
        <f t="shared" ca="1" si="6"/>
        <v>0</v>
      </c>
      <c r="F119" s="21">
        <f t="shared" ca="1" si="7"/>
        <v>0</v>
      </c>
      <c r="H119" s="21">
        <v>104</v>
      </c>
      <c r="I119" s="102">
        <v>0.66800451725015253</v>
      </c>
      <c r="J119" s="103">
        <v>1.5583879341397094E-3</v>
      </c>
      <c r="K119" s="103"/>
      <c r="L119" s="103">
        <v>4.58E-2</v>
      </c>
      <c r="O119" s="100"/>
    </row>
    <row r="120" spans="2:15" x14ac:dyDescent="0.2">
      <c r="B120" s="1">
        <v>105</v>
      </c>
      <c r="C120" s="101">
        <f t="shared" ca="1" si="4"/>
        <v>1.5059307017367172</v>
      </c>
      <c r="D120" s="101">
        <f t="shared" ca="1" si="5"/>
        <v>0.77092040872729306</v>
      </c>
      <c r="E120" s="101">
        <f t="shared" ca="1" si="6"/>
        <v>0</v>
      </c>
      <c r="F120" s="21">
        <f t="shared" ca="1" si="7"/>
        <v>0</v>
      </c>
      <c r="H120" s="21">
        <v>105</v>
      </c>
      <c r="I120" s="102">
        <v>0.66771053324937635</v>
      </c>
      <c r="J120" s="103">
        <v>1.2839923041419535E-3</v>
      </c>
      <c r="K120" s="103"/>
      <c r="L120" s="103">
        <v>4.0800000000000003E-2</v>
      </c>
      <c r="O120" s="100"/>
    </row>
    <row r="121" spans="2:15" x14ac:dyDescent="0.2">
      <c r="B121" s="1">
        <v>106</v>
      </c>
      <c r="C121" s="101">
        <f t="shared" ca="1" si="4"/>
        <v>-1.5589335319921134</v>
      </c>
      <c r="D121" s="101">
        <f t="shared" ca="1" si="5"/>
        <v>0.56978714753080861</v>
      </c>
      <c r="E121" s="101">
        <f t="shared" ca="1" si="6"/>
        <v>0</v>
      </c>
      <c r="F121" s="21">
        <f t="shared" ca="1" si="7"/>
        <v>0</v>
      </c>
      <c r="H121" s="21">
        <v>106</v>
      </c>
      <c r="I121" s="102">
        <v>0.66769329338449201</v>
      </c>
      <c r="J121" s="103">
        <v>1.3627359252060102E-3</v>
      </c>
      <c r="K121" s="103"/>
      <c r="L121" s="103">
        <v>4.2200000000000001E-2</v>
      </c>
      <c r="O121" s="100"/>
    </row>
    <row r="122" spans="2:15" x14ac:dyDescent="0.2">
      <c r="B122" s="1">
        <v>107</v>
      </c>
      <c r="C122" s="101">
        <f t="shared" ca="1" si="4"/>
        <v>-1.1277669437115598</v>
      </c>
      <c r="D122" s="101">
        <f t="shared" ca="1" si="5"/>
        <v>0.59454339619974383</v>
      </c>
      <c r="E122" s="101">
        <f t="shared" ca="1" si="6"/>
        <v>0</v>
      </c>
      <c r="F122" s="21">
        <f t="shared" ca="1" si="7"/>
        <v>0</v>
      </c>
      <c r="H122" s="21">
        <v>107</v>
      </c>
      <c r="I122" s="102">
        <v>0.66792498698673097</v>
      </c>
      <c r="J122" s="103">
        <v>1.7373741732074727E-3</v>
      </c>
      <c r="K122" s="103"/>
      <c r="L122" s="103">
        <v>4.9799999999999997E-2</v>
      </c>
      <c r="O122" s="100"/>
    </row>
    <row r="123" spans="2:15" x14ac:dyDescent="0.2">
      <c r="B123" s="1">
        <v>108</v>
      </c>
      <c r="C123" s="101">
        <f t="shared" ca="1" si="4"/>
        <v>-0.34785253655721049</v>
      </c>
      <c r="D123" s="101">
        <f t="shared" ca="1" si="5"/>
        <v>0.64208808652509475</v>
      </c>
      <c r="E123" s="101">
        <f t="shared" ca="1" si="6"/>
        <v>0</v>
      </c>
      <c r="F123" s="21">
        <f t="shared" ca="1" si="7"/>
        <v>0</v>
      </c>
      <c r="H123" s="21">
        <v>108</v>
      </c>
      <c r="I123" s="102">
        <v>0.66780430322953621</v>
      </c>
      <c r="J123" s="103">
        <v>1.5445888778882332E-3</v>
      </c>
      <c r="K123" s="103"/>
      <c r="L123" s="103">
        <v>4.4400000000000002E-2</v>
      </c>
      <c r="O123" s="100"/>
    </row>
    <row r="124" spans="2:15" x14ac:dyDescent="0.2">
      <c r="B124" s="1">
        <v>109</v>
      </c>
      <c r="C124" s="101">
        <f t="shared" ca="1" si="4"/>
        <v>9.5313573620509642E-2</v>
      </c>
      <c r="D124" s="101">
        <f t="shared" ca="1" si="5"/>
        <v>0.67077918096974321</v>
      </c>
      <c r="E124" s="101">
        <f t="shared" ca="1" si="6"/>
        <v>0</v>
      </c>
      <c r="F124" s="21">
        <f t="shared" ca="1" si="7"/>
        <v>0</v>
      </c>
      <c r="H124" s="21">
        <v>109</v>
      </c>
      <c r="I124" s="102">
        <v>0.66776603471404872</v>
      </c>
      <c r="J124" s="103">
        <v>1.3243819238085383E-3</v>
      </c>
      <c r="K124" s="103"/>
      <c r="L124" s="103">
        <v>4.1200000000000001E-2</v>
      </c>
      <c r="O124" s="100"/>
    </row>
    <row r="125" spans="2:15" x14ac:dyDescent="0.2">
      <c r="B125" s="1">
        <v>110</v>
      </c>
      <c r="C125" s="101">
        <f t="shared" ca="1" si="4"/>
        <v>0.99963118935705275</v>
      </c>
      <c r="D125" s="101">
        <f t="shared" ca="1" si="5"/>
        <v>0.73336467021450236</v>
      </c>
      <c r="E125" s="101">
        <f t="shared" ca="1" si="6"/>
        <v>0</v>
      </c>
      <c r="F125" s="21">
        <f t="shared" ca="1" si="7"/>
        <v>0</v>
      </c>
      <c r="H125" s="21">
        <v>110</v>
      </c>
      <c r="I125" s="102">
        <v>0.66776572754870334</v>
      </c>
      <c r="J125" s="103">
        <v>1.3581938481635606E-3</v>
      </c>
      <c r="K125" s="103"/>
      <c r="L125" s="103">
        <v>4.2799999999999998E-2</v>
      </c>
      <c r="O125" s="100"/>
    </row>
    <row r="126" spans="2:15" x14ac:dyDescent="0.2">
      <c r="B126" s="1">
        <v>111</v>
      </c>
      <c r="C126" s="101">
        <f t="shared" ca="1" si="4"/>
        <v>-1.0331126615499426</v>
      </c>
      <c r="D126" s="101">
        <f t="shared" ca="1" si="5"/>
        <v>0.60012053906438112</v>
      </c>
      <c r="E126" s="101">
        <f t="shared" ca="1" si="6"/>
        <v>0</v>
      </c>
      <c r="F126" s="21">
        <f t="shared" ca="1" si="7"/>
        <v>0</v>
      </c>
      <c r="H126" s="21">
        <v>111</v>
      </c>
      <c r="I126" s="102">
        <v>0.66775096818850088</v>
      </c>
      <c r="J126" s="103">
        <v>1.3079082556173626E-3</v>
      </c>
      <c r="K126" s="103"/>
      <c r="L126" s="103">
        <v>0.04</v>
      </c>
      <c r="O126" s="100"/>
    </row>
    <row r="127" spans="2:15" x14ac:dyDescent="0.2">
      <c r="B127" s="1">
        <v>112</v>
      </c>
      <c r="C127" s="101">
        <f t="shared" ca="1" si="4"/>
        <v>-0.79590513069664581</v>
      </c>
      <c r="D127" s="101">
        <f t="shared" ca="1" si="5"/>
        <v>0.61432800696526468</v>
      </c>
      <c r="E127" s="101">
        <f t="shared" ca="1" si="6"/>
        <v>0</v>
      </c>
      <c r="F127" s="21">
        <f t="shared" ca="1" si="7"/>
        <v>0</v>
      </c>
      <c r="H127" s="21">
        <v>112</v>
      </c>
      <c r="I127" s="102">
        <v>0.66791830719977019</v>
      </c>
      <c r="J127" s="103">
        <v>1.5848986384266099E-3</v>
      </c>
      <c r="K127" s="103"/>
      <c r="L127" s="103">
        <v>4.8000000000000001E-2</v>
      </c>
      <c r="O127" s="100"/>
    </row>
    <row r="128" spans="2:15" x14ac:dyDescent="0.2">
      <c r="B128" s="1">
        <v>113</v>
      </c>
      <c r="C128" s="101">
        <f t="shared" ca="1" si="4"/>
        <v>0.22648667259694438</v>
      </c>
      <c r="D128" s="101">
        <f t="shared" ca="1" si="5"/>
        <v>0.67951484597513712</v>
      </c>
      <c r="E128" s="101">
        <f t="shared" ca="1" si="6"/>
        <v>0</v>
      </c>
      <c r="F128" s="21">
        <f t="shared" ca="1" si="7"/>
        <v>0</v>
      </c>
      <c r="H128" s="21">
        <v>113</v>
      </c>
      <c r="I128" s="102">
        <v>0.66797037021584216</v>
      </c>
      <c r="J128" s="103">
        <v>1.5236204111540828E-3</v>
      </c>
      <c r="K128" s="103"/>
      <c r="L128" s="103">
        <v>4.58E-2</v>
      </c>
      <c r="O128" s="100"/>
    </row>
    <row r="129" spans="2:15" x14ac:dyDescent="0.2">
      <c r="B129" s="1">
        <v>114</v>
      </c>
      <c r="C129" s="101">
        <f t="shared" ca="1" si="4"/>
        <v>-0.28046780400501514</v>
      </c>
      <c r="D129" s="101">
        <f t="shared" ca="1" si="5"/>
        <v>0.64637020995392114</v>
      </c>
      <c r="E129" s="101">
        <f t="shared" ca="1" si="6"/>
        <v>0</v>
      </c>
      <c r="F129" s="21">
        <f t="shared" ca="1" si="7"/>
        <v>0</v>
      </c>
      <c r="H129" s="21">
        <v>114</v>
      </c>
      <c r="I129" s="102">
        <v>0.66764384904516694</v>
      </c>
      <c r="J129" s="103">
        <v>1.2041100252479086E-3</v>
      </c>
      <c r="K129" s="103"/>
      <c r="L129" s="103">
        <v>4.02E-2</v>
      </c>
      <c r="O129" s="100"/>
    </row>
    <row r="130" spans="2:15" x14ac:dyDescent="0.2">
      <c r="B130" s="1">
        <v>115</v>
      </c>
      <c r="C130" s="101">
        <f t="shared" ca="1" si="4"/>
        <v>-0.70210591584377169</v>
      </c>
      <c r="D130" s="101">
        <f t="shared" ca="1" si="5"/>
        <v>0.62003844098970196</v>
      </c>
      <c r="E130" s="101">
        <f t="shared" ca="1" si="6"/>
        <v>0</v>
      </c>
      <c r="F130" s="21">
        <f t="shared" ca="1" si="7"/>
        <v>0</v>
      </c>
      <c r="H130" s="21">
        <v>115</v>
      </c>
      <c r="I130" s="102">
        <v>0.66766829650605108</v>
      </c>
      <c r="J130" s="103">
        <v>1.2337685056967116E-3</v>
      </c>
      <c r="K130" s="103"/>
      <c r="L130" s="103">
        <v>3.9600000000000003E-2</v>
      </c>
      <c r="O130" s="100"/>
    </row>
    <row r="131" spans="2:15" x14ac:dyDescent="0.2">
      <c r="B131" s="1">
        <v>116</v>
      </c>
      <c r="C131" s="101">
        <f t="shared" ca="1" si="4"/>
        <v>-0.57899962188393284</v>
      </c>
      <c r="D131" s="101">
        <f t="shared" ca="1" si="5"/>
        <v>0.62761369745727613</v>
      </c>
      <c r="E131" s="101">
        <f t="shared" ca="1" si="6"/>
        <v>0</v>
      </c>
      <c r="F131" s="21">
        <f t="shared" ca="1" si="7"/>
        <v>0</v>
      </c>
      <c r="H131" s="21">
        <v>116</v>
      </c>
      <c r="I131" s="102">
        <v>0.66787243481683467</v>
      </c>
      <c r="J131" s="103">
        <v>1.5455425767102974E-3</v>
      </c>
      <c r="K131" s="103"/>
      <c r="L131" s="103">
        <v>4.2799999999999998E-2</v>
      </c>
      <c r="O131" s="100"/>
    </row>
    <row r="132" spans="2:15" x14ac:dyDescent="0.2">
      <c r="B132" s="1">
        <v>117</v>
      </c>
      <c r="C132" s="101">
        <f t="shared" ca="1" si="4"/>
        <v>1.3147838559177694</v>
      </c>
      <c r="D132" s="101">
        <f t="shared" ca="1" si="5"/>
        <v>0.75652089897631192</v>
      </c>
      <c r="E132" s="101">
        <f t="shared" ca="1" si="6"/>
        <v>0</v>
      </c>
      <c r="F132" s="21">
        <f t="shared" ca="1" si="7"/>
        <v>0</v>
      </c>
      <c r="H132" s="21">
        <v>117</v>
      </c>
      <c r="I132" s="102">
        <v>0.6676902505740282</v>
      </c>
      <c r="J132" s="103">
        <v>1.1468412291140951E-3</v>
      </c>
      <c r="K132" s="103"/>
      <c r="L132" s="103">
        <v>3.6400000000000002E-2</v>
      </c>
      <c r="O132" s="100"/>
    </row>
    <row r="133" spans="2:15" x14ac:dyDescent="0.2">
      <c r="B133" s="1">
        <v>118</v>
      </c>
      <c r="C133" s="101">
        <f t="shared" ca="1" si="4"/>
        <v>1.0828972497393934</v>
      </c>
      <c r="D133" s="101">
        <f t="shared" ca="1" si="5"/>
        <v>0.73941294697844306</v>
      </c>
      <c r="E133" s="101">
        <f t="shared" ca="1" si="6"/>
        <v>0</v>
      </c>
      <c r="F133" s="21">
        <f t="shared" ca="1" si="7"/>
        <v>0</v>
      </c>
      <c r="H133" s="21">
        <v>118</v>
      </c>
      <c r="I133" s="102">
        <v>0.66762010578262021</v>
      </c>
      <c r="J133" s="103">
        <v>1.2872351714916682E-3</v>
      </c>
      <c r="K133" s="103"/>
      <c r="L133" s="103">
        <v>3.8199999999999998E-2</v>
      </c>
      <c r="O133" s="100"/>
    </row>
    <row r="134" spans="2:15" x14ac:dyDescent="0.2">
      <c r="B134" s="1">
        <v>119</v>
      </c>
      <c r="C134" s="101">
        <f t="shared" ca="1" si="4"/>
        <v>-1.018541401868394</v>
      </c>
      <c r="D134" s="101">
        <f t="shared" ca="1" si="5"/>
        <v>0.60098372953791468</v>
      </c>
      <c r="E134" s="101">
        <f t="shared" ca="1" si="6"/>
        <v>0</v>
      </c>
      <c r="F134" s="21">
        <f t="shared" ca="1" si="7"/>
        <v>0</v>
      </c>
      <c r="H134" s="21">
        <v>119</v>
      </c>
      <c r="I134" s="102">
        <v>0.66768635381799735</v>
      </c>
      <c r="J134" s="103">
        <v>1.3454440654518142E-3</v>
      </c>
      <c r="K134" s="103"/>
      <c r="L134" s="103">
        <v>4.1000000000000002E-2</v>
      </c>
      <c r="O134" s="100"/>
    </row>
    <row r="135" spans="2:15" x14ac:dyDescent="0.2">
      <c r="B135" s="1">
        <v>120</v>
      </c>
      <c r="C135" s="101">
        <f t="shared" ca="1" si="4"/>
        <v>-0.11743608207151057</v>
      </c>
      <c r="D135" s="101">
        <f t="shared" ca="1" si="5"/>
        <v>0.65684895123255271</v>
      </c>
      <c r="E135" s="101">
        <f t="shared" ca="1" si="6"/>
        <v>0</v>
      </c>
      <c r="F135" s="21">
        <f t="shared" ca="1" si="7"/>
        <v>0</v>
      </c>
      <c r="H135" s="21">
        <v>120</v>
      </c>
      <c r="I135" s="102">
        <v>0.66769693137879493</v>
      </c>
      <c r="J135" s="103">
        <v>1.3672569781321407E-3</v>
      </c>
      <c r="K135" s="103"/>
      <c r="L135" s="103">
        <v>4.1799999999999997E-2</v>
      </c>
      <c r="O135" s="100"/>
    </row>
    <row r="136" spans="2:15" x14ac:dyDescent="0.2">
      <c r="B136" s="1">
        <v>121</v>
      </c>
      <c r="C136" s="101">
        <f t="shared" ca="1" si="4"/>
        <v>-1.1098641972630341</v>
      </c>
      <c r="D136" s="101">
        <f t="shared" ca="1" si="5"/>
        <v>0.59559425810549915</v>
      </c>
      <c r="E136" s="101">
        <f t="shared" ca="1" si="6"/>
        <v>0</v>
      </c>
      <c r="F136" s="21">
        <f t="shared" ca="1" si="7"/>
        <v>0</v>
      </c>
      <c r="H136" s="21">
        <v>121</v>
      </c>
      <c r="I136" s="102">
        <v>0.66765886357271498</v>
      </c>
      <c r="J136" s="103">
        <v>1.238806999171619E-3</v>
      </c>
      <c r="K136" s="103"/>
      <c r="L136" s="103">
        <v>3.9399999999999998E-2</v>
      </c>
      <c r="O136" s="100"/>
    </row>
    <row r="137" spans="2:15" x14ac:dyDescent="0.2">
      <c r="B137" s="1">
        <v>122</v>
      </c>
      <c r="C137" s="101">
        <f t="shared" ca="1" si="4"/>
        <v>0.39771314822817511</v>
      </c>
      <c r="D137" s="101">
        <f t="shared" ca="1" si="5"/>
        <v>0.69108932756269326</v>
      </c>
      <c r="E137" s="101">
        <f t="shared" ca="1" si="6"/>
        <v>0</v>
      </c>
      <c r="F137" s="21">
        <f t="shared" ca="1" si="7"/>
        <v>0</v>
      </c>
      <c r="H137" s="21">
        <v>122</v>
      </c>
      <c r="I137" s="102">
        <v>0.66781931310983711</v>
      </c>
      <c r="J137" s="103">
        <v>1.4874416673928974E-3</v>
      </c>
      <c r="K137" s="103"/>
      <c r="L137" s="103">
        <v>4.3200000000000002E-2</v>
      </c>
      <c r="O137" s="100"/>
    </row>
    <row r="138" spans="2:15" x14ac:dyDescent="0.2">
      <c r="B138" s="1">
        <v>123</v>
      </c>
      <c r="C138" s="101">
        <f t="shared" ca="1" si="4"/>
        <v>-0.34183689239668802</v>
      </c>
      <c r="D138" s="101">
        <f t="shared" ca="1" si="5"/>
        <v>0.6424692089570484</v>
      </c>
      <c r="E138" s="101">
        <f t="shared" ca="1" si="6"/>
        <v>0</v>
      </c>
      <c r="F138" s="21">
        <f t="shared" ca="1" si="7"/>
        <v>0</v>
      </c>
      <c r="H138" s="21">
        <v>123</v>
      </c>
      <c r="I138" s="102">
        <v>0.66776555548211169</v>
      </c>
      <c r="J138" s="103">
        <v>1.4065574185199547E-3</v>
      </c>
      <c r="K138" s="103"/>
      <c r="L138" s="103">
        <v>4.3400000000000001E-2</v>
      </c>
      <c r="O138" s="100"/>
    </row>
    <row r="139" spans="2:15" x14ac:dyDescent="0.2">
      <c r="B139" s="1">
        <v>124</v>
      </c>
      <c r="C139" s="101">
        <f t="shared" ca="1" si="4"/>
        <v>-0.91310831637116929</v>
      </c>
      <c r="D139" s="101">
        <f t="shared" ca="1" si="5"/>
        <v>0.60726661052057485</v>
      </c>
      <c r="E139" s="101">
        <f t="shared" ca="1" si="6"/>
        <v>0</v>
      </c>
      <c r="F139" s="21">
        <f t="shared" ca="1" si="7"/>
        <v>0</v>
      </c>
      <c r="H139" s="21">
        <v>124</v>
      </c>
      <c r="I139" s="102">
        <v>0.66775518487675345</v>
      </c>
      <c r="J139" s="103">
        <v>1.334613235057283E-3</v>
      </c>
      <c r="K139" s="103"/>
      <c r="L139" s="103">
        <v>4.2000000000000003E-2</v>
      </c>
      <c r="O139" s="100"/>
    </row>
    <row r="140" spans="2:15" x14ac:dyDescent="0.2">
      <c r="B140" s="1">
        <v>125</v>
      </c>
      <c r="C140" s="101">
        <f t="shared" ca="1" si="4"/>
        <v>0.42942244609260827</v>
      </c>
      <c r="D140" s="101">
        <f t="shared" ca="1" si="5"/>
        <v>0.69325433350612875</v>
      </c>
      <c r="E140" s="101">
        <f t="shared" ca="1" si="6"/>
        <v>0</v>
      </c>
      <c r="F140" s="21">
        <f t="shared" ca="1" si="7"/>
        <v>0</v>
      </c>
      <c r="H140" s="21">
        <v>125</v>
      </c>
      <c r="I140" s="102">
        <v>0.66772407600276817</v>
      </c>
      <c r="J140" s="103">
        <v>1.3863920790064977E-3</v>
      </c>
      <c r="K140" s="103"/>
      <c r="L140" s="103">
        <v>3.9399999999999998E-2</v>
      </c>
      <c r="O140" s="100"/>
    </row>
    <row r="141" spans="2:15" x14ac:dyDescent="0.2">
      <c r="B141" s="1">
        <v>126</v>
      </c>
      <c r="C141" s="101">
        <f t="shared" ca="1" si="4"/>
        <v>-0.67895344283210757</v>
      </c>
      <c r="D141" s="101">
        <f t="shared" ca="1" si="5"/>
        <v>0.62145609717189154</v>
      </c>
      <c r="E141" s="101">
        <f t="shared" ca="1" si="6"/>
        <v>0</v>
      </c>
      <c r="F141" s="21">
        <f t="shared" ca="1" si="7"/>
        <v>0</v>
      </c>
      <c r="H141" s="21">
        <v>126</v>
      </c>
      <c r="I141" s="102">
        <v>0.66771990631031863</v>
      </c>
      <c r="J141" s="103">
        <v>1.4561969547607729E-3</v>
      </c>
      <c r="K141" s="103"/>
      <c r="L141" s="103">
        <v>4.1200000000000001E-2</v>
      </c>
      <c r="O141" s="100"/>
    </row>
    <row r="142" spans="2:15" x14ac:dyDescent="0.2">
      <c r="B142" s="1">
        <v>127</v>
      </c>
      <c r="C142" s="101">
        <f t="shared" ca="1" si="4"/>
        <v>1.087351167210667</v>
      </c>
      <c r="D142" s="101">
        <f t="shared" ca="1" si="5"/>
        <v>0.73973787227346666</v>
      </c>
      <c r="E142" s="101">
        <f t="shared" ca="1" si="6"/>
        <v>0</v>
      </c>
      <c r="F142" s="21">
        <f t="shared" ca="1" si="7"/>
        <v>0</v>
      </c>
      <c r="H142" s="21">
        <v>127</v>
      </c>
      <c r="I142" s="102">
        <v>0.66784258116093109</v>
      </c>
      <c r="J142" s="103">
        <v>1.4887746911371302E-3</v>
      </c>
      <c r="K142" s="103"/>
      <c r="L142" s="103">
        <v>4.0800000000000003E-2</v>
      </c>
      <c r="O142" s="100"/>
    </row>
    <row r="143" spans="2:15" x14ac:dyDescent="0.2">
      <c r="B143" s="1">
        <v>128</v>
      </c>
      <c r="C143" s="101">
        <f t="shared" ca="1" si="4"/>
        <v>-0.98631051737102415</v>
      </c>
      <c r="D143" s="101">
        <f t="shared" ca="1" si="5"/>
        <v>0.60289747598525911</v>
      </c>
      <c r="E143" s="101">
        <f t="shared" ca="1" si="6"/>
        <v>0</v>
      </c>
      <c r="F143" s="21">
        <f t="shared" ca="1" si="7"/>
        <v>0</v>
      </c>
      <c r="H143" s="21">
        <v>128</v>
      </c>
      <c r="I143" s="102">
        <v>0.66776760433441407</v>
      </c>
      <c r="J143" s="103">
        <v>1.4099958640467869E-3</v>
      </c>
      <c r="K143" s="103"/>
      <c r="L143" s="103">
        <v>4.0800000000000003E-2</v>
      </c>
      <c r="O143" s="100"/>
    </row>
    <row r="144" spans="2:15" x14ac:dyDescent="0.2">
      <c r="B144" s="1">
        <v>129</v>
      </c>
      <c r="C144" s="101">
        <f t="shared" ref="C144:C207" ca="1" si="8">_xlfn.NORM.S.INV(RAND())</f>
        <v>-0.96877211629197213</v>
      </c>
      <c r="D144" s="101">
        <f t="shared" ref="D144:D207" ca="1" si="9">S0*EXP((μ-0.5*σ*σ)*T+σ*SQRT(T)*$C144)</f>
        <v>0.6039413980695777</v>
      </c>
      <c r="E144" s="101">
        <f t="shared" ref="E144:E207" ca="1" si="10">MAX(0,CP*(D144-K))</f>
        <v>0</v>
      </c>
      <c r="F144" s="21">
        <f t="shared" ref="F144:F207" ca="1" si="11">(CP*(D144-K)&gt;0)*1</f>
        <v>0</v>
      </c>
      <c r="H144" s="21">
        <v>129</v>
      </c>
      <c r="I144" s="102">
        <v>0.66773423101667428</v>
      </c>
      <c r="J144" s="103">
        <v>1.407247314939622E-3</v>
      </c>
      <c r="K144" s="103"/>
      <c r="L144" s="103">
        <v>4.2799999999999998E-2</v>
      </c>
      <c r="O144" s="100"/>
    </row>
    <row r="145" spans="2:15" x14ac:dyDescent="0.2">
      <c r="B145" s="1">
        <v>130</v>
      </c>
      <c r="C145" s="101">
        <f t="shared" ca="1" si="8"/>
        <v>1.7540625069665376</v>
      </c>
      <c r="D145" s="101">
        <f t="shared" ca="1" si="9"/>
        <v>0.79002231132400458</v>
      </c>
      <c r="E145" s="101">
        <f t="shared" ca="1" si="10"/>
        <v>1.8223113240045663E-3</v>
      </c>
      <c r="F145" s="21">
        <f t="shared" ca="1" si="11"/>
        <v>1</v>
      </c>
      <c r="H145" s="21">
        <v>130</v>
      </c>
      <c r="I145" s="102">
        <v>0.66778126330289855</v>
      </c>
      <c r="J145" s="103">
        <v>1.3773689282917452E-3</v>
      </c>
      <c r="K145" s="103"/>
      <c r="L145" s="103">
        <v>4.3799999999999999E-2</v>
      </c>
      <c r="O145" s="100"/>
    </row>
    <row r="146" spans="2:15" x14ac:dyDescent="0.2">
      <c r="B146" s="1">
        <v>131</v>
      </c>
      <c r="C146" s="101">
        <f t="shared" ca="1" si="8"/>
        <v>1.2951987306948183</v>
      </c>
      <c r="D146" s="101">
        <f t="shared" ca="1" si="9"/>
        <v>0.75506078504905072</v>
      </c>
      <c r="E146" s="101">
        <f t="shared" ca="1" si="10"/>
        <v>0</v>
      </c>
      <c r="F146" s="21">
        <f t="shared" ca="1" si="11"/>
        <v>0</v>
      </c>
      <c r="H146" s="21">
        <v>131</v>
      </c>
      <c r="I146" s="102">
        <v>0.66776434694959863</v>
      </c>
      <c r="J146" s="103">
        <v>1.5133036832760099E-3</v>
      </c>
      <c r="K146" s="103"/>
      <c r="L146" s="103">
        <v>4.1399999999999999E-2</v>
      </c>
      <c r="O146" s="100"/>
    </row>
    <row r="147" spans="2:15" x14ac:dyDescent="0.2">
      <c r="B147" s="1">
        <v>132</v>
      </c>
      <c r="C147" s="101">
        <f t="shared" ca="1" si="8"/>
        <v>-1.2054247418759778</v>
      </c>
      <c r="D147" s="101">
        <f t="shared" ca="1" si="9"/>
        <v>0.59000643370820971</v>
      </c>
      <c r="E147" s="101">
        <f t="shared" ca="1" si="10"/>
        <v>0</v>
      </c>
      <c r="F147" s="21">
        <f t="shared" ca="1" si="11"/>
        <v>0</v>
      </c>
      <c r="H147" s="21">
        <v>132</v>
      </c>
      <c r="I147" s="102">
        <v>0.66777888723148071</v>
      </c>
      <c r="J147" s="103">
        <v>1.3180075159196828E-3</v>
      </c>
      <c r="K147" s="103"/>
      <c r="L147" s="103">
        <v>4.1599999999999998E-2</v>
      </c>
      <c r="O147" s="100"/>
    </row>
    <row r="148" spans="2:15" x14ac:dyDescent="0.2">
      <c r="B148" s="1">
        <v>133</v>
      </c>
      <c r="C148" s="101">
        <f t="shared" ca="1" si="8"/>
        <v>-0.69789568031301485</v>
      </c>
      <c r="D148" s="101">
        <f t="shared" ca="1" si="9"/>
        <v>0.62029599842589833</v>
      </c>
      <c r="E148" s="101">
        <f t="shared" ca="1" si="10"/>
        <v>0</v>
      </c>
      <c r="F148" s="21">
        <f t="shared" ca="1" si="11"/>
        <v>0</v>
      </c>
      <c r="H148" s="21">
        <v>133</v>
      </c>
      <c r="I148" s="102">
        <v>0.66785722071232356</v>
      </c>
      <c r="J148" s="103">
        <v>1.5554975832792924E-3</v>
      </c>
      <c r="K148" s="103"/>
      <c r="L148" s="103">
        <v>4.3999999999999997E-2</v>
      </c>
      <c r="O148" s="100"/>
    </row>
    <row r="149" spans="2:15" x14ac:dyDescent="0.2">
      <c r="B149" s="1">
        <v>134</v>
      </c>
      <c r="C149" s="101">
        <f t="shared" ca="1" si="8"/>
        <v>-1.0259304635801723</v>
      </c>
      <c r="D149" s="101">
        <f t="shared" ca="1" si="9"/>
        <v>0.60054585202060762</v>
      </c>
      <c r="E149" s="101">
        <f t="shared" ca="1" si="10"/>
        <v>0</v>
      </c>
      <c r="F149" s="21">
        <f t="shared" ca="1" si="11"/>
        <v>0</v>
      </c>
      <c r="H149" s="21">
        <v>134</v>
      </c>
      <c r="I149" s="102">
        <v>0.66786257826503759</v>
      </c>
      <c r="J149" s="103">
        <v>1.4382868310422741E-3</v>
      </c>
      <c r="K149" s="103"/>
      <c r="L149" s="103">
        <v>4.2599999999999999E-2</v>
      </c>
      <c r="O149" s="100"/>
    </row>
    <row r="150" spans="2:15" x14ac:dyDescent="0.2">
      <c r="B150" s="1">
        <v>135</v>
      </c>
      <c r="C150" s="101">
        <f t="shared" ca="1" si="8"/>
        <v>0.20799309131318244</v>
      </c>
      <c r="D150" s="101">
        <f t="shared" ca="1" si="9"/>
        <v>0.67827638363703036</v>
      </c>
      <c r="E150" s="101">
        <f t="shared" ca="1" si="10"/>
        <v>0</v>
      </c>
      <c r="F150" s="21">
        <f t="shared" ca="1" si="11"/>
        <v>0</v>
      </c>
      <c r="H150" s="21">
        <v>135</v>
      </c>
      <c r="I150" s="102">
        <v>0.66773804622989186</v>
      </c>
      <c r="J150" s="103">
        <v>1.317314718554341E-3</v>
      </c>
      <c r="K150" s="103"/>
      <c r="L150" s="103">
        <v>3.7999999999999999E-2</v>
      </c>
      <c r="O150" s="100"/>
    </row>
    <row r="151" spans="2:15" x14ac:dyDescent="0.2">
      <c r="B151" s="1">
        <v>136</v>
      </c>
      <c r="C151" s="101">
        <f t="shared" ca="1" si="8"/>
        <v>-0.21910252967064403</v>
      </c>
      <c r="D151" s="101">
        <f t="shared" ca="1" si="9"/>
        <v>0.65029465273514253</v>
      </c>
      <c r="E151" s="101">
        <f t="shared" ca="1" si="10"/>
        <v>0</v>
      </c>
      <c r="F151" s="21">
        <f t="shared" ca="1" si="11"/>
        <v>0</v>
      </c>
      <c r="H151" s="21">
        <v>136</v>
      </c>
      <c r="I151" s="102">
        <v>0.66774004221637928</v>
      </c>
      <c r="J151" s="103">
        <v>1.3272313990444038E-3</v>
      </c>
      <c r="K151" s="103"/>
      <c r="L151" s="103">
        <v>4.0800000000000003E-2</v>
      </c>
      <c r="O151" s="100"/>
    </row>
    <row r="152" spans="2:15" x14ac:dyDescent="0.2">
      <c r="B152" s="1">
        <v>137</v>
      </c>
      <c r="C152" s="101">
        <f t="shared" ca="1" si="8"/>
        <v>-0.29680507058541172</v>
      </c>
      <c r="D152" s="101">
        <f t="shared" ca="1" si="9"/>
        <v>0.64532940407548134</v>
      </c>
      <c r="E152" s="101">
        <f t="shared" ca="1" si="10"/>
        <v>0</v>
      </c>
      <c r="F152" s="21">
        <f t="shared" ca="1" si="11"/>
        <v>0</v>
      </c>
      <c r="H152" s="21">
        <v>137</v>
      </c>
      <c r="I152" s="102">
        <v>0.66767876417375049</v>
      </c>
      <c r="J152" s="103">
        <v>1.1648421755562331E-3</v>
      </c>
      <c r="K152" s="103"/>
      <c r="L152" s="103">
        <v>3.8199999999999998E-2</v>
      </c>
      <c r="O152" s="100"/>
    </row>
    <row r="153" spans="2:15" x14ac:dyDescent="0.2">
      <c r="B153" s="1">
        <v>138</v>
      </c>
      <c r="C153" s="101">
        <f t="shared" ca="1" si="8"/>
        <v>-0.66762995674561443</v>
      </c>
      <c r="D153" s="101">
        <f t="shared" ca="1" si="9"/>
        <v>0.62215062887219774</v>
      </c>
      <c r="E153" s="101">
        <f t="shared" ca="1" si="10"/>
        <v>0</v>
      </c>
      <c r="F153" s="21">
        <f t="shared" ca="1" si="11"/>
        <v>0</v>
      </c>
      <c r="H153" s="21">
        <v>138</v>
      </c>
      <c r="I153" s="102">
        <v>0.66771021477544057</v>
      </c>
      <c r="J153" s="103">
        <v>1.3179403204971439E-3</v>
      </c>
      <c r="K153" s="103"/>
      <c r="L153" s="103">
        <v>3.9E-2</v>
      </c>
      <c r="O153" s="100"/>
    </row>
    <row r="154" spans="2:15" x14ac:dyDescent="0.2">
      <c r="B154" s="1">
        <v>139</v>
      </c>
      <c r="C154" s="101">
        <f t="shared" ca="1" si="8"/>
        <v>0.92703803817109109</v>
      </c>
      <c r="D154" s="101">
        <f t="shared" ca="1" si="9"/>
        <v>0.72813203404723581</v>
      </c>
      <c r="E154" s="101">
        <f t="shared" ca="1" si="10"/>
        <v>0</v>
      </c>
      <c r="F154" s="21">
        <f t="shared" ca="1" si="11"/>
        <v>0</v>
      </c>
      <c r="H154" s="21">
        <v>139</v>
      </c>
      <c r="I154" s="102">
        <v>0.66748998336563925</v>
      </c>
      <c r="J154" s="103">
        <v>1.1115669523647804E-3</v>
      </c>
      <c r="K154" s="103"/>
      <c r="L154" s="103">
        <v>3.56E-2</v>
      </c>
      <c r="O154" s="100"/>
    </row>
    <row r="155" spans="2:15" x14ac:dyDescent="0.2">
      <c r="B155" s="1">
        <v>140</v>
      </c>
      <c r="C155" s="101">
        <f t="shared" ca="1" si="8"/>
        <v>-1.7575879186731584</v>
      </c>
      <c r="D155" s="101">
        <f t="shared" ca="1" si="9"/>
        <v>0.55873054896826646</v>
      </c>
      <c r="E155" s="101">
        <f t="shared" ca="1" si="10"/>
        <v>0</v>
      </c>
      <c r="F155" s="21">
        <f t="shared" ca="1" si="11"/>
        <v>0</v>
      </c>
      <c r="H155" s="21">
        <v>140</v>
      </c>
      <c r="I155" s="102">
        <v>0.66786527368521753</v>
      </c>
      <c r="J155" s="103">
        <v>1.4581801177467736E-3</v>
      </c>
      <c r="K155" s="103"/>
      <c r="L155" s="103">
        <v>4.1799999999999997E-2</v>
      </c>
      <c r="O155" s="100"/>
    </row>
    <row r="156" spans="2:15" x14ac:dyDescent="0.2">
      <c r="B156" s="1">
        <v>141</v>
      </c>
      <c r="C156" s="101">
        <f t="shared" ca="1" si="8"/>
        <v>7.059291039466932E-2</v>
      </c>
      <c r="D156" s="101">
        <f t="shared" ca="1" si="9"/>
        <v>0.66914549269384527</v>
      </c>
      <c r="E156" s="101">
        <f t="shared" ca="1" si="10"/>
        <v>0</v>
      </c>
      <c r="F156" s="21">
        <f t="shared" ca="1" si="11"/>
        <v>0</v>
      </c>
      <c r="H156" s="21">
        <v>141</v>
      </c>
      <c r="I156" s="102">
        <v>0.66772559125575037</v>
      </c>
      <c r="J156" s="103">
        <v>1.3718350358611171E-3</v>
      </c>
      <c r="K156" s="103"/>
      <c r="L156" s="103">
        <v>4.2599999999999999E-2</v>
      </c>
      <c r="O156" s="100"/>
    </row>
    <row r="157" spans="2:15" x14ac:dyDescent="0.2">
      <c r="B157" s="1">
        <v>142</v>
      </c>
      <c r="C157" s="101">
        <f t="shared" ca="1" si="8"/>
        <v>-0.88623407267054211</v>
      </c>
      <c r="D157" s="101">
        <f t="shared" ca="1" si="9"/>
        <v>0.6088785558930031</v>
      </c>
      <c r="E157" s="101">
        <f t="shared" ca="1" si="10"/>
        <v>0</v>
      </c>
      <c r="F157" s="21">
        <f t="shared" ca="1" si="11"/>
        <v>0</v>
      </c>
      <c r="H157" s="21">
        <v>142</v>
      </c>
      <c r="I157" s="102">
        <v>0.66754128351874853</v>
      </c>
      <c r="J157" s="103">
        <v>1.0418812290078666E-3</v>
      </c>
      <c r="K157" s="103"/>
      <c r="L157" s="103">
        <v>3.5999999999999997E-2</v>
      </c>
      <c r="O157" s="100"/>
    </row>
    <row r="158" spans="2:15" x14ac:dyDescent="0.2">
      <c r="B158" s="1">
        <v>143</v>
      </c>
      <c r="C158" s="101">
        <f t="shared" ca="1" si="8"/>
        <v>-6.8725209146565325E-2</v>
      </c>
      <c r="D158" s="101">
        <f t="shared" ca="1" si="9"/>
        <v>0.66001264262984349</v>
      </c>
      <c r="E158" s="101">
        <f t="shared" ca="1" si="10"/>
        <v>0</v>
      </c>
      <c r="F158" s="21">
        <f t="shared" ca="1" si="11"/>
        <v>0</v>
      </c>
      <c r="H158" s="21">
        <v>143</v>
      </c>
      <c r="I158" s="102">
        <v>0.66774103068028445</v>
      </c>
      <c r="J158" s="103">
        <v>1.4039940617522782E-3</v>
      </c>
      <c r="K158" s="103"/>
      <c r="L158" s="103">
        <v>4.3400000000000001E-2</v>
      </c>
      <c r="O158" s="100"/>
    </row>
    <row r="159" spans="2:15" x14ac:dyDescent="0.2">
      <c r="B159" s="1">
        <v>144</v>
      </c>
      <c r="C159" s="101">
        <f t="shared" ca="1" si="8"/>
        <v>0.45444338599331974</v>
      </c>
      <c r="D159" s="101">
        <f t="shared" ca="1" si="9"/>
        <v>0.69496746683556743</v>
      </c>
      <c r="E159" s="101">
        <f t="shared" ca="1" si="10"/>
        <v>0</v>
      </c>
      <c r="F159" s="21">
        <f t="shared" ca="1" si="11"/>
        <v>0</v>
      </c>
      <c r="H159" s="21">
        <v>144</v>
      </c>
      <c r="I159" s="102">
        <v>0.66787575564541968</v>
      </c>
      <c r="J159" s="103">
        <v>1.5722440789083789E-3</v>
      </c>
      <c r="K159" s="103"/>
      <c r="L159" s="103">
        <v>4.7199999999999999E-2</v>
      </c>
      <c r="O159" s="100"/>
    </row>
    <row r="160" spans="2:15" x14ac:dyDescent="0.2">
      <c r="B160" s="1">
        <v>145</v>
      </c>
      <c r="C160" s="101">
        <f t="shared" ca="1" si="8"/>
        <v>-1.1301065905544501</v>
      </c>
      <c r="D160" s="101">
        <f t="shared" ca="1" si="9"/>
        <v>0.59440619981903664</v>
      </c>
      <c r="E160" s="101">
        <f t="shared" ca="1" si="10"/>
        <v>0</v>
      </c>
      <c r="F160" s="21">
        <f t="shared" ca="1" si="11"/>
        <v>0</v>
      </c>
      <c r="H160" s="21">
        <v>145</v>
      </c>
      <c r="I160" s="102">
        <v>0.66797864630107495</v>
      </c>
      <c r="J160" s="103">
        <v>1.6087996177768251E-3</v>
      </c>
      <c r="K160" s="103"/>
      <c r="L160" s="103">
        <v>4.7600000000000003E-2</v>
      </c>
      <c r="O160" s="100"/>
    </row>
    <row r="161" spans="2:15" x14ac:dyDescent="0.2">
      <c r="B161" s="1">
        <v>146</v>
      </c>
      <c r="C161" s="101">
        <f t="shared" ca="1" si="8"/>
        <v>0.21022616702569469</v>
      </c>
      <c r="D161" s="101">
        <f t="shared" ca="1" si="9"/>
        <v>0.67842580643947514</v>
      </c>
      <c r="E161" s="101">
        <f t="shared" ca="1" si="10"/>
        <v>0</v>
      </c>
      <c r="F161" s="21">
        <f t="shared" ca="1" si="11"/>
        <v>0</v>
      </c>
      <c r="H161" s="21">
        <v>146</v>
      </c>
      <c r="I161" s="102">
        <v>0.66770281796656805</v>
      </c>
      <c r="J161" s="103">
        <v>1.2619590139844562E-3</v>
      </c>
      <c r="K161" s="103"/>
      <c r="L161" s="103">
        <v>0.04</v>
      </c>
      <c r="O161" s="100"/>
    </row>
    <row r="162" spans="2:15" x14ac:dyDescent="0.2">
      <c r="B162" s="1">
        <v>147</v>
      </c>
      <c r="C162" s="101">
        <f t="shared" ca="1" si="8"/>
        <v>1.5480042814253394</v>
      </c>
      <c r="D162" s="101">
        <f t="shared" ca="1" si="9"/>
        <v>0.77412652613777588</v>
      </c>
      <c r="E162" s="101">
        <f t="shared" ca="1" si="10"/>
        <v>0</v>
      </c>
      <c r="F162" s="21">
        <f t="shared" ca="1" si="11"/>
        <v>0</v>
      </c>
      <c r="H162" s="21">
        <v>147</v>
      </c>
      <c r="I162" s="102">
        <v>0.66763081757424569</v>
      </c>
      <c r="J162" s="103">
        <v>1.2284607360077452E-3</v>
      </c>
      <c r="K162" s="103"/>
      <c r="L162" s="103">
        <v>4.2200000000000001E-2</v>
      </c>
      <c r="O162" s="100"/>
    </row>
    <row r="163" spans="2:15" x14ac:dyDescent="0.2">
      <c r="B163" s="1">
        <v>148</v>
      </c>
      <c r="C163" s="101">
        <f t="shared" ca="1" si="8"/>
        <v>-0.99894603897361445</v>
      </c>
      <c r="D163" s="101">
        <f t="shared" ca="1" si="9"/>
        <v>0.60214650195268205</v>
      </c>
      <c r="E163" s="101">
        <f t="shared" ca="1" si="10"/>
        <v>0</v>
      </c>
      <c r="F163" s="21">
        <f t="shared" ca="1" si="11"/>
        <v>0</v>
      </c>
      <c r="H163" s="21">
        <v>148</v>
      </c>
      <c r="I163" s="102">
        <v>0.66771831313809127</v>
      </c>
      <c r="J163" s="103">
        <v>1.3512738560787401E-3</v>
      </c>
      <c r="K163" s="103"/>
      <c r="L163" s="103">
        <v>3.9800000000000002E-2</v>
      </c>
      <c r="O163" s="100"/>
    </row>
    <row r="164" spans="2:15" x14ac:dyDescent="0.2">
      <c r="B164" s="1">
        <v>149</v>
      </c>
      <c r="C164" s="101">
        <f t="shared" ca="1" si="8"/>
        <v>-1.0607615558132455</v>
      </c>
      <c r="D164" s="101">
        <f t="shared" ca="1" si="9"/>
        <v>0.59848604607248368</v>
      </c>
      <c r="E164" s="101">
        <f t="shared" ca="1" si="10"/>
        <v>0</v>
      </c>
      <c r="F164" s="21">
        <f t="shared" ca="1" si="11"/>
        <v>0</v>
      </c>
      <c r="H164" s="21">
        <v>149</v>
      </c>
      <c r="I164" s="102">
        <v>0.66765997133051691</v>
      </c>
      <c r="J164" s="103">
        <v>1.232744952823973E-3</v>
      </c>
      <c r="K164" s="103"/>
      <c r="L164" s="103">
        <v>3.8399999999999997E-2</v>
      </c>
      <c r="O164" s="100"/>
    </row>
    <row r="165" spans="2:15" x14ac:dyDescent="0.2">
      <c r="B165" s="1">
        <v>150</v>
      </c>
      <c r="C165" s="101">
        <f t="shared" ca="1" si="8"/>
        <v>0.12230626291044772</v>
      </c>
      <c r="D165" s="101">
        <f t="shared" ca="1" si="9"/>
        <v>0.67256757385951538</v>
      </c>
      <c r="E165" s="101">
        <f t="shared" ca="1" si="10"/>
        <v>0</v>
      </c>
      <c r="F165" s="21">
        <f t="shared" ca="1" si="11"/>
        <v>0</v>
      </c>
      <c r="H165" s="21">
        <v>150</v>
      </c>
      <c r="I165" s="102">
        <v>0.66773548265172644</v>
      </c>
      <c r="J165" s="103">
        <v>1.4244400921935116E-3</v>
      </c>
      <c r="K165" s="103"/>
      <c r="L165" s="103">
        <v>4.1399999999999999E-2</v>
      </c>
      <c r="O165" s="100"/>
    </row>
    <row r="166" spans="2:15" x14ac:dyDescent="0.2">
      <c r="B166" s="1">
        <v>151</v>
      </c>
      <c r="C166" s="101">
        <f t="shared" ca="1" si="8"/>
        <v>-1.0700655670907948</v>
      </c>
      <c r="D166" s="101">
        <f t="shared" ca="1" si="9"/>
        <v>0.59793703148478594</v>
      </c>
      <c r="E166" s="101">
        <f t="shared" ca="1" si="10"/>
        <v>0</v>
      </c>
      <c r="F166" s="21">
        <f t="shared" ca="1" si="11"/>
        <v>0</v>
      </c>
      <c r="H166" s="21">
        <v>151</v>
      </c>
      <c r="I166" s="102">
        <v>0.66760778612839478</v>
      </c>
      <c r="J166" s="103">
        <v>1.1624259961693383E-3</v>
      </c>
      <c r="K166" s="103"/>
      <c r="L166" s="103">
        <v>3.8800000000000001E-2</v>
      </c>
      <c r="O166" s="100"/>
    </row>
    <row r="167" spans="2:15" x14ac:dyDescent="0.2">
      <c r="B167" s="1">
        <v>152</v>
      </c>
      <c r="C167" s="101">
        <f t="shared" ca="1" si="8"/>
        <v>-0.45747206553139375</v>
      </c>
      <c r="D167" s="101">
        <f t="shared" ca="1" si="9"/>
        <v>0.63518257994404015</v>
      </c>
      <c r="E167" s="101">
        <f t="shared" ca="1" si="10"/>
        <v>0</v>
      </c>
      <c r="F167" s="21">
        <f t="shared" ca="1" si="11"/>
        <v>0</v>
      </c>
      <c r="H167" s="21">
        <v>152</v>
      </c>
      <c r="I167" s="102">
        <v>0.66782956169163432</v>
      </c>
      <c r="J167" s="103">
        <v>1.5184473544187294E-3</v>
      </c>
      <c r="K167" s="103"/>
      <c r="L167" s="103">
        <v>4.7E-2</v>
      </c>
      <c r="O167" s="100"/>
    </row>
    <row r="168" spans="2:15" x14ac:dyDescent="0.2">
      <c r="B168" s="1">
        <v>153</v>
      </c>
      <c r="C168" s="101">
        <f t="shared" ca="1" si="8"/>
        <v>9.1538394767929382E-2</v>
      </c>
      <c r="D168" s="101">
        <f t="shared" ca="1" si="9"/>
        <v>0.67052943692190081</v>
      </c>
      <c r="E168" s="101">
        <f t="shared" ca="1" si="10"/>
        <v>0</v>
      </c>
      <c r="F168" s="21">
        <f t="shared" ca="1" si="11"/>
        <v>0</v>
      </c>
      <c r="H168" s="21">
        <v>153</v>
      </c>
      <c r="I168" s="102">
        <v>0.6676663764498707</v>
      </c>
      <c r="J168" s="103">
        <v>1.1450529453589857E-3</v>
      </c>
      <c r="K168" s="103"/>
      <c r="L168" s="103">
        <v>3.9199999999999999E-2</v>
      </c>
      <c r="O168" s="100"/>
    </row>
    <row r="169" spans="2:15" x14ac:dyDescent="0.2">
      <c r="B169" s="1">
        <v>154</v>
      </c>
      <c r="C169" s="101">
        <f t="shared" ca="1" si="8"/>
        <v>0.34307930120873686</v>
      </c>
      <c r="D169" s="101">
        <f t="shared" ca="1" si="9"/>
        <v>0.68737495763484435</v>
      </c>
      <c r="E169" s="101">
        <f t="shared" ca="1" si="10"/>
        <v>0</v>
      </c>
      <c r="F169" s="21">
        <f t="shared" ca="1" si="11"/>
        <v>0</v>
      </c>
      <c r="H169" s="21">
        <v>154</v>
      </c>
      <c r="I169" s="102">
        <v>0.667795283114479</v>
      </c>
      <c r="J169" s="103">
        <v>1.4818297974268806E-3</v>
      </c>
      <c r="K169" s="103"/>
      <c r="L169" s="103">
        <v>4.4200000000000003E-2</v>
      </c>
      <c r="O169" s="100"/>
    </row>
    <row r="170" spans="2:15" x14ac:dyDescent="0.2">
      <c r="B170" s="1">
        <v>155</v>
      </c>
      <c r="C170" s="101">
        <f t="shared" ca="1" si="8"/>
        <v>0.72978106644082597</v>
      </c>
      <c r="D170" s="101">
        <f t="shared" ca="1" si="9"/>
        <v>0.71410121356991629</v>
      </c>
      <c r="E170" s="101">
        <f t="shared" ca="1" si="10"/>
        <v>0</v>
      </c>
      <c r="F170" s="21">
        <f t="shared" ca="1" si="11"/>
        <v>0</v>
      </c>
      <c r="H170" s="21">
        <v>155</v>
      </c>
      <c r="I170" s="102">
        <v>0.66754273938266073</v>
      </c>
      <c r="J170" s="103">
        <v>1.1696884483753502E-3</v>
      </c>
      <c r="K170" s="103"/>
      <c r="L170" s="103">
        <v>3.8800000000000001E-2</v>
      </c>
      <c r="O170" s="100"/>
    </row>
    <row r="171" spans="2:15" x14ac:dyDescent="0.2">
      <c r="B171" s="1">
        <v>156</v>
      </c>
      <c r="C171" s="101">
        <f t="shared" ca="1" si="8"/>
        <v>0.40459848805417153</v>
      </c>
      <c r="D171" s="101">
        <f t="shared" ca="1" si="9"/>
        <v>0.69155886038519321</v>
      </c>
      <c r="E171" s="101">
        <f t="shared" ca="1" si="10"/>
        <v>0</v>
      </c>
      <c r="F171" s="21">
        <f t="shared" ca="1" si="11"/>
        <v>0</v>
      </c>
      <c r="H171" s="21">
        <v>156</v>
      </c>
      <c r="I171" s="102">
        <v>0.66778395603502227</v>
      </c>
      <c r="J171" s="103">
        <v>1.4347718853133502E-3</v>
      </c>
      <c r="K171" s="103"/>
      <c r="L171" s="103">
        <v>4.0399999999999998E-2</v>
      </c>
      <c r="O171" s="100"/>
    </row>
    <row r="172" spans="2:15" x14ac:dyDescent="0.2">
      <c r="B172" s="1">
        <v>157</v>
      </c>
      <c r="C172" s="101">
        <f t="shared" ca="1" si="8"/>
        <v>0.44960081749949332</v>
      </c>
      <c r="D172" s="101">
        <f t="shared" ca="1" si="9"/>
        <v>0.6946355758740772</v>
      </c>
      <c r="E172" s="101">
        <f t="shared" ca="1" si="10"/>
        <v>0</v>
      </c>
      <c r="F172" s="21">
        <f t="shared" ca="1" si="11"/>
        <v>0</v>
      </c>
      <c r="H172" s="21">
        <v>157</v>
      </c>
      <c r="I172" s="102">
        <v>0.66780136099263465</v>
      </c>
      <c r="J172" s="103">
        <v>1.4509877888945464E-3</v>
      </c>
      <c r="K172" s="103"/>
      <c r="L172" s="103">
        <v>4.36E-2</v>
      </c>
      <c r="O172" s="100"/>
    </row>
    <row r="173" spans="2:15" x14ac:dyDescent="0.2">
      <c r="B173" s="1">
        <v>158</v>
      </c>
      <c r="C173" s="101">
        <f t="shared" ca="1" si="8"/>
        <v>-0.97669716837051423</v>
      </c>
      <c r="D173" s="101">
        <f t="shared" ca="1" si="9"/>
        <v>0.60346945883442815</v>
      </c>
      <c r="E173" s="101">
        <f t="shared" ca="1" si="10"/>
        <v>0</v>
      </c>
      <c r="F173" s="21">
        <f t="shared" ca="1" si="11"/>
        <v>0</v>
      </c>
      <c r="H173" s="21">
        <v>158</v>
      </c>
      <c r="I173" s="102">
        <v>0.66772709160820509</v>
      </c>
      <c r="J173" s="103">
        <v>1.2404504803463249E-3</v>
      </c>
      <c r="K173" s="103"/>
      <c r="L173" s="103">
        <v>4.1200000000000001E-2</v>
      </c>
      <c r="O173" s="100"/>
    </row>
    <row r="174" spans="2:15" x14ac:dyDescent="0.2">
      <c r="B174" s="1">
        <v>159</v>
      </c>
      <c r="C174" s="101">
        <f t="shared" ca="1" si="8"/>
        <v>-0.19664734377619913</v>
      </c>
      <c r="D174" s="101">
        <f t="shared" ca="1" si="9"/>
        <v>0.65173665788105162</v>
      </c>
      <c r="E174" s="101">
        <f t="shared" ca="1" si="10"/>
        <v>0</v>
      </c>
      <c r="F174" s="21">
        <f t="shared" ca="1" si="11"/>
        <v>0</v>
      </c>
      <c r="H174" s="21">
        <v>159</v>
      </c>
      <c r="I174" s="102">
        <v>0.66768211713872438</v>
      </c>
      <c r="J174" s="103">
        <v>1.3068998800925997E-3</v>
      </c>
      <c r="K174" s="103"/>
      <c r="L174" s="103">
        <v>4.1599999999999998E-2</v>
      </c>
      <c r="O174" s="100"/>
    </row>
    <row r="175" spans="2:15" x14ac:dyDescent="0.2">
      <c r="B175" s="1">
        <v>160</v>
      </c>
      <c r="C175" s="101">
        <f t="shared" ca="1" si="8"/>
        <v>-0.21147801195808302</v>
      </c>
      <c r="D175" s="101">
        <f t="shared" ca="1" si="9"/>
        <v>0.65078391845282157</v>
      </c>
      <c r="E175" s="101">
        <f t="shared" ca="1" si="10"/>
        <v>0</v>
      </c>
      <c r="F175" s="21">
        <f t="shared" ca="1" si="11"/>
        <v>0</v>
      </c>
      <c r="H175" s="21">
        <v>160</v>
      </c>
      <c r="I175" s="102">
        <v>0.66775309711279474</v>
      </c>
      <c r="J175" s="103">
        <v>1.4297567162977109E-3</v>
      </c>
      <c r="K175" s="103"/>
      <c r="L175" s="103">
        <v>4.4200000000000003E-2</v>
      </c>
      <c r="O175" s="100"/>
    </row>
    <row r="176" spans="2:15" x14ac:dyDescent="0.2">
      <c r="B176" s="1">
        <v>161</v>
      </c>
      <c r="C176" s="101">
        <f t="shared" ca="1" si="8"/>
        <v>0.25852978387462772</v>
      </c>
      <c r="D176" s="101">
        <f t="shared" ca="1" si="9"/>
        <v>0.68166603742264065</v>
      </c>
      <c r="E176" s="101">
        <f t="shared" ca="1" si="10"/>
        <v>0</v>
      </c>
      <c r="F176" s="21">
        <f t="shared" ca="1" si="11"/>
        <v>0</v>
      </c>
      <c r="H176" s="21">
        <v>161</v>
      </c>
      <c r="I176" s="102">
        <v>0.66766257152411967</v>
      </c>
      <c r="J176" s="103">
        <v>1.3505589588180889E-3</v>
      </c>
      <c r="K176" s="103"/>
      <c r="L176" s="103">
        <v>4.2799999999999998E-2</v>
      </c>
      <c r="O176" s="100"/>
    </row>
    <row r="177" spans="2:15" x14ac:dyDescent="0.2">
      <c r="B177" s="1">
        <v>162</v>
      </c>
      <c r="C177" s="101">
        <f t="shared" ca="1" si="8"/>
        <v>1.9763087655095761E-2</v>
      </c>
      <c r="D177" s="101">
        <f t="shared" ca="1" si="9"/>
        <v>0.66579884690674296</v>
      </c>
      <c r="E177" s="101">
        <f t="shared" ca="1" si="10"/>
        <v>0</v>
      </c>
      <c r="F177" s="21">
        <f t="shared" ca="1" si="11"/>
        <v>0</v>
      </c>
      <c r="H177" s="21">
        <v>162</v>
      </c>
      <c r="I177" s="102">
        <v>0.66777747692705047</v>
      </c>
      <c r="J177" s="103">
        <v>1.3886225693804019E-3</v>
      </c>
      <c r="K177" s="103"/>
      <c r="L177" s="103">
        <v>4.2000000000000003E-2</v>
      </c>
      <c r="O177" s="100"/>
    </row>
    <row r="178" spans="2:15" x14ac:dyDescent="0.2">
      <c r="B178" s="1">
        <v>163</v>
      </c>
      <c r="C178" s="101">
        <f t="shared" ca="1" si="8"/>
        <v>-0.8892236361549839</v>
      </c>
      <c r="D178" s="101">
        <f t="shared" ca="1" si="9"/>
        <v>0.60869902742459281</v>
      </c>
      <c r="E178" s="101">
        <f t="shared" ca="1" si="10"/>
        <v>0</v>
      </c>
      <c r="F178" s="21">
        <f t="shared" ca="1" si="11"/>
        <v>0</v>
      </c>
      <c r="H178" s="21">
        <v>163</v>
      </c>
      <c r="I178" s="102">
        <v>0.66774393275308475</v>
      </c>
      <c r="J178" s="103">
        <v>1.3584023975506431E-3</v>
      </c>
      <c r="K178" s="103"/>
      <c r="L178" s="103">
        <v>4.24E-2</v>
      </c>
      <c r="O178" s="100"/>
    </row>
    <row r="179" spans="2:15" x14ac:dyDescent="0.2">
      <c r="B179" s="1">
        <v>164</v>
      </c>
      <c r="C179" s="101">
        <f t="shared" ca="1" si="8"/>
        <v>0.38295795505587166</v>
      </c>
      <c r="D179" s="101">
        <f t="shared" ca="1" si="9"/>
        <v>0.69008419816996469</v>
      </c>
      <c r="E179" s="101">
        <f t="shared" ca="1" si="10"/>
        <v>0</v>
      </c>
      <c r="F179" s="21">
        <f t="shared" ca="1" si="11"/>
        <v>0</v>
      </c>
      <c r="H179" s="21">
        <v>164</v>
      </c>
      <c r="I179" s="102">
        <v>0.66769170822808777</v>
      </c>
      <c r="J179" s="103">
        <v>1.4484564279385363E-3</v>
      </c>
      <c r="K179" s="103"/>
      <c r="L179" s="103">
        <v>4.1200000000000001E-2</v>
      </c>
      <c r="O179" s="100"/>
    </row>
    <row r="180" spans="2:15" x14ac:dyDescent="0.2">
      <c r="B180" s="1">
        <v>165</v>
      </c>
      <c r="C180" s="101">
        <f t="shared" ca="1" si="8"/>
        <v>0.87009402150787007</v>
      </c>
      <c r="D180" s="101">
        <f t="shared" ca="1" si="9"/>
        <v>0.72405355735959975</v>
      </c>
      <c r="E180" s="101">
        <f t="shared" ca="1" si="10"/>
        <v>0</v>
      </c>
      <c r="F180" s="21">
        <f t="shared" ca="1" si="11"/>
        <v>0</v>
      </c>
      <c r="H180" s="21">
        <v>165</v>
      </c>
      <c r="I180" s="102">
        <v>0.66762136341303302</v>
      </c>
      <c r="J180" s="103">
        <v>1.2320947345249764E-3</v>
      </c>
      <c r="K180" s="103"/>
      <c r="L180" s="103">
        <v>4.1399999999999999E-2</v>
      </c>
      <c r="O180" s="100"/>
    </row>
    <row r="181" spans="2:15" x14ac:dyDescent="0.2">
      <c r="B181" s="1">
        <v>166</v>
      </c>
      <c r="C181" s="101">
        <f t="shared" ca="1" si="8"/>
        <v>2.4474180926698876</v>
      </c>
      <c r="D181" s="101">
        <f t="shared" ca="1" si="9"/>
        <v>0.84594530096462117</v>
      </c>
      <c r="E181" s="101">
        <f t="shared" ca="1" si="10"/>
        <v>5.774530096462116E-2</v>
      </c>
      <c r="F181" s="21">
        <f t="shared" ca="1" si="11"/>
        <v>1</v>
      </c>
      <c r="H181" s="21">
        <v>166</v>
      </c>
      <c r="I181" s="102">
        <v>0.66773129879888649</v>
      </c>
      <c r="J181" s="103">
        <v>1.3495147631139347E-3</v>
      </c>
      <c r="K181" s="103"/>
      <c r="L181" s="103">
        <v>4.1000000000000002E-2</v>
      </c>
      <c r="O181" s="100"/>
    </row>
    <row r="182" spans="2:15" x14ac:dyDescent="0.2">
      <c r="B182" s="1">
        <v>167</v>
      </c>
      <c r="C182" s="101">
        <f t="shared" ca="1" si="8"/>
        <v>7.7501122591816893E-2</v>
      </c>
      <c r="D182" s="101">
        <f t="shared" ca="1" si="9"/>
        <v>0.66960162738851658</v>
      </c>
      <c r="E182" s="101">
        <f t="shared" ca="1" si="10"/>
        <v>0</v>
      </c>
      <c r="F182" s="21">
        <f t="shared" ca="1" si="11"/>
        <v>0</v>
      </c>
      <c r="H182" s="21">
        <v>167</v>
      </c>
      <c r="I182" s="102">
        <v>0.66763636767035905</v>
      </c>
      <c r="J182" s="103">
        <v>1.2585442010874029E-3</v>
      </c>
      <c r="K182" s="103"/>
      <c r="L182" s="103">
        <v>4.1599999999999998E-2</v>
      </c>
      <c r="O182" s="100"/>
    </row>
    <row r="183" spans="2:15" x14ac:dyDescent="0.2">
      <c r="B183" s="1">
        <v>168</v>
      </c>
      <c r="C183" s="101">
        <f t="shared" ca="1" si="8"/>
        <v>-1.0213206497758851</v>
      </c>
      <c r="D183" s="101">
        <f t="shared" ca="1" si="9"/>
        <v>0.60081899321296195</v>
      </c>
      <c r="E183" s="101">
        <f t="shared" ca="1" si="10"/>
        <v>0</v>
      </c>
      <c r="F183" s="21">
        <f t="shared" ca="1" si="11"/>
        <v>0</v>
      </c>
      <c r="H183" s="21">
        <v>168</v>
      </c>
      <c r="I183" s="102">
        <v>0.66766290949956308</v>
      </c>
      <c r="J183" s="103">
        <v>1.309753557681706E-3</v>
      </c>
      <c r="K183" s="103"/>
      <c r="L183" s="103">
        <v>3.9E-2</v>
      </c>
      <c r="O183" s="100"/>
    </row>
    <row r="184" spans="2:15" x14ac:dyDescent="0.2">
      <c r="B184" s="1">
        <v>169</v>
      </c>
      <c r="C184" s="101">
        <f t="shared" ca="1" si="8"/>
        <v>-1.831822933485135</v>
      </c>
      <c r="D184" s="101">
        <f t="shared" ca="1" si="9"/>
        <v>0.55465410951022043</v>
      </c>
      <c r="E184" s="101">
        <f t="shared" ca="1" si="10"/>
        <v>0</v>
      </c>
      <c r="F184" s="21">
        <f t="shared" ca="1" si="11"/>
        <v>0</v>
      </c>
      <c r="H184" s="21">
        <v>169</v>
      </c>
      <c r="I184" s="102">
        <v>0.66767660653932259</v>
      </c>
      <c r="J184" s="103">
        <v>1.2996423882236968E-3</v>
      </c>
      <c r="K184" s="103"/>
      <c r="L184" s="103">
        <v>3.78E-2</v>
      </c>
      <c r="O184" s="100"/>
    </row>
    <row r="185" spans="2:15" x14ac:dyDescent="0.2">
      <c r="B185" s="1">
        <v>170</v>
      </c>
      <c r="C185" s="101">
        <f t="shared" ca="1" si="8"/>
        <v>5.3146601128572793E-2</v>
      </c>
      <c r="D185" s="101">
        <f t="shared" ca="1" si="9"/>
        <v>0.66799493239700303</v>
      </c>
      <c r="E185" s="101">
        <f t="shared" ca="1" si="10"/>
        <v>0</v>
      </c>
      <c r="F185" s="21">
        <f t="shared" ca="1" si="11"/>
        <v>0</v>
      </c>
      <c r="H185" s="21">
        <v>170</v>
      </c>
      <c r="I185" s="102">
        <v>0.66766707305556172</v>
      </c>
      <c r="J185" s="103">
        <v>1.2647802610458072E-3</v>
      </c>
      <c r="K185" s="103"/>
      <c r="L185" s="103">
        <v>4.36E-2</v>
      </c>
      <c r="O185" s="100"/>
    </row>
    <row r="186" spans="2:15" x14ac:dyDescent="0.2">
      <c r="B186" s="1">
        <v>171</v>
      </c>
      <c r="C186" s="101">
        <f t="shared" ca="1" si="8"/>
        <v>-1.0506763139213815</v>
      </c>
      <c r="D186" s="101">
        <f t="shared" ca="1" si="9"/>
        <v>0.59908172918699654</v>
      </c>
      <c r="E186" s="101">
        <f t="shared" ca="1" si="10"/>
        <v>0</v>
      </c>
      <c r="F186" s="21">
        <f t="shared" ca="1" si="11"/>
        <v>0</v>
      </c>
      <c r="H186" s="21">
        <v>171</v>
      </c>
      <c r="I186" s="102">
        <v>0.66768971403135213</v>
      </c>
      <c r="J186" s="103">
        <v>1.2151576854221137E-3</v>
      </c>
      <c r="K186" s="103"/>
      <c r="L186" s="103">
        <v>4.24E-2</v>
      </c>
      <c r="O186" s="100"/>
    </row>
    <row r="187" spans="2:15" x14ac:dyDescent="0.2">
      <c r="B187" s="1">
        <v>172</v>
      </c>
      <c r="C187" s="101">
        <f t="shared" ca="1" si="8"/>
        <v>0.46340739866219544</v>
      </c>
      <c r="D187" s="101">
        <f t="shared" ca="1" si="9"/>
        <v>0.69558224418404746</v>
      </c>
      <c r="E187" s="101">
        <f t="shared" ca="1" si="10"/>
        <v>0</v>
      </c>
      <c r="F187" s="21">
        <f t="shared" ca="1" si="11"/>
        <v>0</v>
      </c>
      <c r="H187" s="21">
        <v>172</v>
      </c>
      <c r="I187" s="102">
        <v>0.66772212623332239</v>
      </c>
      <c r="J187" s="103">
        <v>1.3090301612997224E-3</v>
      </c>
      <c r="K187" s="103"/>
      <c r="L187" s="103">
        <v>4.36E-2</v>
      </c>
      <c r="O187" s="100"/>
    </row>
    <row r="188" spans="2:15" x14ac:dyDescent="0.2">
      <c r="B188" s="1">
        <v>173</v>
      </c>
      <c r="C188" s="101">
        <f t="shared" ca="1" si="8"/>
        <v>0.14282704164956364</v>
      </c>
      <c r="D188" s="101">
        <f t="shared" ca="1" si="9"/>
        <v>0.67393036181435007</v>
      </c>
      <c r="E188" s="101">
        <f t="shared" ca="1" si="10"/>
        <v>0</v>
      </c>
      <c r="F188" s="21">
        <f t="shared" ca="1" si="11"/>
        <v>0</v>
      </c>
      <c r="H188" s="21">
        <v>173</v>
      </c>
      <c r="I188" s="102">
        <v>0.66778224006022091</v>
      </c>
      <c r="J188" s="103">
        <v>1.2753593202627367E-3</v>
      </c>
      <c r="K188" s="103"/>
      <c r="L188" s="103">
        <v>3.9600000000000003E-2</v>
      </c>
      <c r="O188" s="100"/>
    </row>
    <row r="189" spans="2:15" x14ac:dyDescent="0.2">
      <c r="B189" s="1">
        <v>174</v>
      </c>
      <c r="C189" s="101">
        <f t="shared" ca="1" si="8"/>
        <v>3.001765440112706E-2</v>
      </c>
      <c r="D189" s="101">
        <f t="shared" ca="1" si="9"/>
        <v>0.66647265919004994</v>
      </c>
      <c r="E189" s="101">
        <f t="shared" ca="1" si="10"/>
        <v>0</v>
      </c>
      <c r="F189" s="21">
        <f t="shared" ca="1" si="11"/>
        <v>0</v>
      </c>
      <c r="H189" s="21">
        <v>174</v>
      </c>
      <c r="I189" s="102">
        <v>0.66772946192758831</v>
      </c>
      <c r="J189" s="103">
        <v>1.198959201679713E-3</v>
      </c>
      <c r="K189" s="103"/>
      <c r="L189" s="103">
        <v>4.1599999999999998E-2</v>
      </c>
      <c r="O189" s="100"/>
    </row>
    <row r="190" spans="2:15" x14ac:dyDescent="0.2">
      <c r="B190" s="1">
        <v>175</v>
      </c>
      <c r="C190" s="101">
        <f t="shared" ca="1" si="8"/>
        <v>1.3034280260756353E-3</v>
      </c>
      <c r="D190" s="101">
        <f t="shared" ca="1" si="9"/>
        <v>0.66458760667375438</v>
      </c>
      <c r="E190" s="101">
        <f t="shared" ca="1" si="10"/>
        <v>0</v>
      </c>
      <c r="F190" s="21">
        <f t="shared" ca="1" si="11"/>
        <v>0</v>
      </c>
      <c r="H190" s="21">
        <v>175</v>
      </c>
      <c r="I190" s="102">
        <v>0.66771527096010175</v>
      </c>
      <c r="J190" s="103">
        <v>1.4217882938406163E-3</v>
      </c>
      <c r="K190" s="103"/>
      <c r="L190" s="103">
        <v>4.2999999999999997E-2</v>
      </c>
      <c r="O190" s="100"/>
    </row>
    <row r="191" spans="2:15" x14ac:dyDescent="0.2">
      <c r="B191" s="1">
        <v>176</v>
      </c>
      <c r="C191" s="101">
        <f t="shared" ca="1" si="8"/>
        <v>0.76388385258042713</v>
      </c>
      <c r="D191" s="101">
        <f t="shared" ca="1" si="9"/>
        <v>0.7165074550509456</v>
      </c>
      <c r="E191" s="101">
        <f t="shared" ca="1" si="10"/>
        <v>0</v>
      </c>
      <c r="F191" s="21">
        <f t="shared" ca="1" si="11"/>
        <v>0</v>
      </c>
      <c r="H191" s="21">
        <v>176</v>
      </c>
      <c r="I191" s="102">
        <v>0.66790584629199989</v>
      </c>
      <c r="J191" s="103">
        <v>1.5699750892407057E-3</v>
      </c>
      <c r="K191" s="103"/>
      <c r="L191" s="103">
        <v>4.6199999999999998E-2</v>
      </c>
      <c r="O191" s="100"/>
    </row>
    <row r="192" spans="2:15" x14ac:dyDescent="0.2">
      <c r="B192" s="1">
        <v>177</v>
      </c>
      <c r="C192" s="101">
        <f t="shared" ca="1" si="8"/>
        <v>-2.0731572877973266</v>
      </c>
      <c r="D192" s="101">
        <f t="shared" ca="1" si="9"/>
        <v>0.54160619111494879</v>
      </c>
      <c r="E192" s="101">
        <f t="shared" ca="1" si="10"/>
        <v>0</v>
      </c>
      <c r="F192" s="21">
        <f t="shared" ca="1" si="11"/>
        <v>0</v>
      </c>
      <c r="H192" s="21">
        <v>177</v>
      </c>
      <c r="I192" s="102">
        <v>0.66784282108427506</v>
      </c>
      <c r="J192" s="103">
        <v>1.5006965220964732E-3</v>
      </c>
      <c r="K192" s="103"/>
      <c r="L192" s="103">
        <v>4.3799999999999999E-2</v>
      </c>
      <c r="O192" s="100"/>
    </row>
    <row r="193" spans="2:15" x14ac:dyDescent="0.2">
      <c r="B193" s="1">
        <v>178</v>
      </c>
      <c r="C193" s="101">
        <f t="shared" ca="1" si="8"/>
        <v>1.3001621353119357</v>
      </c>
      <c r="D193" s="101">
        <f t="shared" ca="1" si="9"/>
        <v>0.75543055091279354</v>
      </c>
      <c r="E193" s="101">
        <f t="shared" ca="1" si="10"/>
        <v>0</v>
      </c>
      <c r="F193" s="21">
        <f t="shared" ca="1" si="11"/>
        <v>0</v>
      </c>
      <c r="H193" s="21">
        <v>178</v>
      </c>
      <c r="I193" s="102">
        <v>0.66769024233016161</v>
      </c>
      <c r="J193" s="103">
        <v>1.3308153210085918E-3</v>
      </c>
      <c r="K193" s="103"/>
      <c r="L193" s="103">
        <v>0.04</v>
      </c>
      <c r="O193" s="100"/>
    </row>
    <row r="194" spans="2:15" x14ac:dyDescent="0.2">
      <c r="B194" s="1">
        <v>179</v>
      </c>
      <c r="C194" s="101">
        <f t="shared" ca="1" si="8"/>
        <v>0.67193154300969893</v>
      </c>
      <c r="D194" s="101">
        <f t="shared" ca="1" si="9"/>
        <v>0.71003790384470777</v>
      </c>
      <c r="E194" s="101">
        <f t="shared" ca="1" si="10"/>
        <v>0</v>
      </c>
      <c r="F194" s="21">
        <f t="shared" ca="1" si="11"/>
        <v>0</v>
      </c>
      <c r="H194" s="21">
        <v>179</v>
      </c>
      <c r="I194" s="102">
        <v>0.66770409198830039</v>
      </c>
      <c r="J194" s="103">
        <v>1.3120872742760203E-3</v>
      </c>
      <c r="K194" s="103"/>
      <c r="L194" s="103">
        <v>3.78E-2</v>
      </c>
      <c r="O194" s="100"/>
    </row>
    <row r="195" spans="2:15" x14ac:dyDescent="0.2">
      <c r="B195" s="1">
        <v>180</v>
      </c>
      <c r="C195" s="101">
        <f t="shared" ca="1" si="8"/>
        <v>-1.1754738259199933</v>
      </c>
      <c r="D195" s="101">
        <f t="shared" ca="1" si="9"/>
        <v>0.5917521250338168</v>
      </c>
      <c r="E195" s="101">
        <f t="shared" ca="1" si="10"/>
        <v>0</v>
      </c>
      <c r="F195" s="21">
        <f t="shared" ca="1" si="11"/>
        <v>0</v>
      </c>
      <c r="H195" s="21">
        <v>180</v>
      </c>
      <c r="I195" s="102">
        <v>0.66771532077148343</v>
      </c>
      <c r="J195" s="103">
        <v>1.3008652773506132E-3</v>
      </c>
      <c r="K195" s="103"/>
      <c r="L195" s="103">
        <v>4.2200000000000001E-2</v>
      </c>
      <c r="O195" s="100"/>
    </row>
    <row r="196" spans="2:15" x14ac:dyDescent="0.2">
      <c r="B196" s="1">
        <v>181</v>
      </c>
      <c r="C196" s="101">
        <f t="shared" ca="1" si="8"/>
        <v>-0.30872786062231272</v>
      </c>
      <c r="D196" s="101">
        <f t="shared" ca="1" si="9"/>
        <v>0.64457089131183498</v>
      </c>
      <c r="E196" s="101">
        <f t="shared" ca="1" si="10"/>
        <v>0</v>
      </c>
      <c r="F196" s="21">
        <f t="shared" ca="1" si="11"/>
        <v>0</v>
      </c>
      <c r="H196" s="21">
        <v>181</v>
      </c>
      <c r="I196" s="102">
        <v>0.66766593425423459</v>
      </c>
      <c r="J196" s="103">
        <v>1.2810471049153956E-3</v>
      </c>
      <c r="K196" s="103"/>
      <c r="L196" s="103">
        <v>4.0800000000000003E-2</v>
      </c>
      <c r="O196" s="100"/>
    </row>
    <row r="197" spans="2:15" x14ac:dyDescent="0.2">
      <c r="B197" s="1">
        <v>182</v>
      </c>
      <c r="C197" s="101">
        <f t="shared" ca="1" si="8"/>
        <v>1.4175302020284664</v>
      </c>
      <c r="D197" s="101">
        <f t="shared" ca="1" si="9"/>
        <v>0.76422725148304083</v>
      </c>
      <c r="E197" s="101">
        <f t="shared" ca="1" si="10"/>
        <v>0</v>
      </c>
      <c r="F197" s="21">
        <f t="shared" ca="1" si="11"/>
        <v>0</v>
      </c>
      <c r="H197" s="21">
        <v>182</v>
      </c>
      <c r="I197" s="102">
        <v>0.66765498803093737</v>
      </c>
      <c r="J197" s="103">
        <v>1.3096233821011723E-3</v>
      </c>
      <c r="K197" s="103"/>
      <c r="L197" s="103">
        <v>4.02E-2</v>
      </c>
      <c r="O197" s="100"/>
    </row>
    <row r="198" spans="2:15" x14ac:dyDescent="0.2">
      <c r="B198" s="1">
        <v>183</v>
      </c>
      <c r="C198" s="101">
        <f t="shared" ca="1" si="8"/>
        <v>9.054222647603305E-2</v>
      </c>
      <c r="D198" s="101">
        <f t="shared" ca="1" si="9"/>
        <v>0.67046355168288563</v>
      </c>
      <c r="E198" s="101">
        <f t="shared" ca="1" si="10"/>
        <v>0</v>
      </c>
      <c r="F198" s="21">
        <f t="shared" ca="1" si="11"/>
        <v>0</v>
      </c>
      <c r="H198" s="21">
        <v>183</v>
      </c>
      <c r="I198" s="102">
        <v>0.66778466812978055</v>
      </c>
      <c r="J198" s="103">
        <v>1.3428346808987809E-3</v>
      </c>
      <c r="K198" s="103"/>
      <c r="L198" s="103">
        <v>4.1000000000000002E-2</v>
      </c>
      <c r="O198" s="100"/>
    </row>
    <row r="199" spans="2:15" x14ac:dyDescent="0.2">
      <c r="B199" s="1">
        <v>184</v>
      </c>
      <c r="C199" s="101">
        <f t="shared" ca="1" si="8"/>
        <v>-7.98511457456242E-2</v>
      </c>
      <c r="D199" s="101">
        <f t="shared" ca="1" si="9"/>
        <v>0.65928869117748912</v>
      </c>
      <c r="E199" s="101">
        <f t="shared" ca="1" si="10"/>
        <v>0</v>
      </c>
      <c r="F199" s="21">
        <f t="shared" ca="1" si="11"/>
        <v>0</v>
      </c>
      <c r="H199" s="21">
        <v>184</v>
      </c>
      <c r="I199" s="102">
        <v>0.66775805549082334</v>
      </c>
      <c r="J199" s="103">
        <v>1.2911999529481321E-3</v>
      </c>
      <c r="K199" s="103"/>
      <c r="L199" s="103">
        <v>4.3200000000000002E-2</v>
      </c>
      <c r="O199" s="100"/>
    </row>
    <row r="200" spans="2:15" x14ac:dyDescent="0.2">
      <c r="B200" s="1">
        <v>185</v>
      </c>
      <c r="C200" s="101">
        <f t="shared" ca="1" si="8"/>
        <v>-1.5207275249734302</v>
      </c>
      <c r="D200" s="101">
        <f t="shared" ca="1" si="9"/>
        <v>0.57193855077162514</v>
      </c>
      <c r="E200" s="101">
        <f t="shared" ca="1" si="10"/>
        <v>0</v>
      </c>
      <c r="F200" s="21">
        <f t="shared" ca="1" si="11"/>
        <v>0</v>
      </c>
      <c r="H200" s="21">
        <v>185</v>
      </c>
      <c r="I200" s="102">
        <v>0.66769878262056281</v>
      </c>
      <c r="J200" s="103">
        <v>1.2124743584855547E-3</v>
      </c>
      <c r="K200" s="103"/>
      <c r="L200" s="103">
        <v>4.2000000000000003E-2</v>
      </c>
      <c r="O200" s="100"/>
    </row>
    <row r="201" spans="2:15" x14ac:dyDescent="0.2">
      <c r="B201" s="1">
        <v>186</v>
      </c>
      <c r="C201" s="101">
        <f t="shared" ca="1" si="8"/>
        <v>-2.358495476476683</v>
      </c>
      <c r="D201" s="101">
        <f t="shared" ca="1" si="9"/>
        <v>0.52657460185459726</v>
      </c>
      <c r="E201" s="101">
        <f t="shared" ca="1" si="10"/>
        <v>0</v>
      </c>
      <c r="F201" s="21">
        <f t="shared" ca="1" si="11"/>
        <v>0</v>
      </c>
      <c r="H201" s="21">
        <v>186</v>
      </c>
      <c r="I201" s="102">
        <v>0.66773050921743371</v>
      </c>
      <c r="J201" s="103">
        <v>1.5218281890666031E-3</v>
      </c>
      <c r="K201" s="103"/>
      <c r="L201" s="103">
        <v>4.2999999999999997E-2</v>
      </c>
      <c r="O201" s="100"/>
    </row>
    <row r="202" spans="2:15" x14ac:dyDescent="0.2">
      <c r="B202" s="1">
        <v>187</v>
      </c>
      <c r="C202" s="101">
        <f t="shared" ca="1" si="8"/>
        <v>0.45325277272652709</v>
      </c>
      <c r="D202" s="101">
        <f t="shared" ca="1" si="9"/>
        <v>0.69488585209762044</v>
      </c>
      <c r="E202" s="101">
        <f t="shared" ca="1" si="10"/>
        <v>0</v>
      </c>
      <c r="F202" s="21">
        <f t="shared" ca="1" si="11"/>
        <v>0</v>
      </c>
      <c r="H202" s="21">
        <v>187</v>
      </c>
      <c r="I202" s="102">
        <v>0.66758996059833187</v>
      </c>
      <c r="J202" s="103">
        <v>1.2216009034451754E-3</v>
      </c>
      <c r="K202" s="103"/>
      <c r="L202" s="103">
        <v>3.8199999999999998E-2</v>
      </c>
      <c r="O202" s="100"/>
    </row>
    <row r="203" spans="2:15" x14ac:dyDescent="0.2">
      <c r="B203" s="1">
        <v>188</v>
      </c>
      <c r="C203" s="101">
        <f t="shared" ca="1" si="8"/>
        <v>0.93802271572521867</v>
      </c>
      <c r="D203" s="101">
        <f t="shared" ca="1" si="9"/>
        <v>0.72892142412203309</v>
      </c>
      <c r="E203" s="101">
        <f t="shared" ca="1" si="10"/>
        <v>0</v>
      </c>
      <c r="F203" s="21">
        <f t="shared" ca="1" si="11"/>
        <v>0</v>
      </c>
      <c r="H203" s="21">
        <v>188</v>
      </c>
      <c r="I203" s="102">
        <v>0.66763555280521947</v>
      </c>
      <c r="J203" s="103">
        <v>1.1518969421304259E-3</v>
      </c>
      <c r="K203" s="103"/>
      <c r="L203" s="103">
        <v>3.6400000000000002E-2</v>
      </c>
      <c r="O203" s="100"/>
    </row>
    <row r="204" spans="2:15" x14ac:dyDescent="0.2">
      <c r="B204" s="1">
        <v>189</v>
      </c>
      <c r="C204" s="101">
        <f t="shared" ca="1" si="8"/>
        <v>1.2979044880603308</v>
      </c>
      <c r="D204" s="101">
        <f t="shared" ca="1" si="9"/>
        <v>0.75526233728621872</v>
      </c>
      <c r="E204" s="101">
        <f t="shared" ca="1" si="10"/>
        <v>0</v>
      </c>
      <c r="F204" s="21">
        <f t="shared" ca="1" si="11"/>
        <v>0</v>
      </c>
      <c r="H204" s="21">
        <v>189</v>
      </c>
      <c r="I204" s="102">
        <v>0.66764619248360746</v>
      </c>
      <c r="J204" s="103">
        <v>1.3235826103888586E-3</v>
      </c>
      <c r="K204" s="103"/>
      <c r="L204" s="103">
        <v>4.1399999999999999E-2</v>
      </c>
      <c r="O204" s="100"/>
    </row>
    <row r="205" spans="2:15" x14ac:dyDescent="0.2">
      <c r="B205" s="1">
        <v>190</v>
      </c>
      <c r="C205" s="101">
        <f t="shared" ca="1" si="8"/>
        <v>-0.14327665759367905</v>
      </c>
      <c r="D205" s="101">
        <f t="shared" ca="1" si="9"/>
        <v>0.65517680900712072</v>
      </c>
      <c r="E205" s="101">
        <f t="shared" ca="1" si="10"/>
        <v>0</v>
      </c>
      <c r="F205" s="21">
        <f t="shared" ca="1" si="11"/>
        <v>0</v>
      </c>
      <c r="H205" s="21">
        <v>190</v>
      </c>
      <c r="I205" s="102">
        <v>0.66780142259940112</v>
      </c>
      <c r="J205" s="103">
        <v>1.3182394367768563E-3</v>
      </c>
      <c r="K205" s="103"/>
      <c r="L205" s="103">
        <v>4.1599999999999998E-2</v>
      </c>
      <c r="O205" s="100"/>
    </row>
    <row r="206" spans="2:15" x14ac:dyDescent="0.2">
      <c r="B206" s="1">
        <v>191</v>
      </c>
      <c r="C206" s="101">
        <f t="shared" ca="1" si="8"/>
        <v>0.82683508355613966</v>
      </c>
      <c r="D206" s="101">
        <f t="shared" ca="1" si="9"/>
        <v>0.72097051720231498</v>
      </c>
      <c r="E206" s="101">
        <f t="shared" ca="1" si="10"/>
        <v>0</v>
      </c>
      <c r="F206" s="21">
        <f t="shared" ca="1" si="11"/>
        <v>0</v>
      </c>
      <c r="H206" s="21">
        <v>191</v>
      </c>
      <c r="I206" s="102">
        <v>0.66784469773074884</v>
      </c>
      <c r="J206" s="103">
        <v>1.4738613220451919E-3</v>
      </c>
      <c r="K206" s="103"/>
      <c r="L206" s="103">
        <v>4.2000000000000003E-2</v>
      </c>
      <c r="O206" s="100"/>
    </row>
    <row r="207" spans="2:15" x14ac:dyDescent="0.2">
      <c r="B207" s="1">
        <v>192</v>
      </c>
      <c r="C207" s="101">
        <f t="shared" ca="1" si="8"/>
        <v>-2.3498847395670666</v>
      </c>
      <c r="D207" s="101">
        <f t="shared" ca="1" si="9"/>
        <v>0.52702205089517962</v>
      </c>
      <c r="E207" s="101">
        <f t="shared" ca="1" si="10"/>
        <v>0</v>
      </c>
      <c r="F207" s="21">
        <f t="shared" ca="1" si="11"/>
        <v>0</v>
      </c>
      <c r="H207" s="21">
        <v>192</v>
      </c>
      <c r="I207" s="102">
        <v>0.66774850401894303</v>
      </c>
      <c r="J207" s="103">
        <v>1.3917146628215497E-3</v>
      </c>
      <c r="K207" s="103"/>
      <c r="L207" s="103">
        <v>4.2200000000000001E-2</v>
      </c>
      <c r="O207" s="100"/>
    </row>
    <row r="208" spans="2:15" x14ac:dyDescent="0.2">
      <c r="B208" s="1">
        <v>193</v>
      </c>
      <c r="C208" s="101">
        <f t="shared" ref="C208:C271" ca="1" si="12">_xlfn.NORM.S.INV(RAND())</f>
        <v>-0.96650307684966708</v>
      </c>
      <c r="D208" s="101">
        <f t="shared" ref="D208:D271" ca="1" si="13">S0*EXP((μ-0.5*σ*σ)*T+σ*SQRT(T)*$C208)</f>
        <v>0.6040765880013621</v>
      </c>
      <c r="E208" s="101">
        <f t="shared" ref="E208:E271" ca="1" si="14">MAX(0,CP*(D208-K))</f>
        <v>0</v>
      </c>
      <c r="F208" s="21">
        <f t="shared" ref="F208:F271" ca="1" si="15">(CP*(D208-K)&gt;0)*1</f>
        <v>0</v>
      </c>
      <c r="H208" s="21">
        <v>193</v>
      </c>
      <c r="I208" s="102">
        <v>0.6678845920975659</v>
      </c>
      <c r="J208" s="103">
        <v>1.4986927602841902E-3</v>
      </c>
      <c r="K208" s="103"/>
      <c r="L208" s="103">
        <v>4.4600000000000001E-2</v>
      </c>
      <c r="O208" s="100"/>
    </row>
    <row r="209" spans="2:15" x14ac:dyDescent="0.2">
      <c r="B209" s="1">
        <v>194</v>
      </c>
      <c r="C209" s="101">
        <f t="shared" ca="1" si="12"/>
        <v>-0.1957414438448952</v>
      </c>
      <c r="D209" s="101">
        <f t="shared" ca="1" si="13"/>
        <v>0.65179489913016797</v>
      </c>
      <c r="E209" s="101">
        <f t="shared" ca="1" si="14"/>
        <v>0</v>
      </c>
      <c r="F209" s="21">
        <f t="shared" ca="1" si="15"/>
        <v>0</v>
      </c>
      <c r="H209" s="21">
        <v>194</v>
      </c>
      <c r="I209" s="102">
        <v>0.66763713248213286</v>
      </c>
      <c r="J209" s="103">
        <v>1.2604821074830243E-3</v>
      </c>
      <c r="K209" s="103"/>
      <c r="L209" s="103">
        <v>3.9399999999999998E-2</v>
      </c>
      <c r="O209" s="100"/>
    </row>
    <row r="210" spans="2:15" x14ac:dyDescent="0.2">
      <c r="B210" s="1">
        <v>195</v>
      </c>
      <c r="C210" s="101">
        <f t="shared" ca="1" si="12"/>
        <v>0.38952723688212548</v>
      </c>
      <c r="D210" s="101">
        <f t="shared" ca="1" si="13"/>
        <v>0.6905315194890399</v>
      </c>
      <c r="E210" s="101">
        <f t="shared" ca="1" si="14"/>
        <v>0</v>
      </c>
      <c r="F210" s="21">
        <f t="shared" ca="1" si="15"/>
        <v>0</v>
      </c>
      <c r="H210" s="21">
        <v>195</v>
      </c>
      <c r="I210" s="102">
        <v>0.6677885639986294</v>
      </c>
      <c r="J210" s="103">
        <v>1.352642386968706E-3</v>
      </c>
      <c r="K210" s="103"/>
      <c r="L210" s="103">
        <v>4.1399999999999999E-2</v>
      </c>
      <c r="O210" s="100"/>
    </row>
    <row r="211" spans="2:15" x14ac:dyDescent="0.2">
      <c r="B211" s="1">
        <v>196</v>
      </c>
      <c r="C211" s="101">
        <f t="shared" ca="1" si="12"/>
        <v>0.52504352505548946</v>
      </c>
      <c r="D211" s="101">
        <f t="shared" ca="1" si="13"/>
        <v>0.69982417538884745</v>
      </c>
      <c r="E211" s="101">
        <f t="shared" ca="1" si="14"/>
        <v>0</v>
      </c>
      <c r="F211" s="21">
        <f t="shared" ca="1" si="15"/>
        <v>0</v>
      </c>
      <c r="H211" s="21">
        <v>196</v>
      </c>
      <c r="I211" s="102">
        <v>0.66768806272277359</v>
      </c>
      <c r="J211" s="103">
        <v>1.3393111173193057E-3</v>
      </c>
      <c r="K211" s="103"/>
      <c r="L211" s="103">
        <v>4.02E-2</v>
      </c>
      <c r="O211" s="100"/>
    </row>
    <row r="212" spans="2:15" x14ac:dyDescent="0.2">
      <c r="B212" s="1">
        <v>197</v>
      </c>
      <c r="C212" s="101">
        <f t="shared" ca="1" si="12"/>
        <v>1.1033901414354119</v>
      </c>
      <c r="D212" s="101">
        <f t="shared" ca="1" si="13"/>
        <v>0.74090914205595659</v>
      </c>
      <c r="E212" s="101">
        <f t="shared" ca="1" si="14"/>
        <v>0</v>
      </c>
      <c r="F212" s="21">
        <f t="shared" ca="1" si="15"/>
        <v>0</v>
      </c>
      <c r="H212" s="21">
        <v>197</v>
      </c>
      <c r="I212" s="102">
        <v>0.66760000691518084</v>
      </c>
      <c r="J212" s="103">
        <v>1.1821143401398019E-3</v>
      </c>
      <c r="K212" s="103"/>
      <c r="L212" s="103">
        <v>3.7600000000000001E-2</v>
      </c>
      <c r="O212" s="100"/>
    </row>
    <row r="213" spans="2:15" x14ac:dyDescent="0.2">
      <c r="B213" s="1">
        <v>198</v>
      </c>
      <c r="C213" s="101">
        <f t="shared" ca="1" si="12"/>
        <v>-0.48331106107836436</v>
      </c>
      <c r="D213" s="101">
        <f t="shared" ca="1" si="13"/>
        <v>0.63356569260277229</v>
      </c>
      <c r="E213" s="101">
        <f t="shared" ca="1" si="14"/>
        <v>0</v>
      </c>
      <c r="F213" s="21">
        <f t="shared" ca="1" si="15"/>
        <v>0</v>
      </c>
      <c r="H213" s="21">
        <v>198</v>
      </c>
      <c r="I213" s="102">
        <v>0.66764299651673642</v>
      </c>
      <c r="J213" s="103">
        <v>1.2773753362773567E-3</v>
      </c>
      <c r="K213" s="103"/>
      <c r="L213" s="103">
        <v>4.0399999999999998E-2</v>
      </c>
      <c r="O213" s="100"/>
    </row>
    <row r="214" spans="2:15" x14ac:dyDescent="0.2">
      <c r="B214" s="1">
        <v>199</v>
      </c>
      <c r="C214" s="101">
        <f t="shared" ca="1" si="12"/>
        <v>-1.5011495263346846</v>
      </c>
      <c r="D214" s="101">
        <f t="shared" ca="1" si="13"/>
        <v>0.57304414557165562</v>
      </c>
      <c r="E214" s="101">
        <f t="shared" ca="1" si="14"/>
        <v>0</v>
      </c>
      <c r="F214" s="21">
        <f t="shared" ca="1" si="15"/>
        <v>0</v>
      </c>
      <c r="H214" s="21">
        <v>199</v>
      </c>
      <c r="I214" s="102">
        <v>0.66768192059187181</v>
      </c>
      <c r="J214" s="103">
        <v>1.2957175695059689E-3</v>
      </c>
      <c r="K214" s="103"/>
      <c r="L214" s="103">
        <v>3.9399999999999998E-2</v>
      </c>
      <c r="O214" s="100"/>
    </row>
    <row r="215" spans="2:15" x14ac:dyDescent="0.2">
      <c r="B215" s="1">
        <v>200</v>
      </c>
      <c r="C215" s="101">
        <f t="shared" ca="1" si="12"/>
        <v>-1.1935825314451041</v>
      </c>
      <c r="D215" s="101">
        <f t="shared" ca="1" si="13"/>
        <v>0.59069604141016674</v>
      </c>
      <c r="E215" s="101">
        <f t="shared" ca="1" si="14"/>
        <v>0</v>
      </c>
      <c r="F215" s="21">
        <f t="shared" ca="1" si="15"/>
        <v>0</v>
      </c>
      <c r="H215" s="21">
        <v>200</v>
      </c>
      <c r="I215" s="102">
        <v>0.66781116608299307</v>
      </c>
      <c r="J215" s="103">
        <v>1.3809653107741968E-3</v>
      </c>
      <c r="K215" s="103"/>
      <c r="L215" s="103">
        <v>4.4400000000000002E-2</v>
      </c>
      <c r="O215" s="100"/>
    </row>
    <row r="216" spans="2:15" x14ac:dyDescent="0.2">
      <c r="B216" s="1">
        <v>201</v>
      </c>
      <c r="C216" s="101">
        <f t="shared" ca="1" si="12"/>
        <v>-0.6148417852074628</v>
      </c>
      <c r="D216" s="101">
        <f t="shared" ca="1" si="13"/>
        <v>0.62539867554646389</v>
      </c>
      <c r="E216" s="101">
        <f t="shared" ca="1" si="14"/>
        <v>0</v>
      </c>
      <c r="F216" s="21">
        <f t="shared" ca="1" si="15"/>
        <v>0</v>
      </c>
      <c r="H216" s="21">
        <v>201</v>
      </c>
      <c r="I216" s="102">
        <v>0.66766016921208682</v>
      </c>
      <c r="J216" s="103">
        <v>1.2834513030896008E-3</v>
      </c>
      <c r="K216" s="103"/>
      <c r="L216" s="103">
        <v>4.2799999999999998E-2</v>
      </c>
      <c r="O216" s="100"/>
    </row>
    <row r="217" spans="2:15" x14ac:dyDescent="0.2">
      <c r="B217" s="1">
        <v>202</v>
      </c>
      <c r="C217" s="101">
        <f t="shared" ca="1" si="12"/>
        <v>-1.1770403159012373</v>
      </c>
      <c r="D217" s="101">
        <f t="shared" ca="1" si="13"/>
        <v>0.59166069417583578</v>
      </c>
      <c r="E217" s="101">
        <f t="shared" ca="1" si="14"/>
        <v>0</v>
      </c>
      <c r="F217" s="21">
        <f t="shared" ca="1" si="15"/>
        <v>0</v>
      </c>
      <c r="H217" s="21">
        <v>202</v>
      </c>
      <c r="I217" s="102">
        <v>0.66772851145492818</v>
      </c>
      <c r="J217" s="103">
        <v>1.3948692587847961E-3</v>
      </c>
      <c r="K217" s="103"/>
      <c r="L217" s="103">
        <v>0.04</v>
      </c>
      <c r="O217" s="100"/>
    </row>
    <row r="218" spans="2:15" x14ac:dyDescent="0.2">
      <c r="B218" s="1">
        <v>203</v>
      </c>
      <c r="C218" s="101">
        <f t="shared" ca="1" si="12"/>
        <v>-1.1759404101859692</v>
      </c>
      <c r="D218" s="101">
        <f t="shared" ca="1" si="13"/>
        <v>0.59172489057044486</v>
      </c>
      <c r="E218" s="101">
        <f t="shared" ca="1" si="14"/>
        <v>0</v>
      </c>
      <c r="F218" s="21">
        <f t="shared" ca="1" si="15"/>
        <v>0</v>
      </c>
      <c r="H218" s="21">
        <v>203</v>
      </c>
      <c r="I218" s="102">
        <v>0.667700323497606</v>
      </c>
      <c r="J218" s="103">
        <v>1.2179304557142652E-3</v>
      </c>
      <c r="K218" s="103"/>
      <c r="L218" s="103">
        <v>4.2000000000000003E-2</v>
      </c>
      <c r="O218" s="100"/>
    </row>
    <row r="219" spans="2:15" x14ac:dyDescent="0.2">
      <c r="B219" s="1">
        <v>204</v>
      </c>
      <c r="C219" s="101">
        <f t="shared" ca="1" si="12"/>
        <v>0.47341321431831407</v>
      </c>
      <c r="D219" s="101">
        <f t="shared" ca="1" si="13"/>
        <v>0.69626911367185984</v>
      </c>
      <c r="E219" s="101">
        <f t="shared" ca="1" si="14"/>
        <v>0</v>
      </c>
      <c r="F219" s="21">
        <f t="shared" ca="1" si="15"/>
        <v>0</v>
      </c>
      <c r="H219" s="21">
        <v>204</v>
      </c>
      <c r="I219" s="102">
        <v>0.66782514130414883</v>
      </c>
      <c r="J219" s="103">
        <v>1.4746869685082376E-3</v>
      </c>
      <c r="K219" s="103"/>
      <c r="L219" s="103">
        <v>4.4200000000000003E-2</v>
      </c>
      <c r="O219" s="100"/>
    </row>
    <row r="220" spans="2:15" x14ac:dyDescent="0.2">
      <c r="B220" s="1">
        <v>205</v>
      </c>
      <c r="C220" s="101">
        <f t="shared" ca="1" si="12"/>
        <v>0.48378541736520481</v>
      </c>
      <c r="D220" s="101">
        <f t="shared" ca="1" si="13"/>
        <v>0.69698185054818318</v>
      </c>
      <c r="E220" s="101">
        <f t="shared" ca="1" si="14"/>
        <v>0</v>
      </c>
      <c r="F220" s="21">
        <f t="shared" ca="1" si="15"/>
        <v>0</v>
      </c>
      <c r="H220" s="21">
        <v>205</v>
      </c>
      <c r="I220" s="102">
        <v>0.66781067189991217</v>
      </c>
      <c r="J220" s="103">
        <v>1.5745194809294962E-3</v>
      </c>
      <c r="K220" s="103"/>
      <c r="L220" s="103">
        <v>4.1399999999999999E-2</v>
      </c>
      <c r="O220" s="100"/>
    </row>
    <row r="221" spans="2:15" x14ac:dyDescent="0.2">
      <c r="B221" s="1">
        <v>206</v>
      </c>
      <c r="C221" s="101">
        <f t="shared" ca="1" si="12"/>
        <v>-0.35155410846090168</v>
      </c>
      <c r="D221" s="101">
        <f t="shared" ca="1" si="13"/>
        <v>0.64185368500780016</v>
      </c>
      <c r="E221" s="101">
        <f t="shared" ca="1" si="14"/>
        <v>0</v>
      </c>
      <c r="F221" s="21">
        <f t="shared" ca="1" si="15"/>
        <v>0</v>
      </c>
      <c r="H221" s="21">
        <v>206</v>
      </c>
      <c r="I221" s="102">
        <v>0.66774495553457769</v>
      </c>
      <c r="J221" s="103">
        <v>1.4697994210211148E-3</v>
      </c>
      <c r="K221" s="103"/>
      <c r="L221" s="103">
        <v>4.1399999999999999E-2</v>
      </c>
      <c r="O221" s="100"/>
    </row>
    <row r="222" spans="2:15" x14ac:dyDescent="0.2">
      <c r="B222" s="1">
        <v>207</v>
      </c>
      <c r="C222" s="101">
        <f t="shared" ca="1" si="12"/>
        <v>0.16967937041051448</v>
      </c>
      <c r="D222" s="101">
        <f t="shared" ca="1" si="13"/>
        <v>0.67571780058801745</v>
      </c>
      <c r="E222" s="101">
        <f t="shared" ca="1" si="14"/>
        <v>0</v>
      </c>
      <c r="F222" s="21">
        <f t="shared" ca="1" si="15"/>
        <v>0</v>
      </c>
      <c r="H222" s="21">
        <v>207</v>
      </c>
      <c r="I222" s="102">
        <v>0.66770636362433822</v>
      </c>
      <c r="J222" s="103">
        <v>1.1988564863253447E-3</v>
      </c>
      <c r="K222" s="103"/>
      <c r="L222" s="103">
        <v>3.7199999999999997E-2</v>
      </c>
      <c r="O222" s="100"/>
    </row>
    <row r="223" spans="2:15" x14ac:dyDescent="0.2">
      <c r="B223" s="1">
        <v>208</v>
      </c>
      <c r="C223" s="101">
        <f t="shared" ca="1" si="12"/>
        <v>0.14138762700304147</v>
      </c>
      <c r="D223" s="101">
        <f t="shared" ca="1" si="13"/>
        <v>0.67383468008651726</v>
      </c>
      <c r="E223" s="101">
        <f t="shared" ca="1" si="14"/>
        <v>0</v>
      </c>
      <c r="F223" s="21">
        <f t="shared" ca="1" si="15"/>
        <v>0</v>
      </c>
      <c r="H223" s="21">
        <v>208</v>
      </c>
      <c r="I223" s="102">
        <v>0.66773276253330582</v>
      </c>
      <c r="J223" s="103">
        <v>1.3503825325452052E-3</v>
      </c>
      <c r="K223" s="103"/>
      <c r="L223" s="103">
        <v>3.9199999999999999E-2</v>
      </c>
      <c r="O223" s="100"/>
    </row>
    <row r="224" spans="2:15" x14ac:dyDescent="0.2">
      <c r="B224" s="1">
        <v>209</v>
      </c>
      <c r="C224" s="101">
        <f t="shared" ca="1" si="12"/>
        <v>-1.6286322551795971</v>
      </c>
      <c r="D224" s="101">
        <f t="shared" ca="1" si="13"/>
        <v>0.56588319703482248</v>
      </c>
      <c r="E224" s="101">
        <f t="shared" ca="1" si="14"/>
        <v>0</v>
      </c>
      <c r="F224" s="21">
        <f t="shared" ca="1" si="15"/>
        <v>0</v>
      </c>
      <c r="H224" s="21">
        <v>209</v>
      </c>
      <c r="I224" s="102">
        <v>0.66778315891197648</v>
      </c>
      <c r="J224" s="103">
        <v>1.5312524864536201E-3</v>
      </c>
      <c r="K224" s="103"/>
      <c r="L224" s="103">
        <v>4.2599999999999999E-2</v>
      </c>
      <c r="O224" s="100"/>
    </row>
    <row r="225" spans="2:15" x14ac:dyDescent="0.2">
      <c r="B225" s="1">
        <v>210</v>
      </c>
      <c r="C225" s="101">
        <f t="shared" ca="1" si="12"/>
        <v>0.58643258253948238</v>
      </c>
      <c r="D225" s="101">
        <f t="shared" ca="1" si="13"/>
        <v>0.70407481618023071</v>
      </c>
      <c r="E225" s="101">
        <f t="shared" ca="1" si="14"/>
        <v>0</v>
      </c>
      <c r="F225" s="21">
        <f t="shared" ca="1" si="15"/>
        <v>0</v>
      </c>
      <c r="H225" s="21">
        <v>210</v>
      </c>
      <c r="I225" s="102">
        <v>0.66778653398542287</v>
      </c>
      <c r="J225" s="103">
        <v>1.4854572089568168E-3</v>
      </c>
      <c r="K225" s="103"/>
      <c r="L225" s="103">
        <v>4.2599999999999999E-2</v>
      </c>
      <c r="O225" s="100"/>
    </row>
    <row r="226" spans="2:15" x14ac:dyDescent="0.2">
      <c r="B226" s="1">
        <v>211</v>
      </c>
      <c r="C226" s="101">
        <f t="shared" ca="1" si="12"/>
        <v>0.95138981110737608</v>
      </c>
      <c r="D226" s="101">
        <f t="shared" ca="1" si="13"/>
        <v>0.72988317593398699</v>
      </c>
      <c r="E226" s="101">
        <f t="shared" ca="1" si="14"/>
        <v>0</v>
      </c>
      <c r="F226" s="21">
        <f t="shared" ca="1" si="15"/>
        <v>0</v>
      </c>
      <c r="H226" s="21">
        <v>211</v>
      </c>
      <c r="I226" s="102">
        <v>0.66751159794636272</v>
      </c>
      <c r="J226" s="103">
        <v>1.2713438747671696E-3</v>
      </c>
      <c r="K226" s="103"/>
      <c r="L226" s="103">
        <v>3.6400000000000002E-2</v>
      </c>
      <c r="O226" s="100"/>
    </row>
    <row r="227" spans="2:15" x14ac:dyDescent="0.2">
      <c r="B227" s="1">
        <v>212</v>
      </c>
      <c r="C227" s="101">
        <f t="shared" ca="1" si="12"/>
        <v>0.40204252277729702</v>
      </c>
      <c r="D227" s="101">
        <f t="shared" ca="1" si="13"/>
        <v>0.69138452391306338</v>
      </c>
      <c r="E227" s="101">
        <f t="shared" ca="1" si="14"/>
        <v>0</v>
      </c>
      <c r="F227" s="21">
        <f t="shared" ca="1" si="15"/>
        <v>0</v>
      </c>
      <c r="H227" s="21">
        <v>212</v>
      </c>
      <c r="I227" s="102">
        <v>0.66788585696819369</v>
      </c>
      <c r="J227" s="103">
        <v>1.3884223163764687E-3</v>
      </c>
      <c r="K227" s="103"/>
      <c r="L227" s="103">
        <v>4.5400000000000003E-2</v>
      </c>
      <c r="O227" s="100"/>
    </row>
    <row r="228" spans="2:15" x14ac:dyDescent="0.2">
      <c r="B228" s="1">
        <v>213</v>
      </c>
      <c r="C228" s="101">
        <f t="shared" ca="1" si="12"/>
        <v>1.2950752005714896</v>
      </c>
      <c r="D228" s="101">
        <f t="shared" ca="1" si="13"/>
        <v>0.75505158455720067</v>
      </c>
      <c r="E228" s="101">
        <f t="shared" ca="1" si="14"/>
        <v>0</v>
      </c>
      <c r="F228" s="21">
        <f t="shared" ca="1" si="15"/>
        <v>0</v>
      </c>
      <c r="H228" s="21">
        <v>213</v>
      </c>
      <c r="I228" s="102">
        <v>0.6677254675323957</v>
      </c>
      <c r="J228" s="103">
        <v>1.2214987874885634E-3</v>
      </c>
      <c r="K228" s="103"/>
      <c r="L228" s="103">
        <v>0.04</v>
      </c>
      <c r="O228" s="100"/>
    </row>
    <row r="229" spans="2:15" x14ac:dyDescent="0.2">
      <c r="B229" s="1">
        <v>214</v>
      </c>
      <c r="C229" s="101">
        <f t="shared" ca="1" si="12"/>
        <v>1.1674201659705783</v>
      </c>
      <c r="D229" s="101">
        <f t="shared" ca="1" si="13"/>
        <v>0.74560353833277082</v>
      </c>
      <c r="E229" s="101">
        <f t="shared" ca="1" si="14"/>
        <v>0</v>
      </c>
      <c r="F229" s="21">
        <f t="shared" ca="1" si="15"/>
        <v>0</v>
      </c>
      <c r="H229" s="21">
        <v>214</v>
      </c>
      <c r="I229" s="102">
        <v>0.66789620115034454</v>
      </c>
      <c r="J229" s="103">
        <v>1.4284801852390543E-3</v>
      </c>
      <c r="K229" s="103"/>
      <c r="L229" s="103">
        <v>4.4200000000000003E-2</v>
      </c>
      <c r="O229" s="100"/>
    </row>
    <row r="230" spans="2:15" x14ac:dyDescent="0.2">
      <c r="B230" s="1">
        <v>215</v>
      </c>
      <c r="C230" s="101">
        <f t="shared" ca="1" si="12"/>
        <v>-0.77175184652444084</v>
      </c>
      <c r="D230" s="101">
        <f t="shared" ca="1" si="13"/>
        <v>0.61579339575680891</v>
      </c>
      <c r="E230" s="101">
        <f t="shared" ca="1" si="14"/>
        <v>0</v>
      </c>
      <c r="F230" s="21">
        <f t="shared" ca="1" si="15"/>
        <v>0</v>
      </c>
      <c r="H230" s="21">
        <v>215</v>
      </c>
      <c r="I230" s="102">
        <v>0.66765908934702334</v>
      </c>
      <c r="J230" s="103">
        <v>1.2446118561267887E-3</v>
      </c>
      <c r="K230" s="103"/>
      <c r="L230" s="103">
        <v>3.9600000000000003E-2</v>
      </c>
      <c r="O230" s="100"/>
    </row>
    <row r="231" spans="2:15" x14ac:dyDescent="0.2">
      <c r="B231" s="1">
        <v>216</v>
      </c>
      <c r="C231" s="101">
        <f t="shared" ca="1" si="12"/>
        <v>-0.70603614337860598</v>
      </c>
      <c r="D231" s="101">
        <f t="shared" ca="1" si="13"/>
        <v>0.61979810930618473</v>
      </c>
      <c r="E231" s="101">
        <f t="shared" ca="1" si="14"/>
        <v>0</v>
      </c>
      <c r="F231" s="21">
        <f t="shared" ca="1" si="15"/>
        <v>0</v>
      </c>
      <c r="H231" s="21">
        <v>216</v>
      </c>
      <c r="I231" s="102">
        <v>0.66758155205337721</v>
      </c>
      <c r="J231" s="103">
        <v>9.8536094455266656E-4</v>
      </c>
      <c r="K231" s="103"/>
      <c r="L231" s="103">
        <v>3.6799999999999999E-2</v>
      </c>
      <c r="O231" s="100"/>
    </row>
    <row r="232" spans="2:15" x14ac:dyDescent="0.2">
      <c r="B232" s="1">
        <v>217</v>
      </c>
      <c r="C232" s="101">
        <f t="shared" ca="1" si="12"/>
        <v>-6.0181316139243986E-3</v>
      </c>
      <c r="D232" s="101">
        <f t="shared" ca="1" si="13"/>
        <v>0.66410780923290991</v>
      </c>
      <c r="E232" s="101">
        <f t="shared" ca="1" si="14"/>
        <v>0</v>
      </c>
      <c r="F232" s="21">
        <f t="shared" ca="1" si="15"/>
        <v>0</v>
      </c>
      <c r="H232" s="21">
        <v>217</v>
      </c>
      <c r="I232" s="102">
        <v>0.66778849548354358</v>
      </c>
      <c r="J232" s="103">
        <v>1.3510187614973516E-3</v>
      </c>
      <c r="K232" s="103"/>
      <c r="L232" s="103">
        <v>4.2999999999999997E-2</v>
      </c>
      <c r="O232" s="100"/>
    </row>
    <row r="233" spans="2:15" x14ac:dyDescent="0.2">
      <c r="B233" s="1">
        <v>218</v>
      </c>
      <c r="C233" s="101">
        <f t="shared" ca="1" si="12"/>
        <v>-6.3499949274767056E-2</v>
      </c>
      <c r="D233" s="101">
        <f t="shared" ca="1" si="13"/>
        <v>0.66035291836264276</v>
      </c>
      <c r="E233" s="101">
        <f t="shared" ca="1" si="14"/>
        <v>0</v>
      </c>
      <c r="F233" s="21">
        <f t="shared" ca="1" si="15"/>
        <v>0</v>
      </c>
      <c r="H233" s="21">
        <v>218</v>
      </c>
      <c r="I233" s="102">
        <v>0.66775871104069384</v>
      </c>
      <c r="J233" s="103">
        <v>1.3539113012633539E-3</v>
      </c>
      <c r="K233" s="103"/>
      <c r="L233" s="103">
        <v>4.2799999999999998E-2</v>
      </c>
      <c r="O233" s="100"/>
    </row>
    <row r="234" spans="2:15" x14ac:dyDescent="0.2">
      <c r="B234" s="1">
        <v>219</v>
      </c>
      <c r="C234" s="101">
        <f t="shared" ca="1" si="12"/>
        <v>1.6203619914322889</v>
      </c>
      <c r="D234" s="101">
        <f t="shared" ca="1" si="13"/>
        <v>0.77967158888982913</v>
      </c>
      <c r="E234" s="101">
        <f t="shared" ca="1" si="14"/>
        <v>0</v>
      </c>
      <c r="F234" s="21">
        <f t="shared" ca="1" si="15"/>
        <v>0</v>
      </c>
      <c r="H234" s="21">
        <v>219</v>
      </c>
      <c r="I234" s="102">
        <v>0.66776279791211968</v>
      </c>
      <c r="J234" s="103">
        <v>1.2424818481511352E-3</v>
      </c>
      <c r="K234" s="103"/>
      <c r="L234" s="103">
        <v>4.1000000000000002E-2</v>
      </c>
      <c r="O234" s="100"/>
    </row>
    <row r="235" spans="2:15" x14ac:dyDescent="0.2">
      <c r="B235" s="1">
        <v>220</v>
      </c>
      <c r="C235" s="101">
        <f t="shared" ca="1" si="12"/>
        <v>1.2011534482021233</v>
      </c>
      <c r="D235" s="101">
        <f t="shared" ca="1" si="13"/>
        <v>0.74808866321505096</v>
      </c>
      <c r="E235" s="101">
        <f t="shared" ca="1" si="14"/>
        <v>0</v>
      </c>
      <c r="F235" s="21">
        <f t="shared" ca="1" si="15"/>
        <v>0</v>
      </c>
      <c r="H235" s="21">
        <v>220</v>
      </c>
      <c r="I235" s="102">
        <v>0.66761900154077936</v>
      </c>
      <c r="J235" s="103">
        <v>1.1629040429878335E-3</v>
      </c>
      <c r="K235" s="103"/>
      <c r="L235" s="103">
        <v>4.02E-2</v>
      </c>
      <c r="O235" s="100"/>
    </row>
    <row r="236" spans="2:15" x14ac:dyDescent="0.2">
      <c r="B236" s="1">
        <v>221</v>
      </c>
      <c r="C236" s="101">
        <f t="shared" ca="1" si="12"/>
        <v>-0.6165716741212085</v>
      </c>
      <c r="D236" s="101">
        <f t="shared" ca="1" si="13"/>
        <v>0.62529196753663541</v>
      </c>
      <c r="E236" s="101">
        <f t="shared" ca="1" si="14"/>
        <v>0</v>
      </c>
      <c r="F236" s="21">
        <f t="shared" ca="1" si="15"/>
        <v>0</v>
      </c>
      <c r="H236" s="21">
        <v>221</v>
      </c>
      <c r="I236" s="102">
        <v>0.66773107609317628</v>
      </c>
      <c r="J236" s="103">
        <v>1.4035480231621099E-3</v>
      </c>
      <c r="K236" s="103"/>
      <c r="L236" s="103">
        <v>4.2200000000000001E-2</v>
      </c>
      <c r="O236" s="100"/>
    </row>
    <row r="237" spans="2:15" x14ac:dyDescent="0.2">
      <c r="B237" s="1">
        <v>222</v>
      </c>
      <c r="C237" s="101">
        <f t="shared" ca="1" si="12"/>
        <v>-0.27640753260644546</v>
      </c>
      <c r="D237" s="101">
        <f t="shared" ca="1" si="13"/>
        <v>0.646629139893247</v>
      </c>
      <c r="E237" s="101">
        <f t="shared" ca="1" si="14"/>
        <v>0</v>
      </c>
      <c r="F237" s="21">
        <f t="shared" ca="1" si="15"/>
        <v>0</v>
      </c>
      <c r="H237" s="21">
        <v>222</v>
      </c>
      <c r="I237" s="102">
        <v>0.667857465273198</v>
      </c>
      <c r="J237" s="103">
        <v>1.4923159478789779E-3</v>
      </c>
      <c r="K237" s="103"/>
      <c r="L237" s="103">
        <v>4.36E-2</v>
      </c>
      <c r="O237" s="100"/>
    </row>
    <row r="238" spans="2:15" x14ac:dyDescent="0.2">
      <c r="B238" s="1">
        <v>223</v>
      </c>
      <c r="C238" s="101">
        <f t="shared" ca="1" si="12"/>
        <v>-1.6609370312538343</v>
      </c>
      <c r="D238" s="101">
        <f t="shared" ca="1" si="13"/>
        <v>0.56408283162816619</v>
      </c>
      <c r="E238" s="101">
        <f t="shared" ca="1" si="14"/>
        <v>0</v>
      </c>
      <c r="F238" s="21">
        <f t="shared" ca="1" si="15"/>
        <v>0</v>
      </c>
      <c r="H238" s="21">
        <v>223</v>
      </c>
      <c r="I238" s="102">
        <v>0.66771179376651513</v>
      </c>
      <c r="J238" s="103">
        <v>1.2740237073049616E-3</v>
      </c>
      <c r="K238" s="103"/>
      <c r="L238" s="103">
        <v>4.1599999999999998E-2</v>
      </c>
      <c r="O238" s="100"/>
    </row>
    <row r="239" spans="2:15" x14ac:dyDescent="0.2">
      <c r="B239" s="1">
        <v>224</v>
      </c>
      <c r="C239" s="101">
        <f t="shared" ca="1" si="12"/>
        <v>0.27596489915735634</v>
      </c>
      <c r="D239" s="101">
        <f t="shared" ca="1" si="13"/>
        <v>0.6828393909655921</v>
      </c>
      <c r="E239" s="101">
        <f t="shared" ca="1" si="14"/>
        <v>0</v>
      </c>
      <c r="F239" s="21">
        <f t="shared" ca="1" si="15"/>
        <v>0</v>
      </c>
      <c r="H239" s="21">
        <v>224</v>
      </c>
      <c r="I239" s="102">
        <v>0.6678656970692457</v>
      </c>
      <c r="J239" s="103">
        <v>1.5630935882586575E-3</v>
      </c>
      <c r="K239" s="103"/>
      <c r="L239" s="103">
        <v>4.3200000000000002E-2</v>
      </c>
      <c r="O239" s="100"/>
    </row>
    <row r="240" spans="2:15" x14ac:dyDescent="0.2">
      <c r="B240" s="1">
        <v>225</v>
      </c>
      <c r="C240" s="101">
        <f t="shared" ca="1" si="12"/>
        <v>-0.78556393933309121</v>
      </c>
      <c r="D240" s="101">
        <f t="shared" ca="1" si="13"/>
        <v>0.61495498353943479</v>
      </c>
      <c r="E240" s="101">
        <f t="shared" ca="1" si="14"/>
        <v>0</v>
      </c>
      <c r="F240" s="21">
        <f t="shared" ca="1" si="15"/>
        <v>0</v>
      </c>
      <c r="H240" s="21">
        <v>225</v>
      </c>
      <c r="I240" s="102">
        <v>0.6678662866011299</v>
      </c>
      <c r="J240" s="103">
        <v>1.5231562056281091E-3</v>
      </c>
      <c r="K240" s="103"/>
      <c r="L240" s="103">
        <v>4.1399999999999999E-2</v>
      </c>
      <c r="O240" s="100"/>
    </row>
    <row r="241" spans="2:15" x14ac:dyDescent="0.2">
      <c r="B241" s="1">
        <v>226</v>
      </c>
      <c r="C241" s="101">
        <f t="shared" ca="1" si="12"/>
        <v>0.24877258184315834</v>
      </c>
      <c r="D241" s="101">
        <f t="shared" ca="1" si="13"/>
        <v>0.68101027447318929</v>
      </c>
      <c r="E241" s="101">
        <f t="shared" ca="1" si="14"/>
        <v>0</v>
      </c>
      <c r="F241" s="21">
        <f t="shared" ca="1" si="15"/>
        <v>0</v>
      </c>
      <c r="H241" s="21">
        <v>226</v>
      </c>
      <c r="I241" s="102">
        <v>0.66764749927262212</v>
      </c>
      <c r="J241" s="103">
        <v>1.3378476920614031E-3</v>
      </c>
      <c r="K241" s="103"/>
      <c r="L241" s="103">
        <v>4.0800000000000003E-2</v>
      </c>
      <c r="O241" s="100"/>
    </row>
    <row r="242" spans="2:15" x14ac:dyDescent="0.2">
      <c r="B242" s="1">
        <v>227</v>
      </c>
      <c r="C242" s="101">
        <f t="shared" ca="1" si="12"/>
        <v>0.1925374580157819</v>
      </c>
      <c r="D242" s="101">
        <f t="shared" ca="1" si="13"/>
        <v>0.67724309562970286</v>
      </c>
      <c r="E242" s="101">
        <f t="shared" ca="1" si="14"/>
        <v>0</v>
      </c>
      <c r="F242" s="21">
        <f t="shared" ca="1" si="15"/>
        <v>0</v>
      </c>
      <c r="H242" s="21">
        <v>227</v>
      </c>
      <c r="I242" s="102">
        <v>0.66785641522534467</v>
      </c>
      <c r="J242" s="103">
        <v>1.5067792383049448E-3</v>
      </c>
      <c r="K242" s="103"/>
      <c r="L242" s="103">
        <v>4.2200000000000001E-2</v>
      </c>
      <c r="O242" s="100"/>
    </row>
    <row r="243" spans="2:15" x14ac:dyDescent="0.2">
      <c r="B243" s="1">
        <v>228</v>
      </c>
      <c r="C243" s="101">
        <f t="shared" ca="1" si="12"/>
        <v>-0.92670878641778998</v>
      </c>
      <c r="D243" s="101">
        <f t="shared" ca="1" si="13"/>
        <v>0.60645246706435962</v>
      </c>
      <c r="E243" s="101">
        <f t="shared" ca="1" si="14"/>
        <v>0</v>
      </c>
      <c r="F243" s="21">
        <f t="shared" ca="1" si="15"/>
        <v>0</v>
      </c>
      <c r="H243" s="21">
        <v>228</v>
      </c>
      <c r="I243" s="102">
        <v>0.66776569762417448</v>
      </c>
      <c r="J243" s="103">
        <v>1.4459159837185639E-3</v>
      </c>
      <c r="K243" s="103"/>
      <c r="L243" s="103">
        <v>4.1399999999999999E-2</v>
      </c>
      <c r="O243" s="100"/>
    </row>
    <row r="244" spans="2:15" x14ac:dyDescent="0.2">
      <c r="B244" s="1">
        <v>229</v>
      </c>
      <c r="C244" s="101">
        <f t="shared" ca="1" si="12"/>
        <v>-0.55784859423347055</v>
      </c>
      <c r="D244" s="101">
        <f t="shared" ca="1" si="13"/>
        <v>0.62892449589248778</v>
      </c>
      <c r="E244" s="101">
        <f t="shared" ca="1" si="14"/>
        <v>0</v>
      </c>
      <c r="F244" s="21">
        <f t="shared" ca="1" si="15"/>
        <v>0</v>
      </c>
      <c r="H244" s="21">
        <v>229</v>
      </c>
      <c r="I244" s="102">
        <v>0.66775706899283782</v>
      </c>
      <c r="J244" s="103">
        <v>1.4760763605497381E-3</v>
      </c>
      <c r="K244" s="103"/>
      <c r="L244" s="103">
        <v>4.1599999999999998E-2</v>
      </c>
      <c r="O244" s="100"/>
    </row>
    <row r="245" spans="2:15" x14ac:dyDescent="0.2">
      <c r="B245" s="1">
        <v>230</v>
      </c>
      <c r="C245" s="101">
        <f t="shared" ca="1" si="12"/>
        <v>0.27733852467935477</v>
      </c>
      <c r="D245" s="101">
        <f t="shared" ca="1" si="13"/>
        <v>0.68293191940585118</v>
      </c>
      <c r="E245" s="101">
        <f t="shared" ca="1" si="14"/>
        <v>0</v>
      </c>
      <c r="F245" s="21">
        <f t="shared" ca="1" si="15"/>
        <v>0</v>
      </c>
      <c r="H245" s="21">
        <v>230</v>
      </c>
      <c r="I245" s="102">
        <v>0.66761798006637274</v>
      </c>
      <c r="J245" s="103">
        <v>1.3714811521880472E-3</v>
      </c>
      <c r="K245" s="103"/>
      <c r="L245" s="103">
        <v>3.5200000000000002E-2</v>
      </c>
      <c r="O245" s="100"/>
    </row>
    <row r="246" spans="2:15" x14ac:dyDescent="0.2">
      <c r="B246" s="1">
        <v>231</v>
      </c>
      <c r="C246" s="101">
        <f t="shared" ca="1" si="12"/>
        <v>-6.3714013756200658E-2</v>
      </c>
      <c r="D246" s="101">
        <f t="shared" ca="1" si="13"/>
        <v>0.66033897475896897</v>
      </c>
      <c r="E246" s="101">
        <f t="shared" ca="1" si="14"/>
        <v>0</v>
      </c>
      <c r="F246" s="21">
        <f t="shared" ca="1" si="15"/>
        <v>0</v>
      </c>
      <c r="H246" s="21">
        <v>231</v>
      </c>
      <c r="I246" s="102">
        <v>0.66769277681547612</v>
      </c>
      <c r="J246" s="103">
        <v>1.310893731918494E-3</v>
      </c>
      <c r="K246" s="103"/>
      <c r="L246" s="103">
        <v>4.0800000000000003E-2</v>
      </c>
      <c r="O246" s="100"/>
    </row>
    <row r="247" spans="2:15" x14ac:dyDescent="0.2">
      <c r="B247" s="1">
        <v>232</v>
      </c>
      <c r="C247" s="101">
        <f t="shared" ca="1" si="12"/>
        <v>-0.30170506687130455</v>
      </c>
      <c r="D247" s="101">
        <f t="shared" ca="1" si="13"/>
        <v>0.64501756455549475</v>
      </c>
      <c r="E247" s="101">
        <f t="shared" ca="1" si="14"/>
        <v>0</v>
      </c>
      <c r="F247" s="21">
        <f t="shared" ca="1" si="15"/>
        <v>0</v>
      </c>
      <c r="H247" s="21">
        <v>232</v>
      </c>
      <c r="I247" s="102">
        <v>0.66783340474793285</v>
      </c>
      <c r="J247" s="103">
        <v>1.5213417439183898E-3</v>
      </c>
      <c r="K247" s="103"/>
      <c r="L247" s="103">
        <v>4.5600000000000002E-2</v>
      </c>
      <c r="O247" s="100"/>
    </row>
    <row r="248" spans="2:15" x14ac:dyDescent="0.2">
      <c r="B248" s="1">
        <v>233</v>
      </c>
      <c r="C248" s="101">
        <f t="shared" ca="1" si="12"/>
        <v>-1.2451617927409746</v>
      </c>
      <c r="D248" s="101">
        <f t="shared" ca="1" si="13"/>
        <v>0.58769830297904724</v>
      </c>
      <c r="E248" s="101">
        <f t="shared" ca="1" si="14"/>
        <v>0</v>
      </c>
      <c r="F248" s="21">
        <f t="shared" ca="1" si="15"/>
        <v>0</v>
      </c>
      <c r="H248" s="21">
        <v>233</v>
      </c>
      <c r="I248" s="102">
        <v>0.66768730358252348</v>
      </c>
      <c r="J248" s="103">
        <v>1.3700698105965432E-3</v>
      </c>
      <c r="K248" s="103"/>
      <c r="L248" s="103">
        <v>4.0399999999999998E-2</v>
      </c>
      <c r="O248" s="100"/>
    </row>
    <row r="249" spans="2:15" x14ac:dyDescent="0.2">
      <c r="B249" s="1">
        <v>234</v>
      </c>
      <c r="C249" s="101">
        <f t="shared" ca="1" si="12"/>
        <v>-0.82065951240052604</v>
      </c>
      <c r="D249" s="101">
        <f t="shared" ca="1" si="13"/>
        <v>0.61282976769643138</v>
      </c>
      <c r="E249" s="101">
        <f t="shared" ca="1" si="14"/>
        <v>0</v>
      </c>
      <c r="F249" s="21">
        <f t="shared" ca="1" si="15"/>
        <v>0</v>
      </c>
      <c r="H249" s="21">
        <v>234</v>
      </c>
      <c r="I249" s="102">
        <v>0.66769828691071609</v>
      </c>
      <c r="J249" s="103">
        <v>1.2979175006622632E-3</v>
      </c>
      <c r="K249" s="103"/>
      <c r="L249" s="103">
        <v>4.1200000000000001E-2</v>
      </c>
      <c r="O249" s="100"/>
    </row>
    <row r="250" spans="2:15" x14ac:dyDescent="0.2">
      <c r="B250" s="1">
        <v>235</v>
      </c>
      <c r="C250" s="101">
        <f t="shared" ca="1" si="12"/>
        <v>0.85542706237590083</v>
      </c>
      <c r="D250" s="101">
        <f t="shared" ca="1" si="13"/>
        <v>0.72300677703672367</v>
      </c>
      <c r="E250" s="101">
        <f t="shared" ca="1" si="14"/>
        <v>0</v>
      </c>
      <c r="F250" s="21">
        <f t="shared" ca="1" si="15"/>
        <v>0</v>
      </c>
      <c r="H250" s="21">
        <v>235</v>
      </c>
      <c r="I250" s="102">
        <v>0.66761848538303281</v>
      </c>
      <c r="J250" s="103">
        <v>1.0760158585500484E-3</v>
      </c>
      <c r="K250" s="103"/>
      <c r="L250" s="103">
        <v>3.7400000000000003E-2</v>
      </c>
      <c r="O250" s="100"/>
    </row>
    <row r="251" spans="2:15" x14ac:dyDescent="0.2">
      <c r="B251" s="1">
        <v>236</v>
      </c>
      <c r="C251" s="101">
        <f t="shared" ca="1" si="12"/>
        <v>0.15669444194357554</v>
      </c>
      <c r="D251" s="101">
        <f t="shared" ca="1" si="13"/>
        <v>0.67485286111279141</v>
      </c>
      <c r="E251" s="101">
        <f t="shared" ca="1" si="14"/>
        <v>0</v>
      </c>
      <c r="F251" s="21">
        <f t="shared" ca="1" si="15"/>
        <v>0</v>
      </c>
      <c r="H251" s="21">
        <v>236</v>
      </c>
      <c r="I251" s="102">
        <v>0.66765885062225006</v>
      </c>
      <c r="J251" s="103">
        <v>1.3458261579841176E-3</v>
      </c>
      <c r="K251" s="103"/>
      <c r="L251" s="103">
        <v>3.9399999999999998E-2</v>
      </c>
      <c r="O251" s="100"/>
    </row>
    <row r="252" spans="2:15" x14ac:dyDescent="0.2">
      <c r="B252" s="1">
        <v>237</v>
      </c>
      <c r="C252" s="101">
        <f t="shared" ca="1" si="12"/>
        <v>-0.26119100394599704</v>
      </c>
      <c r="D252" s="101">
        <f t="shared" ca="1" si="13"/>
        <v>0.64760044514072168</v>
      </c>
      <c r="E252" s="101">
        <f t="shared" ca="1" si="14"/>
        <v>0</v>
      </c>
      <c r="F252" s="21">
        <f t="shared" ca="1" si="15"/>
        <v>0</v>
      </c>
      <c r="H252" s="21">
        <v>237</v>
      </c>
      <c r="I252" s="102">
        <v>0.66770843991865281</v>
      </c>
      <c r="J252" s="103">
        <v>1.3628531915049389E-3</v>
      </c>
      <c r="K252" s="103"/>
      <c r="L252" s="103">
        <v>4.1399999999999999E-2</v>
      </c>
      <c r="O252" s="100"/>
    </row>
    <row r="253" spans="2:15" x14ac:dyDescent="0.2">
      <c r="B253" s="1">
        <v>238</v>
      </c>
      <c r="C253" s="101">
        <f t="shared" ca="1" si="12"/>
        <v>0.82005843505129006</v>
      </c>
      <c r="D253" s="101">
        <f t="shared" ca="1" si="13"/>
        <v>0.72048874002767238</v>
      </c>
      <c r="E253" s="101">
        <f t="shared" ca="1" si="14"/>
        <v>0</v>
      </c>
      <c r="F253" s="21">
        <f t="shared" ca="1" si="15"/>
        <v>0</v>
      </c>
      <c r="H253" s="21">
        <v>238</v>
      </c>
      <c r="I253" s="102">
        <v>0.66763878691706091</v>
      </c>
      <c r="J253" s="103">
        <v>1.2998900273114131E-3</v>
      </c>
      <c r="K253" s="103"/>
      <c r="L253" s="103">
        <v>3.9399999999999998E-2</v>
      </c>
      <c r="O253" s="100"/>
    </row>
    <row r="254" spans="2:15" x14ac:dyDescent="0.2">
      <c r="B254" s="1">
        <v>239</v>
      </c>
      <c r="C254" s="101">
        <f t="shared" ca="1" si="12"/>
        <v>0.22656410979424679</v>
      </c>
      <c r="D254" s="101">
        <f t="shared" ca="1" si="13"/>
        <v>0.67952003647441594</v>
      </c>
      <c r="E254" s="101">
        <f t="shared" ca="1" si="14"/>
        <v>0</v>
      </c>
      <c r="F254" s="21">
        <f t="shared" ca="1" si="15"/>
        <v>0</v>
      </c>
      <c r="H254" s="21">
        <v>239</v>
      </c>
      <c r="I254" s="102">
        <v>0.66774818146230619</v>
      </c>
      <c r="J254" s="103">
        <v>1.4189033669215942E-3</v>
      </c>
      <c r="K254" s="103"/>
      <c r="L254" s="103">
        <v>4.36E-2</v>
      </c>
      <c r="O254" s="100"/>
    </row>
    <row r="255" spans="2:15" x14ac:dyDescent="0.2">
      <c r="B255" s="1">
        <v>240</v>
      </c>
      <c r="C255" s="101">
        <f t="shared" ca="1" si="12"/>
        <v>0.42700881769538201</v>
      </c>
      <c r="D255" s="101">
        <f t="shared" ca="1" si="13"/>
        <v>0.69308930073111485</v>
      </c>
      <c r="E255" s="101">
        <f t="shared" ca="1" si="14"/>
        <v>0</v>
      </c>
      <c r="F255" s="21">
        <f t="shared" ca="1" si="15"/>
        <v>0</v>
      </c>
      <c r="H255" s="21">
        <v>240</v>
      </c>
      <c r="I255" s="102">
        <v>0.66777085488923971</v>
      </c>
      <c r="J255" s="103">
        <v>1.451413516756545E-3</v>
      </c>
      <c r="K255" s="103"/>
      <c r="L255" s="103">
        <v>4.6199999999999998E-2</v>
      </c>
      <c r="O255" s="100"/>
    </row>
    <row r="256" spans="2:15" x14ac:dyDescent="0.2">
      <c r="B256" s="1">
        <v>241</v>
      </c>
      <c r="C256" s="101">
        <f t="shared" ca="1" si="12"/>
        <v>-0.30760941859446683</v>
      </c>
      <c r="D256" s="101">
        <f t="shared" ca="1" si="13"/>
        <v>0.64464200726328669</v>
      </c>
      <c r="E256" s="101">
        <f t="shared" ca="1" si="14"/>
        <v>0</v>
      </c>
      <c r="F256" s="21">
        <f t="shared" ca="1" si="15"/>
        <v>0</v>
      </c>
      <c r="H256" s="21">
        <v>241</v>
      </c>
      <c r="I256" s="102">
        <v>0.66771468758374386</v>
      </c>
      <c r="J256" s="103">
        <v>1.3158601098980426E-3</v>
      </c>
      <c r="K256" s="103"/>
      <c r="L256" s="103">
        <v>4.2999999999999997E-2</v>
      </c>
      <c r="O256" s="100"/>
    </row>
    <row r="257" spans="2:15" x14ac:dyDescent="0.2">
      <c r="B257" s="1">
        <v>242</v>
      </c>
      <c r="C257" s="101">
        <f t="shared" ca="1" si="12"/>
        <v>1.8022700991369589</v>
      </c>
      <c r="D257" s="101">
        <f t="shared" ca="1" si="13"/>
        <v>0.79378801982208591</v>
      </c>
      <c r="E257" s="101">
        <f t="shared" ca="1" si="14"/>
        <v>5.588019822085899E-3</v>
      </c>
      <c r="F257" s="21">
        <f t="shared" ca="1" si="15"/>
        <v>1</v>
      </c>
      <c r="H257" s="21">
        <v>242</v>
      </c>
      <c r="I257" s="102">
        <v>0.66769134167567434</v>
      </c>
      <c r="J257" s="103">
        <v>1.316138485067395E-3</v>
      </c>
      <c r="K257" s="103"/>
      <c r="L257" s="103">
        <v>4.24E-2</v>
      </c>
      <c r="O257" s="100"/>
    </row>
    <row r="258" spans="2:15" x14ac:dyDescent="0.2">
      <c r="B258" s="1">
        <v>243</v>
      </c>
      <c r="C258" s="101">
        <f t="shared" ca="1" si="12"/>
        <v>-1.2066424183080686</v>
      </c>
      <c r="D258" s="101">
        <f t="shared" ca="1" si="13"/>
        <v>0.58993557039293865</v>
      </c>
      <c r="E258" s="101">
        <f t="shared" ca="1" si="14"/>
        <v>0</v>
      </c>
      <c r="F258" s="21">
        <f t="shared" ca="1" si="15"/>
        <v>0</v>
      </c>
      <c r="H258" s="21">
        <v>243</v>
      </c>
      <c r="I258" s="102">
        <v>0.66771747697299688</v>
      </c>
      <c r="J258" s="103">
        <v>1.4407682441218864E-3</v>
      </c>
      <c r="K258" s="103"/>
      <c r="L258" s="103">
        <v>4.1000000000000002E-2</v>
      </c>
      <c r="O258" s="100"/>
    </row>
    <row r="259" spans="2:15" x14ac:dyDescent="0.2">
      <c r="B259" s="1">
        <v>244</v>
      </c>
      <c r="C259" s="101">
        <f t="shared" ca="1" si="12"/>
        <v>-1.4811825422556775</v>
      </c>
      <c r="D259" s="101">
        <f t="shared" ca="1" si="13"/>
        <v>0.57417390821197645</v>
      </c>
      <c r="E259" s="101">
        <f t="shared" ca="1" si="14"/>
        <v>0</v>
      </c>
      <c r="F259" s="21">
        <f t="shared" ca="1" si="15"/>
        <v>0</v>
      </c>
      <c r="H259" s="21">
        <v>244</v>
      </c>
      <c r="I259" s="102">
        <v>0.66769909159957486</v>
      </c>
      <c r="J259" s="103">
        <v>1.3231860439473638E-3</v>
      </c>
      <c r="K259" s="103"/>
      <c r="L259" s="103">
        <v>3.9800000000000002E-2</v>
      </c>
      <c r="O259" s="100"/>
    </row>
    <row r="260" spans="2:15" x14ac:dyDescent="0.2">
      <c r="B260" s="1">
        <v>245</v>
      </c>
      <c r="C260" s="101">
        <f t="shared" ca="1" si="12"/>
        <v>-2.6900308540994011</v>
      </c>
      <c r="D260" s="101">
        <f t="shared" ca="1" si="13"/>
        <v>0.50963252474039389</v>
      </c>
      <c r="E260" s="101">
        <f t="shared" ca="1" si="14"/>
        <v>0</v>
      </c>
      <c r="F260" s="21">
        <f t="shared" ca="1" si="15"/>
        <v>0</v>
      </c>
      <c r="H260" s="21">
        <v>245</v>
      </c>
      <c r="I260" s="102">
        <v>0.66783700061298701</v>
      </c>
      <c r="J260" s="103">
        <v>1.3902938992938544E-3</v>
      </c>
      <c r="K260" s="103"/>
      <c r="L260" s="103">
        <v>4.5600000000000002E-2</v>
      </c>
      <c r="O260" s="100"/>
    </row>
    <row r="261" spans="2:15" x14ac:dyDescent="0.2">
      <c r="B261" s="1">
        <v>246</v>
      </c>
      <c r="C261" s="101">
        <f t="shared" ca="1" si="12"/>
        <v>-0.76867635305510373</v>
      </c>
      <c r="D261" s="101">
        <f t="shared" ca="1" si="13"/>
        <v>0.61598023780286881</v>
      </c>
      <c r="E261" s="101">
        <f t="shared" ca="1" si="14"/>
        <v>0</v>
      </c>
      <c r="F261" s="21">
        <f t="shared" ca="1" si="15"/>
        <v>0</v>
      </c>
      <c r="H261" s="21">
        <v>246</v>
      </c>
      <c r="I261" s="102">
        <v>0.66771482803547333</v>
      </c>
      <c r="J261" s="103">
        <v>1.1960700362199975E-3</v>
      </c>
      <c r="K261" s="103"/>
      <c r="L261" s="103">
        <v>4.4600000000000001E-2</v>
      </c>
      <c r="O261" s="100"/>
    </row>
    <row r="262" spans="2:15" x14ac:dyDescent="0.2">
      <c r="B262" s="1">
        <v>247</v>
      </c>
      <c r="C262" s="101">
        <f t="shared" ca="1" si="12"/>
        <v>1.4053101301113577</v>
      </c>
      <c r="D262" s="101">
        <f t="shared" ca="1" si="13"/>
        <v>0.76330660381240889</v>
      </c>
      <c r="E262" s="101">
        <f t="shared" ca="1" si="14"/>
        <v>0</v>
      </c>
      <c r="F262" s="21">
        <f t="shared" ca="1" si="15"/>
        <v>0</v>
      </c>
      <c r="H262" s="21">
        <v>247</v>
      </c>
      <c r="I262" s="102">
        <v>0.66782002741907953</v>
      </c>
      <c r="J262" s="103">
        <v>1.5219907539232602E-3</v>
      </c>
      <c r="K262" s="103"/>
      <c r="L262" s="103">
        <v>4.4200000000000003E-2</v>
      </c>
      <c r="O262" s="100"/>
    </row>
    <row r="263" spans="2:15" x14ac:dyDescent="0.2">
      <c r="B263" s="1">
        <v>248</v>
      </c>
      <c r="C263" s="101">
        <f t="shared" ca="1" si="12"/>
        <v>-0.28878656092482197</v>
      </c>
      <c r="D263" s="101">
        <f t="shared" ca="1" si="13"/>
        <v>0.64584003342912855</v>
      </c>
      <c r="E263" s="101">
        <f t="shared" ca="1" si="14"/>
        <v>0</v>
      </c>
      <c r="F263" s="21">
        <f t="shared" ca="1" si="15"/>
        <v>0</v>
      </c>
      <c r="H263" s="21">
        <v>248</v>
      </c>
      <c r="I263" s="102">
        <v>0.66788676698955196</v>
      </c>
      <c r="J263" s="103">
        <v>1.5377590399463343E-3</v>
      </c>
      <c r="K263" s="103"/>
      <c r="L263" s="103">
        <v>4.5199999999999997E-2</v>
      </c>
      <c r="O263" s="100"/>
    </row>
    <row r="264" spans="2:15" x14ac:dyDescent="0.2">
      <c r="B264" s="1">
        <v>249</v>
      </c>
      <c r="C264" s="101">
        <f t="shared" ca="1" si="12"/>
        <v>0.243572426026339</v>
      </c>
      <c r="D264" s="101">
        <f t="shared" ca="1" si="13"/>
        <v>0.68066103965084224</v>
      </c>
      <c r="E264" s="101">
        <f t="shared" ca="1" si="14"/>
        <v>0</v>
      </c>
      <c r="F264" s="21">
        <f t="shared" ca="1" si="15"/>
        <v>0</v>
      </c>
      <c r="H264" s="21">
        <v>249</v>
      </c>
      <c r="I264" s="102">
        <v>0.66770048275432103</v>
      </c>
      <c r="J264" s="103">
        <v>1.3343919267223264E-3</v>
      </c>
      <c r="K264" s="103"/>
      <c r="L264" s="103">
        <v>4.2000000000000003E-2</v>
      </c>
      <c r="O264" s="100"/>
    </row>
    <row r="265" spans="2:15" x14ac:dyDescent="0.2">
      <c r="B265" s="1">
        <v>250</v>
      </c>
      <c r="C265" s="101">
        <f t="shared" ca="1" si="12"/>
        <v>0.35820014802043126</v>
      </c>
      <c r="D265" s="101">
        <f t="shared" ca="1" si="13"/>
        <v>0.68840097011706303</v>
      </c>
      <c r="E265" s="101">
        <f t="shared" ca="1" si="14"/>
        <v>0</v>
      </c>
      <c r="F265" s="21">
        <f t="shared" ca="1" si="15"/>
        <v>0</v>
      </c>
      <c r="H265" s="21">
        <v>250</v>
      </c>
      <c r="I265" s="102">
        <v>0.66771195389368609</v>
      </c>
      <c r="J265" s="103">
        <v>1.2950134673934215E-3</v>
      </c>
      <c r="K265" s="103"/>
      <c r="L265" s="103">
        <v>4.2200000000000001E-2</v>
      </c>
      <c r="O265" s="100"/>
    </row>
    <row r="266" spans="2:15" x14ac:dyDescent="0.2">
      <c r="B266" s="1">
        <v>251</v>
      </c>
      <c r="C266" s="101">
        <f t="shared" ca="1" si="12"/>
        <v>1.2881193963481348</v>
      </c>
      <c r="D266" s="101">
        <f t="shared" ca="1" si="13"/>
        <v>0.75453369889067678</v>
      </c>
      <c r="E266" s="101">
        <f t="shared" ca="1" si="14"/>
        <v>0</v>
      </c>
      <c r="F266" s="21">
        <f t="shared" ca="1" si="15"/>
        <v>0</v>
      </c>
      <c r="H266" s="21">
        <v>251</v>
      </c>
      <c r="I266" s="102">
        <v>0.66763629004905101</v>
      </c>
      <c r="J266" s="103">
        <v>1.2406083344882258E-3</v>
      </c>
      <c r="K266" s="103"/>
      <c r="L266" s="103">
        <v>4.0599999999999997E-2</v>
      </c>
      <c r="O266" s="100"/>
    </row>
    <row r="267" spans="2:15" x14ac:dyDescent="0.2">
      <c r="B267" s="1">
        <v>252</v>
      </c>
      <c r="C267" s="101">
        <f t="shared" ca="1" si="12"/>
        <v>-0.1713108943062453</v>
      </c>
      <c r="D267" s="101">
        <f t="shared" ca="1" si="13"/>
        <v>0.65336752890533556</v>
      </c>
      <c r="E267" s="101">
        <f t="shared" ca="1" si="14"/>
        <v>0</v>
      </c>
      <c r="F267" s="21">
        <f t="shared" ca="1" si="15"/>
        <v>0</v>
      </c>
      <c r="H267" s="21">
        <v>252</v>
      </c>
      <c r="I267" s="102">
        <v>0.66770583312239085</v>
      </c>
      <c r="J267" s="103">
        <v>1.3495131959161612E-3</v>
      </c>
      <c r="K267" s="103"/>
      <c r="L267" s="103">
        <v>4.5199999999999997E-2</v>
      </c>
      <c r="O267" s="100"/>
    </row>
    <row r="268" spans="2:15" x14ac:dyDescent="0.2">
      <c r="B268" s="1">
        <v>253</v>
      </c>
      <c r="C268" s="101">
        <f t="shared" ca="1" si="12"/>
        <v>-0.6190515814019395</v>
      </c>
      <c r="D268" s="101">
        <f t="shared" ca="1" si="13"/>
        <v>0.62513902648351227</v>
      </c>
      <c r="E268" s="101">
        <f t="shared" ca="1" si="14"/>
        <v>0</v>
      </c>
      <c r="F268" s="21">
        <f t="shared" ca="1" si="15"/>
        <v>0</v>
      </c>
      <c r="H268" s="21">
        <v>253</v>
      </c>
      <c r="I268" s="102">
        <v>0.66762145451525656</v>
      </c>
      <c r="J268" s="103">
        <v>1.2374326685716771E-3</v>
      </c>
      <c r="K268" s="103"/>
      <c r="L268" s="103">
        <v>3.8199999999999998E-2</v>
      </c>
      <c r="O268" s="100"/>
    </row>
    <row r="269" spans="2:15" x14ac:dyDescent="0.2">
      <c r="B269" s="1">
        <v>254</v>
      </c>
      <c r="C269" s="101">
        <f t="shared" ca="1" si="12"/>
        <v>-0.40737652130676588</v>
      </c>
      <c r="D269" s="101">
        <f t="shared" ca="1" si="13"/>
        <v>0.63832909672023785</v>
      </c>
      <c r="E269" s="101">
        <f t="shared" ca="1" si="14"/>
        <v>0</v>
      </c>
      <c r="F269" s="21">
        <f t="shared" ca="1" si="15"/>
        <v>0</v>
      </c>
      <c r="H269" s="21">
        <v>254</v>
      </c>
      <c r="I269" s="102">
        <v>0.66779954339316772</v>
      </c>
      <c r="J269" s="103">
        <v>1.4015686382318592E-3</v>
      </c>
      <c r="K269" s="103"/>
      <c r="L269" s="103">
        <v>4.1599999999999998E-2</v>
      </c>
      <c r="O269" s="100"/>
    </row>
    <row r="270" spans="2:15" x14ac:dyDescent="0.2">
      <c r="B270" s="1">
        <v>255</v>
      </c>
      <c r="C270" s="101">
        <f t="shared" ca="1" si="12"/>
        <v>2.2864893716408145E-2</v>
      </c>
      <c r="D270" s="101">
        <f t="shared" ca="1" si="13"/>
        <v>0.66600259005895568</v>
      </c>
      <c r="E270" s="101">
        <f t="shared" ca="1" si="14"/>
        <v>0</v>
      </c>
      <c r="F270" s="21">
        <f t="shared" ca="1" si="15"/>
        <v>0</v>
      </c>
      <c r="H270" s="21">
        <v>255</v>
      </c>
      <c r="I270" s="102">
        <v>0.66759409720508744</v>
      </c>
      <c r="J270" s="103">
        <v>1.2090444802137093E-3</v>
      </c>
      <c r="K270" s="103"/>
      <c r="L270" s="103">
        <v>3.9199999999999999E-2</v>
      </c>
      <c r="O270" s="100"/>
    </row>
    <row r="271" spans="2:15" x14ac:dyDescent="0.2">
      <c r="B271" s="1">
        <v>256</v>
      </c>
      <c r="C271" s="101">
        <f t="shared" ca="1" si="12"/>
        <v>-1.080549451515028</v>
      </c>
      <c r="D271" s="101">
        <f t="shared" ca="1" si="13"/>
        <v>0.59731899795955112</v>
      </c>
      <c r="E271" s="101">
        <f t="shared" ca="1" si="14"/>
        <v>0</v>
      </c>
      <c r="F271" s="21">
        <f t="shared" ca="1" si="15"/>
        <v>0</v>
      </c>
      <c r="H271" s="21">
        <v>256</v>
      </c>
      <c r="I271" s="102">
        <v>0.6675673460451097</v>
      </c>
      <c r="J271" s="103">
        <v>1.1347098776462836E-3</v>
      </c>
      <c r="K271" s="103"/>
      <c r="L271" s="103">
        <v>3.9199999999999999E-2</v>
      </c>
      <c r="O271" s="100"/>
    </row>
    <row r="272" spans="2:15" x14ac:dyDescent="0.2">
      <c r="B272" s="1">
        <v>257</v>
      </c>
      <c r="C272" s="101">
        <f t="shared" ref="C272:C335" ca="1" si="16">_xlfn.NORM.S.INV(RAND())</f>
        <v>-0.66998216834217883</v>
      </c>
      <c r="D272" s="101">
        <f t="shared" ref="D272:D335" ca="1" si="17">S0*EXP((μ-0.5*σ*σ)*T+σ*SQRT(T)*$C272)</f>
        <v>0.62200629094999438</v>
      </c>
      <c r="E272" s="101">
        <f t="shared" ref="E272:E335" ca="1" si="18">MAX(0,CP*(D272-K))</f>
        <v>0</v>
      </c>
      <c r="F272" s="21">
        <f t="shared" ref="F272:F335" ca="1" si="19">(CP*(D272-K)&gt;0)*1</f>
        <v>0</v>
      </c>
      <c r="H272" s="21">
        <v>257</v>
      </c>
      <c r="I272" s="102">
        <v>0.66766038614936574</v>
      </c>
      <c r="J272" s="103">
        <v>1.2455982879455525E-3</v>
      </c>
      <c r="K272" s="103"/>
      <c r="L272" s="103">
        <v>3.9E-2</v>
      </c>
      <c r="O272" s="100"/>
    </row>
    <row r="273" spans="2:15" x14ac:dyDescent="0.2">
      <c r="B273" s="1">
        <v>258</v>
      </c>
      <c r="C273" s="101">
        <f t="shared" ca="1" si="16"/>
        <v>-2.6637955042577644E-2</v>
      </c>
      <c r="D273" s="101">
        <f t="shared" ca="1" si="17"/>
        <v>0.66275840883335357</v>
      </c>
      <c r="E273" s="101">
        <f t="shared" ca="1" si="18"/>
        <v>0</v>
      </c>
      <c r="F273" s="21">
        <f t="shared" ca="1" si="19"/>
        <v>0</v>
      </c>
      <c r="H273" s="21">
        <v>258</v>
      </c>
      <c r="I273" s="102">
        <v>0.66780050281147219</v>
      </c>
      <c r="J273" s="103">
        <v>1.5160512490305627E-3</v>
      </c>
      <c r="K273" s="103"/>
      <c r="L273" s="103">
        <v>4.2000000000000003E-2</v>
      </c>
      <c r="O273" s="100"/>
    </row>
    <row r="274" spans="2:15" x14ac:dyDescent="0.2">
      <c r="B274" s="1">
        <v>259</v>
      </c>
      <c r="C274" s="101">
        <f t="shared" ca="1" si="16"/>
        <v>-1.3919345176464868</v>
      </c>
      <c r="D274" s="101">
        <f t="shared" ca="1" si="17"/>
        <v>0.57925098853015322</v>
      </c>
      <c r="E274" s="101">
        <f t="shared" ca="1" si="18"/>
        <v>0</v>
      </c>
      <c r="F274" s="21">
        <f t="shared" ca="1" si="19"/>
        <v>0</v>
      </c>
      <c r="H274" s="21">
        <v>259</v>
      </c>
      <c r="I274" s="102">
        <v>0.66785845301262403</v>
      </c>
      <c r="J274" s="103">
        <v>1.5593971423896909E-3</v>
      </c>
      <c r="K274" s="103"/>
      <c r="L274" s="103">
        <v>4.58E-2</v>
      </c>
      <c r="O274" s="100"/>
    </row>
    <row r="275" spans="2:15" x14ac:dyDescent="0.2">
      <c r="B275" s="1">
        <v>260</v>
      </c>
      <c r="C275" s="101">
        <f t="shared" ca="1" si="16"/>
        <v>1.6833147966735422</v>
      </c>
      <c r="D275" s="101">
        <f t="shared" ca="1" si="17"/>
        <v>0.78452821672345774</v>
      </c>
      <c r="E275" s="101">
        <f t="shared" ca="1" si="18"/>
        <v>0</v>
      </c>
      <c r="F275" s="21">
        <f t="shared" ca="1" si="19"/>
        <v>0</v>
      </c>
      <c r="H275" s="21">
        <v>260</v>
      </c>
      <c r="I275" s="102">
        <v>0.6678084846772353</v>
      </c>
      <c r="J275" s="103">
        <v>1.2915770103273242E-3</v>
      </c>
      <c r="K275" s="103"/>
      <c r="L275" s="103">
        <v>0.04</v>
      </c>
      <c r="O275" s="100"/>
    </row>
    <row r="276" spans="2:15" x14ac:dyDescent="0.2">
      <c r="B276" s="1">
        <v>261</v>
      </c>
      <c r="C276" s="101">
        <f t="shared" ca="1" si="16"/>
        <v>0.3459845399585062</v>
      </c>
      <c r="D276" s="101">
        <f t="shared" ca="1" si="17"/>
        <v>0.68757197144289073</v>
      </c>
      <c r="E276" s="101">
        <f t="shared" ca="1" si="18"/>
        <v>0</v>
      </c>
      <c r="F276" s="21">
        <f t="shared" ca="1" si="19"/>
        <v>0</v>
      </c>
      <c r="H276" s="21">
        <v>261</v>
      </c>
      <c r="I276" s="102">
        <v>0.66788947911008978</v>
      </c>
      <c r="J276" s="103">
        <v>1.5071657918726388E-3</v>
      </c>
      <c r="K276" s="103"/>
      <c r="L276" s="103">
        <v>4.5400000000000003E-2</v>
      </c>
      <c r="O276" s="100"/>
    </row>
    <row r="277" spans="2:15" x14ac:dyDescent="0.2">
      <c r="B277" s="1">
        <v>262</v>
      </c>
      <c r="C277" s="101">
        <f t="shared" ca="1" si="16"/>
        <v>-6.9355877802840846E-2</v>
      </c>
      <c r="D277" s="101">
        <f t="shared" ca="1" si="17"/>
        <v>0.65997158452550397</v>
      </c>
      <c r="E277" s="101">
        <f t="shared" ca="1" si="18"/>
        <v>0</v>
      </c>
      <c r="F277" s="21">
        <f t="shared" ca="1" si="19"/>
        <v>0</v>
      </c>
      <c r="H277" s="21">
        <v>262</v>
      </c>
      <c r="I277" s="102">
        <v>0.66775106293998598</v>
      </c>
      <c r="J277" s="103">
        <v>1.3480141421365554E-3</v>
      </c>
      <c r="K277" s="103"/>
      <c r="L277" s="103">
        <v>4.1200000000000001E-2</v>
      </c>
      <c r="O277" s="100"/>
    </row>
    <row r="278" spans="2:15" x14ac:dyDescent="0.2">
      <c r="B278" s="1">
        <v>263</v>
      </c>
      <c r="C278" s="101">
        <f t="shared" ca="1" si="16"/>
        <v>0.44504542504666439</v>
      </c>
      <c r="D278" s="101">
        <f t="shared" ca="1" si="17"/>
        <v>0.69432351153044181</v>
      </c>
      <c r="E278" s="101">
        <f t="shared" ca="1" si="18"/>
        <v>0</v>
      </c>
      <c r="F278" s="21">
        <f t="shared" ca="1" si="19"/>
        <v>0</v>
      </c>
      <c r="H278" s="21">
        <v>263</v>
      </c>
      <c r="I278" s="102">
        <v>0.6677110371788928</v>
      </c>
      <c r="J278" s="103">
        <v>1.3471712746287239E-3</v>
      </c>
      <c r="K278" s="103"/>
      <c r="L278" s="103">
        <v>4.02E-2</v>
      </c>
      <c r="O278" s="100"/>
    </row>
    <row r="279" spans="2:15" x14ac:dyDescent="0.2">
      <c r="B279" s="1">
        <v>264</v>
      </c>
      <c r="C279" s="101">
        <f t="shared" ca="1" si="16"/>
        <v>1.2350509234644436</v>
      </c>
      <c r="D279" s="101">
        <f t="shared" ca="1" si="17"/>
        <v>0.75059422780232676</v>
      </c>
      <c r="E279" s="101">
        <f t="shared" ca="1" si="18"/>
        <v>0</v>
      </c>
      <c r="F279" s="21">
        <f t="shared" ca="1" si="19"/>
        <v>0</v>
      </c>
      <c r="H279" s="21">
        <v>264</v>
      </c>
      <c r="I279" s="102">
        <v>0.66762797375853966</v>
      </c>
      <c r="J279" s="103">
        <v>1.3454277638340433E-3</v>
      </c>
      <c r="K279" s="103"/>
      <c r="L279" s="103">
        <v>3.9199999999999999E-2</v>
      </c>
      <c r="O279" s="100"/>
    </row>
    <row r="280" spans="2:15" x14ac:dyDescent="0.2">
      <c r="B280" s="1">
        <v>265</v>
      </c>
      <c r="C280" s="101">
        <f t="shared" ca="1" si="16"/>
        <v>0.19417752176614889</v>
      </c>
      <c r="D280" s="101">
        <f t="shared" ca="1" si="17"/>
        <v>0.67735266756860446</v>
      </c>
      <c r="E280" s="101">
        <f t="shared" ca="1" si="18"/>
        <v>0</v>
      </c>
      <c r="F280" s="21">
        <f t="shared" ca="1" si="19"/>
        <v>0</v>
      </c>
      <c r="H280" s="21">
        <v>265</v>
      </c>
      <c r="I280" s="102">
        <v>0.66758756180659928</v>
      </c>
      <c r="J280" s="103">
        <v>1.1447684567265305E-3</v>
      </c>
      <c r="K280" s="103"/>
      <c r="L280" s="103">
        <v>3.8399999999999997E-2</v>
      </c>
      <c r="O280" s="100"/>
    </row>
    <row r="281" spans="2:15" x14ac:dyDescent="0.2">
      <c r="B281" s="1">
        <v>266</v>
      </c>
      <c r="C281" s="101">
        <f t="shared" ca="1" si="16"/>
        <v>1.0135544662729241</v>
      </c>
      <c r="D281" s="101">
        <f t="shared" ca="1" si="17"/>
        <v>0.73437257292214531</v>
      </c>
      <c r="E281" s="101">
        <f t="shared" ca="1" si="18"/>
        <v>0</v>
      </c>
      <c r="F281" s="21">
        <f t="shared" ca="1" si="19"/>
        <v>0</v>
      </c>
      <c r="H281" s="21">
        <v>266</v>
      </c>
      <c r="I281" s="102">
        <v>0.66772123160159547</v>
      </c>
      <c r="J281" s="103">
        <v>1.2696438079425696E-3</v>
      </c>
      <c r="K281" s="103"/>
      <c r="L281" s="103">
        <v>4.24E-2</v>
      </c>
      <c r="O281" s="100"/>
    </row>
    <row r="282" spans="2:15" x14ac:dyDescent="0.2">
      <c r="B282" s="1">
        <v>267</v>
      </c>
      <c r="C282" s="101">
        <f t="shared" ca="1" si="16"/>
        <v>0.34928580540549869</v>
      </c>
      <c r="D282" s="101">
        <f t="shared" ca="1" si="17"/>
        <v>0.68779590966480797</v>
      </c>
      <c r="E282" s="101">
        <f t="shared" ca="1" si="18"/>
        <v>0</v>
      </c>
      <c r="F282" s="21">
        <f t="shared" ca="1" si="19"/>
        <v>0</v>
      </c>
      <c r="H282" s="21">
        <v>267</v>
      </c>
      <c r="I282" s="102">
        <v>0.66779615006376758</v>
      </c>
      <c r="J282" s="103">
        <v>1.4165053286443025E-3</v>
      </c>
      <c r="K282" s="103"/>
      <c r="L282" s="103">
        <v>4.2200000000000001E-2</v>
      </c>
      <c r="O282" s="100"/>
    </row>
    <row r="283" spans="2:15" x14ac:dyDescent="0.2">
      <c r="B283" s="1">
        <v>268</v>
      </c>
      <c r="C283" s="101">
        <f t="shared" ca="1" si="16"/>
        <v>0.19342776956553659</v>
      </c>
      <c r="D283" s="101">
        <f t="shared" ca="1" si="17"/>
        <v>0.67730257475382538</v>
      </c>
      <c r="E283" s="101">
        <f t="shared" ca="1" si="18"/>
        <v>0</v>
      </c>
      <c r="F283" s="21">
        <f t="shared" ca="1" si="19"/>
        <v>0</v>
      </c>
      <c r="H283" s="21">
        <v>268</v>
      </c>
      <c r="I283" s="102">
        <v>0.66756761407781218</v>
      </c>
      <c r="J283" s="103">
        <v>1.1932506409938397E-3</v>
      </c>
      <c r="K283" s="103"/>
      <c r="L283" s="103">
        <v>3.6999999999999998E-2</v>
      </c>
      <c r="O283" s="100"/>
    </row>
    <row r="284" spans="2:15" x14ac:dyDescent="0.2">
      <c r="B284" s="1">
        <v>269</v>
      </c>
      <c r="C284" s="101">
        <f t="shared" ca="1" si="16"/>
        <v>-3.7275581569576797E-3</v>
      </c>
      <c r="D284" s="101">
        <f t="shared" ca="1" si="17"/>
        <v>0.6642578781594275</v>
      </c>
      <c r="E284" s="101">
        <f t="shared" ca="1" si="18"/>
        <v>0</v>
      </c>
      <c r="F284" s="21">
        <f t="shared" ca="1" si="19"/>
        <v>0</v>
      </c>
      <c r="H284" s="21">
        <v>269</v>
      </c>
      <c r="I284" s="102">
        <v>0.66784035106342643</v>
      </c>
      <c r="J284" s="103">
        <v>1.7654515048047309E-3</v>
      </c>
      <c r="K284" s="103"/>
      <c r="L284" s="103">
        <v>4.4600000000000001E-2</v>
      </c>
      <c r="O284" s="100"/>
    </row>
    <row r="285" spans="2:15" x14ac:dyDescent="0.2">
      <c r="B285" s="1">
        <v>270</v>
      </c>
      <c r="C285" s="101">
        <f t="shared" ca="1" si="16"/>
        <v>1.0671237807022989</v>
      </c>
      <c r="D285" s="101">
        <f t="shared" ca="1" si="17"/>
        <v>0.73826337716812152</v>
      </c>
      <c r="E285" s="101">
        <f t="shared" ca="1" si="18"/>
        <v>0</v>
      </c>
      <c r="F285" s="21">
        <f t="shared" ca="1" si="19"/>
        <v>0</v>
      </c>
      <c r="H285" s="21">
        <v>270</v>
      </c>
      <c r="I285" s="102">
        <v>0.66761231200871296</v>
      </c>
      <c r="J285" s="103">
        <v>1.222206259138164E-3</v>
      </c>
      <c r="K285" s="103"/>
      <c r="L285" s="103">
        <v>3.6600000000000001E-2</v>
      </c>
      <c r="O285" s="100"/>
    </row>
    <row r="286" spans="2:15" x14ac:dyDescent="0.2">
      <c r="B286" s="1">
        <v>271</v>
      </c>
      <c r="C286" s="101">
        <f t="shared" ca="1" si="16"/>
        <v>0.59366704930333902</v>
      </c>
      <c r="D286" s="101">
        <f t="shared" ca="1" si="17"/>
        <v>0.70457743553251428</v>
      </c>
      <c r="E286" s="101">
        <f t="shared" ca="1" si="18"/>
        <v>0</v>
      </c>
      <c r="F286" s="21">
        <f t="shared" ca="1" si="19"/>
        <v>0</v>
      </c>
      <c r="H286" s="21">
        <v>271</v>
      </c>
      <c r="I286" s="102">
        <v>0.66762376975483362</v>
      </c>
      <c r="J286" s="103">
        <v>1.2168691608245635E-3</v>
      </c>
      <c r="K286" s="103"/>
      <c r="L286" s="103">
        <v>3.6600000000000001E-2</v>
      </c>
      <c r="O286" s="100"/>
    </row>
    <row r="287" spans="2:15" x14ac:dyDescent="0.2">
      <c r="B287" s="1">
        <v>272</v>
      </c>
      <c r="C287" s="101">
        <f t="shared" ca="1" si="16"/>
        <v>1.498305788296564</v>
      </c>
      <c r="D287" s="101">
        <f t="shared" ca="1" si="17"/>
        <v>0.77034079315038873</v>
      </c>
      <c r="E287" s="101">
        <f t="shared" ca="1" si="18"/>
        <v>0</v>
      </c>
      <c r="F287" s="21">
        <f t="shared" ca="1" si="19"/>
        <v>0</v>
      </c>
      <c r="H287" s="21">
        <v>272</v>
      </c>
      <c r="I287" s="102">
        <v>0.66774567177462973</v>
      </c>
      <c r="J287" s="103">
        <v>1.3844513830008137E-3</v>
      </c>
      <c r="K287" s="103"/>
      <c r="L287" s="103">
        <v>4.0599999999999997E-2</v>
      </c>
      <c r="O287" s="100"/>
    </row>
    <row r="288" spans="2:15" x14ac:dyDescent="0.2">
      <c r="B288" s="1">
        <v>273</v>
      </c>
      <c r="C288" s="101">
        <f t="shared" ca="1" si="16"/>
        <v>1.2610610740455701</v>
      </c>
      <c r="D288" s="101">
        <f t="shared" ca="1" si="17"/>
        <v>0.75252248178017145</v>
      </c>
      <c r="E288" s="101">
        <f t="shared" ca="1" si="18"/>
        <v>0</v>
      </c>
      <c r="F288" s="21">
        <f t="shared" ca="1" si="19"/>
        <v>0</v>
      </c>
      <c r="H288" s="21">
        <v>273</v>
      </c>
      <c r="I288" s="102">
        <v>0.66779062272170331</v>
      </c>
      <c r="J288" s="103">
        <v>1.5775048377457529E-3</v>
      </c>
      <c r="K288" s="103"/>
      <c r="L288" s="103">
        <v>4.4999999999999998E-2</v>
      </c>
      <c r="O288" s="100"/>
    </row>
    <row r="289" spans="2:15" x14ac:dyDescent="0.2">
      <c r="B289" s="1">
        <v>274</v>
      </c>
      <c r="C289" s="101">
        <f t="shared" ca="1" si="16"/>
        <v>6.3483641367655885E-2</v>
      </c>
      <c r="D289" s="101">
        <f t="shared" ca="1" si="17"/>
        <v>0.66867640705499398</v>
      </c>
      <c r="E289" s="101">
        <f t="shared" ca="1" si="18"/>
        <v>0</v>
      </c>
      <c r="F289" s="21">
        <f t="shared" ca="1" si="19"/>
        <v>0</v>
      </c>
      <c r="H289" s="21">
        <v>274</v>
      </c>
      <c r="I289" s="102">
        <v>0.66768654679868955</v>
      </c>
      <c r="J289" s="103">
        <v>1.2826282402325791E-3</v>
      </c>
      <c r="K289" s="103"/>
      <c r="L289" s="103">
        <v>3.6799999999999999E-2</v>
      </c>
      <c r="O289" s="100"/>
    </row>
    <row r="290" spans="2:15" x14ac:dyDescent="0.2">
      <c r="B290" s="1">
        <v>275</v>
      </c>
      <c r="C290" s="101">
        <f t="shared" ca="1" si="16"/>
        <v>-0.81677650776121036</v>
      </c>
      <c r="D290" s="101">
        <f t="shared" ca="1" si="17"/>
        <v>0.61306454160926616</v>
      </c>
      <c r="E290" s="101">
        <f t="shared" ca="1" si="18"/>
        <v>0</v>
      </c>
      <c r="F290" s="21">
        <f t="shared" ca="1" si="19"/>
        <v>0</v>
      </c>
      <c r="H290" s="21">
        <v>275</v>
      </c>
      <c r="I290" s="102">
        <v>0.66773718625605194</v>
      </c>
      <c r="J290" s="103">
        <v>1.3299082257355473E-3</v>
      </c>
      <c r="K290" s="103"/>
      <c r="L290" s="103">
        <v>4.0399999999999998E-2</v>
      </c>
      <c r="O290" s="100"/>
    </row>
    <row r="291" spans="2:15" x14ac:dyDescent="0.2">
      <c r="B291" s="1">
        <v>276</v>
      </c>
      <c r="C291" s="101">
        <f t="shared" ca="1" si="16"/>
        <v>1.1907255450306098</v>
      </c>
      <c r="D291" s="101">
        <f t="shared" ca="1" si="17"/>
        <v>0.74731955824017449</v>
      </c>
      <c r="E291" s="101">
        <f t="shared" ca="1" si="18"/>
        <v>0</v>
      </c>
      <c r="F291" s="21">
        <f t="shared" ca="1" si="19"/>
        <v>0</v>
      </c>
      <c r="H291" s="21">
        <v>276</v>
      </c>
      <c r="I291" s="102">
        <v>0.66762278362719707</v>
      </c>
      <c r="J291" s="103">
        <v>1.2405997117966787E-3</v>
      </c>
      <c r="K291" s="103"/>
      <c r="L291" s="103">
        <v>3.9600000000000003E-2</v>
      </c>
      <c r="O291" s="100"/>
    </row>
    <row r="292" spans="2:15" x14ac:dyDescent="0.2">
      <c r="B292" s="1">
        <v>277</v>
      </c>
      <c r="C292" s="101">
        <f t="shared" ca="1" si="16"/>
        <v>1.1794897946877239</v>
      </c>
      <c r="D292" s="101">
        <f t="shared" ca="1" si="17"/>
        <v>0.74649175583167493</v>
      </c>
      <c r="E292" s="101">
        <f t="shared" ca="1" si="18"/>
        <v>0</v>
      </c>
      <c r="F292" s="21">
        <f t="shared" ca="1" si="19"/>
        <v>0</v>
      </c>
      <c r="H292" s="21">
        <v>277</v>
      </c>
      <c r="I292" s="102">
        <v>0.66770625272812245</v>
      </c>
      <c r="J292" s="103">
        <v>1.2862723915215209E-3</v>
      </c>
      <c r="K292" s="103"/>
      <c r="L292" s="103">
        <v>3.9199999999999999E-2</v>
      </c>
      <c r="O292" s="100"/>
    </row>
    <row r="293" spans="2:15" x14ac:dyDescent="0.2">
      <c r="B293" s="1">
        <v>278</v>
      </c>
      <c r="C293" s="101">
        <f t="shared" ca="1" si="16"/>
        <v>0.38071494220325597</v>
      </c>
      <c r="D293" s="101">
        <f t="shared" ca="1" si="17"/>
        <v>0.68993153133505147</v>
      </c>
      <c r="E293" s="101">
        <f t="shared" ca="1" si="18"/>
        <v>0</v>
      </c>
      <c r="F293" s="21">
        <f t="shared" ca="1" si="19"/>
        <v>0</v>
      </c>
      <c r="H293" s="21">
        <v>278</v>
      </c>
      <c r="I293" s="102">
        <v>0.6678061239627151</v>
      </c>
      <c r="J293" s="103">
        <v>1.4967413440472909E-3</v>
      </c>
      <c r="K293" s="103"/>
      <c r="L293" s="103">
        <v>4.3400000000000001E-2</v>
      </c>
      <c r="O293" s="100"/>
    </row>
    <row r="294" spans="2:15" x14ac:dyDescent="0.2">
      <c r="B294" s="1">
        <v>279</v>
      </c>
      <c r="C294" s="101">
        <f t="shared" ca="1" si="16"/>
        <v>-0.16724087854500871</v>
      </c>
      <c r="D294" s="101">
        <f t="shared" ca="1" si="17"/>
        <v>0.65362989017273065</v>
      </c>
      <c r="E294" s="101">
        <f t="shared" ca="1" si="18"/>
        <v>0</v>
      </c>
      <c r="F294" s="21">
        <f t="shared" ca="1" si="19"/>
        <v>0</v>
      </c>
      <c r="H294" s="21">
        <v>279</v>
      </c>
      <c r="I294" s="102">
        <v>0.66779858345630361</v>
      </c>
      <c r="J294" s="103">
        <v>1.4875256350553798E-3</v>
      </c>
      <c r="K294" s="103"/>
      <c r="L294" s="103">
        <v>4.1200000000000001E-2</v>
      </c>
      <c r="O294" s="100"/>
    </row>
    <row r="295" spans="2:15" x14ac:dyDescent="0.2">
      <c r="B295" s="1">
        <v>280</v>
      </c>
      <c r="C295" s="101">
        <f t="shared" ca="1" si="16"/>
        <v>-0.70449703572227973</v>
      </c>
      <c r="D295" s="101">
        <f t="shared" ca="1" si="17"/>
        <v>0.61989221396272665</v>
      </c>
      <c r="E295" s="101">
        <f t="shared" ca="1" si="18"/>
        <v>0</v>
      </c>
      <c r="F295" s="21">
        <f t="shared" ca="1" si="19"/>
        <v>0</v>
      </c>
      <c r="H295" s="21">
        <v>280</v>
      </c>
      <c r="I295" s="102">
        <v>0.66784485492664158</v>
      </c>
      <c r="J295" s="103">
        <v>1.3771899964758398E-3</v>
      </c>
      <c r="K295" s="103"/>
      <c r="L295" s="103">
        <v>4.5999999999999999E-2</v>
      </c>
      <c r="O295" s="100"/>
    </row>
    <row r="296" spans="2:15" x14ac:dyDescent="0.2">
      <c r="B296" s="1">
        <v>281</v>
      </c>
      <c r="C296" s="101">
        <f t="shared" ca="1" si="16"/>
        <v>-1.7967584252551716</v>
      </c>
      <c r="D296" s="101">
        <f t="shared" ca="1" si="17"/>
        <v>0.55657587405020892</v>
      </c>
      <c r="E296" s="101">
        <f t="shared" ca="1" si="18"/>
        <v>0</v>
      </c>
      <c r="F296" s="21">
        <f t="shared" ca="1" si="19"/>
        <v>0</v>
      </c>
      <c r="H296" s="21">
        <v>281</v>
      </c>
      <c r="I296" s="102">
        <v>0.66771951867278589</v>
      </c>
      <c r="J296" s="103">
        <v>1.2399256843377744E-3</v>
      </c>
      <c r="K296" s="103"/>
      <c r="L296" s="103">
        <v>3.9399999999999998E-2</v>
      </c>
      <c r="O296" s="100"/>
    </row>
    <row r="297" spans="2:15" x14ac:dyDescent="0.2">
      <c r="B297" s="1">
        <v>282</v>
      </c>
      <c r="C297" s="101">
        <f t="shared" ca="1" si="16"/>
        <v>1.9638668514038762</v>
      </c>
      <c r="D297" s="101">
        <f t="shared" ca="1" si="17"/>
        <v>0.80654247815587488</v>
      </c>
      <c r="E297" s="101">
        <f t="shared" ca="1" si="18"/>
        <v>1.8342478155874864E-2</v>
      </c>
      <c r="F297" s="21">
        <f t="shared" ca="1" si="19"/>
        <v>1</v>
      </c>
      <c r="H297" s="21">
        <v>282</v>
      </c>
      <c r="I297" s="102">
        <v>0.66762371702394308</v>
      </c>
      <c r="J297" s="103">
        <v>1.1825954772481911E-3</v>
      </c>
      <c r="K297" s="103"/>
      <c r="L297" s="103">
        <v>4.0399999999999998E-2</v>
      </c>
      <c r="O297" s="100"/>
    </row>
    <row r="298" spans="2:15" x14ac:dyDescent="0.2">
      <c r="B298" s="1">
        <v>283</v>
      </c>
      <c r="C298" s="101">
        <f t="shared" ca="1" si="16"/>
        <v>0.32252087224336246</v>
      </c>
      <c r="D298" s="101">
        <f t="shared" ca="1" si="17"/>
        <v>0.68598243504397605</v>
      </c>
      <c r="E298" s="101">
        <f t="shared" ca="1" si="18"/>
        <v>0</v>
      </c>
      <c r="F298" s="21">
        <f t="shared" ca="1" si="19"/>
        <v>0</v>
      </c>
      <c r="H298" s="21">
        <v>283</v>
      </c>
      <c r="I298" s="102">
        <v>0.66782709362056591</v>
      </c>
      <c r="J298" s="103">
        <v>1.4525688977627238E-3</v>
      </c>
      <c r="K298" s="103"/>
      <c r="L298" s="103">
        <v>4.4999999999999998E-2</v>
      </c>
      <c r="O298" s="100"/>
    </row>
    <row r="299" spans="2:15" x14ac:dyDescent="0.2">
      <c r="B299" s="1">
        <v>284</v>
      </c>
      <c r="C299" s="101">
        <f t="shared" ca="1" si="16"/>
        <v>-1.2148717841828276</v>
      </c>
      <c r="D299" s="101">
        <f t="shared" ca="1" si="17"/>
        <v>0.58945688122915152</v>
      </c>
      <c r="E299" s="101">
        <f t="shared" ca="1" si="18"/>
        <v>0</v>
      </c>
      <c r="F299" s="21">
        <f t="shared" ca="1" si="19"/>
        <v>0</v>
      </c>
      <c r="H299" s="21">
        <v>284</v>
      </c>
      <c r="I299" s="102">
        <v>0.66787324773860168</v>
      </c>
      <c r="J299" s="103">
        <v>1.4869747255418383E-3</v>
      </c>
      <c r="K299" s="103"/>
      <c r="L299" s="103">
        <v>4.5199999999999997E-2</v>
      </c>
      <c r="O299" s="100"/>
    </row>
    <row r="300" spans="2:15" x14ac:dyDescent="0.2">
      <c r="B300" s="1">
        <v>285</v>
      </c>
      <c r="C300" s="101">
        <f t="shared" ca="1" si="16"/>
        <v>0.42225589677837577</v>
      </c>
      <c r="D300" s="101">
        <f t="shared" ca="1" si="17"/>
        <v>0.69276443277103272</v>
      </c>
      <c r="E300" s="101">
        <f t="shared" ca="1" si="18"/>
        <v>0</v>
      </c>
      <c r="F300" s="21">
        <f t="shared" ca="1" si="19"/>
        <v>0</v>
      </c>
      <c r="H300" s="21">
        <v>285</v>
      </c>
      <c r="I300" s="102">
        <v>0.66767641371314879</v>
      </c>
      <c r="J300" s="103">
        <v>1.2491391814706348E-3</v>
      </c>
      <c r="K300" s="103"/>
      <c r="L300" s="103">
        <v>3.9399999999999998E-2</v>
      </c>
      <c r="O300" s="100"/>
    </row>
    <row r="301" spans="2:15" x14ac:dyDescent="0.2">
      <c r="B301" s="1">
        <v>286</v>
      </c>
      <c r="C301" s="101">
        <f t="shared" ca="1" si="16"/>
        <v>1.1172260679731909</v>
      </c>
      <c r="D301" s="101">
        <f t="shared" ca="1" si="17"/>
        <v>0.74192102085506362</v>
      </c>
      <c r="E301" s="101">
        <f t="shared" ca="1" si="18"/>
        <v>0</v>
      </c>
      <c r="F301" s="21">
        <f t="shared" ca="1" si="19"/>
        <v>0</v>
      </c>
      <c r="H301" s="21">
        <v>286</v>
      </c>
      <c r="I301" s="102">
        <v>0.66757979708996384</v>
      </c>
      <c r="J301" s="103">
        <v>1.1941042201965813E-3</v>
      </c>
      <c r="K301" s="103"/>
      <c r="L301" s="103">
        <v>3.7199999999999997E-2</v>
      </c>
      <c r="O301" s="100"/>
    </row>
    <row r="302" spans="2:15" x14ac:dyDescent="0.2">
      <c r="B302" s="1">
        <v>287</v>
      </c>
      <c r="C302" s="101">
        <f t="shared" ca="1" si="16"/>
        <v>0.87271703568110504</v>
      </c>
      <c r="D302" s="101">
        <f t="shared" ca="1" si="17"/>
        <v>0.72424092147410635</v>
      </c>
      <c r="E302" s="101">
        <f t="shared" ca="1" si="18"/>
        <v>0</v>
      </c>
      <c r="F302" s="21">
        <f t="shared" ca="1" si="19"/>
        <v>0</v>
      </c>
      <c r="H302" s="21">
        <v>287</v>
      </c>
      <c r="I302" s="102">
        <v>0.66764761406661977</v>
      </c>
      <c r="J302" s="103">
        <v>1.1599928970183343E-3</v>
      </c>
      <c r="K302" s="103"/>
      <c r="L302" s="103">
        <v>3.7999999999999999E-2</v>
      </c>
      <c r="O302" s="100"/>
    </row>
    <row r="303" spans="2:15" x14ac:dyDescent="0.2">
      <c r="B303" s="1">
        <v>288</v>
      </c>
      <c r="C303" s="101">
        <f t="shared" ca="1" si="16"/>
        <v>-0.4534834605688628</v>
      </c>
      <c r="D303" s="101">
        <f t="shared" ca="1" si="17"/>
        <v>0.63543253616057827</v>
      </c>
      <c r="E303" s="101">
        <f t="shared" ca="1" si="18"/>
        <v>0</v>
      </c>
      <c r="F303" s="21">
        <f t="shared" ca="1" si="19"/>
        <v>0</v>
      </c>
      <c r="H303" s="21">
        <v>288</v>
      </c>
      <c r="I303" s="102">
        <v>0.66774461338043178</v>
      </c>
      <c r="J303" s="103">
        <v>1.410748232029762E-3</v>
      </c>
      <c r="K303" s="103"/>
      <c r="L303" s="103">
        <v>4.1399999999999999E-2</v>
      </c>
      <c r="O303" s="100"/>
    </row>
    <row r="304" spans="2:15" x14ac:dyDescent="0.2">
      <c r="B304" s="1">
        <v>289</v>
      </c>
      <c r="C304" s="101">
        <f t="shared" ca="1" si="16"/>
        <v>-2.1153349743000636</v>
      </c>
      <c r="D304" s="101">
        <f t="shared" ca="1" si="17"/>
        <v>0.53935753960180532</v>
      </c>
      <c r="E304" s="101">
        <f t="shared" ca="1" si="18"/>
        <v>0</v>
      </c>
      <c r="F304" s="21">
        <f t="shared" ca="1" si="19"/>
        <v>0</v>
      </c>
      <c r="H304" s="21">
        <v>289</v>
      </c>
      <c r="I304" s="102">
        <v>0.6678359901930494</v>
      </c>
      <c r="J304" s="103">
        <v>1.5765409796802813E-3</v>
      </c>
      <c r="K304" s="103"/>
      <c r="L304" s="103">
        <v>4.2000000000000003E-2</v>
      </c>
      <c r="O304" s="100"/>
    </row>
    <row r="305" spans="2:15" x14ac:dyDescent="0.2">
      <c r="B305" s="1">
        <v>290</v>
      </c>
      <c r="C305" s="101">
        <f t="shared" ca="1" si="16"/>
        <v>1.7837425883937257</v>
      </c>
      <c r="D305" s="101">
        <f t="shared" ca="1" si="17"/>
        <v>0.79233863495901491</v>
      </c>
      <c r="E305" s="101">
        <f t="shared" ca="1" si="18"/>
        <v>4.1386349590148974E-3</v>
      </c>
      <c r="F305" s="21">
        <f t="shared" ca="1" si="19"/>
        <v>1</v>
      </c>
      <c r="H305" s="21">
        <v>290</v>
      </c>
      <c r="I305" s="102">
        <v>0.66761313846498083</v>
      </c>
      <c r="J305" s="103">
        <v>1.2718045232259813E-3</v>
      </c>
      <c r="K305" s="103"/>
      <c r="L305" s="103">
        <v>3.8600000000000002E-2</v>
      </c>
      <c r="O305" s="100"/>
    </row>
    <row r="306" spans="2:15" x14ac:dyDescent="0.2">
      <c r="B306" s="1">
        <v>291</v>
      </c>
      <c r="C306" s="101">
        <f t="shared" ca="1" si="16"/>
        <v>0.22165313483498147</v>
      </c>
      <c r="D306" s="101">
        <f t="shared" ca="1" si="17"/>
        <v>0.67919093964366573</v>
      </c>
      <c r="E306" s="101">
        <f t="shared" ca="1" si="18"/>
        <v>0</v>
      </c>
      <c r="F306" s="21">
        <f t="shared" ca="1" si="19"/>
        <v>0</v>
      </c>
      <c r="H306" s="21">
        <v>291</v>
      </c>
      <c r="I306" s="102">
        <v>0.66783821244340913</v>
      </c>
      <c r="J306" s="103">
        <v>1.4108476363420251E-3</v>
      </c>
      <c r="K306" s="103"/>
      <c r="L306" s="103">
        <v>4.4600000000000001E-2</v>
      </c>
      <c r="O306" s="100"/>
    </row>
    <row r="307" spans="2:15" x14ac:dyDescent="0.2">
      <c r="B307" s="1">
        <v>292</v>
      </c>
      <c r="C307" s="101">
        <f t="shared" ca="1" si="16"/>
        <v>1.5251329352903287</v>
      </c>
      <c r="D307" s="101">
        <f t="shared" ca="1" si="17"/>
        <v>0.77238201891723268</v>
      </c>
      <c r="E307" s="101">
        <f t="shared" ca="1" si="18"/>
        <v>0</v>
      </c>
      <c r="F307" s="21">
        <f t="shared" ca="1" si="19"/>
        <v>0</v>
      </c>
      <c r="H307" s="21">
        <v>292</v>
      </c>
      <c r="I307" s="102">
        <v>0.66775844929781214</v>
      </c>
      <c r="J307" s="103">
        <v>1.4550533484585582E-3</v>
      </c>
      <c r="K307" s="103"/>
      <c r="L307" s="103">
        <v>4.3200000000000002E-2</v>
      </c>
      <c r="O307" s="100"/>
    </row>
    <row r="308" spans="2:15" x14ac:dyDescent="0.2">
      <c r="B308" s="1">
        <v>293</v>
      </c>
      <c r="C308" s="101">
        <f t="shared" ca="1" si="16"/>
        <v>0.5957407133152024</v>
      </c>
      <c r="D308" s="101">
        <f t="shared" ca="1" si="17"/>
        <v>0.70472157086021581</v>
      </c>
      <c r="E308" s="101">
        <f t="shared" ca="1" si="18"/>
        <v>0</v>
      </c>
      <c r="F308" s="21">
        <f t="shared" ca="1" si="19"/>
        <v>0</v>
      </c>
      <c r="H308" s="21">
        <v>293</v>
      </c>
      <c r="I308" s="102">
        <v>0.66781879607741257</v>
      </c>
      <c r="J308" s="103">
        <v>1.4121206690385871E-3</v>
      </c>
      <c r="K308" s="103"/>
      <c r="L308" s="103">
        <v>4.2000000000000003E-2</v>
      </c>
      <c r="O308" s="100"/>
    </row>
    <row r="309" spans="2:15" x14ac:dyDescent="0.2">
      <c r="B309" s="1">
        <v>294</v>
      </c>
      <c r="C309" s="101">
        <f t="shared" ca="1" si="16"/>
        <v>0.4782854813904196</v>
      </c>
      <c r="D309" s="101">
        <f t="shared" ca="1" si="17"/>
        <v>0.6966038258266849</v>
      </c>
      <c r="E309" s="101">
        <f t="shared" ca="1" si="18"/>
        <v>0</v>
      </c>
      <c r="F309" s="21">
        <f t="shared" ca="1" si="19"/>
        <v>0</v>
      </c>
      <c r="H309" s="21">
        <v>294</v>
      </c>
      <c r="I309" s="102">
        <v>0.66789712844186289</v>
      </c>
      <c r="J309" s="103">
        <v>1.5087446392284024E-3</v>
      </c>
      <c r="K309" s="103"/>
      <c r="L309" s="103">
        <v>4.6199999999999998E-2</v>
      </c>
      <c r="O309" s="100"/>
    </row>
    <row r="310" spans="2:15" x14ac:dyDescent="0.2">
      <c r="B310" s="1">
        <v>295</v>
      </c>
      <c r="C310" s="101">
        <f t="shared" ca="1" si="16"/>
        <v>-0.74493877434146427</v>
      </c>
      <c r="D310" s="101">
        <f t="shared" ca="1" si="17"/>
        <v>0.61742424929139461</v>
      </c>
      <c r="E310" s="101">
        <f t="shared" ca="1" si="18"/>
        <v>0</v>
      </c>
      <c r="F310" s="21">
        <f t="shared" ca="1" si="19"/>
        <v>0</v>
      </c>
      <c r="H310" s="21">
        <v>295</v>
      </c>
      <c r="I310" s="102">
        <v>0.66761677769944672</v>
      </c>
      <c r="J310" s="103">
        <v>1.2541237345938137E-3</v>
      </c>
      <c r="K310" s="103"/>
      <c r="L310" s="103">
        <v>4.1399999999999999E-2</v>
      </c>
      <c r="O310" s="100"/>
    </row>
    <row r="311" spans="2:15" x14ac:dyDescent="0.2">
      <c r="B311" s="1">
        <v>296</v>
      </c>
      <c r="C311" s="101">
        <f t="shared" ca="1" si="16"/>
        <v>-2.4313346538325509</v>
      </c>
      <c r="D311" s="101">
        <f t="shared" ca="1" si="17"/>
        <v>0.52280474740894367</v>
      </c>
      <c r="E311" s="101">
        <f t="shared" ca="1" si="18"/>
        <v>0</v>
      </c>
      <c r="F311" s="21">
        <f t="shared" ca="1" si="19"/>
        <v>0</v>
      </c>
      <c r="H311" s="21">
        <v>296</v>
      </c>
      <c r="I311" s="102">
        <v>0.66770709057932842</v>
      </c>
      <c r="J311" s="103">
        <v>1.235709477392445E-3</v>
      </c>
      <c r="K311" s="103"/>
      <c r="L311" s="103">
        <v>4.0599999999999997E-2</v>
      </c>
      <c r="O311" s="100"/>
    </row>
    <row r="312" spans="2:15" x14ac:dyDescent="0.2">
      <c r="B312" s="1">
        <v>297</v>
      </c>
      <c r="C312" s="101">
        <f t="shared" ca="1" si="16"/>
        <v>1.540639855054541</v>
      </c>
      <c r="D312" s="101">
        <f t="shared" ca="1" si="17"/>
        <v>0.77356437636411279</v>
      </c>
      <c r="E312" s="101">
        <f t="shared" ca="1" si="18"/>
        <v>0</v>
      </c>
      <c r="F312" s="21">
        <f t="shared" ca="1" si="19"/>
        <v>0</v>
      </c>
      <c r="H312" s="21">
        <v>297</v>
      </c>
      <c r="I312" s="102">
        <v>0.66780846434661711</v>
      </c>
      <c r="J312" s="103">
        <v>1.4776497563390959E-3</v>
      </c>
      <c r="K312" s="103"/>
      <c r="L312" s="103">
        <v>4.2200000000000001E-2</v>
      </c>
      <c r="O312" s="100"/>
    </row>
    <row r="313" spans="2:15" x14ac:dyDescent="0.2">
      <c r="B313" s="1">
        <v>298</v>
      </c>
      <c r="C313" s="101">
        <f t="shared" ca="1" si="16"/>
        <v>0.98799540254234686</v>
      </c>
      <c r="D313" s="101">
        <f t="shared" ca="1" si="17"/>
        <v>0.7325234195325796</v>
      </c>
      <c r="E313" s="101">
        <f t="shared" ca="1" si="18"/>
        <v>0</v>
      </c>
      <c r="F313" s="21">
        <f t="shared" ca="1" si="19"/>
        <v>0</v>
      </c>
      <c r="H313" s="21">
        <v>298</v>
      </c>
      <c r="I313" s="102">
        <v>0.66759311393316134</v>
      </c>
      <c r="J313" s="103">
        <v>1.2417321931603499E-3</v>
      </c>
      <c r="K313" s="103"/>
      <c r="L313" s="103">
        <v>3.5000000000000003E-2</v>
      </c>
      <c r="O313" s="100"/>
    </row>
    <row r="314" spans="2:15" x14ac:dyDescent="0.2">
      <c r="B314" s="1">
        <v>299</v>
      </c>
      <c r="C314" s="101">
        <f t="shared" ca="1" si="16"/>
        <v>-0.17262830675142299</v>
      </c>
      <c r="D314" s="101">
        <f t="shared" ca="1" si="17"/>
        <v>0.65328262845551155</v>
      </c>
      <c r="E314" s="101">
        <f t="shared" ca="1" si="18"/>
        <v>0</v>
      </c>
      <c r="F314" s="21">
        <f t="shared" ca="1" si="19"/>
        <v>0</v>
      </c>
      <c r="H314" s="21">
        <v>299</v>
      </c>
      <c r="I314" s="102">
        <v>0.66766519923088008</v>
      </c>
      <c r="J314" s="103">
        <v>1.3615062490124174E-3</v>
      </c>
      <c r="K314" s="103"/>
      <c r="L314" s="103">
        <v>4.1799999999999997E-2</v>
      </c>
      <c r="O314" s="100"/>
    </row>
    <row r="315" spans="2:15" x14ac:dyDescent="0.2">
      <c r="B315" s="1">
        <v>300</v>
      </c>
      <c r="C315" s="101">
        <f t="shared" ca="1" si="16"/>
        <v>-0.10578188742125663</v>
      </c>
      <c r="D315" s="101">
        <f t="shared" ca="1" si="17"/>
        <v>0.65760448926724491</v>
      </c>
      <c r="E315" s="101">
        <f t="shared" ca="1" si="18"/>
        <v>0</v>
      </c>
      <c r="F315" s="21">
        <f t="shared" ca="1" si="19"/>
        <v>0</v>
      </c>
      <c r="H315" s="21">
        <v>300</v>
      </c>
      <c r="I315" s="102">
        <v>0.66776134708588919</v>
      </c>
      <c r="J315" s="103">
        <v>1.3915200288795132E-3</v>
      </c>
      <c r="K315" s="103"/>
      <c r="L315" s="103">
        <v>4.3999999999999997E-2</v>
      </c>
      <c r="O315" s="100"/>
    </row>
    <row r="316" spans="2:15" x14ac:dyDescent="0.2">
      <c r="B316" s="1">
        <v>301</v>
      </c>
      <c r="C316" s="101">
        <f t="shared" ca="1" si="16"/>
        <v>1.1187210213792382</v>
      </c>
      <c r="D316" s="101">
        <f t="shared" ca="1" si="17"/>
        <v>0.74203043570161664</v>
      </c>
      <c r="E316" s="101">
        <f t="shared" ca="1" si="18"/>
        <v>0</v>
      </c>
      <c r="F316" s="21">
        <f t="shared" ca="1" si="19"/>
        <v>0</v>
      </c>
      <c r="H316" s="21">
        <v>301</v>
      </c>
      <c r="I316" s="102">
        <v>0.66766883589738324</v>
      </c>
      <c r="J316" s="103">
        <v>1.2537583639425482E-3</v>
      </c>
      <c r="K316" s="103"/>
      <c r="L316" s="103">
        <v>3.9E-2</v>
      </c>
      <c r="O316" s="100"/>
    </row>
    <row r="317" spans="2:15" x14ac:dyDescent="0.2">
      <c r="B317" s="1">
        <v>302</v>
      </c>
      <c r="C317" s="101">
        <f t="shared" ca="1" si="16"/>
        <v>-0.27036447887294918</v>
      </c>
      <c r="D317" s="101">
        <f t="shared" ca="1" si="17"/>
        <v>0.64701470708761377</v>
      </c>
      <c r="E317" s="101">
        <f t="shared" ca="1" si="18"/>
        <v>0</v>
      </c>
      <c r="F317" s="21">
        <f t="shared" ca="1" si="19"/>
        <v>0</v>
      </c>
      <c r="H317" s="21">
        <v>302</v>
      </c>
      <c r="I317" s="102">
        <v>0.66760291679922912</v>
      </c>
      <c r="J317" s="103">
        <v>1.1550018443167948E-3</v>
      </c>
      <c r="K317" s="103"/>
      <c r="L317" s="103">
        <v>3.7400000000000003E-2</v>
      </c>
      <c r="O317" s="100"/>
    </row>
    <row r="318" spans="2:15" x14ac:dyDescent="0.2">
      <c r="B318" s="1">
        <v>303</v>
      </c>
      <c r="C318" s="101">
        <f t="shared" ca="1" si="16"/>
        <v>-0.51370924648876881</v>
      </c>
      <c r="D318" s="101">
        <f t="shared" ca="1" si="17"/>
        <v>0.63166878029010709</v>
      </c>
      <c r="E318" s="101">
        <f t="shared" ca="1" si="18"/>
        <v>0</v>
      </c>
      <c r="F318" s="21">
        <f t="shared" ca="1" si="19"/>
        <v>0</v>
      </c>
      <c r="H318" s="21">
        <v>303</v>
      </c>
      <c r="I318" s="102">
        <v>0.66761934991518002</v>
      </c>
      <c r="J318" s="103">
        <v>1.2499653130927442E-3</v>
      </c>
      <c r="K318" s="103"/>
      <c r="L318" s="103">
        <v>3.8199999999999998E-2</v>
      </c>
      <c r="O318" s="100"/>
    </row>
    <row r="319" spans="2:15" x14ac:dyDescent="0.2">
      <c r="B319" s="1">
        <v>304</v>
      </c>
      <c r="C319" s="101">
        <f t="shared" ca="1" si="16"/>
        <v>0.59674470519821221</v>
      </c>
      <c r="D319" s="101">
        <f t="shared" ca="1" si="17"/>
        <v>0.70479136648074259</v>
      </c>
      <c r="E319" s="101">
        <f t="shared" ca="1" si="18"/>
        <v>0</v>
      </c>
      <c r="F319" s="21">
        <f t="shared" ca="1" si="19"/>
        <v>0</v>
      </c>
      <c r="H319" s="21">
        <v>304</v>
      </c>
      <c r="I319" s="102">
        <v>0.66774604670663829</v>
      </c>
      <c r="J319" s="103">
        <v>1.3642303397720941E-3</v>
      </c>
      <c r="K319" s="103"/>
      <c r="L319" s="103">
        <v>4.2000000000000003E-2</v>
      </c>
      <c r="O319" s="100"/>
    </row>
    <row r="320" spans="2:15" x14ac:dyDescent="0.2">
      <c r="B320" s="1">
        <v>305</v>
      </c>
      <c r="C320" s="101">
        <f t="shared" ca="1" si="16"/>
        <v>-1.3941534489244396</v>
      </c>
      <c r="D320" s="101">
        <f t="shared" ca="1" si="17"/>
        <v>0.57912421691944849</v>
      </c>
      <c r="E320" s="101">
        <f t="shared" ca="1" si="18"/>
        <v>0</v>
      </c>
      <c r="F320" s="21">
        <f t="shared" ca="1" si="19"/>
        <v>0</v>
      </c>
      <c r="H320" s="21">
        <v>305</v>
      </c>
      <c r="I320" s="102">
        <v>0.66764178541714525</v>
      </c>
      <c r="J320" s="103">
        <v>1.2036494443567231E-3</v>
      </c>
      <c r="K320" s="103"/>
      <c r="L320" s="103">
        <v>3.9399999999999998E-2</v>
      </c>
      <c r="O320" s="100"/>
    </row>
    <row r="321" spans="2:15" x14ac:dyDescent="0.2">
      <c r="B321" s="1">
        <v>306</v>
      </c>
      <c r="C321" s="101">
        <f t="shared" ca="1" si="16"/>
        <v>-0.15023785155182415</v>
      </c>
      <c r="D321" s="101">
        <f t="shared" ca="1" si="17"/>
        <v>0.65472707880543579</v>
      </c>
      <c r="E321" s="101">
        <f t="shared" ca="1" si="18"/>
        <v>0</v>
      </c>
      <c r="F321" s="21">
        <f t="shared" ca="1" si="19"/>
        <v>0</v>
      </c>
      <c r="H321" s="21">
        <v>306</v>
      </c>
      <c r="I321" s="102">
        <v>0.66777765012557988</v>
      </c>
      <c r="J321" s="103">
        <v>1.4076791744044525E-3</v>
      </c>
      <c r="K321" s="103"/>
      <c r="L321" s="103">
        <v>4.4999999999999998E-2</v>
      </c>
      <c r="O321" s="100"/>
    </row>
    <row r="322" spans="2:15" x14ac:dyDescent="0.2">
      <c r="B322" s="1">
        <v>307</v>
      </c>
      <c r="C322" s="101">
        <f t="shared" ca="1" si="16"/>
        <v>-2.8514428930964713E-2</v>
      </c>
      <c r="D322" s="101">
        <f t="shared" ca="1" si="17"/>
        <v>0.66263574501490752</v>
      </c>
      <c r="E322" s="101">
        <f t="shared" ca="1" si="18"/>
        <v>0</v>
      </c>
      <c r="F322" s="21">
        <f t="shared" ca="1" si="19"/>
        <v>0</v>
      </c>
      <c r="H322" s="21">
        <v>307</v>
      </c>
      <c r="I322" s="102">
        <v>0.6677936731512063</v>
      </c>
      <c r="J322" s="103">
        <v>1.4057101665418306E-3</v>
      </c>
      <c r="K322" s="103"/>
      <c r="L322" s="103">
        <v>4.2999999999999997E-2</v>
      </c>
      <c r="O322" s="100"/>
    </row>
    <row r="323" spans="2:15" x14ac:dyDescent="0.2">
      <c r="B323" s="1">
        <v>308</v>
      </c>
      <c r="C323" s="101">
        <f t="shared" ca="1" si="16"/>
        <v>-1.495663357284239</v>
      </c>
      <c r="D323" s="101">
        <f t="shared" ca="1" si="17"/>
        <v>0.57335433977926542</v>
      </c>
      <c r="E323" s="101">
        <f t="shared" ca="1" si="18"/>
        <v>0</v>
      </c>
      <c r="F323" s="21">
        <f t="shared" ca="1" si="19"/>
        <v>0</v>
      </c>
      <c r="H323" s="21">
        <v>308</v>
      </c>
      <c r="I323" s="102">
        <v>0.66764968295381577</v>
      </c>
      <c r="J323" s="103">
        <v>1.3457994343393036E-3</v>
      </c>
      <c r="K323" s="103"/>
      <c r="L323" s="103">
        <v>3.78E-2</v>
      </c>
      <c r="O323" s="100"/>
    </row>
    <row r="324" spans="2:15" x14ac:dyDescent="0.2">
      <c r="B324" s="1">
        <v>309</v>
      </c>
      <c r="C324" s="101">
        <f t="shared" ca="1" si="16"/>
        <v>1.1574545835233934</v>
      </c>
      <c r="D324" s="101">
        <f t="shared" ca="1" si="17"/>
        <v>0.7448709565660433</v>
      </c>
      <c r="E324" s="101">
        <f t="shared" ca="1" si="18"/>
        <v>0</v>
      </c>
      <c r="F324" s="21">
        <f t="shared" ca="1" si="19"/>
        <v>0</v>
      </c>
      <c r="H324" s="21">
        <v>309</v>
      </c>
      <c r="I324" s="102">
        <v>0.66771914219742534</v>
      </c>
      <c r="J324" s="103">
        <v>1.2539354413767881E-3</v>
      </c>
      <c r="K324" s="103"/>
      <c r="L324" s="103">
        <v>4.1200000000000001E-2</v>
      </c>
      <c r="O324" s="100"/>
    </row>
    <row r="325" spans="2:15" x14ac:dyDescent="0.2">
      <c r="B325" s="1">
        <v>310</v>
      </c>
      <c r="C325" s="101">
        <f t="shared" ca="1" si="16"/>
        <v>-0.50519098326749268</v>
      </c>
      <c r="D325" s="101">
        <f t="shared" ca="1" si="17"/>
        <v>0.63219976478648343</v>
      </c>
      <c r="E325" s="101">
        <f t="shared" ca="1" si="18"/>
        <v>0</v>
      </c>
      <c r="F325" s="21">
        <f t="shared" ca="1" si="19"/>
        <v>0</v>
      </c>
      <c r="H325" s="21">
        <v>310</v>
      </c>
      <c r="I325" s="102">
        <v>0.66768693230025888</v>
      </c>
      <c r="J325" s="103">
        <v>1.4036797684508122E-3</v>
      </c>
      <c r="K325" s="103"/>
      <c r="L325" s="103">
        <v>4.2200000000000001E-2</v>
      </c>
      <c r="O325" s="100"/>
    </row>
    <row r="326" spans="2:15" x14ac:dyDescent="0.2">
      <c r="B326" s="1">
        <v>311</v>
      </c>
      <c r="C326" s="101">
        <f t="shared" ca="1" si="16"/>
        <v>1.046913683650575</v>
      </c>
      <c r="D326" s="101">
        <f t="shared" ca="1" si="17"/>
        <v>0.73679307769155478</v>
      </c>
      <c r="E326" s="101">
        <f t="shared" ca="1" si="18"/>
        <v>0</v>
      </c>
      <c r="F326" s="21">
        <f t="shared" ca="1" si="19"/>
        <v>0</v>
      </c>
      <c r="H326" s="21">
        <v>311</v>
      </c>
      <c r="I326" s="102">
        <v>0.66771357592567493</v>
      </c>
      <c r="J326" s="103">
        <v>1.2731039707748765E-3</v>
      </c>
      <c r="K326" s="103"/>
      <c r="L326" s="103">
        <v>4.2000000000000003E-2</v>
      </c>
      <c r="O326" s="100"/>
    </row>
    <row r="327" spans="2:15" x14ac:dyDescent="0.2">
      <c r="B327" s="1">
        <v>312</v>
      </c>
      <c r="C327" s="101">
        <f t="shared" ca="1" si="16"/>
        <v>-0.56999335704498644</v>
      </c>
      <c r="D327" s="101">
        <f t="shared" ca="1" si="17"/>
        <v>0.62817151087087142</v>
      </c>
      <c r="E327" s="101">
        <f t="shared" ca="1" si="18"/>
        <v>0</v>
      </c>
      <c r="F327" s="21">
        <f t="shared" ca="1" si="19"/>
        <v>0</v>
      </c>
      <c r="H327" s="21">
        <v>312</v>
      </c>
      <c r="I327" s="102">
        <v>0.66786731540586108</v>
      </c>
      <c r="J327" s="103">
        <v>1.6315569127159269E-3</v>
      </c>
      <c r="K327" s="103"/>
      <c r="L327" s="103">
        <v>4.4600000000000001E-2</v>
      </c>
      <c r="O327" s="100"/>
    </row>
    <row r="328" spans="2:15" x14ac:dyDescent="0.2">
      <c r="B328" s="1">
        <v>313</v>
      </c>
      <c r="C328" s="101">
        <f t="shared" ca="1" si="16"/>
        <v>-0.86446578034756871</v>
      </c>
      <c r="D328" s="101">
        <f t="shared" ca="1" si="17"/>
        <v>0.61018737701162207</v>
      </c>
      <c r="E328" s="101">
        <f t="shared" ca="1" si="18"/>
        <v>0</v>
      </c>
      <c r="F328" s="21">
        <f t="shared" ca="1" si="19"/>
        <v>0</v>
      </c>
      <c r="H328" s="21">
        <v>313</v>
      </c>
      <c r="I328" s="102">
        <v>0.66771103618977967</v>
      </c>
      <c r="J328" s="103">
        <v>1.3446751318222652E-3</v>
      </c>
      <c r="K328" s="103"/>
      <c r="L328" s="103">
        <v>4.1000000000000002E-2</v>
      </c>
      <c r="O328" s="100"/>
    </row>
    <row r="329" spans="2:15" x14ac:dyDescent="0.2">
      <c r="B329" s="1">
        <v>314</v>
      </c>
      <c r="C329" s="101">
        <f t="shared" ca="1" si="16"/>
        <v>0.22400182017429629</v>
      </c>
      <c r="D329" s="101">
        <f t="shared" ca="1" si="17"/>
        <v>0.67934831108790039</v>
      </c>
      <c r="E329" s="101">
        <f t="shared" ca="1" si="18"/>
        <v>0</v>
      </c>
      <c r="F329" s="21">
        <f t="shared" ca="1" si="19"/>
        <v>0</v>
      </c>
      <c r="H329" s="21">
        <v>314</v>
      </c>
      <c r="I329" s="102">
        <v>0.66778927125797627</v>
      </c>
      <c r="J329" s="103">
        <v>1.4031990341085384E-3</v>
      </c>
      <c r="K329" s="103"/>
      <c r="L329" s="103">
        <v>4.4600000000000001E-2</v>
      </c>
      <c r="O329" s="100"/>
    </row>
    <row r="330" spans="2:15" x14ac:dyDescent="0.2">
      <c r="B330" s="1">
        <v>315</v>
      </c>
      <c r="C330" s="101">
        <f t="shared" ca="1" si="16"/>
        <v>1.6537112391911222</v>
      </c>
      <c r="D330" s="101">
        <f t="shared" ca="1" si="17"/>
        <v>0.78224063073485739</v>
      </c>
      <c r="E330" s="101">
        <f t="shared" ca="1" si="18"/>
        <v>0</v>
      </c>
      <c r="F330" s="21">
        <f t="shared" ca="1" si="19"/>
        <v>0</v>
      </c>
      <c r="H330" s="21">
        <v>315</v>
      </c>
      <c r="I330" s="102">
        <v>0.66774479883798599</v>
      </c>
      <c r="J330" s="103">
        <v>1.2859671236934791E-3</v>
      </c>
      <c r="K330" s="103"/>
      <c r="L330" s="103">
        <v>3.9399999999999998E-2</v>
      </c>
      <c r="O330" s="100"/>
    </row>
    <row r="331" spans="2:15" x14ac:dyDescent="0.2">
      <c r="B331" s="1">
        <v>316</v>
      </c>
      <c r="C331" s="101">
        <f t="shared" ca="1" si="16"/>
        <v>-0.12463933803986606</v>
      </c>
      <c r="D331" s="101">
        <f t="shared" ca="1" si="17"/>
        <v>0.65638240039130891</v>
      </c>
      <c r="E331" s="101">
        <f t="shared" ca="1" si="18"/>
        <v>0</v>
      </c>
      <c r="F331" s="21">
        <f t="shared" ca="1" si="19"/>
        <v>0</v>
      </c>
      <c r="H331" s="21">
        <v>316</v>
      </c>
      <c r="I331" s="102">
        <v>0.66772773729635215</v>
      </c>
      <c r="J331" s="103">
        <v>1.3481287789980465E-3</v>
      </c>
      <c r="K331" s="103"/>
      <c r="L331" s="103">
        <v>4.02E-2</v>
      </c>
      <c r="O331" s="100"/>
    </row>
    <row r="332" spans="2:15" x14ac:dyDescent="0.2">
      <c r="B332" s="1">
        <v>317</v>
      </c>
      <c r="C332" s="101">
        <f t="shared" ca="1" si="16"/>
        <v>-1.8814533517126566</v>
      </c>
      <c r="D332" s="101">
        <f t="shared" ca="1" si="17"/>
        <v>0.55194537502939001</v>
      </c>
      <c r="E332" s="101">
        <f t="shared" ca="1" si="18"/>
        <v>0</v>
      </c>
      <c r="F332" s="21">
        <f t="shared" ca="1" si="19"/>
        <v>0</v>
      </c>
      <c r="H332" s="21">
        <v>317</v>
      </c>
      <c r="I332" s="102">
        <v>0.66772355915874226</v>
      </c>
      <c r="J332" s="103">
        <v>1.358183528092602E-3</v>
      </c>
      <c r="K332" s="103"/>
      <c r="L332" s="103">
        <v>4.1399999999999999E-2</v>
      </c>
      <c r="O332" s="100"/>
    </row>
    <row r="333" spans="2:15" x14ac:dyDescent="0.2">
      <c r="B333" s="1">
        <v>318</v>
      </c>
      <c r="C333" s="101">
        <f t="shared" ca="1" si="16"/>
        <v>-0.72765041641244965</v>
      </c>
      <c r="D333" s="101">
        <f t="shared" ca="1" si="17"/>
        <v>0.61847806991189525</v>
      </c>
      <c r="E333" s="101">
        <f t="shared" ca="1" si="18"/>
        <v>0</v>
      </c>
      <c r="F333" s="21">
        <f t="shared" ca="1" si="19"/>
        <v>0</v>
      </c>
      <c r="H333" s="21">
        <v>318</v>
      </c>
      <c r="I333" s="102">
        <v>0.66782854937585068</v>
      </c>
      <c r="J333" s="103">
        <v>1.4740672858956365E-3</v>
      </c>
      <c r="K333" s="103"/>
      <c r="L333" s="103">
        <v>4.5400000000000003E-2</v>
      </c>
      <c r="O333" s="100"/>
    </row>
    <row r="334" spans="2:15" x14ac:dyDescent="0.2">
      <c r="B334" s="1">
        <v>319</v>
      </c>
      <c r="C334" s="101">
        <f t="shared" ca="1" si="16"/>
        <v>-0.59446366374698023</v>
      </c>
      <c r="D334" s="101">
        <f t="shared" ca="1" si="17"/>
        <v>0.62665706934818921</v>
      </c>
      <c r="E334" s="101">
        <f t="shared" ca="1" si="18"/>
        <v>0</v>
      </c>
      <c r="F334" s="21">
        <f t="shared" ca="1" si="19"/>
        <v>0</v>
      </c>
      <c r="H334" s="21">
        <v>319</v>
      </c>
      <c r="I334" s="102">
        <v>0.66763044481901734</v>
      </c>
      <c r="J334" s="103">
        <v>1.2670320847915743E-3</v>
      </c>
      <c r="K334" s="103"/>
      <c r="L334" s="103">
        <v>3.9E-2</v>
      </c>
      <c r="O334" s="100"/>
    </row>
    <row r="335" spans="2:15" x14ac:dyDescent="0.2">
      <c r="B335" s="1">
        <v>320</v>
      </c>
      <c r="C335" s="101">
        <f t="shared" ca="1" si="16"/>
        <v>0.72902104969195747</v>
      </c>
      <c r="D335" s="101">
        <f t="shared" ca="1" si="17"/>
        <v>0.71404768008009789</v>
      </c>
      <c r="E335" s="101">
        <f t="shared" ca="1" si="18"/>
        <v>0</v>
      </c>
      <c r="F335" s="21">
        <f t="shared" ca="1" si="19"/>
        <v>0</v>
      </c>
      <c r="H335" s="21">
        <v>320</v>
      </c>
      <c r="I335" s="102">
        <v>0.66761284350687033</v>
      </c>
      <c r="J335" s="103">
        <v>1.2170526478078013E-3</v>
      </c>
      <c r="K335" s="103"/>
      <c r="L335" s="103">
        <v>3.8399999999999997E-2</v>
      </c>
      <c r="O335" s="100"/>
    </row>
    <row r="336" spans="2:15" x14ac:dyDescent="0.2">
      <c r="B336" s="1">
        <v>321</v>
      </c>
      <c r="C336" s="101">
        <f t="shared" ref="C336:C399" ca="1" si="20">_xlfn.NORM.S.INV(RAND())</f>
        <v>-1.051053444628079</v>
      </c>
      <c r="D336" s="101">
        <f t="shared" ref="D336:D399" ca="1" si="21">S0*EXP((μ-0.5*σ*σ)*T+σ*SQRT(T)*$C336)</f>
        <v>0.5990594433580777</v>
      </c>
      <c r="E336" s="101">
        <f t="shared" ref="E336:E399" ca="1" si="22">MAX(0,CP*(D336-K))</f>
        <v>0</v>
      </c>
      <c r="F336" s="21">
        <f t="shared" ref="F336:F399" ca="1" si="23">(CP*(D336-K)&gt;0)*1</f>
        <v>0</v>
      </c>
      <c r="H336" s="21">
        <v>321</v>
      </c>
      <c r="I336" s="102">
        <v>0.66780788031463234</v>
      </c>
      <c r="J336" s="103">
        <v>1.3687870633469744E-3</v>
      </c>
      <c r="K336" s="103"/>
      <c r="L336" s="103">
        <v>4.36E-2</v>
      </c>
      <c r="O336" s="100"/>
    </row>
    <row r="337" spans="2:15" x14ac:dyDescent="0.2">
      <c r="B337" s="1">
        <v>322</v>
      </c>
      <c r="C337" s="101">
        <f t="shared" ca="1" si="20"/>
        <v>0.66410408300316603</v>
      </c>
      <c r="D337" s="101">
        <f t="shared" ca="1" si="21"/>
        <v>0.70948988733772911</v>
      </c>
      <c r="E337" s="101">
        <f t="shared" ca="1" si="22"/>
        <v>0</v>
      </c>
      <c r="F337" s="21">
        <f t="shared" ca="1" si="23"/>
        <v>0</v>
      </c>
      <c r="H337" s="21">
        <v>322</v>
      </c>
      <c r="I337" s="102">
        <v>0.66780368211750396</v>
      </c>
      <c r="J337" s="103">
        <v>1.3255702400891704E-3</v>
      </c>
      <c r="K337" s="103"/>
      <c r="L337" s="103">
        <v>4.3400000000000001E-2</v>
      </c>
      <c r="O337" s="100"/>
    </row>
    <row r="338" spans="2:15" x14ac:dyDescent="0.2">
      <c r="B338" s="1">
        <v>323</v>
      </c>
      <c r="C338" s="101">
        <f t="shared" ca="1" si="20"/>
        <v>0.89972404612529167</v>
      </c>
      <c r="D338" s="101">
        <f t="shared" ca="1" si="21"/>
        <v>0.72617287681587994</v>
      </c>
      <c r="E338" s="101">
        <f t="shared" ca="1" si="22"/>
        <v>0</v>
      </c>
      <c r="F338" s="21">
        <f t="shared" ca="1" si="23"/>
        <v>0</v>
      </c>
      <c r="H338" s="21">
        <v>323</v>
      </c>
      <c r="I338" s="102">
        <v>0.66756224517035423</v>
      </c>
      <c r="J338" s="103">
        <v>1.2593013067574241E-3</v>
      </c>
      <c r="K338" s="103"/>
      <c r="L338" s="103">
        <v>3.9199999999999999E-2</v>
      </c>
      <c r="O338" s="100"/>
    </row>
    <row r="339" spans="2:15" x14ac:dyDescent="0.2">
      <c r="B339" s="1">
        <v>324</v>
      </c>
      <c r="C339" s="101">
        <f t="shared" ca="1" si="20"/>
        <v>-0.88346512334693361</v>
      </c>
      <c r="D339" s="101">
        <f t="shared" ca="1" si="21"/>
        <v>0.60904488333118478</v>
      </c>
      <c r="E339" s="101">
        <f t="shared" ca="1" si="22"/>
        <v>0</v>
      </c>
      <c r="F339" s="21">
        <f t="shared" ca="1" si="23"/>
        <v>0</v>
      </c>
      <c r="H339" s="21">
        <v>324</v>
      </c>
      <c r="I339" s="102">
        <v>0.66764291228850814</v>
      </c>
      <c r="J339" s="103">
        <v>1.2677373131734964E-3</v>
      </c>
      <c r="K339" s="103"/>
      <c r="L339" s="103">
        <v>3.7600000000000001E-2</v>
      </c>
      <c r="O339" s="100"/>
    </row>
    <row r="340" spans="2:15" x14ac:dyDescent="0.2">
      <c r="B340" s="1">
        <v>325</v>
      </c>
      <c r="C340" s="101">
        <f t="shared" ca="1" si="20"/>
        <v>0.75810997467772401</v>
      </c>
      <c r="D340" s="101">
        <f t="shared" ca="1" si="21"/>
        <v>0.71609948945415247</v>
      </c>
      <c r="E340" s="101">
        <f t="shared" ca="1" si="22"/>
        <v>0</v>
      </c>
      <c r="F340" s="21">
        <f t="shared" ca="1" si="23"/>
        <v>0</v>
      </c>
      <c r="H340" s="21">
        <v>325</v>
      </c>
      <c r="I340" s="102">
        <v>0.66768664869564287</v>
      </c>
      <c r="J340" s="103">
        <v>1.1308064190196135E-3</v>
      </c>
      <c r="K340" s="103"/>
      <c r="L340" s="103">
        <v>3.9600000000000003E-2</v>
      </c>
      <c r="O340" s="100"/>
    </row>
    <row r="341" spans="2:15" x14ac:dyDescent="0.2">
      <c r="B341" s="1">
        <v>326</v>
      </c>
      <c r="C341" s="101">
        <f t="shared" ca="1" si="20"/>
        <v>0.18259261735701854</v>
      </c>
      <c r="D341" s="101">
        <f t="shared" ca="1" si="21"/>
        <v>0.6765790646860157</v>
      </c>
      <c r="E341" s="101">
        <f t="shared" ca="1" si="22"/>
        <v>0</v>
      </c>
      <c r="F341" s="21">
        <f t="shared" ca="1" si="23"/>
        <v>0</v>
      </c>
      <c r="H341" s="21">
        <v>326</v>
      </c>
      <c r="I341" s="102">
        <v>0.66782531706307768</v>
      </c>
      <c r="J341" s="103">
        <v>1.5134408207107377E-3</v>
      </c>
      <c r="K341" s="103"/>
      <c r="L341" s="103">
        <v>4.3200000000000002E-2</v>
      </c>
      <c r="O341" s="100"/>
    </row>
    <row r="342" spans="2:15" x14ac:dyDescent="0.2">
      <c r="B342" s="1">
        <v>327</v>
      </c>
      <c r="C342" s="101">
        <f t="shared" ca="1" si="20"/>
        <v>-1.4449721762222307</v>
      </c>
      <c r="D342" s="101">
        <f t="shared" ca="1" si="21"/>
        <v>0.57622843171871163</v>
      </c>
      <c r="E342" s="101">
        <f t="shared" ca="1" si="22"/>
        <v>0</v>
      </c>
      <c r="F342" s="21">
        <f t="shared" ca="1" si="23"/>
        <v>0</v>
      </c>
      <c r="H342" s="21">
        <v>327</v>
      </c>
      <c r="I342" s="102">
        <v>0.66777193584819639</v>
      </c>
      <c r="J342" s="103">
        <v>1.4020064342742137E-3</v>
      </c>
      <c r="K342" s="103"/>
      <c r="L342" s="103">
        <v>4.36E-2</v>
      </c>
      <c r="O342" s="100"/>
    </row>
    <row r="343" spans="2:15" x14ac:dyDescent="0.2">
      <c r="B343" s="1">
        <v>328</v>
      </c>
      <c r="C343" s="101">
        <f t="shared" ca="1" si="20"/>
        <v>-0.5418975895494853</v>
      </c>
      <c r="D343" s="101">
        <f t="shared" ca="1" si="21"/>
        <v>0.62991484237627393</v>
      </c>
      <c r="E343" s="101">
        <f t="shared" ca="1" si="22"/>
        <v>0</v>
      </c>
      <c r="F343" s="21">
        <f t="shared" ca="1" si="23"/>
        <v>0</v>
      </c>
      <c r="H343" s="21">
        <v>328</v>
      </c>
      <c r="I343" s="102">
        <v>0.66760019908658752</v>
      </c>
      <c r="J343" s="103">
        <v>1.2798788194929105E-3</v>
      </c>
      <c r="K343" s="103"/>
      <c r="L343" s="103">
        <v>3.9E-2</v>
      </c>
      <c r="O343" s="100"/>
    </row>
    <row r="344" spans="2:15" x14ac:dyDescent="0.2">
      <c r="B344" s="1">
        <v>329</v>
      </c>
      <c r="C344" s="101">
        <f t="shared" ca="1" si="20"/>
        <v>-1.0777219632349566</v>
      </c>
      <c r="D344" s="101">
        <f t="shared" ca="1" si="21"/>
        <v>0.5974856177589698</v>
      </c>
      <c r="E344" s="101">
        <f t="shared" ca="1" si="22"/>
        <v>0</v>
      </c>
      <c r="F344" s="21">
        <f t="shared" ca="1" si="23"/>
        <v>0</v>
      </c>
      <c r="H344" s="21">
        <v>329</v>
      </c>
      <c r="I344" s="102">
        <v>0.66781243415831981</v>
      </c>
      <c r="J344" s="103">
        <v>1.5666573774629437E-3</v>
      </c>
      <c r="K344" s="103"/>
      <c r="L344" s="103">
        <v>4.1799999999999997E-2</v>
      </c>
      <c r="O344" s="100"/>
    </row>
    <row r="345" spans="2:15" x14ac:dyDescent="0.2">
      <c r="B345" s="1">
        <v>330</v>
      </c>
      <c r="C345" s="101">
        <f t="shared" ca="1" si="20"/>
        <v>1.6859657014570051</v>
      </c>
      <c r="D345" s="101">
        <f t="shared" ca="1" si="21"/>
        <v>0.78473338885978938</v>
      </c>
      <c r="E345" s="101">
        <f t="shared" ca="1" si="22"/>
        <v>0</v>
      </c>
      <c r="F345" s="21">
        <f t="shared" ca="1" si="23"/>
        <v>0</v>
      </c>
      <c r="H345" s="21">
        <v>330</v>
      </c>
      <c r="I345" s="102">
        <v>0.6677143381579721</v>
      </c>
      <c r="J345" s="103">
        <v>1.41057244920351E-3</v>
      </c>
      <c r="K345" s="103"/>
      <c r="L345" s="103">
        <v>4.1000000000000002E-2</v>
      </c>
      <c r="O345" s="100"/>
    </row>
    <row r="346" spans="2:15" x14ac:dyDescent="0.2">
      <c r="B346" s="1">
        <v>331</v>
      </c>
      <c r="C346" s="101">
        <f t="shared" ca="1" si="20"/>
        <v>2.5643230737739411</v>
      </c>
      <c r="D346" s="101">
        <f t="shared" ca="1" si="21"/>
        <v>0.85575691993074166</v>
      </c>
      <c r="E346" s="101">
        <f t="shared" ca="1" si="22"/>
        <v>6.7556919930741643E-2</v>
      </c>
      <c r="F346" s="21">
        <f t="shared" ca="1" si="23"/>
        <v>1</v>
      </c>
      <c r="H346" s="21">
        <v>331</v>
      </c>
      <c r="I346" s="102">
        <v>0.66760751642273297</v>
      </c>
      <c r="J346" s="103">
        <v>1.2550436655324236E-3</v>
      </c>
      <c r="K346" s="103"/>
      <c r="L346" s="103">
        <v>3.9399999999999998E-2</v>
      </c>
      <c r="O346" s="100"/>
    </row>
    <row r="347" spans="2:15" x14ac:dyDescent="0.2">
      <c r="B347" s="1">
        <v>332</v>
      </c>
      <c r="C347" s="101">
        <f t="shared" ca="1" si="20"/>
        <v>-0.97838979519915703</v>
      </c>
      <c r="D347" s="101">
        <f t="shared" ca="1" si="21"/>
        <v>0.6033687102015669</v>
      </c>
      <c r="E347" s="101">
        <f t="shared" ca="1" si="22"/>
        <v>0</v>
      </c>
      <c r="F347" s="21">
        <f t="shared" ca="1" si="23"/>
        <v>0</v>
      </c>
      <c r="H347" s="21">
        <v>332</v>
      </c>
      <c r="I347" s="102">
        <v>0.6678204144061507</v>
      </c>
      <c r="J347" s="103">
        <v>1.3718631795158081E-3</v>
      </c>
      <c r="K347" s="103"/>
      <c r="L347" s="103">
        <v>4.5199999999999997E-2</v>
      </c>
      <c r="O347" s="100"/>
    </row>
    <row r="348" spans="2:15" x14ac:dyDescent="0.2">
      <c r="B348" s="1">
        <v>333</v>
      </c>
      <c r="C348" s="101">
        <f t="shared" ca="1" si="20"/>
        <v>0.62353627372481368</v>
      </c>
      <c r="D348" s="101">
        <f t="shared" ca="1" si="21"/>
        <v>0.70665642133647832</v>
      </c>
      <c r="E348" s="101">
        <f t="shared" ca="1" si="22"/>
        <v>0</v>
      </c>
      <c r="F348" s="21">
        <f t="shared" ca="1" si="23"/>
        <v>0</v>
      </c>
      <c r="H348" s="21">
        <v>333</v>
      </c>
      <c r="I348" s="102">
        <v>0.6678076995608091</v>
      </c>
      <c r="J348" s="103">
        <v>1.416186890798571E-3</v>
      </c>
      <c r="K348" s="103"/>
      <c r="L348" s="103">
        <v>4.0800000000000003E-2</v>
      </c>
      <c r="O348" s="100"/>
    </row>
    <row r="349" spans="2:15" x14ac:dyDescent="0.2">
      <c r="B349" s="1">
        <v>334</v>
      </c>
      <c r="C349" s="101">
        <f t="shared" ca="1" si="20"/>
        <v>-0.74652246467171657</v>
      </c>
      <c r="D349" s="101">
        <f t="shared" ca="1" si="21"/>
        <v>0.61732780446708002</v>
      </c>
      <c r="E349" s="101">
        <f t="shared" ca="1" si="22"/>
        <v>0</v>
      </c>
      <c r="F349" s="21">
        <f t="shared" ca="1" si="23"/>
        <v>0</v>
      </c>
      <c r="H349" s="21">
        <v>334</v>
      </c>
      <c r="I349" s="102">
        <v>0.66782961093706361</v>
      </c>
      <c r="J349" s="103">
        <v>1.4919880053706524E-3</v>
      </c>
      <c r="K349" s="103"/>
      <c r="L349" s="103">
        <v>4.5400000000000003E-2</v>
      </c>
      <c r="O349" s="100"/>
    </row>
    <row r="350" spans="2:15" x14ac:dyDescent="0.2">
      <c r="B350" s="1">
        <v>335</v>
      </c>
      <c r="C350" s="101">
        <f t="shared" ca="1" si="20"/>
        <v>-9.4380015420719041E-2</v>
      </c>
      <c r="D350" s="101">
        <f t="shared" ca="1" si="21"/>
        <v>0.65834451032615737</v>
      </c>
      <c r="E350" s="101">
        <f t="shared" ca="1" si="22"/>
        <v>0</v>
      </c>
      <c r="F350" s="21">
        <f t="shared" ca="1" si="23"/>
        <v>0</v>
      </c>
      <c r="H350" s="21">
        <v>335</v>
      </c>
      <c r="I350" s="102">
        <v>0.66795230918602511</v>
      </c>
      <c r="J350" s="103">
        <v>1.5503475729101766E-3</v>
      </c>
      <c r="K350" s="103"/>
      <c r="L350" s="103">
        <v>4.3999999999999997E-2</v>
      </c>
      <c r="O350" s="100"/>
    </row>
    <row r="351" spans="2:15" x14ac:dyDescent="0.2">
      <c r="B351" s="1">
        <v>336</v>
      </c>
      <c r="C351" s="101">
        <f t="shared" ca="1" si="20"/>
        <v>1.1369411815606929</v>
      </c>
      <c r="D351" s="101">
        <f t="shared" ca="1" si="21"/>
        <v>0.74336525703513356</v>
      </c>
      <c r="E351" s="101">
        <f t="shared" ca="1" si="22"/>
        <v>0</v>
      </c>
      <c r="F351" s="21">
        <f t="shared" ca="1" si="23"/>
        <v>0</v>
      </c>
      <c r="H351" s="21">
        <v>336</v>
      </c>
      <c r="I351" s="102">
        <v>0.66765066999051526</v>
      </c>
      <c r="J351" s="103">
        <v>1.2787793534873022E-3</v>
      </c>
      <c r="K351" s="103"/>
      <c r="L351" s="103">
        <v>3.6400000000000002E-2</v>
      </c>
      <c r="O351" s="100"/>
    </row>
    <row r="352" spans="2:15" x14ac:dyDescent="0.2">
      <c r="B352" s="1">
        <v>337</v>
      </c>
      <c r="C352" s="101">
        <f t="shared" ca="1" si="20"/>
        <v>0.3814969961956784</v>
      </c>
      <c r="D352" s="101">
        <f t="shared" ca="1" si="21"/>
        <v>0.68998475666755144</v>
      </c>
      <c r="E352" s="101">
        <f t="shared" ca="1" si="22"/>
        <v>0</v>
      </c>
      <c r="F352" s="21">
        <f t="shared" ca="1" si="23"/>
        <v>0</v>
      </c>
      <c r="H352" s="21">
        <v>337</v>
      </c>
      <c r="I352" s="102">
        <v>0.6676454760333429</v>
      </c>
      <c r="J352" s="103">
        <v>1.1917064064166176E-3</v>
      </c>
      <c r="K352" s="103"/>
      <c r="L352" s="103">
        <v>3.7600000000000001E-2</v>
      </c>
      <c r="O352" s="100"/>
    </row>
    <row r="353" spans="2:15" x14ac:dyDescent="0.2">
      <c r="B353" s="1">
        <v>338</v>
      </c>
      <c r="C353" s="101">
        <f t="shared" ca="1" si="20"/>
        <v>-6.6030140088971873E-2</v>
      </c>
      <c r="D353" s="101">
        <f t="shared" ca="1" si="21"/>
        <v>0.66018812713766373</v>
      </c>
      <c r="E353" s="101">
        <f t="shared" ca="1" si="22"/>
        <v>0</v>
      </c>
      <c r="F353" s="21">
        <f t="shared" ca="1" si="23"/>
        <v>0</v>
      </c>
      <c r="H353" s="21">
        <v>338</v>
      </c>
      <c r="I353" s="102">
        <v>0.66769448592965819</v>
      </c>
      <c r="J353" s="103">
        <v>1.3553996573911105E-3</v>
      </c>
      <c r="K353" s="103"/>
      <c r="L353" s="103">
        <v>4.1200000000000001E-2</v>
      </c>
      <c r="O353" s="100"/>
    </row>
    <row r="354" spans="2:15" x14ac:dyDescent="0.2">
      <c r="B354" s="1">
        <v>339</v>
      </c>
      <c r="C354" s="101">
        <f t="shared" ca="1" si="20"/>
        <v>-0.49949966658334977</v>
      </c>
      <c r="D354" s="101">
        <f t="shared" ca="1" si="21"/>
        <v>0.6325547807603118</v>
      </c>
      <c r="E354" s="101">
        <f t="shared" ca="1" si="22"/>
        <v>0</v>
      </c>
      <c r="F354" s="21">
        <f t="shared" ca="1" si="23"/>
        <v>0</v>
      </c>
      <c r="H354" s="21">
        <v>339</v>
      </c>
      <c r="I354" s="102">
        <v>0.66787590280955422</v>
      </c>
      <c r="J354" s="103">
        <v>1.4221042799185287E-3</v>
      </c>
      <c r="K354" s="103"/>
      <c r="L354" s="103">
        <v>4.58E-2</v>
      </c>
      <c r="O354" s="100"/>
    </row>
    <row r="355" spans="2:15" x14ac:dyDescent="0.2">
      <c r="B355" s="1">
        <v>340</v>
      </c>
      <c r="C355" s="101">
        <f t="shared" ca="1" si="20"/>
        <v>-0.17748639871788743</v>
      </c>
      <c r="D355" s="101">
        <f t="shared" ca="1" si="21"/>
        <v>0.65296964477887531</v>
      </c>
      <c r="E355" s="101">
        <f t="shared" ca="1" si="22"/>
        <v>0</v>
      </c>
      <c r="F355" s="21">
        <f t="shared" ca="1" si="23"/>
        <v>0</v>
      </c>
      <c r="H355" s="21">
        <v>340</v>
      </c>
      <c r="I355" s="102">
        <v>0.66781398571070161</v>
      </c>
      <c r="J355" s="103">
        <v>1.5477905081945004E-3</v>
      </c>
      <c r="K355" s="103"/>
      <c r="L355" s="103">
        <v>4.3200000000000002E-2</v>
      </c>
      <c r="O355" s="100"/>
    </row>
    <row r="356" spans="2:15" x14ac:dyDescent="0.2">
      <c r="B356" s="1">
        <v>341</v>
      </c>
      <c r="C356" s="101">
        <f t="shared" ca="1" si="20"/>
        <v>0.5698469371257513</v>
      </c>
      <c r="D356" s="101">
        <f t="shared" ca="1" si="21"/>
        <v>0.70292387036957837</v>
      </c>
      <c r="E356" s="101">
        <f t="shared" ca="1" si="22"/>
        <v>0</v>
      </c>
      <c r="F356" s="21">
        <f t="shared" ca="1" si="23"/>
        <v>0</v>
      </c>
      <c r="H356" s="21">
        <v>341</v>
      </c>
      <c r="I356" s="102">
        <v>0.66787303089588446</v>
      </c>
      <c r="J356" s="103">
        <v>1.6369200303692282E-3</v>
      </c>
      <c r="K356" s="103"/>
      <c r="L356" s="103">
        <v>4.1200000000000001E-2</v>
      </c>
      <c r="O356" s="100"/>
    </row>
    <row r="357" spans="2:15" x14ac:dyDescent="0.2">
      <c r="B357" s="1">
        <v>342</v>
      </c>
      <c r="C357" s="101">
        <f t="shared" ca="1" si="20"/>
        <v>-0.38350763034751345</v>
      </c>
      <c r="D357" s="101">
        <f t="shared" ca="1" si="21"/>
        <v>0.6398337871089661</v>
      </c>
      <c r="E357" s="101">
        <f t="shared" ca="1" si="22"/>
        <v>0</v>
      </c>
      <c r="F357" s="21">
        <f t="shared" ca="1" si="23"/>
        <v>0</v>
      </c>
      <c r="H357" s="21">
        <v>342</v>
      </c>
      <c r="I357" s="102">
        <v>0.66765185273622929</v>
      </c>
      <c r="J357" s="103">
        <v>1.2717226513251475E-3</v>
      </c>
      <c r="K357" s="103"/>
      <c r="L357" s="103">
        <v>4.3400000000000001E-2</v>
      </c>
      <c r="O357" s="100"/>
    </row>
    <row r="358" spans="2:15" x14ac:dyDescent="0.2">
      <c r="B358" s="1">
        <v>343</v>
      </c>
      <c r="C358" s="101">
        <f t="shared" ca="1" si="20"/>
        <v>-1.846445812794995</v>
      </c>
      <c r="D358" s="101">
        <f t="shared" ca="1" si="21"/>
        <v>0.55385464194043732</v>
      </c>
      <c r="E358" s="101">
        <f t="shared" ca="1" si="22"/>
        <v>0</v>
      </c>
      <c r="F358" s="21">
        <f t="shared" ca="1" si="23"/>
        <v>0</v>
      </c>
      <c r="H358" s="21">
        <v>343</v>
      </c>
      <c r="I358" s="102">
        <v>0.66777551043744654</v>
      </c>
      <c r="J358" s="103">
        <v>1.4227084975305566E-3</v>
      </c>
      <c r="K358" s="103"/>
      <c r="L358" s="103">
        <v>4.3400000000000001E-2</v>
      </c>
      <c r="O358" s="100"/>
    </row>
    <row r="359" spans="2:15" x14ac:dyDescent="0.2">
      <c r="B359" s="1">
        <v>344</v>
      </c>
      <c r="C359" s="101">
        <f t="shared" ca="1" si="20"/>
        <v>-0.30097566608027271</v>
      </c>
      <c r="D359" s="101">
        <f t="shared" ca="1" si="21"/>
        <v>0.64506397463318099</v>
      </c>
      <c r="E359" s="101">
        <f t="shared" ca="1" si="22"/>
        <v>0</v>
      </c>
      <c r="F359" s="21">
        <f t="shared" ca="1" si="23"/>
        <v>0</v>
      </c>
      <c r="H359" s="21">
        <v>344</v>
      </c>
      <c r="I359" s="102">
        <v>0.66782527829957894</v>
      </c>
      <c r="J359" s="103">
        <v>1.4685726040592447E-3</v>
      </c>
      <c r="K359" s="103"/>
      <c r="L359" s="103">
        <v>4.3200000000000002E-2</v>
      </c>
      <c r="O359" s="100"/>
    </row>
    <row r="360" spans="2:15" x14ac:dyDescent="0.2">
      <c r="B360" s="1">
        <v>345</v>
      </c>
      <c r="C360" s="101">
        <f t="shared" ca="1" si="20"/>
        <v>1.8829967797859759</v>
      </c>
      <c r="D360" s="101">
        <f t="shared" ca="1" si="21"/>
        <v>0.80013417699829614</v>
      </c>
      <c r="E360" s="101">
        <f t="shared" ca="1" si="22"/>
        <v>1.1934176998296131E-2</v>
      </c>
      <c r="F360" s="21">
        <f t="shared" ca="1" si="23"/>
        <v>1</v>
      </c>
      <c r="H360" s="21">
        <v>345</v>
      </c>
      <c r="I360" s="102">
        <v>0.66801888074245142</v>
      </c>
      <c r="J360" s="103">
        <v>1.781772977413248E-3</v>
      </c>
      <c r="K360" s="103"/>
      <c r="L360" s="103">
        <v>4.9599999999999998E-2</v>
      </c>
      <c r="O360" s="100"/>
    </row>
    <row r="361" spans="2:15" x14ac:dyDescent="0.2">
      <c r="B361" s="1">
        <v>346</v>
      </c>
      <c r="C361" s="101">
        <f t="shared" ca="1" si="20"/>
        <v>-1.1524212526518971</v>
      </c>
      <c r="D361" s="101">
        <f t="shared" ca="1" si="21"/>
        <v>0.59309926279679837</v>
      </c>
      <c r="E361" s="101">
        <f t="shared" ca="1" si="22"/>
        <v>0</v>
      </c>
      <c r="F361" s="21">
        <f t="shared" ca="1" si="23"/>
        <v>0</v>
      </c>
      <c r="H361" s="21">
        <v>346</v>
      </c>
      <c r="I361" s="102">
        <v>0.66770470505657109</v>
      </c>
      <c r="J361" s="103">
        <v>1.2679192132314531E-3</v>
      </c>
      <c r="K361" s="103"/>
      <c r="L361" s="103">
        <v>4.4200000000000003E-2</v>
      </c>
      <c r="O361" s="100"/>
    </row>
    <row r="362" spans="2:15" x14ac:dyDescent="0.2">
      <c r="B362" s="1">
        <v>347</v>
      </c>
      <c r="C362" s="101">
        <f t="shared" ca="1" si="20"/>
        <v>0.91143118676952428</v>
      </c>
      <c r="D362" s="101">
        <f t="shared" ca="1" si="21"/>
        <v>0.7270119513636687</v>
      </c>
      <c r="E362" s="101">
        <f t="shared" ca="1" si="22"/>
        <v>0</v>
      </c>
      <c r="F362" s="21">
        <f t="shared" ca="1" si="23"/>
        <v>0</v>
      </c>
      <c r="H362" s="21">
        <v>347</v>
      </c>
      <c r="I362" s="102">
        <v>0.66777788731662913</v>
      </c>
      <c r="J362" s="103">
        <v>1.3760351628052103E-3</v>
      </c>
      <c r="K362" s="103"/>
      <c r="L362" s="103">
        <v>4.5400000000000003E-2</v>
      </c>
      <c r="O362" s="100"/>
    </row>
    <row r="363" spans="2:15" x14ac:dyDescent="0.2">
      <c r="B363" s="1">
        <v>348</v>
      </c>
      <c r="C363" s="101">
        <f t="shared" ca="1" si="20"/>
        <v>-0.93378073682288887</v>
      </c>
      <c r="D363" s="101">
        <f t="shared" ca="1" si="21"/>
        <v>0.60602956149557663</v>
      </c>
      <c r="E363" s="101">
        <f t="shared" ca="1" si="22"/>
        <v>0</v>
      </c>
      <c r="F363" s="21">
        <f t="shared" ca="1" si="23"/>
        <v>0</v>
      </c>
      <c r="H363" s="21">
        <v>348</v>
      </c>
      <c r="I363" s="102">
        <v>0.66762991923315262</v>
      </c>
      <c r="J363" s="103">
        <v>1.3156394796868965E-3</v>
      </c>
      <c r="K363" s="103"/>
      <c r="L363" s="103">
        <v>3.8399999999999997E-2</v>
      </c>
      <c r="O363" s="100"/>
    </row>
    <row r="364" spans="2:15" x14ac:dyDescent="0.2">
      <c r="B364" s="1">
        <v>349</v>
      </c>
      <c r="C364" s="101">
        <f t="shared" ca="1" si="20"/>
        <v>-8.0291515938393801E-2</v>
      </c>
      <c r="D364" s="101">
        <f t="shared" ca="1" si="21"/>
        <v>0.65926005315605896</v>
      </c>
      <c r="E364" s="101">
        <f t="shared" ca="1" si="22"/>
        <v>0</v>
      </c>
      <c r="F364" s="21">
        <f t="shared" ca="1" si="23"/>
        <v>0</v>
      </c>
      <c r="H364" s="21">
        <v>349</v>
      </c>
      <c r="I364" s="102">
        <v>0.66776926703007045</v>
      </c>
      <c r="J364" s="103">
        <v>1.3704978421742347E-3</v>
      </c>
      <c r="K364" s="103"/>
      <c r="L364" s="103">
        <v>4.2000000000000003E-2</v>
      </c>
      <c r="O364" s="100"/>
    </row>
    <row r="365" spans="2:15" x14ac:dyDescent="0.2">
      <c r="B365" s="1">
        <v>350</v>
      </c>
      <c r="C365" s="101">
        <f t="shared" ca="1" si="20"/>
        <v>1.199832362425771</v>
      </c>
      <c r="D365" s="101">
        <f t="shared" ca="1" si="21"/>
        <v>0.74799118340061899</v>
      </c>
      <c r="E365" s="101">
        <f t="shared" ca="1" si="22"/>
        <v>0</v>
      </c>
      <c r="F365" s="21">
        <f t="shared" ca="1" si="23"/>
        <v>0</v>
      </c>
      <c r="H365" s="21">
        <v>350</v>
      </c>
      <c r="I365" s="102">
        <v>0.66766293051028691</v>
      </c>
      <c r="J365" s="103">
        <v>1.2713061215567411E-3</v>
      </c>
      <c r="K365" s="103"/>
      <c r="L365" s="103">
        <v>4.2999999999999997E-2</v>
      </c>
      <c r="O365" s="100"/>
    </row>
    <row r="366" spans="2:15" x14ac:dyDescent="0.2">
      <c r="B366" s="1">
        <v>351</v>
      </c>
      <c r="C366" s="101">
        <f t="shared" ca="1" si="20"/>
        <v>1.1167326591422888</v>
      </c>
      <c r="D366" s="101">
        <f t="shared" ca="1" si="21"/>
        <v>0.74188491206583285</v>
      </c>
      <c r="E366" s="101">
        <f t="shared" ca="1" si="22"/>
        <v>0</v>
      </c>
      <c r="F366" s="21">
        <f t="shared" ca="1" si="23"/>
        <v>0</v>
      </c>
      <c r="H366" s="21">
        <v>351</v>
      </c>
      <c r="I366" s="102">
        <v>0.66776482374521151</v>
      </c>
      <c r="J366" s="103">
        <v>1.4821859772218759E-3</v>
      </c>
      <c r="K366" s="103"/>
      <c r="L366" s="103">
        <v>4.5400000000000003E-2</v>
      </c>
      <c r="O366" s="100"/>
    </row>
    <row r="367" spans="2:15" x14ac:dyDescent="0.2">
      <c r="B367" s="1">
        <v>352</v>
      </c>
      <c r="C367" s="101">
        <f t="shared" ca="1" si="20"/>
        <v>-0.46444255423815078</v>
      </c>
      <c r="D367" s="101">
        <f t="shared" ca="1" si="21"/>
        <v>0.63474599233029727</v>
      </c>
      <c r="E367" s="101">
        <f t="shared" ca="1" si="22"/>
        <v>0</v>
      </c>
      <c r="F367" s="21">
        <f t="shared" ca="1" si="23"/>
        <v>0</v>
      </c>
      <c r="H367" s="21">
        <v>352</v>
      </c>
      <c r="I367" s="102">
        <v>0.66780143404200198</v>
      </c>
      <c r="J367" s="103">
        <v>1.504636018566474E-3</v>
      </c>
      <c r="K367" s="103"/>
      <c r="L367" s="103">
        <v>4.24E-2</v>
      </c>
      <c r="O367" s="100"/>
    </row>
    <row r="368" spans="2:15" x14ac:dyDescent="0.2">
      <c r="B368" s="1">
        <v>353</v>
      </c>
      <c r="C368" s="101">
        <f t="shared" ca="1" si="20"/>
        <v>0.60412633001136529</v>
      </c>
      <c r="D368" s="101">
        <f t="shared" ca="1" si="21"/>
        <v>0.70530473539235028</v>
      </c>
      <c r="E368" s="101">
        <f t="shared" ca="1" si="22"/>
        <v>0</v>
      </c>
      <c r="F368" s="21">
        <f t="shared" ca="1" si="23"/>
        <v>0</v>
      </c>
      <c r="H368" s="21">
        <v>353</v>
      </c>
      <c r="I368" s="102">
        <v>0.66783061427320622</v>
      </c>
      <c r="J368" s="103">
        <v>1.4320267289087696E-3</v>
      </c>
      <c r="K368" s="103"/>
      <c r="L368" s="103">
        <v>4.1799999999999997E-2</v>
      </c>
      <c r="O368" s="100"/>
    </row>
    <row r="369" spans="2:15" x14ac:dyDescent="0.2">
      <c r="B369" s="1">
        <v>354</v>
      </c>
      <c r="C369" s="101">
        <f t="shared" ca="1" si="20"/>
        <v>0.43086193000566841</v>
      </c>
      <c r="D369" s="101">
        <f t="shared" ca="1" si="21"/>
        <v>0.6933527774815087</v>
      </c>
      <c r="E369" s="101">
        <f t="shared" ca="1" si="22"/>
        <v>0</v>
      </c>
      <c r="F369" s="21">
        <f t="shared" ca="1" si="23"/>
        <v>0</v>
      </c>
      <c r="H369" s="21">
        <v>354</v>
      </c>
      <c r="I369" s="102">
        <v>0.66767825103479761</v>
      </c>
      <c r="J369" s="103">
        <v>1.3357714345278683E-3</v>
      </c>
      <c r="K369" s="103"/>
      <c r="L369" s="103">
        <v>3.7600000000000001E-2</v>
      </c>
      <c r="O369" s="100"/>
    </row>
    <row r="370" spans="2:15" x14ac:dyDescent="0.2">
      <c r="B370" s="1">
        <v>355</v>
      </c>
      <c r="C370" s="101">
        <f t="shared" ca="1" si="20"/>
        <v>-1.1539492351161507</v>
      </c>
      <c r="D370" s="101">
        <f t="shared" ca="1" si="21"/>
        <v>0.59300987629802371</v>
      </c>
      <c r="E370" s="101">
        <f t="shared" ca="1" si="22"/>
        <v>0</v>
      </c>
      <c r="F370" s="21">
        <f t="shared" ca="1" si="23"/>
        <v>0</v>
      </c>
      <c r="H370" s="21">
        <v>355</v>
      </c>
      <c r="I370" s="102">
        <v>0.66778217633241044</v>
      </c>
      <c r="J370" s="103">
        <v>1.5171457551911762E-3</v>
      </c>
      <c r="K370" s="103"/>
      <c r="L370" s="103">
        <v>4.48E-2</v>
      </c>
      <c r="O370" s="100"/>
    </row>
    <row r="371" spans="2:15" x14ac:dyDescent="0.2">
      <c r="B371" s="1">
        <v>356</v>
      </c>
      <c r="C371" s="101">
        <f t="shared" ca="1" si="20"/>
        <v>0.42787131256788047</v>
      </c>
      <c r="D371" s="101">
        <f t="shared" ca="1" si="21"/>
        <v>0.69314826963996146</v>
      </c>
      <c r="E371" s="101">
        <f t="shared" ca="1" si="22"/>
        <v>0</v>
      </c>
      <c r="F371" s="21">
        <f t="shared" ca="1" si="23"/>
        <v>0</v>
      </c>
      <c r="H371" s="21">
        <v>356</v>
      </c>
      <c r="I371" s="102">
        <v>0.66770865920231759</v>
      </c>
      <c r="J371" s="103">
        <v>1.3460128553527901E-3</v>
      </c>
      <c r="K371" s="103"/>
      <c r="L371" s="103">
        <v>4.2200000000000001E-2</v>
      </c>
      <c r="O371" s="100"/>
    </row>
    <row r="372" spans="2:15" x14ac:dyDescent="0.2">
      <c r="B372" s="1">
        <v>357</v>
      </c>
      <c r="C372" s="101">
        <f t="shared" ca="1" si="20"/>
        <v>-3.285391094912248</v>
      </c>
      <c r="D372" s="101">
        <f t="shared" ca="1" si="21"/>
        <v>0.4805651479189087</v>
      </c>
      <c r="E372" s="101">
        <f t="shared" ca="1" si="22"/>
        <v>0</v>
      </c>
      <c r="F372" s="21">
        <f t="shared" ca="1" si="23"/>
        <v>0</v>
      </c>
      <c r="H372" s="21">
        <v>357</v>
      </c>
      <c r="I372" s="102">
        <v>0.66775216169916729</v>
      </c>
      <c r="J372" s="103">
        <v>1.3050392031669243E-3</v>
      </c>
      <c r="K372" s="103"/>
      <c r="L372" s="103">
        <v>3.9600000000000003E-2</v>
      </c>
      <c r="O372" s="100"/>
    </row>
    <row r="373" spans="2:15" x14ac:dyDescent="0.2">
      <c r="B373" s="1">
        <v>358</v>
      </c>
      <c r="C373" s="101">
        <f t="shared" ca="1" si="20"/>
        <v>0.90762367781658193</v>
      </c>
      <c r="D373" s="101">
        <f t="shared" ca="1" si="21"/>
        <v>0.72673895313381365</v>
      </c>
      <c r="E373" s="101">
        <f t="shared" ca="1" si="22"/>
        <v>0</v>
      </c>
      <c r="F373" s="21">
        <f t="shared" ca="1" si="23"/>
        <v>0</v>
      </c>
      <c r="H373" s="21">
        <v>358</v>
      </c>
      <c r="I373" s="102">
        <v>0.66791208279508851</v>
      </c>
      <c r="J373" s="103">
        <v>1.6584517685013999E-3</v>
      </c>
      <c r="K373" s="103"/>
      <c r="L373" s="103">
        <v>4.9599999999999998E-2</v>
      </c>
      <c r="O373" s="100"/>
    </row>
    <row r="374" spans="2:15" x14ac:dyDescent="0.2">
      <c r="B374" s="1">
        <v>359</v>
      </c>
      <c r="C374" s="101">
        <f t="shared" ca="1" si="20"/>
        <v>0.234687109956457</v>
      </c>
      <c r="D374" s="101">
        <f t="shared" ca="1" si="21"/>
        <v>0.68006472927278305</v>
      </c>
      <c r="E374" s="101">
        <f t="shared" ca="1" si="22"/>
        <v>0</v>
      </c>
      <c r="F374" s="21">
        <f t="shared" ca="1" si="23"/>
        <v>0</v>
      </c>
      <c r="H374" s="21">
        <v>359</v>
      </c>
      <c r="I374" s="102">
        <v>0.66768410275221024</v>
      </c>
      <c r="J374" s="103">
        <v>1.373357501549039E-3</v>
      </c>
      <c r="K374" s="103"/>
      <c r="L374" s="103">
        <v>4.1000000000000002E-2</v>
      </c>
      <c r="O374" s="100"/>
    </row>
    <row r="375" spans="2:15" x14ac:dyDescent="0.2">
      <c r="B375" s="1">
        <v>360</v>
      </c>
      <c r="C375" s="101">
        <f t="shared" ca="1" si="20"/>
        <v>-0.2635206506928463</v>
      </c>
      <c r="D375" s="101">
        <f t="shared" ca="1" si="21"/>
        <v>0.64745164401656652</v>
      </c>
      <c r="E375" s="101">
        <f t="shared" ca="1" si="22"/>
        <v>0</v>
      </c>
      <c r="F375" s="21">
        <f t="shared" ca="1" si="23"/>
        <v>0</v>
      </c>
      <c r="H375" s="21">
        <v>360</v>
      </c>
      <c r="I375" s="102">
        <v>0.66776180829262566</v>
      </c>
      <c r="J375" s="103">
        <v>1.5643735825019635E-3</v>
      </c>
      <c r="K375" s="103"/>
      <c r="L375" s="103">
        <v>4.2000000000000003E-2</v>
      </c>
      <c r="O375" s="100"/>
    </row>
    <row r="376" spans="2:15" x14ac:dyDescent="0.2">
      <c r="B376" s="1">
        <v>361</v>
      </c>
      <c r="C376" s="101">
        <f t="shared" ca="1" si="20"/>
        <v>0.25614390568804318</v>
      </c>
      <c r="D376" s="101">
        <f t="shared" ca="1" si="21"/>
        <v>0.68150562879614474</v>
      </c>
      <c r="E376" s="101">
        <f t="shared" ca="1" si="22"/>
        <v>0</v>
      </c>
      <c r="F376" s="21">
        <f t="shared" ca="1" si="23"/>
        <v>0</v>
      </c>
      <c r="H376" s="21">
        <v>361</v>
      </c>
      <c r="I376" s="102">
        <v>0.6678653982726509</v>
      </c>
      <c r="J376" s="103">
        <v>1.4613258844155899E-3</v>
      </c>
      <c r="K376" s="103"/>
      <c r="L376" s="103">
        <v>4.4200000000000003E-2</v>
      </c>
      <c r="O376" s="100"/>
    </row>
    <row r="377" spans="2:15" x14ac:dyDescent="0.2">
      <c r="B377" s="1">
        <v>362</v>
      </c>
      <c r="C377" s="101">
        <f t="shared" ca="1" si="20"/>
        <v>-0.77680456882511684</v>
      </c>
      <c r="D377" s="101">
        <f t="shared" ca="1" si="21"/>
        <v>0.61548655635019356</v>
      </c>
      <c r="E377" s="101">
        <f t="shared" ca="1" si="22"/>
        <v>0</v>
      </c>
      <c r="F377" s="21">
        <f t="shared" ca="1" si="23"/>
        <v>0</v>
      </c>
      <c r="H377" s="21">
        <v>362</v>
      </c>
      <c r="I377" s="102">
        <v>0.66778889790121687</v>
      </c>
      <c r="J377" s="103">
        <v>1.4318869722497764E-3</v>
      </c>
      <c r="K377" s="103"/>
      <c r="L377" s="103">
        <v>4.2200000000000001E-2</v>
      </c>
      <c r="O377" s="100"/>
    </row>
    <row r="378" spans="2:15" x14ac:dyDescent="0.2">
      <c r="B378" s="1">
        <v>363</v>
      </c>
      <c r="C378" s="101">
        <f t="shared" ca="1" si="20"/>
        <v>-1.1212385797043523</v>
      </c>
      <c r="D378" s="101">
        <f t="shared" ca="1" si="21"/>
        <v>0.5949263855211584</v>
      </c>
      <c r="E378" s="101">
        <f t="shared" ca="1" si="22"/>
        <v>0</v>
      </c>
      <c r="F378" s="21">
        <f t="shared" ca="1" si="23"/>
        <v>0</v>
      </c>
      <c r="H378" s="21">
        <v>363</v>
      </c>
      <c r="I378" s="102">
        <v>0.66770501769428736</v>
      </c>
      <c r="J378" s="103">
        <v>1.3898652132220842E-3</v>
      </c>
      <c r="K378" s="103"/>
      <c r="L378" s="103">
        <v>4.2999999999999997E-2</v>
      </c>
      <c r="O378" s="100"/>
    </row>
    <row r="379" spans="2:15" x14ac:dyDescent="0.2">
      <c r="B379" s="1">
        <v>364</v>
      </c>
      <c r="C379" s="101">
        <f t="shared" ca="1" si="20"/>
        <v>-1.5542915299441831</v>
      </c>
      <c r="D379" s="101">
        <f t="shared" ca="1" si="21"/>
        <v>0.57004810895342217</v>
      </c>
      <c r="E379" s="101">
        <f t="shared" ca="1" si="22"/>
        <v>0</v>
      </c>
      <c r="F379" s="21">
        <f t="shared" ca="1" si="23"/>
        <v>0</v>
      </c>
      <c r="H379" s="21">
        <v>364</v>
      </c>
      <c r="I379" s="102">
        <v>0.66781462750621456</v>
      </c>
      <c r="J379" s="103">
        <v>1.4582495396785623E-3</v>
      </c>
      <c r="K379" s="103"/>
      <c r="L379" s="103">
        <v>0.04</v>
      </c>
      <c r="O379" s="100"/>
    </row>
    <row r="380" spans="2:15" x14ac:dyDescent="0.2">
      <c r="B380" s="1">
        <v>365</v>
      </c>
      <c r="C380" s="101">
        <f t="shared" ca="1" si="20"/>
        <v>-0.17646940913101469</v>
      </c>
      <c r="D380" s="101">
        <f t="shared" ca="1" si="21"/>
        <v>0.65303515215177188</v>
      </c>
      <c r="E380" s="101">
        <f t="shared" ca="1" si="22"/>
        <v>0</v>
      </c>
      <c r="F380" s="21">
        <f t="shared" ca="1" si="23"/>
        <v>0</v>
      </c>
      <c r="H380" s="21">
        <v>365</v>
      </c>
      <c r="I380" s="102">
        <v>0.6678035680447415</v>
      </c>
      <c r="J380" s="103">
        <v>1.4260007542790379E-3</v>
      </c>
      <c r="K380" s="103"/>
      <c r="L380" s="103">
        <v>4.36E-2</v>
      </c>
      <c r="O380" s="100"/>
    </row>
    <row r="381" spans="2:15" x14ac:dyDescent="0.2">
      <c r="B381" s="1">
        <v>366</v>
      </c>
      <c r="C381" s="101">
        <f t="shared" ca="1" si="20"/>
        <v>2.0656695200273525</v>
      </c>
      <c r="D381" s="101">
        <f t="shared" ca="1" si="21"/>
        <v>0.8146825402001221</v>
      </c>
      <c r="E381" s="101">
        <f t="shared" ca="1" si="22"/>
        <v>2.6482540200122084E-2</v>
      </c>
      <c r="F381" s="21">
        <f t="shared" ca="1" si="23"/>
        <v>1</v>
      </c>
      <c r="H381" s="21">
        <v>366</v>
      </c>
      <c r="I381" s="102">
        <v>0.66779931456564368</v>
      </c>
      <c r="J381" s="103">
        <v>1.4702795296870903E-3</v>
      </c>
      <c r="K381" s="103"/>
      <c r="L381" s="103">
        <v>4.24E-2</v>
      </c>
      <c r="O381" s="100"/>
    </row>
    <row r="382" spans="2:15" x14ac:dyDescent="0.2">
      <c r="B382" s="1">
        <v>367</v>
      </c>
      <c r="C382" s="101">
        <f t="shared" ca="1" si="20"/>
        <v>-1.0836493278686059</v>
      </c>
      <c r="D382" s="101">
        <f t="shared" ca="1" si="21"/>
        <v>0.59713638011895287</v>
      </c>
      <c r="E382" s="101">
        <f t="shared" ca="1" si="22"/>
        <v>0</v>
      </c>
      <c r="F382" s="21">
        <f t="shared" ca="1" si="23"/>
        <v>0</v>
      </c>
      <c r="H382" s="21">
        <v>367</v>
      </c>
      <c r="I382" s="102">
        <v>0.66762551169283224</v>
      </c>
      <c r="J382" s="103">
        <v>1.2109442535127878E-3</v>
      </c>
      <c r="K382" s="103"/>
      <c r="L382" s="103">
        <v>3.8399999999999997E-2</v>
      </c>
      <c r="O382" s="100"/>
    </row>
    <row r="383" spans="2:15" x14ac:dyDescent="0.2">
      <c r="B383" s="1">
        <v>368</v>
      </c>
      <c r="C383" s="101">
        <f t="shared" ca="1" si="20"/>
        <v>0.7657934222319891</v>
      </c>
      <c r="D383" s="101">
        <f t="shared" ca="1" si="21"/>
        <v>0.71664243088539537</v>
      </c>
      <c r="E383" s="101">
        <f t="shared" ca="1" si="22"/>
        <v>0</v>
      </c>
      <c r="F383" s="21">
        <f t="shared" ca="1" si="23"/>
        <v>0</v>
      </c>
      <c r="H383" s="21">
        <v>368</v>
      </c>
      <c r="I383" s="102">
        <v>0.66759606327988463</v>
      </c>
      <c r="J383" s="103">
        <v>1.2238262258224639E-3</v>
      </c>
      <c r="K383" s="103"/>
      <c r="L383" s="103">
        <v>3.6799999999999999E-2</v>
      </c>
      <c r="O383" s="100"/>
    </row>
    <row r="384" spans="2:15" x14ac:dyDescent="0.2">
      <c r="B384" s="1">
        <v>369</v>
      </c>
      <c r="C384" s="101">
        <f t="shared" ca="1" si="20"/>
        <v>-1.7612640127906629</v>
      </c>
      <c r="D384" s="101">
        <f t="shared" ca="1" si="21"/>
        <v>0.55852798173261375</v>
      </c>
      <c r="E384" s="101">
        <f t="shared" ca="1" si="22"/>
        <v>0</v>
      </c>
      <c r="F384" s="21">
        <f t="shared" ca="1" si="23"/>
        <v>0</v>
      </c>
      <c r="H384" s="21">
        <v>369</v>
      </c>
      <c r="I384" s="102">
        <v>0.66779600212435086</v>
      </c>
      <c r="J384" s="103">
        <v>1.4316894109005997E-3</v>
      </c>
      <c r="K384" s="103"/>
      <c r="L384" s="103">
        <v>4.2999999999999997E-2</v>
      </c>
      <c r="O384" s="100"/>
    </row>
    <row r="385" spans="2:15" x14ac:dyDescent="0.2">
      <c r="B385" s="1">
        <v>370</v>
      </c>
      <c r="C385" s="101">
        <f t="shared" ca="1" si="20"/>
        <v>-0.42665958627940131</v>
      </c>
      <c r="D385" s="101">
        <f t="shared" ca="1" si="21"/>
        <v>0.63711608042640178</v>
      </c>
      <c r="E385" s="101">
        <f t="shared" ca="1" si="22"/>
        <v>0</v>
      </c>
      <c r="F385" s="21">
        <f t="shared" ca="1" si="23"/>
        <v>0</v>
      </c>
      <c r="H385" s="21">
        <v>370</v>
      </c>
      <c r="I385" s="102">
        <v>0.6677831850553777</v>
      </c>
      <c r="J385" s="103">
        <v>1.3102583346048099E-3</v>
      </c>
      <c r="K385" s="103"/>
      <c r="L385" s="103">
        <v>4.1200000000000001E-2</v>
      </c>
      <c r="O385" s="100"/>
    </row>
    <row r="386" spans="2:15" x14ac:dyDescent="0.2">
      <c r="B386" s="1">
        <v>371</v>
      </c>
      <c r="C386" s="101">
        <f t="shared" ca="1" si="20"/>
        <v>0.9150641459875325</v>
      </c>
      <c r="D386" s="101">
        <f t="shared" ca="1" si="21"/>
        <v>0.72727252999151082</v>
      </c>
      <c r="E386" s="101">
        <f t="shared" ca="1" si="22"/>
        <v>0</v>
      </c>
      <c r="F386" s="21">
        <f t="shared" ca="1" si="23"/>
        <v>0</v>
      </c>
      <c r="H386" s="21">
        <v>371</v>
      </c>
      <c r="I386" s="102">
        <v>0.66761128891325727</v>
      </c>
      <c r="J386" s="103">
        <v>1.3795265634379415E-3</v>
      </c>
      <c r="K386" s="103"/>
      <c r="L386" s="103">
        <v>4.0599999999999997E-2</v>
      </c>
      <c r="O386" s="100"/>
    </row>
    <row r="387" spans="2:15" x14ac:dyDescent="0.2">
      <c r="B387" s="1">
        <v>372</v>
      </c>
      <c r="C387" s="101">
        <f t="shared" ca="1" si="20"/>
        <v>-1.6936815879468274</v>
      </c>
      <c r="D387" s="101">
        <f t="shared" ca="1" si="21"/>
        <v>0.56226380227128081</v>
      </c>
      <c r="E387" s="101">
        <f t="shared" ca="1" si="22"/>
        <v>0</v>
      </c>
      <c r="F387" s="21">
        <f t="shared" ca="1" si="23"/>
        <v>0</v>
      </c>
      <c r="H387" s="21">
        <v>372</v>
      </c>
      <c r="I387" s="102">
        <v>0.66757060019911341</v>
      </c>
      <c r="J387" s="103">
        <v>1.2262029885517017E-3</v>
      </c>
      <c r="K387" s="103"/>
      <c r="L387" s="103">
        <v>3.9399999999999998E-2</v>
      </c>
      <c r="O387" s="100"/>
    </row>
    <row r="388" spans="2:15" x14ac:dyDescent="0.2">
      <c r="B388" s="1">
        <v>373</v>
      </c>
      <c r="C388" s="101">
        <f t="shared" ca="1" si="20"/>
        <v>-0.76021654616735235</v>
      </c>
      <c r="D388" s="101">
        <f t="shared" ca="1" si="21"/>
        <v>0.61649447957101744</v>
      </c>
      <c r="E388" s="101">
        <f t="shared" ca="1" si="22"/>
        <v>0</v>
      </c>
      <c r="F388" s="21">
        <f t="shared" ca="1" si="23"/>
        <v>0</v>
      </c>
      <c r="H388" s="21">
        <v>373</v>
      </c>
      <c r="I388" s="102">
        <v>0.66792235633045338</v>
      </c>
      <c r="J388" s="103">
        <v>1.5096027098360153E-3</v>
      </c>
      <c r="K388" s="103"/>
      <c r="L388" s="103">
        <v>4.5199999999999997E-2</v>
      </c>
      <c r="O388" s="100"/>
    </row>
    <row r="389" spans="2:15" x14ac:dyDescent="0.2">
      <c r="B389" s="1">
        <v>374</v>
      </c>
      <c r="C389" s="101">
        <f t="shared" ca="1" si="20"/>
        <v>-0.75242008346138323</v>
      </c>
      <c r="D389" s="101">
        <f t="shared" ca="1" si="21"/>
        <v>0.6169687791149312</v>
      </c>
      <c r="E389" s="101">
        <f t="shared" ca="1" si="22"/>
        <v>0</v>
      </c>
      <c r="F389" s="21">
        <f t="shared" ca="1" si="23"/>
        <v>0</v>
      </c>
      <c r="H389" s="21">
        <v>374</v>
      </c>
      <c r="I389" s="102">
        <v>0.66772635268120628</v>
      </c>
      <c r="J389" s="103">
        <v>1.4530571946272817E-3</v>
      </c>
      <c r="K389" s="103"/>
      <c r="L389" s="103">
        <v>4.4400000000000002E-2</v>
      </c>
      <c r="O389" s="100"/>
    </row>
    <row r="390" spans="2:15" x14ac:dyDescent="0.2">
      <c r="B390" s="1">
        <v>375</v>
      </c>
      <c r="C390" s="101">
        <f t="shared" ca="1" si="20"/>
        <v>-0.32095217070577481</v>
      </c>
      <c r="D390" s="101">
        <f t="shared" ca="1" si="21"/>
        <v>0.64379412186879703</v>
      </c>
      <c r="E390" s="101">
        <f t="shared" ca="1" si="22"/>
        <v>0</v>
      </c>
      <c r="F390" s="21">
        <f t="shared" ca="1" si="23"/>
        <v>0</v>
      </c>
      <c r="H390" s="21">
        <v>375</v>
      </c>
      <c r="I390" s="102">
        <v>0.66778224561529909</v>
      </c>
      <c r="J390" s="103">
        <v>1.477188127233179E-3</v>
      </c>
      <c r="K390" s="103"/>
      <c r="L390" s="103">
        <v>4.36E-2</v>
      </c>
      <c r="O390" s="100"/>
    </row>
    <row r="391" spans="2:15" x14ac:dyDescent="0.2">
      <c r="B391" s="1">
        <v>376</v>
      </c>
      <c r="C391" s="101">
        <f t="shared" ca="1" si="20"/>
        <v>-4.2390847603346223E-2</v>
      </c>
      <c r="D391" s="101">
        <f t="shared" ca="1" si="21"/>
        <v>0.66172935740486505</v>
      </c>
      <c r="E391" s="101">
        <f t="shared" ca="1" si="22"/>
        <v>0</v>
      </c>
      <c r="F391" s="21">
        <f t="shared" ca="1" si="23"/>
        <v>0</v>
      </c>
      <c r="H391" s="21">
        <v>376</v>
      </c>
      <c r="I391" s="102">
        <v>0.66771458062636024</v>
      </c>
      <c r="J391" s="103">
        <v>1.3639800789323117E-3</v>
      </c>
      <c r="K391" s="103"/>
      <c r="L391" s="103">
        <v>4.4999999999999998E-2</v>
      </c>
      <c r="O391" s="100"/>
    </row>
    <row r="392" spans="2:15" x14ac:dyDescent="0.2">
      <c r="B392" s="1">
        <v>377</v>
      </c>
      <c r="C392" s="101">
        <f t="shared" ca="1" si="20"/>
        <v>0.21637044728233859</v>
      </c>
      <c r="D392" s="101">
        <f t="shared" ca="1" si="21"/>
        <v>0.6788371113478272</v>
      </c>
      <c r="E392" s="101">
        <f t="shared" ca="1" si="22"/>
        <v>0</v>
      </c>
      <c r="F392" s="21">
        <f t="shared" ca="1" si="23"/>
        <v>0</v>
      </c>
      <c r="H392" s="21">
        <v>377</v>
      </c>
      <c r="I392" s="102">
        <v>0.66770175638725537</v>
      </c>
      <c r="J392" s="103">
        <v>1.1668701520214089E-3</v>
      </c>
      <c r="K392" s="103"/>
      <c r="L392" s="103">
        <v>3.9600000000000003E-2</v>
      </c>
      <c r="O392" s="100"/>
    </row>
    <row r="393" spans="2:15" x14ac:dyDescent="0.2">
      <c r="B393" s="1">
        <v>378</v>
      </c>
      <c r="C393" s="101">
        <f t="shared" ca="1" si="20"/>
        <v>-0.46451850549839024</v>
      </c>
      <c r="D393" s="101">
        <f t="shared" ca="1" si="21"/>
        <v>0.63474123687366224</v>
      </c>
      <c r="E393" s="101">
        <f t="shared" ca="1" si="22"/>
        <v>0</v>
      </c>
      <c r="F393" s="21">
        <f t="shared" ca="1" si="23"/>
        <v>0</v>
      </c>
      <c r="H393" s="21">
        <v>378</v>
      </c>
      <c r="I393" s="102">
        <v>0.66776343140566508</v>
      </c>
      <c r="J393" s="103">
        <v>1.3159198091912271E-3</v>
      </c>
      <c r="K393" s="103"/>
      <c r="L393" s="103">
        <v>4.02E-2</v>
      </c>
      <c r="O393" s="100"/>
    </row>
    <row r="394" spans="2:15" x14ac:dyDescent="0.2">
      <c r="B394" s="1">
        <v>379</v>
      </c>
      <c r="C394" s="101">
        <f t="shared" ca="1" si="20"/>
        <v>1.4601547079579174</v>
      </c>
      <c r="D394" s="101">
        <f t="shared" ca="1" si="21"/>
        <v>0.76744723836522177</v>
      </c>
      <c r="E394" s="101">
        <f t="shared" ca="1" si="22"/>
        <v>0</v>
      </c>
      <c r="F394" s="21">
        <f t="shared" ca="1" si="23"/>
        <v>0</v>
      </c>
      <c r="H394" s="21">
        <v>379</v>
      </c>
      <c r="I394" s="102">
        <v>0.66781377667492359</v>
      </c>
      <c r="J394" s="103">
        <v>1.4851958104280772E-3</v>
      </c>
      <c r="K394" s="103"/>
      <c r="L394" s="103">
        <v>4.1399999999999999E-2</v>
      </c>
      <c r="O394" s="100"/>
    </row>
    <row r="395" spans="2:15" x14ac:dyDescent="0.2">
      <c r="B395" s="1">
        <v>380</v>
      </c>
      <c r="C395" s="101">
        <f t="shared" ca="1" si="20"/>
        <v>-0.72051618937393203</v>
      </c>
      <c r="D395" s="101">
        <f t="shared" ca="1" si="21"/>
        <v>0.61891346442696693</v>
      </c>
      <c r="E395" s="101">
        <f t="shared" ca="1" si="22"/>
        <v>0</v>
      </c>
      <c r="F395" s="21">
        <f t="shared" ca="1" si="23"/>
        <v>0</v>
      </c>
      <c r="H395" s="21">
        <v>380</v>
      </c>
      <c r="I395" s="102">
        <v>0.66773699283039445</v>
      </c>
      <c r="J395" s="103">
        <v>1.3396275163085293E-3</v>
      </c>
      <c r="K395" s="103"/>
      <c r="L395" s="103">
        <v>4.2000000000000003E-2</v>
      </c>
      <c r="O395" s="100"/>
    </row>
    <row r="396" spans="2:15" x14ac:dyDescent="0.2">
      <c r="B396" s="1">
        <v>381</v>
      </c>
      <c r="C396" s="101">
        <f t="shared" ca="1" si="20"/>
        <v>0.32625484977495484</v>
      </c>
      <c r="D396" s="101">
        <f t="shared" ca="1" si="21"/>
        <v>0.68623514571423128</v>
      </c>
      <c r="E396" s="101">
        <f t="shared" ca="1" si="22"/>
        <v>0</v>
      </c>
      <c r="F396" s="21">
        <f t="shared" ca="1" si="23"/>
        <v>0</v>
      </c>
      <c r="H396" s="21">
        <v>381</v>
      </c>
      <c r="I396" s="102">
        <v>0.66781523406477505</v>
      </c>
      <c r="J396" s="103">
        <v>1.6367307788888159E-3</v>
      </c>
      <c r="K396" s="103"/>
      <c r="L396" s="103">
        <v>4.58E-2</v>
      </c>
      <c r="O396" s="100"/>
    </row>
    <row r="397" spans="2:15" x14ac:dyDescent="0.2">
      <c r="B397" s="1">
        <v>382</v>
      </c>
      <c r="C397" s="101">
        <f t="shared" ca="1" si="20"/>
        <v>0.24887091712990872</v>
      </c>
      <c r="D397" s="101">
        <f t="shared" ca="1" si="21"/>
        <v>0.68101688025248885</v>
      </c>
      <c r="E397" s="101">
        <f t="shared" ca="1" si="22"/>
        <v>0</v>
      </c>
      <c r="F397" s="21">
        <f t="shared" ca="1" si="23"/>
        <v>0</v>
      </c>
      <c r="H397" s="21">
        <v>382</v>
      </c>
      <c r="I397" s="102">
        <v>0.66779108245803276</v>
      </c>
      <c r="J397" s="103">
        <v>1.4130613042475594E-3</v>
      </c>
      <c r="K397" s="103"/>
      <c r="L397" s="103">
        <v>4.1000000000000002E-2</v>
      </c>
      <c r="O397" s="100"/>
    </row>
    <row r="398" spans="2:15" x14ac:dyDescent="0.2">
      <c r="B398" s="1">
        <v>383</v>
      </c>
      <c r="C398" s="101">
        <f t="shared" ca="1" si="20"/>
        <v>1.2515301230428049E-2</v>
      </c>
      <c r="D398" s="101">
        <f t="shared" ca="1" si="21"/>
        <v>0.66532301661026383</v>
      </c>
      <c r="E398" s="101">
        <f t="shared" ca="1" si="22"/>
        <v>0</v>
      </c>
      <c r="F398" s="21">
        <f t="shared" ca="1" si="23"/>
        <v>0</v>
      </c>
      <c r="H398" s="21">
        <v>383</v>
      </c>
      <c r="I398" s="102">
        <v>0.66781054371931192</v>
      </c>
      <c r="J398" s="103">
        <v>1.503250163324618E-3</v>
      </c>
      <c r="K398" s="103"/>
      <c r="L398" s="103">
        <v>4.1399999999999999E-2</v>
      </c>
      <c r="O398" s="100"/>
    </row>
    <row r="399" spans="2:15" x14ac:dyDescent="0.2">
      <c r="B399" s="1">
        <v>384</v>
      </c>
      <c r="C399" s="101">
        <f t="shared" ca="1" si="20"/>
        <v>0.82815242411074153</v>
      </c>
      <c r="D399" s="101">
        <f t="shared" ca="1" si="21"/>
        <v>0.721064209240182</v>
      </c>
      <c r="E399" s="101">
        <f t="shared" ca="1" si="22"/>
        <v>0</v>
      </c>
      <c r="F399" s="21">
        <f t="shared" ca="1" si="23"/>
        <v>0</v>
      </c>
      <c r="H399" s="21">
        <v>384</v>
      </c>
      <c r="I399" s="102">
        <v>0.66772237717150096</v>
      </c>
      <c r="J399" s="103">
        <v>1.4288594790331796E-3</v>
      </c>
      <c r="K399" s="103"/>
      <c r="L399" s="103">
        <v>4.1399999999999999E-2</v>
      </c>
      <c r="O399" s="100"/>
    </row>
    <row r="400" spans="2:15" x14ac:dyDescent="0.2">
      <c r="B400" s="1">
        <v>385</v>
      </c>
      <c r="C400" s="101">
        <f t="shared" ref="C400:C463" ca="1" si="24">_xlfn.NORM.S.INV(RAND())</f>
        <v>0.45649283906990429</v>
      </c>
      <c r="D400" s="101">
        <f t="shared" ref="D400:D463" ca="1" si="25">S0*EXP((μ-0.5*σ*σ)*T+σ*SQRT(T)*$C400)</f>
        <v>0.6951079761950556</v>
      </c>
      <c r="E400" s="101">
        <f t="shared" ref="E400:E463" ca="1" si="26">MAX(0,CP*(D400-K))</f>
        <v>0</v>
      </c>
      <c r="F400" s="21">
        <f t="shared" ref="F400:F463" ca="1" si="27">(CP*(D400-K)&gt;0)*1</f>
        <v>0</v>
      </c>
      <c r="H400" s="21">
        <v>385</v>
      </c>
      <c r="I400" s="102">
        <v>0.66779999529988077</v>
      </c>
      <c r="J400" s="103">
        <v>1.4332158017731028E-3</v>
      </c>
      <c r="K400" s="103"/>
      <c r="L400" s="103">
        <v>3.8800000000000001E-2</v>
      </c>
      <c r="O400" s="100"/>
    </row>
    <row r="401" spans="2:15" x14ac:dyDescent="0.2">
      <c r="B401" s="1">
        <v>386</v>
      </c>
      <c r="C401" s="101">
        <f t="shared" ca="1" si="24"/>
        <v>-0.36420362474925316</v>
      </c>
      <c r="D401" s="101">
        <f t="shared" ca="1" si="25"/>
        <v>0.64105330185685894</v>
      </c>
      <c r="E401" s="101">
        <f t="shared" ca="1" si="26"/>
        <v>0</v>
      </c>
      <c r="F401" s="21">
        <f t="shared" ca="1" si="27"/>
        <v>0</v>
      </c>
      <c r="H401" s="21">
        <v>386</v>
      </c>
      <c r="I401" s="102">
        <v>0.66772842665748644</v>
      </c>
      <c r="J401" s="103">
        <v>1.5072565454927228E-3</v>
      </c>
      <c r="K401" s="103"/>
      <c r="L401" s="103">
        <v>4.2799999999999998E-2</v>
      </c>
      <c r="O401" s="100"/>
    </row>
    <row r="402" spans="2:15" x14ac:dyDescent="0.2">
      <c r="B402" s="1">
        <v>387</v>
      </c>
      <c r="C402" s="101">
        <f t="shared" ca="1" si="24"/>
        <v>0.49617779604394086</v>
      </c>
      <c r="D402" s="101">
        <f t="shared" ca="1" si="25"/>
        <v>0.69783436257335729</v>
      </c>
      <c r="E402" s="101">
        <f t="shared" ca="1" si="26"/>
        <v>0</v>
      </c>
      <c r="F402" s="21">
        <f t="shared" ca="1" si="27"/>
        <v>0</v>
      </c>
      <c r="H402" s="21">
        <v>387</v>
      </c>
      <c r="I402" s="102">
        <v>0.66778405443305444</v>
      </c>
      <c r="J402" s="103">
        <v>1.4740961486457047E-3</v>
      </c>
      <c r="K402" s="103"/>
      <c r="L402" s="103">
        <v>4.3400000000000001E-2</v>
      </c>
      <c r="O402" s="100"/>
    </row>
    <row r="403" spans="2:15" x14ac:dyDescent="0.2">
      <c r="B403" s="1">
        <v>388</v>
      </c>
      <c r="C403" s="101">
        <f t="shared" ca="1" si="24"/>
        <v>-0.67958145106279833</v>
      </c>
      <c r="D403" s="101">
        <f t="shared" ca="1" si="25"/>
        <v>0.62141760067264273</v>
      </c>
      <c r="E403" s="101">
        <f t="shared" ca="1" si="26"/>
        <v>0</v>
      </c>
      <c r="F403" s="21">
        <f t="shared" ca="1" si="27"/>
        <v>0</v>
      </c>
      <c r="H403" s="21">
        <v>388</v>
      </c>
      <c r="I403" s="102">
        <v>0.66770967940292592</v>
      </c>
      <c r="J403" s="103">
        <v>1.3840474411907205E-3</v>
      </c>
      <c r="K403" s="103"/>
      <c r="L403" s="103">
        <v>4.1799999999999997E-2</v>
      </c>
      <c r="O403" s="100"/>
    </row>
    <row r="404" spans="2:15" x14ac:dyDescent="0.2">
      <c r="B404" s="1">
        <v>389</v>
      </c>
      <c r="C404" s="101">
        <f t="shared" ca="1" si="24"/>
        <v>1.0760487242091605</v>
      </c>
      <c r="D404" s="101">
        <f t="shared" ca="1" si="25"/>
        <v>0.7389136069916834</v>
      </c>
      <c r="E404" s="101">
        <f t="shared" ca="1" si="26"/>
        <v>0</v>
      </c>
      <c r="F404" s="21">
        <f t="shared" ca="1" si="27"/>
        <v>0</v>
      </c>
      <c r="H404" s="21">
        <v>389</v>
      </c>
      <c r="I404" s="102">
        <v>0.66757093889032104</v>
      </c>
      <c r="J404" s="103">
        <v>1.137998694779955E-3</v>
      </c>
      <c r="K404" s="103"/>
      <c r="L404" s="103">
        <v>3.8600000000000002E-2</v>
      </c>
      <c r="O404" s="100"/>
    </row>
    <row r="405" spans="2:15" x14ac:dyDescent="0.2">
      <c r="B405" s="1">
        <v>390</v>
      </c>
      <c r="C405" s="101">
        <f t="shared" ca="1" si="24"/>
        <v>0.55036067462505134</v>
      </c>
      <c r="D405" s="101">
        <f t="shared" ca="1" si="25"/>
        <v>0.70157404241481169</v>
      </c>
      <c r="E405" s="101">
        <f t="shared" ca="1" si="26"/>
        <v>0</v>
      </c>
      <c r="F405" s="21">
        <f t="shared" ca="1" si="27"/>
        <v>0</v>
      </c>
      <c r="H405" s="21">
        <v>390</v>
      </c>
      <c r="I405" s="102">
        <v>0.66768667148928107</v>
      </c>
      <c r="J405" s="103">
        <v>1.3465801846602678E-3</v>
      </c>
      <c r="K405" s="103"/>
      <c r="L405" s="103">
        <v>3.9600000000000003E-2</v>
      </c>
      <c r="O405" s="100"/>
    </row>
    <row r="406" spans="2:15" x14ac:dyDescent="0.2">
      <c r="B406" s="1">
        <v>391</v>
      </c>
      <c r="C406" s="101">
        <f t="shared" ca="1" si="24"/>
        <v>0.27502906164278373</v>
      </c>
      <c r="D406" s="101">
        <f t="shared" ca="1" si="25"/>
        <v>0.68277635943221604</v>
      </c>
      <c r="E406" s="101">
        <f t="shared" ca="1" si="26"/>
        <v>0</v>
      </c>
      <c r="F406" s="21">
        <f t="shared" ca="1" si="27"/>
        <v>0</v>
      </c>
      <c r="H406" s="21">
        <v>391</v>
      </c>
      <c r="I406" s="102">
        <v>0.66774404278488286</v>
      </c>
      <c r="J406" s="103">
        <v>1.3159866839830326E-3</v>
      </c>
      <c r="K406" s="103"/>
      <c r="L406" s="103">
        <v>4.1399999999999999E-2</v>
      </c>
      <c r="O406" s="100"/>
    </row>
    <row r="407" spans="2:15" x14ac:dyDescent="0.2">
      <c r="B407" s="1">
        <v>392</v>
      </c>
      <c r="C407" s="101">
        <f t="shared" ca="1" si="24"/>
        <v>-0.37405404742042336</v>
      </c>
      <c r="D407" s="101">
        <f t="shared" ca="1" si="25"/>
        <v>0.64043071932370699</v>
      </c>
      <c r="E407" s="101">
        <f t="shared" ca="1" si="26"/>
        <v>0</v>
      </c>
      <c r="F407" s="21">
        <f t="shared" ca="1" si="27"/>
        <v>0</v>
      </c>
      <c r="H407" s="21">
        <v>392</v>
      </c>
      <c r="I407" s="102">
        <v>0.66785365543051323</v>
      </c>
      <c r="J407" s="103">
        <v>1.3949218663119396E-3</v>
      </c>
      <c r="K407" s="103"/>
      <c r="L407" s="103">
        <v>4.7399999999999998E-2</v>
      </c>
      <c r="O407" s="100"/>
    </row>
    <row r="408" spans="2:15" x14ac:dyDescent="0.2">
      <c r="B408" s="1">
        <v>393</v>
      </c>
      <c r="C408" s="101">
        <f t="shared" ca="1" si="24"/>
        <v>1.49439598607468</v>
      </c>
      <c r="D408" s="101">
        <f t="shared" ca="1" si="25"/>
        <v>0.77004375458269803</v>
      </c>
      <c r="E408" s="101">
        <f t="shared" ca="1" si="26"/>
        <v>0</v>
      </c>
      <c r="F408" s="21">
        <f t="shared" ca="1" si="27"/>
        <v>0</v>
      </c>
      <c r="H408" s="21">
        <v>393</v>
      </c>
      <c r="I408" s="102">
        <v>0.66775316066029766</v>
      </c>
      <c r="J408" s="103">
        <v>1.3949808797970749E-3</v>
      </c>
      <c r="K408" s="103"/>
      <c r="L408" s="103">
        <v>4.2200000000000001E-2</v>
      </c>
      <c r="O408" s="100"/>
    </row>
    <row r="409" spans="2:15" x14ac:dyDescent="0.2">
      <c r="B409" s="1">
        <v>394</v>
      </c>
      <c r="C409" s="101">
        <f t="shared" ca="1" si="24"/>
        <v>0.48208247443099134</v>
      </c>
      <c r="D409" s="101">
        <f t="shared" ca="1" si="25"/>
        <v>0.69686478098744942</v>
      </c>
      <c r="E409" s="101">
        <f t="shared" ca="1" si="26"/>
        <v>0</v>
      </c>
      <c r="F409" s="21">
        <f t="shared" ca="1" si="27"/>
        <v>0</v>
      </c>
      <c r="H409" s="21">
        <v>394</v>
      </c>
      <c r="I409" s="102">
        <v>0.66791491760159505</v>
      </c>
      <c r="J409" s="103">
        <v>1.5297068101920335E-3</v>
      </c>
      <c r="K409" s="103"/>
      <c r="L409" s="103">
        <v>4.4400000000000002E-2</v>
      </c>
      <c r="O409" s="100"/>
    </row>
    <row r="410" spans="2:15" x14ac:dyDescent="0.2">
      <c r="B410" s="1">
        <v>395</v>
      </c>
      <c r="C410" s="101">
        <f t="shared" ca="1" si="24"/>
        <v>-0.84273415960338749</v>
      </c>
      <c r="D410" s="101">
        <f t="shared" ca="1" si="25"/>
        <v>0.61149679952839953</v>
      </c>
      <c r="E410" s="101">
        <f t="shared" ca="1" si="26"/>
        <v>0</v>
      </c>
      <c r="F410" s="21">
        <f t="shared" ca="1" si="27"/>
        <v>0</v>
      </c>
      <c r="H410" s="21">
        <v>395</v>
      </c>
      <c r="I410" s="102">
        <v>0.66775621334338731</v>
      </c>
      <c r="J410" s="103">
        <v>1.4238456441230348E-3</v>
      </c>
      <c r="K410" s="103"/>
      <c r="L410" s="103">
        <v>4.1599999999999998E-2</v>
      </c>
      <c r="O410" s="100"/>
    </row>
    <row r="411" spans="2:15" x14ac:dyDescent="0.2">
      <c r="B411" s="1">
        <v>396</v>
      </c>
      <c r="C411" s="101">
        <f t="shared" ca="1" si="24"/>
        <v>-0.41716108672804009</v>
      </c>
      <c r="D411" s="101">
        <f t="shared" ca="1" si="25"/>
        <v>0.63771330262859183</v>
      </c>
      <c r="E411" s="101">
        <f t="shared" ca="1" si="26"/>
        <v>0</v>
      </c>
      <c r="F411" s="21">
        <f t="shared" ca="1" si="27"/>
        <v>0</v>
      </c>
      <c r="H411" s="21">
        <v>396</v>
      </c>
      <c r="I411" s="102">
        <v>0.66785141365926459</v>
      </c>
      <c r="J411" s="103">
        <v>1.5328236551850633E-3</v>
      </c>
      <c r="K411" s="103"/>
      <c r="L411" s="103">
        <v>4.6199999999999998E-2</v>
      </c>
      <c r="O411" s="100"/>
    </row>
    <row r="412" spans="2:15" x14ac:dyDescent="0.2">
      <c r="B412" s="1">
        <v>397</v>
      </c>
      <c r="C412" s="101">
        <f t="shared" ca="1" si="24"/>
        <v>1.857942413718674</v>
      </c>
      <c r="D412" s="101">
        <f t="shared" ca="1" si="25"/>
        <v>0.79815917020280491</v>
      </c>
      <c r="E412" s="101">
        <f t="shared" ca="1" si="26"/>
        <v>9.9591702028049012E-3</v>
      </c>
      <c r="F412" s="21">
        <f t="shared" ca="1" si="27"/>
        <v>1</v>
      </c>
      <c r="H412" s="21">
        <v>397</v>
      </c>
      <c r="I412" s="102">
        <v>0.66780847505551089</v>
      </c>
      <c r="J412" s="103">
        <v>1.4877590541010814E-3</v>
      </c>
      <c r="K412" s="103"/>
      <c r="L412" s="103">
        <v>4.3799999999999999E-2</v>
      </c>
      <c r="O412" s="100"/>
    </row>
    <row r="413" spans="2:15" x14ac:dyDescent="0.2">
      <c r="B413" s="1">
        <v>398</v>
      </c>
      <c r="C413" s="101">
        <f t="shared" ca="1" si="24"/>
        <v>-0.77301056962894332</v>
      </c>
      <c r="D413" s="101">
        <f t="shared" ca="1" si="25"/>
        <v>0.61571694229230589</v>
      </c>
      <c r="E413" s="101">
        <f t="shared" ca="1" si="26"/>
        <v>0</v>
      </c>
      <c r="F413" s="21">
        <f t="shared" ca="1" si="27"/>
        <v>0</v>
      </c>
      <c r="H413" s="21">
        <v>398</v>
      </c>
      <c r="I413" s="102">
        <v>0.66778439883029128</v>
      </c>
      <c r="J413" s="103">
        <v>1.4518246603610668E-3</v>
      </c>
      <c r="K413" s="103"/>
      <c r="L413" s="103">
        <v>4.48E-2</v>
      </c>
      <c r="O413" s="100"/>
    </row>
    <row r="414" spans="2:15" x14ac:dyDescent="0.2">
      <c r="B414" s="1">
        <v>399</v>
      </c>
      <c r="C414" s="101">
        <f t="shared" ca="1" si="24"/>
        <v>-0.88029215149227524</v>
      </c>
      <c r="D414" s="101">
        <f t="shared" ca="1" si="25"/>
        <v>0.60923553577884804</v>
      </c>
      <c r="E414" s="101">
        <f t="shared" ca="1" si="26"/>
        <v>0</v>
      </c>
      <c r="F414" s="21">
        <f t="shared" ca="1" si="27"/>
        <v>0</v>
      </c>
      <c r="H414" s="21">
        <v>399</v>
      </c>
      <c r="I414" s="102">
        <v>0.66770065584629301</v>
      </c>
      <c r="J414" s="103">
        <v>1.3402775270434423E-3</v>
      </c>
      <c r="K414" s="103"/>
      <c r="L414" s="103">
        <v>0.04</v>
      </c>
      <c r="O414" s="100"/>
    </row>
    <row r="415" spans="2:15" x14ac:dyDescent="0.2">
      <c r="B415" s="1">
        <v>400</v>
      </c>
      <c r="C415" s="101">
        <f t="shared" ca="1" si="24"/>
        <v>-0.13432177442663948</v>
      </c>
      <c r="D415" s="101">
        <f t="shared" ca="1" si="25"/>
        <v>0.65575579647846394</v>
      </c>
      <c r="E415" s="101">
        <f t="shared" ca="1" si="26"/>
        <v>0</v>
      </c>
      <c r="F415" s="21">
        <f t="shared" ca="1" si="27"/>
        <v>0</v>
      </c>
      <c r="H415" s="21">
        <v>400</v>
      </c>
      <c r="I415" s="102">
        <v>0.66775111900297524</v>
      </c>
      <c r="J415" s="103">
        <v>1.361664382891664E-3</v>
      </c>
      <c r="K415" s="103"/>
      <c r="L415" s="103">
        <v>4.0399999999999998E-2</v>
      </c>
      <c r="O415" s="100"/>
    </row>
    <row r="416" spans="2:15" x14ac:dyDescent="0.2">
      <c r="B416" s="1">
        <v>401</v>
      </c>
      <c r="C416" s="101">
        <f t="shared" ca="1" si="24"/>
        <v>9.1820323726026401E-2</v>
      </c>
      <c r="D416" s="101">
        <f t="shared" ca="1" si="25"/>
        <v>0.67054808450170511</v>
      </c>
      <c r="E416" s="101">
        <f t="shared" ca="1" si="26"/>
        <v>0</v>
      </c>
      <c r="F416" s="21">
        <f t="shared" ca="1" si="27"/>
        <v>0</v>
      </c>
      <c r="H416" s="21">
        <v>401</v>
      </c>
      <c r="I416" s="102">
        <v>0.66775718869637735</v>
      </c>
      <c r="J416" s="103">
        <v>1.343234822173069E-3</v>
      </c>
      <c r="K416" s="103"/>
      <c r="L416" s="103">
        <v>4.3200000000000002E-2</v>
      </c>
      <c r="O416" s="100"/>
    </row>
    <row r="417" spans="2:15" x14ac:dyDescent="0.2">
      <c r="B417" s="1">
        <v>402</v>
      </c>
      <c r="C417" s="101">
        <f t="shared" ca="1" si="24"/>
        <v>0.15928918597593236</v>
      </c>
      <c r="D417" s="101">
        <f t="shared" ca="1" si="25"/>
        <v>0.6750256111285734</v>
      </c>
      <c r="E417" s="101">
        <f t="shared" ca="1" si="26"/>
        <v>0</v>
      </c>
      <c r="F417" s="21">
        <f t="shared" ca="1" si="27"/>
        <v>0</v>
      </c>
      <c r="H417" s="21">
        <v>402</v>
      </c>
      <c r="I417" s="102">
        <v>0.66786026831887946</v>
      </c>
      <c r="J417" s="103">
        <v>1.4557598492774932E-3</v>
      </c>
      <c r="K417" s="103"/>
      <c r="L417" s="103">
        <v>4.1000000000000002E-2</v>
      </c>
      <c r="O417" s="100"/>
    </row>
    <row r="418" spans="2:15" x14ac:dyDescent="0.2">
      <c r="B418" s="1">
        <v>403</v>
      </c>
      <c r="C418" s="101">
        <f t="shared" ca="1" si="24"/>
        <v>0.41908919021528201</v>
      </c>
      <c r="D418" s="101">
        <f t="shared" ca="1" si="25"/>
        <v>0.69254806903240496</v>
      </c>
      <c r="E418" s="101">
        <f t="shared" ca="1" si="26"/>
        <v>0</v>
      </c>
      <c r="F418" s="21">
        <f t="shared" ca="1" si="27"/>
        <v>0</v>
      </c>
      <c r="H418" s="21">
        <v>403</v>
      </c>
      <c r="I418" s="102">
        <v>0.66782283007722665</v>
      </c>
      <c r="J418" s="103">
        <v>1.4648870043374338E-3</v>
      </c>
      <c r="K418" s="103"/>
      <c r="L418" s="103">
        <v>4.3999999999999997E-2</v>
      </c>
      <c r="O418" s="100"/>
    </row>
    <row r="419" spans="2:15" x14ac:dyDescent="0.2">
      <c r="B419" s="1">
        <v>404</v>
      </c>
      <c r="C419" s="101">
        <f t="shared" ca="1" si="24"/>
        <v>1.0480145178125915</v>
      </c>
      <c r="D419" s="101">
        <f t="shared" ca="1" si="25"/>
        <v>0.73687308873161628</v>
      </c>
      <c r="E419" s="101">
        <f t="shared" ca="1" si="26"/>
        <v>0</v>
      </c>
      <c r="F419" s="21">
        <f t="shared" ca="1" si="27"/>
        <v>0</v>
      </c>
      <c r="H419" s="21">
        <v>404</v>
      </c>
      <c r="I419" s="102">
        <v>0.66773387960625219</v>
      </c>
      <c r="J419" s="103">
        <v>1.4200946263407367E-3</v>
      </c>
      <c r="K419" s="103"/>
      <c r="L419" s="103">
        <v>4.1599999999999998E-2</v>
      </c>
      <c r="O419" s="100"/>
    </row>
    <row r="420" spans="2:15" x14ac:dyDescent="0.2">
      <c r="B420" s="1">
        <v>405</v>
      </c>
      <c r="C420" s="101">
        <f t="shared" ca="1" si="24"/>
        <v>-0.4885579701179017</v>
      </c>
      <c r="D420" s="101">
        <f t="shared" ca="1" si="25"/>
        <v>0.63323786787747249</v>
      </c>
      <c r="E420" s="101">
        <f t="shared" ca="1" si="26"/>
        <v>0</v>
      </c>
      <c r="F420" s="21">
        <f t="shared" ca="1" si="27"/>
        <v>0</v>
      </c>
      <c r="H420" s="21">
        <v>405</v>
      </c>
      <c r="I420" s="102">
        <v>0.66774852892709435</v>
      </c>
      <c r="J420" s="103">
        <v>1.5067620930925925E-3</v>
      </c>
      <c r="K420" s="103"/>
      <c r="L420" s="103">
        <v>4.0599999999999997E-2</v>
      </c>
      <c r="O420" s="100"/>
    </row>
    <row r="421" spans="2:15" x14ac:dyDescent="0.2">
      <c r="B421" s="1">
        <v>406</v>
      </c>
      <c r="C421" s="101">
        <f t="shared" ca="1" si="24"/>
        <v>-1.2944486403525874</v>
      </c>
      <c r="D421" s="101">
        <f t="shared" ca="1" si="25"/>
        <v>0.58484801266153663</v>
      </c>
      <c r="E421" s="101">
        <f t="shared" ca="1" si="26"/>
        <v>0</v>
      </c>
      <c r="F421" s="21">
        <f t="shared" ca="1" si="27"/>
        <v>0</v>
      </c>
      <c r="H421" s="21">
        <v>406</v>
      </c>
      <c r="I421" s="102">
        <v>0.66785794336904181</v>
      </c>
      <c r="J421" s="103">
        <v>1.4712639901785468E-3</v>
      </c>
      <c r="K421" s="103"/>
      <c r="L421" s="103">
        <v>4.2999999999999997E-2</v>
      </c>
      <c r="O421" s="100"/>
    </row>
    <row r="422" spans="2:15" x14ac:dyDescent="0.2">
      <c r="B422" s="1">
        <v>407</v>
      </c>
      <c r="C422" s="101">
        <f t="shared" ca="1" si="24"/>
        <v>-1.6564795990192187</v>
      </c>
      <c r="D422" s="101">
        <f t="shared" ca="1" si="25"/>
        <v>0.56433090606389369</v>
      </c>
      <c r="E422" s="101">
        <f t="shared" ca="1" si="26"/>
        <v>0</v>
      </c>
      <c r="F422" s="21">
        <f t="shared" ca="1" si="27"/>
        <v>0</v>
      </c>
      <c r="H422" s="21">
        <v>407</v>
      </c>
      <c r="I422" s="102">
        <v>0.66762586623728581</v>
      </c>
      <c r="J422" s="103">
        <v>1.1045900627142783E-3</v>
      </c>
      <c r="K422" s="103"/>
      <c r="L422" s="103">
        <v>3.8199999999999998E-2</v>
      </c>
      <c r="O422" s="100"/>
    </row>
    <row r="423" spans="2:15" x14ac:dyDescent="0.2">
      <c r="B423" s="1">
        <v>408</v>
      </c>
      <c r="C423" s="101">
        <f t="shared" ca="1" si="24"/>
        <v>-0.53935234385792008</v>
      </c>
      <c r="D423" s="101">
        <f t="shared" ca="1" si="25"/>
        <v>0.63007301268878313</v>
      </c>
      <c r="E423" s="101">
        <f t="shared" ca="1" si="26"/>
        <v>0</v>
      </c>
      <c r="F423" s="21">
        <f t="shared" ca="1" si="27"/>
        <v>0</v>
      </c>
      <c r="H423" s="21">
        <v>408</v>
      </c>
      <c r="I423" s="102">
        <v>0.66757649997242408</v>
      </c>
      <c r="J423" s="103">
        <v>1.2405687763502556E-3</v>
      </c>
      <c r="K423" s="103"/>
      <c r="L423" s="103">
        <v>3.7600000000000001E-2</v>
      </c>
      <c r="O423" s="100"/>
    </row>
    <row r="424" spans="2:15" x14ac:dyDescent="0.2">
      <c r="B424" s="1">
        <v>409</v>
      </c>
      <c r="C424" s="101">
        <f t="shared" ca="1" si="24"/>
        <v>-2.7326366411561245</v>
      </c>
      <c r="D424" s="101">
        <f t="shared" ca="1" si="25"/>
        <v>0.50749519097491813</v>
      </c>
      <c r="E424" s="101">
        <f t="shared" ca="1" si="26"/>
        <v>0</v>
      </c>
      <c r="F424" s="21">
        <f t="shared" ca="1" si="27"/>
        <v>0</v>
      </c>
      <c r="H424" s="21">
        <v>409</v>
      </c>
      <c r="I424" s="102">
        <v>0.66783475918997814</v>
      </c>
      <c r="J424" s="103">
        <v>1.4664187393659371E-3</v>
      </c>
      <c r="K424" s="103"/>
      <c r="L424" s="103">
        <v>4.3400000000000001E-2</v>
      </c>
      <c r="O424" s="100"/>
    </row>
    <row r="425" spans="2:15" x14ac:dyDescent="0.2">
      <c r="B425" s="1">
        <v>410</v>
      </c>
      <c r="C425" s="101">
        <f t="shared" ca="1" si="24"/>
        <v>0.26711917454147555</v>
      </c>
      <c r="D425" s="101">
        <f t="shared" ca="1" si="25"/>
        <v>0.6822438365857405</v>
      </c>
      <c r="E425" s="101">
        <f t="shared" ca="1" si="26"/>
        <v>0</v>
      </c>
      <c r="F425" s="21">
        <f t="shared" ca="1" si="27"/>
        <v>0</v>
      </c>
      <c r="H425" s="21">
        <v>410</v>
      </c>
      <c r="I425" s="102">
        <v>0.66766445841216571</v>
      </c>
      <c r="J425" s="103">
        <v>1.2907030432568265E-3</v>
      </c>
      <c r="K425" s="103"/>
      <c r="L425" s="103">
        <v>3.7600000000000001E-2</v>
      </c>
      <c r="O425" s="100"/>
    </row>
    <row r="426" spans="2:15" x14ac:dyDescent="0.2">
      <c r="B426" s="1">
        <v>411</v>
      </c>
      <c r="C426" s="101">
        <f t="shared" ca="1" si="24"/>
        <v>-0.19360745854098929</v>
      </c>
      <c r="D426" s="101">
        <f t="shared" ca="1" si="25"/>
        <v>0.65193211583708599</v>
      </c>
      <c r="E426" s="101">
        <f t="shared" ca="1" si="26"/>
        <v>0</v>
      </c>
      <c r="F426" s="21">
        <f t="shared" ca="1" si="27"/>
        <v>0</v>
      </c>
      <c r="H426" s="21">
        <v>411</v>
      </c>
      <c r="I426" s="102">
        <v>0.66777250744623262</v>
      </c>
      <c r="J426" s="103">
        <v>1.5172227520271421E-3</v>
      </c>
      <c r="K426" s="103"/>
      <c r="L426" s="103">
        <v>4.0800000000000003E-2</v>
      </c>
      <c r="O426" s="100"/>
    </row>
    <row r="427" spans="2:15" x14ac:dyDescent="0.2">
      <c r="B427" s="1">
        <v>412</v>
      </c>
      <c r="C427" s="101">
        <f t="shared" ca="1" si="24"/>
        <v>-0.44220789424494983</v>
      </c>
      <c r="D427" s="101">
        <f t="shared" ca="1" si="25"/>
        <v>0.63613968080142613</v>
      </c>
      <c r="E427" s="101">
        <f t="shared" ca="1" si="26"/>
        <v>0</v>
      </c>
      <c r="F427" s="21">
        <f t="shared" ca="1" si="27"/>
        <v>0</v>
      </c>
      <c r="H427" s="21">
        <v>412</v>
      </c>
      <c r="I427" s="102">
        <v>0.66777597582695269</v>
      </c>
      <c r="J427" s="103">
        <v>1.3512682205806367E-3</v>
      </c>
      <c r="K427" s="103"/>
      <c r="L427" s="103">
        <v>4.36E-2</v>
      </c>
      <c r="O427" s="100"/>
    </row>
    <row r="428" spans="2:15" x14ac:dyDescent="0.2">
      <c r="B428" s="1">
        <v>413</v>
      </c>
      <c r="C428" s="101">
        <f t="shared" ca="1" si="24"/>
        <v>0.33419951977691226</v>
      </c>
      <c r="D428" s="101">
        <f t="shared" ca="1" si="25"/>
        <v>0.68677314029814251</v>
      </c>
      <c r="E428" s="101">
        <f t="shared" ca="1" si="26"/>
        <v>0</v>
      </c>
      <c r="F428" s="21">
        <f t="shared" ca="1" si="27"/>
        <v>0</v>
      </c>
      <c r="H428" s="21">
        <v>413</v>
      </c>
      <c r="I428" s="102">
        <v>0.66778310737825253</v>
      </c>
      <c r="J428" s="103">
        <v>1.3830060661055158E-3</v>
      </c>
      <c r="K428" s="103"/>
      <c r="L428" s="103">
        <v>4.0599999999999997E-2</v>
      </c>
      <c r="O428" s="100"/>
    </row>
    <row r="429" spans="2:15" x14ac:dyDescent="0.2">
      <c r="B429" s="1">
        <v>414</v>
      </c>
      <c r="C429" s="101">
        <f t="shared" ca="1" si="24"/>
        <v>3.9692925410971983E-2</v>
      </c>
      <c r="D429" s="101">
        <f t="shared" ca="1" si="25"/>
        <v>0.66710903202887906</v>
      </c>
      <c r="E429" s="101">
        <f t="shared" ca="1" si="26"/>
        <v>0</v>
      </c>
      <c r="F429" s="21">
        <f t="shared" ca="1" si="27"/>
        <v>0</v>
      </c>
      <c r="H429" s="21">
        <v>414</v>
      </c>
      <c r="I429" s="102">
        <v>0.66781757794503094</v>
      </c>
      <c r="J429" s="103">
        <v>1.3953089370318723E-3</v>
      </c>
      <c r="K429" s="103"/>
      <c r="L429" s="103">
        <v>4.2799999999999998E-2</v>
      </c>
      <c r="O429" s="100"/>
    </row>
    <row r="430" spans="2:15" x14ac:dyDescent="0.2">
      <c r="B430" s="1">
        <v>415</v>
      </c>
      <c r="C430" s="101">
        <f t="shared" ca="1" si="24"/>
        <v>-0.36374603666194488</v>
      </c>
      <c r="D430" s="101">
        <f t="shared" ca="1" si="25"/>
        <v>0.64108223779405837</v>
      </c>
      <c r="E430" s="101">
        <f t="shared" ca="1" si="26"/>
        <v>0</v>
      </c>
      <c r="F430" s="21">
        <f t="shared" ca="1" si="27"/>
        <v>0</v>
      </c>
      <c r="H430" s="21">
        <v>415</v>
      </c>
      <c r="I430" s="102">
        <v>0.66767987925077432</v>
      </c>
      <c r="J430" s="103">
        <v>1.193295821201419E-3</v>
      </c>
      <c r="K430" s="103"/>
      <c r="L430" s="103">
        <v>4.1200000000000001E-2</v>
      </c>
      <c r="O430" s="100"/>
    </row>
    <row r="431" spans="2:15" x14ac:dyDescent="0.2">
      <c r="B431" s="1">
        <v>416</v>
      </c>
      <c r="C431" s="101">
        <f t="shared" ca="1" si="24"/>
        <v>-0.31149448075933667</v>
      </c>
      <c r="D431" s="101">
        <f t="shared" ca="1" si="25"/>
        <v>0.64439500993184962</v>
      </c>
      <c r="E431" s="101">
        <f t="shared" ca="1" si="26"/>
        <v>0</v>
      </c>
      <c r="F431" s="21">
        <f t="shared" ca="1" si="27"/>
        <v>0</v>
      </c>
      <c r="H431" s="21">
        <v>416</v>
      </c>
      <c r="I431" s="102">
        <v>0.66759289824112034</v>
      </c>
      <c r="J431" s="103">
        <v>1.1387908465121666E-3</v>
      </c>
      <c r="K431" s="103"/>
      <c r="L431" s="103">
        <v>3.5000000000000003E-2</v>
      </c>
      <c r="O431" s="100"/>
    </row>
    <row r="432" spans="2:15" x14ac:dyDescent="0.2">
      <c r="B432" s="1">
        <v>417</v>
      </c>
      <c r="C432" s="101">
        <f t="shared" ca="1" si="24"/>
        <v>-1.4900857368175908</v>
      </c>
      <c r="D432" s="101">
        <f t="shared" ca="1" si="25"/>
        <v>0.57366987688683369</v>
      </c>
      <c r="E432" s="101">
        <f t="shared" ca="1" si="26"/>
        <v>0</v>
      </c>
      <c r="F432" s="21">
        <f t="shared" ca="1" si="27"/>
        <v>0</v>
      </c>
      <c r="H432" s="21">
        <v>417</v>
      </c>
      <c r="I432" s="102">
        <v>0.66781293852739343</v>
      </c>
      <c r="J432" s="103">
        <v>1.517282076620342E-3</v>
      </c>
      <c r="K432" s="103"/>
      <c r="L432" s="103">
        <v>4.1000000000000002E-2</v>
      </c>
      <c r="O432" s="100"/>
    </row>
    <row r="433" spans="2:15" x14ac:dyDescent="0.2">
      <c r="B433" s="1">
        <v>418</v>
      </c>
      <c r="C433" s="101">
        <f t="shared" ca="1" si="24"/>
        <v>-0.32958747261840959</v>
      </c>
      <c r="D433" s="101">
        <f t="shared" ca="1" si="25"/>
        <v>0.64324597305126474</v>
      </c>
      <c r="E433" s="101">
        <f t="shared" ca="1" si="26"/>
        <v>0</v>
      </c>
      <c r="F433" s="21">
        <f t="shared" ca="1" si="27"/>
        <v>0</v>
      </c>
      <c r="H433" s="21">
        <v>418</v>
      </c>
      <c r="I433" s="102">
        <v>0.66767401042731112</v>
      </c>
      <c r="J433" s="103">
        <v>1.3423728644941599E-3</v>
      </c>
      <c r="K433" s="103"/>
      <c r="L433" s="103">
        <v>4.0399999999999998E-2</v>
      </c>
      <c r="O433" s="100"/>
    </row>
    <row r="434" spans="2:15" x14ac:dyDescent="0.2">
      <c r="B434" s="1">
        <v>419</v>
      </c>
      <c r="C434" s="101">
        <f t="shared" ca="1" si="24"/>
        <v>-1.7269839826514797</v>
      </c>
      <c r="D434" s="101">
        <f t="shared" ca="1" si="25"/>
        <v>0.5604198003980666</v>
      </c>
      <c r="E434" s="101">
        <f t="shared" ca="1" si="26"/>
        <v>0</v>
      </c>
      <c r="F434" s="21">
        <f t="shared" ca="1" si="27"/>
        <v>0</v>
      </c>
      <c r="H434" s="21">
        <v>419</v>
      </c>
      <c r="I434" s="102">
        <v>0.6677893701290688</v>
      </c>
      <c r="J434" s="103">
        <v>1.3959074934094119E-3</v>
      </c>
      <c r="K434" s="103"/>
      <c r="L434" s="103">
        <v>4.3200000000000002E-2</v>
      </c>
      <c r="O434" s="100"/>
    </row>
    <row r="435" spans="2:15" x14ac:dyDescent="0.2">
      <c r="B435" s="1">
        <v>420</v>
      </c>
      <c r="C435" s="101">
        <f t="shared" ca="1" si="24"/>
        <v>-0.32512357875683218</v>
      </c>
      <c r="D435" s="101">
        <f t="shared" ca="1" si="25"/>
        <v>0.6435292723211381</v>
      </c>
      <c r="E435" s="101">
        <f t="shared" ca="1" si="26"/>
        <v>0</v>
      </c>
      <c r="F435" s="21">
        <f t="shared" ca="1" si="27"/>
        <v>0</v>
      </c>
      <c r="H435" s="21">
        <v>420</v>
      </c>
      <c r="I435" s="102">
        <v>0.66771766148769673</v>
      </c>
      <c r="J435" s="103">
        <v>1.3624589375358009E-3</v>
      </c>
      <c r="K435" s="103"/>
      <c r="L435" s="103">
        <v>4.2000000000000003E-2</v>
      </c>
      <c r="O435" s="100"/>
    </row>
    <row r="436" spans="2:15" x14ac:dyDescent="0.2">
      <c r="B436" s="1">
        <v>421</v>
      </c>
      <c r="C436" s="101">
        <f t="shared" ca="1" si="24"/>
        <v>0.58312893247329811</v>
      </c>
      <c r="D436" s="101">
        <f t="shared" ca="1" si="25"/>
        <v>0.70384541217874252</v>
      </c>
      <c r="E436" s="101">
        <f t="shared" ca="1" si="26"/>
        <v>0</v>
      </c>
      <c r="F436" s="21">
        <f t="shared" ca="1" si="27"/>
        <v>0</v>
      </c>
      <c r="H436" s="21">
        <v>421</v>
      </c>
      <c r="I436" s="102">
        <v>0.66769690992087793</v>
      </c>
      <c r="J436" s="103">
        <v>1.245440894204822E-3</v>
      </c>
      <c r="K436" s="103"/>
      <c r="L436" s="103">
        <v>4.0599999999999997E-2</v>
      </c>
      <c r="O436" s="100"/>
    </row>
    <row r="437" spans="2:15" x14ac:dyDescent="0.2">
      <c r="B437" s="1">
        <v>422</v>
      </c>
      <c r="C437" s="101">
        <f t="shared" ca="1" si="24"/>
        <v>0.92602124185810997</v>
      </c>
      <c r="D437" s="101">
        <f t="shared" ca="1" si="25"/>
        <v>0.72805900742348506</v>
      </c>
      <c r="E437" s="101">
        <f t="shared" ca="1" si="26"/>
        <v>0</v>
      </c>
      <c r="F437" s="21">
        <f t="shared" ca="1" si="27"/>
        <v>0</v>
      </c>
      <c r="H437" s="21">
        <v>422</v>
      </c>
      <c r="I437" s="102">
        <v>0.66753872119253344</v>
      </c>
      <c r="J437" s="103">
        <v>1.2612406133339629E-3</v>
      </c>
      <c r="K437" s="103"/>
      <c r="L437" s="103">
        <v>3.6400000000000002E-2</v>
      </c>
      <c r="O437" s="100"/>
    </row>
    <row r="438" spans="2:15" x14ac:dyDescent="0.2">
      <c r="B438" s="1">
        <v>423</v>
      </c>
      <c r="C438" s="101">
        <f t="shared" ca="1" si="24"/>
        <v>0.36879283156789694</v>
      </c>
      <c r="D438" s="101">
        <f t="shared" ca="1" si="25"/>
        <v>0.6891206399265587</v>
      </c>
      <c r="E438" s="101">
        <f t="shared" ca="1" si="26"/>
        <v>0</v>
      </c>
      <c r="F438" s="21">
        <f t="shared" ca="1" si="27"/>
        <v>0</v>
      </c>
      <c r="H438" s="21">
        <v>423</v>
      </c>
      <c r="I438" s="102">
        <v>0.66787213348449781</v>
      </c>
      <c r="J438" s="103">
        <v>1.5511436690927656E-3</v>
      </c>
      <c r="K438" s="103"/>
      <c r="L438" s="103">
        <v>4.2799999999999998E-2</v>
      </c>
      <c r="O438" s="100"/>
    </row>
    <row r="439" spans="2:15" x14ac:dyDescent="0.2">
      <c r="B439" s="1">
        <v>424</v>
      </c>
      <c r="C439" s="101">
        <f t="shared" ca="1" si="24"/>
        <v>7.7892351153641973E-2</v>
      </c>
      <c r="D439" s="101">
        <f t="shared" ca="1" si="25"/>
        <v>0.66962746868711021</v>
      </c>
      <c r="E439" s="101">
        <f t="shared" ca="1" si="26"/>
        <v>0</v>
      </c>
      <c r="F439" s="21">
        <f t="shared" ca="1" si="27"/>
        <v>0</v>
      </c>
      <c r="H439" s="21">
        <v>424</v>
      </c>
      <c r="I439" s="102">
        <v>0.66773306157131784</v>
      </c>
      <c r="J439" s="103">
        <v>1.3496157906592895E-3</v>
      </c>
      <c r="K439" s="103"/>
      <c r="L439" s="103">
        <v>4.3799999999999999E-2</v>
      </c>
      <c r="O439" s="100"/>
    </row>
    <row r="440" spans="2:15" x14ac:dyDescent="0.2">
      <c r="B440" s="1">
        <v>425</v>
      </c>
      <c r="C440" s="101">
        <f t="shared" ca="1" si="24"/>
        <v>-0.3052154149544849</v>
      </c>
      <c r="D440" s="101">
        <f t="shared" ca="1" si="25"/>
        <v>0.64479425596195405</v>
      </c>
      <c r="E440" s="101">
        <f t="shared" ca="1" si="26"/>
        <v>0</v>
      </c>
      <c r="F440" s="21">
        <f t="shared" ca="1" si="27"/>
        <v>0</v>
      </c>
      <c r="H440" s="21">
        <v>425</v>
      </c>
      <c r="I440" s="102">
        <v>0.66779846425112832</v>
      </c>
      <c r="J440" s="103">
        <v>1.3912292985140736E-3</v>
      </c>
      <c r="K440" s="103"/>
      <c r="L440" s="103">
        <v>4.4999999999999998E-2</v>
      </c>
      <c r="O440" s="100"/>
    </row>
    <row r="441" spans="2:15" x14ac:dyDescent="0.2">
      <c r="B441" s="1">
        <v>426</v>
      </c>
      <c r="C441" s="101">
        <f t="shared" ca="1" si="24"/>
        <v>1.3192041457255581</v>
      </c>
      <c r="D441" s="101">
        <f t="shared" ca="1" si="25"/>
        <v>0.75685083159895927</v>
      </c>
      <c r="E441" s="101">
        <f t="shared" ca="1" si="26"/>
        <v>0</v>
      </c>
      <c r="F441" s="21">
        <f t="shared" ca="1" si="27"/>
        <v>0</v>
      </c>
      <c r="H441" s="21">
        <v>426</v>
      </c>
      <c r="I441" s="102">
        <v>0.66780404192412368</v>
      </c>
      <c r="J441" s="103">
        <v>1.5277966639697328E-3</v>
      </c>
      <c r="K441" s="103"/>
      <c r="L441" s="103">
        <v>4.3200000000000002E-2</v>
      </c>
      <c r="O441" s="100"/>
    </row>
    <row r="442" spans="2:15" x14ac:dyDescent="0.2">
      <c r="B442" s="1">
        <v>427</v>
      </c>
      <c r="C442" s="101">
        <f t="shared" ca="1" si="24"/>
        <v>0.51274796581546389</v>
      </c>
      <c r="D442" s="101">
        <f t="shared" ca="1" si="25"/>
        <v>0.69897590796730957</v>
      </c>
      <c r="E442" s="101">
        <f t="shared" ca="1" si="26"/>
        <v>0</v>
      </c>
      <c r="F442" s="21">
        <f t="shared" ca="1" si="27"/>
        <v>0</v>
      </c>
      <c r="H442" s="21">
        <v>427</v>
      </c>
      <c r="I442" s="102">
        <v>0.66772553716175487</v>
      </c>
      <c r="J442" s="103">
        <v>1.3339082466214886E-3</v>
      </c>
      <c r="K442" s="103"/>
      <c r="L442" s="103">
        <v>4.4600000000000001E-2</v>
      </c>
      <c r="O442" s="100"/>
    </row>
    <row r="443" spans="2:15" x14ac:dyDescent="0.2">
      <c r="B443" s="1">
        <v>428</v>
      </c>
      <c r="C443" s="101">
        <f t="shared" ca="1" si="24"/>
        <v>1.6381618889156491</v>
      </c>
      <c r="D443" s="101">
        <f t="shared" ca="1" si="25"/>
        <v>0.78104174305318397</v>
      </c>
      <c r="E443" s="101">
        <f t="shared" ca="1" si="26"/>
        <v>0</v>
      </c>
      <c r="F443" s="21">
        <f t="shared" ca="1" si="27"/>
        <v>0</v>
      </c>
      <c r="H443" s="21">
        <v>428</v>
      </c>
      <c r="I443" s="102">
        <v>0.6677633524858656</v>
      </c>
      <c r="J443" s="103">
        <v>1.5010908224672465E-3</v>
      </c>
      <c r="K443" s="103"/>
      <c r="L443" s="103">
        <v>4.1200000000000001E-2</v>
      </c>
      <c r="O443" s="100"/>
    </row>
    <row r="444" spans="2:15" x14ac:dyDescent="0.2">
      <c r="B444" s="1">
        <v>429</v>
      </c>
      <c r="C444" s="101">
        <f t="shared" ca="1" si="24"/>
        <v>0.91684382563611866</v>
      </c>
      <c r="D444" s="101">
        <f t="shared" ca="1" si="25"/>
        <v>0.72740021386216336</v>
      </c>
      <c r="E444" s="101">
        <f t="shared" ca="1" si="26"/>
        <v>0</v>
      </c>
      <c r="F444" s="21">
        <f t="shared" ca="1" si="27"/>
        <v>0</v>
      </c>
      <c r="H444" s="21">
        <v>429</v>
      </c>
      <c r="I444" s="102">
        <v>0.66775247935885684</v>
      </c>
      <c r="J444" s="103">
        <v>1.3757314792315126E-3</v>
      </c>
      <c r="K444" s="103"/>
      <c r="L444" s="103">
        <v>4.2599999999999999E-2</v>
      </c>
      <c r="O444" s="100"/>
    </row>
    <row r="445" spans="2:15" x14ac:dyDescent="0.2">
      <c r="B445" s="1">
        <v>430</v>
      </c>
      <c r="C445" s="101">
        <f t="shared" ca="1" si="24"/>
        <v>0.5594190721633332</v>
      </c>
      <c r="D445" s="101">
        <f t="shared" ca="1" si="25"/>
        <v>0.70220120166417299</v>
      </c>
      <c r="E445" s="101">
        <f t="shared" ca="1" si="26"/>
        <v>0</v>
      </c>
      <c r="F445" s="21">
        <f t="shared" ca="1" si="27"/>
        <v>0</v>
      </c>
      <c r="H445" s="21">
        <v>430</v>
      </c>
      <c r="I445" s="102">
        <v>0.66776989658105113</v>
      </c>
      <c r="J445" s="103">
        <v>1.3940232022864808E-3</v>
      </c>
      <c r="K445" s="103"/>
      <c r="L445" s="103">
        <v>4.2799999999999998E-2</v>
      </c>
      <c r="O445" s="100"/>
    </row>
    <row r="446" spans="2:15" x14ac:dyDescent="0.2">
      <c r="B446" s="1">
        <v>431</v>
      </c>
      <c r="C446" s="101">
        <f t="shared" ca="1" si="24"/>
        <v>-0.62806952520001724</v>
      </c>
      <c r="D446" s="101">
        <f t="shared" ca="1" si="25"/>
        <v>0.62458318636436994</v>
      </c>
      <c r="E446" s="101">
        <f t="shared" ca="1" si="26"/>
        <v>0</v>
      </c>
      <c r="F446" s="21">
        <f t="shared" ca="1" si="27"/>
        <v>0</v>
      </c>
      <c r="H446" s="21">
        <v>431</v>
      </c>
      <c r="I446" s="102">
        <v>0.66776082945389204</v>
      </c>
      <c r="J446" s="103">
        <v>1.2638972004025994E-3</v>
      </c>
      <c r="K446" s="103"/>
      <c r="L446" s="103">
        <v>4.2000000000000003E-2</v>
      </c>
      <c r="O446" s="100"/>
    </row>
    <row r="447" spans="2:15" x14ac:dyDescent="0.2">
      <c r="B447" s="1">
        <v>432</v>
      </c>
      <c r="C447" s="101">
        <f t="shared" ca="1" si="24"/>
        <v>0.67789576182247091</v>
      </c>
      <c r="D447" s="101">
        <f t="shared" ca="1" si="25"/>
        <v>0.7104557551471069</v>
      </c>
      <c r="E447" s="101">
        <f t="shared" ca="1" si="26"/>
        <v>0</v>
      </c>
      <c r="F447" s="21">
        <f t="shared" ca="1" si="27"/>
        <v>0</v>
      </c>
      <c r="H447" s="21">
        <v>432</v>
      </c>
      <c r="I447" s="102">
        <v>0.66777204177720928</v>
      </c>
      <c r="J447" s="103">
        <v>1.3739853241734412E-3</v>
      </c>
      <c r="K447" s="103"/>
      <c r="L447" s="103">
        <v>4.2200000000000001E-2</v>
      </c>
      <c r="O447" s="100"/>
    </row>
    <row r="448" spans="2:15" x14ac:dyDescent="0.2">
      <c r="B448" s="1">
        <v>433</v>
      </c>
      <c r="C448" s="101">
        <f t="shared" ca="1" si="24"/>
        <v>-0.81279840397716929</v>
      </c>
      <c r="D448" s="101">
        <f t="shared" ca="1" si="25"/>
        <v>0.61330515867176061</v>
      </c>
      <c r="E448" s="101">
        <f t="shared" ca="1" si="26"/>
        <v>0</v>
      </c>
      <c r="F448" s="21">
        <f t="shared" ca="1" si="27"/>
        <v>0</v>
      </c>
      <c r="H448" s="21">
        <v>433</v>
      </c>
      <c r="I448" s="102">
        <v>0.66760414915252708</v>
      </c>
      <c r="J448" s="103">
        <v>1.1267532009017099E-3</v>
      </c>
      <c r="K448" s="103"/>
      <c r="L448" s="103">
        <v>4.1000000000000002E-2</v>
      </c>
      <c r="O448" s="100"/>
    </row>
    <row r="449" spans="2:15" x14ac:dyDescent="0.2">
      <c r="B449" s="1">
        <v>434</v>
      </c>
      <c r="C449" s="101">
        <f t="shared" ca="1" si="24"/>
        <v>1.8796194817875491</v>
      </c>
      <c r="D449" s="101">
        <f t="shared" ca="1" si="25"/>
        <v>0.79986766377248486</v>
      </c>
      <c r="E449" s="101">
        <f t="shared" ca="1" si="26"/>
        <v>1.1667663772484849E-2</v>
      </c>
      <c r="F449" s="21">
        <f t="shared" ca="1" si="27"/>
        <v>1</v>
      </c>
      <c r="H449" s="21">
        <v>434</v>
      </c>
      <c r="I449" s="102">
        <v>0.66779299924820601</v>
      </c>
      <c r="J449" s="103">
        <v>1.3810778594288752E-3</v>
      </c>
      <c r="K449" s="103"/>
      <c r="L449" s="103">
        <v>4.1799999999999997E-2</v>
      </c>
      <c r="O449" s="100"/>
    </row>
    <row r="450" spans="2:15" x14ac:dyDescent="0.2">
      <c r="B450" s="1">
        <v>435</v>
      </c>
      <c r="C450" s="101">
        <f t="shared" ca="1" si="24"/>
        <v>-1.9053855712519192</v>
      </c>
      <c r="D450" s="101">
        <f t="shared" ca="1" si="25"/>
        <v>0.55064393111356269</v>
      </c>
      <c r="E450" s="101">
        <f t="shared" ca="1" si="26"/>
        <v>0</v>
      </c>
      <c r="F450" s="21">
        <f t="shared" ca="1" si="27"/>
        <v>0</v>
      </c>
      <c r="H450" s="21">
        <v>435</v>
      </c>
      <c r="I450" s="102">
        <v>0.66784385835188942</v>
      </c>
      <c r="J450" s="103">
        <v>1.5046979378638922E-3</v>
      </c>
      <c r="K450" s="103"/>
      <c r="L450" s="103">
        <v>4.1399999999999999E-2</v>
      </c>
      <c r="O450" s="100"/>
    </row>
    <row r="451" spans="2:15" x14ac:dyDescent="0.2">
      <c r="B451" s="1">
        <v>436</v>
      </c>
      <c r="C451" s="101">
        <f t="shared" ca="1" si="24"/>
        <v>-0.17965913677465173</v>
      </c>
      <c r="D451" s="101">
        <f t="shared" ca="1" si="25"/>
        <v>0.65282971416939528</v>
      </c>
      <c r="E451" s="101">
        <f t="shared" ca="1" si="26"/>
        <v>0</v>
      </c>
      <c r="F451" s="21">
        <f t="shared" ca="1" si="27"/>
        <v>0</v>
      </c>
      <c r="H451" s="21">
        <v>436</v>
      </c>
      <c r="I451" s="102">
        <v>0.66767268321984885</v>
      </c>
      <c r="J451" s="103">
        <v>1.2972089178516191E-3</v>
      </c>
      <c r="K451" s="103"/>
      <c r="L451" s="103">
        <v>3.7600000000000001E-2</v>
      </c>
      <c r="O451" s="100"/>
    </row>
    <row r="452" spans="2:15" x14ac:dyDescent="0.2">
      <c r="B452" s="1">
        <v>437</v>
      </c>
      <c r="C452" s="101">
        <f t="shared" ca="1" si="24"/>
        <v>-0.33178771852654398</v>
      </c>
      <c r="D452" s="101">
        <f t="shared" ca="1" si="25"/>
        <v>0.64310638119869001</v>
      </c>
      <c r="E452" s="101">
        <f t="shared" ca="1" si="26"/>
        <v>0</v>
      </c>
      <c r="F452" s="21">
        <f t="shared" ca="1" si="27"/>
        <v>0</v>
      </c>
      <c r="H452" s="21">
        <v>437</v>
      </c>
      <c r="I452" s="102">
        <v>0.66768577083657643</v>
      </c>
      <c r="J452" s="103">
        <v>1.3812744983508827E-3</v>
      </c>
      <c r="K452" s="103"/>
      <c r="L452" s="103">
        <v>4.02E-2</v>
      </c>
      <c r="O452" s="100"/>
    </row>
    <row r="453" spans="2:15" x14ac:dyDescent="0.2">
      <c r="B453" s="1">
        <v>438</v>
      </c>
      <c r="C453" s="101">
        <f t="shared" ca="1" si="24"/>
        <v>-1.0858350088617936</v>
      </c>
      <c r="D453" s="101">
        <f t="shared" ca="1" si="25"/>
        <v>0.59700765230575681</v>
      </c>
      <c r="E453" s="101">
        <f t="shared" ca="1" si="26"/>
        <v>0</v>
      </c>
      <c r="F453" s="21">
        <f t="shared" ca="1" si="27"/>
        <v>0</v>
      </c>
      <c r="H453" s="21">
        <v>438</v>
      </c>
      <c r="I453" s="102">
        <v>0.66769940336469547</v>
      </c>
      <c r="J453" s="103">
        <v>1.3364413613456206E-3</v>
      </c>
      <c r="K453" s="103"/>
      <c r="L453" s="103">
        <v>3.8399999999999997E-2</v>
      </c>
      <c r="O453" s="100"/>
    </row>
    <row r="454" spans="2:15" x14ac:dyDescent="0.2">
      <c r="B454" s="1">
        <v>439</v>
      </c>
      <c r="C454" s="101">
        <f t="shared" ca="1" si="24"/>
        <v>1.1831901518709345</v>
      </c>
      <c r="D454" s="101">
        <f t="shared" ca="1" si="25"/>
        <v>0.746764281131723</v>
      </c>
      <c r="E454" s="101">
        <f t="shared" ca="1" si="26"/>
        <v>0</v>
      </c>
      <c r="F454" s="21">
        <f t="shared" ca="1" si="27"/>
        <v>0</v>
      </c>
      <c r="H454" s="21">
        <v>439</v>
      </c>
      <c r="I454" s="102">
        <v>0.66761798265157779</v>
      </c>
      <c r="J454" s="103">
        <v>1.238144540820335E-3</v>
      </c>
      <c r="K454" s="103"/>
      <c r="L454" s="103">
        <v>0.04</v>
      </c>
      <c r="O454" s="100"/>
    </row>
    <row r="455" spans="2:15" x14ac:dyDescent="0.2">
      <c r="B455" s="1">
        <v>440</v>
      </c>
      <c r="C455" s="101">
        <f t="shared" ca="1" si="24"/>
        <v>-0.56610424725938346</v>
      </c>
      <c r="D455" s="101">
        <f t="shared" ca="1" si="25"/>
        <v>0.6284125406185096</v>
      </c>
      <c r="E455" s="101">
        <f t="shared" ca="1" si="26"/>
        <v>0</v>
      </c>
      <c r="F455" s="21">
        <f t="shared" ca="1" si="27"/>
        <v>0</v>
      </c>
      <c r="H455" s="21">
        <v>440</v>
      </c>
      <c r="I455" s="102">
        <v>0.66785430047821515</v>
      </c>
      <c r="J455" s="103">
        <v>1.5713539457026954E-3</v>
      </c>
      <c r="K455" s="103"/>
      <c r="L455" s="103">
        <v>4.2999999999999997E-2</v>
      </c>
      <c r="O455" s="100"/>
    </row>
    <row r="456" spans="2:15" x14ac:dyDescent="0.2">
      <c r="B456" s="1">
        <v>441</v>
      </c>
      <c r="C456" s="101">
        <f t="shared" ca="1" si="24"/>
        <v>-0.1480500941079482</v>
      </c>
      <c r="D456" s="101">
        <f t="shared" ca="1" si="25"/>
        <v>0.65486838631294797</v>
      </c>
      <c r="E456" s="101">
        <f t="shared" ca="1" si="26"/>
        <v>0</v>
      </c>
      <c r="F456" s="21">
        <f t="shared" ca="1" si="27"/>
        <v>0</v>
      </c>
      <c r="H456" s="21">
        <v>441</v>
      </c>
      <c r="I456" s="102">
        <v>0.66780185423823291</v>
      </c>
      <c r="J456" s="103">
        <v>1.315279026949244E-3</v>
      </c>
      <c r="K456" s="103"/>
      <c r="L456" s="103">
        <v>4.02E-2</v>
      </c>
      <c r="O456" s="100"/>
    </row>
    <row r="457" spans="2:15" x14ac:dyDescent="0.2">
      <c r="B457" s="1">
        <v>442</v>
      </c>
      <c r="C457" s="101">
        <f t="shared" ca="1" si="24"/>
        <v>0.85592293603598202</v>
      </c>
      <c r="D457" s="101">
        <f t="shared" ca="1" si="25"/>
        <v>0.72304214279142054</v>
      </c>
      <c r="E457" s="101">
        <f t="shared" ca="1" si="26"/>
        <v>0</v>
      </c>
      <c r="F457" s="21">
        <f t="shared" ca="1" si="27"/>
        <v>0</v>
      </c>
      <c r="H457" s="21">
        <v>442</v>
      </c>
      <c r="I457" s="102">
        <v>0.66779236216230886</v>
      </c>
      <c r="J457" s="103">
        <v>1.3630258120464187E-3</v>
      </c>
      <c r="K457" s="103"/>
      <c r="L457" s="103">
        <v>4.24E-2</v>
      </c>
      <c r="O457" s="100"/>
    </row>
    <row r="458" spans="2:15" x14ac:dyDescent="0.2">
      <c r="B458" s="1">
        <v>443</v>
      </c>
      <c r="C458" s="101">
        <f t="shared" ca="1" si="24"/>
        <v>-1.6966949241539331</v>
      </c>
      <c r="D458" s="101">
        <f t="shared" ca="1" si="25"/>
        <v>0.56209670010785362</v>
      </c>
      <c r="E458" s="101">
        <f t="shared" ca="1" si="26"/>
        <v>0</v>
      </c>
      <c r="F458" s="21">
        <f t="shared" ca="1" si="27"/>
        <v>0</v>
      </c>
      <c r="H458" s="21">
        <v>443</v>
      </c>
      <c r="I458" s="102">
        <v>0.66776190593172025</v>
      </c>
      <c r="J458" s="103">
        <v>1.3787466782298778E-3</v>
      </c>
      <c r="K458" s="103"/>
      <c r="L458" s="103">
        <v>3.9E-2</v>
      </c>
      <c r="O458" s="100"/>
    </row>
    <row r="459" spans="2:15" x14ac:dyDescent="0.2">
      <c r="B459" s="1">
        <v>444</v>
      </c>
      <c r="C459" s="101">
        <f t="shared" ca="1" si="24"/>
        <v>-0.83617274377483153</v>
      </c>
      <c r="D459" s="101">
        <f t="shared" ca="1" si="25"/>
        <v>0.61189270472480217</v>
      </c>
      <c r="E459" s="101">
        <f t="shared" ca="1" si="26"/>
        <v>0</v>
      </c>
      <c r="F459" s="21">
        <f t="shared" ca="1" si="27"/>
        <v>0</v>
      </c>
      <c r="H459" s="21">
        <v>444</v>
      </c>
      <c r="I459" s="102">
        <v>0.66770596483451317</v>
      </c>
      <c r="J459" s="103">
        <v>1.3644764664805242E-3</v>
      </c>
      <c r="K459" s="103"/>
      <c r="L459" s="103">
        <v>4.1000000000000002E-2</v>
      </c>
      <c r="O459" s="100"/>
    </row>
    <row r="460" spans="2:15" x14ac:dyDescent="0.2">
      <c r="B460" s="1">
        <v>445</v>
      </c>
      <c r="C460" s="101">
        <f t="shared" ca="1" si="24"/>
        <v>2.4490737485384657</v>
      </c>
      <c r="D460" s="101">
        <f t="shared" ca="1" si="25"/>
        <v>0.846083468725637</v>
      </c>
      <c r="E460" s="101">
        <f t="shared" ca="1" si="26"/>
        <v>5.7883468725636988E-2</v>
      </c>
      <c r="F460" s="21">
        <f t="shared" ca="1" si="27"/>
        <v>1</v>
      </c>
      <c r="H460" s="21">
        <v>445</v>
      </c>
      <c r="I460" s="102">
        <v>0.66761724719244786</v>
      </c>
      <c r="J460" s="103">
        <v>1.1514038481301914E-3</v>
      </c>
      <c r="K460" s="103"/>
      <c r="L460" s="103">
        <v>3.8199999999999998E-2</v>
      </c>
      <c r="O460" s="100"/>
    </row>
    <row r="461" spans="2:15" x14ac:dyDescent="0.2">
      <c r="B461" s="1">
        <v>446</v>
      </c>
      <c r="C461" s="101">
        <f t="shared" ca="1" si="24"/>
        <v>-0.3053222539915339</v>
      </c>
      <c r="D461" s="101">
        <f t="shared" ca="1" si="25"/>
        <v>0.64478746067599835</v>
      </c>
      <c r="E461" s="101">
        <f t="shared" ca="1" si="26"/>
        <v>0</v>
      </c>
      <c r="F461" s="21">
        <f t="shared" ca="1" si="27"/>
        <v>0</v>
      </c>
      <c r="H461" s="21">
        <v>446</v>
      </c>
      <c r="I461" s="102">
        <v>0.66771625762310427</v>
      </c>
      <c r="J461" s="103">
        <v>1.3968213812377045E-3</v>
      </c>
      <c r="K461" s="103"/>
      <c r="L461" s="103">
        <v>4.3999999999999997E-2</v>
      </c>
      <c r="O461" s="100"/>
    </row>
    <row r="462" spans="2:15" x14ac:dyDescent="0.2">
      <c r="B462" s="1">
        <v>447</v>
      </c>
      <c r="C462" s="101">
        <f t="shared" ca="1" si="24"/>
        <v>1.2243294450227427E-2</v>
      </c>
      <c r="D462" s="101">
        <f t="shared" ca="1" si="25"/>
        <v>0.66530516549509155</v>
      </c>
      <c r="E462" s="101">
        <f t="shared" ca="1" si="26"/>
        <v>0</v>
      </c>
      <c r="F462" s="21">
        <f t="shared" ca="1" si="27"/>
        <v>0</v>
      </c>
      <c r="H462" s="21">
        <v>447</v>
      </c>
      <c r="I462" s="102">
        <v>0.66783430629330964</v>
      </c>
      <c r="J462" s="103">
        <v>1.380490632122677E-3</v>
      </c>
      <c r="K462" s="103"/>
      <c r="L462" s="103">
        <v>4.5600000000000002E-2</v>
      </c>
      <c r="O462" s="100"/>
    </row>
    <row r="463" spans="2:15" x14ac:dyDescent="0.2">
      <c r="B463" s="1">
        <v>448</v>
      </c>
      <c r="C463" s="101">
        <f t="shared" ca="1" si="24"/>
        <v>2.1505289526901046</v>
      </c>
      <c r="D463" s="101">
        <f t="shared" ca="1" si="25"/>
        <v>0.82153058139567503</v>
      </c>
      <c r="E463" s="101">
        <f t="shared" ca="1" si="26"/>
        <v>3.3330581395675019E-2</v>
      </c>
      <c r="F463" s="21">
        <f t="shared" ca="1" si="27"/>
        <v>1</v>
      </c>
      <c r="H463" s="21">
        <v>448</v>
      </c>
      <c r="I463" s="102">
        <v>0.66789047942359558</v>
      </c>
      <c r="J463" s="103">
        <v>1.6876384273802818E-3</v>
      </c>
      <c r="K463" s="103"/>
      <c r="L463" s="103">
        <v>4.3400000000000001E-2</v>
      </c>
      <c r="O463" s="100"/>
    </row>
    <row r="464" spans="2:15" x14ac:dyDescent="0.2">
      <c r="B464" s="1">
        <v>449</v>
      </c>
      <c r="C464" s="101">
        <f t="shared" ref="C464:C527" ca="1" si="28">_xlfn.NORM.S.INV(RAND())</f>
        <v>-0.37185458936634141</v>
      </c>
      <c r="D464" s="101">
        <f t="shared" ref="D464:D527" ca="1" si="29">S0*EXP((μ-0.5*σ*σ)*T+σ*SQRT(T)*$C464)</f>
        <v>0.64056968061866637</v>
      </c>
      <c r="E464" s="101">
        <f t="shared" ref="E464:E527" ca="1" si="30">MAX(0,CP*(D464-K))</f>
        <v>0</v>
      </c>
      <c r="F464" s="21">
        <f t="shared" ref="F464:F527" ca="1" si="31">(CP*(D464-K)&gt;0)*1</f>
        <v>0</v>
      </c>
      <c r="H464" s="21">
        <v>449</v>
      </c>
      <c r="I464" s="102">
        <v>0.66770555812828047</v>
      </c>
      <c r="J464" s="103">
        <v>1.2682562701784143E-3</v>
      </c>
      <c r="K464" s="103"/>
      <c r="L464" s="103">
        <v>3.9199999999999999E-2</v>
      </c>
      <c r="O464" s="100"/>
    </row>
    <row r="465" spans="2:15" x14ac:dyDescent="0.2">
      <c r="B465" s="1">
        <v>450</v>
      </c>
      <c r="C465" s="101">
        <f t="shared" ca="1" si="28"/>
        <v>0.89049534743979264</v>
      </c>
      <c r="D465" s="101">
        <f t="shared" ca="1" si="29"/>
        <v>0.72551211988084496</v>
      </c>
      <c r="E465" s="101">
        <f t="shared" ca="1" si="30"/>
        <v>0</v>
      </c>
      <c r="F465" s="21">
        <f t="shared" ca="1" si="31"/>
        <v>0</v>
      </c>
      <c r="H465" s="21">
        <v>450</v>
      </c>
      <c r="I465" s="102">
        <v>0.66786460717834539</v>
      </c>
      <c r="J465" s="103">
        <v>1.5342004267892462E-3</v>
      </c>
      <c r="K465" s="103"/>
      <c r="L465" s="103">
        <v>4.4600000000000001E-2</v>
      </c>
      <c r="O465" s="100"/>
    </row>
    <row r="466" spans="2:15" x14ac:dyDescent="0.2">
      <c r="B466" s="1">
        <v>451</v>
      </c>
      <c r="C466" s="101">
        <f t="shared" ca="1" si="28"/>
        <v>2.2000273484223238</v>
      </c>
      <c r="D466" s="101">
        <f t="shared" ca="1" si="29"/>
        <v>0.82555158470503454</v>
      </c>
      <c r="E466" s="101">
        <f t="shared" ca="1" si="30"/>
        <v>3.7351584705034524E-2</v>
      </c>
      <c r="F466" s="21">
        <f t="shared" ca="1" si="31"/>
        <v>1</v>
      </c>
      <c r="H466" s="21">
        <v>451</v>
      </c>
      <c r="I466" s="102">
        <v>0.6676087841710534</v>
      </c>
      <c r="J466" s="103">
        <v>1.1961779114551265E-3</v>
      </c>
      <c r="K466" s="103"/>
      <c r="L466" s="103">
        <v>3.8800000000000001E-2</v>
      </c>
      <c r="O466" s="100"/>
    </row>
    <row r="467" spans="2:15" x14ac:dyDescent="0.2">
      <c r="B467" s="1">
        <v>452</v>
      </c>
      <c r="C467" s="101">
        <f t="shared" ca="1" si="28"/>
        <v>-0.61591908389634142</v>
      </c>
      <c r="D467" s="101">
        <f t="shared" ca="1" si="29"/>
        <v>0.62533222035494873</v>
      </c>
      <c r="E467" s="101">
        <f t="shared" ca="1" si="30"/>
        <v>0</v>
      </c>
      <c r="F467" s="21">
        <f t="shared" ca="1" si="31"/>
        <v>0</v>
      </c>
      <c r="H467" s="21">
        <v>452</v>
      </c>
      <c r="I467" s="102">
        <v>0.66794476032913341</v>
      </c>
      <c r="J467" s="103">
        <v>1.4787549112453594E-3</v>
      </c>
      <c r="K467" s="103"/>
      <c r="L467" s="103">
        <v>4.5199999999999997E-2</v>
      </c>
      <c r="O467" s="100"/>
    </row>
    <row r="468" spans="2:15" x14ac:dyDescent="0.2">
      <c r="B468" s="1">
        <v>453</v>
      </c>
      <c r="C468" s="101">
        <f t="shared" ca="1" si="28"/>
        <v>0.50274108899271253</v>
      </c>
      <c r="D468" s="101">
        <f t="shared" ca="1" si="29"/>
        <v>0.69828629513385632</v>
      </c>
      <c r="E468" s="101">
        <f t="shared" ca="1" si="30"/>
        <v>0</v>
      </c>
      <c r="F468" s="21">
        <f t="shared" ca="1" si="31"/>
        <v>0</v>
      </c>
      <c r="H468" s="21">
        <v>453</v>
      </c>
      <c r="I468" s="102">
        <v>0.66768889842240176</v>
      </c>
      <c r="J468" s="103">
        <v>1.2714076468401747E-3</v>
      </c>
      <c r="K468" s="103"/>
      <c r="L468" s="103">
        <v>3.8800000000000001E-2</v>
      </c>
      <c r="O468" s="100"/>
    </row>
    <row r="469" spans="2:15" x14ac:dyDescent="0.2">
      <c r="B469" s="1">
        <v>454</v>
      </c>
      <c r="C469" s="101">
        <f t="shared" ca="1" si="28"/>
        <v>0.44517651898884447</v>
      </c>
      <c r="D469" s="101">
        <f t="shared" ca="1" si="29"/>
        <v>0.69433249008041009</v>
      </c>
      <c r="E469" s="101">
        <f t="shared" ca="1" si="30"/>
        <v>0</v>
      </c>
      <c r="F469" s="21">
        <f t="shared" ca="1" si="31"/>
        <v>0</v>
      </c>
      <c r="H469" s="21">
        <v>454</v>
      </c>
      <c r="I469" s="102">
        <v>0.66766030643285534</v>
      </c>
      <c r="J469" s="103">
        <v>1.3248787232145094E-3</v>
      </c>
      <c r="K469" s="103"/>
      <c r="L469" s="103">
        <v>4.0399999999999998E-2</v>
      </c>
      <c r="O469" s="100"/>
    </row>
    <row r="470" spans="2:15" x14ac:dyDescent="0.2">
      <c r="B470" s="1">
        <v>455</v>
      </c>
      <c r="C470" s="101">
        <f t="shared" ca="1" si="28"/>
        <v>-1.4447416503524892</v>
      </c>
      <c r="D470" s="101">
        <f t="shared" ca="1" si="29"/>
        <v>0.57624153494347652</v>
      </c>
      <c r="E470" s="101">
        <f t="shared" ca="1" si="30"/>
        <v>0</v>
      </c>
      <c r="F470" s="21">
        <f t="shared" ca="1" si="31"/>
        <v>0</v>
      </c>
      <c r="H470" s="21">
        <v>455</v>
      </c>
      <c r="I470" s="102">
        <v>0.66779231317083054</v>
      </c>
      <c r="J470" s="103">
        <v>1.5000579864209251E-3</v>
      </c>
      <c r="K470" s="103"/>
      <c r="L470" s="103">
        <v>4.4600000000000001E-2</v>
      </c>
      <c r="O470" s="100"/>
    </row>
    <row r="471" spans="2:15" x14ac:dyDescent="0.2">
      <c r="B471" s="1">
        <v>456</v>
      </c>
      <c r="C471" s="101">
        <f t="shared" ca="1" si="28"/>
        <v>0.23636454590169145</v>
      </c>
      <c r="D471" s="101">
        <f t="shared" ca="1" si="29"/>
        <v>0.68017726515702825</v>
      </c>
      <c r="E471" s="101">
        <f t="shared" ca="1" si="30"/>
        <v>0</v>
      </c>
      <c r="F471" s="21">
        <f t="shared" ca="1" si="31"/>
        <v>0</v>
      </c>
      <c r="H471" s="21">
        <v>456</v>
      </c>
      <c r="I471" s="102">
        <v>0.66769341521040371</v>
      </c>
      <c r="J471" s="103">
        <v>1.3520962030171661E-3</v>
      </c>
      <c r="K471" s="103"/>
      <c r="L471" s="103">
        <v>4.0399999999999998E-2</v>
      </c>
      <c r="O471" s="100"/>
    </row>
    <row r="472" spans="2:15" x14ac:dyDescent="0.2">
      <c r="B472" s="1">
        <v>457</v>
      </c>
      <c r="C472" s="101">
        <f t="shared" ca="1" si="28"/>
        <v>-0.65544087458532652</v>
      </c>
      <c r="D472" s="101">
        <f t="shared" ca="1" si="29"/>
        <v>0.62289911983668034</v>
      </c>
      <c r="E472" s="101">
        <f t="shared" ca="1" si="30"/>
        <v>0</v>
      </c>
      <c r="F472" s="21">
        <f t="shared" ca="1" si="31"/>
        <v>0</v>
      </c>
      <c r="H472" s="21">
        <v>457</v>
      </c>
      <c r="I472" s="102">
        <v>0.66781578560322785</v>
      </c>
      <c r="J472" s="103">
        <v>1.2617118934513795E-3</v>
      </c>
      <c r="K472" s="103"/>
      <c r="L472" s="103">
        <v>4.24E-2</v>
      </c>
      <c r="O472" s="100"/>
    </row>
    <row r="473" spans="2:15" x14ac:dyDescent="0.2">
      <c r="B473" s="1">
        <v>458</v>
      </c>
      <c r="C473" s="101">
        <f t="shared" ca="1" si="28"/>
        <v>8.5322479983415911E-2</v>
      </c>
      <c r="D473" s="101">
        <f t="shared" ca="1" si="29"/>
        <v>0.67011843044573027</v>
      </c>
      <c r="E473" s="101">
        <f t="shared" ca="1" si="30"/>
        <v>0</v>
      </c>
      <c r="F473" s="21">
        <f t="shared" ca="1" si="31"/>
        <v>0</v>
      </c>
      <c r="H473" s="21">
        <v>458</v>
      </c>
      <c r="I473" s="102">
        <v>0.66773400310244391</v>
      </c>
      <c r="J473" s="103">
        <v>1.3546751383474206E-3</v>
      </c>
      <c r="K473" s="103"/>
      <c r="L473" s="103">
        <v>4.2999999999999997E-2</v>
      </c>
      <c r="O473" s="100"/>
    </row>
    <row r="474" spans="2:15" x14ac:dyDescent="0.2">
      <c r="B474" s="1">
        <v>459</v>
      </c>
      <c r="C474" s="101">
        <f t="shared" ca="1" si="28"/>
        <v>-0.18136327233565711</v>
      </c>
      <c r="D474" s="101">
        <f t="shared" ca="1" si="29"/>
        <v>0.65271998389838581</v>
      </c>
      <c r="E474" s="101">
        <f t="shared" ca="1" si="30"/>
        <v>0</v>
      </c>
      <c r="F474" s="21">
        <f t="shared" ca="1" si="31"/>
        <v>0</v>
      </c>
      <c r="H474" s="21">
        <v>459</v>
      </c>
      <c r="I474" s="102">
        <v>0.66783049602130617</v>
      </c>
      <c r="J474" s="103">
        <v>1.5047195186954725E-3</v>
      </c>
      <c r="K474" s="103"/>
      <c r="L474" s="103">
        <v>4.3799999999999999E-2</v>
      </c>
      <c r="O474" s="100"/>
    </row>
    <row r="475" spans="2:15" x14ac:dyDescent="0.2">
      <c r="B475" s="1">
        <v>460</v>
      </c>
      <c r="C475" s="101">
        <f t="shared" ca="1" si="28"/>
        <v>-0.60005957969566082</v>
      </c>
      <c r="D475" s="101">
        <f t="shared" ca="1" si="29"/>
        <v>0.62631125726075865</v>
      </c>
      <c r="E475" s="101">
        <f t="shared" ca="1" si="30"/>
        <v>0</v>
      </c>
      <c r="F475" s="21">
        <f t="shared" ca="1" si="31"/>
        <v>0</v>
      </c>
      <c r="H475" s="21">
        <v>460</v>
      </c>
      <c r="I475" s="102">
        <v>0.66766959565461137</v>
      </c>
      <c r="J475" s="103">
        <v>1.4512324706758425E-3</v>
      </c>
      <c r="K475" s="103"/>
      <c r="L475" s="103">
        <v>4.02E-2</v>
      </c>
      <c r="O475" s="100"/>
    </row>
    <row r="476" spans="2:15" x14ac:dyDescent="0.2">
      <c r="B476" s="1">
        <v>461</v>
      </c>
      <c r="C476" s="101">
        <f t="shared" ca="1" si="28"/>
        <v>0.59771681107949937</v>
      </c>
      <c r="D476" s="101">
        <f t="shared" ca="1" si="29"/>
        <v>0.70485895203334992</v>
      </c>
      <c r="E476" s="101">
        <f t="shared" ca="1" si="30"/>
        <v>0</v>
      </c>
      <c r="F476" s="21">
        <f t="shared" ca="1" si="31"/>
        <v>0</v>
      </c>
      <c r="H476" s="21">
        <v>461</v>
      </c>
      <c r="I476" s="102">
        <v>0.66763259715052614</v>
      </c>
      <c r="J476" s="103">
        <v>1.2823060407075927E-3</v>
      </c>
      <c r="K476" s="103"/>
      <c r="L476" s="103">
        <v>3.9800000000000002E-2</v>
      </c>
      <c r="O476" s="100"/>
    </row>
    <row r="477" spans="2:15" x14ac:dyDescent="0.2">
      <c r="B477" s="1">
        <v>462</v>
      </c>
      <c r="C477" s="101">
        <f t="shared" ca="1" si="28"/>
        <v>-2.0166621029108063</v>
      </c>
      <c r="D477" s="101">
        <f t="shared" ca="1" si="29"/>
        <v>0.54463285800929895</v>
      </c>
      <c r="E477" s="101">
        <f t="shared" ca="1" si="30"/>
        <v>0</v>
      </c>
      <c r="F477" s="21">
        <f t="shared" ca="1" si="31"/>
        <v>0</v>
      </c>
      <c r="H477" s="21">
        <v>462</v>
      </c>
      <c r="I477" s="102">
        <v>0.6678576657223021</v>
      </c>
      <c r="J477" s="103">
        <v>1.5605543357537291E-3</v>
      </c>
      <c r="K477" s="103"/>
      <c r="L477" s="103">
        <v>4.24E-2</v>
      </c>
      <c r="O477" s="100"/>
    </row>
    <row r="478" spans="2:15" x14ac:dyDescent="0.2">
      <c r="B478" s="1">
        <v>463</v>
      </c>
      <c r="C478" s="101">
        <f t="shared" ca="1" si="28"/>
        <v>-0.16022325817928743</v>
      </c>
      <c r="D478" s="101">
        <f t="shared" ca="1" si="29"/>
        <v>0.65408250731578654</v>
      </c>
      <c r="E478" s="101">
        <f t="shared" ca="1" si="30"/>
        <v>0</v>
      </c>
      <c r="F478" s="21">
        <f t="shared" ca="1" si="31"/>
        <v>0</v>
      </c>
      <c r="H478" s="21">
        <v>463</v>
      </c>
      <c r="I478" s="102">
        <v>0.66773811941664529</v>
      </c>
      <c r="J478" s="103">
        <v>1.3855001006226591E-3</v>
      </c>
      <c r="K478" s="103"/>
      <c r="L478" s="103">
        <v>4.3799999999999999E-2</v>
      </c>
      <c r="O478" s="100"/>
    </row>
    <row r="479" spans="2:15" x14ac:dyDescent="0.2">
      <c r="B479" s="1">
        <v>464</v>
      </c>
      <c r="C479" s="101">
        <f t="shared" ca="1" si="28"/>
        <v>-2.2634895296262161</v>
      </c>
      <c r="D479" s="101">
        <f t="shared" ca="1" si="29"/>
        <v>0.53153259802124453</v>
      </c>
      <c r="E479" s="101">
        <f t="shared" ca="1" si="30"/>
        <v>0</v>
      </c>
      <c r="F479" s="21">
        <f t="shared" ca="1" si="31"/>
        <v>0</v>
      </c>
      <c r="H479" s="21">
        <v>464</v>
      </c>
      <c r="I479" s="102">
        <v>0.66787672461618053</v>
      </c>
      <c r="J479" s="103">
        <v>1.5640725510324546E-3</v>
      </c>
      <c r="K479" s="103"/>
      <c r="L479" s="103">
        <v>4.24E-2</v>
      </c>
      <c r="O479" s="100"/>
    </row>
    <row r="480" spans="2:15" x14ac:dyDescent="0.2">
      <c r="B480" s="1">
        <v>465</v>
      </c>
      <c r="C480" s="101">
        <f t="shared" ca="1" si="28"/>
        <v>0.4491121255319655</v>
      </c>
      <c r="D480" s="101">
        <f t="shared" ca="1" si="29"/>
        <v>0.69460209161790809</v>
      </c>
      <c r="E480" s="101">
        <f t="shared" ca="1" si="30"/>
        <v>0</v>
      </c>
      <c r="F480" s="21">
        <f t="shared" ca="1" si="31"/>
        <v>0</v>
      </c>
      <c r="H480" s="21">
        <v>465</v>
      </c>
      <c r="I480" s="102">
        <v>0.66765994260018025</v>
      </c>
      <c r="J480" s="103">
        <v>1.2333417038087899E-3</v>
      </c>
      <c r="K480" s="103"/>
      <c r="L480" s="103">
        <v>3.9199999999999999E-2</v>
      </c>
      <c r="O480" s="100"/>
    </row>
    <row r="481" spans="2:15" x14ac:dyDescent="0.2">
      <c r="B481" s="1">
        <v>466</v>
      </c>
      <c r="C481" s="101">
        <f t="shared" ca="1" si="28"/>
        <v>0.6864051290969112</v>
      </c>
      <c r="D481" s="101">
        <f t="shared" ca="1" si="29"/>
        <v>0.71105234448410837</v>
      </c>
      <c r="E481" s="101">
        <f t="shared" ca="1" si="30"/>
        <v>0</v>
      </c>
      <c r="F481" s="21">
        <f t="shared" ca="1" si="31"/>
        <v>0</v>
      </c>
      <c r="H481" s="21">
        <v>466</v>
      </c>
      <c r="I481" s="102">
        <v>0.66768389146168816</v>
      </c>
      <c r="J481" s="103">
        <v>1.2672985492974639E-3</v>
      </c>
      <c r="K481" s="103"/>
      <c r="L481" s="103">
        <v>3.8600000000000002E-2</v>
      </c>
      <c r="O481" s="100"/>
    </row>
    <row r="482" spans="2:15" x14ac:dyDescent="0.2">
      <c r="B482" s="1">
        <v>467</v>
      </c>
      <c r="C482" s="101">
        <f t="shared" ca="1" si="28"/>
        <v>-0.77735938600344578</v>
      </c>
      <c r="D482" s="101">
        <f t="shared" ca="1" si="29"/>
        <v>0.61545287298395635</v>
      </c>
      <c r="E482" s="101">
        <f t="shared" ca="1" si="30"/>
        <v>0</v>
      </c>
      <c r="F482" s="21">
        <f t="shared" ca="1" si="31"/>
        <v>0</v>
      </c>
      <c r="H482" s="21">
        <v>467</v>
      </c>
      <c r="I482" s="102">
        <v>0.66782230216084326</v>
      </c>
      <c r="J482" s="103">
        <v>1.515015475564993E-3</v>
      </c>
      <c r="K482" s="103"/>
      <c r="L482" s="103">
        <v>4.36E-2</v>
      </c>
      <c r="O482" s="100"/>
    </row>
    <row r="483" spans="2:15" x14ac:dyDescent="0.2">
      <c r="B483" s="1">
        <v>468</v>
      </c>
      <c r="C483" s="101">
        <f t="shared" ca="1" si="28"/>
        <v>-1.3295624061288782</v>
      </c>
      <c r="D483" s="101">
        <f t="shared" ca="1" si="29"/>
        <v>0.58282579723966654</v>
      </c>
      <c r="E483" s="101">
        <f t="shared" ca="1" si="30"/>
        <v>0</v>
      </c>
      <c r="F483" s="21">
        <f t="shared" ca="1" si="31"/>
        <v>0</v>
      </c>
      <c r="H483" s="21">
        <v>468</v>
      </c>
      <c r="I483" s="102">
        <v>0.66758294897593562</v>
      </c>
      <c r="J483" s="103">
        <v>1.1153597968736704E-3</v>
      </c>
      <c r="K483" s="103"/>
      <c r="L483" s="103">
        <v>3.6400000000000002E-2</v>
      </c>
      <c r="O483" s="100"/>
    </row>
    <row r="484" spans="2:15" x14ac:dyDescent="0.2">
      <c r="B484" s="1">
        <v>469</v>
      </c>
      <c r="C484" s="101">
        <f t="shared" ca="1" si="28"/>
        <v>-0.17099265593141472</v>
      </c>
      <c r="D484" s="101">
        <f t="shared" ca="1" si="29"/>
        <v>0.65338803938477552</v>
      </c>
      <c r="E484" s="101">
        <f t="shared" ca="1" si="30"/>
        <v>0</v>
      </c>
      <c r="F484" s="21">
        <f t="shared" ca="1" si="31"/>
        <v>0</v>
      </c>
      <c r="H484" s="21">
        <v>469</v>
      </c>
      <c r="I484" s="102">
        <v>0.66777094622250621</v>
      </c>
      <c r="J484" s="103">
        <v>1.439697721669572E-3</v>
      </c>
      <c r="K484" s="103"/>
      <c r="L484" s="103">
        <v>4.3200000000000002E-2</v>
      </c>
      <c r="O484" s="100"/>
    </row>
    <row r="485" spans="2:15" x14ac:dyDescent="0.2">
      <c r="B485" s="1">
        <v>470</v>
      </c>
      <c r="C485" s="101">
        <f t="shared" ca="1" si="28"/>
        <v>0.72356417508783011</v>
      </c>
      <c r="D485" s="101">
        <f t="shared" ca="1" si="29"/>
        <v>0.71366343067138605</v>
      </c>
      <c r="E485" s="101">
        <f t="shared" ca="1" si="30"/>
        <v>0</v>
      </c>
      <c r="F485" s="21">
        <f t="shared" ca="1" si="31"/>
        <v>0</v>
      </c>
      <c r="H485" s="21">
        <v>470</v>
      </c>
      <c r="I485" s="102">
        <v>0.6677831556135978</v>
      </c>
      <c r="J485" s="103">
        <v>1.357067642564798E-3</v>
      </c>
      <c r="K485" s="103"/>
      <c r="L485" s="103">
        <v>4.1399999999999999E-2</v>
      </c>
      <c r="O485" s="100"/>
    </row>
    <row r="486" spans="2:15" x14ac:dyDescent="0.2">
      <c r="B486" s="1">
        <v>471</v>
      </c>
      <c r="C486" s="101">
        <f t="shared" ca="1" si="28"/>
        <v>2.0039343789414725</v>
      </c>
      <c r="D486" s="101">
        <f t="shared" ca="1" si="29"/>
        <v>0.80973649503442757</v>
      </c>
      <c r="E486" s="101">
        <f t="shared" ca="1" si="30"/>
        <v>2.1536495034427561E-2</v>
      </c>
      <c r="F486" s="21">
        <f t="shared" ca="1" si="31"/>
        <v>1</v>
      </c>
      <c r="H486" s="21">
        <v>471</v>
      </c>
      <c r="I486" s="102">
        <v>0.66755115731520154</v>
      </c>
      <c r="J486" s="103">
        <v>1.2142800483994367E-3</v>
      </c>
      <c r="K486" s="103"/>
      <c r="L486" s="103">
        <v>4.0800000000000003E-2</v>
      </c>
      <c r="O486" s="100"/>
    </row>
    <row r="487" spans="2:15" x14ac:dyDescent="0.2">
      <c r="B487" s="1">
        <v>472</v>
      </c>
      <c r="C487" s="101">
        <f t="shared" ca="1" si="28"/>
        <v>-1.9786030255931299</v>
      </c>
      <c r="D487" s="101">
        <f t="shared" ca="1" si="29"/>
        <v>0.54668136034620163</v>
      </c>
      <c r="E487" s="101">
        <f t="shared" ca="1" si="30"/>
        <v>0</v>
      </c>
      <c r="F487" s="21">
        <f t="shared" ca="1" si="31"/>
        <v>0</v>
      </c>
      <c r="H487" s="21">
        <v>472</v>
      </c>
      <c r="I487" s="102">
        <v>0.66785325867929568</v>
      </c>
      <c r="J487" s="103">
        <v>1.4039829288646185E-3</v>
      </c>
      <c r="K487" s="103"/>
      <c r="L487" s="103">
        <v>4.48E-2</v>
      </c>
      <c r="O487" s="100"/>
    </row>
    <row r="488" spans="2:15" x14ac:dyDescent="0.2">
      <c r="B488" s="1">
        <v>473</v>
      </c>
      <c r="C488" s="101">
        <f t="shared" ca="1" si="28"/>
        <v>1.2724274156383559</v>
      </c>
      <c r="D488" s="101">
        <f t="shared" ca="1" si="29"/>
        <v>0.75336667638017996</v>
      </c>
      <c r="E488" s="101">
        <f t="shared" ca="1" si="30"/>
        <v>0</v>
      </c>
      <c r="F488" s="21">
        <f t="shared" ca="1" si="31"/>
        <v>0</v>
      </c>
      <c r="H488" s="21">
        <v>473</v>
      </c>
      <c r="I488" s="102">
        <v>0.66754836141064477</v>
      </c>
      <c r="J488" s="103">
        <v>1.1432087917846666E-3</v>
      </c>
      <c r="K488" s="103"/>
      <c r="L488" s="103">
        <v>3.9E-2</v>
      </c>
      <c r="O488" s="100"/>
    </row>
    <row r="489" spans="2:15" x14ac:dyDescent="0.2">
      <c r="B489" s="1">
        <v>474</v>
      </c>
      <c r="C489" s="101">
        <f t="shared" ca="1" si="28"/>
        <v>-1.7337949644658461</v>
      </c>
      <c r="D489" s="101">
        <f t="shared" ca="1" si="29"/>
        <v>0.56004341201439467</v>
      </c>
      <c r="E489" s="101">
        <f t="shared" ca="1" si="30"/>
        <v>0</v>
      </c>
      <c r="F489" s="21">
        <f t="shared" ca="1" si="31"/>
        <v>0</v>
      </c>
      <c r="H489" s="21">
        <v>474</v>
      </c>
      <c r="I489" s="102">
        <v>0.66785587727667239</v>
      </c>
      <c r="J489" s="103">
        <v>1.4870217600219996E-3</v>
      </c>
      <c r="K489" s="103"/>
      <c r="L489" s="103">
        <v>4.4999999999999998E-2</v>
      </c>
      <c r="O489" s="100"/>
    </row>
    <row r="490" spans="2:15" x14ac:dyDescent="0.2">
      <c r="B490" s="1">
        <v>475</v>
      </c>
      <c r="C490" s="101">
        <f t="shared" ca="1" si="28"/>
        <v>3.8874086967291012E-3</v>
      </c>
      <c r="D490" s="101">
        <f t="shared" ca="1" si="29"/>
        <v>0.66475702319068841</v>
      </c>
      <c r="E490" s="101">
        <f t="shared" ca="1" si="30"/>
        <v>0</v>
      </c>
      <c r="F490" s="21">
        <f t="shared" ca="1" si="31"/>
        <v>0</v>
      </c>
      <c r="H490" s="21">
        <v>475</v>
      </c>
      <c r="I490" s="102">
        <v>0.66771191160303345</v>
      </c>
      <c r="J490" s="103">
        <v>1.3610636378788058E-3</v>
      </c>
      <c r="K490" s="103"/>
      <c r="L490" s="103">
        <v>3.7400000000000003E-2</v>
      </c>
      <c r="O490" s="100"/>
    </row>
    <row r="491" spans="2:15" x14ac:dyDescent="0.2">
      <c r="B491" s="1">
        <v>476</v>
      </c>
      <c r="C491" s="101">
        <f t="shared" ca="1" si="28"/>
        <v>0.87362058754512606</v>
      </c>
      <c r="D491" s="101">
        <f t="shared" ca="1" si="29"/>
        <v>0.72430547417244362</v>
      </c>
      <c r="E491" s="101">
        <f t="shared" ca="1" si="30"/>
        <v>0</v>
      </c>
      <c r="F491" s="21">
        <f t="shared" ca="1" si="31"/>
        <v>0</v>
      </c>
      <c r="H491" s="21">
        <v>476</v>
      </c>
      <c r="I491" s="102">
        <v>0.66765055717433519</v>
      </c>
      <c r="J491" s="103">
        <v>1.1445863411354434E-3</v>
      </c>
      <c r="K491" s="103"/>
      <c r="L491" s="103">
        <v>3.7600000000000001E-2</v>
      </c>
      <c r="O491" s="100"/>
    </row>
    <row r="492" spans="2:15" x14ac:dyDescent="0.2">
      <c r="B492" s="1">
        <v>477</v>
      </c>
      <c r="C492" s="101">
        <f t="shared" ca="1" si="28"/>
        <v>1.9871804884439503</v>
      </c>
      <c r="D492" s="101">
        <f t="shared" ca="1" si="29"/>
        <v>0.80839940862971515</v>
      </c>
      <c r="E492" s="101">
        <f t="shared" ca="1" si="30"/>
        <v>2.0199408629715143E-2</v>
      </c>
      <c r="F492" s="21">
        <f t="shared" ca="1" si="31"/>
        <v>1</v>
      </c>
      <c r="H492" s="21">
        <v>477</v>
      </c>
      <c r="I492" s="102">
        <v>0.66777501752659296</v>
      </c>
      <c r="J492" s="103">
        <v>1.4081325187073714E-3</v>
      </c>
      <c r="K492" s="103"/>
      <c r="L492" s="103">
        <v>4.5199999999999997E-2</v>
      </c>
      <c r="O492" s="100"/>
    </row>
    <row r="493" spans="2:15" x14ac:dyDescent="0.2">
      <c r="B493" s="1">
        <v>478</v>
      </c>
      <c r="C493" s="101">
        <f t="shared" ca="1" si="28"/>
        <v>1.3273463360304594</v>
      </c>
      <c r="D493" s="101">
        <f t="shared" ca="1" si="29"/>
        <v>0.7574589453958267</v>
      </c>
      <c r="E493" s="101">
        <f t="shared" ca="1" si="30"/>
        <v>0</v>
      </c>
      <c r="F493" s="21">
        <f t="shared" ca="1" si="31"/>
        <v>0</v>
      </c>
      <c r="H493" s="21">
        <v>478</v>
      </c>
      <c r="I493" s="102">
        <v>0.66769970678605262</v>
      </c>
      <c r="J493" s="103">
        <v>1.4266597749589334E-3</v>
      </c>
      <c r="K493" s="103"/>
      <c r="L493" s="103">
        <v>4.0599999999999997E-2</v>
      </c>
      <c r="O493" s="100"/>
    </row>
    <row r="494" spans="2:15" x14ac:dyDescent="0.2">
      <c r="B494" s="1">
        <v>479</v>
      </c>
      <c r="C494" s="101">
        <f t="shared" ca="1" si="28"/>
        <v>-4.914111219451415E-3</v>
      </c>
      <c r="D494" s="101">
        <f t="shared" ca="1" si="29"/>
        <v>0.66418013586323688</v>
      </c>
      <c r="E494" s="101">
        <f t="shared" ca="1" si="30"/>
        <v>0</v>
      </c>
      <c r="F494" s="21">
        <f t="shared" ca="1" si="31"/>
        <v>0</v>
      </c>
      <c r="H494" s="21">
        <v>479</v>
      </c>
      <c r="I494" s="102">
        <v>0.66793009458194441</v>
      </c>
      <c r="J494" s="103">
        <v>1.7095300524143859E-3</v>
      </c>
      <c r="K494" s="103"/>
      <c r="L494" s="103">
        <v>4.58E-2</v>
      </c>
      <c r="O494" s="100"/>
    </row>
    <row r="495" spans="2:15" x14ac:dyDescent="0.2">
      <c r="B495" s="1">
        <v>480</v>
      </c>
      <c r="C495" s="101">
        <f t="shared" ca="1" si="28"/>
        <v>0.4100517726736107</v>
      </c>
      <c r="D495" s="101">
        <f t="shared" ca="1" si="29"/>
        <v>0.69193096326283909</v>
      </c>
      <c r="E495" s="101">
        <f t="shared" ca="1" si="30"/>
        <v>0</v>
      </c>
      <c r="F495" s="21">
        <f t="shared" ca="1" si="31"/>
        <v>0</v>
      </c>
      <c r="H495" s="21">
        <v>480</v>
      </c>
      <c r="I495" s="102">
        <v>0.66776416122321991</v>
      </c>
      <c r="J495" s="103">
        <v>1.4510332430591076E-3</v>
      </c>
      <c r="K495" s="103"/>
      <c r="L495" s="103">
        <v>4.2200000000000001E-2</v>
      </c>
      <c r="O495" s="100"/>
    </row>
    <row r="496" spans="2:15" x14ac:dyDescent="0.2">
      <c r="B496" s="1">
        <v>481</v>
      </c>
      <c r="C496" s="101">
        <f t="shared" ca="1" si="28"/>
        <v>1.3837411257199388</v>
      </c>
      <c r="D496" s="101">
        <f t="shared" ca="1" si="29"/>
        <v>0.76168432274534648</v>
      </c>
      <c r="E496" s="101">
        <f t="shared" ca="1" si="30"/>
        <v>0</v>
      </c>
      <c r="F496" s="21">
        <f t="shared" ca="1" si="31"/>
        <v>0</v>
      </c>
      <c r="H496" s="21">
        <v>481</v>
      </c>
      <c r="I496" s="102">
        <v>0.66767143571278109</v>
      </c>
      <c r="J496" s="103">
        <v>1.3669501484065241E-3</v>
      </c>
      <c r="K496" s="103"/>
      <c r="L496" s="103">
        <v>4.1200000000000001E-2</v>
      </c>
      <c r="O496" s="100"/>
    </row>
    <row r="497" spans="2:15" x14ac:dyDescent="0.2">
      <c r="B497" s="1">
        <v>482</v>
      </c>
      <c r="C497" s="101">
        <f t="shared" ca="1" si="28"/>
        <v>0.62391551925110167</v>
      </c>
      <c r="D497" s="101">
        <f t="shared" ca="1" si="29"/>
        <v>0.70668285733994363</v>
      </c>
      <c r="E497" s="101">
        <f t="shared" ca="1" si="30"/>
        <v>0</v>
      </c>
      <c r="F497" s="21">
        <f t="shared" ca="1" si="31"/>
        <v>0</v>
      </c>
      <c r="H497" s="21">
        <v>482</v>
      </c>
      <c r="I497" s="102">
        <v>0.66766086524341106</v>
      </c>
      <c r="J497" s="103">
        <v>1.2825178352306966E-3</v>
      </c>
      <c r="K497" s="103"/>
      <c r="L497" s="103">
        <v>4.1799999999999997E-2</v>
      </c>
      <c r="O497" s="100"/>
    </row>
    <row r="498" spans="2:15" x14ac:dyDescent="0.2">
      <c r="B498" s="1">
        <v>483</v>
      </c>
      <c r="C498" s="101">
        <f t="shared" ca="1" si="28"/>
        <v>-0.17850438693990608</v>
      </c>
      <c r="D498" s="101">
        <f t="shared" ca="1" si="29"/>
        <v>0.65290407966173947</v>
      </c>
      <c r="E498" s="101">
        <f t="shared" ca="1" si="30"/>
        <v>0</v>
      </c>
      <c r="F498" s="21">
        <f t="shared" ca="1" si="31"/>
        <v>0</v>
      </c>
      <c r="H498" s="21">
        <v>483</v>
      </c>
      <c r="I498" s="102">
        <v>0.66782172782376714</v>
      </c>
      <c r="J498" s="103">
        <v>1.6134232918803267E-3</v>
      </c>
      <c r="K498" s="103"/>
      <c r="L498" s="103">
        <v>4.8000000000000001E-2</v>
      </c>
      <c r="O498" s="100"/>
    </row>
    <row r="499" spans="2:15" x14ac:dyDescent="0.2">
      <c r="B499" s="1">
        <v>484</v>
      </c>
      <c r="C499" s="101">
        <f t="shared" ca="1" si="28"/>
        <v>0.1464324819061959</v>
      </c>
      <c r="D499" s="101">
        <f t="shared" ca="1" si="29"/>
        <v>0.67417008467773054</v>
      </c>
      <c r="E499" s="101">
        <f t="shared" ca="1" si="30"/>
        <v>0</v>
      </c>
      <c r="F499" s="21">
        <f t="shared" ca="1" si="31"/>
        <v>0</v>
      </c>
      <c r="H499" s="21">
        <v>484</v>
      </c>
      <c r="I499" s="102">
        <v>0.66766495001816795</v>
      </c>
      <c r="J499" s="103">
        <v>1.2519950233817029E-3</v>
      </c>
      <c r="K499" s="103"/>
      <c r="L499" s="103">
        <v>4.02E-2</v>
      </c>
      <c r="O499" s="100"/>
    </row>
    <row r="500" spans="2:15" x14ac:dyDescent="0.2">
      <c r="B500" s="1">
        <v>485</v>
      </c>
      <c r="C500" s="101">
        <f t="shared" ca="1" si="28"/>
        <v>2.1854761693277238</v>
      </c>
      <c r="D500" s="101">
        <f t="shared" ca="1" si="29"/>
        <v>0.82436748122477288</v>
      </c>
      <c r="E500" s="101">
        <f t="shared" ca="1" si="30"/>
        <v>3.6167481224772868E-2</v>
      </c>
      <c r="F500" s="21">
        <f t="shared" ca="1" si="31"/>
        <v>1</v>
      </c>
      <c r="H500" s="21">
        <v>485</v>
      </c>
      <c r="I500" s="102">
        <v>0.66777552047218969</v>
      </c>
      <c r="J500" s="103">
        <v>1.4823557652290438E-3</v>
      </c>
      <c r="K500" s="103"/>
      <c r="L500" s="103">
        <v>4.2599999999999999E-2</v>
      </c>
      <c r="O500" s="100"/>
    </row>
    <row r="501" spans="2:15" x14ac:dyDescent="0.2">
      <c r="B501" s="1">
        <v>486</v>
      </c>
      <c r="C501" s="101">
        <f t="shared" ca="1" si="28"/>
        <v>1.6676666330632153</v>
      </c>
      <c r="D501" s="101">
        <f t="shared" ca="1" si="29"/>
        <v>0.78331818791140428</v>
      </c>
      <c r="E501" s="101">
        <f t="shared" ca="1" si="30"/>
        <v>0</v>
      </c>
      <c r="F501" s="21">
        <f t="shared" ca="1" si="31"/>
        <v>0</v>
      </c>
      <c r="H501" s="21">
        <v>486</v>
      </c>
      <c r="I501" s="102">
        <v>0.66780809779564942</v>
      </c>
      <c r="J501" s="103">
        <v>1.4881273795636202E-3</v>
      </c>
      <c r="K501" s="103"/>
      <c r="L501" s="103">
        <v>4.4999999999999998E-2</v>
      </c>
      <c r="O501" s="100"/>
    </row>
    <row r="502" spans="2:15" x14ac:dyDescent="0.2">
      <c r="B502" s="1">
        <v>487</v>
      </c>
      <c r="C502" s="101">
        <f t="shared" ca="1" si="28"/>
        <v>0.12136130842018597</v>
      </c>
      <c r="D502" s="101">
        <f t="shared" ca="1" si="29"/>
        <v>0.67250488570593225</v>
      </c>
      <c r="E502" s="101">
        <f t="shared" ca="1" si="30"/>
        <v>0</v>
      </c>
      <c r="F502" s="21">
        <f t="shared" ca="1" si="31"/>
        <v>0</v>
      </c>
      <c r="H502" s="21">
        <v>487</v>
      </c>
      <c r="I502" s="102">
        <v>0.66782212122969009</v>
      </c>
      <c r="J502" s="103">
        <v>1.5403652649265958E-3</v>
      </c>
      <c r="K502" s="103"/>
      <c r="L502" s="103">
        <v>4.2999999999999997E-2</v>
      </c>
      <c r="O502" s="100"/>
    </row>
    <row r="503" spans="2:15" x14ac:dyDescent="0.2">
      <c r="B503" s="1">
        <v>488</v>
      </c>
      <c r="C503" s="101">
        <f t="shared" ca="1" si="28"/>
        <v>-1.6078408046545742</v>
      </c>
      <c r="D503" s="101">
        <f t="shared" ca="1" si="29"/>
        <v>0.56704495567438717</v>
      </c>
      <c r="E503" s="101">
        <f t="shared" ca="1" si="30"/>
        <v>0</v>
      </c>
      <c r="F503" s="21">
        <f t="shared" ca="1" si="31"/>
        <v>0</v>
      </c>
      <c r="H503" s="21">
        <v>488</v>
      </c>
      <c r="I503" s="102">
        <v>0.66779259770703991</v>
      </c>
      <c r="J503" s="103">
        <v>1.3558166145123294E-3</v>
      </c>
      <c r="K503" s="103"/>
      <c r="L503" s="103">
        <v>3.9399999999999998E-2</v>
      </c>
      <c r="O503" s="100"/>
    </row>
    <row r="504" spans="2:15" x14ac:dyDescent="0.2">
      <c r="B504" s="1">
        <v>489</v>
      </c>
      <c r="C504" s="101">
        <f t="shared" ca="1" si="28"/>
        <v>0.12978799906413196</v>
      </c>
      <c r="D504" s="101">
        <f t="shared" ca="1" si="29"/>
        <v>0.67306411756475726</v>
      </c>
      <c r="E504" s="101">
        <f t="shared" ca="1" si="30"/>
        <v>0</v>
      </c>
      <c r="F504" s="21">
        <f t="shared" ca="1" si="31"/>
        <v>0</v>
      </c>
      <c r="H504" s="21">
        <v>489</v>
      </c>
      <c r="I504" s="102">
        <v>0.66758360612759049</v>
      </c>
      <c r="J504" s="103">
        <v>1.1516746249219576E-3</v>
      </c>
      <c r="K504" s="103"/>
      <c r="L504" s="103">
        <v>3.9E-2</v>
      </c>
      <c r="O504" s="100"/>
    </row>
    <row r="505" spans="2:15" x14ac:dyDescent="0.2">
      <c r="B505" s="1">
        <v>490</v>
      </c>
      <c r="C505" s="101">
        <f t="shared" ca="1" si="28"/>
        <v>-0.31365227963200942</v>
      </c>
      <c r="D505" s="101">
        <f t="shared" ca="1" si="29"/>
        <v>0.64425786624747661</v>
      </c>
      <c r="E505" s="101">
        <f t="shared" ca="1" si="30"/>
        <v>0</v>
      </c>
      <c r="F505" s="21">
        <f t="shared" ca="1" si="31"/>
        <v>0</v>
      </c>
      <c r="H505" s="21">
        <v>490</v>
      </c>
      <c r="I505" s="102">
        <v>0.66781281766697376</v>
      </c>
      <c r="J505" s="103">
        <v>1.349802384115147E-3</v>
      </c>
      <c r="K505" s="103"/>
      <c r="L505" s="103">
        <v>4.4400000000000002E-2</v>
      </c>
      <c r="O505" s="100"/>
    </row>
    <row r="506" spans="2:15" x14ac:dyDescent="0.2">
      <c r="B506" s="1">
        <v>491</v>
      </c>
      <c r="C506" s="101">
        <f t="shared" ca="1" si="28"/>
        <v>-0.94382484233093977</v>
      </c>
      <c r="D506" s="101">
        <f t="shared" ca="1" si="29"/>
        <v>0.60542942663880606</v>
      </c>
      <c r="E506" s="101">
        <f t="shared" ca="1" si="30"/>
        <v>0</v>
      </c>
      <c r="F506" s="21">
        <f t="shared" ca="1" si="31"/>
        <v>0</v>
      </c>
      <c r="H506" s="21">
        <v>491</v>
      </c>
      <c r="I506" s="102">
        <v>0.66764590286539438</v>
      </c>
      <c r="J506" s="103">
        <v>1.245170957017311E-3</v>
      </c>
      <c r="K506" s="103"/>
      <c r="L506" s="103">
        <v>4.1000000000000002E-2</v>
      </c>
      <c r="O506" s="100"/>
    </row>
    <row r="507" spans="2:15" x14ac:dyDescent="0.2">
      <c r="B507" s="1">
        <v>492</v>
      </c>
      <c r="C507" s="101">
        <f t="shared" ca="1" si="28"/>
        <v>1.363923463027322</v>
      </c>
      <c r="D507" s="101">
        <f t="shared" ca="1" si="29"/>
        <v>0.76019680576951632</v>
      </c>
      <c r="E507" s="101">
        <f t="shared" ca="1" si="30"/>
        <v>0</v>
      </c>
      <c r="F507" s="21">
        <f t="shared" ca="1" si="31"/>
        <v>0</v>
      </c>
      <c r="H507" s="21">
        <v>492</v>
      </c>
      <c r="I507" s="102">
        <v>0.66757699015931316</v>
      </c>
      <c r="J507" s="103">
        <v>1.1565649397981875E-3</v>
      </c>
      <c r="K507" s="103"/>
      <c r="L507" s="103">
        <v>3.7199999999999997E-2</v>
      </c>
      <c r="O507" s="100"/>
    </row>
    <row r="508" spans="2:15" x14ac:dyDescent="0.2">
      <c r="B508" s="1">
        <v>493</v>
      </c>
      <c r="C508" s="101">
        <f t="shared" ca="1" si="28"/>
        <v>-1.1282825751061674</v>
      </c>
      <c r="D508" s="101">
        <f t="shared" ca="1" si="29"/>
        <v>0.59451315696701224</v>
      </c>
      <c r="E508" s="101">
        <f t="shared" ca="1" si="30"/>
        <v>0</v>
      </c>
      <c r="F508" s="21">
        <f t="shared" ca="1" si="31"/>
        <v>0</v>
      </c>
      <c r="H508" s="21">
        <v>493</v>
      </c>
      <c r="I508" s="102">
        <v>0.66752893210580189</v>
      </c>
      <c r="J508" s="103">
        <v>1.0356952531546937E-3</v>
      </c>
      <c r="K508" s="103"/>
      <c r="L508" s="103">
        <v>3.6400000000000002E-2</v>
      </c>
      <c r="O508" s="100"/>
    </row>
    <row r="509" spans="2:15" x14ac:dyDescent="0.2">
      <c r="B509" s="1">
        <v>494</v>
      </c>
      <c r="C509" s="101">
        <f t="shared" ca="1" si="28"/>
        <v>-1.3753756198496112</v>
      </c>
      <c r="D509" s="101">
        <f t="shared" ca="1" si="29"/>
        <v>0.5801979053800953</v>
      </c>
      <c r="E509" s="101">
        <f t="shared" ca="1" si="30"/>
        <v>0</v>
      </c>
      <c r="F509" s="21">
        <f t="shared" ca="1" si="31"/>
        <v>0</v>
      </c>
      <c r="H509" s="21">
        <v>494</v>
      </c>
      <c r="I509" s="102">
        <v>0.6675622573986888</v>
      </c>
      <c r="J509" s="103">
        <v>1.154585242096314E-3</v>
      </c>
      <c r="K509" s="103"/>
      <c r="L509" s="103">
        <v>3.6200000000000003E-2</v>
      </c>
      <c r="O509" s="100"/>
    </row>
    <row r="510" spans="2:15" x14ac:dyDescent="0.2">
      <c r="B510" s="1">
        <v>495</v>
      </c>
      <c r="C510" s="101">
        <f t="shared" ca="1" si="28"/>
        <v>-0.85281418619747074</v>
      </c>
      <c r="D510" s="101">
        <f t="shared" ca="1" si="29"/>
        <v>0.61088908604281256</v>
      </c>
      <c r="E510" s="101">
        <f t="shared" ca="1" si="30"/>
        <v>0</v>
      </c>
      <c r="F510" s="21">
        <f t="shared" ca="1" si="31"/>
        <v>0</v>
      </c>
      <c r="H510" s="21">
        <v>495</v>
      </c>
      <c r="I510" s="102">
        <v>0.6675871458488134</v>
      </c>
      <c r="J510" s="103">
        <v>1.2506741970667019E-3</v>
      </c>
      <c r="K510" s="103"/>
      <c r="L510" s="103">
        <v>3.78E-2</v>
      </c>
      <c r="O510" s="100"/>
    </row>
    <row r="511" spans="2:15" x14ac:dyDescent="0.2">
      <c r="B511" s="1">
        <v>496</v>
      </c>
      <c r="C511" s="101">
        <f t="shared" ca="1" si="28"/>
        <v>1.1630879806057335</v>
      </c>
      <c r="D511" s="101">
        <f t="shared" ca="1" si="29"/>
        <v>0.7452849857716507</v>
      </c>
      <c r="E511" s="101">
        <f t="shared" ca="1" si="30"/>
        <v>0</v>
      </c>
      <c r="F511" s="21">
        <f t="shared" ca="1" si="31"/>
        <v>0</v>
      </c>
      <c r="H511" s="21">
        <v>496</v>
      </c>
      <c r="I511" s="102">
        <v>0.66767507684260174</v>
      </c>
      <c r="J511" s="103">
        <v>1.2492843576782685E-3</v>
      </c>
      <c r="K511" s="103"/>
      <c r="L511" s="103">
        <v>3.7999999999999999E-2</v>
      </c>
      <c r="O511" s="100"/>
    </row>
    <row r="512" spans="2:15" x14ac:dyDescent="0.2">
      <c r="B512" s="1">
        <v>497</v>
      </c>
      <c r="C512" s="101">
        <f t="shared" ca="1" si="28"/>
        <v>-2.1318330667246421E-2</v>
      </c>
      <c r="D512" s="101">
        <f t="shared" ca="1" si="29"/>
        <v>0.66310627249520071</v>
      </c>
      <c r="E512" s="101">
        <f t="shared" ca="1" si="30"/>
        <v>0</v>
      </c>
      <c r="F512" s="21">
        <f t="shared" ca="1" si="31"/>
        <v>0</v>
      </c>
      <c r="H512" s="21">
        <v>497</v>
      </c>
      <c r="I512" s="102">
        <v>0.66774719617024647</v>
      </c>
      <c r="J512" s="103">
        <v>1.2828463381129548E-3</v>
      </c>
      <c r="K512" s="103"/>
      <c r="L512" s="103">
        <v>3.9399999999999998E-2</v>
      </c>
      <c r="O512" s="100"/>
    </row>
    <row r="513" spans="2:15" x14ac:dyDescent="0.2">
      <c r="B513" s="1">
        <v>498</v>
      </c>
      <c r="C513" s="101">
        <f t="shared" ca="1" si="28"/>
        <v>-1.052819945155989</v>
      </c>
      <c r="D513" s="101">
        <f t="shared" ca="1" si="29"/>
        <v>0.59895506637171214</v>
      </c>
      <c r="E513" s="101">
        <f t="shared" ca="1" si="30"/>
        <v>0</v>
      </c>
      <c r="F513" s="21">
        <f t="shared" ca="1" si="31"/>
        <v>0</v>
      </c>
      <c r="H513" s="21">
        <v>498</v>
      </c>
      <c r="I513" s="102">
        <v>0.66764983294546698</v>
      </c>
      <c r="J513" s="103">
        <v>1.1601827014314366E-3</v>
      </c>
      <c r="K513" s="103"/>
      <c r="L513" s="103">
        <v>4.0800000000000003E-2</v>
      </c>
      <c r="O513" s="100"/>
    </row>
    <row r="514" spans="2:15" x14ac:dyDescent="0.2">
      <c r="B514" s="1">
        <v>499</v>
      </c>
      <c r="C514" s="101">
        <f t="shared" ca="1" si="28"/>
        <v>-0.44467366613255865</v>
      </c>
      <c r="D514" s="101">
        <f t="shared" ca="1" si="29"/>
        <v>0.63598497326546333</v>
      </c>
      <c r="E514" s="101">
        <f t="shared" ca="1" si="30"/>
        <v>0</v>
      </c>
      <c r="F514" s="21">
        <f t="shared" ca="1" si="31"/>
        <v>0</v>
      </c>
      <c r="H514" s="21">
        <v>499</v>
      </c>
      <c r="I514" s="102">
        <v>0.66766705994039077</v>
      </c>
      <c r="J514" s="103">
        <v>1.28903974331256E-3</v>
      </c>
      <c r="K514" s="103"/>
      <c r="L514" s="103">
        <v>3.8600000000000002E-2</v>
      </c>
      <c r="O514" s="100"/>
    </row>
    <row r="515" spans="2:15" x14ac:dyDescent="0.2">
      <c r="B515" s="1">
        <v>500</v>
      </c>
      <c r="C515" s="101">
        <f t="shared" ca="1" si="28"/>
        <v>1.2406256385888064</v>
      </c>
      <c r="D515" s="101">
        <f t="shared" ca="1" si="29"/>
        <v>0.75100709104034669</v>
      </c>
      <c r="E515" s="101">
        <f t="shared" ca="1" si="30"/>
        <v>0</v>
      </c>
      <c r="F515" s="21">
        <f t="shared" ca="1" si="31"/>
        <v>0</v>
      </c>
      <c r="H515" s="21">
        <v>500</v>
      </c>
      <c r="I515" s="102">
        <v>0.667815232795549</v>
      </c>
      <c r="J515" s="103">
        <v>1.3035976092298362E-3</v>
      </c>
      <c r="K515" s="103"/>
      <c r="L515" s="103">
        <v>4.2599999999999999E-2</v>
      </c>
      <c r="O515" s="100"/>
    </row>
    <row r="516" spans="2:15" x14ac:dyDescent="0.2">
      <c r="B516" s="1">
        <v>501</v>
      </c>
      <c r="C516" s="101">
        <f t="shared" ca="1" si="28"/>
        <v>-0.31604593373479078</v>
      </c>
      <c r="D516" s="101">
        <f t="shared" ca="1" si="29"/>
        <v>0.6441057664090496</v>
      </c>
      <c r="E516" s="101">
        <f t="shared" ca="1" si="30"/>
        <v>0</v>
      </c>
      <c r="F516" s="21">
        <f t="shared" ca="1" si="31"/>
        <v>0</v>
      </c>
      <c r="H516" s="21">
        <v>501</v>
      </c>
      <c r="I516" s="102">
        <v>0.66754464166506478</v>
      </c>
      <c r="J516" s="103">
        <v>1.1435656089306833E-3</v>
      </c>
      <c r="K516" s="103"/>
      <c r="L516" s="103">
        <v>3.7199999999999997E-2</v>
      </c>
      <c r="O516" s="100"/>
    </row>
    <row r="517" spans="2:15" x14ac:dyDescent="0.2">
      <c r="B517" s="1">
        <v>502</v>
      </c>
      <c r="C517" s="101">
        <f t="shared" ca="1" si="28"/>
        <v>-0.40801499627519489</v>
      </c>
      <c r="D517" s="101">
        <f t="shared" ca="1" si="29"/>
        <v>0.63828889600858263</v>
      </c>
      <c r="E517" s="101">
        <f t="shared" ca="1" si="30"/>
        <v>0</v>
      </c>
      <c r="F517" s="21">
        <f t="shared" ca="1" si="31"/>
        <v>0</v>
      </c>
      <c r="H517" s="21">
        <v>502</v>
      </c>
      <c r="I517" s="102">
        <v>0.66774183439930035</v>
      </c>
      <c r="J517" s="103">
        <v>1.3850113428660372E-3</v>
      </c>
      <c r="K517" s="103"/>
      <c r="L517" s="103">
        <v>4.2000000000000003E-2</v>
      </c>
      <c r="O517" s="100"/>
    </row>
    <row r="518" spans="2:15" x14ac:dyDescent="0.2">
      <c r="B518" s="1">
        <v>503</v>
      </c>
      <c r="C518" s="101">
        <f t="shared" ca="1" si="28"/>
        <v>-2.0274417280325929</v>
      </c>
      <c r="D518" s="101">
        <f t="shared" ca="1" si="29"/>
        <v>0.54405404868099894</v>
      </c>
      <c r="E518" s="101">
        <f t="shared" ca="1" si="30"/>
        <v>0</v>
      </c>
      <c r="F518" s="21">
        <f t="shared" ca="1" si="31"/>
        <v>0</v>
      </c>
      <c r="H518" s="21">
        <v>503</v>
      </c>
      <c r="I518" s="102">
        <v>0.66786829081297805</v>
      </c>
      <c r="J518" s="103">
        <v>1.3013869232582609E-3</v>
      </c>
      <c r="K518" s="103"/>
      <c r="L518" s="103">
        <v>4.24E-2</v>
      </c>
      <c r="O518" s="100"/>
    </row>
    <row r="519" spans="2:15" x14ac:dyDescent="0.2">
      <c r="B519" s="1">
        <v>504</v>
      </c>
      <c r="C519" s="101">
        <f t="shared" ca="1" si="28"/>
        <v>1.4147601536367711</v>
      </c>
      <c r="D519" s="101">
        <f t="shared" ca="1" si="29"/>
        <v>0.76401846160307885</v>
      </c>
      <c r="E519" s="101">
        <f t="shared" ca="1" si="30"/>
        <v>0</v>
      </c>
      <c r="F519" s="21">
        <f t="shared" ca="1" si="31"/>
        <v>0</v>
      </c>
      <c r="H519" s="21">
        <v>504</v>
      </c>
      <c r="I519" s="102">
        <v>0.66771186399743354</v>
      </c>
      <c r="J519" s="103">
        <v>1.3452711435447294E-3</v>
      </c>
      <c r="K519" s="103"/>
      <c r="L519" s="103">
        <v>0.04</v>
      </c>
      <c r="O519" s="100"/>
    </row>
    <row r="520" spans="2:15" x14ac:dyDescent="0.2">
      <c r="B520" s="1">
        <v>505</v>
      </c>
      <c r="C520" s="101">
        <f t="shared" ca="1" si="28"/>
        <v>1.3570396979345338E-2</v>
      </c>
      <c r="D520" s="101">
        <f t="shared" ca="1" si="29"/>
        <v>0.66539226440092658</v>
      </c>
      <c r="E520" s="101">
        <f t="shared" ca="1" si="30"/>
        <v>0</v>
      </c>
      <c r="F520" s="21">
        <f t="shared" ca="1" si="31"/>
        <v>0</v>
      </c>
      <c r="H520" s="21">
        <v>505</v>
      </c>
      <c r="I520" s="102">
        <v>0.66772027259424827</v>
      </c>
      <c r="J520" s="103">
        <v>1.3105678477566887E-3</v>
      </c>
      <c r="K520" s="103"/>
      <c r="L520" s="103">
        <v>4.0800000000000003E-2</v>
      </c>
      <c r="O520" s="100"/>
    </row>
    <row r="521" spans="2:15" x14ac:dyDescent="0.2">
      <c r="B521" s="1">
        <v>506</v>
      </c>
      <c r="C521" s="101">
        <f t="shared" ca="1" si="28"/>
        <v>-0.51205344263943808</v>
      </c>
      <c r="D521" s="101">
        <f t="shared" ca="1" si="29"/>
        <v>0.63177195961183474</v>
      </c>
      <c r="E521" s="101">
        <f t="shared" ca="1" si="30"/>
        <v>0</v>
      </c>
      <c r="F521" s="21">
        <f t="shared" ca="1" si="31"/>
        <v>0</v>
      </c>
      <c r="H521" s="21">
        <v>506</v>
      </c>
      <c r="I521" s="102">
        <v>0.66774250672883906</v>
      </c>
      <c r="J521" s="103">
        <v>1.445586374922132E-3</v>
      </c>
      <c r="K521" s="103"/>
      <c r="L521" s="103">
        <v>4.1200000000000001E-2</v>
      </c>
      <c r="O521" s="100"/>
    </row>
    <row r="522" spans="2:15" x14ac:dyDescent="0.2">
      <c r="B522" s="1">
        <v>507</v>
      </c>
      <c r="C522" s="101">
        <f t="shared" ca="1" si="28"/>
        <v>-0.12461959773308819</v>
      </c>
      <c r="D522" s="101">
        <f t="shared" ca="1" si="29"/>
        <v>0.6563836785069479</v>
      </c>
      <c r="E522" s="101">
        <f t="shared" ca="1" si="30"/>
        <v>0</v>
      </c>
      <c r="F522" s="21">
        <f t="shared" ca="1" si="31"/>
        <v>0</v>
      </c>
      <c r="H522" s="21">
        <v>507</v>
      </c>
      <c r="I522" s="102">
        <v>0.66775305565554011</v>
      </c>
      <c r="J522" s="103">
        <v>1.5453432215044916E-3</v>
      </c>
      <c r="K522" s="103"/>
      <c r="L522" s="103">
        <v>4.24E-2</v>
      </c>
      <c r="O522" s="100"/>
    </row>
    <row r="523" spans="2:15" x14ac:dyDescent="0.2">
      <c r="B523" s="1">
        <v>508</v>
      </c>
      <c r="C523" s="101">
        <f t="shared" ca="1" si="28"/>
        <v>-1.1186424179609078</v>
      </c>
      <c r="D523" s="101">
        <f t="shared" ca="1" si="29"/>
        <v>0.59507875903664231</v>
      </c>
      <c r="E523" s="101">
        <f t="shared" ca="1" si="30"/>
        <v>0</v>
      </c>
      <c r="F523" s="21">
        <f t="shared" ca="1" si="31"/>
        <v>0</v>
      </c>
      <c r="H523" s="21">
        <v>508</v>
      </c>
      <c r="I523" s="102">
        <v>0.66783440419112561</v>
      </c>
      <c r="J523" s="103">
        <v>1.6023847372601985E-3</v>
      </c>
      <c r="K523" s="103"/>
      <c r="L523" s="103">
        <v>4.36E-2</v>
      </c>
      <c r="O523" s="100"/>
    </row>
    <row r="524" spans="2:15" x14ac:dyDescent="0.2">
      <c r="B524" s="1">
        <v>509</v>
      </c>
      <c r="C524" s="101">
        <f t="shared" ca="1" si="28"/>
        <v>0.29491539059360133</v>
      </c>
      <c r="D524" s="101">
        <f t="shared" ca="1" si="29"/>
        <v>0.68411701749373899</v>
      </c>
      <c r="E524" s="101">
        <f t="shared" ca="1" si="30"/>
        <v>0</v>
      </c>
      <c r="F524" s="21">
        <f t="shared" ca="1" si="31"/>
        <v>0</v>
      </c>
      <c r="H524" s="21">
        <v>509</v>
      </c>
      <c r="I524" s="102">
        <v>0.66779513440439864</v>
      </c>
      <c r="J524" s="103">
        <v>1.4697849323501075E-3</v>
      </c>
      <c r="K524" s="103"/>
      <c r="L524" s="103">
        <v>4.3200000000000002E-2</v>
      </c>
      <c r="O524" s="100"/>
    </row>
    <row r="525" spans="2:15" x14ac:dyDescent="0.2">
      <c r="B525" s="1">
        <v>510</v>
      </c>
      <c r="C525" s="101">
        <f t="shared" ca="1" si="28"/>
        <v>-0.12378223204782077</v>
      </c>
      <c r="D525" s="101">
        <f t="shared" ca="1" si="29"/>
        <v>0.65643789729057267</v>
      </c>
      <c r="E525" s="101">
        <f t="shared" ca="1" si="30"/>
        <v>0</v>
      </c>
      <c r="F525" s="21">
        <f t="shared" ca="1" si="31"/>
        <v>0</v>
      </c>
      <c r="H525" s="21">
        <v>510</v>
      </c>
      <c r="I525" s="102">
        <v>0.66781633017990671</v>
      </c>
      <c r="J525" s="103">
        <v>1.4239040671413575E-3</v>
      </c>
      <c r="K525" s="103"/>
      <c r="L525" s="103">
        <v>4.5600000000000002E-2</v>
      </c>
      <c r="O525" s="100"/>
    </row>
    <row r="526" spans="2:15" x14ac:dyDescent="0.2">
      <c r="B526" s="1">
        <v>511</v>
      </c>
      <c r="C526" s="101">
        <f t="shared" ca="1" si="28"/>
        <v>0.31863378512964957</v>
      </c>
      <c r="D526" s="101">
        <f t="shared" ca="1" si="29"/>
        <v>0.6857194609833992</v>
      </c>
      <c r="E526" s="101">
        <f t="shared" ca="1" si="30"/>
        <v>0</v>
      </c>
      <c r="F526" s="21">
        <f t="shared" ca="1" si="31"/>
        <v>0</v>
      </c>
      <c r="H526" s="21">
        <v>511</v>
      </c>
      <c r="I526" s="102">
        <v>0.66778133185780286</v>
      </c>
      <c r="J526" s="103">
        <v>1.4094488908659973E-3</v>
      </c>
      <c r="K526" s="103"/>
      <c r="L526" s="103">
        <v>4.3200000000000002E-2</v>
      </c>
      <c r="O526" s="100"/>
    </row>
    <row r="527" spans="2:15" x14ac:dyDescent="0.2">
      <c r="B527" s="1">
        <v>512</v>
      </c>
      <c r="C527" s="101">
        <f t="shared" ca="1" si="28"/>
        <v>-2.0916931813264976</v>
      </c>
      <c r="D527" s="101">
        <f t="shared" ca="1" si="29"/>
        <v>0.54061682034734682</v>
      </c>
      <c r="E527" s="101">
        <f t="shared" ca="1" si="30"/>
        <v>0</v>
      </c>
      <c r="F527" s="21">
        <f t="shared" ca="1" si="31"/>
        <v>0</v>
      </c>
      <c r="H527" s="21">
        <v>512</v>
      </c>
      <c r="I527" s="102">
        <v>0.66764169541586027</v>
      </c>
      <c r="J527" s="103">
        <v>1.2687373627356664E-3</v>
      </c>
      <c r="K527" s="103"/>
      <c r="L527" s="103">
        <v>4.1599999999999998E-2</v>
      </c>
      <c r="O527" s="100"/>
    </row>
    <row r="528" spans="2:15" x14ac:dyDescent="0.2">
      <c r="B528" s="1">
        <v>513</v>
      </c>
      <c r="C528" s="101">
        <f t="shared" ref="C528:C591" ca="1" si="32">_xlfn.NORM.S.INV(RAND())</f>
        <v>1.9085596016590214</v>
      </c>
      <c r="D528" s="101">
        <f t="shared" ref="D528:D591" ca="1" si="33">S0*EXP((μ-0.5*σ*σ)*T+σ*SQRT(T)*$C528)</f>
        <v>0.80215430169729629</v>
      </c>
      <c r="E528" s="101">
        <f t="shared" ref="E528:E591" ca="1" si="34">MAX(0,CP*(D528-K))</f>
        <v>1.3954301697296279E-2</v>
      </c>
      <c r="F528" s="21">
        <f t="shared" ref="F528:F591" ca="1" si="35">(CP*(D528-K)&gt;0)*1</f>
        <v>1</v>
      </c>
      <c r="H528" s="21">
        <v>513</v>
      </c>
      <c r="I528" s="102">
        <v>0.66773474061138771</v>
      </c>
      <c r="J528" s="103">
        <v>1.3607991371752824E-3</v>
      </c>
      <c r="K528" s="103"/>
      <c r="L528" s="103">
        <v>4.1000000000000002E-2</v>
      </c>
      <c r="O528" s="100"/>
    </row>
    <row r="529" spans="2:15" x14ac:dyDescent="0.2">
      <c r="B529" s="1">
        <v>514</v>
      </c>
      <c r="C529" s="101">
        <f t="shared" ca="1" si="32"/>
        <v>1.2275479179066464</v>
      </c>
      <c r="D529" s="101">
        <f t="shared" ca="1" si="33"/>
        <v>0.75003891372003428</v>
      </c>
      <c r="E529" s="101">
        <f t="shared" ca="1" si="34"/>
        <v>0</v>
      </c>
      <c r="F529" s="21">
        <f t="shared" ca="1" si="35"/>
        <v>0</v>
      </c>
      <c r="H529" s="21">
        <v>514</v>
      </c>
      <c r="I529" s="102">
        <v>0.66779759789696114</v>
      </c>
      <c r="J529" s="103">
        <v>1.3487012115198525E-3</v>
      </c>
      <c r="K529" s="103"/>
      <c r="L529" s="103">
        <v>4.3400000000000001E-2</v>
      </c>
      <c r="O529" s="100"/>
    </row>
    <row r="530" spans="2:15" x14ac:dyDescent="0.2">
      <c r="B530" s="1">
        <v>515</v>
      </c>
      <c r="C530" s="101">
        <f t="shared" ca="1" si="32"/>
        <v>1.9365272208867625</v>
      </c>
      <c r="D530" s="101">
        <f t="shared" ca="1" si="33"/>
        <v>0.80437031065285225</v>
      </c>
      <c r="E530" s="101">
        <f t="shared" ca="1" si="34"/>
        <v>1.6170310652852238E-2</v>
      </c>
      <c r="F530" s="21">
        <f t="shared" ca="1" si="35"/>
        <v>1</v>
      </c>
      <c r="H530" s="21">
        <v>515</v>
      </c>
      <c r="I530" s="102">
        <v>0.66768740455032471</v>
      </c>
      <c r="J530" s="103">
        <v>1.3216833553805866E-3</v>
      </c>
      <c r="K530" s="103"/>
      <c r="L530" s="103">
        <v>4.1200000000000001E-2</v>
      </c>
      <c r="O530" s="100"/>
    </row>
    <row r="531" spans="2:15" x14ac:dyDescent="0.2">
      <c r="B531" s="1">
        <v>516</v>
      </c>
      <c r="C531" s="101">
        <f t="shared" ca="1" si="32"/>
        <v>0.49647744824114648</v>
      </c>
      <c r="D531" s="101">
        <f t="shared" ca="1" si="33"/>
        <v>0.69785498952909741</v>
      </c>
      <c r="E531" s="101">
        <f t="shared" ca="1" si="34"/>
        <v>0</v>
      </c>
      <c r="F531" s="21">
        <f t="shared" ca="1" si="35"/>
        <v>0</v>
      </c>
      <c r="H531" s="21">
        <v>516</v>
      </c>
      <c r="I531" s="102">
        <v>0.667630841533426</v>
      </c>
      <c r="J531" s="103">
        <v>1.0828186673251343E-3</v>
      </c>
      <c r="K531" s="103"/>
      <c r="L531" s="103">
        <v>3.8399999999999997E-2</v>
      </c>
      <c r="O531" s="100"/>
    </row>
    <row r="532" spans="2:15" x14ac:dyDescent="0.2">
      <c r="B532" s="1">
        <v>517</v>
      </c>
      <c r="C532" s="101">
        <f t="shared" ca="1" si="32"/>
        <v>-0.39090510101832188</v>
      </c>
      <c r="D532" s="101">
        <f t="shared" ca="1" si="33"/>
        <v>0.63936707305322926</v>
      </c>
      <c r="E532" s="101">
        <f t="shared" ca="1" si="34"/>
        <v>0</v>
      </c>
      <c r="F532" s="21">
        <f t="shared" ca="1" si="35"/>
        <v>0</v>
      </c>
      <c r="H532" s="21">
        <v>517</v>
      </c>
      <c r="I532" s="102">
        <v>0.66768891776971573</v>
      </c>
      <c r="J532" s="103">
        <v>1.1776798995456379E-3</v>
      </c>
      <c r="K532" s="103"/>
      <c r="L532" s="103">
        <v>3.9399999999999998E-2</v>
      </c>
      <c r="O532" s="100"/>
    </row>
    <row r="533" spans="2:15" x14ac:dyDescent="0.2">
      <c r="B533" s="1">
        <v>518</v>
      </c>
      <c r="C533" s="101">
        <f t="shared" ca="1" si="32"/>
        <v>-0.51534149016991315</v>
      </c>
      <c r="D533" s="101">
        <f t="shared" ca="1" si="33"/>
        <v>0.63156708558348551</v>
      </c>
      <c r="E533" s="101">
        <f t="shared" ca="1" si="34"/>
        <v>0</v>
      </c>
      <c r="F533" s="21">
        <f t="shared" ca="1" si="35"/>
        <v>0</v>
      </c>
      <c r="H533" s="21">
        <v>518</v>
      </c>
      <c r="I533" s="102">
        <v>0.66762309463322467</v>
      </c>
      <c r="J533" s="103">
        <v>1.1455111559442277E-3</v>
      </c>
      <c r="K533" s="103"/>
      <c r="L533" s="103">
        <v>3.78E-2</v>
      </c>
      <c r="O533" s="100"/>
    </row>
    <row r="534" spans="2:15" x14ac:dyDescent="0.2">
      <c r="B534" s="1">
        <v>519</v>
      </c>
      <c r="C534" s="101">
        <f t="shared" ca="1" si="32"/>
        <v>-1.0038959902905296</v>
      </c>
      <c r="D534" s="101">
        <f t="shared" ca="1" si="33"/>
        <v>0.60185256379085839</v>
      </c>
      <c r="E534" s="101">
        <f t="shared" ca="1" si="34"/>
        <v>0</v>
      </c>
      <c r="F534" s="21">
        <f t="shared" ca="1" si="35"/>
        <v>0</v>
      </c>
      <c r="H534" s="21">
        <v>519</v>
      </c>
      <c r="I534" s="102">
        <v>0.66785902501396666</v>
      </c>
      <c r="J534" s="103">
        <v>1.5097293919750666E-3</v>
      </c>
      <c r="K534" s="103"/>
      <c r="L534" s="103">
        <v>4.5600000000000002E-2</v>
      </c>
      <c r="O534" s="100"/>
    </row>
    <row r="535" spans="2:15" x14ac:dyDescent="0.2">
      <c r="B535" s="1">
        <v>520</v>
      </c>
      <c r="C535" s="101">
        <f t="shared" ca="1" si="32"/>
        <v>0.36194232076666466</v>
      </c>
      <c r="D535" s="101">
        <f t="shared" ca="1" si="33"/>
        <v>0.6886551284566147</v>
      </c>
      <c r="E535" s="101">
        <f t="shared" ca="1" si="34"/>
        <v>0</v>
      </c>
      <c r="F535" s="21">
        <f t="shared" ca="1" si="35"/>
        <v>0</v>
      </c>
      <c r="H535" s="21">
        <v>520</v>
      </c>
      <c r="I535" s="102">
        <v>0.66782217798949783</v>
      </c>
      <c r="J535" s="103">
        <v>1.3365749124353088E-3</v>
      </c>
      <c r="K535" s="103"/>
      <c r="L535" s="103">
        <v>4.2200000000000001E-2</v>
      </c>
      <c r="O535" s="100"/>
    </row>
    <row r="536" spans="2:15" x14ac:dyDescent="0.2">
      <c r="B536" s="1">
        <v>521</v>
      </c>
      <c r="C536" s="101">
        <f t="shared" ca="1" si="32"/>
        <v>0.67705097204427567</v>
      </c>
      <c r="D536" s="101">
        <f t="shared" ca="1" si="33"/>
        <v>0.71039655449471806</v>
      </c>
      <c r="E536" s="101">
        <f t="shared" ca="1" si="34"/>
        <v>0</v>
      </c>
      <c r="F536" s="21">
        <f t="shared" ca="1" si="35"/>
        <v>0</v>
      </c>
      <c r="H536" s="21">
        <v>521</v>
      </c>
      <c r="I536" s="102">
        <v>0.66764747800954649</v>
      </c>
      <c r="J536" s="103">
        <v>1.2708516524969394E-3</v>
      </c>
      <c r="K536" s="103"/>
      <c r="L536" s="103">
        <v>3.7600000000000001E-2</v>
      </c>
      <c r="O536" s="100"/>
    </row>
    <row r="537" spans="2:15" x14ac:dyDescent="0.2">
      <c r="B537" s="1">
        <v>522</v>
      </c>
      <c r="C537" s="101">
        <f t="shared" ca="1" si="32"/>
        <v>1.1533988745226089</v>
      </c>
      <c r="D537" s="101">
        <f t="shared" ca="1" si="33"/>
        <v>0.7445730227089794</v>
      </c>
      <c r="E537" s="101">
        <f t="shared" ca="1" si="34"/>
        <v>0</v>
      </c>
      <c r="F537" s="21">
        <f t="shared" ca="1" si="35"/>
        <v>0</v>
      </c>
      <c r="H537" s="21">
        <v>522</v>
      </c>
      <c r="I537" s="102">
        <v>0.66772954333445078</v>
      </c>
      <c r="J537" s="103">
        <v>1.4286428330824398E-3</v>
      </c>
      <c r="K537" s="103"/>
      <c r="L537" s="103">
        <v>4.2000000000000003E-2</v>
      </c>
      <c r="O537" s="100"/>
    </row>
    <row r="538" spans="2:15" x14ac:dyDescent="0.2">
      <c r="B538" s="1">
        <v>523</v>
      </c>
      <c r="C538" s="101">
        <f t="shared" ca="1" si="32"/>
        <v>0.90446071357273794</v>
      </c>
      <c r="D538" s="101">
        <f t="shared" ca="1" si="33"/>
        <v>0.7265122466850148</v>
      </c>
      <c r="E538" s="101">
        <f t="shared" ca="1" si="34"/>
        <v>0</v>
      </c>
      <c r="F538" s="21">
        <f t="shared" ca="1" si="35"/>
        <v>0</v>
      </c>
      <c r="H538" s="21">
        <v>523</v>
      </c>
      <c r="I538" s="102">
        <v>0.66749872303592328</v>
      </c>
      <c r="J538" s="103">
        <v>1.0777891257804006E-3</v>
      </c>
      <c r="K538" s="103"/>
      <c r="L538" s="103">
        <v>3.6999999999999998E-2</v>
      </c>
      <c r="O538" s="100"/>
    </row>
    <row r="539" spans="2:15" x14ac:dyDescent="0.2">
      <c r="B539" s="1">
        <v>524</v>
      </c>
      <c r="C539" s="101">
        <f t="shared" ca="1" si="32"/>
        <v>-0.21588258318287395</v>
      </c>
      <c r="D539" s="101">
        <f t="shared" ca="1" si="33"/>
        <v>0.65050123199156829</v>
      </c>
      <c r="E539" s="101">
        <f t="shared" ca="1" si="34"/>
        <v>0</v>
      </c>
      <c r="F539" s="21">
        <f t="shared" ca="1" si="35"/>
        <v>0</v>
      </c>
      <c r="H539" s="21">
        <v>524</v>
      </c>
      <c r="I539" s="102">
        <v>0.6677747702586404</v>
      </c>
      <c r="J539" s="103">
        <v>1.3851427373788921E-3</v>
      </c>
      <c r="K539" s="103"/>
      <c r="L539" s="103">
        <v>3.9399999999999998E-2</v>
      </c>
      <c r="O539" s="100"/>
    </row>
    <row r="540" spans="2:15" x14ac:dyDescent="0.2">
      <c r="B540" s="1">
        <v>525</v>
      </c>
      <c r="C540" s="101">
        <f t="shared" ca="1" si="32"/>
        <v>1.439784803174357</v>
      </c>
      <c r="D540" s="101">
        <f t="shared" ca="1" si="33"/>
        <v>0.76590674375481549</v>
      </c>
      <c r="E540" s="101">
        <f t="shared" ca="1" si="34"/>
        <v>0</v>
      </c>
      <c r="F540" s="21">
        <f t="shared" ca="1" si="35"/>
        <v>0</v>
      </c>
      <c r="H540" s="21">
        <v>525</v>
      </c>
      <c r="I540" s="102">
        <v>0.66779632833072111</v>
      </c>
      <c r="J540" s="103">
        <v>1.4428525516936336E-3</v>
      </c>
      <c r="K540" s="103"/>
      <c r="L540" s="103">
        <v>4.02E-2</v>
      </c>
      <c r="O540" s="100"/>
    </row>
    <row r="541" spans="2:15" x14ac:dyDescent="0.2">
      <c r="B541" s="1">
        <v>526</v>
      </c>
      <c r="C541" s="101">
        <f t="shared" ca="1" si="32"/>
        <v>-0.22924847754744446</v>
      </c>
      <c r="D541" s="101">
        <f t="shared" ca="1" si="33"/>
        <v>0.64964415707198941</v>
      </c>
      <c r="E541" s="101">
        <f t="shared" ca="1" si="34"/>
        <v>0</v>
      </c>
      <c r="F541" s="21">
        <f t="shared" ca="1" si="35"/>
        <v>0</v>
      </c>
      <c r="H541" s="21">
        <v>526</v>
      </c>
      <c r="I541" s="102">
        <v>0.66774034367205215</v>
      </c>
      <c r="J541" s="103">
        <v>1.3751098244302467E-3</v>
      </c>
      <c r="K541" s="103"/>
      <c r="L541" s="103">
        <v>4.2599999999999999E-2</v>
      </c>
      <c r="O541" s="100"/>
    </row>
    <row r="542" spans="2:15" x14ac:dyDescent="0.2">
      <c r="B542" s="1">
        <v>527</v>
      </c>
      <c r="C542" s="101">
        <f t="shared" ca="1" si="32"/>
        <v>0.61337043449608397</v>
      </c>
      <c r="D542" s="101">
        <f t="shared" ca="1" si="33"/>
        <v>0.70594816133409533</v>
      </c>
      <c r="E542" s="101">
        <f t="shared" ca="1" si="34"/>
        <v>0</v>
      </c>
      <c r="F542" s="21">
        <f t="shared" ca="1" si="35"/>
        <v>0</v>
      </c>
      <c r="H542" s="21">
        <v>527</v>
      </c>
      <c r="I542" s="102">
        <v>0.66785466592491416</v>
      </c>
      <c r="J542" s="103">
        <v>1.5101788371030208E-3</v>
      </c>
      <c r="K542" s="103"/>
      <c r="L542" s="103">
        <v>4.7199999999999999E-2</v>
      </c>
      <c r="O542" s="100"/>
    </row>
    <row r="543" spans="2:15" x14ac:dyDescent="0.2">
      <c r="B543" s="1">
        <v>528</v>
      </c>
      <c r="C543" s="101">
        <f t="shared" ca="1" si="32"/>
        <v>-0.43032712108668281</v>
      </c>
      <c r="D543" s="101">
        <f t="shared" ca="1" si="33"/>
        <v>0.63688563231335504</v>
      </c>
      <c r="E543" s="101">
        <f t="shared" ca="1" si="34"/>
        <v>0</v>
      </c>
      <c r="F543" s="21">
        <f t="shared" ca="1" si="35"/>
        <v>0</v>
      </c>
      <c r="H543" s="21">
        <v>528</v>
      </c>
      <c r="I543" s="102">
        <v>0.66781453546917402</v>
      </c>
      <c r="J543" s="103">
        <v>1.4749183217742756E-3</v>
      </c>
      <c r="K543" s="103"/>
      <c r="L543" s="103">
        <v>4.4400000000000002E-2</v>
      </c>
      <c r="O543" s="100"/>
    </row>
    <row r="544" spans="2:15" x14ac:dyDescent="0.2">
      <c r="B544" s="1">
        <v>529</v>
      </c>
      <c r="C544" s="101">
        <f t="shared" ca="1" si="32"/>
        <v>1.1571447078443835</v>
      </c>
      <c r="D544" s="101">
        <f t="shared" ca="1" si="33"/>
        <v>0.74484818878031245</v>
      </c>
      <c r="E544" s="101">
        <f t="shared" ca="1" si="34"/>
        <v>0</v>
      </c>
      <c r="F544" s="21">
        <f t="shared" ca="1" si="35"/>
        <v>0</v>
      </c>
      <c r="H544" s="21">
        <v>529</v>
      </c>
      <c r="I544" s="102">
        <v>0.66774324007376318</v>
      </c>
      <c r="J544" s="103">
        <v>1.3597954153458582E-3</v>
      </c>
      <c r="K544" s="103"/>
      <c r="L544" s="103">
        <v>4.2000000000000003E-2</v>
      </c>
      <c r="O544" s="100"/>
    </row>
    <row r="545" spans="2:15" x14ac:dyDescent="0.2">
      <c r="B545" s="1">
        <v>530</v>
      </c>
      <c r="C545" s="101">
        <f t="shared" ca="1" si="32"/>
        <v>0.72484007603952005</v>
      </c>
      <c r="D545" s="101">
        <f t="shared" ca="1" si="33"/>
        <v>0.713753255549189</v>
      </c>
      <c r="E545" s="101">
        <f t="shared" ca="1" si="34"/>
        <v>0</v>
      </c>
      <c r="F545" s="21">
        <f t="shared" ca="1" si="35"/>
        <v>0</v>
      </c>
      <c r="H545" s="21">
        <v>530</v>
      </c>
      <c r="I545" s="102">
        <v>0.66785554476379438</v>
      </c>
      <c r="J545" s="103">
        <v>1.3352003622225969E-3</v>
      </c>
      <c r="K545" s="103"/>
      <c r="L545" s="103">
        <v>4.2200000000000001E-2</v>
      </c>
      <c r="O545" s="100"/>
    </row>
    <row r="546" spans="2:15" x14ac:dyDescent="0.2">
      <c r="B546" s="1">
        <v>531</v>
      </c>
      <c r="C546" s="101">
        <f t="shared" ca="1" si="32"/>
        <v>-0.9596537602302363</v>
      </c>
      <c r="D546" s="101">
        <f t="shared" ca="1" si="33"/>
        <v>0.60448485555451947</v>
      </c>
      <c r="E546" s="101">
        <f t="shared" ca="1" si="34"/>
        <v>0</v>
      </c>
      <c r="F546" s="21">
        <f t="shared" ca="1" si="35"/>
        <v>0</v>
      </c>
      <c r="H546" s="21">
        <v>531</v>
      </c>
      <c r="I546" s="102">
        <v>0.66767091699144243</v>
      </c>
      <c r="J546" s="103">
        <v>1.1418880518187793E-3</v>
      </c>
      <c r="K546" s="103"/>
      <c r="L546" s="103">
        <v>3.8800000000000001E-2</v>
      </c>
      <c r="O546" s="100"/>
    </row>
    <row r="547" spans="2:15" x14ac:dyDescent="0.2">
      <c r="B547" s="1">
        <v>532</v>
      </c>
      <c r="C547" s="101">
        <f t="shared" ca="1" si="32"/>
        <v>0.3763868338291137</v>
      </c>
      <c r="D547" s="101">
        <f t="shared" ca="1" si="33"/>
        <v>0.68963704149402183</v>
      </c>
      <c r="E547" s="101">
        <f t="shared" ca="1" si="34"/>
        <v>0</v>
      </c>
      <c r="F547" s="21">
        <f t="shared" ca="1" si="35"/>
        <v>0</v>
      </c>
      <c r="H547" s="21">
        <v>532</v>
      </c>
      <c r="I547" s="102">
        <v>0.6679026827859379</v>
      </c>
      <c r="J547" s="103">
        <v>1.5006174838946987E-3</v>
      </c>
      <c r="K547" s="103"/>
      <c r="L547" s="103">
        <v>4.7800000000000002E-2</v>
      </c>
      <c r="O547" s="100"/>
    </row>
    <row r="548" spans="2:15" x14ac:dyDescent="0.2">
      <c r="B548" s="1">
        <v>533</v>
      </c>
      <c r="C548" s="101">
        <f t="shared" ca="1" si="32"/>
        <v>1.2841530847353091</v>
      </c>
      <c r="D548" s="101">
        <f t="shared" ca="1" si="33"/>
        <v>0.75423855118015759</v>
      </c>
      <c r="E548" s="101">
        <f t="shared" ca="1" si="34"/>
        <v>0</v>
      </c>
      <c r="F548" s="21">
        <f t="shared" ca="1" si="35"/>
        <v>0</v>
      </c>
      <c r="H548" s="21">
        <v>533</v>
      </c>
      <c r="I548" s="102">
        <v>0.66781111523233194</v>
      </c>
      <c r="J548" s="103">
        <v>1.4180309361830716E-3</v>
      </c>
      <c r="K548" s="103"/>
      <c r="L548" s="103">
        <v>4.36E-2</v>
      </c>
      <c r="O548" s="100"/>
    </row>
    <row r="549" spans="2:15" x14ac:dyDescent="0.2">
      <c r="B549" s="1">
        <v>534</v>
      </c>
      <c r="C549" s="101">
        <f t="shared" ca="1" si="32"/>
        <v>-1.3998324371068323</v>
      </c>
      <c r="D549" s="101">
        <f t="shared" ca="1" si="33"/>
        <v>0.57879989227169393</v>
      </c>
      <c r="E549" s="101">
        <f t="shared" ca="1" si="34"/>
        <v>0</v>
      </c>
      <c r="F549" s="21">
        <f t="shared" ca="1" si="35"/>
        <v>0</v>
      </c>
      <c r="H549" s="21">
        <v>534</v>
      </c>
      <c r="I549" s="102">
        <v>0.6678155735724367</v>
      </c>
      <c r="J549" s="103">
        <v>1.4042833047034113E-3</v>
      </c>
      <c r="K549" s="103"/>
      <c r="L549" s="103">
        <v>4.4400000000000002E-2</v>
      </c>
      <c r="O549" s="100"/>
    </row>
    <row r="550" spans="2:15" x14ac:dyDescent="0.2">
      <c r="B550" s="1">
        <v>535</v>
      </c>
      <c r="C550" s="101">
        <f t="shared" ca="1" si="32"/>
        <v>0.75567841029034377</v>
      </c>
      <c r="D550" s="101">
        <f t="shared" ca="1" si="33"/>
        <v>0.71592775162989386</v>
      </c>
      <c r="E550" s="101">
        <f t="shared" ca="1" si="34"/>
        <v>0</v>
      </c>
      <c r="F550" s="21">
        <f t="shared" ca="1" si="35"/>
        <v>0</v>
      </c>
      <c r="H550" s="21">
        <v>535</v>
      </c>
      <c r="I550" s="102">
        <v>0.66781657783521731</v>
      </c>
      <c r="J550" s="103">
        <v>1.4198653725193942E-3</v>
      </c>
      <c r="K550" s="103"/>
      <c r="L550" s="103">
        <v>4.3400000000000001E-2</v>
      </c>
      <c r="O550" s="100"/>
    </row>
    <row r="551" spans="2:15" x14ac:dyDescent="0.2">
      <c r="B551" s="1">
        <v>536</v>
      </c>
      <c r="C551" s="101">
        <f t="shared" ca="1" si="32"/>
        <v>0.51906646266113809</v>
      </c>
      <c r="D551" s="101">
        <f t="shared" ca="1" si="33"/>
        <v>0.69941169091068078</v>
      </c>
      <c r="E551" s="101">
        <f t="shared" ca="1" si="34"/>
        <v>0</v>
      </c>
      <c r="F551" s="21">
        <f t="shared" ca="1" si="35"/>
        <v>0</v>
      </c>
      <c r="H551" s="21">
        <v>536</v>
      </c>
      <c r="I551" s="102">
        <v>0.66771062636421252</v>
      </c>
      <c r="J551" s="103">
        <v>1.3853282471582458E-3</v>
      </c>
      <c r="K551" s="103"/>
      <c r="L551" s="103">
        <v>4.1200000000000001E-2</v>
      </c>
      <c r="O551" s="100"/>
    </row>
    <row r="552" spans="2:15" x14ac:dyDescent="0.2">
      <c r="B552" s="1">
        <v>537</v>
      </c>
      <c r="C552" s="101">
        <f t="shared" ca="1" si="32"/>
        <v>0.68998064834355111</v>
      </c>
      <c r="D552" s="101">
        <f t="shared" ca="1" si="33"/>
        <v>0.7113031725805693</v>
      </c>
      <c r="E552" s="101">
        <f t="shared" ca="1" si="34"/>
        <v>0</v>
      </c>
      <c r="F552" s="21">
        <f t="shared" ca="1" si="35"/>
        <v>0</v>
      </c>
      <c r="H552" s="21">
        <v>537</v>
      </c>
      <c r="I552" s="102">
        <v>0.66780807059884562</v>
      </c>
      <c r="J552" s="103">
        <v>1.4872472143546722E-3</v>
      </c>
      <c r="K552" s="103"/>
      <c r="L552" s="103">
        <v>4.5199999999999997E-2</v>
      </c>
      <c r="O552" s="100"/>
    </row>
    <row r="553" spans="2:15" x14ac:dyDescent="0.2">
      <c r="B553" s="1">
        <v>538</v>
      </c>
      <c r="C553" s="101">
        <f t="shared" ca="1" si="32"/>
        <v>-1.9206016816581195</v>
      </c>
      <c r="D553" s="101">
        <f t="shared" ca="1" si="33"/>
        <v>0.54981806903506669</v>
      </c>
      <c r="E553" s="101">
        <f t="shared" ca="1" si="34"/>
        <v>0</v>
      </c>
      <c r="F553" s="21">
        <f t="shared" ca="1" si="35"/>
        <v>0</v>
      </c>
      <c r="H553" s="21">
        <v>538</v>
      </c>
      <c r="I553" s="102">
        <v>0.66762710429253158</v>
      </c>
      <c r="J553" s="103">
        <v>1.3087330479880945E-3</v>
      </c>
      <c r="K553" s="103"/>
      <c r="L553" s="103">
        <v>3.8199999999999998E-2</v>
      </c>
      <c r="O553" s="100"/>
    </row>
    <row r="554" spans="2:15" x14ac:dyDescent="0.2">
      <c r="B554" s="1">
        <v>539</v>
      </c>
      <c r="C554" s="101">
        <f t="shared" ca="1" si="32"/>
        <v>-0.29482451830892142</v>
      </c>
      <c r="D554" s="101">
        <f t="shared" ca="1" si="33"/>
        <v>0.6454554907202773</v>
      </c>
      <c r="E554" s="101">
        <f t="shared" ca="1" si="34"/>
        <v>0</v>
      </c>
      <c r="F554" s="21">
        <f t="shared" ca="1" si="35"/>
        <v>0</v>
      </c>
      <c r="H554" s="21">
        <v>539</v>
      </c>
      <c r="I554" s="102">
        <v>0.66767197609095519</v>
      </c>
      <c r="J554" s="103">
        <v>1.3352742003683699E-3</v>
      </c>
      <c r="K554" s="103"/>
      <c r="L554" s="103">
        <v>4.2799999999999998E-2</v>
      </c>
      <c r="O554" s="100"/>
    </row>
    <row r="555" spans="2:15" x14ac:dyDescent="0.2">
      <c r="B555" s="1">
        <v>540</v>
      </c>
      <c r="C555" s="101">
        <f t="shared" ca="1" si="32"/>
        <v>0.29722784622072496</v>
      </c>
      <c r="D555" s="101">
        <f t="shared" ca="1" si="33"/>
        <v>0.684273084908124</v>
      </c>
      <c r="E555" s="101">
        <f t="shared" ca="1" si="34"/>
        <v>0</v>
      </c>
      <c r="F555" s="21">
        <f t="shared" ca="1" si="35"/>
        <v>0</v>
      </c>
      <c r="H555" s="21">
        <v>540</v>
      </c>
      <c r="I555" s="102">
        <v>0.66780438099564909</v>
      </c>
      <c r="J555" s="103">
        <v>1.3977152006821279E-3</v>
      </c>
      <c r="K555" s="103"/>
      <c r="L555" s="103">
        <v>4.2000000000000003E-2</v>
      </c>
      <c r="O555" s="100"/>
    </row>
    <row r="556" spans="2:15" x14ac:dyDescent="0.2">
      <c r="B556" s="1">
        <v>541</v>
      </c>
      <c r="C556" s="101">
        <f t="shared" ca="1" si="32"/>
        <v>-0.12093823028255951</v>
      </c>
      <c r="D556" s="101">
        <f t="shared" ca="1" si="33"/>
        <v>0.65662207765460789</v>
      </c>
      <c r="E556" s="101">
        <f t="shared" ca="1" si="34"/>
        <v>0</v>
      </c>
      <c r="F556" s="21">
        <f t="shared" ca="1" si="35"/>
        <v>0</v>
      </c>
      <c r="H556" s="21">
        <v>541</v>
      </c>
      <c r="I556" s="102">
        <v>0.6677109808738716</v>
      </c>
      <c r="J556" s="103">
        <v>1.2709107132844028E-3</v>
      </c>
      <c r="K556" s="103"/>
      <c r="L556" s="103">
        <v>4.1799999999999997E-2</v>
      </c>
      <c r="O556" s="100"/>
    </row>
    <row r="557" spans="2:15" x14ac:dyDescent="0.2">
      <c r="B557" s="1">
        <v>542</v>
      </c>
      <c r="C557" s="101">
        <f t="shared" ca="1" si="32"/>
        <v>-0.47860864644997914</v>
      </c>
      <c r="D557" s="101">
        <f t="shared" ca="1" si="33"/>
        <v>0.63385964174747578</v>
      </c>
      <c r="E557" s="101">
        <f t="shared" ca="1" si="34"/>
        <v>0</v>
      </c>
      <c r="F557" s="21">
        <f t="shared" ca="1" si="35"/>
        <v>0</v>
      </c>
      <c r="H557" s="21">
        <v>542</v>
      </c>
      <c r="I557" s="102">
        <v>0.66760371508702088</v>
      </c>
      <c r="J557" s="103">
        <v>1.3765085569491687E-3</v>
      </c>
      <c r="K557" s="103"/>
      <c r="L557" s="103">
        <v>3.9E-2</v>
      </c>
      <c r="O557" s="100"/>
    </row>
    <row r="558" spans="2:15" x14ac:dyDescent="0.2">
      <c r="B558" s="1">
        <v>543</v>
      </c>
      <c r="C558" s="101">
        <f t="shared" ca="1" si="32"/>
        <v>-0.22281951887696025</v>
      </c>
      <c r="D558" s="101">
        <f t="shared" ca="1" si="33"/>
        <v>0.6500562667226637</v>
      </c>
      <c r="E558" s="101">
        <f t="shared" ca="1" si="34"/>
        <v>0</v>
      </c>
      <c r="F558" s="21">
        <f t="shared" ca="1" si="35"/>
        <v>0</v>
      </c>
      <c r="H558" s="21">
        <v>543</v>
      </c>
      <c r="I558" s="102">
        <v>0.66787267089944891</v>
      </c>
      <c r="J558" s="103">
        <v>1.4737417329231633E-3</v>
      </c>
      <c r="K558" s="103"/>
      <c r="L558" s="103">
        <v>4.24E-2</v>
      </c>
      <c r="O558" s="100"/>
    </row>
    <row r="559" spans="2:15" x14ac:dyDescent="0.2">
      <c r="B559" s="1">
        <v>544</v>
      </c>
      <c r="C559" s="101">
        <f t="shared" ca="1" si="32"/>
        <v>0.30433568461237809</v>
      </c>
      <c r="D559" s="101">
        <f t="shared" ca="1" si="33"/>
        <v>0.68475301519746667</v>
      </c>
      <c r="E559" s="101">
        <f t="shared" ca="1" si="34"/>
        <v>0</v>
      </c>
      <c r="F559" s="21">
        <f t="shared" ca="1" si="35"/>
        <v>0</v>
      </c>
      <c r="H559" s="21">
        <v>544</v>
      </c>
      <c r="I559" s="102">
        <v>0.66762762467408643</v>
      </c>
      <c r="J559" s="103">
        <v>1.1253729263627473E-3</v>
      </c>
      <c r="K559" s="103"/>
      <c r="L559" s="103">
        <v>3.7999999999999999E-2</v>
      </c>
      <c r="O559" s="100"/>
    </row>
    <row r="560" spans="2:15" x14ac:dyDescent="0.2">
      <c r="B560" s="1">
        <v>545</v>
      </c>
      <c r="C560" s="101">
        <f t="shared" ca="1" si="32"/>
        <v>-1.1627089002714555</v>
      </c>
      <c r="D560" s="101">
        <f t="shared" ca="1" si="33"/>
        <v>0.59249769853793766</v>
      </c>
      <c r="E560" s="101">
        <f t="shared" ca="1" si="34"/>
        <v>0</v>
      </c>
      <c r="F560" s="21">
        <f t="shared" ca="1" si="35"/>
        <v>0</v>
      </c>
      <c r="H560" s="21">
        <v>545</v>
      </c>
      <c r="I560" s="102">
        <v>0.66782777899540202</v>
      </c>
      <c r="J560" s="103">
        <v>1.5647860219310005E-3</v>
      </c>
      <c r="K560" s="103"/>
      <c r="L560" s="103">
        <v>4.58E-2</v>
      </c>
      <c r="O560" s="100"/>
    </row>
    <row r="561" spans="2:15" x14ac:dyDescent="0.2">
      <c r="B561" s="1">
        <v>546</v>
      </c>
      <c r="C561" s="101">
        <f t="shared" ca="1" si="32"/>
        <v>0.52053814542284249</v>
      </c>
      <c r="D561" s="101">
        <f t="shared" ca="1" si="33"/>
        <v>0.69951323099374207</v>
      </c>
      <c r="E561" s="101">
        <f t="shared" ca="1" si="34"/>
        <v>0</v>
      </c>
      <c r="F561" s="21">
        <f t="shared" ca="1" si="35"/>
        <v>0</v>
      </c>
      <c r="H561" s="21">
        <v>546</v>
      </c>
      <c r="I561" s="102">
        <v>0.66782469495193941</v>
      </c>
      <c r="J561" s="103">
        <v>1.5636410105850187E-3</v>
      </c>
      <c r="K561" s="103"/>
      <c r="L561" s="103">
        <v>4.3799999999999999E-2</v>
      </c>
      <c r="O561" s="100"/>
    </row>
    <row r="562" spans="2:15" x14ac:dyDescent="0.2">
      <c r="B562" s="1">
        <v>547</v>
      </c>
      <c r="C562" s="101">
        <f t="shared" ca="1" si="32"/>
        <v>0.64231026815184378</v>
      </c>
      <c r="D562" s="101">
        <f t="shared" ca="1" si="33"/>
        <v>0.70796628498651393</v>
      </c>
      <c r="E562" s="101">
        <f t="shared" ca="1" si="34"/>
        <v>0</v>
      </c>
      <c r="F562" s="21">
        <f t="shared" ca="1" si="35"/>
        <v>0</v>
      </c>
      <c r="H562" s="21">
        <v>547</v>
      </c>
      <c r="I562" s="102">
        <v>0.66782888375068017</v>
      </c>
      <c r="J562" s="103">
        <v>1.5180834968059917E-3</v>
      </c>
      <c r="K562" s="103"/>
      <c r="L562" s="103">
        <v>4.3200000000000002E-2</v>
      </c>
      <c r="O562" s="100"/>
    </row>
    <row r="563" spans="2:15" x14ac:dyDescent="0.2">
      <c r="B563" s="1">
        <v>548</v>
      </c>
      <c r="C563" s="101">
        <f t="shared" ca="1" si="32"/>
        <v>8.5850773982312958E-2</v>
      </c>
      <c r="D563" s="101">
        <f t="shared" ca="1" si="33"/>
        <v>0.67015335231294071</v>
      </c>
      <c r="E563" s="101">
        <f t="shared" ca="1" si="34"/>
        <v>0</v>
      </c>
      <c r="F563" s="21">
        <f t="shared" ca="1" si="35"/>
        <v>0</v>
      </c>
      <c r="H563" s="21">
        <v>548</v>
      </c>
      <c r="I563" s="102">
        <v>0.66763366458938167</v>
      </c>
      <c r="J563" s="103">
        <v>1.1511775672136554E-3</v>
      </c>
      <c r="K563" s="103"/>
      <c r="L563" s="103">
        <v>3.6600000000000001E-2</v>
      </c>
      <c r="O563" s="100"/>
    </row>
    <row r="564" spans="2:15" x14ac:dyDescent="0.2">
      <c r="B564" s="1">
        <v>549</v>
      </c>
      <c r="C564" s="101">
        <f t="shared" ca="1" si="32"/>
        <v>0.14683321867376636</v>
      </c>
      <c r="D564" s="101">
        <f t="shared" ca="1" si="33"/>
        <v>0.67419673461263319</v>
      </c>
      <c r="E564" s="101">
        <f t="shared" ca="1" si="34"/>
        <v>0</v>
      </c>
      <c r="F564" s="21">
        <f t="shared" ca="1" si="35"/>
        <v>0</v>
      </c>
      <c r="H564" s="21">
        <v>549</v>
      </c>
      <c r="I564" s="102">
        <v>0.66781040402453973</v>
      </c>
      <c r="J564" s="103">
        <v>1.5328387113972442E-3</v>
      </c>
      <c r="K564" s="103"/>
      <c r="L564" s="103">
        <v>4.1000000000000002E-2</v>
      </c>
      <c r="O564" s="100"/>
    </row>
    <row r="565" spans="2:15" x14ac:dyDescent="0.2">
      <c r="B565" s="1">
        <v>550</v>
      </c>
      <c r="C565" s="101">
        <f t="shared" ca="1" si="32"/>
        <v>-0.72342647482411893</v>
      </c>
      <c r="D565" s="101">
        <f t="shared" ca="1" si="33"/>
        <v>0.61873581570655034</v>
      </c>
      <c r="E565" s="101">
        <f t="shared" ca="1" si="34"/>
        <v>0</v>
      </c>
      <c r="F565" s="21">
        <f t="shared" ca="1" si="35"/>
        <v>0</v>
      </c>
      <c r="H565" s="21">
        <v>550</v>
      </c>
      <c r="I565" s="102">
        <v>0.66789711993993894</v>
      </c>
      <c r="J565" s="103">
        <v>1.575206132950268E-3</v>
      </c>
      <c r="K565" s="103"/>
      <c r="L565" s="103">
        <v>4.2799999999999998E-2</v>
      </c>
      <c r="O565" s="100"/>
    </row>
    <row r="566" spans="2:15" x14ac:dyDescent="0.2">
      <c r="B566" s="1">
        <v>551</v>
      </c>
      <c r="C566" s="101">
        <f t="shared" ca="1" si="32"/>
        <v>-0.28375182937278315</v>
      </c>
      <c r="D566" s="101">
        <f t="shared" ca="1" si="33"/>
        <v>0.64616085830044534</v>
      </c>
      <c r="E566" s="101">
        <f t="shared" ca="1" si="34"/>
        <v>0</v>
      </c>
      <c r="F566" s="21">
        <f t="shared" ca="1" si="35"/>
        <v>0</v>
      </c>
      <c r="H566" s="21">
        <v>551</v>
      </c>
      <c r="I566" s="102">
        <v>0.66791003994244558</v>
      </c>
      <c r="J566" s="103">
        <v>1.5824553542077996E-3</v>
      </c>
      <c r="K566" s="103"/>
      <c r="L566" s="103">
        <v>4.5999999999999999E-2</v>
      </c>
      <c r="O566" s="100"/>
    </row>
    <row r="567" spans="2:15" x14ac:dyDescent="0.2">
      <c r="B567" s="1">
        <v>552</v>
      </c>
      <c r="C567" s="101">
        <f t="shared" ca="1" si="32"/>
        <v>0.14499087529812923</v>
      </c>
      <c r="D567" s="101">
        <f t="shared" ca="1" si="33"/>
        <v>0.67407422316808774</v>
      </c>
      <c r="E567" s="101">
        <f t="shared" ca="1" si="34"/>
        <v>0</v>
      </c>
      <c r="F567" s="21">
        <f t="shared" ca="1" si="35"/>
        <v>0</v>
      </c>
      <c r="H567" s="21">
        <v>552</v>
      </c>
      <c r="I567" s="102">
        <v>0.66776446966371428</v>
      </c>
      <c r="J567" s="103">
        <v>1.3798481552697282E-3</v>
      </c>
      <c r="K567" s="103"/>
      <c r="L567" s="103">
        <v>4.1599999999999998E-2</v>
      </c>
      <c r="O567" s="100"/>
    </row>
    <row r="568" spans="2:15" x14ac:dyDescent="0.2">
      <c r="B568" s="1">
        <v>553</v>
      </c>
      <c r="C568" s="101">
        <f t="shared" ca="1" si="32"/>
        <v>-6.9613489515013033E-2</v>
      </c>
      <c r="D568" s="101">
        <f t="shared" ca="1" si="33"/>
        <v>0.65995481409451096</v>
      </c>
      <c r="E568" s="101">
        <f t="shared" ca="1" si="34"/>
        <v>0</v>
      </c>
      <c r="F568" s="21">
        <f t="shared" ca="1" si="35"/>
        <v>0</v>
      </c>
      <c r="H568" s="21">
        <v>553</v>
      </c>
      <c r="I568" s="102">
        <v>0.66783682176271897</v>
      </c>
      <c r="J568" s="103">
        <v>1.538597493664712E-3</v>
      </c>
      <c r="K568" s="103"/>
      <c r="L568" s="103">
        <v>4.2999999999999997E-2</v>
      </c>
      <c r="O568" s="100"/>
    </row>
    <row r="569" spans="2:15" x14ac:dyDescent="0.2">
      <c r="B569" s="1">
        <v>554</v>
      </c>
      <c r="C569" s="101">
        <f t="shared" ca="1" si="32"/>
        <v>0.71741061255122529</v>
      </c>
      <c r="D569" s="101">
        <f t="shared" ca="1" si="33"/>
        <v>0.71323037157855529</v>
      </c>
      <c r="E569" s="101">
        <f t="shared" ca="1" si="34"/>
        <v>0</v>
      </c>
      <c r="F569" s="21">
        <f t="shared" ca="1" si="35"/>
        <v>0</v>
      </c>
      <c r="H569" s="21">
        <v>554</v>
      </c>
      <c r="I569" s="102">
        <v>0.6677699693366641</v>
      </c>
      <c r="J569" s="103">
        <v>1.3646322145732326E-3</v>
      </c>
      <c r="K569" s="103"/>
      <c r="L569" s="103">
        <v>4.1000000000000002E-2</v>
      </c>
      <c r="O569" s="100"/>
    </row>
    <row r="570" spans="2:15" x14ac:dyDescent="0.2">
      <c r="B570" s="1">
        <v>555</v>
      </c>
      <c r="C570" s="101">
        <f t="shared" ca="1" si="32"/>
        <v>-4.4682225656836286E-2</v>
      </c>
      <c r="D570" s="101">
        <f t="shared" ca="1" si="33"/>
        <v>0.66157980721368992</v>
      </c>
      <c r="E570" s="101">
        <f t="shared" ca="1" si="34"/>
        <v>0</v>
      </c>
      <c r="F570" s="21">
        <f t="shared" ca="1" si="35"/>
        <v>0</v>
      </c>
      <c r="H570" s="21">
        <v>555</v>
      </c>
      <c r="I570" s="102">
        <v>0.66760483703322682</v>
      </c>
      <c r="J570" s="103">
        <v>1.1855865910637294E-3</v>
      </c>
      <c r="K570" s="103"/>
      <c r="L570" s="103">
        <v>3.8800000000000001E-2</v>
      </c>
      <c r="O570" s="100"/>
    </row>
    <row r="571" spans="2:15" x14ac:dyDescent="0.2">
      <c r="B571" s="1">
        <v>556</v>
      </c>
      <c r="C571" s="101">
        <f t="shared" ca="1" si="32"/>
        <v>-0.78493801085808201</v>
      </c>
      <c r="D571" s="101">
        <f t="shared" ca="1" si="33"/>
        <v>0.61499295351716177</v>
      </c>
      <c r="E571" s="101">
        <f t="shared" ca="1" si="34"/>
        <v>0</v>
      </c>
      <c r="F571" s="21">
        <f t="shared" ca="1" si="35"/>
        <v>0</v>
      </c>
      <c r="H571" s="21">
        <v>556</v>
      </c>
      <c r="I571" s="102">
        <v>0.66778979460585453</v>
      </c>
      <c r="J571" s="103">
        <v>1.4084058180298762E-3</v>
      </c>
      <c r="K571" s="103"/>
      <c r="L571" s="103">
        <v>4.24E-2</v>
      </c>
      <c r="O571" s="100"/>
    </row>
    <row r="572" spans="2:15" x14ac:dyDescent="0.2">
      <c r="B572" s="1">
        <v>557</v>
      </c>
      <c r="C572" s="101">
        <f t="shared" ca="1" si="32"/>
        <v>-0.78819278682902905</v>
      </c>
      <c r="D572" s="101">
        <f t="shared" ca="1" si="33"/>
        <v>0.61479553839040646</v>
      </c>
      <c r="E572" s="101">
        <f t="shared" ca="1" si="34"/>
        <v>0</v>
      </c>
      <c r="F572" s="21">
        <f t="shared" ca="1" si="35"/>
        <v>0</v>
      </c>
      <c r="H572" s="21">
        <v>557</v>
      </c>
      <c r="I572" s="102">
        <v>0.66766747438051566</v>
      </c>
      <c r="J572" s="103">
        <v>1.257079086454403E-3</v>
      </c>
      <c r="K572" s="103"/>
      <c r="L572" s="103">
        <v>3.7199999999999997E-2</v>
      </c>
      <c r="O572" s="100"/>
    </row>
    <row r="573" spans="2:15" x14ac:dyDescent="0.2">
      <c r="B573" s="1">
        <v>558</v>
      </c>
      <c r="C573" s="101">
        <f t="shared" ca="1" si="32"/>
        <v>-0.83744035359701507</v>
      </c>
      <c r="D573" s="101">
        <f t="shared" ca="1" si="33"/>
        <v>0.6118161992314296</v>
      </c>
      <c r="E573" s="101">
        <f t="shared" ca="1" si="34"/>
        <v>0</v>
      </c>
      <c r="F573" s="21">
        <f t="shared" ca="1" si="35"/>
        <v>0</v>
      </c>
      <c r="H573" s="21">
        <v>558</v>
      </c>
      <c r="I573" s="102">
        <v>0.66784233598455522</v>
      </c>
      <c r="J573" s="103">
        <v>1.5034356134997606E-3</v>
      </c>
      <c r="K573" s="103"/>
      <c r="L573" s="103">
        <v>4.1000000000000002E-2</v>
      </c>
      <c r="O573" s="100"/>
    </row>
    <row r="574" spans="2:15" x14ac:dyDescent="0.2">
      <c r="B574" s="1">
        <v>559</v>
      </c>
      <c r="C574" s="101">
        <f t="shared" ca="1" si="32"/>
        <v>-0.15430513198413143</v>
      </c>
      <c r="D574" s="101">
        <f t="shared" ca="1" si="33"/>
        <v>0.6544644537214761</v>
      </c>
      <c r="E574" s="101">
        <f t="shared" ca="1" si="34"/>
        <v>0</v>
      </c>
      <c r="F574" s="21">
        <f t="shared" ca="1" si="35"/>
        <v>0</v>
      </c>
      <c r="H574" s="21">
        <v>559</v>
      </c>
      <c r="I574" s="102">
        <v>0.66765141523032068</v>
      </c>
      <c r="J574" s="103">
        <v>1.4352757453528142E-3</v>
      </c>
      <c r="K574" s="103"/>
      <c r="L574" s="103">
        <v>3.9E-2</v>
      </c>
      <c r="O574" s="100"/>
    </row>
    <row r="575" spans="2:15" x14ac:dyDescent="0.2">
      <c r="B575" s="1">
        <v>560</v>
      </c>
      <c r="C575" s="101">
        <f t="shared" ca="1" si="32"/>
        <v>0.39169445878586884</v>
      </c>
      <c r="D575" s="101">
        <f t="shared" ca="1" si="33"/>
        <v>0.69067915546894854</v>
      </c>
      <c r="E575" s="101">
        <f t="shared" ca="1" si="34"/>
        <v>0</v>
      </c>
      <c r="F575" s="21">
        <f t="shared" ca="1" si="35"/>
        <v>0</v>
      </c>
      <c r="H575" s="21">
        <v>560</v>
      </c>
      <c r="I575" s="102">
        <v>0.66769743476977028</v>
      </c>
      <c r="J575" s="103">
        <v>1.3770135960991081E-3</v>
      </c>
      <c r="K575" s="103"/>
      <c r="L575" s="103">
        <v>4.1399999999999999E-2</v>
      </c>
      <c r="O575" s="100"/>
    </row>
    <row r="576" spans="2:15" x14ac:dyDescent="0.2">
      <c r="B576" s="1">
        <v>561</v>
      </c>
      <c r="C576" s="101">
        <f t="shared" ca="1" si="32"/>
        <v>-0.79791119405003608</v>
      </c>
      <c r="D576" s="101">
        <f t="shared" ca="1" si="33"/>
        <v>0.61420645530603191</v>
      </c>
      <c r="E576" s="101">
        <f t="shared" ca="1" si="34"/>
        <v>0</v>
      </c>
      <c r="F576" s="21">
        <f t="shared" ca="1" si="35"/>
        <v>0</v>
      </c>
      <c r="H576" s="21">
        <v>561</v>
      </c>
      <c r="I576" s="102">
        <v>0.66765600913718692</v>
      </c>
      <c r="J576" s="103">
        <v>1.2827069982217095E-3</v>
      </c>
      <c r="K576" s="103"/>
      <c r="L576" s="103">
        <v>4.0599999999999997E-2</v>
      </c>
      <c r="O576" s="100"/>
    </row>
    <row r="577" spans="2:15" x14ac:dyDescent="0.2">
      <c r="B577" s="1">
        <v>562</v>
      </c>
      <c r="C577" s="101">
        <f t="shared" ca="1" si="32"/>
        <v>0.36834034800706439</v>
      </c>
      <c r="D577" s="101">
        <f t="shared" ca="1" si="33"/>
        <v>0.68908988269290683</v>
      </c>
      <c r="E577" s="101">
        <f t="shared" ca="1" si="34"/>
        <v>0</v>
      </c>
      <c r="F577" s="21">
        <f t="shared" ca="1" si="35"/>
        <v>0</v>
      </c>
      <c r="H577" s="21">
        <v>562</v>
      </c>
      <c r="I577" s="102">
        <v>0.66772190137876497</v>
      </c>
      <c r="J577" s="103">
        <v>1.2748153200374444E-3</v>
      </c>
      <c r="K577" s="103"/>
      <c r="L577" s="103">
        <v>4.1399999999999999E-2</v>
      </c>
      <c r="O577" s="100"/>
    </row>
    <row r="578" spans="2:15" x14ac:dyDescent="0.2">
      <c r="B578" s="1">
        <v>563</v>
      </c>
      <c r="C578" s="101">
        <f t="shared" ca="1" si="32"/>
        <v>0.98783714536990441</v>
      </c>
      <c r="D578" s="101">
        <f t="shared" ca="1" si="33"/>
        <v>0.73251198442046606</v>
      </c>
      <c r="E578" s="101">
        <f t="shared" ca="1" si="34"/>
        <v>0</v>
      </c>
      <c r="F578" s="21">
        <f t="shared" ca="1" si="35"/>
        <v>0</v>
      </c>
      <c r="H578" s="21">
        <v>563</v>
      </c>
      <c r="I578" s="102">
        <v>0.66789840358722441</v>
      </c>
      <c r="J578" s="103">
        <v>1.5307570336275016E-3</v>
      </c>
      <c r="K578" s="103"/>
      <c r="L578" s="103">
        <v>4.7199999999999999E-2</v>
      </c>
      <c r="O578" s="100"/>
    </row>
    <row r="579" spans="2:15" x14ac:dyDescent="0.2">
      <c r="B579" s="1">
        <v>564</v>
      </c>
      <c r="C579" s="101">
        <f t="shared" ca="1" si="32"/>
        <v>1.3564031755010826</v>
      </c>
      <c r="D579" s="101">
        <f t="shared" ca="1" si="33"/>
        <v>0.75963309242695631</v>
      </c>
      <c r="E579" s="101">
        <f t="shared" ca="1" si="34"/>
        <v>0</v>
      </c>
      <c r="F579" s="21">
        <f t="shared" ca="1" si="35"/>
        <v>0</v>
      </c>
      <c r="H579" s="21">
        <v>564</v>
      </c>
      <c r="I579" s="102">
        <v>0.66777246073567631</v>
      </c>
      <c r="J579" s="103">
        <v>1.3674070250698886E-3</v>
      </c>
      <c r="K579" s="103"/>
      <c r="L579" s="103">
        <v>4.4200000000000003E-2</v>
      </c>
      <c r="O579" s="100"/>
    </row>
    <row r="580" spans="2:15" x14ac:dyDescent="0.2">
      <c r="B580" s="1">
        <v>565</v>
      </c>
      <c r="C580" s="101">
        <f t="shared" ca="1" si="32"/>
        <v>0.34654306429527237</v>
      </c>
      <c r="D580" s="101">
        <f t="shared" ca="1" si="33"/>
        <v>0.68760985328854163</v>
      </c>
      <c r="E580" s="101">
        <f t="shared" ca="1" si="34"/>
        <v>0</v>
      </c>
      <c r="F580" s="21">
        <f t="shared" ca="1" si="35"/>
        <v>0</v>
      </c>
      <c r="H580" s="21">
        <v>565</v>
      </c>
      <c r="I580" s="102">
        <v>0.66775863095942045</v>
      </c>
      <c r="J580" s="103">
        <v>1.4196912885116671E-3</v>
      </c>
      <c r="K580" s="103"/>
      <c r="L580" s="103">
        <v>4.1000000000000002E-2</v>
      </c>
      <c r="O580" s="100"/>
    </row>
    <row r="581" spans="2:15" x14ac:dyDescent="0.2">
      <c r="B581" s="1">
        <v>566</v>
      </c>
      <c r="C581" s="101">
        <f t="shared" ca="1" si="32"/>
        <v>0.45214365531076089</v>
      </c>
      <c r="D581" s="101">
        <f t="shared" ca="1" si="33"/>
        <v>0.694809832399923</v>
      </c>
      <c r="E581" s="101">
        <f t="shared" ca="1" si="34"/>
        <v>0</v>
      </c>
      <c r="F581" s="21">
        <f t="shared" ca="1" si="35"/>
        <v>0</v>
      </c>
      <c r="H581" s="21">
        <v>566</v>
      </c>
      <c r="I581" s="102">
        <v>0.66777101695398866</v>
      </c>
      <c r="J581" s="103">
        <v>1.3896685307896663E-3</v>
      </c>
      <c r="K581" s="103"/>
      <c r="L581" s="103">
        <v>4.4200000000000003E-2</v>
      </c>
      <c r="O581" s="100"/>
    </row>
    <row r="582" spans="2:15" x14ac:dyDescent="0.2">
      <c r="B582" s="1">
        <v>567</v>
      </c>
      <c r="C582" s="101">
        <f t="shared" ca="1" si="32"/>
        <v>0.17225756476673745</v>
      </c>
      <c r="D582" s="101">
        <f t="shared" ca="1" si="33"/>
        <v>0.67588966863390387</v>
      </c>
      <c r="E582" s="101">
        <f t="shared" ca="1" si="34"/>
        <v>0</v>
      </c>
      <c r="F582" s="21">
        <f t="shared" ca="1" si="35"/>
        <v>0</v>
      </c>
      <c r="H582" s="21">
        <v>567</v>
      </c>
      <c r="I582" s="102">
        <v>0.6676991792712248</v>
      </c>
      <c r="J582" s="103">
        <v>1.4179427532419024E-3</v>
      </c>
      <c r="K582" s="103"/>
      <c r="L582" s="103">
        <v>4.0599999999999997E-2</v>
      </c>
      <c r="O582" s="100"/>
    </row>
    <row r="583" spans="2:15" x14ac:dyDescent="0.2">
      <c r="B583" s="1">
        <v>568</v>
      </c>
      <c r="C583" s="101">
        <f t="shared" ca="1" si="32"/>
        <v>-0.58434338364527361</v>
      </c>
      <c r="D583" s="101">
        <f t="shared" ca="1" si="33"/>
        <v>0.62728295957197733</v>
      </c>
      <c r="E583" s="101">
        <f t="shared" ca="1" si="34"/>
        <v>0</v>
      </c>
      <c r="F583" s="21">
        <f t="shared" ca="1" si="35"/>
        <v>0</v>
      </c>
      <c r="H583" s="21">
        <v>568</v>
      </c>
      <c r="I583" s="102">
        <v>0.66772622809082216</v>
      </c>
      <c r="J583" s="103">
        <v>1.3710189434371052E-3</v>
      </c>
      <c r="K583" s="103"/>
      <c r="L583" s="103">
        <v>3.8800000000000001E-2</v>
      </c>
      <c r="O583" s="100"/>
    </row>
    <row r="584" spans="2:15" x14ac:dyDescent="0.2">
      <c r="B584" s="1">
        <v>569</v>
      </c>
      <c r="C584" s="101">
        <f t="shared" ca="1" si="32"/>
        <v>1.1851704691528551</v>
      </c>
      <c r="D584" s="101">
        <f t="shared" ca="1" si="33"/>
        <v>0.74691016915286412</v>
      </c>
      <c r="E584" s="101">
        <f t="shared" ca="1" si="34"/>
        <v>0</v>
      </c>
      <c r="F584" s="21">
        <f t="shared" ca="1" si="35"/>
        <v>0</v>
      </c>
      <c r="H584" s="21">
        <v>569</v>
      </c>
      <c r="I584" s="102">
        <v>0.66772193845463046</v>
      </c>
      <c r="J584" s="103">
        <v>1.331250568451355E-3</v>
      </c>
      <c r="K584" s="103"/>
      <c r="L584" s="103">
        <v>4.0800000000000003E-2</v>
      </c>
      <c r="O584" s="100"/>
    </row>
    <row r="585" spans="2:15" x14ac:dyDescent="0.2">
      <c r="B585" s="1">
        <v>570</v>
      </c>
      <c r="C585" s="101">
        <f t="shared" ca="1" si="32"/>
        <v>1.4172006148449099</v>
      </c>
      <c r="D585" s="101">
        <f t="shared" ca="1" si="33"/>
        <v>0.76420240615837054</v>
      </c>
      <c r="E585" s="101">
        <f t="shared" ca="1" si="34"/>
        <v>0</v>
      </c>
      <c r="F585" s="21">
        <f t="shared" ca="1" si="35"/>
        <v>0</v>
      </c>
      <c r="H585" s="21">
        <v>570</v>
      </c>
      <c r="I585" s="102">
        <v>0.66775771109510051</v>
      </c>
      <c r="J585" s="103">
        <v>1.4006388011270478E-3</v>
      </c>
      <c r="K585" s="103"/>
      <c r="L585" s="103">
        <v>4.2000000000000003E-2</v>
      </c>
      <c r="O585" s="100"/>
    </row>
    <row r="586" spans="2:15" x14ac:dyDescent="0.2">
      <c r="B586" s="1">
        <v>571</v>
      </c>
      <c r="C586" s="101">
        <f t="shared" ca="1" si="32"/>
        <v>-1.6092148787699534</v>
      </c>
      <c r="D586" s="101">
        <f t="shared" ca="1" si="33"/>
        <v>0.56696810333027825</v>
      </c>
      <c r="E586" s="101">
        <f t="shared" ca="1" si="34"/>
        <v>0</v>
      </c>
      <c r="F586" s="21">
        <f t="shared" ca="1" si="35"/>
        <v>0</v>
      </c>
      <c r="H586" s="21">
        <v>571</v>
      </c>
      <c r="I586" s="102">
        <v>0.66758326593698147</v>
      </c>
      <c r="J586" s="103">
        <v>1.1833188174151163E-3</v>
      </c>
      <c r="K586" s="103"/>
      <c r="L586" s="103">
        <v>3.9199999999999999E-2</v>
      </c>
      <c r="O586" s="100"/>
    </row>
    <row r="587" spans="2:15" x14ac:dyDescent="0.2">
      <c r="B587" s="1">
        <v>572</v>
      </c>
      <c r="C587" s="101">
        <f t="shared" ca="1" si="32"/>
        <v>-1.3072630104315797</v>
      </c>
      <c r="D587" s="101">
        <f t="shared" ca="1" si="33"/>
        <v>0.58410921632970636</v>
      </c>
      <c r="E587" s="101">
        <f t="shared" ca="1" si="34"/>
        <v>0</v>
      </c>
      <c r="F587" s="21">
        <f t="shared" ca="1" si="35"/>
        <v>0</v>
      </c>
      <c r="H587" s="21">
        <v>572</v>
      </c>
      <c r="I587" s="102">
        <v>0.66770917355831694</v>
      </c>
      <c r="J587" s="103">
        <v>1.3562747412145082E-3</v>
      </c>
      <c r="K587" s="103"/>
      <c r="L587" s="103">
        <v>4.2599999999999999E-2</v>
      </c>
      <c r="O587" s="100"/>
    </row>
    <row r="588" spans="2:15" x14ac:dyDescent="0.2">
      <c r="B588" s="1">
        <v>573</v>
      </c>
      <c r="C588" s="101">
        <f t="shared" ca="1" si="32"/>
        <v>-1.9112820748168948</v>
      </c>
      <c r="D588" s="101">
        <f t="shared" ca="1" si="33"/>
        <v>0.5503237482916139</v>
      </c>
      <c r="E588" s="101">
        <f t="shared" ca="1" si="34"/>
        <v>0</v>
      </c>
      <c r="F588" s="21">
        <f t="shared" ca="1" si="35"/>
        <v>0</v>
      </c>
      <c r="H588" s="21">
        <v>573</v>
      </c>
      <c r="I588" s="102">
        <v>0.66772904102612307</v>
      </c>
      <c r="J588" s="103">
        <v>1.3678102154972046E-3</v>
      </c>
      <c r="K588" s="103"/>
      <c r="L588" s="103">
        <v>4.1399999999999999E-2</v>
      </c>
      <c r="O588" s="100"/>
    </row>
    <row r="589" spans="2:15" x14ac:dyDescent="0.2">
      <c r="B589" s="1">
        <v>574</v>
      </c>
      <c r="C589" s="101">
        <f t="shared" ca="1" si="32"/>
        <v>-0.24382704246017492</v>
      </c>
      <c r="D589" s="101">
        <f t="shared" ca="1" si="33"/>
        <v>0.64871060836580985</v>
      </c>
      <c r="E589" s="101">
        <f t="shared" ca="1" si="34"/>
        <v>0</v>
      </c>
      <c r="F589" s="21">
        <f t="shared" ca="1" si="35"/>
        <v>0</v>
      </c>
      <c r="H589" s="21">
        <v>574</v>
      </c>
      <c r="I589" s="102">
        <v>0.6678254809997346</v>
      </c>
      <c r="J589" s="103">
        <v>1.4810347413864459E-3</v>
      </c>
      <c r="K589" s="103"/>
      <c r="L589" s="103">
        <v>4.5199999999999997E-2</v>
      </c>
      <c r="O589" s="100"/>
    </row>
    <row r="590" spans="2:15" x14ac:dyDescent="0.2">
      <c r="B590" s="1">
        <v>575</v>
      </c>
      <c r="C590" s="101">
        <f t="shared" ca="1" si="32"/>
        <v>0.35819756194716035</v>
      </c>
      <c r="D590" s="101">
        <f t="shared" ca="1" si="33"/>
        <v>0.68840079451033775</v>
      </c>
      <c r="E590" s="101">
        <f t="shared" ca="1" si="34"/>
        <v>0</v>
      </c>
      <c r="F590" s="21">
        <f t="shared" ca="1" si="35"/>
        <v>0</v>
      </c>
      <c r="H590" s="21">
        <v>575</v>
      </c>
      <c r="I590" s="102">
        <v>0.66768903394180823</v>
      </c>
      <c r="J590" s="103">
        <v>1.2451309356125871E-3</v>
      </c>
      <c r="K590" s="103"/>
      <c r="L590" s="103">
        <v>3.9399999999999998E-2</v>
      </c>
      <c r="O590" s="100"/>
    </row>
    <row r="591" spans="2:15" x14ac:dyDescent="0.2">
      <c r="B591" s="1">
        <v>576</v>
      </c>
      <c r="C591" s="101">
        <f t="shared" ca="1" si="32"/>
        <v>0.92300609138234635</v>
      </c>
      <c r="D591" s="101">
        <f t="shared" ca="1" si="33"/>
        <v>0.7278425014470713</v>
      </c>
      <c r="E591" s="101">
        <f t="shared" ca="1" si="34"/>
        <v>0</v>
      </c>
      <c r="F591" s="21">
        <f t="shared" ca="1" si="35"/>
        <v>0</v>
      </c>
      <c r="H591" s="21">
        <v>576</v>
      </c>
      <c r="I591" s="102">
        <v>0.66782237063433469</v>
      </c>
      <c r="J591" s="103">
        <v>1.4133810713300979E-3</v>
      </c>
      <c r="K591" s="103"/>
      <c r="L591" s="103">
        <v>4.5600000000000002E-2</v>
      </c>
      <c r="O591" s="100"/>
    </row>
    <row r="592" spans="2:15" x14ac:dyDescent="0.2">
      <c r="B592" s="1">
        <v>577</v>
      </c>
      <c r="C592" s="101">
        <f t="shared" ref="C592:C655" ca="1" si="36">_xlfn.NORM.S.INV(RAND())</f>
        <v>-0.97378099267245199</v>
      </c>
      <c r="D592" s="101">
        <f t="shared" ref="D592:D655" ca="1" si="37">S0*EXP((μ-0.5*σ*σ)*T+σ*SQRT(T)*$C592)</f>
        <v>0.6036430750749705</v>
      </c>
      <c r="E592" s="101">
        <f t="shared" ref="E592:E655" ca="1" si="38">MAX(0,CP*(D592-K))</f>
        <v>0</v>
      </c>
      <c r="F592" s="21">
        <f t="shared" ref="F592:F655" ca="1" si="39">(CP*(D592-K)&gt;0)*1</f>
        <v>0</v>
      </c>
      <c r="H592" s="21">
        <v>577</v>
      </c>
      <c r="I592" s="102">
        <v>0.667846910890181</v>
      </c>
      <c r="J592" s="103">
        <v>1.3694931302398825E-3</v>
      </c>
      <c r="K592" s="103"/>
      <c r="L592" s="103">
        <v>4.1399999999999999E-2</v>
      </c>
      <c r="O592" s="100"/>
    </row>
    <row r="593" spans="2:15" x14ac:dyDescent="0.2">
      <c r="B593" s="1">
        <v>578</v>
      </c>
      <c r="C593" s="101">
        <f t="shared" ca="1" si="36"/>
        <v>1.0736635279931157</v>
      </c>
      <c r="D593" s="101">
        <f t="shared" ca="1" si="37"/>
        <v>0.73873977664861035</v>
      </c>
      <c r="E593" s="101">
        <f t="shared" ca="1" si="38"/>
        <v>0</v>
      </c>
      <c r="F593" s="21">
        <f t="shared" ca="1" si="39"/>
        <v>0</v>
      </c>
      <c r="H593" s="21">
        <v>578</v>
      </c>
      <c r="I593" s="102">
        <v>0.66786895206548047</v>
      </c>
      <c r="J593" s="103">
        <v>1.3884514024810335E-3</v>
      </c>
      <c r="K593" s="103"/>
      <c r="L593" s="103">
        <v>4.2000000000000003E-2</v>
      </c>
      <c r="O593" s="100"/>
    </row>
    <row r="594" spans="2:15" x14ac:dyDescent="0.2">
      <c r="B594" s="1">
        <v>579</v>
      </c>
      <c r="C594" s="101">
        <f t="shared" ca="1" si="36"/>
        <v>0.16829725426500874</v>
      </c>
      <c r="D594" s="101">
        <f t="shared" ca="1" si="37"/>
        <v>0.67562568371297604</v>
      </c>
      <c r="E594" s="101">
        <f t="shared" ca="1" si="38"/>
        <v>0</v>
      </c>
      <c r="F594" s="21">
        <f t="shared" ca="1" si="39"/>
        <v>0</v>
      </c>
      <c r="H594" s="21">
        <v>579</v>
      </c>
      <c r="I594" s="102">
        <v>0.66779562909284118</v>
      </c>
      <c r="J594" s="103">
        <v>1.3202412905686761E-3</v>
      </c>
      <c r="K594" s="103"/>
      <c r="L594" s="103">
        <v>3.8600000000000002E-2</v>
      </c>
      <c r="O594" s="100"/>
    </row>
    <row r="595" spans="2:15" x14ac:dyDescent="0.2">
      <c r="B595" s="1">
        <v>580</v>
      </c>
      <c r="C595" s="101">
        <f t="shared" ca="1" si="36"/>
        <v>-1.7209949085443565</v>
      </c>
      <c r="D595" s="101">
        <f t="shared" ca="1" si="37"/>
        <v>0.56075097753641945</v>
      </c>
      <c r="E595" s="101">
        <f t="shared" ca="1" si="38"/>
        <v>0</v>
      </c>
      <c r="F595" s="21">
        <f t="shared" ca="1" si="39"/>
        <v>0</v>
      </c>
      <c r="H595" s="21">
        <v>580</v>
      </c>
      <c r="I595" s="102">
        <v>0.66783969375488528</v>
      </c>
      <c r="J595" s="103">
        <v>1.4553185213869049E-3</v>
      </c>
      <c r="K595" s="103"/>
      <c r="L595" s="103">
        <v>4.7E-2</v>
      </c>
      <c r="O595" s="100"/>
    </row>
    <row r="596" spans="2:15" x14ac:dyDescent="0.2">
      <c r="B596" s="1">
        <v>581</v>
      </c>
      <c r="C596" s="101">
        <f t="shared" ca="1" si="36"/>
        <v>-1.3859399097575176</v>
      </c>
      <c r="D596" s="101">
        <f t="shared" ca="1" si="37"/>
        <v>0.57959361023688949</v>
      </c>
      <c r="E596" s="101">
        <f t="shared" ca="1" si="38"/>
        <v>0</v>
      </c>
      <c r="F596" s="21">
        <f t="shared" ca="1" si="39"/>
        <v>0</v>
      </c>
      <c r="H596" s="21">
        <v>581</v>
      </c>
      <c r="I596" s="102">
        <v>0.66769051423148862</v>
      </c>
      <c r="J596" s="103">
        <v>1.2340669083934336E-3</v>
      </c>
      <c r="K596" s="103"/>
      <c r="L596" s="103">
        <v>4.1599999999999998E-2</v>
      </c>
      <c r="O596" s="100"/>
    </row>
    <row r="597" spans="2:15" x14ac:dyDescent="0.2">
      <c r="B597" s="1">
        <v>582</v>
      </c>
      <c r="C597" s="101">
        <f t="shared" ca="1" si="36"/>
        <v>1.7599771503091721</v>
      </c>
      <c r="D597" s="101">
        <f t="shared" ca="1" si="37"/>
        <v>0.79048336715047685</v>
      </c>
      <c r="E597" s="101">
        <f t="shared" ca="1" si="38"/>
        <v>2.2833671504768338E-3</v>
      </c>
      <c r="F597" s="21">
        <f t="shared" ca="1" si="39"/>
        <v>1</v>
      </c>
      <c r="H597" s="21">
        <v>582</v>
      </c>
      <c r="I597" s="102">
        <v>0.66764735314032542</v>
      </c>
      <c r="J597" s="103">
        <v>1.1668697532805136E-3</v>
      </c>
      <c r="K597" s="103"/>
      <c r="L597" s="103">
        <v>3.8600000000000002E-2</v>
      </c>
      <c r="O597" s="100"/>
    </row>
    <row r="598" spans="2:15" x14ac:dyDescent="0.2">
      <c r="B598" s="1">
        <v>583</v>
      </c>
      <c r="C598" s="101">
        <f t="shared" ca="1" si="36"/>
        <v>-0.97896987776020983</v>
      </c>
      <c r="D598" s="101">
        <f t="shared" ca="1" si="37"/>
        <v>0.60333418636360159</v>
      </c>
      <c r="E598" s="101">
        <f t="shared" ca="1" si="38"/>
        <v>0</v>
      </c>
      <c r="F598" s="21">
        <f t="shared" ca="1" si="39"/>
        <v>0</v>
      </c>
      <c r="H598" s="21">
        <v>583</v>
      </c>
      <c r="I598" s="102">
        <v>0.66780769640194726</v>
      </c>
      <c r="J598" s="103">
        <v>1.531785294510285E-3</v>
      </c>
      <c r="K598" s="103"/>
      <c r="L598" s="103">
        <v>4.1399999999999999E-2</v>
      </c>
      <c r="O598" s="100"/>
    </row>
    <row r="599" spans="2:15" x14ac:dyDescent="0.2">
      <c r="B599" s="1">
        <v>584</v>
      </c>
      <c r="C599" s="101">
        <f t="shared" ca="1" si="36"/>
        <v>-1.1247239451274234</v>
      </c>
      <c r="D599" s="101">
        <f t="shared" ca="1" si="37"/>
        <v>0.59472188435143269</v>
      </c>
      <c r="E599" s="101">
        <f t="shared" ca="1" si="38"/>
        <v>0</v>
      </c>
      <c r="F599" s="21">
        <f t="shared" ca="1" si="39"/>
        <v>0</v>
      </c>
      <c r="H599" s="21">
        <v>584</v>
      </c>
      <c r="I599" s="102">
        <v>0.66760737760267019</v>
      </c>
      <c r="J599" s="103">
        <v>1.2434908379066855E-3</v>
      </c>
      <c r="K599" s="103"/>
      <c r="L599" s="103">
        <v>3.8399999999999997E-2</v>
      </c>
      <c r="O599" s="100"/>
    </row>
    <row r="600" spans="2:15" x14ac:dyDescent="0.2">
      <c r="B600" s="1">
        <v>585</v>
      </c>
      <c r="C600" s="101">
        <f t="shared" ca="1" si="36"/>
        <v>-2.5505608939367798E-2</v>
      </c>
      <c r="D600" s="101">
        <f t="shared" ca="1" si="37"/>
        <v>0.66283244051112755</v>
      </c>
      <c r="E600" s="101">
        <f t="shared" ca="1" si="38"/>
        <v>0</v>
      </c>
      <c r="F600" s="21">
        <f t="shared" ca="1" si="39"/>
        <v>0</v>
      </c>
      <c r="H600" s="21">
        <v>585</v>
      </c>
      <c r="I600" s="102">
        <v>0.66785307816271788</v>
      </c>
      <c r="J600" s="103">
        <v>1.4139090128134214E-3</v>
      </c>
      <c r="K600" s="103"/>
      <c r="L600" s="103">
        <v>4.3200000000000002E-2</v>
      </c>
      <c r="O600" s="100"/>
    </row>
    <row r="601" spans="2:15" x14ac:dyDescent="0.2">
      <c r="B601" s="1">
        <v>586</v>
      </c>
      <c r="C601" s="101">
        <f t="shared" ca="1" si="36"/>
        <v>-1.8677351291383992</v>
      </c>
      <c r="D601" s="101">
        <f t="shared" ca="1" si="37"/>
        <v>0.552692764056395</v>
      </c>
      <c r="E601" s="101">
        <f t="shared" ca="1" si="38"/>
        <v>0</v>
      </c>
      <c r="F601" s="21">
        <f t="shared" ca="1" si="39"/>
        <v>0</v>
      </c>
      <c r="H601" s="21">
        <v>586</v>
      </c>
      <c r="I601" s="102">
        <v>0.66770284576871286</v>
      </c>
      <c r="J601" s="103">
        <v>1.1796003203240881E-3</v>
      </c>
      <c r="K601" s="103"/>
      <c r="L601" s="103">
        <v>0.04</v>
      </c>
      <c r="O601" s="100"/>
    </row>
    <row r="602" spans="2:15" x14ac:dyDescent="0.2">
      <c r="B602" s="1">
        <v>587</v>
      </c>
      <c r="C602" s="101">
        <f t="shared" ca="1" si="36"/>
        <v>1.9681212877350889</v>
      </c>
      <c r="D602" s="101">
        <f t="shared" ca="1" si="37"/>
        <v>0.80688102541848694</v>
      </c>
      <c r="E602" s="101">
        <f t="shared" ca="1" si="38"/>
        <v>1.868102541848693E-2</v>
      </c>
      <c r="F602" s="21">
        <f t="shared" ca="1" si="39"/>
        <v>1</v>
      </c>
      <c r="H602" s="21">
        <v>587</v>
      </c>
      <c r="I602" s="102">
        <v>0.66783045640173455</v>
      </c>
      <c r="J602" s="103">
        <v>1.426564283817409E-3</v>
      </c>
      <c r="K602" s="103"/>
      <c r="L602" s="103">
        <v>4.3200000000000002E-2</v>
      </c>
      <c r="O602" s="100"/>
    </row>
    <row r="603" spans="2:15" x14ac:dyDescent="0.2">
      <c r="B603" s="1">
        <v>588</v>
      </c>
      <c r="C603" s="101">
        <f t="shared" ca="1" si="36"/>
        <v>0.29825766032617751</v>
      </c>
      <c r="D603" s="101">
        <f t="shared" ca="1" si="37"/>
        <v>0.68434259842370637</v>
      </c>
      <c r="E603" s="101">
        <f t="shared" ca="1" si="38"/>
        <v>0</v>
      </c>
      <c r="F603" s="21">
        <f t="shared" ca="1" si="39"/>
        <v>0</v>
      </c>
      <c r="H603" s="21">
        <v>588</v>
      </c>
      <c r="I603" s="102">
        <v>0.66778165070714646</v>
      </c>
      <c r="J603" s="103">
        <v>1.4086511263586533E-3</v>
      </c>
      <c r="K603" s="103"/>
      <c r="L603" s="103">
        <v>4.5999999999999999E-2</v>
      </c>
      <c r="O603" s="100"/>
    </row>
    <row r="604" spans="2:15" x14ac:dyDescent="0.2">
      <c r="B604" s="1">
        <v>589</v>
      </c>
      <c r="C604" s="101">
        <f t="shared" ca="1" si="36"/>
        <v>0.87579999112637152</v>
      </c>
      <c r="D604" s="101">
        <f t="shared" ca="1" si="37"/>
        <v>0.72446120156478555</v>
      </c>
      <c r="E604" s="101">
        <f t="shared" ca="1" si="38"/>
        <v>0</v>
      </c>
      <c r="F604" s="21">
        <f t="shared" ca="1" si="39"/>
        <v>0</v>
      </c>
      <c r="H604" s="21">
        <v>589</v>
      </c>
      <c r="I604" s="102">
        <v>0.66765798441015956</v>
      </c>
      <c r="J604" s="103">
        <v>1.3844847307620421E-3</v>
      </c>
      <c r="K604" s="103"/>
      <c r="L604" s="103">
        <v>4.2599999999999999E-2</v>
      </c>
      <c r="O604" s="100"/>
    </row>
    <row r="605" spans="2:15" x14ac:dyDescent="0.2">
      <c r="B605" s="1">
        <v>590</v>
      </c>
      <c r="C605" s="101">
        <f t="shared" ca="1" si="36"/>
        <v>-0.36836618463978121</v>
      </c>
      <c r="D605" s="101">
        <f t="shared" ca="1" si="37"/>
        <v>0.64079013912897187</v>
      </c>
      <c r="E605" s="101">
        <f t="shared" ca="1" si="38"/>
        <v>0</v>
      </c>
      <c r="F605" s="21">
        <f t="shared" ca="1" si="39"/>
        <v>0</v>
      </c>
      <c r="H605" s="21">
        <v>590</v>
      </c>
      <c r="I605" s="102">
        <v>0.66780131360216366</v>
      </c>
      <c r="J605" s="103">
        <v>1.3779145022386628E-3</v>
      </c>
      <c r="K605" s="103"/>
      <c r="L605" s="103">
        <v>4.5600000000000002E-2</v>
      </c>
      <c r="O605" s="100"/>
    </row>
    <row r="606" spans="2:15" x14ac:dyDescent="0.2">
      <c r="B606" s="1">
        <v>591</v>
      </c>
      <c r="C606" s="101">
        <f t="shared" ca="1" si="36"/>
        <v>-0.84881420181163603</v>
      </c>
      <c r="D606" s="101">
        <f t="shared" ca="1" si="37"/>
        <v>0.61113016829732658</v>
      </c>
      <c r="E606" s="101">
        <f t="shared" ca="1" si="38"/>
        <v>0</v>
      </c>
      <c r="F606" s="21">
        <f t="shared" ca="1" si="39"/>
        <v>0</v>
      </c>
      <c r="H606" s="21">
        <v>591</v>
      </c>
      <c r="I606" s="102">
        <v>0.6678030488857728</v>
      </c>
      <c r="J606" s="103">
        <v>1.4716852319693555E-3</v>
      </c>
      <c r="K606" s="103"/>
      <c r="L606" s="103">
        <v>4.24E-2</v>
      </c>
      <c r="O606" s="100"/>
    </row>
    <row r="607" spans="2:15" x14ac:dyDescent="0.2">
      <c r="B607" s="1">
        <v>592</v>
      </c>
      <c r="C607" s="101">
        <f t="shared" ca="1" si="36"/>
        <v>0.87968974077484519</v>
      </c>
      <c r="D607" s="101">
        <f t="shared" ca="1" si="37"/>
        <v>0.72473922346200159</v>
      </c>
      <c r="E607" s="101">
        <f t="shared" ca="1" si="38"/>
        <v>0</v>
      </c>
      <c r="F607" s="21">
        <f t="shared" ca="1" si="39"/>
        <v>0</v>
      </c>
      <c r="H607" s="21">
        <v>592</v>
      </c>
      <c r="I607" s="102">
        <v>0.66775595574872804</v>
      </c>
      <c r="J607" s="103">
        <v>1.4464878101402964E-3</v>
      </c>
      <c r="K607" s="103"/>
      <c r="L607" s="103">
        <v>4.3400000000000001E-2</v>
      </c>
      <c r="O607" s="100"/>
    </row>
    <row r="608" spans="2:15" x14ac:dyDescent="0.2">
      <c r="B608" s="1">
        <v>593</v>
      </c>
      <c r="C608" s="101">
        <f t="shared" ca="1" si="36"/>
        <v>0.16226823184764785</v>
      </c>
      <c r="D608" s="101">
        <f t="shared" ca="1" si="37"/>
        <v>0.67522400130048532</v>
      </c>
      <c r="E608" s="101">
        <f t="shared" ca="1" si="38"/>
        <v>0</v>
      </c>
      <c r="F608" s="21">
        <f t="shared" ca="1" si="39"/>
        <v>0</v>
      </c>
      <c r="H608" s="21">
        <v>593</v>
      </c>
      <c r="I608" s="102">
        <v>0.66766542559820696</v>
      </c>
      <c r="J608" s="103">
        <v>1.3322689673645044E-3</v>
      </c>
      <c r="K608" s="103"/>
      <c r="L608" s="103">
        <v>0.04</v>
      </c>
      <c r="O608" s="100"/>
    </row>
    <row r="609" spans="2:15" x14ac:dyDescent="0.2">
      <c r="B609" s="1">
        <v>594</v>
      </c>
      <c r="C609" s="101">
        <f t="shared" ca="1" si="36"/>
        <v>1.993947033906656E-2</v>
      </c>
      <c r="D609" s="101">
        <f t="shared" ca="1" si="37"/>
        <v>0.66581043098984116</v>
      </c>
      <c r="E609" s="101">
        <f t="shared" ca="1" si="38"/>
        <v>0</v>
      </c>
      <c r="F609" s="21">
        <f t="shared" ca="1" si="39"/>
        <v>0</v>
      </c>
      <c r="H609" s="21">
        <v>594</v>
      </c>
      <c r="I609" s="102">
        <v>0.66770321070187955</v>
      </c>
      <c r="J609" s="103">
        <v>1.2370255088642171E-3</v>
      </c>
      <c r="K609" s="103"/>
      <c r="L609" s="103">
        <v>4.1599999999999998E-2</v>
      </c>
      <c r="O609" s="100"/>
    </row>
    <row r="610" spans="2:15" x14ac:dyDescent="0.2">
      <c r="B610" s="1">
        <v>595</v>
      </c>
      <c r="C610" s="101">
        <f t="shared" ca="1" si="36"/>
        <v>-0.11884503905567409</v>
      </c>
      <c r="D610" s="101">
        <f t="shared" ca="1" si="37"/>
        <v>0.6567576677991589</v>
      </c>
      <c r="E610" s="101">
        <f t="shared" ca="1" si="38"/>
        <v>0</v>
      </c>
      <c r="F610" s="21">
        <f t="shared" ca="1" si="39"/>
        <v>0</v>
      </c>
      <c r="H610" s="21">
        <v>595</v>
      </c>
      <c r="I610" s="102">
        <v>0.66762487323685393</v>
      </c>
      <c r="J610" s="103">
        <v>1.2699949120017024E-3</v>
      </c>
      <c r="K610" s="103"/>
      <c r="L610" s="103">
        <v>3.8199999999999998E-2</v>
      </c>
      <c r="O610" s="100"/>
    </row>
    <row r="611" spans="2:15" x14ac:dyDescent="0.2">
      <c r="B611" s="1">
        <v>596</v>
      </c>
      <c r="C611" s="101">
        <f t="shared" ca="1" si="36"/>
        <v>0.29518824431782703</v>
      </c>
      <c r="D611" s="101">
        <f t="shared" ca="1" si="37"/>
        <v>0.68413543051373205</v>
      </c>
      <c r="E611" s="101">
        <f t="shared" ca="1" si="38"/>
        <v>0</v>
      </c>
      <c r="F611" s="21">
        <f t="shared" ca="1" si="39"/>
        <v>0</v>
      </c>
      <c r="H611" s="21">
        <v>596</v>
      </c>
      <c r="I611" s="102">
        <v>0.66779641740205975</v>
      </c>
      <c r="J611" s="103">
        <v>1.5348995058772053E-3</v>
      </c>
      <c r="K611" s="103"/>
      <c r="L611" s="103">
        <v>4.36E-2</v>
      </c>
      <c r="O611" s="100"/>
    </row>
    <row r="612" spans="2:15" x14ac:dyDescent="0.2">
      <c r="B612" s="1">
        <v>597</v>
      </c>
      <c r="C612" s="101">
        <f t="shared" ca="1" si="36"/>
        <v>8.918277465276675E-2</v>
      </c>
      <c r="D612" s="101">
        <f t="shared" ca="1" si="37"/>
        <v>0.67037364980223479</v>
      </c>
      <c r="E612" s="101">
        <f t="shared" ca="1" si="38"/>
        <v>0</v>
      </c>
      <c r="F612" s="21">
        <f t="shared" ca="1" si="39"/>
        <v>0</v>
      </c>
      <c r="H612" s="21">
        <v>597</v>
      </c>
      <c r="I612" s="102">
        <v>0.66775406118131964</v>
      </c>
      <c r="J612" s="103">
        <v>1.3365887743212097E-3</v>
      </c>
      <c r="K612" s="103"/>
      <c r="L612" s="103">
        <v>4.1399999999999999E-2</v>
      </c>
      <c r="O612" s="100"/>
    </row>
    <row r="613" spans="2:15" x14ac:dyDescent="0.2">
      <c r="B613" s="1">
        <v>598</v>
      </c>
      <c r="C613" s="101">
        <f t="shared" ca="1" si="36"/>
        <v>0.51317220179956713</v>
      </c>
      <c r="D613" s="101">
        <f t="shared" ca="1" si="37"/>
        <v>0.69900515876388991</v>
      </c>
      <c r="E613" s="101">
        <f t="shared" ca="1" si="38"/>
        <v>0</v>
      </c>
      <c r="F613" s="21">
        <f t="shared" ca="1" si="39"/>
        <v>0</v>
      </c>
      <c r="H613" s="21">
        <v>598</v>
      </c>
      <c r="I613" s="102">
        <v>0.66770841495747379</v>
      </c>
      <c r="J613" s="103">
        <v>1.2828339256781157E-3</v>
      </c>
      <c r="K613" s="103"/>
      <c r="L613" s="103">
        <v>4.2999999999999997E-2</v>
      </c>
      <c r="O613" s="100"/>
    </row>
    <row r="614" spans="2:15" x14ac:dyDescent="0.2">
      <c r="B614" s="1">
        <v>599</v>
      </c>
      <c r="C614" s="101">
        <f t="shared" ca="1" si="36"/>
        <v>1.9818580105262138</v>
      </c>
      <c r="D614" s="101">
        <f t="shared" ca="1" si="37"/>
        <v>0.80797509717588056</v>
      </c>
      <c r="E614" s="101">
        <f t="shared" ca="1" si="38"/>
        <v>1.9775097175880552E-2</v>
      </c>
      <c r="F614" s="21">
        <f t="shared" ca="1" si="39"/>
        <v>1</v>
      </c>
      <c r="H614" s="21">
        <v>599</v>
      </c>
      <c r="I614" s="102">
        <v>0.66782390915593282</v>
      </c>
      <c r="J614" s="103">
        <v>1.3125966029077648E-3</v>
      </c>
      <c r="K614" s="103"/>
      <c r="L614" s="103">
        <v>4.58E-2</v>
      </c>
      <c r="O614" s="100"/>
    </row>
    <row r="615" spans="2:15" x14ac:dyDescent="0.2">
      <c r="B615" s="1">
        <v>600</v>
      </c>
      <c r="C615" s="101">
        <f t="shared" ca="1" si="36"/>
        <v>-0.45570229975215704</v>
      </c>
      <c r="D615" s="101">
        <f t="shared" ca="1" si="37"/>
        <v>0.63529347474383047</v>
      </c>
      <c r="E615" s="101">
        <f t="shared" ca="1" si="38"/>
        <v>0</v>
      </c>
      <c r="F615" s="21">
        <f t="shared" ca="1" si="39"/>
        <v>0</v>
      </c>
      <c r="H615" s="21">
        <v>600</v>
      </c>
      <c r="I615" s="102">
        <v>0.6676888437281947</v>
      </c>
      <c r="J615" s="103">
        <v>1.1889740730143623E-3</v>
      </c>
      <c r="K615" s="103"/>
      <c r="L615" s="103">
        <v>3.6999999999999998E-2</v>
      </c>
      <c r="O615" s="100"/>
    </row>
    <row r="616" spans="2:15" x14ac:dyDescent="0.2">
      <c r="B616" s="1">
        <v>601</v>
      </c>
      <c r="C616" s="101">
        <f t="shared" ca="1" si="36"/>
        <v>-2.209315021531481E-2</v>
      </c>
      <c r="D616" s="101">
        <f t="shared" ca="1" si="37"/>
        <v>0.66305559373177003</v>
      </c>
      <c r="E616" s="101">
        <f t="shared" ca="1" si="38"/>
        <v>0</v>
      </c>
      <c r="F616" s="21">
        <f t="shared" ca="1" si="39"/>
        <v>0</v>
      </c>
      <c r="H616" s="21">
        <v>601</v>
      </c>
      <c r="I616" s="102">
        <v>0.66762573536755476</v>
      </c>
      <c r="J616" s="103">
        <v>1.2794553829931668E-3</v>
      </c>
      <c r="K616" s="103"/>
      <c r="L616" s="103">
        <v>3.8399999999999997E-2</v>
      </c>
      <c r="O616" s="100"/>
    </row>
    <row r="617" spans="2:15" x14ac:dyDescent="0.2">
      <c r="B617" s="1">
        <v>602</v>
      </c>
      <c r="C617" s="101">
        <f t="shared" ca="1" si="36"/>
        <v>0.83819032695486673</v>
      </c>
      <c r="D617" s="101">
        <f t="shared" ca="1" si="37"/>
        <v>0.72177852602389803</v>
      </c>
      <c r="E617" s="101">
        <f t="shared" ca="1" si="38"/>
        <v>0</v>
      </c>
      <c r="F617" s="21">
        <f t="shared" ca="1" si="39"/>
        <v>0</v>
      </c>
      <c r="H617" s="21">
        <v>602</v>
      </c>
      <c r="I617" s="102">
        <v>0.66782809784299468</v>
      </c>
      <c r="J617" s="103">
        <v>1.3280903073785446E-3</v>
      </c>
      <c r="K617" s="103"/>
      <c r="L617" s="103">
        <v>4.2999999999999997E-2</v>
      </c>
      <c r="O617" s="100"/>
    </row>
    <row r="618" spans="2:15" x14ac:dyDescent="0.2">
      <c r="B618" s="1">
        <v>603</v>
      </c>
      <c r="C618" s="101">
        <f t="shared" ca="1" si="36"/>
        <v>-0.30071766069535472</v>
      </c>
      <c r="D618" s="101">
        <f t="shared" ca="1" si="37"/>
        <v>0.64508039171587028</v>
      </c>
      <c r="E618" s="101">
        <f t="shared" ca="1" si="38"/>
        <v>0</v>
      </c>
      <c r="F618" s="21">
        <f t="shared" ca="1" si="39"/>
        <v>0</v>
      </c>
      <c r="H618" s="21">
        <v>603</v>
      </c>
      <c r="I618" s="102">
        <v>0.66759379413074915</v>
      </c>
      <c r="J618" s="103">
        <v>1.1196286011576604E-3</v>
      </c>
      <c r="K618" s="103"/>
      <c r="L618" s="103">
        <v>3.9399999999999998E-2</v>
      </c>
      <c r="O618" s="100"/>
    </row>
    <row r="619" spans="2:15" x14ac:dyDescent="0.2">
      <c r="B619" s="1">
        <v>604</v>
      </c>
      <c r="C619" s="101">
        <f t="shared" ca="1" si="36"/>
        <v>1.4310968014353267</v>
      </c>
      <c r="D619" s="101">
        <f t="shared" ca="1" si="37"/>
        <v>0.7652506459083146</v>
      </c>
      <c r="E619" s="101">
        <f t="shared" ca="1" si="38"/>
        <v>0</v>
      </c>
      <c r="F619" s="21">
        <f t="shared" ca="1" si="39"/>
        <v>0</v>
      </c>
      <c r="H619" s="21">
        <v>604</v>
      </c>
      <c r="I619" s="102">
        <v>0.66780982689353086</v>
      </c>
      <c r="J619" s="103">
        <v>1.4995868096114122E-3</v>
      </c>
      <c r="K619" s="103"/>
      <c r="L619" s="103">
        <v>4.6800000000000001E-2</v>
      </c>
      <c r="O619" s="100"/>
    </row>
    <row r="620" spans="2:15" x14ac:dyDescent="0.2">
      <c r="B620" s="1">
        <v>605</v>
      </c>
      <c r="C620" s="101">
        <f t="shared" ca="1" si="36"/>
        <v>2.3932853634361555E-3</v>
      </c>
      <c r="D620" s="101">
        <f t="shared" ca="1" si="37"/>
        <v>0.66465905698679872</v>
      </c>
      <c r="E620" s="101">
        <f t="shared" ca="1" si="38"/>
        <v>0</v>
      </c>
      <c r="F620" s="21">
        <f t="shared" ca="1" si="39"/>
        <v>0</v>
      </c>
      <c r="H620" s="21">
        <v>605</v>
      </c>
      <c r="I620" s="102">
        <v>0.66769602333486322</v>
      </c>
      <c r="J620" s="103">
        <v>1.2522423439163077E-3</v>
      </c>
      <c r="K620" s="103"/>
      <c r="L620" s="103">
        <v>0.04</v>
      </c>
      <c r="O620" s="100"/>
    </row>
    <row r="621" spans="2:15" x14ac:dyDescent="0.2">
      <c r="B621" s="1">
        <v>606</v>
      </c>
      <c r="C621" s="101">
        <f t="shared" ca="1" si="36"/>
        <v>-0.15977684992928562</v>
      </c>
      <c r="D621" s="101">
        <f t="shared" ca="1" si="37"/>
        <v>0.65411131001634237</v>
      </c>
      <c r="E621" s="101">
        <f t="shared" ca="1" si="38"/>
        <v>0</v>
      </c>
      <c r="F621" s="21">
        <f t="shared" ca="1" si="39"/>
        <v>0</v>
      </c>
      <c r="H621" s="21">
        <v>606</v>
      </c>
      <c r="I621" s="102">
        <v>0.66758544966342304</v>
      </c>
      <c r="J621" s="103">
        <v>1.114014552583783E-3</v>
      </c>
      <c r="K621" s="103"/>
      <c r="L621" s="103">
        <v>3.6600000000000001E-2</v>
      </c>
      <c r="O621" s="100"/>
    </row>
    <row r="622" spans="2:15" x14ac:dyDescent="0.2">
      <c r="B622" s="1">
        <v>607</v>
      </c>
      <c r="C622" s="101">
        <f t="shared" ca="1" si="36"/>
        <v>2.6476665200762008</v>
      </c>
      <c r="D622" s="101">
        <f t="shared" ca="1" si="37"/>
        <v>0.86282118829230403</v>
      </c>
      <c r="E622" s="101">
        <f t="shared" ca="1" si="38"/>
        <v>7.4621188292304019E-2</v>
      </c>
      <c r="F622" s="21">
        <f t="shared" ca="1" si="39"/>
        <v>1</v>
      </c>
      <c r="H622" s="21">
        <v>607</v>
      </c>
      <c r="I622" s="102">
        <v>0.66770452309684092</v>
      </c>
      <c r="J622" s="103">
        <v>1.3237168219743275E-3</v>
      </c>
      <c r="K622" s="103"/>
      <c r="L622" s="103">
        <v>3.8600000000000002E-2</v>
      </c>
      <c r="O622" s="100"/>
    </row>
    <row r="623" spans="2:15" x14ac:dyDescent="0.2">
      <c r="B623" s="1">
        <v>608</v>
      </c>
      <c r="C623" s="101">
        <f t="shared" ca="1" si="36"/>
        <v>-0.27166033222406599</v>
      </c>
      <c r="D623" s="101">
        <f t="shared" ca="1" si="37"/>
        <v>0.64693200791721373</v>
      </c>
      <c r="E623" s="101">
        <f t="shared" ca="1" si="38"/>
        <v>0</v>
      </c>
      <c r="F623" s="21">
        <f t="shared" ca="1" si="39"/>
        <v>0</v>
      </c>
      <c r="H623" s="21">
        <v>608</v>
      </c>
      <c r="I623" s="102">
        <v>0.66763234039983754</v>
      </c>
      <c r="J623" s="103">
        <v>1.2703621683194334E-3</v>
      </c>
      <c r="K623" s="103"/>
      <c r="L623" s="103">
        <v>3.9600000000000003E-2</v>
      </c>
      <c r="O623" s="100"/>
    </row>
    <row r="624" spans="2:15" x14ac:dyDescent="0.2">
      <c r="B624" s="1">
        <v>609</v>
      </c>
      <c r="C624" s="101">
        <f t="shared" ca="1" si="36"/>
        <v>-0.6334534449281205</v>
      </c>
      <c r="D624" s="101">
        <f t="shared" ca="1" si="37"/>
        <v>0.62425157267611431</v>
      </c>
      <c r="E624" s="101">
        <f t="shared" ca="1" si="38"/>
        <v>0</v>
      </c>
      <c r="F624" s="21">
        <f t="shared" ca="1" si="39"/>
        <v>0</v>
      </c>
      <c r="H624" s="21">
        <v>609</v>
      </c>
      <c r="I624" s="102">
        <v>0.66771405825892538</v>
      </c>
      <c r="J624" s="103">
        <v>1.407532116788849E-3</v>
      </c>
      <c r="K624" s="103"/>
      <c r="L624" s="103">
        <v>4.3799999999999999E-2</v>
      </c>
      <c r="O624" s="100"/>
    </row>
    <row r="625" spans="2:15" x14ac:dyDescent="0.2">
      <c r="B625" s="1">
        <v>610</v>
      </c>
      <c r="C625" s="101">
        <f t="shared" ca="1" si="36"/>
        <v>0.23094466974515943</v>
      </c>
      <c r="D625" s="101">
        <f t="shared" ca="1" si="37"/>
        <v>0.67981372341124313</v>
      </c>
      <c r="E625" s="101">
        <f t="shared" ca="1" si="38"/>
        <v>0</v>
      </c>
      <c r="F625" s="21">
        <f t="shared" ca="1" si="39"/>
        <v>0</v>
      </c>
      <c r="H625" s="21">
        <v>610</v>
      </c>
      <c r="I625" s="102">
        <v>0.66777765016138724</v>
      </c>
      <c r="J625" s="103">
        <v>1.4492190907489026E-3</v>
      </c>
      <c r="K625" s="103"/>
      <c r="L625" s="103">
        <v>4.2999999999999997E-2</v>
      </c>
      <c r="O625" s="100"/>
    </row>
    <row r="626" spans="2:15" x14ac:dyDescent="0.2">
      <c r="B626" s="1">
        <v>611</v>
      </c>
      <c r="C626" s="101">
        <f t="shared" ca="1" si="36"/>
        <v>-0.40670091895587002</v>
      </c>
      <c r="D626" s="101">
        <f t="shared" ca="1" si="37"/>
        <v>0.6383716378642984</v>
      </c>
      <c r="E626" s="101">
        <f t="shared" ca="1" si="38"/>
        <v>0</v>
      </c>
      <c r="F626" s="21">
        <f t="shared" ca="1" si="39"/>
        <v>0</v>
      </c>
      <c r="H626" s="21">
        <v>611</v>
      </c>
      <c r="I626" s="102">
        <v>0.6676882950558406</v>
      </c>
      <c r="J626" s="103">
        <v>1.2476947054316917E-3</v>
      </c>
      <c r="K626" s="103"/>
      <c r="L626" s="103">
        <v>4.0399999999999998E-2</v>
      </c>
      <c r="O626" s="100"/>
    </row>
    <row r="627" spans="2:15" x14ac:dyDescent="0.2">
      <c r="B627" s="1">
        <v>612</v>
      </c>
      <c r="C627" s="101">
        <f t="shared" ca="1" si="36"/>
        <v>0.76557672210188255</v>
      </c>
      <c r="D627" s="101">
        <f t="shared" ca="1" si="37"/>
        <v>0.71662711239567944</v>
      </c>
      <c r="E627" s="101">
        <f t="shared" ca="1" si="38"/>
        <v>0</v>
      </c>
      <c r="F627" s="21">
        <f t="shared" ca="1" si="39"/>
        <v>0</v>
      </c>
      <c r="H627" s="21">
        <v>612</v>
      </c>
      <c r="I627" s="102">
        <v>0.66754843409601794</v>
      </c>
      <c r="J627" s="103">
        <v>1.0234985544816187E-3</v>
      </c>
      <c r="K627" s="103"/>
      <c r="L627" s="103">
        <v>3.4000000000000002E-2</v>
      </c>
      <c r="O627" s="100"/>
    </row>
    <row r="628" spans="2:15" x14ac:dyDescent="0.2">
      <c r="B628" s="1">
        <v>613</v>
      </c>
      <c r="C628" s="101">
        <f t="shared" ca="1" si="36"/>
        <v>-3.740570589205016E-2</v>
      </c>
      <c r="D628" s="101">
        <f t="shared" ca="1" si="37"/>
        <v>0.66205483687179456</v>
      </c>
      <c r="E628" s="101">
        <f t="shared" ca="1" si="38"/>
        <v>0</v>
      </c>
      <c r="F628" s="21">
        <f t="shared" ca="1" si="39"/>
        <v>0</v>
      </c>
      <c r="H628" s="21">
        <v>613</v>
      </c>
      <c r="I628" s="102">
        <v>0.66777725087526463</v>
      </c>
      <c r="J628" s="103">
        <v>1.3640531656896636E-3</v>
      </c>
      <c r="K628" s="103"/>
      <c r="L628" s="103">
        <v>4.24E-2</v>
      </c>
      <c r="O628" s="100"/>
    </row>
    <row r="629" spans="2:15" x14ac:dyDescent="0.2">
      <c r="B629" s="1">
        <v>614</v>
      </c>
      <c r="C629" s="101">
        <f t="shared" ca="1" si="36"/>
        <v>0.30100556505478249</v>
      </c>
      <c r="D629" s="101">
        <f t="shared" ca="1" si="37"/>
        <v>0.68452811939404334</v>
      </c>
      <c r="E629" s="101">
        <f t="shared" ca="1" si="38"/>
        <v>0</v>
      </c>
      <c r="F629" s="21">
        <f t="shared" ca="1" si="39"/>
        <v>0</v>
      </c>
      <c r="H629" s="21">
        <v>614</v>
      </c>
      <c r="I629" s="102">
        <v>0.66781715380988449</v>
      </c>
      <c r="J629" s="103">
        <v>1.3654757416650168E-3</v>
      </c>
      <c r="K629" s="103"/>
      <c r="L629" s="103">
        <v>4.5999999999999999E-2</v>
      </c>
      <c r="O629" s="100"/>
    </row>
    <row r="630" spans="2:15" x14ac:dyDescent="0.2">
      <c r="B630" s="1">
        <v>615</v>
      </c>
      <c r="C630" s="101">
        <f t="shared" ca="1" si="36"/>
        <v>1.0677172143890119</v>
      </c>
      <c r="D630" s="101">
        <f t="shared" ca="1" si="37"/>
        <v>0.73830659421952261</v>
      </c>
      <c r="E630" s="101">
        <f t="shared" ca="1" si="38"/>
        <v>0</v>
      </c>
      <c r="F630" s="21">
        <f t="shared" ca="1" si="39"/>
        <v>0</v>
      </c>
      <c r="H630" s="21">
        <v>615</v>
      </c>
      <c r="I630" s="102">
        <v>0.66769927511043481</v>
      </c>
      <c r="J630" s="103">
        <v>1.3804638440343458E-3</v>
      </c>
      <c r="K630" s="103"/>
      <c r="L630" s="103">
        <v>4.3799999999999999E-2</v>
      </c>
      <c r="O630" s="100"/>
    </row>
    <row r="631" spans="2:15" x14ac:dyDescent="0.2">
      <c r="B631" s="1">
        <v>616</v>
      </c>
      <c r="C631" s="101">
        <f t="shared" ca="1" si="36"/>
        <v>-2.8974315682269918</v>
      </c>
      <c r="D631" s="101">
        <f t="shared" ca="1" si="37"/>
        <v>0.49931224666461793</v>
      </c>
      <c r="E631" s="101">
        <f t="shared" ca="1" si="38"/>
        <v>0</v>
      </c>
      <c r="F631" s="21">
        <f t="shared" ca="1" si="39"/>
        <v>0</v>
      </c>
      <c r="H631" s="21">
        <v>616</v>
      </c>
      <c r="I631" s="102">
        <v>0.66772372814961123</v>
      </c>
      <c r="J631" s="103">
        <v>1.3288639887754047E-3</v>
      </c>
      <c r="K631" s="103"/>
      <c r="L631" s="103">
        <v>4.1399999999999999E-2</v>
      </c>
      <c r="O631" s="100"/>
    </row>
    <row r="632" spans="2:15" x14ac:dyDescent="0.2">
      <c r="B632" s="1">
        <v>617</v>
      </c>
      <c r="C632" s="101">
        <f t="shared" ca="1" si="36"/>
        <v>0.59760295358639537</v>
      </c>
      <c r="D632" s="101">
        <f t="shared" ca="1" si="37"/>
        <v>0.70485103576880337</v>
      </c>
      <c r="E632" s="101">
        <f t="shared" ca="1" si="38"/>
        <v>0</v>
      </c>
      <c r="F632" s="21">
        <f t="shared" ca="1" si="39"/>
        <v>0</v>
      </c>
      <c r="H632" s="21">
        <v>617</v>
      </c>
      <c r="I632" s="102">
        <v>0.66759168800643787</v>
      </c>
      <c r="J632" s="103">
        <v>1.2041156133830121E-3</v>
      </c>
      <c r="K632" s="103"/>
      <c r="L632" s="103">
        <v>3.8800000000000001E-2</v>
      </c>
      <c r="O632" s="100"/>
    </row>
    <row r="633" spans="2:15" x14ac:dyDescent="0.2">
      <c r="B633" s="1">
        <v>618</v>
      </c>
      <c r="C633" s="101">
        <f t="shared" ca="1" si="36"/>
        <v>0.13490587832859918</v>
      </c>
      <c r="D633" s="101">
        <f t="shared" ca="1" si="37"/>
        <v>0.67340398926409861</v>
      </c>
      <c r="E633" s="101">
        <f t="shared" ca="1" si="38"/>
        <v>0</v>
      </c>
      <c r="F633" s="21">
        <f t="shared" ca="1" si="39"/>
        <v>0</v>
      </c>
      <c r="H633" s="21">
        <v>618</v>
      </c>
      <c r="I633" s="102">
        <v>0.66771303595620413</v>
      </c>
      <c r="J633" s="103">
        <v>1.2737224205175129E-3</v>
      </c>
      <c r="K633" s="103"/>
      <c r="L633" s="103">
        <v>4.24E-2</v>
      </c>
      <c r="O633" s="100"/>
    </row>
    <row r="634" spans="2:15" x14ac:dyDescent="0.2">
      <c r="B634" s="1">
        <v>619</v>
      </c>
      <c r="C634" s="101">
        <f t="shared" ca="1" si="36"/>
        <v>6.2672552703826281E-2</v>
      </c>
      <c r="D634" s="101">
        <f t="shared" ca="1" si="37"/>
        <v>0.66862291049463896</v>
      </c>
      <c r="E634" s="101">
        <f t="shared" ca="1" si="38"/>
        <v>0</v>
      </c>
      <c r="F634" s="21">
        <f t="shared" ca="1" si="39"/>
        <v>0</v>
      </c>
      <c r="H634" s="21">
        <v>619</v>
      </c>
      <c r="I634" s="102">
        <v>0.6678036039637133</v>
      </c>
      <c r="J634" s="103">
        <v>1.3996993331325779E-3</v>
      </c>
      <c r="K634" s="103"/>
      <c r="L634" s="103">
        <v>4.4600000000000001E-2</v>
      </c>
      <c r="O634" s="100"/>
    </row>
    <row r="635" spans="2:15" x14ac:dyDescent="0.2">
      <c r="B635" s="1">
        <v>620</v>
      </c>
      <c r="C635" s="101">
        <f t="shared" ca="1" si="36"/>
        <v>0.19811816354590575</v>
      </c>
      <c r="D635" s="101">
        <f t="shared" ca="1" si="37"/>
        <v>0.67761601259087212</v>
      </c>
      <c r="E635" s="101">
        <f t="shared" ca="1" si="38"/>
        <v>0</v>
      </c>
      <c r="F635" s="21">
        <f t="shared" ca="1" si="39"/>
        <v>0</v>
      </c>
      <c r="H635" s="21">
        <v>620</v>
      </c>
      <c r="I635" s="102">
        <v>0.66769063804120121</v>
      </c>
      <c r="J635" s="103">
        <v>1.3428028743877709E-3</v>
      </c>
      <c r="K635" s="103"/>
      <c r="L635" s="103">
        <v>4.1000000000000002E-2</v>
      </c>
      <c r="O635" s="100"/>
    </row>
    <row r="636" spans="2:15" x14ac:dyDescent="0.2">
      <c r="B636" s="1">
        <v>621</v>
      </c>
      <c r="C636" s="101">
        <f t="shared" ca="1" si="36"/>
        <v>-0.43459840496307017</v>
      </c>
      <c r="D636" s="101">
        <f t="shared" ca="1" si="37"/>
        <v>0.63661735292828803</v>
      </c>
      <c r="E636" s="101">
        <f t="shared" ca="1" si="38"/>
        <v>0</v>
      </c>
      <c r="F636" s="21">
        <f t="shared" ca="1" si="39"/>
        <v>0</v>
      </c>
      <c r="H636" s="21">
        <v>621</v>
      </c>
      <c r="I636" s="102">
        <v>0.66779108861338232</v>
      </c>
      <c r="J636" s="103">
        <v>1.2954167792918324E-3</v>
      </c>
      <c r="K636" s="103"/>
      <c r="L636" s="103">
        <v>4.4999999999999998E-2</v>
      </c>
      <c r="O636" s="100"/>
    </row>
    <row r="637" spans="2:15" x14ac:dyDescent="0.2">
      <c r="B637" s="1">
        <v>622</v>
      </c>
      <c r="C637" s="101">
        <f t="shared" ca="1" si="36"/>
        <v>-1.6272427849071951</v>
      </c>
      <c r="D637" s="101">
        <f t="shared" ca="1" si="37"/>
        <v>0.56596076184268307</v>
      </c>
      <c r="E637" s="101">
        <f t="shared" ca="1" si="38"/>
        <v>0</v>
      </c>
      <c r="F637" s="21">
        <f t="shared" ca="1" si="39"/>
        <v>0</v>
      </c>
      <c r="H637" s="21">
        <v>622</v>
      </c>
      <c r="I637" s="102">
        <v>0.66780619786619566</v>
      </c>
      <c r="J637" s="103">
        <v>1.481910033550214E-3</v>
      </c>
      <c r="K637" s="103"/>
      <c r="L637" s="103">
        <v>3.8199999999999998E-2</v>
      </c>
      <c r="O637" s="100"/>
    </row>
    <row r="638" spans="2:15" x14ac:dyDescent="0.2">
      <c r="B638" s="1">
        <v>623</v>
      </c>
      <c r="C638" s="101">
        <f t="shared" ca="1" si="36"/>
        <v>-0.3550007041781893</v>
      </c>
      <c r="D638" s="101">
        <f t="shared" ca="1" si="37"/>
        <v>0.64163550675443004</v>
      </c>
      <c r="E638" s="101">
        <f t="shared" ca="1" si="38"/>
        <v>0</v>
      </c>
      <c r="F638" s="21">
        <f t="shared" ca="1" si="39"/>
        <v>0</v>
      </c>
      <c r="H638" s="21">
        <v>623</v>
      </c>
      <c r="I638" s="102">
        <v>0.66766452169639601</v>
      </c>
      <c r="J638" s="103">
        <v>1.3949862695998665E-3</v>
      </c>
      <c r="K638" s="103"/>
      <c r="L638" s="103">
        <v>4.3400000000000001E-2</v>
      </c>
      <c r="O638" s="100"/>
    </row>
    <row r="639" spans="2:15" x14ac:dyDescent="0.2">
      <c r="B639" s="1">
        <v>624</v>
      </c>
      <c r="C639" s="101">
        <f t="shared" ca="1" si="36"/>
        <v>7.4457404164043728E-2</v>
      </c>
      <c r="D639" s="101">
        <f t="shared" ca="1" si="37"/>
        <v>0.66940061876899482</v>
      </c>
      <c r="E639" s="101">
        <f t="shared" ca="1" si="38"/>
        <v>0</v>
      </c>
      <c r="F639" s="21">
        <f t="shared" ca="1" si="39"/>
        <v>0</v>
      </c>
      <c r="H639" s="21">
        <v>624</v>
      </c>
      <c r="I639" s="102">
        <v>0.66767237846150207</v>
      </c>
      <c r="J639" s="103">
        <v>1.2907646770046941E-3</v>
      </c>
      <c r="K639" s="103"/>
      <c r="L639" s="103">
        <v>4.2799999999999998E-2</v>
      </c>
      <c r="O639" s="100"/>
    </row>
    <row r="640" spans="2:15" x14ac:dyDescent="0.2">
      <c r="B640" s="1">
        <v>625</v>
      </c>
      <c r="C640" s="101">
        <f t="shared" ca="1" si="36"/>
        <v>-1.2729072548253821</v>
      </c>
      <c r="D640" s="101">
        <f t="shared" ca="1" si="37"/>
        <v>0.58609206039429995</v>
      </c>
      <c r="E640" s="101">
        <f t="shared" ca="1" si="38"/>
        <v>0</v>
      </c>
      <c r="F640" s="21">
        <f t="shared" ca="1" si="39"/>
        <v>0</v>
      </c>
      <c r="H640" s="21">
        <v>625</v>
      </c>
      <c r="I640" s="102">
        <v>0.66783729070535369</v>
      </c>
      <c r="J640" s="103">
        <v>1.5531853985051116E-3</v>
      </c>
      <c r="K640" s="103"/>
      <c r="L640" s="103">
        <v>4.48E-2</v>
      </c>
      <c r="O640" s="100"/>
    </row>
    <row r="641" spans="2:15" x14ac:dyDescent="0.2">
      <c r="B641" s="1">
        <v>626</v>
      </c>
      <c r="C641" s="101">
        <f t="shared" ca="1" si="36"/>
        <v>-0.3039525717393417</v>
      </c>
      <c r="D641" s="101">
        <f t="shared" ca="1" si="37"/>
        <v>0.64487458203685843</v>
      </c>
      <c r="E641" s="101">
        <f t="shared" ca="1" si="38"/>
        <v>0</v>
      </c>
      <c r="F641" s="21">
        <f t="shared" ca="1" si="39"/>
        <v>0</v>
      </c>
      <c r="H641" s="21">
        <v>626</v>
      </c>
      <c r="I641" s="102">
        <v>0.66784190890961104</v>
      </c>
      <c r="J641" s="103">
        <v>1.4917848822733923E-3</v>
      </c>
      <c r="K641" s="103"/>
      <c r="L641" s="103">
        <v>4.3200000000000002E-2</v>
      </c>
      <c r="O641" s="100"/>
    </row>
    <row r="642" spans="2:15" x14ac:dyDescent="0.2">
      <c r="B642" s="1">
        <v>627</v>
      </c>
      <c r="C642" s="101">
        <f t="shared" ca="1" si="36"/>
        <v>-0.13395619388859867</v>
      </c>
      <c r="D642" s="101">
        <f t="shared" ca="1" si="37"/>
        <v>0.65577944434344893</v>
      </c>
      <c r="E642" s="101">
        <f t="shared" ca="1" si="38"/>
        <v>0</v>
      </c>
      <c r="F642" s="21">
        <f t="shared" ca="1" si="39"/>
        <v>0</v>
      </c>
      <c r="H642" s="21">
        <v>627</v>
      </c>
      <c r="I642" s="102">
        <v>0.66762564651398937</v>
      </c>
      <c r="J642" s="103">
        <v>1.3326409616236782E-3</v>
      </c>
      <c r="K642" s="103"/>
      <c r="L642" s="103">
        <v>4.24E-2</v>
      </c>
      <c r="O642" s="100"/>
    </row>
    <row r="643" spans="2:15" x14ac:dyDescent="0.2">
      <c r="B643" s="1">
        <v>628</v>
      </c>
      <c r="C643" s="101">
        <f t="shared" ca="1" si="36"/>
        <v>0.6902266923834306</v>
      </c>
      <c r="D643" s="101">
        <f t="shared" ca="1" si="37"/>
        <v>0.71132043619651186</v>
      </c>
      <c r="E643" s="101">
        <f t="shared" ca="1" si="38"/>
        <v>0</v>
      </c>
      <c r="F643" s="21">
        <f t="shared" ca="1" si="39"/>
        <v>0</v>
      </c>
      <c r="H643" s="21">
        <v>628</v>
      </c>
      <c r="I643" s="102">
        <v>0.66758050048332807</v>
      </c>
      <c r="J643" s="103">
        <v>1.1756943943613493E-3</v>
      </c>
      <c r="K643" s="103"/>
      <c r="L643" s="103">
        <v>3.5799999999999998E-2</v>
      </c>
      <c r="O643" s="100"/>
    </row>
    <row r="644" spans="2:15" x14ac:dyDescent="0.2">
      <c r="B644" s="1">
        <v>629</v>
      </c>
      <c r="C644" s="101">
        <f t="shared" ca="1" si="36"/>
        <v>0.65797356768224591</v>
      </c>
      <c r="D644" s="101">
        <f t="shared" ca="1" si="37"/>
        <v>0.70906097278148972</v>
      </c>
      <c r="E644" s="101">
        <f t="shared" ca="1" si="38"/>
        <v>0</v>
      </c>
      <c r="F644" s="21">
        <f t="shared" ca="1" si="39"/>
        <v>0</v>
      </c>
      <c r="H644" s="21">
        <v>629</v>
      </c>
      <c r="I644" s="102">
        <v>0.6676197345333903</v>
      </c>
      <c r="J644" s="103">
        <v>1.2298459260202824E-3</v>
      </c>
      <c r="K644" s="103"/>
      <c r="L644" s="103">
        <v>3.8399999999999997E-2</v>
      </c>
      <c r="O644" s="100"/>
    </row>
    <row r="645" spans="2:15" x14ac:dyDescent="0.2">
      <c r="B645" s="1">
        <v>630</v>
      </c>
      <c r="C645" s="101">
        <f t="shared" ca="1" si="36"/>
        <v>0.76400087094491631</v>
      </c>
      <c r="D645" s="101">
        <f t="shared" ca="1" si="37"/>
        <v>0.71651572563432864</v>
      </c>
      <c r="E645" s="101">
        <f t="shared" ca="1" si="38"/>
        <v>0</v>
      </c>
      <c r="F645" s="21">
        <f t="shared" ca="1" si="39"/>
        <v>0</v>
      </c>
      <c r="H645" s="21">
        <v>630</v>
      </c>
      <c r="I645" s="102">
        <v>0.6677198195981503</v>
      </c>
      <c r="J645" s="103">
        <v>1.46174957145418E-3</v>
      </c>
      <c r="K645" s="103"/>
      <c r="L645" s="103">
        <v>4.0399999999999998E-2</v>
      </c>
      <c r="O645" s="100"/>
    </row>
    <row r="646" spans="2:15" x14ac:dyDescent="0.2">
      <c r="B646" s="1">
        <v>631</v>
      </c>
      <c r="C646" s="101">
        <f t="shared" ca="1" si="36"/>
        <v>-0.58030839761457087</v>
      </c>
      <c r="D646" s="101">
        <f t="shared" ca="1" si="37"/>
        <v>0.62753267815220548</v>
      </c>
      <c r="E646" s="101">
        <f t="shared" ca="1" si="38"/>
        <v>0</v>
      </c>
      <c r="F646" s="21">
        <f t="shared" ca="1" si="39"/>
        <v>0</v>
      </c>
      <c r="H646" s="21">
        <v>631</v>
      </c>
      <c r="I646" s="102">
        <v>0.66777552122537553</v>
      </c>
      <c r="J646" s="103">
        <v>1.3499560159539396E-3</v>
      </c>
      <c r="K646" s="103"/>
      <c r="L646" s="103">
        <v>4.1799999999999997E-2</v>
      </c>
      <c r="O646" s="100"/>
    </row>
    <row r="647" spans="2:15" x14ac:dyDescent="0.2">
      <c r="B647" s="1">
        <v>632</v>
      </c>
      <c r="C647" s="101">
        <f t="shared" ca="1" si="36"/>
        <v>0.14676470912149125</v>
      </c>
      <c r="D647" s="101">
        <f t="shared" ca="1" si="37"/>
        <v>0.67419217849207547</v>
      </c>
      <c r="E647" s="101">
        <f t="shared" ca="1" si="38"/>
        <v>0</v>
      </c>
      <c r="F647" s="21">
        <f t="shared" ca="1" si="39"/>
        <v>0</v>
      </c>
      <c r="H647" s="21">
        <v>632</v>
      </c>
      <c r="I647" s="102">
        <v>0.66777727803470555</v>
      </c>
      <c r="J647" s="103">
        <v>1.4776836535466162E-3</v>
      </c>
      <c r="K647" s="103"/>
      <c r="L647" s="103">
        <v>4.02E-2</v>
      </c>
      <c r="O647" s="100"/>
    </row>
    <row r="648" spans="2:15" x14ac:dyDescent="0.2">
      <c r="B648" s="1">
        <v>633</v>
      </c>
      <c r="C648" s="101">
        <f t="shared" ca="1" si="36"/>
        <v>0.34791550474006661</v>
      </c>
      <c r="D648" s="101">
        <f t="shared" ca="1" si="37"/>
        <v>0.68770294776149432</v>
      </c>
      <c r="E648" s="101">
        <f t="shared" ca="1" si="38"/>
        <v>0</v>
      </c>
      <c r="F648" s="21">
        <f t="shared" ca="1" si="39"/>
        <v>0</v>
      </c>
      <c r="H648" s="21">
        <v>633</v>
      </c>
      <c r="I648" s="102">
        <v>0.66775288214156525</v>
      </c>
      <c r="J648" s="103">
        <v>1.2934946352793303E-3</v>
      </c>
      <c r="K648" s="103"/>
      <c r="L648" s="103">
        <v>4.1599999999999998E-2</v>
      </c>
      <c r="O648" s="100"/>
    </row>
    <row r="649" spans="2:15" x14ac:dyDescent="0.2">
      <c r="B649" s="1">
        <v>634</v>
      </c>
      <c r="C649" s="101">
        <f t="shared" ca="1" si="36"/>
        <v>-0.97775655325807753</v>
      </c>
      <c r="D649" s="101">
        <f t="shared" ca="1" si="37"/>
        <v>0.60340640009596458</v>
      </c>
      <c r="E649" s="101">
        <f t="shared" ca="1" si="38"/>
        <v>0</v>
      </c>
      <c r="F649" s="21">
        <f t="shared" ca="1" si="39"/>
        <v>0</v>
      </c>
      <c r="H649" s="21">
        <v>634</v>
      </c>
      <c r="I649" s="102">
        <v>0.66772783460336704</v>
      </c>
      <c r="J649" s="103">
        <v>1.3852756380992285E-3</v>
      </c>
      <c r="K649" s="103"/>
      <c r="L649" s="103">
        <v>3.9600000000000003E-2</v>
      </c>
      <c r="O649" s="100"/>
    </row>
    <row r="650" spans="2:15" x14ac:dyDescent="0.2">
      <c r="B650" s="1">
        <v>635</v>
      </c>
      <c r="C650" s="101">
        <f t="shared" ca="1" si="36"/>
        <v>9.8621156518587258E-2</v>
      </c>
      <c r="D650" s="101">
        <f t="shared" ca="1" si="37"/>
        <v>0.67099806801694428</v>
      </c>
      <c r="E650" s="101">
        <f t="shared" ca="1" si="38"/>
        <v>0</v>
      </c>
      <c r="F650" s="21">
        <f t="shared" ca="1" si="39"/>
        <v>0</v>
      </c>
      <c r="H650" s="21">
        <v>635</v>
      </c>
      <c r="I650" s="102">
        <v>0.66778073462033904</v>
      </c>
      <c r="J650" s="103">
        <v>1.4168745776132956E-3</v>
      </c>
      <c r="K650" s="103"/>
      <c r="L650" s="103">
        <v>4.3799999999999999E-2</v>
      </c>
      <c r="O650" s="100"/>
    </row>
    <row r="651" spans="2:15" x14ac:dyDescent="0.2">
      <c r="B651" s="1">
        <v>636</v>
      </c>
      <c r="C651" s="101">
        <f t="shared" ca="1" si="36"/>
        <v>-2.0209885098893845E-2</v>
      </c>
      <c r="D651" s="101">
        <f t="shared" ca="1" si="37"/>
        <v>0.66317877953100135</v>
      </c>
      <c r="E651" s="101">
        <f t="shared" ca="1" si="38"/>
        <v>0</v>
      </c>
      <c r="F651" s="21">
        <f t="shared" ca="1" si="39"/>
        <v>0</v>
      </c>
      <c r="H651" s="21">
        <v>636</v>
      </c>
      <c r="I651" s="102">
        <v>0.66785209840024773</v>
      </c>
      <c r="J651" s="103">
        <v>1.4668505785522526E-3</v>
      </c>
      <c r="K651" s="103"/>
      <c r="L651" s="103">
        <v>4.3999999999999997E-2</v>
      </c>
      <c r="O651" s="100"/>
    </row>
    <row r="652" spans="2:15" x14ac:dyDescent="0.2">
      <c r="B652" s="1">
        <v>637</v>
      </c>
      <c r="C652" s="101">
        <f t="shared" ca="1" si="36"/>
        <v>-0.48157511752722248</v>
      </c>
      <c r="D652" s="101">
        <f t="shared" ca="1" si="37"/>
        <v>0.6336741910032454</v>
      </c>
      <c r="E652" s="101">
        <f t="shared" ca="1" si="38"/>
        <v>0</v>
      </c>
      <c r="F652" s="21">
        <f t="shared" ca="1" si="39"/>
        <v>0</v>
      </c>
      <c r="H652" s="21">
        <v>637</v>
      </c>
      <c r="I652" s="102">
        <v>0.66780643023834008</v>
      </c>
      <c r="J652" s="103">
        <v>1.3513863330797547E-3</v>
      </c>
      <c r="K652" s="103"/>
      <c r="L652" s="103">
        <v>3.8199999999999998E-2</v>
      </c>
      <c r="O652" s="100"/>
    </row>
    <row r="653" spans="2:15" x14ac:dyDescent="0.2">
      <c r="B653" s="1">
        <v>638</v>
      </c>
      <c r="C653" s="101">
        <f t="shared" ca="1" si="36"/>
        <v>1.2058507983384008</v>
      </c>
      <c r="D653" s="101">
        <f t="shared" ca="1" si="37"/>
        <v>0.74843537254366055</v>
      </c>
      <c r="E653" s="101">
        <f t="shared" ca="1" si="38"/>
        <v>0</v>
      </c>
      <c r="F653" s="21">
        <f t="shared" ca="1" si="39"/>
        <v>0</v>
      </c>
      <c r="H653" s="21">
        <v>638</v>
      </c>
      <c r="I653" s="102">
        <v>0.66773967416726443</v>
      </c>
      <c r="J653" s="103">
        <v>1.3997423679595539E-3</v>
      </c>
      <c r="K653" s="103"/>
      <c r="L653" s="103">
        <v>3.9800000000000002E-2</v>
      </c>
      <c r="O653" s="100"/>
    </row>
    <row r="654" spans="2:15" x14ac:dyDescent="0.2">
      <c r="B654" s="1">
        <v>639</v>
      </c>
      <c r="C654" s="101">
        <f t="shared" ca="1" si="36"/>
        <v>0.29174385733359587</v>
      </c>
      <c r="D654" s="101">
        <f t="shared" ca="1" si="37"/>
        <v>0.68390302889587806</v>
      </c>
      <c r="E654" s="101">
        <f t="shared" ca="1" si="38"/>
        <v>0</v>
      </c>
      <c r="F654" s="21">
        <f t="shared" ca="1" si="39"/>
        <v>0</v>
      </c>
      <c r="H654" s="21">
        <v>639</v>
      </c>
      <c r="I654" s="102">
        <v>0.66761942315475631</v>
      </c>
      <c r="J654" s="103">
        <v>1.1402155743898213E-3</v>
      </c>
      <c r="K654" s="103"/>
      <c r="L654" s="103">
        <v>3.8399999999999997E-2</v>
      </c>
      <c r="O654" s="100"/>
    </row>
    <row r="655" spans="2:15" x14ac:dyDescent="0.2">
      <c r="B655" s="1">
        <v>640</v>
      </c>
      <c r="C655" s="101">
        <f t="shared" ca="1" si="36"/>
        <v>1.8411558370800802</v>
      </c>
      <c r="D655" s="101">
        <f t="shared" ca="1" si="37"/>
        <v>0.79683863180997005</v>
      </c>
      <c r="E655" s="101">
        <f t="shared" ca="1" si="38"/>
        <v>8.6386318099700432E-3</v>
      </c>
      <c r="F655" s="21">
        <f t="shared" ca="1" si="39"/>
        <v>1</v>
      </c>
      <c r="H655" s="21">
        <v>640</v>
      </c>
      <c r="I655" s="102">
        <v>0.66764574091765649</v>
      </c>
      <c r="J655" s="103">
        <v>1.3598750140922987E-3</v>
      </c>
      <c r="K655" s="103"/>
      <c r="L655" s="103">
        <v>3.9199999999999999E-2</v>
      </c>
      <c r="O655" s="100"/>
    </row>
    <row r="656" spans="2:15" x14ac:dyDescent="0.2">
      <c r="B656" s="1">
        <v>641</v>
      </c>
      <c r="C656" s="101">
        <f t="shared" ref="C656:C719" ca="1" si="40">_xlfn.NORM.S.INV(RAND())</f>
        <v>-1.0182220150823282</v>
      </c>
      <c r="D656" s="101">
        <f t="shared" ref="D656:D719" ca="1" si="41">S0*EXP((μ-0.5*σ*σ)*T+σ*SQRT(T)*$C656)</f>
        <v>0.60100266366991573</v>
      </c>
      <c r="E656" s="101">
        <f t="shared" ref="E656:E719" ca="1" si="42">MAX(0,CP*(D656-K))</f>
        <v>0</v>
      </c>
      <c r="F656" s="21">
        <f t="shared" ref="F656:F719" ca="1" si="43">(CP*(D656-K)&gt;0)*1</f>
        <v>0</v>
      </c>
      <c r="H656" s="21">
        <v>641</v>
      </c>
      <c r="I656" s="102">
        <v>0.66784663789895515</v>
      </c>
      <c r="J656" s="103">
        <v>1.4793353659934259E-3</v>
      </c>
      <c r="K656" s="103"/>
      <c r="L656" s="103">
        <v>4.4600000000000001E-2</v>
      </c>
      <c r="O656" s="100"/>
    </row>
    <row r="657" spans="2:15" x14ac:dyDescent="0.2">
      <c r="B657" s="1">
        <v>642</v>
      </c>
      <c r="C657" s="101">
        <f t="shared" ca="1" si="40"/>
        <v>0.90134592087136511</v>
      </c>
      <c r="D657" s="101">
        <f t="shared" ca="1" si="41"/>
        <v>0.72628906206039812</v>
      </c>
      <c r="E657" s="101">
        <f t="shared" ca="1" si="42"/>
        <v>0</v>
      </c>
      <c r="F657" s="21">
        <f t="shared" ca="1" si="43"/>
        <v>0</v>
      </c>
      <c r="H657" s="21">
        <v>642</v>
      </c>
      <c r="I657" s="102">
        <v>0.66764889276345707</v>
      </c>
      <c r="J657" s="103">
        <v>1.3495766826553787E-3</v>
      </c>
      <c r="K657" s="103"/>
      <c r="L657" s="103">
        <v>4.2000000000000003E-2</v>
      </c>
      <c r="O657" s="100"/>
    </row>
    <row r="658" spans="2:15" x14ac:dyDescent="0.2">
      <c r="B658" s="1">
        <v>643</v>
      </c>
      <c r="C658" s="101">
        <f t="shared" ca="1" si="40"/>
        <v>0.96577302859976932</v>
      </c>
      <c r="D658" s="101">
        <f t="shared" ca="1" si="41"/>
        <v>0.73091945427668903</v>
      </c>
      <c r="E658" s="101">
        <f t="shared" ca="1" si="42"/>
        <v>0</v>
      </c>
      <c r="F658" s="21">
        <f t="shared" ca="1" si="43"/>
        <v>0</v>
      </c>
      <c r="H658" s="21">
        <v>643</v>
      </c>
      <c r="I658" s="102">
        <v>0.6676799807149093</v>
      </c>
      <c r="J658" s="103">
        <v>1.3520403493542175E-3</v>
      </c>
      <c r="K658" s="103"/>
      <c r="L658" s="103">
        <v>4.02E-2</v>
      </c>
      <c r="O658" s="100"/>
    </row>
    <row r="659" spans="2:15" x14ac:dyDescent="0.2">
      <c r="B659" s="1">
        <v>644</v>
      </c>
      <c r="C659" s="101">
        <f t="shared" ca="1" si="40"/>
        <v>-0.11820122266788498</v>
      </c>
      <c r="D659" s="101">
        <f t="shared" ca="1" si="41"/>
        <v>0.65679937776845432</v>
      </c>
      <c r="E659" s="101">
        <f t="shared" ca="1" si="42"/>
        <v>0</v>
      </c>
      <c r="F659" s="21">
        <f t="shared" ca="1" si="43"/>
        <v>0</v>
      </c>
      <c r="H659" s="21">
        <v>644</v>
      </c>
      <c r="I659" s="102">
        <v>0.66779641075118812</v>
      </c>
      <c r="J659" s="103">
        <v>1.4911609470394688E-3</v>
      </c>
      <c r="K659" s="103"/>
      <c r="L659" s="103">
        <v>4.5400000000000003E-2</v>
      </c>
      <c r="O659" s="100"/>
    </row>
    <row r="660" spans="2:15" x14ac:dyDescent="0.2">
      <c r="B660" s="1">
        <v>645</v>
      </c>
      <c r="C660" s="101">
        <f t="shared" ca="1" si="40"/>
        <v>1.4847915995467083</v>
      </c>
      <c r="D660" s="101">
        <f t="shared" ca="1" si="41"/>
        <v>0.76931456874246062</v>
      </c>
      <c r="E660" s="101">
        <f t="shared" ca="1" si="42"/>
        <v>0</v>
      </c>
      <c r="F660" s="21">
        <f t="shared" ca="1" si="43"/>
        <v>0</v>
      </c>
      <c r="H660" s="21">
        <v>645</v>
      </c>
      <c r="I660" s="102">
        <v>0.66774591354957502</v>
      </c>
      <c r="J660" s="103">
        <v>1.5409915277547967E-3</v>
      </c>
      <c r="K660" s="103"/>
      <c r="L660" s="103">
        <v>4.3200000000000002E-2</v>
      </c>
      <c r="O660" s="100"/>
    </row>
    <row r="661" spans="2:15" x14ac:dyDescent="0.2">
      <c r="B661" s="1">
        <v>646</v>
      </c>
      <c r="C661" s="101">
        <f t="shared" ca="1" si="40"/>
        <v>0.20830416793069845</v>
      </c>
      <c r="D661" s="101">
        <f t="shared" ca="1" si="41"/>
        <v>0.67829719687394796</v>
      </c>
      <c r="E661" s="101">
        <f t="shared" ca="1" si="42"/>
        <v>0</v>
      </c>
      <c r="F661" s="21">
        <f t="shared" ca="1" si="43"/>
        <v>0</v>
      </c>
      <c r="H661" s="21">
        <v>646</v>
      </c>
      <c r="I661" s="102">
        <v>0.66773015941963199</v>
      </c>
      <c r="J661" s="103">
        <v>1.3201901699029463E-3</v>
      </c>
      <c r="K661" s="103"/>
      <c r="L661" s="103">
        <v>4.1399999999999999E-2</v>
      </c>
      <c r="O661" s="100"/>
    </row>
    <row r="662" spans="2:15" x14ac:dyDescent="0.2">
      <c r="B662" s="1">
        <v>647</v>
      </c>
      <c r="C662" s="101">
        <f t="shared" ca="1" si="40"/>
        <v>-0.2435527270643186</v>
      </c>
      <c r="D662" s="101">
        <f t="shared" ca="1" si="41"/>
        <v>0.64872816195617544</v>
      </c>
      <c r="E662" s="101">
        <f t="shared" ca="1" si="42"/>
        <v>0</v>
      </c>
      <c r="F662" s="21">
        <f t="shared" ca="1" si="43"/>
        <v>0</v>
      </c>
      <c r="H662" s="21">
        <v>647</v>
      </c>
      <c r="I662" s="102">
        <v>0.66770144327411085</v>
      </c>
      <c r="J662" s="103">
        <v>1.3781987511622717E-3</v>
      </c>
      <c r="K662" s="103"/>
      <c r="L662" s="103">
        <v>3.8800000000000001E-2</v>
      </c>
      <c r="O662" s="100"/>
    </row>
    <row r="663" spans="2:15" x14ac:dyDescent="0.2">
      <c r="B663" s="1">
        <v>648</v>
      </c>
      <c r="C663" s="101">
        <f t="shared" ca="1" si="40"/>
        <v>-0.87329254386731969</v>
      </c>
      <c r="D663" s="101">
        <f t="shared" ca="1" si="41"/>
        <v>0.60965632805684589</v>
      </c>
      <c r="E663" s="101">
        <f t="shared" ca="1" si="42"/>
        <v>0</v>
      </c>
      <c r="F663" s="21">
        <f t="shared" ca="1" si="43"/>
        <v>0</v>
      </c>
      <c r="H663" s="21">
        <v>648</v>
      </c>
      <c r="I663" s="102">
        <v>0.66774989220784586</v>
      </c>
      <c r="J663" s="103">
        <v>1.3516052748792904E-3</v>
      </c>
      <c r="K663" s="103"/>
      <c r="L663" s="103">
        <v>0.04</v>
      </c>
      <c r="O663" s="100"/>
    </row>
    <row r="664" spans="2:15" x14ac:dyDescent="0.2">
      <c r="B664" s="1">
        <v>649</v>
      </c>
      <c r="C664" s="101">
        <f t="shared" ca="1" si="40"/>
        <v>1.3182012842431334</v>
      </c>
      <c r="D664" s="101">
        <f t="shared" ca="1" si="41"/>
        <v>0.75677596490359156</v>
      </c>
      <c r="E664" s="101">
        <f t="shared" ca="1" si="42"/>
        <v>0</v>
      </c>
      <c r="F664" s="21">
        <f t="shared" ca="1" si="43"/>
        <v>0</v>
      </c>
      <c r="H664" s="21">
        <v>649</v>
      </c>
      <c r="I664" s="102">
        <v>0.66780266117755893</v>
      </c>
      <c r="J664" s="103">
        <v>1.3396660774004461E-3</v>
      </c>
      <c r="K664" s="103"/>
      <c r="L664" s="103">
        <v>4.2200000000000001E-2</v>
      </c>
      <c r="O664" s="100"/>
    </row>
    <row r="665" spans="2:15" x14ac:dyDescent="0.2">
      <c r="B665" s="1">
        <v>650</v>
      </c>
      <c r="C665" s="101">
        <f t="shared" ca="1" si="40"/>
        <v>0.27128374507210279</v>
      </c>
      <c r="D665" s="101">
        <f t="shared" ca="1" si="41"/>
        <v>0.68252415908085207</v>
      </c>
      <c r="E665" s="101">
        <f t="shared" ca="1" si="42"/>
        <v>0</v>
      </c>
      <c r="F665" s="21">
        <f t="shared" ca="1" si="43"/>
        <v>0</v>
      </c>
      <c r="H665" s="21">
        <v>650</v>
      </c>
      <c r="I665" s="102">
        <v>0.6677435306927646</v>
      </c>
      <c r="J665" s="103">
        <v>1.5154417852294543E-3</v>
      </c>
      <c r="K665" s="103"/>
      <c r="L665" s="103">
        <v>4.0399999999999998E-2</v>
      </c>
      <c r="O665" s="100"/>
    </row>
    <row r="666" spans="2:15" x14ac:dyDescent="0.2">
      <c r="B666" s="1">
        <v>651</v>
      </c>
      <c r="C666" s="101">
        <f t="shared" ca="1" si="40"/>
        <v>-2.2327818973046569</v>
      </c>
      <c r="D666" s="101">
        <f t="shared" ca="1" si="41"/>
        <v>0.53314507324727689</v>
      </c>
      <c r="E666" s="101">
        <f t="shared" ca="1" si="42"/>
        <v>0</v>
      </c>
      <c r="F666" s="21">
        <f t="shared" ca="1" si="43"/>
        <v>0</v>
      </c>
      <c r="H666" s="21">
        <v>651</v>
      </c>
      <c r="I666" s="102">
        <v>0.66770797701901585</v>
      </c>
      <c r="J666" s="103">
        <v>1.2705478183620818E-3</v>
      </c>
      <c r="K666" s="103"/>
      <c r="L666" s="103">
        <v>4.2000000000000003E-2</v>
      </c>
      <c r="O666" s="100"/>
    </row>
    <row r="667" spans="2:15" x14ac:dyDescent="0.2">
      <c r="B667" s="1">
        <v>652</v>
      </c>
      <c r="C667" s="101">
        <f t="shared" ca="1" si="40"/>
        <v>-0.80095548117256665</v>
      </c>
      <c r="D667" s="101">
        <f t="shared" ca="1" si="41"/>
        <v>0.61402204139357652</v>
      </c>
      <c r="E667" s="101">
        <f t="shared" ca="1" si="42"/>
        <v>0</v>
      </c>
      <c r="F667" s="21">
        <f t="shared" ca="1" si="43"/>
        <v>0</v>
      </c>
      <c r="H667" s="21">
        <v>652</v>
      </c>
      <c r="I667" s="102">
        <v>0.66755974881085201</v>
      </c>
      <c r="J667" s="103">
        <v>1.0992138114797186E-3</v>
      </c>
      <c r="K667" s="103"/>
      <c r="L667" s="103">
        <v>3.6600000000000001E-2</v>
      </c>
      <c r="O667" s="100"/>
    </row>
    <row r="668" spans="2:15" x14ac:dyDescent="0.2">
      <c r="B668" s="1">
        <v>653</v>
      </c>
      <c r="C668" s="101">
        <f t="shared" ca="1" si="40"/>
        <v>1.255794159017585</v>
      </c>
      <c r="D668" s="101">
        <f t="shared" ca="1" si="41"/>
        <v>0.75213162119235588</v>
      </c>
      <c r="E668" s="101">
        <f t="shared" ca="1" si="42"/>
        <v>0</v>
      </c>
      <c r="F668" s="21">
        <f t="shared" ca="1" si="43"/>
        <v>0</v>
      </c>
      <c r="H668" s="21">
        <v>653</v>
      </c>
      <c r="I668" s="102">
        <v>0.66765992334030866</v>
      </c>
      <c r="J668" s="103">
        <v>1.18912083163549E-3</v>
      </c>
      <c r="K668" s="103"/>
      <c r="L668" s="103">
        <v>3.9E-2</v>
      </c>
      <c r="O668" s="100"/>
    </row>
    <row r="669" spans="2:15" x14ac:dyDescent="0.2">
      <c r="B669" s="1">
        <v>654</v>
      </c>
      <c r="C669" s="101">
        <f t="shared" ca="1" si="40"/>
        <v>0.73231594914218112</v>
      </c>
      <c r="D669" s="101">
        <f t="shared" ca="1" si="41"/>
        <v>0.71427979275508591</v>
      </c>
      <c r="E669" s="101">
        <f t="shared" ca="1" si="42"/>
        <v>0</v>
      </c>
      <c r="F669" s="21">
        <f t="shared" ca="1" si="43"/>
        <v>0</v>
      </c>
      <c r="H669" s="21">
        <v>654</v>
      </c>
      <c r="I669" s="102">
        <v>0.66789425208130992</v>
      </c>
      <c r="J669" s="103">
        <v>1.676512016630879E-3</v>
      </c>
      <c r="K669" s="103"/>
      <c r="L669" s="103">
        <v>4.7399999999999998E-2</v>
      </c>
      <c r="O669" s="100"/>
    </row>
    <row r="670" spans="2:15" x14ac:dyDescent="0.2">
      <c r="B670" s="1">
        <v>655</v>
      </c>
      <c r="C670" s="101">
        <f t="shared" ca="1" si="40"/>
        <v>-0.62094171205765047</v>
      </c>
      <c r="D670" s="101">
        <f t="shared" ca="1" si="41"/>
        <v>0.62502248330640986</v>
      </c>
      <c r="E670" s="101">
        <f t="shared" ca="1" si="42"/>
        <v>0</v>
      </c>
      <c r="F670" s="21">
        <f t="shared" ca="1" si="43"/>
        <v>0</v>
      </c>
      <c r="H670" s="21">
        <v>655</v>
      </c>
      <c r="I670" s="102">
        <v>0.66781486031269144</v>
      </c>
      <c r="J670" s="103">
        <v>1.498189443846143E-3</v>
      </c>
      <c r="K670" s="103"/>
      <c r="L670" s="103">
        <v>4.4400000000000002E-2</v>
      </c>
      <c r="O670" s="100"/>
    </row>
    <row r="671" spans="2:15" x14ac:dyDescent="0.2">
      <c r="B671" s="1">
        <v>656</v>
      </c>
      <c r="C671" s="101">
        <f t="shared" ca="1" si="40"/>
        <v>0.62670381568736977</v>
      </c>
      <c r="D671" s="101">
        <f t="shared" ca="1" si="41"/>
        <v>0.70687725101331389</v>
      </c>
      <c r="E671" s="101">
        <f t="shared" ca="1" si="42"/>
        <v>0</v>
      </c>
      <c r="F671" s="21">
        <f t="shared" ca="1" si="43"/>
        <v>0</v>
      </c>
      <c r="H671" s="21">
        <v>656</v>
      </c>
      <c r="I671" s="102">
        <v>0.6676827794061353</v>
      </c>
      <c r="J671" s="103">
        <v>1.3638075587769521E-3</v>
      </c>
      <c r="K671" s="103"/>
      <c r="L671" s="103">
        <v>4.0599999999999997E-2</v>
      </c>
      <c r="O671" s="100"/>
    </row>
    <row r="672" spans="2:15" x14ac:dyDescent="0.2">
      <c r="B672" s="1">
        <v>657</v>
      </c>
      <c r="C672" s="101">
        <f t="shared" ca="1" si="40"/>
        <v>-1.8114629442909531</v>
      </c>
      <c r="D672" s="101">
        <f t="shared" ca="1" si="41"/>
        <v>0.55576916083135175</v>
      </c>
      <c r="E672" s="101">
        <f t="shared" ca="1" si="42"/>
        <v>0</v>
      </c>
      <c r="F672" s="21">
        <f t="shared" ca="1" si="43"/>
        <v>0</v>
      </c>
      <c r="H672" s="21">
        <v>657</v>
      </c>
      <c r="I672" s="102">
        <v>0.66767671204751478</v>
      </c>
      <c r="J672" s="103">
        <v>1.2254381587996548E-3</v>
      </c>
      <c r="K672" s="103"/>
      <c r="L672" s="103">
        <v>4.0399999999999998E-2</v>
      </c>
      <c r="O672" s="100"/>
    </row>
    <row r="673" spans="2:15" x14ac:dyDescent="0.2">
      <c r="B673" s="1">
        <v>658</v>
      </c>
      <c r="C673" s="101">
        <f t="shared" ca="1" si="40"/>
        <v>-0.58305504635348848</v>
      </c>
      <c r="D673" s="101">
        <f t="shared" ca="1" si="41"/>
        <v>0.6273626818251461</v>
      </c>
      <c r="E673" s="101">
        <f t="shared" ca="1" si="42"/>
        <v>0</v>
      </c>
      <c r="F673" s="21">
        <f t="shared" ca="1" si="43"/>
        <v>0</v>
      </c>
      <c r="H673" s="21">
        <v>658</v>
      </c>
      <c r="I673" s="102">
        <v>0.66782274792614538</v>
      </c>
      <c r="J673" s="103">
        <v>1.5634174462557939E-3</v>
      </c>
      <c r="K673" s="103"/>
      <c r="L673" s="103">
        <v>4.4400000000000002E-2</v>
      </c>
      <c r="O673" s="100"/>
    </row>
    <row r="674" spans="2:15" x14ac:dyDescent="0.2">
      <c r="B674" s="1">
        <v>659</v>
      </c>
      <c r="C674" s="101">
        <f t="shared" ca="1" si="40"/>
        <v>0.75040345646731532</v>
      </c>
      <c r="D674" s="101">
        <f t="shared" ca="1" si="41"/>
        <v>0.71555533095977408</v>
      </c>
      <c r="E674" s="101">
        <f t="shared" ca="1" si="42"/>
        <v>0</v>
      </c>
      <c r="F674" s="21">
        <f t="shared" ca="1" si="43"/>
        <v>0</v>
      </c>
      <c r="H674" s="21">
        <v>659</v>
      </c>
      <c r="I674" s="102">
        <v>0.66783042589285113</v>
      </c>
      <c r="J674" s="103">
        <v>1.5320332753148837E-3</v>
      </c>
      <c r="K674" s="103"/>
      <c r="L674" s="103">
        <v>4.48E-2</v>
      </c>
      <c r="O674" s="100"/>
    </row>
    <row r="675" spans="2:15" x14ac:dyDescent="0.2">
      <c r="B675" s="1">
        <v>660</v>
      </c>
      <c r="C675" s="101">
        <f t="shared" ca="1" si="40"/>
        <v>1.4599054185884719</v>
      </c>
      <c r="D675" s="101">
        <f t="shared" ca="1" si="41"/>
        <v>0.76742836689015126</v>
      </c>
      <c r="E675" s="101">
        <f t="shared" ca="1" si="42"/>
        <v>0</v>
      </c>
      <c r="F675" s="21">
        <f t="shared" ca="1" si="43"/>
        <v>0</v>
      </c>
      <c r="H675" s="21">
        <v>660</v>
      </c>
      <c r="I675" s="102">
        <v>0.66787066602906886</v>
      </c>
      <c r="J675" s="103">
        <v>1.4912116777675952E-3</v>
      </c>
      <c r="K675" s="103"/>
      <c r="L675" s="103">
        <v>4.5400000000000003E-2</v>
      </c>
      <c r="O675" s="100"/>
    </row>
    <row r="676" spans="2:15" x14ac:dyDescent="0.2">
      <c r="B676" s="1">
        <v>661</v>
      </c>
      <c r="C676" s="101">
        <f t="shared" ca="1" si="40"/>
        <v>0.77591162527309288</v>
      </c>
      <c r="D676" s="101">
        <f t="shared" ca="1" si="41"/>
        <v>0.71735804937966208</v>
      </c>
      <c r="E676" s="101">
        <f t="shared" ca="1" si="42"/>
        <v>0</v>
      </c>
      <c r="F676" s="21">
        <f t="shared" ca="1" si="43"/>
        <v>0</v>
      </c>
      <c r="H676" s="21">
        <v>661</v>
      </c>
      <c r="I676" s="102">
        <v>0.66763411086572311</v>
      </c>
      <c r="J676" s="103">
        <v>1.2992943519926597E-3</v>
      </c>
      <c r="K676" s="103"/>
      <c r="L676" s="103">
        <v>4.0599999999999997E-2</v>
      </c>
      <c r="O676" s="100"/>
    </row>
    <row r="677" spans="2:15" x14ac:dyDescent="0.2">
      <c r="B677" s="1">
        <v>662</v>
      </c>
      <c r="C677" s="101">
        <f t="shared" ca="1" si="40"/>
        <v>5.8529221976077496E-2</v>
      </c>
      <c r="D677" s="101">
        <f t="shared" ca="1" si="41"/>
        <v>0.66834969771528929</v>
      </c>
      <c r="E677" s="101">
        <f t="shared" ca="1" si="42"/>
        <v>0</v>
      </c>
      <c r="F677" s="21">
        <f t="shared" ca="1" si="43"/>
        <v>0</v>
      </c>
      <c r="H677" s="21">
        <v>662</v>
      </c>
      <c r="I677" s="102">
        <v>0.66777673564098572</v>
      </c>
      <c r="J677" s="103">
        <v>1.3594774705077909E-3</v>
      </c>
      <c r="K677" s="103"/>
      <c r="L677" s="103">
        <v>4.2799999999999998E-2</v>
      </c>
      <c r="O677" s="100"/>
    </row>
    <row r="678" spans="2:15" x14ac:dyDescent="0.2">
      <c r="B678" s="1">
        <v>663</v>
      </c>
      <c r="C678" s="101">
        <f t="shared" ca="1" si="40"/>
        <v>-0.62054160982484552</v>
      </c>
      <c r="D678" s="101">
        <f t="shared" ca="1" si="41"/>
        <v>0.62504715131470667</v>
      </c>
      <c r="E678" s="101">
        <f t="shared" ca="1" si="42"/>
        <v>0</v>
      </c>
      <c r="F678" s="21">
        <f t="shared" ca="1" si="43"/>
        <v>0</v>
      </c>
      <c r="H678" s="21">
        <v>663</v>
      </c>
      <c r="I678" s="102">
        <v>0.66757237020089943</v>
      </c>
      <c r="J678" s="103">
        <v>1.0820365020462383E-3</v>
      </c>
      <c r="K678" s="103"/>
      <c r="L678" s="103">
        <v>3.8399999999999997E-2</v>
      </c>
      <c r="O678" s="100"/>
    </row>
    <row r="679" spans="2:15" x14ac:dyDescent="0.2">
      <c r="B679" s="1">
        <v>664</v>
      </c>
      <c r="C679" s="101">
        <f t="shared" ca="1" si="40"/>
        <v>-1.2929602756686969</v>
      </c>
      <c r="D679" s="101">
        <f t="shared" ca="1" si="41"/>
        <v>0.58493388299636895</v>
      </c>
      <c r="E679" s="101">
        <f t="shared" ca="1" si="42"/>
        <v>0</v>
      </c>
      <c r="F679" s="21">
        <f t="shared" ca="1" si="43"/>
        <v>0</v>
      </c>
      <c r="H679" s="21">
        <v>664</v>
      </c>
      <c r="I679" s="102">
        <v>0.66765500069522676</v>
      </c>
      <c r="J679" s="103">
        <v>1.3206782346971884E-3</v>
      </c>
      <c r="K679" s="103"/>
      <c r="L679" s="103">
        <v>3.9199999999999999E-2</v>
      </c>
      <c r="O679" s="100"/>
    </row>
    <row r="680" spans="2:15" x14ac:dyDescent="0.2">
      <c r="B680" s="1">
        <v>665</v>
      </c>
      <c r="C680" s="101">
        <f t="shared" ca="1" si="40"/>
        <v>-0.28909066448356241</v>
      </c>
      <c r="D680" s="101">
        <f t="shared" ca="1" si="41"/>
        <v>0.64582066034112473</v>
      </c>
      <c r="E680" s="101">
        <f t="shared" ca="1" si="42"/>
        <v>0</v>
      </c>
      <c r="F680" s="21">
        <f t="shared" ca="1" si="43"/>
        <v>0</v>
      </c>
      <c r="H680" s="21">
        <v>665</v>
      </c>
      <c r="I680" s="102">
        <v>0.66776761391280037</v>
      </c>
      <c r="J680" s="103">
        <v>1.3414709670377699E-3</v>
      </c>
      <c r="K680" s="103"/>
      <c r="L680" s="103">
        <v>4.3200000000000002E-2</v>
      </c>
      <c r="O680" s="100"/>
    </row>
    <row r="681" spans="2:15" x14ac:dyDescent="0.2">
      <c r="B681" s="1">
        <v>666</v>
      </c>
      <c r="C681" s="101">
        <f t="shared" ca="1" si="40"/>
        <v>-1.0436429042939577</v>
      </c>
      <c r="D681" s="101">
        <f t="shared" ca="1" si="41"/>
        <v>0.59949750722837725</v>
      </c>
      <c r="E681" s="101">
        <f t="shared" ca="1" si="42"/>
        <v>0</v>
      </c>
      <c r="F681" s="21">
        <f t="shared" ca="1" si="43"/>
        <v>0</v>
      </c>
      <c r="H681" s="21">
        <v>666</v>
      </c>
      <c r="I681" s="102">
        <v>0.66773179098826785</v>
      </c>
      <c r="J681" s="103">
        <v>1.4218209910175537E-3</v>
      </c>
      <c r="K681" s="103"/>
      <c r="L681" s="103">
        <v>4.0399999999999998E-2</v>
      </c>
      <c r="O681" s="100"/>
    </row>
    <row r="682" spans="2:15" x14ac:dyDescent="0.2">
      <c r="B682" s="1">
        <v>667</v>
      </c>
      <c r="C682" s="101">
        <f t="shared" ca="1" si="40"/>
        <v>-0.28284860243754606</v>
      </c>
      <c r="D682" s="101">
        <f t="shared" ca="1" si="41"/>
        <v>0.64621843089141207</v>
      </c>
      <c r="E682" s="101">
        <f t="shared" ca="1" si="42"/>
        <v>0</v>
      </c>
      <c r="F682" s="21">
        <f t="shared" ca="1" si="43"/>
        <v>0</v>
      </c>
      <c r="H682" s="21">
        <v>667</v>
      </c>
      <c r="I682" s="102">
        <v>0.66772300832657827</v>
      </c>
      <c r="J682" s="103">
        <v>1.3346571747549542E-3</v>
      </c>
      <c r="K682" s="103"/>
      <c r="L682" s="103">
        <v>3.9199999999999999E-2</v>
      </c>
      <c r="O682" s="100"/>
    </row>
    <row r="683" spans="2:15" x14ac:dyDescent="0.2">
      <c r="B683" s="1">
        <v>668</v>
      </c>
      <c r="C683" s="101">
        <f t="shared" ca="1" si="40"/>
        <v>0.31910504645637527</v>
      </c>
      <c r="D683" s="101">
        <f t="shared" ca="1" si="41"/>
        <v>0.68575133797086196</v>
      </c>
      <c r="E683" s="101">
        <f t="shared" ca="1" si="42"/>
        <v>0</v>
      </c>
      <c r="F683" s="21">
        <f t="shared" ca="1" si="43"/>
        <v>0</v>
      </c>
      <c r="H683" s="21">
        <v>668</v>
      </c>
      <c r="I683" s="102">
        <v>0.66767826116747242</v>
      </c>
      <c r="J683" s="103">
        <v>1.3269130028728978E-3</v>
      </c>
      <c r="K683" s="103"/>
      <c r="L683" s="103">
        <v>3.9E-2</v>
      </c>
      <c r="O683" s="100"/>
    </row>
    <row r="684" spans="2:15" x14ac:dyDescent="0.2">
      <c r="B684" s="1">
        <v>669</v>
      </c>
      <c r="C684" s="101">
        <f t="shared" ca="1" si="40"/>
        <v>1.008817946477045</v>
      </c>
      <c r="D684" s="101">
        <f t="shared" ca="1" si="41"/>
        <v>0.73402954201233805</v>
      </c>
      <c r="E684" s="101">
        <f t="shared" ca="1" si="42"/>
        <v>0</v>
      </c>
      <c r="F684" s="21">
        <f t="shared" ca="1" si="43"/>
        <v>0</v>
      </c>
      <c r="H684" s="21">
        <v>669</v>
      </c>
      <c r="I684" s="102">
        <v>0.66773143622406828</v>
      </c>
      <c r="J684" s="103">
        <v>1.3690213975910178E-3</v>
      </c>
      <c r="K684" s="103"/>
      <c r="L684" s="103">
        <v>3.9199999999999999E-2</v>
      </c>
      <c r="O684" s="100"/>
    </row>
    <row r="685" spans="2:15" x14ac:dyDescent="0.2">
      <c r="B685" s="1">
        <v>670</v>
      </c>
      <c r="C685" s="101">
        <f t="shared" ca="1" si="40"/>
        <v>-1.1311137051699145</v>
      </c>
      <c r="D685" s="101">
        <f t="shared" ca="1" si="41"/>
        <v>0.59434715258510029</v>
      </c>
      <c r="E685" s="101">
        <f t="shared" ca="1" si="42"/>
        <v>0</v>
      </c>
      <c r="F685" s="21">
        <f t="shared" ca="1" si="43"/>
        <v>0</v>
      </c>
      <c r="H685" s="21">
        <v>670</v>
      </c>
      <c r="I685" s="102">
        <v>0.66755726317040454</v>
      </c>
      <c r="J685" s="103">
        <v>1.1737276193459841E-3</v>
      </c>
      <c r="K685" s="103"/>
      <c r="L685" s="103">
        <v>3.6600000000000001E-2</v>
      </c>
      <c r="O685" s="100"/>
    </row>
    <row r="686" spans="2:15" x14ac:dyDescent="0.2">
      <c r="B686" s="1">
        <v>671</v>
      </c>
      <c r="C686" s="101">
        <f t="shared" ca="1" si="40"/>
        <v>-1.1328514411323509</v>
      </c>
      <c r="D686" s="101">
        <f t="shared" ca="1" si="41"/>
        <v>0.59424528273789157</v>
      </c>
      <c r="E686" s="101">
        <f t="shared" ca="1" si="42"/>
        <v>0</v>
      </c>
      <c r="F686" s="21">
        <f t="shared" ca="1" si="43"/>
        <v>0</v>
      </c>
      <c r="H686" s="21">
        <v>671</v>
      </c>
      <c r="I686" s="102">
        <v>0.66772203805770569</v>
      </c>
      <c r="J686" s="103">
        <v>1.3421823613322386E-3</v>
      </c>
      <c r="K686" s="103"/>
      <c r="L686" s="103">
        <v>4.2000000000000003E-2</v>
      </c>
      <c r="O686" s="100"/>
    </row>
    <row r="687" spans="2:15" x14ac:dyDescent="0.2">
      <c r="B687" s="1">
        <v>672</v>
      </c>
      <c r="C687" s="101">
        <f t="shared" ca="1" si="40"/>
        <v>0.77185637556837838</v>
      </c>
      <c r="D687" s="101">
        <f t="shared" ca="1" si="41"/>
        <v>0.71707115263626853</v>
      </c>
      <c r="E687" s="101">
        <f t="shared" ca="1" si="42"/>
        <v>0</v>
      </c>
      <c r="F687" s="21">
        <f t="shared" ca="1" si="43"/>
        <v>0</v>
      </c>
      <c r="H687" s="21">
        <v>672</v>
      </c>
      <c r="I687" s="102">
        <v>0.66781334413319182</v>
      </c>
      <c r="J687" s="103">
        <v>1.290022738484779E-3</v>
      </c>
      <c r="K687" s="103"/>
      <c r="L687" s="103">
        <v>4.4200000000000003E-2</v>
      </c>
      <c r="O687" s="100"/>
    </row>
    <row r="688" spans="2:15" x14ac:dyDescent="0.2">
      <c r="B688" s="1">
        <v>673</v>
      </c>
      <c r="C688" s="101">
        <f t="shared" ca="1" si="40"/>
        <v>1.7719089446371123</v>
      </c>
      <c r="D688" s="101">
        <f t="shared" ca="1" si="41"/>
        <v>0.7914142885119283</v>
      </c>
      <c r="E688" s="101">
        <f t="shared" ca="1" si="42"/>
        <v>3.2142885119282871E-3</v>
      </c>
      <c r="F688" s="21">
        <f t="shared" ca="1" si="43"/>
        <v>1</v>
      </c>
      <c r="H688" s="21">
        <v>673</v>
      </c>
      <c r="I688" s="102">
        <v>0.66764094978567434</v>
      </c>
      <c r="J688" s="103">
        <v>1.0772206021044091E-3</v>
      </c>
      <c r="K688" s="103"/>
      <c r="L688" s="103">
        <v>3.7999999999999999E-2</v>
      </c>
      <c r="O688" s="100"/>
    </row>
    <row r="689" spans="2:15" x14ac:dyDescent="0.2">
      <c r="B689" s="1">
        <v>674</v>
      </c>
      <c r="C689" s="101">
        <f t="shared" ca="1" si="40"/>
        <v>-0.58002517351160754</v>
      </c>
      <c r="D689" s="101">
        <f t="shared" ca="1" si="41"/>
        <v>0.62755021015468537</v>
      </c>
      <c r="E689" s="101">
        <f t="shared" ca="1" si="42"/>
        <v>0</v>
      </c>
      <c r="F689" s="21">
        <f t="shared" ca="1" si="43"/>
        <v>0</v>
      </c>
      <c r="H689" s="21">
        <v>674</v>
      </c>
      <c r="I689" s="102">
        <v>0.66760536042374163</v>
      </c>
      <c r="J689" s="103">
        <v>1.3282487708330948E-3</v>
      </c>
      <c r="K689" s="103"/>
      <c r="L689" s="103">
        <v>4.1399999999999999E-2</v>
      </c>
      <c r="O689" s="100"/>
    </row>
    <row r="690" spans="2:15" x14ac:dyDescent="0.2">
      <c r="B690" s="1">
        <v>675</v>
      </c>
      <c r="C690" s="101">
        <f t="shared" ca="1" si="40"/>
        <v>0.14216907380089541</v>
      </c>
      <c r="D690" s="101">
        <f t="shared" ca="1" si="41"/>
        <v>0.67388662325216853</v>
      </c>
      <c r="E690" s="101">
        <f t="shared" ca="1" si="42"/>
        <v>0</v>
      </c>
      <c r="F690" s="21">
        <f t="shared" ca="1" si="43"/>
        <v>0</v>
      </c>
      <c r="H690" s="21">
        <v>675</v>
      </c>
      <c r="I690" s="102">
        <v>0.6677916259429223</v>
      </c>
      <c r="J690" s="103">
        <v>1.248459667488817E-3</v>
      </c>
      <c r="K690" s="103"/>
      <c r="L690" s="103">
        <v>4.1200000000000001E-2</v>
      </c>
      <c r="O690" s="100"/>
    </row>
    <row r="691" spans="2:15" x14ac:dyDescent="0.2">
      <c r="B691" s="1">
        <v>676</v>
      </c>
      <c r="C691" s="101">
        <f t="shared" ca="1" si="40"/>
        <v>-1.1204881231757471</v>
      </c>
      <c r="D691" s="101">
        <f t="shared" ca="1" si="41"/>
        <v>0.59497042718787796</v>
      </c>
      <c r="E691" s="101">
        <f t="shared" ca="1" si="42"/>
        <v>0</v>
      </c>
      <c r="F691" s="21">
        <f t="shared" ca="1" si="43"/>
        <v>0</v>
      </c>
      <c r="H691" s="21">
        <v>676</v>
      </c>
      <c r="I691" s="102">
        <v>0.66776831822420868</v>
      </c>
      <c r="J691" s="103">
        <v>1.4969008238608647E-3</v>
      </c>
      <c r="K691" s="103"/>
      <c r="L691" s="103">
        <v>4.24E-2</v>
      </c>
      <c r="O691" s="100"/>
    </row>
    <row r="692" spans="2:15" x14ac:dyDescent="0.2">
      <c r="B692" s="1">
        <v>677</v>
      </c>
      <c r="C692" s="101">
        <f t="shared" ca="1" si="40"/>
        <v>-0.5887248279983941</v>
      </c>
      <c r="D692" s="101">
        <f t="shared" ca="1" si="41"/>
        <v>0.62701191179793836</v>
      </c>
      <c r="E692" s="101">
        <f t="shared" ca="1" si="42"/>
        <v>0</v>
      </c>
      <c r="F692" s="21">
        <f t="shared" ca="1" si="43"/>
        <v>0</v>
      </c>
      <c r="H692" s="21">
        <v>677</v>
      </c>
      <c r="I692" s="102">
        <v>0.66771242950326781</v>
      </c>
      <c r="J692" s="103">
        <v>1.2720984667103793E-3</v>
      </c>
      <c r="K692" s="103"/>
      <c r="L692" s="103">
        <v>4.3999999999999997E-2</v>
      </c>
      <c r="O692" s="100"/>
    </row>
    <row r="693" spans="2:15" x14ac:dyDescent="0.2">
      <c r="B693" s="1">
        <v>678</v>
      </c>
      <c r="C693" s="101">
        <f t="shared" ca="1" si="40"/>
        <v>0.65433090414660344</v>
      </c>
      <c r="D693" s="101">
        <f t="shared" ca="1" si="41"/>
        <v>0.70880624077367704</v>
      </c>
      <c r="E693" s="101">
        <f t="shared" ca="1" si="42"/>
        <v>0</v>
      </c>
      <c r="F693" s="21">
        <f t="shared" ca="1" si="43"/>
        <v>0</v>
      </c>
      <c r="H693" s="21">
        <v>678</v>
      </c>
      <c r="I693" s="102">
        <v>0.66767198410439321</v>
      </c>
      <c r="J693" s="103">
        <v>1.3555040341363691E-3</v>
      </c>
      <c r="K693" s="103"/>
      <c r="L693" s="103">
        <v>4.02E-2</v>
      </c>
      <c r="O693" s="100"/>
    </row>
    <row r="694" spans="2:15" x14ac:dyDescent="0.2">
      <c r="B694" s="1">
        <v>679</v>
      </c>
      <c r="C694" s="101">
        <f t="shared" ca="1" si="40"/>
        <v>-1.4045185460942491</v>
      </c>
      <c r="D694" s="101">
        <f t="shared" ca="1" si="41"/>
        <v>0.5785324073188568</v>
      </c>
      <c r="E694" s="101">
        <f t="shared" ca="1" si="42"/>
        <v>0</v>
      </c>
      <c r="F694" s="21">
        <f t="shared" ca="1" si="43"/>
        <v>0</v>
      </c>
      <c r="H694" s="21">
        <v>679</v>
      </c>
      <c r="I694" s="102">
        <v>0.66764739740978807</v>
      </c>
      <c r="J694" s="103">
        <v>1.2930740702419804E-3</v>
      </c>
      <c r="K694" s="103"/>
      <c r="L694" s="103">
        <v>4.1200000000000001E-2</v>
      </c>
      <c r="O694" s="100"/>
    </row>
    <row r="695" spans="2:15" x14ac:dyDescent="0.2">
      <c r="B695" s="1">
        <v>680</v>
      </c>
      <c r="C695" s="101">
        <f t="shared" ca="1" si="40"/>
        <v>1.5759281906194096</v>
      </c>
      <c r="D695" s="101">
        <f t="shared" ca="1" si="41"/>
        <v>0.77626175939779329</v>
      </c>
      <c r="E695" s="101">
        <f t="shared" ca="1" si="42"/>
        <v>0</v>
      </c>
      <c r="F695" s="21">
        <f t="shared" ca="1" si="43"/>
        <v>0</v>
      </c>
      <c r="H695" s="21">
        <v>680</v>
      </c>
      <c r="I695" s="102">
        <v>0.66779569013081186</v>
      </c>
      <c r="J695" s="103">
        <v>1.4189097066298036E-3</v>
      </c>
      <c r="K695" s="103"/>
      <c r="L695" s="103">
        <v>4.7800000000000002E-2</v>
      </c>
      <c r="O695" s="100"/>
    </row>
    <row r="696" spans="2:15" x14ac:dyDescent="0.2">
      <c r="B696" s="1">
        <v>681</v>
      </c>
      <c r="C696" s="101">
        <f t="shared" ca="1" si="40"/>
        <v>0.4234352892212947</v>
      </c>
      <c r="D696" s="101">
        <f t="shared" ca="1" si="41"/>
        <v>0.69284503148017407</v>
      </c>
      <c r="E696" s="101">
        <f t="shared" ca="1" si="42"/>
        <v>0</v>
      </c>
      <c r="F696" s="21">
        <f t="shared" ca="1" si="43"/>
        <v>0</v>
      </c>
      <c r="H696" s="21">
        <v>681</v>
      </c>
      <c r="I696" s="102">
        <v>0.667788698810028</v>
      </c>
      <c r="J696" s="103">
        <v>1.3438085435251881E-3</v>
      </c>
      <c r="K696" s="103"/>
      <c r="L696" s="103">
        <v>4.4400000000000002E-2</v>
      </c>
      <c r="O696" s="100"/>
    </row>
    <row r="697" spans="2:15" x14ac:dyDescent="0.2">
      <c r="B697" s="1">
        <v>682</v>
      </c>
      <c r="C697" s="101">
        <f t="shared" ca="1" si="40"/>
        <v>-1.0137473638570149</v>
      </c>
      <c r="D697" s="101">
        <f t="shared" ca="1" si="41"/>
        <v>0.60126799610131421</v>
      </c>
      <c r="E697" s="101">
        <f t="shared" ca="1" si="42"/>
        <v>0</v>
      </c>
      <c r="F697" s="21">
        <f t="shared" ca="1" si="43"/>
        <v>0</v>
      </c>
      <c r="H697" s="21">
        <v>682</v>
      </c>
      <c r="I697" s="102">
        <v>0.667689174450385</v>
      </c>
      <c r="J697" s="103">
        <v>1.2897966351555392E-3</v>
      </c>
      <c r="K697" s="103"/>
      <c r="L697" s="103">
        <v>3.8800000000000001E-2</v>
      </c>
      <c r="O697" s="100"/>
    </row>
    <row r="698" spans="2:15" x14ac:dyDescent="0.2">
      <c r="B698" s="1">
        <v>683</v>
      </c>
      <c r="C698" s="101">
        <f t="shared" ca="1" si="40"/>
        <v>-0.5566319642886397</v>
      </c>
      <c r="D698" s="101">
        <f t="shared" ca="1" si="41"/>
        <v>0.62899997764459825</v>
      </c>
      <c r="E698" s="101">
        <f t="shared" ca="1" si="42"/>
        <v>0</v>
      </c>
      <c r="F698" s="21">
        <f t="shared" ca="1" si="43"/>
        <v>0</v>
      </c>
      <c r="H698" s="21">
        <v>683</v>
      </c>
      <c r="I698" s="102">
        <v>0.6677705928832961</v>
      </c>
      <c r="J698" s="103">
        <v>1.3680628619465143E-3</v>
      </c>
      <c r="K698" s="103"/>
      <c r="L698" s="103">
        <v>4.24E-2</v>
      </c>
      <c r="O698" s="100"/>
    </row>
    <row r="699" spans="2:15" x14ac:dyDescent="0.2">
      <c r="B699" s="1">
        <v>684</v>
      </c>
      <c r="C699" s="101">
        <f t="shared" ca="1" si="40"/>
        <v>3.4684935304232889</v>
      </c>
      <c r="D699" s="101">
        <f t="shared" ca="1" si="41"/>
        <v>0.93558774523877308</v>
      </c>
      <c r="E699" s="101">
        <f t="shared" ca="1" si="42"/>
        <v>0.14738774523877307</v>
      </c>
      <c r="F699" s="21">
        <f t="shared" ca="1" si="43"/>
        <v>1</v>
      </c>
      <c r="H699" s="21">
        <v>684</v>
      </c>
      <c r="I699" s="102">
        <v>0.66773113581425192</v>
      </c>
      <c r="J699" s="103">
        <v>1.2742178363962355E-3</v>
      </c>
      <c r="K699" s="103"/>
      <c r="L699" s="103">
        <v>4.2200000000000001E-2</v>
      </c>
      <c r="O699" s="100"/>
    </row>
    <row r="700" spans="2:15" x14ac:dyDescent="0.2">
      <c r="B700" s="1">
        <v>685</v>
      </c>
      <c r="C700" s="101">
        <f t="shared" ca="1" si="40"/>
        <v>-0.10813427004638375</v>
      </c>
      <c r="D700" s="101">
        <f t="shared" ca="1" si="41"/>
        <v>0.65745191501623401</v>
      </c>
      <c r="E700" s="101">
        <f t="shared" ca="1" si="42"/>
        <v>0</v>
      </c>
      <c r="F700" s="21">
        <f t="shared" ca="1" si="43"/>
        <v>0</v>
      </c>
      <c r="H700" s="21">
        <v>685</v>
      </c>
      <c r="I700" s="102">
        <v>0.66772885340631916</v>
      </c>
      <c r="J700" s="103">
        <v>1.344733637288589E-3</v>
      </c>
      <c r="K700" s="103"/>
      <c r="L700" s="103">
        <v>4.24E-2</v>
      </c>
      <c r="O700" s="100"/>
    </row>
    <row r="701" spans="2:15" x14ac:dyDescent="0.2">
      <c r="B701" s="1">
        <v>686</v>
      </c>
      <c r="C701" s="101">
        <f t="shared" ca="1" si="40"/>
        <v>0.63615550118312292</v>
      </c>
      <c r="D701" s="101">
        <f t="shared" ca="1" si="41"/>
        <v>0.70753659892638054</v>
      </c>
      <c r="E701" s="101">
        <f t="shared" ca="1" si="42"/>
        <v>0</v>
      </c>
      <c r="F701" s="21">
        <f t="shared" ca="1" si="43"/>
        <v>0</v>
      </c>
      <c r="H701" s="21">
        <v>686</v>
      </c>
      <c r="I701" s="102">
        <v>0.66772526636403906</v>
      </c>
      <c r="J701" s="103">
        <v>1.2937234774666685E-3</v>
      </c>
      <c r="K701" s="103"/>
      <c r="L701" s="103">
        <v>4.3799999999999999E-2</v>
      </c>
      <c r="O701" s="100"/>
    </row>
    <row r="702" spans="2:15" x14ac:dyDescent="0.2">
      <c r="B702" s="1">
        <v>687</v>
      </c>
      <c r="C702" s="101">
        <f t="shared" ca="1" si="40"/>
        <v>0.58481417522379142</v>
      </c>
      <c r="D702" s="101">
        <f t="shared" ca="1" si="41"/>
        <v>0.70396242535016851</v>
      </c>
      <c r="E702" s="101">
        <f t="shared" ca="1" si="42"/>
        <v>0</v>
      </c>
      <c r="F702" s="21">
        <f t="shared" ca="1" si="43"/>
        <v>0</v>
      </c>
      <c r="H702" s="21">
        <v>687</v>
      </c>
      <c r="I702" s="102">
        <v>0.66778872221693741</v>
      </c>
      <c r="J702" s="103">
        <v>1.4332677114046878E-3</v>
      </c>
      <c r="K702" s="103"/>
      <c r="L702" s="103">
        <v>4.3999999999999997E-2</v>
      </c>
      <c r="O702" s="100"/>
    </row>
    <row r="703" spans="2:15" x14ac:dyDescent="0.2">
      <c r="B703" s="1">
        <v>688</v>
      </c>
      <c r="C703" s="101">
        <f t="shared" ca="1" si="40"/>
        <v>-0.24408635623649388</v>
      </c>
      <c r="D703" s="101">
        <f t="shared" ca="1" si="41"/>
        <v>0.64869401517390335</v>
      </c>
      <c r="E703" s="101">
        <f t="shared" ca="1" si="42"/>
        <v>0</v>
      </c>
      <c r="F703" s="21">
        <f t="shared" ca="1" si="43"/>
        <v>0</v>
      </c>
      <c r="H703" s="21">
        <v>688</v>
      </c>
      <c r="I703" s="102">
        <v>0.66770366091408584</v>
      </c>
      <c r="J703" s="103">
        <v>1.1315992202369644E-3</v>
      </c>
      <c r="K703" s="103"/>
      <c r="L703" s="103">
        <v>3.9800000000000002E-2</v>
      </c>
      <c r="O703" s="100"/>
    </row>
    <row r="704" spans="2:15" x14ac:dyDescent="0.2">
      <c r="B704" s="1">
        <v>689</v>
      </c>
      <c r="C704" s="101">
        <f t="shared" ca="1" si="40"/>
        <v>-0.84958924587838514</v>
      </c>
      <c r="D704" s="101">
        <f t="shared" ca="1" si="41"/>
        <v>0.61108344834202666</v>
      </c>
      <c r="E704" s="101">
        <f t="shared" ca="1" si="42"/>
        <v>0</v>
      </c>
      <c r="F704" s="21">
        <f t="shared" ca="1" si="43"/>
        <v>0</v>
      </c>
      <c r="H704" s="21">
        <v>689</v>
      </c>
      <c r="I704" s="102">
        <v>0.66766438433358821</v>
      </c>
      <c r="J704" s="103">
        <v>1.1839996334153098E-3</v>
      </c>
      <c r="K704" s="103"/>
      <c r="L704" s="103">
        <v>4.36E-2</v>
      </c>
      <c r="O704" s="100"/>
    </row>
    <row r="705" spans="2:15" x14ac:dyDescent="0.2">
      <c r="B705" s="1">
        <v>690</v>
      </c>
      <c r="C705" s="101">
        <f t="shared" ca="1" si="40"/>
        <v>2.2625369900180461</v>
      </c>
      <c r="D705" s="101">
        <f t="shared" ca="1" si="41"/>
        <v>0.83065768980999544</v>
      </c>
      <c r="E705" s="101">
        <f t="shared" ca="1" si="42"/>
        <v>4.2457689809995425E-2</v>
      </c>
      <c r="F705" s="21">
        <f t="shared" ca="1" si="43"/>
        <v>1</v>
      </c>
      <c r="H705" s="21">
        <v>690</v>
      </c>
      <c r="I705" s="102">
        <v>0.6679473967726095</v>
      </c>
      <c r="J705" s="103">
        <v>1.6888859745331935E-3</v>
      </c>
      <c r="K705" s="103"/>
      <c r="L705" s="103">
        <v>4.5999999999999999E-2</v>
      </c>
      <c r="O705" s="100"/>
    </row>
    <row r="706" spans="2:15" x14ac:dyDescent="0.2">
      <c r="B706" s="1">
        <v>691</v>
      </c>
      <c r="C706" s="101">
        <f t="shared" ca="1" si="40"/>
        <v>-1.2964683486171609</v>
      </c>
      <c r="D706" s="101">
        <f t="shared" ca="1" si="41"/>
        <v>0.58473150692737064</v>
      </c>
      <c r="E706" s="101">
        <f t="shared" ca="1" si="42"/>
        <v>0</v>
      </c>
      <c r="F706" s="21">
        <f t="shared" ca="1" si="43"/>
        <v>0</v>
      </c>
      <c r="H706" s="21">
        <v>691</v>
      </c>
      <c r="I706" s="102">
        <v>0.66787573138826395</v>
      </c>
      <c r="J706" s="103">
        <v>1.4925854162462511E-3</v>
      </c>
      <c r="K706" s="103"/>
      <c r="L706" s="103">
        <v>4.48E-2</v>
      </c>
      <c r="O706" s="100"/>
    </row>
    <row r="707" spans="2:15" x14ac:dyDescent="0.2">
      <c r="B707" s="1">
        <v>692</v>
      </c>
      <c r="C707" s="101">
        <f t="shared" ca="1" si="40"/>
        <v>0.79474507884645407</v>
      </c>
      <c r="D707" s="101">
        <f t="shared" ca="1" si="41"/>
        <v>0.71869196485655495</v>
      </c>
      <c r="E707" s="101">
        <f t="shared" ca="1" si="42"/>
        <v>0</v>
      </c>
      <c r="F707" s="21">
        <f t="shared" ca="1" si="43"/>
        <v>0</v>
      </c>
      <c r="H707" s="21">
        <v>692</v>
      </c>
      <c r="I707" s="102">
        <v>0.66786541190252491</v>
      </c>
      <c r="J707" s="103">
        <v>1.4894489976449361E-3</v>
      </c>
      <c r="K707" s="103"/>
      <c r="L707" s="103">
        <v>4.1599999999999998E-2</v>
      </c>
      <c r="O707" s="100"/>
    </row>
    <row r="708" spans="2:15" x14ac:dyDescent="0.2">
      <c r="B708" s="1">
        <v>693</v>
      </c>
      <c r="C708" s="101">
        <f t="shared" ca="1" si="40"/>
        <v>-1.7262383697811694</v>
      </c>
      <c r="D708" s="101">
        <f t="shared" ca="1" si="41"/>
        <v>0.56046101980497687</v>
      </c>
      <c r="E708" s="101">
        <f t="shared" ca="1" si="42"/>
        <v>0</v>
      </c>
      <c r="F708" s="21">
        <f t="shared" ca="1" si="43"/>
        <v>0</v>
      </c>
      <c r="H708" s="21">
        <v>693</v>
      </c>
      <c r="I708" s="102">
        <v>0.66782265338464031</v>
      </c>
      <c r="J708" s="103">
        <v>1.4366286368488078E-3</v>
      </c>
      <c r="K708" s="103"/>
      <c r="L708" s="103">
        <v>4.36E-2</v>
      </c>
      <c r="O708" s="100"/>
    </row>
    <row r="709" spans="2:15" x14ac:dyDescent="0.2">
      <c r="B709" s="1">
        <v>694</v>
      </c>
      <c r="C709" s="101">
        <f t="shared" ca="1" si="40"/>
        <v>-0.43289823004313116</v>
      </c>
      <c r="D709" s="101">
        <f t="shared" ca="1" si="41"/>
        <v>0.63672412739137385</v>
      </c>
      <c r="E709" s="101">
        <f t="shared" ca="1" si="42"/>
        <v>0</v>
      </c>
      <c r="F709" s="21">
        <f t="shared" ca="1" si="43"/>
        <v>0</v>
      </c>
      <c r="H709" s="21">
        <v>694</v>
      </c>
      <c r="I709" s="102">
        <v>0.66768556653499223</v>
      </c>
      <c r="J709" s="103">
        <v>1.29197004297534E-3</v>
      </c>
      <c r="K709" s="103"/>
      <c r="L709" s="103">
        <v>4.4999999999999998E-2</v>
      </c>
      <c r="O709" s="100"/>
    </row>
    <row r="710" spans="2:15" x14ac:dyDescent="0.2">
      <c r="B710" s="1">
        <v>695</v>
      </c>
      <c r="C710" s="101">
        <f t="shared" ca="1" si="40"/>
        <v>-1.1048424859532713</v>
      </c>
      <c r="D710" s="101">
        <f t="shared" ca="1" si="41"/>
        <v>0.59588935776815688</v>
      </c>
      <c r="E710" s="101">
        <f t="shared" ca="1" si="42"/>
        <v>0</v>
      </c>
      <c r="F710" s="21">
        <f t="shared" ca="1" si="43"/>
        <v>0</v>
      </c>
      <c r="H710" s="21">
        <v>695</v>
      </c>
      <c r="I710" s="102">
        <v>0.66774946084777709</v>
      </c>
      <c r="J710" s="103">
        <v>1.4696996560726379E-3</v>
      </c>
      <c r="K710" s="103"/>
      <c r="L710" s="103">
        <v>4.0399999999999998E-2</v>
      </c>
      <c r="O710" s="100"/>
    </row>
    <row r="711" spans="2:15" x14ac:dyDescent="0.2">
      <c r="B711" s="1">
        <v>696</v>
      </c>
      <c r="C711" s="101">
        <f t="shared" ca="1" si="40"/>
        <v>-2.2701108120502531</v>
      </c>
      <c r="D711" s="101">
        <f t="shared" ca="1" si="41"/>
        <v>0.53118555037804005</v>
      </c>
      <c r="E711" s="101">
        <f t="shared" ca="1" si="42"/>
        <v>0</v>
      </c>
      <c r="F711" s="21">
        <f t="shared" ca="1" si="43"/>
        <v>0</v>
      </c>
      <c r="H711" s="21">
        <v>696</v>
      </c>
      <c r="I711" s="102">
        <v>0.6677375221578622</v>
      </c>
      <c r="J711" s="103">
        <v>1.2395125089605316E-3</v>
      </c>
      <c r="K711" s="103"/>
      <c r="L711" s="103">
        <v>4.02E-2</v>
      </c>
      <c r="O711" s="100"/>
    </row>
    <row r="712" spans="2:15" x14ac:dyDescent="0.2">
      <c r="B712" s="1">
        <v>697</v>
      </c>
      <c r="C712" s="101">
        <f t="shared" ca="1" si="40"/>
        <v>-0.25600160279061596</v>
      </c>
      <c r="D712" s="101">
        <f t="shared" ca="1" si="41"/>
        <v>0.64793202981053544</v>
      </c>
      <c r="E712" s="101">
        <f t="shared" ca="1" si="42"/>
        <v>0</v>
      </c>
      <c r="F712" s="21">
        <f t="shared" ca="1" si="43"/>
        <v>0</v>
      </c>
      <c r="H712" s="21">
        <v>697</v>
      </c>
      <c r="I712" s="102">
        <v>0.66767543647773808</v>
      </c>
      <c r="J712" s="103">
        <v>1.4074231081187532E-3</v>
      </c>
      <c r="K712" s="103"/>
      <c r="L712" s="103">
        <v>4.1200000000000001E-2</v>
      </c>
      <c r="O712" s="100"/>
    </row>
    <row r="713" spans="2:15" x14ac:dyDescent="0.2">
      <c r="B713" s="1">
        <v>698</v>
      </c>
      <c r="C713" s="101">
        <f t="shared" ca="1" si="40"/>
        <v>-4.0291070741625995E-2</v>
      </c>
      <c r="D713" s="101">
        <f t="shared" ca="1" si="41"/>
        <v>0.66186643214340191</v>
      </c>
      <c r="E713" s="101">
        <f t="shared" ca="1" si="42"/>
        <v>0</v>
      </c>
      <c r="F713" s="21">
        <f t="shared" ca="1" si="43"/>
        <v>0</v>
      </c>
      <c r="H713" s="21">
        <v>698</v>
      </c>
      <c r="I713" s="102">
        <v>0.66778065314895696</v>
      </c>
      <c r="J713" s="103">
        <v>1.3762946769661478E-3</v>
      </c>
      <c r="K713" s="103"/>
      <c r="L713" s="103">
        <v>4.1399999999999999E-2</v>
      </c>
      <c r="O713" s="100"/>
    </row>
    <row r="714" spans="2:15" x14ac:dyDescent="0.2">
      <c r="B714" s="1">
        <v>699</v>
      </c>
      <c r="C714" s="101">
        <f t="shared" ca="1" si="40"/>
        <v>-0.73660692596746868</v>
      </c>
      <c r="D714" s="101">
        <f t="shared" ca="1" si="41"/>
        <v>0.61793189698660977</v>
      </c>
      <c r="E714" s="101">
        <f t="shared" ca="1" si="42"/>
        <v>0</v>
      </c>
      <c r="F714" s="21">
        <f t="shared" ca="1" si="43"/>
        <v>0</v>
      </c>
      <c r="H714" s="21">
        <v>699</v>
      </c>
      <c r="I714" s="102">
        <v>0.66775604251487397</v>
      </c>
      <c r="J714" s="103">
        <v>1.3301455200139345E-3</v>
      </c>
      <c r="K714" s="103"/>
      <c r="L714" s="103">
        <v>4.02E-2</v>
      </c>
      <c r="O714" s="100"/>
    </row>
    <row r="715" spans="2:15" x14ac:dyDescent="0.2">
      <c r="B715" s="1">
        <v>700</v>
      </c>
      <c r="C715" s="101">
        <f t="shared" ca="1" si="40"/>
        <v>-0.65534853371929247</v>
      </c>
      <c r="D715" s="101">
        <f t="shared" ca="1" si="41"/>
        <v>0.62290479361729489</v>
      </c>
      <c r="E715" s="101">
        <f t="shared" ca="1" si="42"/>
        <v>0</v>
      </c>
      <c r="F715" s="21">
        <f t="shared" ca="1" si="43"/>
        <v>0</v>
      </c>
      <c r="H715" s="21">
        <v>700</v>
      </c>
      <c r="I715" s="102">
        <v>0.6677848294220422</v>
      </c>
      <c r="J715" s="103">
        <v>1.2647733828969891E-3</v>
      </c>
      <c r="K715" s="103"/>
      <c r="L715" s="103">
        <v>4.4600000000000001E-2</v>
      </c>
      <c r="O715" s="100"/>
    </row>
    <row r="716" spans="2:15" x14ac:dyDescent="0.2">
      <c r="B716" s="1">
        <v>701</v>
      </c>
      <c r="C716" s="101">
        <f t="shared" ca="1" si="40"/>
        <v>-1.0501307492808318</v>
      </c>
      <c r="D716" s="101">
        <f t="shared" ca="1" si="41"/>
        <v>0.59911396976922149</v>
      </c>
      <c r="E716" s="101">
        <f t="shared" ca="1" si="42"/>
        <v>0</v>
      </c>
      <c r="F716" s="21">
        <f t="shared" ca="1" si="43"/>
        <v>0</v>
      </c>
      <c r="H716" s="21">
        <v>701</v>
      </c>
      <c r="I716" s="102">
        <v>0.66777850597506239</v>
      </c>
      <c r="J716" s="103">
        <v>1.3904337026995157E-3</v>
      </c>
      <c r="K716" s="103"/>
      <c r="L716" s="103">
        <v>4.3200000000000002E-2</v>
      </c>
      <c r="O716" s="100"/>
    </row>
    <row r="717" spans="2:15" x14ac:dyDescent="0.2">
      <c r="B717" s="1">
        <v>702</v>
      </c>
      <c r="C717" s="101">
        <f t="shared" ca="1" si="40"/>
        <v>1.5275753749580512</v>
      </c>
      <c r="D717" s="101">
        <f t="shared" ca="1" si="41"/>
        <v>0.77256812784952733</v>
      </c>
      <c r="E717" s="101">
        <f t="shared" ca="1" si="42"/>
        <v>0</v>
      </c>
      <c r="F717" s="21">
        <f t="shared" ca="1" si="43"/>
        <v>0</v>
      </c>
      <c r="H717" s="21">
        <v>702</v>
      </c>
      <c r="I717" s="102">
        <v>0.66785447779490614</v>
      </c>
      <c r="J717" s="103">
        <v>1.4864927068350821E-3</v>
      </c>
      <c r="K717" s="103"/>
      <c r="L717" s="103">
        <v>4.3200000000000002E-2</v>
      </c>
      <c r="O717" s="100"/>
    </row>
    <row r="718" spans="2:15" x14ac:dyDescent="0.2">
      <c r="B718" s="1">
        <v>703</v>
      </c>
      <c r="C718" s="101">
        <f t="shared" ca="1" si="40"/>
        <v>-1.7081482614012478</v>
      </c>
      <c r="D718" s="101">
        <f t="shared" ca="1" si="41"/>
        <v>0.56146201737752444</v>
      </c>
      <c r="E718" s="101">
        <f t="shared" ca="1" si="42"/>
        <v>0</v>
      </c>
      <c r="F718" s="21">
        <f t="shared" ca="1" si="43"/>
        <v>0</v>
      </c>
      <c r="H718" s="21">
        <v>703</v>
      </c>
      <c r="I718" s="102">
        <v>0.66772493649719022</v>
      </c>
      <c r="J718" s="103">
        <v>1.2551534966257646E-3</v>
      </c>
      <c r="K718" s="103"/>
      <c r="L718" s="103">
        <v>0.04</v>
      </c>
      <c r="O718" s="100"/>
    </row>
    <row r="719" spans="2:15" x14ac:dyDescent="0.2">
      <c r="B719" s="1">
        <v>704</v>
      </c>
      <c r="C719" s="101">
        <f t="shared" ca="1" si="40"/>
        <v>1.0104985408469103</v>
      </c>
      <c r="D719" s="101">
        <f t="shared" ca="1" si="41"/>
        <v>0.73415123662207549</v>
      </c>
      <c r="E719" s="101">
        <f t="shared" ca="1" si="42"/>
        <v>0</v>
      </c>
      <c r="F719" s="21">
        <f t="shared" ca="1" si="43"/>
        <v>0</v>
      </c>
      <c r="H719" s="21">
        <v>704</v>
      </c>
      <c r="I719" s="102">
        <v>0.66759578955581333</v>
      </c>
      <c r="J719" s="103">
        <v>1.219496122188688E-3</v>
      </c>
      <c r="K719" s="103"/>
      <c r="L719" s="103">
        <v>3.7999999999999999E-2</v>
      </c>
      <c r="O719" s="100"/>
    </row>
    <row r="720" spans="2:15" x14ac:dyDescent="0.2">
      <c r="B720" s="1">
        <v>705</v>
      </c>
      <c r="C720" s="101">
        <f t="shared" ref="C720:C783" ca="1" si="44">_xlfn.NORM.S.INV(RAND())</f>
        <v>1.0455787481468091</v>
      </c>
      <c r="D720" s="101">
        <f t="shared" ref="D720:D783" ca="1" si="45">S0*EXP((μ-0.5*σ*σ)*T+σ*SQRT(T)*$C720)</f>
        <v>0.73669606330817738</v>
      </c>
      <c r="E720" s="101">
        <f t="shared" ref="E720:E783" ca="1" si="46">MAX(0,CP*(D720-K))</f>
        <v>0</v>
      </c>
      <c r="F720" s="21">
        <f t="shared" ref="F720:F783" ca="1" si="47">(CP*(D720-K)&gt;0)*1</f>
        <v>0</v>
      </c>
      <c r="H720" s="21">
        <v>705</v>
      </c>
      <c r="I720" s="102">
        <v>0.66791729640336872</v>
      </c>
      <c r="J720" s="103">
        <v>1.5309880416029557E-3</v>
      </c>
      <c r="K720" s="103"/>
      <c r="L720" s="103">
        <v>4.3200000000000002E-2</v>
      </c>
      <c r="O720" s="100"/>
    </row>
    <row r="721" spans="2:15" x14ac:dyDescent="0.2">
      <c r="B721" s="1">
        <v>706</v>
      </c>
      <c r="C721" s="101">
        <f t="shared" ca="1" si="44"/>
        <v>-0.50317956499955685</v>
      </c>
      <c r="D721" s="101">
        <f t="shared" ca="1" si="45"/>
        <v>0.6323252113316955</v>
      </c>
      <c r="E721" s="101">
        <f t="shared" ca="1" si="46"/>
        <v>0</v>
      </c>
      <c r="F721" s="21">
        <f t="shared" ca="1" si="47"/>
        <v>0</v>
      </c>
      <c r="H721" s="21">
        <v>706</v>
      </c>
      <c r="I721" s="102">
        <v>0.66766945725924876</v>
      </c>
      <c r="J721" s="103">
        <v>1.2443431751447817E-3</v>
      </c>
      <c r="K721" s="103"/>
      <c r="L721" s="103">
        <v>3.6600000000000001E-2</v>
      </c>
      <c r="O721" s="100"/>
    </row>
    <row r="722" spans="2:15" x14ac:dyDescent="0.2">
      <c r="B722" s="1">
        <v>707</v>
      </c>
      <c r="C722" s="101">
        <f t="shared" ca="1" si="44"/>
        <v>0.55617351241875856</v>
      </c>
      <c r="D722" s="101">
        <f t="shared" ca="1" si="45"/>
        <v>0.70197643051807557</v>
      </c>
      <c r="E722" s="101">
        <f t="shared" ca="1" si="46"/>
        <v>0</v>
      </c>
      <c r="F722" s="21">
        <f t="shared" ca="1" si="47"/>
        <v>0</v>
      </c>
      <c r="H722" s="21">
        <v>707</v>
      </c>
      <c r="I722" s="102">
        <v>0.66788409503423674</v>
      </c>
      <c r="J722" s="103">
        <v>1.3656360198131684E-3</v>
      </c>
      <c r="K722" s="103"/>
      <c r="L722" s="103">
        <v>4.6199999999999998E-2</v>
      </c>
      <c r="O722" s="100"/>
    </row>
    <row r="723" spans="2:15" x14ac:dyDescent="0.2">
      <c r="B723" s="1">
        <v>708</v>
      </c>
      <c r="C723" s="101">
        <f t="shared" ca="1" si="44"/>
        <v>-0.39873520912343763</v>
      </c>
      <c r="D723" s="101">
        <f t="shared" ca="1" si="45"/>
        <v>0.63887343433299515</v>
      </c>
      <c r="E723" s="101">
        <f t="shared" ca="1" si="46"/>
        <v>0</v>
      </c>
      <c r="F723" s="21">
        <f t="shared" ca="1" si="47"/>
        <v>0</v>
      </c>
      <c r="H723" s="21">
        <v>708</v>
      </c>
      <c r="I723" s="102">
        <v>0.66755582399437585</v>
      </c>
      <c r="J723" s="103">
        <v>1.1515730268781455E-3</v>
      </c>
      <c r="K723" s="103"/>
      <c r="L723" s="103">
        <v>3.7400000000000003E-2</v>
      </c>
      <c r="O723" s="100"/>
    </row>
    <row r="724" spans="2:15" x14ac:dyDescent="0.2">
      <c r="B724" s="1">
        <v>709</v>
      </c>
      <c r="C724" s="101">
        <f t="shared" ca="1" si="44"/>
        <v>1.9953869892651446</v>
      </c>
      <c r="D724" s="101">
        <f t="shared" ca="1" si="45"/>
        <v>0.80905407298842891</v>
      </c>
      <c r="E724" s="101">
        <f t="shared" ca="1" si="46"/>
        <v>2.0854072988428896E-2</v>
      </c>
      <c r="F724" s="21">
        <f t="shared" ca="1" si="47"/>
        <v>1</v>
      </c>
      <c r="H724" s="21">
        <v>709</v>
      </c>
      <c r="I724" s="102">
        <v>0.66771081541805422</v>
      </c>
      <c r="J724" s="103">
        <v>1.3949465020786087E-3</v>
      </c>
      <c r="K724" s="103"/>
      <c r="L724" s="103">
        <v>4.2200000000000001E-2</v>
      </c>
      <c r="O724" s="100"/>
    </row>
    <row r="725" spans="2:15" x14ac:dyDescent="0.2">
      <c r="B725" s="1">
        <v>710</v>
      </c>
      <c r="C725" s="101">
        <f t="shared" ca="1" si="44"/>
        <v>0.90688768744189041</v>
      </c>
      <c r="D725" s="101">
        <f t="shared" ca="1" si="45"/>
        <v>0.726686194479502</v>
      </c>
      <c r="E725" s="101">
        <f t="shared" ca="1" si="46"/>
        <v>0</v>
      </c>
      <c r="F725" s="21">
        <f t="shared" ca="1" si="47"/>
        <v>0</v>
      </c>
      <c r="H725" s="21">
        <v>710</v>
      </c>
      <c r="I725" s="102">
        <v>0.66775419301206063</v>
      </c>
      <c r="J725" s="103">
        <v>1.2669820922501485E-3</v>
      </c>
      <c r="K725" s="103"/>
      <c r="L725" s="103">
        <v>4.3400000000000001E-2</v>
      </c>
      <c r="O725" s="100"/>
    </row>
    <row r="726" spans="2:15" x14ac:dyDescent="0.2">
      <c r="B726" s="1">
        <v>711</v>
      </c>
      <c r="C726" s="101">
        <f t="shared" ca="1" si="44"/>
        <v>-0.69478253901824227</v>
      </c>
      <c r="D726" s="101">
        <f t="shared" ca="1" si="45"/>
        <v>0.62048651089105789</v>
      </c>
      <c r="E726" s="101">
        <f t="shared" ca="1" si="46"/>
        <v>0</v>
      </c>
      <c r="F726" s="21">
        <f t="shared" ca="1" si="47"/>
        <v>0</v>
      </c>
      <c r="H726" s="21">
        <v>711</v>
      </c>
      <c r="I726" s="102">
        <v>0.66764323116529989</v>
      </c>
      <c r="J726" s="103">
        <v>1.3495180455100834E-3</v>
      </c>
      <c r="K726" s="103"/>
      <c r="L726" s="103">
        <v>4.1799999999999997E-2</v>
      </c>
      <c r="O726" s="100"/>
    </row>
    <row r="727" spans="2:15" x14ac:dyDescent="0.2">
      <c r="B727" s="1">
        <v>712</v>
      </c>
      <c r="C727" s="101">
        <f t="shared" ca="1" si="44"/>
        <v>-0.15369685329685229</v>
      </c>
      <c r="D727" s="101">
        <f t="shared" ca="1" si="45"/>
        <v>0.65450372369363352</v>
      </c>
      <c r="E727" s="101">
        <f t="shared" ca="1" si="46"/>
        <v>0</v>
      </c>
      <c r="F727" s="21">
        <f t="shared" ca="1" si="47"/>
        <v>0</v>
      </c>
      <c r="H727" s="21">
        <v>712</v>
      </c>
      <c r="I727" s="102">
        <v>0.66765189587858376</v>
      </c>
      <c r="J727" s="103">
        <v>1.2499122470750947E-3</v>
      </c>
      <c r="K727" s="103"/>
      <c r="L727" s="103">
        <v>3.8800000000000001E-2</v>
      </c>
      <c r="O727" s="100"/>
    </row>
    <row r="728" spans="2:15" x14ac:dyDescent="0.2">
      <c r="B728" s="1">
        <v>713</v>
      </c>
      <c r="C728" s="101">
        <f t="shared" ca="1" si="44"/>
        <v>-1.3968031012134468</v>
      </c>
      <c r="D728" s="101">
        <f t="shared" ca="1" si="45"/>
        <v>0.57897287377298767</v>
      </c>
      <c r="E728" s="101">
        <f t="shared" ca="1" si="46"/>
        <v>0</v>
      </c>
      <c r="F728" s="21">
        <f t="shared" ca="1" si="47"/>
        <v>0</v>
      </c>
      <c r="H728" s="21">
        <v>713</v>
      </c>
      <c r="I728" s="102">
        <v>0.6676835848190521</v>
      </c>
      <c r="J728" s="103">
        <v>1.2626225099843969E-3</v>
      </c>
      <c r="K728" s="103"/>
      <c r="L728" s="103">
        <v>3.9600000000000003E-2</v>
      </c>
      <c r="O728" s="100"/>
    </row>
    <row r="729" spans="2:15" x14ac:dyDescent="0.2">
      <c r="B729" s="1">
        <v>714</v>
      </c>
      <c r="C729" s="101">
        <f t="shared" ca="1" si="44"/>
        <v>-5.0094788621252537E-2</v>
      </c>
      <c r="D729" s="101">
        <f t="shared" ca="1" si="45"/>
        <v>0.66122668245115501</v>
      </c>
      <c r="E729" s="101">
        <f t="shared" ca="1" si="46"/>
        <v>0</v>
      </c>
      <c r="F729" s="21">
        <f t="shared" ca="1" si="47"/>
        <v>0</v>
      </c>
      <c r="H729" s="21">
        <v>714</v>
      </c>
      <c r="I729" s="102">
        <v>0.66771229863274872</v>
      </c>
      <c r="J729" s="103">
        <v>1.3298428355663972E-3</v>
      </c>
      <c r="K729" s="103"/>
      <c r="L729" s="103">
        <v>4.24E-2</v>
      </c>
      <c r="O729" s="100"/>
    </row>
    <row r="730" spans="2:15" x14ac:dyDescent="0.2">
      <c r="B730" s="1">
        <v>715</v>
      </c>
      <c r="C730" s="101">
        <f t="shared" ca="1" si="44"/>
        <v>-1.4145729425630356</v>
      </c>
      <c r="D730" s="101">
        <f t="shared" ca="1" si="45"/>
        <v>0.57795891546352485</v>
      </c>
      <c r="E730" s="101">
        <f t="shared" ca="1" si="46"/>
        <v>0</v>
      </c>
      <c r="F730" s="21">
        <f t="shared" ca="1" si="47"/>
        <v>0</v>
      </c>
      <c r="H730" s="21">
        <v>715</v>
      </c>
      <c r="I730" s="102">
        <v>0.66779774336054543</v>
      </c>
      <c r="J730" s="103">
        <v>1.278207880913836E-3</v>
      </c>
      <c r="K730" s="103"/>
      <c r="L730" s="103">
        <v>4.3799999999999999E-2</v>
      </c>
      <c r="O730" s="100"/>
    </row>
    <row r="731" spans="2:15" x14ac:dyDescent="0.2">
      <c r="B731" s="1">
        <v>716</v>
      </c>
      <c r="C731" s="101">
        <f t="shared" ca="1" si="44"/>
        <v>0.26283255741196643</v>
      </c>
      <c r="D731" s="101">
        <f t="shared" ca="1" si="45"/>
        <v>0.68195541922266001</v>
      </c>
      <c r="E731" s="101">
        <f t="shared" ca="1" si="46"/>
        <v>0</v>
      </c>
      <c r="F731" s="21">
        <f t="shared" ca="1" si="47"/>
        <v>0</v>
      </c>
      <c r="H731" s="21">
        <v>716</v>
      </c>
      <c r="I731" s="102">
        <v>0.66760457886291447</v>
      </c>
      <c r="J731" s="103">
        <v>1.1568109280703104E-3</v>
      </c>
      <c r="K731" s="103"/>
      <c r="L731" s="103">
        <v>3.78E-2</v>
      </c>
      <c r="O731" s="100"/>
    </row>
    <row r="732" spans="2:15" x14ac:dyDescent="0.2">
      <c r="B732" s="1">
        <v>717</v>
      </c>
      <c r="C732" s="101">
        <f t="shared" ca="1" si="44"/>
        <v>-1.2830731634109684</v>
      </c>
      <c r="D732" s="101">
        <f t="shared" ca="1" si="45"/>
        <v>0.58550463433799749</v>
      </c>
      <c r="E732" s="101">
        <f t="shared" ca="1" si="46"/>
        <v>0</v>
      </c>
      <c r="F732" s="21">
        <f t="shared" ca="1" si="47"/>
        <v>0</v>
      </c>
      <c r="H732" s="21">
        <v>717</v>
      </c>
      <c r="I732" s="102">
        <v>0.66772685547089483</v>
      </c>
      <c r="J732" s="103">
        <v>1.4133230725155558E-3</v>
      </c>
      <c r="K732" s="103"/>
      <c r="L732" s="103">
        <v>3.9600000000000003E-2</v>
      </c>
      <c r="O732" s="100"/>
    </row>
    <row r="733" spans="2:15" x14ac:dyDescent="0.2">
      <c r="B733" s="1">
        <v>718</v>
      </c>
      <c r="C733" s="101">
        <f t="shared" ca="1" si="44"/>
        <v>0.49055123909767456</v>
      </c>
      <c r="D733" s="101">
        <f t="shared" ca="1" si="45"/>
        <v>0.69744716425996334</v>
      </c>
      <c r="E733" s="101">
        <f t="shared" ca="1" si="46"/>
        <v>0</v>
      </c>
      <c r="F733" s="21">
        <f t="shared" ca="1" si="47"/>
        <v>0</v>
      </c>
      <c r="H733" s="21">
        <v>718</v>
      </c>
      <c r="I733" s="102">
        <v>0.66762929575941354</v>
      </c>
      <c r="J733" s="103">
        <v>1.202623984568907E-3</v>
      </c>
      <c r="K733" s="103"/>
      <c r="L733" s="103">
        <v>4.0599999999999997E-2</v>
      </c>
      <c r="O733" s="100"/>
    </row>
    <row r="734" spans="2:15" x14ac:dyDescent="0.2">
      <c r="B734" s="1">
        <v>719</v>
      </c>
      <c r="C734" s="101">
        <f t="shared" ca="1" si="44"/>
        <v>0.59674013132288872</v>
      </c>
      <c r="D734" s="101">
        <f t="shared" ca="1" si="45"/>
        <v>0.70479104849789054</v>
      </c>
      <c r="E734" s="101">
        <f t="shared" ca="1" si="46"/>
        <v>0</v>
      </c>
      <c r="F734" s="21">
        <f t="shared" ca="1" si="47"/>
        <v>0</v>
      </c>
      <c r="H734" s="21">
        <v>719</v>
      </c>
      <c r="I734" s="102">
        <v>0.66767733318092548</v>
      </c>
      <c r="J734" s="103">
        <v>1.2570349493014501E-3</v>
      </c>
      <c r="K734" s="103"/>
      <c r="L734" s="103">
        <v>4.24E-2</v>
      </c>
      <c r="O734" s="100"/>
    </row>
    <row r="735" spans="2:15" x14ac:dyDescent="0.2">
      <c r="B735" s="1">
        <v>720</v>
      </c>
      <c r="C735" s="101">
        <f t="shared" ca="1" si="44"/>
        <v>-0.72265237322800457</v>
      </c>
      <c r="D735" s="101">
        <f t="shared" ca="1" si="45"/>
        <v>0.61878306319208454</v>
      </c>
      <c r="E735" s="101">
        <f t="shared" ca="1" si="46"/>
        <v>0</v>
      </c>
      <c r="F735" s="21">
        <f t="shared" ca="1" si="47"/>
        <v>0</v>
      </c>
      <c r="H735" s="21">
        <v>720</v>
      </c>
      <c r="I735" s="102">
        <v>0.66770765144502764</v>
      </c>
      <c r="J735" s="103">
        <v>1.2708658796119557E-3</v>
      </c>
      <c r="K735" s="103"/>
      <c r="L735" s="103">
        <v>3.7400000000000003E-2</v>
      </c>
      <c r="O735" s="100"/>
    </row>
    <row r="736" spans="2:15" x14ac:dyDescent="0.2">
      <c r="B736" s="1">
        <v>721</v>
      </c>
      <c r="C736" s="101">
        <f t="shared" ca="1" si="44"/>
        <v>-0.32256569721147438</v>
      </c>
      <c r="D736" s="101">
        <f t="shared" ca="1" si="45"/>
        <v>0.64369166349678442</v>
      </c>
      <c r="E736" s="101">
        <f t="shared" ca="1" si="46"/>
        <v>0</v>
      </c>
      <c r="F736" s="21">
        <f t="shared" ca="1" si="47"/>
        <v>0</v>
      </c>
      <c r="H736" s="21">
        <v>721</v>
      </c>
      <c r="I736" s="102">
        <v>0.66776996902220109</v>
      </c>
      <c r="J736" s="103">
        <v>1.4603582746056431E-3</v>
      </c>
      <c r="K736" s="103"/>
      <c r="L736" s="103">
        <v>4.24E-2</v>
      </c>
      <c r="O736" s="100"/>
    </row>
    <row r="737" spans="2:15" x14ac:dyDescent="0.2">
      <c r="B737" s="1">
        <v>722</v>
      </c>
      <c r="C737" s="101">
        <f t="shared" ca="1" si="44"/>
        <v>-0.33012561881420327</v>
      </c>
      <c r="D737" s="101">
        <f t="shared" ca="1" si="45"/>
        <v>0.64321182823937939</v>
      </c>
      <c r="E737" s="101">
        <f t="shared" ca="1" si="46"/>
        <v>0</v>
      </c>
      <c r="F737" s="21">
        <f t="shared" ca="1" si="47"/>
        <v>0</v>
      </c>
      <c r="H737" s="21">
        <v>722</v>
      </c>
      <c r="I737" s="102">
        <v>0.66768395331348862</v>
      </c>
      <c r="J737" s="103">
        <v>1.3035658170854579E-3</v>
      </c>
      <c r="K737" s="103"/>
      <c r="L737" s="103">
        <v>4.02E-2</v>
      </c>
      <c r="O737" s="100"/>
    </row>
    <row r="738" spans="2:15" x14ac:dyDescent="0.2">
      <c r="B738" s="1">
        <v>723</v>
      </c>
      <c r="C738" s="101">
        <f t="shared" ca="1" si="44"/>
        <v>8.2872846057871676E-3</v>
      </c>
      <c r="D738" s="101">
        <f t="shared" ca="1" si="45"/>
        <v>0.66504559673299812</v>
      </c>
      <c r="E738" s="101">
        <f t="shared" ca="1" si="46"/>
        <v>0</v>
      </c>
      <c r="F738" s="21">
        <f t="shared" ca="1" si="47"/>
        <v>0</v>
      </c>
      <c r="H738" s="21">
        <v>723</v>
      </c>
      <c r="I738" s="102">
        <v>0.66759964599235222</v>
      </c>
      <c r="J738" s="103">
        <v>1.1759337584633656E-3</v>
      </c>
      <c r="K738" s="103"/>
      <c r="L738" s="103">
        <v>4.1200000000000001E-2</v>
      </c>
      <c r="O738" s="100"/>
    </row>
    <row r="739" spans="2:15" x14ac:dyDescent="0.2">
      <c r="B739" s="1">
        <v>724</v>
      </c>
      <c r="C739" s="101">
        <f t="shared" ca="1" si="44"/>
        <v>-0.48348861893726974</v>
      </c>
      <c r="D739" s="101">
        <f t="shared" ca="1" si="45"/>
        <v>0.63355459608663311</v>
      </c>
      <c r="E739" s="101">
        <f t="shared" ca="1" si="46"/>
        <v>0</v>
      </c>
      <c r="F739" s="21">
        <f t="shared" ca="1" si="47"/>
        <v>0</v>
      </c>
      <c r="H739" s="21">
        <v>724</v>
      </c>
      <c r="I739" s="102">
        <v>0.6677835490002948</v>
      </c>
      <c r="J739" s="103">
        <v>1.3329374168144607E-3</v>
      </c>
      <c r="K739" s="103"/>
      <c r="L739" s="103">
        <v>4.1399999999999999E-2</v>
      </c>
      <c r="O739" s="100"/>
    </row>
    <row r="740" spans="2:15" x14ac:dyDescent="0.2">
      <c r="B740" s="1">
        <v>725</v>
      </c>
      <c r="C740" s="101">
        <f t="shared" ca="1" si="44"/>
        <v>1.06198285839159</v>
      </c>
      <c r="D740" s="101">
        <f t="shared" ca="1" si="45"/>
        <v>0.73788909326111807</v>
      </c>
      <c r="E740" s="101">
        <f t="shared" ca="1" si="46"/>
        <v>0</v>
      </c>
      <c r="F740" s="21">
        <f t="shared" ca="1" si="47"/>
        <v>0</v>
      </c>
      <c r="H740" s="21">
        <v>725</v>
      </c>
      <c r="I740" s="102">
        <v>0.66777895209302818</v>
      </c>
      <c r="J740" s="103">
        <v>1.3745828608201774E-3</v>
      </c>
      <c r="K740" s="103"/>
      <c r="L740" s="103">
        <v>4.0399999999999998E-2</v>
      </c>
      <c r="O740" s="100"/>
    </row>
    <row r="741" spans="2:15" x14ac:dyDescent="0.2">
      <c r="B741" s="1">
        <v>726</v>
      </c>
      <c r="C741" s="101">
        <f t="shared" ca="1" si="44"/>
        <v>0.18266054372942347</v>
      </c>
      <c r="D741" s="101">
        <f t="shared" ca="1" si="45"/>
        <v>0.67658359801599943</v>
      </c>
      <c r="E741" s="101">
        <f t="shared" ca="1" si="46"/>
        <v>0</v>
      </c>
      <c r="F741" s="21">
        <f t="shared" ca="1" si="47"/>
        <v>0</v>
      </c>
      <c r="H741" s="21">
        <v>726</v>
      </c>
      <c r="I741" s="102">
        <v>0.66763925681504244</v>
      </c>
      <c r="J741" s="103">
        <v>1.1857479010201598E-3</v>
      </c>
      <c r="K741" s="103"/>
      <c r="L741" s="103">
        <v>3.9399999999999998E-2</v>
      </c>
      <c r="O741" s="100"/>
    </row>
    <row r="742" spans="2:15" x14ac:dyDescent="0.2">
      <c r="B742" s="1">
        <v>727</v>
      </c>
      <c r="C742" s="101">
        <f t="shared" ca="1" si="44"/>
        <v>0.11390548653323715</v>
      </c>
      <c r="D742" s="101">
        <f t="shared" ca="1" si="45"/>
        <v>0.67201047236904721</v>
      </c>
      <c r="E742" s="101">
        <f t="shared" ca="1" si="46"/>
        <v>0</v>
      </c>
      <c r="F742" s="21">
        <f t="shared" ca="1" si="47"/>
        <v>0</v>
      </c>
      <c r="H742" s="21">
        <v>727</v>
      </c>
      <c r="I742" s="102">
        <v>0.66784704471913581</v>
      </c>
      <c r="J742" s="103">
        <v>1.4760886732928468E-3</v>
      </c>
      <c r="K742" s="103"/>
      <c r="L742" s="103">
        <v>4.2999999999999997E-2</v>
      </c>
      <c r="O742" s="100"/>
    </row>
    <row r="743" spans="2:15" x14ac:dyDescent="0.2">
      <c r="B743" s="1">
        <v>728</v>
      </c>
      <c r="C743" s="101">
        <f t="shared" ca="1" si="44"/>
        <v>-0.78932169513748907</v>
      </c>
      <c r="D743" s="101">
        <f t="shared" ca="1" si="45"/>
        <v>0.61472708040783719</v>
      </c>
      <c r="E743" s="101">
        <f t="shared" ca="1" si="46"/>
        <v>0</v>
      </c>
      <c r="F743" s="21">
        <f t="shared" ca="1" si="47"/>
        <v>0</v>
      </c>
      <c r="H743" s="21">
        <v>728</v>
      </c>
      <c r="I743" s="102">
        <v>0.66785852572653448</v>
      </c>
      <c r="J743" s="103">
        <v>1.5627634206494558E-3</v>
      </c>
      <c r="K743" s="103"/>
      <c r="L743" s="103">
        <v>4.4600000000000001E-2</v>
      </c>
      <c r="O743" s="100"/>
    </row>
    <row r="744" spans="2:15" x14ac:dyDescent="0.2">
      <c r="B744" s="1">
        <v>729</v>
      </c>
      <c r="C744" s="101">
        <f t="shared" ca="1" si="44"/>
        <v>0.63247941463023816</v>
      </c>
      <c r="D744" s="101">
        <f t="shared" ca="1" si="45"/>
        <v>0.7072800827248662</v>
      </c>
      <c r="E744" s="101">
        <f t="shared" ca="1" si="46"/>
        <v>0</v>
      </c>
      <c r="F744" s="21">
        <f t="shared" ca="1" si="47"/>
        <v>0</v>
      </c>
      <c r="H744" s="21">
        <v>729</v>
      </c>
      <c r="I744" s="102">
        <v>0.66780340849081554</v>
      </c>
      <c r="J744" s="103">
        <v>1.428950305569198E-3</v>
      </c>
      <c r="K744" s="103"/>
      <c r="L744" s="103">
        <v>4.1399999999999999E-2</v>
      </c>
      <c r="O744" s="100"/>
    </row>
    <row r="745" spans="2:15" x14ac:dyDescent="0.2">
      <c r="B745" s="1">
        <v>730</v>
      </c>
      <c r="C745" s="101">
        <f t="shared" ca="1" si="44"/>
        <v>1.798672741266103</v>
      </c>
      <c r="D745" s="101">
        <f t="shared" ca="1" si="45"/>
        <v>0.79350639558192348</v>
      </c>
      <c r="E745" s="101">
        <f t="shared" ca="1" si="46"/>
        <v>5.3063955819234732E-3</v>
      </c>
      <c r="F745" s="21">
        <f t="shared" ca="1" si="47"/>
        <v>1</v>
      </c>
      <c r="H745" s="21">
        <v>730</v>
      </c>
      <c r="I745" s="102">
        <v>0.66770339656951128</v>
      </c>
      <c r="J745" s="103">
        <v>1.3606285148233307E-3</v>
      </c>
      <c r="K745" s="103"/>
      <c r="L745" s="103">
        <v>3.9800000000000002E-2</v>
      </c>
      <c r="O745" s="100"/>
    </row>
    <row r="746" spans="2:15" x14ac:dyDescent="0.2">
      <c r="B746" s="1">
        <v>731</v>
      </c>
      <c r="C746" s="101">
        <f t="shared" ca="1" si="44"/>
        <v>0.88037242416643191</v>
      </c>
      <c r="D746" s="101">
        <f t="shared" ca="1" si="45"/>
        <v>0.72478802962065447</v>
      </c>
      <c r="E746" s="101">
        <f t="shared" ca="1" si="46"/>
        <v>0</v>
      </c>
      <c r="F746" s="21">
        <f t="shared" ca="1" si="47"/>
        <v>0</v>
      </c>
      <c r="H746" s="21">
        <v>731</v>
      </c>
      <c r="I746" s="102">
        <v>0.667870568402678</v>
      </c>
      <c r="J746" s="103">
        <v>1.5016645488155865E-3</v>
      </c>
      <c r="K746" s="103"/>
      <c r="L746" s="103">
        <v>4.6600000000000003E-2</v>
      </c>
      <c r="O746" s="100"/>
    </row>
    <row r="747" spans="2:15" x14ac:dyDescent="0.2">
      <c r="B747" s="1">
        <v>732</v>
      </c>
      <c r="C747" s="101">
        <f t="shared" ca="1" si="44"/>
        <v>-1.044093591330981</v>
      </c>
      <c r="D747" s="101">
        <f t="shared" ca="1" si="45"/>
        <v>0.59947085633968289</v>
      </c>
      <c r="E747" s="101">
        <f t="shared" ca="1" si="46"/>
        <v>0</v>
      </c>
      <c r="F747" s="21">
        <f t="shared" ca="1" si="47"/>
        <v>0</v>
      </c>
      <c r="H747" s="21">
        <v>732</v>
      </c>
      <c r="I747" s="102">
        <v>0.66762386000340457</v>
      </c>
      <c r="J747" s="103">
        <v>1.2205997683319971E-3</v>
      </c>
      <c r="K747" s="103"/>
      <c r="L747" s="103">
        <v>3.9E-2</v>
      </c>
      <c r="O747" s="100"/>
    </row>
    <row r="748" spans="2:15" x14ac:dyDescent="0.2">
      <c r="B748" s="1">
        <v>733</v>
      </c>
      <c r="C748" s="101">
        <f t="shared" ca="1" si="44"/>
        <v>-0.22086191377662698</v>
      </c>
      <c r="D748" s="101">
        <f t="shared" ca="1" si="45"/>
        <v>0.65018180520378421</v>
      </c>
      <c r="E748" s="101">
        <f t="shared" ca="1" si="46"/>
        <v>0</v>
      </c>
      <c r="F748" s="21">
        <f t="shared" ca="1" si="47"/>
        <v>0</v>
      </c>
      <c r="H748" s="21">
        <v>733</v>
      </c>
      <c r="I748" s="102">
        <v>0.66766929318053214</v>
      </c>
      <c r="J748" s="103">
        <v>1.292015000283751E-3</v>
      </c>
      <c r="K748" s="103"/>
      <c r="L748" s="103">
        <v>4.2000000000000003E-2</v>
      </c>
      <c r="O748" s="100"/>
    </row>
    <row r="749" spans="2:15" x14ac:dyDescent="0.2">
      <c r="B749" s="1">
        <v>734</v>
      </c>
      <c r="C749" s="101">
        <f t="shared" ca="1" si="44"/>
        <v>0.44618546450523561</v>
      </c>
      <c r="D749" s="101">
        <f t="shared" ca="1" si="45"/>
        <v>0.69440159607386043</v>
      </c>
      <c r="E749" s="101">
        <f t="shared" ca="1" si="46"/>
        <v>0</v>
      </c>
      <c r="F749" s="21">
        <f t="shared" ca="1" si="47"/>
        <v>0</v>
      </c>
      <c r="H749" s="21">
        <v>734</v>
      </c>
      <c r="I749" s="102">
        <v>0.66773304853185333</v>
      </c>
      <c r="J749" s="103">
        <v>1.3620426109635414E-3</v>
      </c>
      <c r="K749" s="103"/>
      <c r="L749" s="103">
        <v>4.2599999999999999E-2</v>
      </c>
      <c r="O749" s="100"/>
    </row>
    <row r="750" spans="2:15" x14ac:dyDescent="0.2">
      <c r="B750" s="1">
        <v>735</v>
      </c>
      <c r="C750" s="101">
        <f t="shared" ca="1" si="44"/>
        <v>-1.2369536532448409</v>
      </c>
      <c r="D750" s="101">
        <f t="shared" ca="1" si="45"/>
        <v>0.588174332507994</v>
      </c>
      <c r="E750" s="101">
        <f t="shared" ca="1" si="46"/>
        <v>0</v>
      </c>
      <c r="F750" s="21">
        <f t="shared" ca="1" si="47"/>
        <v>0</v>
      </c>
      <c r="H750" s="21">
        <v>735</v>
      </c>
      <c r="I750" s="102">
        <v>0.66766660303112646</v>
      </c>
      <c r="J750" s="103">
        <v>1.3572697247240671E-3</v>
      </c>
      <c r="K750" s="103"/>
      <c r="L750" s="103">
        <v>3.9199999999999999E-2</v>
      </c>
      <c r="O750" s="100"/>
    </row>
    <row r="751" spans="2:15" x14ac:dyDescent="0.2">
      <c r="B751" s="1">
        <v>736</v>
      </c>
      <c r="C751" s="101">
        <f t="shared" ca="1" si="44"/>
        <v>1.9659841629805155</v>
      </c>
      <c r="D751" s="101">
        <f t="shared" ca="1" si="45"/>
        <v>0.80671094571013024</v>
      </c>
      <c r="E751" s="101">
        <f t="shared" ca="1" si="46"/>
        <v>1.8510945710130233E-2</v>
      </c>
      <c r="F751" s="21">
        <f t="shared" ca="1" si="47"/>
        <v>1</v>
      </c>
      <c r="H751" s="21">
        <v>736</v>
      </c>
      <c r="I751" s="102">
        <v>0.66768943865732155</v>
      </c>
      <c r="J751" s="103">
        <v>1.2233560232683277E-3</v>
      </c>
      <c r="K751" s="103"/>
      <c r="L751" s="103">
        <v>4.3200000000000002E-2</v>
      </c>
      <c r="O751" s="100"/>
    </row>
    <row r="752" spans="2:15" x14ac:dyDescent="0.2">
      <c r="B752" s="1">
        <v>737</v>
      </c>
      <c r="C752" s="101">
        <f t="shared" ca="1" si="44"/>
        <v>-1.6118950137436567</v>
      </c>
      <c r="D752" s="101">
        <f t="shared" ca="1" si="45"/>
        <v>0.5668182326125446</v>
      </c>
      <c r="E752" s="101">
        <f t="shared" ca="1" si="46"/>
        <v>0</v>
      </c>
      <c r="F752" s="21">
        <f t="shared" ca="1" si="47"/>
        <v>0</v>
      </c>
      <c r="H752" s="21">
        <v>737</v>
      </c>
      <c r="I752" s="102">
        <v>0.66771814913099758</v>
      </c>
      <c r="J752" s="103">
        <v>1.4302205532087848E-3</v>
      </c>
      <c r="K752" s="103"/>
      <c r="L752" s="103">
        <v>4.2000000000000003E-2</v>
      </c>
      <c r="O752" s="100"/>
    </row>
    <row r="753" spans="2:15" x14ac:dyDescent="0.2">
      <c r="B753" s="1">
        <v>738</v>
      </c>
      <c r="C753" s="101">
        <f t="shared" ca="1" si="44"/>
        <v>0.40342800679502216</v>
      </c>
      <c r="D753" s="101">
        <f t="shared" ca="1" si="45"/>
        <v>0.69147901911380594</v>
      </c>
      <c r="E753" s="101">
        <f t="shared" ca="1" si="46"/>
        <v>0</v>
      </c>
      <c r="F753" s="21">
        <f t="shared" ca="1" si="47"/>
        <v>0</v>
      </c>
      <c r="H753" s="21">
        <v>738</v>
      </c>
      <c r="I753" s="102">
        <v>0.66769775416334731</v>
      </c>
      <c r="J753" s="103">
        <v>1.3347574057565297E-3</v>
      </c>
      <c r="K753" s="103"/>
      <c r="L753" s="103">
        <v>0.04</v>
      </c>
      <c r="O753" s="100"/>
    </row>
    <row r="754" spans="2:15" x14ac:dyDescent="0.2">
      <c r="B754" s="1">
        <v>739</v>
      </c>
      <c r="C754" s="101">
        <f t="shared" ca="1" si="44"/>
        <v>0.81435340218210883</v>
      </c>
      <c r="D754" s="101">
        <f t="shared" ca="1" si="45"/>
        <v>0.72008339760842432</v>
      </c>
      <c r="E754" s="101">
        <f t="shared" ca="1" si="46"/>
        <v>0</v>
      </c>
      <c r="F754" s="21">
        <f t="shared" ca="1" si="47"/>
        <v>0</v>
      </c>
      <c r="H754" s="21">
        <v>739</v>
      </c>
      <c r="I754" s="102">
        <v>0.66766288564003839</v>
      </c>
      <c r="J754" s="103">
        <v>1.3969776776859349E-3</v>
      </c>
      <c r="K754" s="103"/>
      <c r="L754" s="103">
        <v>3.7600000000000001E-2</v>
      </c>
      <c r="O754" s="100"/>
    </row>
    <row r="755" spans="2:15" x14ac:dyDescent="0.2">
      <c r="B755" s="1">
        <v>740</v>
      </c>
      <c r="C755" s="101">
        <f t="shared" ca="1" si="44"/>
        <v>0.79736816725425164</v>
      </c>
      <c r="D755" s="101">
        <f t="shared" ca="1" si="45"/>
        <v>0.71887794681007988</v>
      </c>
      <c r="E755" s="101">
        <f t="shared" ca="1" si="46"/>
        <v>0</v>
      </c>
      <c r="F755" s="21">
        <f t="shared" ca="1" si="47"/>
        <v>0</v>
      </c>
      <c r="H755" s="21">
        <v>740</v>
      </c>
      <c r="I755" s="102">
        <v>0.66777597794481192</v>
      </c>
      <c r="J755" s="103">
        <v>1.3779447793387713E-3</v>
      </c>
      <c r="K755" s="103"/>
      <c r="L755" s="103">
        <v>4.1399999999999999E-2</v>
      </c>
      <c r="O755" s="100"/>
    </row>
    <row r="756" spans="2:15" x14ac:dyDescent="0.2">
      <c r="B756" s="1">
        <v>741</v>
      </c>
      <c r="C756" s="101">
        <f t="shared" ca="1" si="44"/>
        <v>0.96709079990530156</v>
      </c>
      <c r="D756" s="101">
        <f t="shared" ca="1" si="45"/>
        <v>0.73101447026610133</v>
      </c>
      <c r="E756" s="101">
        <f t="shared" ca="1" si="46"/>
        <v>0</v>
      </c>
      <c r="F756" s="21">
        <f t="shared" ca="1" si="47"/>
        <v>0</v>
      </c>
      <c r="H756" s="21">
        <v>741</v>
      </c>
      <c r="I756" s="102">
        <v>0.6678526770138149</v>
      </c>
      <c r="J756" s="103">
        <v>1.4467832821551982E-3</v>
      </c>
      <c r="K756" s="103"/>
      <c r="L756" s="103">
        <v>4.1000000000000002E-2</v>
      </c>
      <c r="O756" s="100"/>
    </row>
    <row r="757" spans="2:15" x14ac:dyDescent="0.2">
      <c r="B757" s="1">
        <v>742</v>
      </c>
      <c r="C757" s="101">
        <f t="shared" ca="1" si="44"/>
        <v>-1.2310397679565774</v>
      </c>
      <c r="D757" s="101">
        <f t="shared" ca="1" si="45"/>
        <v>0.58851754615251006</v>
      </c>
      <c r="E757" s="101">
        <f t="shared" ca="1" si="46"/>
        <v>0</v>
      </c>
      <c r="F757" s="21">
        <f t="shared" ca="1" si="47"/>
        <v>0</v>
      </c>
      <c r="H757" s="21">
        <v>742</v>
      </c>
      <c r="I757" s="102">
        <v>0.66764725040508899</v>
      </c>
      <c r="J757" s="103">
        <v>1.1980816022836589E-3</v>
      </c>
      <c r="K757" s="103"/>
      <c r="L757" s="103">
        <v>3.8600000000000002E-2</v>
      </c>
      <c r="O757" s="100"/>
    </row>
    <row r="758" spans="2:15" x14ac:dyDescent="0.2">
      <c r="B758" s="1">
        <v>743</v>
      </c>
      <c r="C758" s="101">
        <f t="shared" ca="1" si="44"/>
        <v>1.5372058152184875</v>
      </c>
      <c r="D758" s="101">
        <f t="shared" ca="1" si="45"/>
        <v>0.77330238490283243</v>
      </c>
      <c r="E758" s="101">
        <f t="shared" ca="1" si="46"/>
        <v>0</v>
      </c>
      <c r="F758" s="21">
        <f t="shared" ca="1" si="47"/>
        <v>0</v>
      </c>
      <c r="H758" s="21">
        <v>743</v>
      </c>
      <c r="I758" s="102">
        <v>0.66795776579784094</v>
      </c>
      <c r="J758" s="103">
        <v>1.5609886937814096E-3</v>
      </c>
      <c r="K758" s="103"/>
      <c r="L758" s="103">
        <v>4.6600000000000003E-2</v>
      </c>
      <c r="O758" s="100"/>
    </row>
    <row r="759" spans="2:15" x14ac:dyDescent="0.2">
      <c r="B759" s="1">
        <v>744</v>
      </c>
      <c r="C759" s="101">
        <f t="shared" ca="1" si="44"/>
        <v>-0.14636958806375477</v>
      </c>
      <c r="D759" s="101">
        <f t="shared" ca="1" si="45"/>
        <v>0.65497695110411969</v>
      </c>
      <c r="E759" s="101">
        <f t="shared" ca="1" si="46"/>
        <v>0</v>
      </c>
      <c r="F759" s="21">
        <f t="shared" ca="1" si="47"/>
        <v>0</v>
      </c>
      <c r="H759" s="21">
        <v>744</v>
      </c>
      <c r="I759" s="102">
        <v>0.66776809709177132</v>
      </c>
      <c r="J759" s="103">
        <v>1.4700702373811772E-3</v>
      </c>
      <c r="K759" s="103"/>
      <c r="L759" s="103">
        <v>4.1399999999999999E-2</v>
      </c>
      <c r="O759" s="100"/>
    </row>
    <row r="760" spans="2:15" x14ac:dyDescent="0.2">
      <c r="B760" s="1">
        <v>745</v>
      </c>
      <c r="C760" s="101">
        <f t="shared" ca="1" si="44"/>
        <v>-0.16221452816623205</v>
      </c>
      <c r="D760" s="101">
        <f t="shared" ca="1" si="45"/>
        <v>0.65395404405795965</v>
      </c>
      <c r="E760" s="101">
        <f t="shared" ca="1" si="46"/>
        <v>0</v>
      </c>
      <c r="F760" s="21">
        <f t="shared" ca="1" si="47"/>
        <v>0</v>
      </c>
      <c r="H760" s="21">
        <v>745</v>
      </c>
      <c r="I760" s="102">
        <v>0.66774456668897031</v>
      </c>
      <c r="J760" s="103">
        <v>1.2707190616956258E-3</v>
      </c>
      <c r="K760" s="103"/>
      <c r="L760" s="103">
        <v>4.3999999999999997E-2</v>
      </c>
      <c r="O760" s="100"/>
    </row>
    <row r="761" spans="2:15" x14ac:dyDescent="0.2">
      <c r="B761" s="1">
        <v>746</v>
      </c>
      <c r="C761" s="101">
        <f t="shared" ca="1" si="44"/>
        <v>-0.62642046968514575</v>
      </c>
      <c r="D761" s="101">
        <f t="shared" ca="1" si="45"/>
        <v>0.62468479246593156</v>
      </c>
      <c r="E761" s="101">
        <f t="shared" ca="1" si="46"/>
        <v>0</v>
      </c>
      <c r="F761" s="21">
        <f t="shared" ca="1" si="47"/>
        <v>0</v>
      </c>
      <c r="H761" s="21">
        <v>746</v>
      </c>
      <c r="I761" s="102">
        <v>0.66781255683621443</v>
      </c>
      <c r="J761" s="103">
        <v>1.5374404309918778E-3</v>
      </c>
      <c r="K761" s="103"/>
      <c r="L761" s="103">
        <v>4.5199999999999997E-2</v>
      </c>
      <c r="O761" s="100"/>
    </row>
    <row r="762" spans="2:15" x14ac:dyDescent="0.2">
      <c r="B762" s="1">
        <v>747</v>
      </c>
      <c r="C762" s="101">
        <f t="shared" ca="1" si="44"/>
        <v>-0.69228309773920549</v>
      </c>
      <c r="D762" s="101">
        <f t="shared" ca="1" si="45"/>
        <v>0.62063950958433645</v>
      </c>
      <c r="E762" s="101">
        <f t="shared" ca="1" si="46"/>
        <v>0</v>
      </c>
      <c r="F762" s="21">
        <f t="shared" ca="1" si="47"/>
        <v>0</v>
      </c>
      <c r="H762" s="21">
        <v>747</v>
      </c>
      <c r="I762" s="102">
        <v>0.6675351184737458</v>
      </c>
      <c r="J762" s="103">
        <v>1.2101737748355201E-3</v>
      </c>
      <c r="K762" s="103"/>
      <c r="L762" s="103">
        <v>3.6400000000000002E-2</v>
      </c>
      <c r="O762" s="100"/>
    </row>
    <row r="763" spans="2:15" x14ac:dyDescent="0.2">
      <c r="B763" s="1">
        <v>748</v>
      </c>
      <c r="C763" s="101">
        <f t="shared" ca="1" si="44"/>
        <v>1.1328246917293092</v>
      </c>
      <c r="D763" s="101">
        <f t="shared" ca="1" si="45"/>
        <v>0.74306347037685616</v>
      </c>
      <c r="E763" s="101">
        <f t="shared" ca="1" si="46"/>
        <v>0</v>
      </c>
      <c r="F763" s="21">
        <f t="shared" ca="1" si="47"/>
        <v>0</v>
      </c>
      <c r="H763" s="21">
        <v>748</v>
      </c>
      <c r="I763" s="102">
        <v>0.66775124796202612</v>
      </c>
      <c r="J763" s="103">
        <v>1.3102561512369308E-3</v>
      </c>
      <c r="K763" s="103"/>
      <c r="L763" s="103">
        <v>3.9800000000000002E-2</v>
      </c>
      <c r="O763" s="100"/>
    </row>
    <row r="764" spans="2:15" x14ac:dyDescent="0.2">
      <c r="B764" s="1">
        <v>749</v>
      </c>
      <c r="C764" s="101">
        <f t="shared" ca="1" si="44"/>
        <v>-0.29382352262156297</v>
      </c>
      <c r="D764" s="101">
        <f t="shared" ca="1" si="45"/>
        <v>0.6455192258461474</v>
      </c>
      <c r="E764" s="101">
        <f t="shared" ca="1" si="46"/>
        <v>0</v>
      </c>
      <c r="F764" s="21">
        <f t="shared" ca="1" si="47"/>
        <v>0</v>
      </c>
      <c r="H764" s="21">
        <v>749</v>
      </c>
      <c r="I764" s="102">
        <v>0.66760178261532843</v>
      </c>
      <c r="J764" s="103">
        <v>1.1962084019536265E-3</v>
      </c>
      <c r="K764" s="103"/>
      <c r="L764" s="103">
        <v>3.6400000000000002E-2</v>
      </c>
      <c r="O764" s="100"/>
    </row>
    <row r="765" spans="2:15" x14ac:dyDescent="0.2">
      <c r="B765" s="1">
        <v>750</v>
      </c>
      <c r="C765" s="101">
        <f t="shared" ca="1" si="44"/>
        <v>8.5333609123904405E-2</v>
      </c>
      <c r="D765" s="101">
        <f t="shared" ca="1" si="45"/>
        <v>0.67011916609757172</v>
      </c>
      <c r="E765" s="101">
        <f t="shared" ca="1" si="46"/>
        <v>0</v>
      </c>
      <c r="F765" s="21">
        <f t="shared" ca="1" si="47"/>
        <v>0</v>
      </c>
      <c r="H765" s="21">
        <v>750</v>
      </c>
      <c r="I765" s="102">
        <v>0.66765045614045893</v>
      </c>
      <c r="J765" s="103">
        <v>1.2751504863050594E-3</v>
      </c>
      <c r="K765" s="103"/>
      <c r="L765" s="103">
        <v>3.9600000000000003E-2</v>
      </c>
      <c r="O765" s="100"/>
    </row>
    <row r="766" spans="2:15" x14ac:dyDescent="0.2">
      <c r="B766" s="1">
        <v>751</v>
      </c>
      <c r="C766" s="101">
        <f t="shared" ca="1" si="44"/>
        <v>0.32313062801623821</v>
      </c>
      <c r="D766" s="101">
        <f t="shared" ca="1" si="45"/>
        <v>0.68602369615118186</v>
      </c>
      <c r="E766" s="101">
        <f t="shared" ca="1" si="46"/>
        <v>0</v>
      </c>
      <c r="F766" s="21">
        <f t="shared" ca="1" si="47"/>
        <v>0</v>
      </c>
      <c r="H766" s="21">
        <v>751</v>
      </c>
      <c r="I766" s="102">
        <v>0.66773225618981857</v>
      </c>
      <c r="J766" s="103">
        <v>1.3975055436624493E-3</v>
      </c>
      <c r="K766" s="103"/>
      <c r="L766" s="103">
        <v>4.1599999999999998E-2</v>
      </c>
      <c r="O766" s="100"/>
    </row>
    <row r="767" spans="2:15" x14ac:dyDescent="0.2">
      <c r="B767" s="1">
        <v>752</v>
      </c>
      <c r="C767" s="101">
        <f t="shared" ca="1" si="44"/>
        <v>-0.74166236807779606</v>
      </c>
      <c r="D767" s="101">
        <f t="shared" ca="1" si="45"/>
        <v>0.61762382630147639</v>
      </c>
      <c r="E767" s="101">
        <f t="shared" ca="1" si="46"/>
        <v>0</v>
      </c>
      <c r="F767" s="21">
        <f t="shared" ca="1" si="47"/>
        <v>0</v>
      </c>
      <c r="H767" s="21">
        <v>752</v>
      </c>
      <c r="I767" s="102">
        <v>0.66798888713076154</v>
      </c>
      <c r="J767" s="103">
        <v>1.6533682039161462E-3</v>
      </c>
      <c r="K767" s="103"/>
      <c r="L767" s="103">
        <v>5.0200000000000002E-2</v>
      </c>
      <c r="O767" s="100"/>
    </row>
    <row r="768" spans="2:15" x14ac:dyDescent="0.2">
      <c r="B768" s="1">
        <v>753</v>
      </c>
      <c r="C768" s="101">
        <f t="shared" ca="1" si="44"/>
        <v>0.45133843993417022</v>
      </c>
      <c r="D768" s="101">
        <f t="shared" ca="1" si="45"/>
        <v>0.69475464757505734</v>
      </c>
      <c r="E768" s="101">
        <f t="shared" ca="1" si="46"/>
        <v>0</v>
      </c>
      <c r="F768" s="21">
        <f t="shared" ca="1" si="47"/>
        <v>0</v>
      </c>
      <c r="H768" s="21">
        <v>753</v>
      </c>
      <c r="I768" s="102">
        <v>0.66781902875080734</v>
      </c>
      <c r="J768" s="103">
        <v>1.4149296125203548E-3</v>
      </c>
      <c r="K768" s="103"/>
      <c r="L768" s="103">
        <v>4.2599999999999999E-2</v>
      </c>
      <c r="O768" s="100"/>
    </row>
    <row r="769" spans="2:15" x14ac:dyDescent="0.2">
      <c r="B769" s="1">
        <v>754</v>
      </c>
      <c r="C769" s="101">
        <f t="shared" ca="1" si="44"/>
        <v>-0.15625594211949295</v>
      </c>
      <c r="D769" s="101">
        <f t="shared" ca="1" si="45"/>
        <v>0.65433852691714456</v>
      </c>
      <c r="E769" s="101">
        <f t="shared" ca="1" si="46"/>
        <v>0</v>
      </c>
      <c r="F769" s="21">
        <f t="shared" ca="1" si="47"/>
        <v>0</v>
      </c>
      <c r="H769" s="21">
        <v>754</v>
      </c>
      <c r="I769" s="102">
        <v>0.66776470721785453</v>
      </c>
      <c r="J769" s="103">
        <v>1.3591462231819242E-3</v>
      </c>
      <c r="K769" s="103"/>
      <c r="L769" s="103">
        <v>4.3799999999999999E-2</v>
      </c>
      <c r="O769" s="100"/>
    </row>
    <row r="770" spans="2:15" x14ac:dyDescent="0.2">
      <c r="B770" s="1">
        <v>755</v>
      </c>
      <c r="C770" s="101">
        <f t="shared" ca="1" si="44"/>
        <v>2.212319532065179</v>
      </c>
      <c r="D770" s="101">
        <f t="shared" ca="1" si="45"/>
        <v>0.82655318738374917</v>
      </c>
      <c r="E770" s="101">
        <f t="shared" ca="1" si="46"/>
        <v>3.8353187383749154E-2</v>
      </c>
      <c r="F770" s="21">
        <f t="shared" ca="1" si="47"/>
        <v>1</v>
      </c>
      <c r="H770" s="21">
        <v>755</v>
      </c>
      <c r="I770" s="102">
        <v>0.66765344175809227</v>
      </c>
      <c r="J770" s="103">
        <v>1.2544489426349489E-3</v>
      </c>
      <c r="K770" s="103"/>
      <c r="L770" s="103">
        <v>3.9600000000000003E-2</v>
      </c>
      <c r="O770" s="100"/>
    </row>
    <row r="771" spans="2:15" x14ac:dyDescent="0.2">
      <c r="B771" s="1">
        <v>756</v>
      </c>
      <c r="C771" s="101">
        <f t="shared" ca="1" si="44"/>
        <v>0.48397541631839019</v>
      </c>
      <c r="D771" s="101">
        <f t="shared" ca="1" si="45"/>
        <v>0.69699491332923957</v>
      </c>
      <c r="E771" s="101">
        <f t="shared" ca="1" si="46"/>
        <v>0</v>
      </c>
      <c r="F771" s="21">
        <f t="shared" ca="1" si="47"/>
        <v>0</v>
      </c>
      <c r="H771" s="21">
        <v>756</v>
      </c>
      <c r="I771" s="102">
        <v>0.6678382938392281</v>
      </c>
      <c r="J771" s="103">
        <v>1.4331666146685355E-3</v>
      </c>
      <c r="K771" s="103"/>
      <c r="L771" s="103">
        <v>4.3400000000000001E-2</v>
      </c>
      <c r="O771" s="100"/>
    </row>
    <row r="772" spans="2:15" x14ac:dyDescent="0.2">
      <c r="B772" s="1">
        <v>757</v>
      </c>
      <c r="C772" s="101">
        <f t="shared" ca="1" si="44"/>
        <v>-1.1321913902610827</v>
      </c>
      <c r="D772" s="101">
        <f t="shared" ca="1" si="45"/>
        <v>0.59428397429343971</v>
      </c>
      <c r="E772" s="101">
        <f t="shared" ca="1" si="46"/>
        <v>0</v>
      </c>
      <c r="F772" s="21">
        <f t="shared" ca="1" si="47"/>
        <v>0</v>
      </c>
      <c r="H772" s="21">
        <v>757</v>
      </c>
      <c r="I772" s="102">
        <v>0.66772104065320426</v>
      </c>
      <c r="J772" s="103">
        <v>1.383834047648524E-3</v>
      </c>
      <c r="K772" s="103"/>
      <c r="L772" s="103">
        <v>4.0399999999999998E-2</v>
      </c>
      <c r="O772" s="100"/>
    </row>
    <row r="773" spans="2:15" x14ac:dyDescent="0.2">
      <c r="B773" s="1">
        <v>758</v>
      </c>
      <c r="C773" s="101">
        <f t="shared" ca="1" si="44"/>
        <v>-1.1011871656873895</v>
      </c>
      <c r="D773" s="101">
        <f t="shared" ca="1" si="45"/>
        <v>0.59610425373381981</v>
      </c>
      <c r="E773" s="101">
        <f t="shared" ca="1" si="46"/>
        <v>0</v>
      </c>
      <c r="F773" s="21">
        <f t="shared" ca="1" si="47"/>
        <v>0</v>
      </c>
      <c r="H773" s="21">
        <v>758</v>
      </c>
      <c r="I773" s="102">
        <v>0.66778840371768544</v>
      </c>
      <c r="J773" s="103">
        <v>1.5394943495132441E-3</v>
      </c>
      <c r="K773" s="103"/>
      <c r="L773" s="103">
        <v>4.1200000000000001E-2</v>
      </c>
      <c r="O773" s="100"/>
    </row>
    <row r="774" spans="2:15" x14ac:dyDescent="0.2">
      <c r="B774" s="1">
        <v>759</v>
      </c>
      <c r="C774" s="101">
        <f t="shared" ca="1" si="44"/>
        <v>1.3188726590880355</v>
      </c>
      <c r="D774" s="101">
        <f t="shared" ca="1" si="45"/>
        <v>0.75682608428209019</v>
      </c>
      <c r="E774" s="101">
        <f t="shared" ca="1" si="46"/>
        <v>0</v>
      </c>
      <c r="F774" s="21">
        <f t="shared" ca="1" si="47"/>
        <v>0</v>
      </c>
      <c r="H774" s="21">
        <v>759</v>
      </c>
      <c r="I774" s="102">
        <v>0.6676652446025293</v>
      </c>
      <c r="J774" s="103">
        <v>1.2619480919578894E-3</v>
      </c>
      <c r="K774" s="103"/>
      <c r="L774" s="103">
        <v>4.2599999999999999E-2</v>
      </c>
      <c r="O774" s="100"/>
    </row>
    <row r="775" spans="2:15" x14ac:dyDescent="0.2">
      <c r="B775" s="1">
        <v>760</v>
      </c>
      <c r="C775" s="101">
        <f t="shared" ca="1" si="44"/>
        <v>0.88893442608669282</v>
      </c>
      <c r="D775" s="101">
        <f t="shared" ca="1" si="45"/>
        <v>0.72540042039856267</v>
      </c>
      <c r="E775" s="101">
        <f t="shared" ca="1" si="46"/>
        <v>0</v>
      </c>
      <c r="F775" s="21">
        <f t="shared" ca="1" si="47"/>
        <v>0</v>
      </c>
      <c r="H775" s="21">
        <v>760</v>
      </c>
      <c r="I775" s="102">
        <v>0.66771492491862372</v>
      </c>
      <c r="J775" s="103">
        <v>1.2691360368604454E-3</v>
      </c>
      <c r="K775" s="103"/>
      <c r="L775" s="103">
        <v>3.8199999999999998E-2</v>
      </c>
      <c r="O775" s="100"/>
    </row>
    <row r="776" spans="2:15" x14ac:dyDescent="0.2">
      <c r="B776" s="1">
        <v>761</v>
      </c>
      <c r="C776" s="101">
        <f t="shared" ca="1" si="44"/>
        <v>-0.79383769807196836</v>
      </c>
      <c r="D776" s="101">
        <f t="shared" ca="1" si="45"/>
        <v>0.61445330228985517</v>
      </c>
      <c r="E776" s="101">
        <f t="shared" ca="1" si="46"/>
        <v>0</v>
      </c>
      <c r="F776" s="21">
        <f t="shared" ca="1" si="47"/>
        <v>0</v>
      </c>
      <c r="H776" s="21">
        <v>761</v>
      </c>
      <c r="I776" s="102">
        <v>0.66764125994711165</v>
      </c>
      <c r="J776" s="103">
        <v>1.2809453819773576E-3</v>
      </c>
      <c r="K776" s="103"/>
      <c r="L776" s="103">
        <v>3.9800000000000002E-2</v>
      </c>
      <c r="O776" s="100"/>
    </row>
    <row r="777" spans="2:15" x14ac:dyDescent="0.2">
      <c r="B777" s="1">
        <v>762</v>
      </c>
      <c r="C777" s="101">
        <f t="shared" ca="1" si="44"/>
        <v>0.75092678626649201</v>
      </c>
      <c r="D777" s="101">
        <f t="shared" ca="1" si="45"/>
        <v>0.71559227027129046</v>
      </c>
      <c r="E777" s="101">
        <f t="shared" ca="1" si="46"/>
        <v>0</v>
      </c>
      <c r="F777" s="21">
        <f t="shared" ca="1" si="47"/>
        <v>0</v>
      </c>
      <c r="H777" s="21">
        <v>762</v>
      </c>
      <c r="I777" s="102">
        <v>0.66769968678248204</v>
      </c>
      <c r="J777" s="103">
        <v>1.3938525435042428E-3</v>
      </c>
      <c r="K777" s="103"/>
      <c r="L777" s="103">
        <v>3.9800000000000002E-2</v>
      </c>
      <c r="O777" s="100"/>
    </row>
    <row r="778" spans="2:15" x14ac:dyDescent="0.2">
      <c r="B778" s="1">
        <v>763</v>
      </c>
      <c r="C778" s="101">
        <f t="shared" ca="1" si="44"/>
        <v>1.17193412578447</v>
      </c>
      <c r="D778" s="101">
        <f t="shared" ca="1" si="45"/>
        <v>0.74593560190884101</v>
      </c>
      <c r="E778" s="101">
        <f t="shared" ca="1" si="46"/>
        <v>0</v>
      </c>
      <c r="F778" s="21">
        <f t="shared" ca="1" si="47"/>
        <v>0</v>
      </c>
      <c r="H778" s="21">
        <v>763</v>
      </c>
      <c r="I778" s="102">
        <v>0.66758038399272213</v>
      </c>
      <c r="J778" s="103">
        <v>1.176466509324919E-3</v>
      </c>
      <c r="K778" s="103"/>
      <c r="L778" s="103">
        <v>3.78E-2</v>
      </c>
      <c r="O778" s="100"/>
    </row>
    <row r="779" spans="2:15" x14ac:dyDescent="0.2">
      <c r="B779" s="1">
        <v>764</v>
      </c>
      <c r="C779" s="101">
        <f t="shared" ca="1" si="44"/>
        <v>-0.87644177182268801</v>
      </c>
      <c r="D779" s="101">
        <f t="shared" ca="1" si="45"/>
        <v>0.60946697137666195</v>
      </c>
      <c r="E779" s="101">
        <f t="shared" ca="1" si="46"/>
        <v>0</v>
      </c>
      <c r="F779" s="21">
        <f t="shared" ca="1" si="47"/>
        <v>0</v>
      </c>
      <c r="H779" s="21">
        <v>764</v>
      </c>
      <c r="I779" s="102">
        <v>0.66768274067875999</v>
      </c>
      <c r="J779" s="103">
        <v>1.2428120814136046E-3</v>
      </c>
      <c r="K779" s="103"/>
      <c r="L779" s="103">
        <v>4.0399999999999998E-2</v>
      </c>
      <c r="O779" s="100"/>
    </row>
    <row r="780" spans="2:15" x14ac:dyDescent="0.2">
      <c r="B780" s="1">
        <v>765</v>
      </c>
      <c r="C780" s="101">
        <f t="shared" ca="1" si="44"/>
        <v>-0.91170958215186193</v>
      </c>
      <c r="D780" s="101">
        <f t="shared" ca="1" si="45"/>
        <v>0.6073504026956803</v>
      </c>
      <c r="E780" s="101">
        <f t="shared" ca="1" si="46"/>
        <v>0</v>
      </c>
      <c r="F780" s="21">
        <f t="shared" ca="1" si="47"/>
        <v>0</v>
      </c>
      <c r="H780" s="21">
        <v>765</v>
      </c>
      <c r="I780" s="102">
        <v>0.66776569748178038</v>
      </c>
      <c r="J780" s="103">
        <v>1.3285541231032123E-3</v>
      </c>
      <c r="K780" s="103"/>
      <c r="L780" s="103">
        <v>4.3200000000000002E-2</v>
      </c>
      <c r="O780" s="100"/>
    </row>
    <row r="781" spans="2:15" x14ac:dyDescent="0.2">
      <c r="B781" s="1">
        <v>766</v>
      </c>
      <c r="C781" s="101">
        <f t="shared" ca="1" si="44"/>
        <v>-0.45073286006448615</v>
      </c>
      <c r="D781" s="101">
        <f t="shared" ca="1" si="45"/>
        <v>0.63560496693774216</v>
      </c>
      <c r="E781" s="101">
        <f t="shared" ca="1" si="46"/>
        <v>0</v>
      </c>
      <c r="F781" s="21">
        <f t="shared" ca="1" si="47"/>
        <v>0</v>
      </c>
      <c r="H781" s="21">
        <v>766</v>
      </c>
      <c r="I781" s="102">
        <v>0.66764115321137907</v>
      </c>
      <c r="J781" s="103">
        <v>1.1753385867969185E-3</v>
      </c>
      <c r="K781" s="103"/>
      <c r="L781" s="103">
        <v>4.1200000000000001E-2</v>
      </c>
      <c r="O781" s="100"/>
    </row>
    <row r="782" spans="2:15" x14ac:dyDescent="0.2">
      <c r="B782" s="1">
        <v>767</v>
      </c>
      <c r="C782" s="101">
        <f t="shared" ca="1" si="44"/>
        <v>0.61942824095224869</v>
      </c>
      <c r="D782" s="101">
        <f t="shared" ca="1" si="45"/>
        <v>0.70637012676048483</v>
      </c>
      <c r="E782" s="101">
        <f t="shared" ca="1" si="46"/>
        <v>0</v>
      </c>
      <c r="F782" s="21">
        <f t="shared" ca="1" si="47"/>
        <v>0</v>
      </c>
      <c r="H782" s="21">
        <v>767</v>
      </c>
      <c r="I782" s="102">
        <v>0.66790006720135431</v>
      </c>
      <c r="J782" s="103">
        <v>1.4296894237590034E-3</v>
      </c>
      <c r="K782" s="103"/>
      <c r="L782" s="103">
        <v>4.7800000000000002E-2</v>
      </c>
      <c r="O782" s="100"/>
    </row>
    <row r="783" spans="2:15" x14ac:dyDescent="0.2">
      <c r="B783" s="1">
        <v>768</v>
      </c>
      <c r="C783" s="101">
        <f t="shared" ca="1" si="44"/>
        <v>-0.52240085442889561</v>
      </c>
      <c r="D783" s="101">
        <f t="shared" ca="1" si="45"/>
        <v>0.63112745005674264</v>
      </c>
      <c r="E783" s="101">
        <f t="shared" ca="1" si="46"/>
        <v>0</v>
      </c>
      <c r="F783" s="21">
        <f t="shared" ca="1" si="47"/>
        <v>0</v>
      </c>
      <c r="H783" s="21">
        <v>768</v>
      </c>
      <c r="I783" s="102">
        <v>0.6676898682184037</v>
      </c>
      <c r="J783" s="103">
        <v>1.2728386098267346E-3</v>
      </c>
      <c r="K783" s="103"/>
      <c r="L783" s="103">
        <v>3.8600000000000002E-2</v>
      </c>
      <c r="O783" s="100"/>
    </row>
    <row r="784" spans="2:15" x14ac:dyDescent="0.2">
      <c r="B784" s="1">
        <v>769</v>
      </c>
      <c r="C784" s="101">
        <f t="shared" ref="C784:C847" ca="1" si="48">_xlfn.NORM.S.INV(RAND())</f>
        <v>0.20346529944988589</v>
      </c>
      <c r="D784" s="101">
        <f t="shared" ref="D784:D847" ca="1" si="49">S0*EXP((μ-0.5*σ*σ)*T+σ*SQRT(T)*$C784)</f>
        <v>0.67797351446449206</v>
      </c>
      <c r="E784" s="101">
        <f t="shared" ref="E784:E847" ca="1" si="50">MAX(0,CP*(D784-K))</f>
        <v>0</v>
      </c>
      <c r="F784" s="21">
        <f t="shared" ref="F784:F847" ca="1" si="51">(CP*(D784-K)&gt;0)*1</f>
        <v>0</v>
      </c>
      <c r="H784" s="21">
        <v>769</v>
      </c>
      <c r="I784" s="102">
        <v>0.66802174483458143</v>
      </c>
      <c r="J784" s="103">
        <v>1.7285627283903312E-3</v>
      </c>
      <c r="K784" s="103"/>
      <c r="L784" s="103">
        <v>5.0200000000000002E-2</v>
      </c>
      <c r="O784" s="100"/>
    </row>
    <row r="785" spans="2:15" x14ac:dyDescent="0.2">
      <c r="B785" s="1">
        <v>770</v>
      </c>
      <c r="C785" s="101">
        <f t="shared" ca="1" si="48"/>
        <v>-0.38937154182979938</v>
      </c>
      <c r="D785" s="101">
        <f t="shared" ca="1" si="49"/>
        <v>0.63946379890405214</v>
      </c>
      <c r="E785" s="101">
        <f t="shared" ca="1" si="50"/>
        <v>0</v>
      </c>
      <c r="F785" s="21">
        <f t="shared" ca="1" si="51"/>
        <v>0</v>
      </c>
      <c r="H785" s="21">
        <v>770</v>
      </c>
      <c r="I785" s="102">
        <v>0.66778726394456411</v>
      </c>
      <c r="J785" s="103">
        <v>1.4444172015953282E-3</v>
      </c>
      <c r="K785" s="103"/>
      <c r="L785" s="103">
        <v>4.2599999999999999E-2</v>
      </c>
      <c r="O785" s="100"/>
    </row>
    <row r="786" spans="2:15" x14ac:dyDescent="0.2">
      <c r="B786" s="1">
        <v>771</v>
      </c>
      <c r="C786" s="101">
        <f t="shared" ca="1" si="48"/>
        <v>-0.7914963815834769</v>
      </c>
      <c r="D786" s="101">
        <f t="shared" ca="1" si="49"/>
        <v>0.61459522701379288</v>
      </c>
      <c r="E786" s="101">
        <f t="shared" ca="1" si="50"/>
        <v>0</v>
      </c>
      <c r="F786" s="21">
        <f t="shared" ca="1" si="51"/>
        <v>0</v>
      </c>
      <c r="H786" s="21">
        <v>771</v>
      </c>
      <c r="I786" s="102">
        <v>0.66770710826460844</v>
      </c>
      <c r="J786" s="103">
        <v>1.4184399744152664E-3</v>
      </c>
      <c r="K786" s="103"/>
      <c r="L786" s="103">
        <v>3.8199999999999998E-2</v>
      </c>
      <c r="O786" s="100"/>
    </row>
    <row r="787" spans="2:15" x14ac:dyDescent="0.2">
      <c r="B787" s="1">
        <v>772</v>
      </c>
      <c r="C787" s="101">
        <f t="shared" ca="1" si="48"/>
        <v>-0.12037385890076407</v>
      </c>
      <c r="D787" s="101">
        <f t="shared" ca="1" si="49"/>
        <v>0.65665863304730854</v>
      </c>
      <c r="E787" s="101">
        <f t="shared" ca="1" si="50"/>
        <v>0</v>
      </c>
      <c r="F787" s="21">
        <f t="shared" ca="1" si="51"/>
        <v>0</v>
      </c>
      <c r="H787" s="21">
        <v>772</v>
      </c>
      <c r="I787" s="102">
        <v>0.6677805653650879</v>
      </c>
      <c r="J787" s="103">
        <v>1.3478404253655777E-3</v>
      </c>
      <c r="K787" s="103"/>
      <c r="L787" s="103">
        <v>4.1799999999999997E-2</v>
      </c>
      <c r="O787" s="100"/>
    </row>
    <row r="788" spans="2:15" x14ac:dyDescent="0.2">
      <c r="B788" s="1">
        <v>773</v>
      </c>
      <c r="C788" s="101">
        <f t="shared" ca="1" si="48"/>
        <v>0.92294356161809299</v>
      </c>
      <c r="D788" s="101">
        <f t="shared" ca="1" si="49"/>
        <v>0.72783801211465082</v>
      </c>
      <c r="E788" s="101">
        <f t="shared" ca="1" si="50"/>
        <v>0</v>
      </c>
      <c r="F788" s="21">
        <f t="shared" ca="1" si="51"/>
        <v>0</v>
      </c>
      <c r="H788" s="21">
        <v>773</v>
      </c>
      <c r="I788" s="102">
        <v>0.66780343735296011</v>
      </c>
      <c r="J788" s="103">
        <v>1.5103290476525212E-3</v>
      </c>
      <c r="K788" s="103"/>
      <c r="L788" s="103">
        <v>4.48E-2</v>
      </c>
      <c r="O788" s="100"/>
    </row>
    <row r="789" spans="2:15" x14ac:dyDescent="0.2">
      <c r="B789" s="1">
        <v>774</v>
      </c>
      <c r="C789" s="101">
        <f t="shared" ca="1" si="48"/>
        <v>1.8216975278909175</v>
      </c>
      <c r="D789" s="101">
        <f t="shared" ca="1" si="49"/>
        <v>0.7953106518532207</v>
      </c>
      <c r="E789" s="101">
        <f t="shared" ca="1" si="50"/>
        <v>7.1106518532206842E-3</v>
      </c>
      <c r="F789" s="21">
        <f t="shared" ca="1" si="51"/>
        <v>1</v>
      </c>
      <c r="H789" s="21">
        <v>774</v>
      </c>
      <c r="I789" s="102">
        <v>0.66773053805903249</v>
      </c>
      <c r="J789" s="103">
        <v>1.4709874732348727E-3</v>
      </c>
      <c r="K789" s="103"/>
      <c r="L789" s="103">
        <v>4.48E-2</v>
      </c>
      <c r="O789" s="100"/>
    </row>
    <row r="790" spans="2:15" x14ac:dyDescent="0.2">
      <c r="B790" s="1">
        <v>775</v>
      </c>
      <c r="C790" s="101">
        <f t="shared" ca="1" si="48"/>
        <v>0.40899844485327047</v>
      </c>
      <c r="D790" s="101">
        <f t="shared" ca="1" si="49"/>
        <v>0.69185907422698567</v>
      </c>
      <c r="E790" s="101">
        <f t="shared" ca="1" si="50"/>
        <v>0</v>
      </c>
      <c r="F790" s="21">
        <f t="shared" ca="1" si="51"/>
        <v>0</v>
      </c>
      <c r="H790" s="21">
        <v>775</v>
      </c>
      <c r="I790" s="102">
        <v>0.66761715498032026</v>
      </c>
      <c r="J790" s="103">
        <v>1.105732461535273E-3</v>
      </c>
      <c r="K790" s="103"/>
      <c r="L790" s="103">
        <v>3.7400000000000003E-2</v>
      </c>
      <c r="O790" s="100"/>
    </row>
    <row r="791" spans="2:15" x14ac:dyDescent="0.2">
      <c r="B791" s="1">
        <v>776</v>
      </c>
      <c r="C791" s="101">
        <f t="shared" ca="1" si="48"/>
        <v>-0.3514947524693236</v>
      </c>
      <c r="D791" s="101">
        <f t="shared" ca="1" si="49"/>
        <v>0.64185744304241055</v>
      </c>
      <c r="E791" s="101">
        <f t="shared" ca="1" si="50"/>
        <v>0</v>
      </c>
      <c r="F791" s="21">
        <f t="shared" ca="1" si="51"/>
        <v>0</v>
      </c>
      <c r="H791" s="21">
        <v>776</v>
      </c>
      <c r="I791" s="102">
        <v>0.66781572728001315</v>
      </c>
      <c r="J791" s="103">
        <v>1.4387131371360108E-3</v>
      </c>
      <c r="K791" s="103"/>
      <c r="L791" s="103">
        <v>4.2000000000000003E-2</v>
      </c>
      <c r="O791" s="100"/>
    </row>
    <row r="792" spans="2:15" x14ac:dyDescent="0.2">
      <c r="B792" s="1">
        <v>777</v>
      </c>
      <c r="C792" s="101">
        <f t="shared" ca="1" si="48"/>
        <v>0.63201254209678648</v>
      </c>
      <c r="D792" s="101">
        <f t="shared" ca="1" si="49"/>
        <v>0.70724751115780704</v>
      </c>
      <c r="E792" s="101">
        <f t="shared" ca="1" si="50"/>
        <v>0</v>
      </c>
      <c r="F792" s="21">
        <f t="shared" ca="1" si="51"/>
        <v>0</v>
      </c>
      <c r="H792" s="21">
        <v>777</v>
      </c>
      <c r="I792" s="102">
        <v>0.66775880010926203</v>
      </c>
      <c r="J792" s="103">
        <v>1.4161352514111155E-3</v>
      </c>
      <c r="K792" s="103"/>
      <c r="L792" s="103">
        <v>3.9199999999999999E-2</v>
      </c>
      <c r="O792" s="100"/>
    </row>
    <row r="793" spans="2:15" x14ac:dyDescent="0.2">
      <c r="B793" s="1">
        <v>778</v>
      </c>
      <c r="C793" s="101">
        <f t="shared" ca="1" si="48"/>
        <v>0.45077726895272408</v>
      </c>
      <c r="D793" s="101">
        <f t="shared" ca="1" si="49"/>
        <v>0.69471619073938107</v>
      </c>
      <c r="E793" s="101">
        <f t="shared" ca="1" si="50"/>
        <v>0</v>
      </c>
      <c r="F793" s="21">
        <f t="shared" ca="1" si="51"/>
        <v>0</v>
      </c>
      <c r="H793" s="21">
        <v>778</v>
      </c>
      <c r="I793" s="102">
        <v>0.6679583590172179</v>
      </c>
      <c r="J793" s="103">
        <v>1.5243053686095362E-3</v>
      </c>
      <c r="K793" s="103"/>
      <c r="L793" s="103">
        <v>4.6199999999999998E-2</v>
      </c>
      <c r="O793" s="100"/>
    </row>
    <row r="794" spans="2:15" x14ac:dyDescent="0.2">
      <c r="B794" s="1">
        <v>779</v>
      </c>
      <c r="C794" s="101">
        <f t="shared" ca="1" si="48"/>
        <v>-1.0249744826840459</v>
      </c>
      <c r="D794" s="101">
        <f t="shared" ca="1" si="49"/>
        <v>0.60060248569804364</v>
      </c>
      <c r="E794" s="101">
        <f t="shared" ca="1" si="50"/>
        <v>0</v>
      </c>
      <c r="F794" s="21">
        <f t="shared" ca="1" si="51"/>
        <v>0</v>
      </c>
      <c r="H794" s="21">
        <v>779</v>
      </c>
      <c r="I794" s="102">
        <v>0.6677385149578936</v>
      </c>
      <c r="J794" s="103">
        <v>1.2887289674326167E-3</v>
      </c>
      <c r="K794" s="103"/>
      <c r="L794" s="103">
        <v>4.0599999999999997E-2</v>
      </c>
      <c r="O794" s="100"/>
    </row>
    <row r="795" spans="2:15" x14ac:dyDescent="0.2">
      <c r="B795" s="1">
        <v>780</v>
      </c>
      <c r="C795" s="101">
        <f t="shared" ca="1" si="48"/>
        <v>0.20149770099494604</v>
      </c>
      <c r="D795" s="101">
        <f t="shared" ca="1" si="49"/>
        <v>0.67784194171296341</v>
      </c>
      <c r="E795" s="101">
        <f t="shared" ca="1" si="50"/>
        <v>0</v>
      </c>
      <c r="F795" s="21">
        <f t="shared" ca="1" si="51"/>
        <v>0</v>
      </c>
      <c r="H795" s="21">
        <v>780</v>
      </c>
      <c r="I795" s="102">
        <v>0.66792770009064328</v>
      </c>
      <c r="J795" s="103">
        <v>1.5409505902043517E-3</v>
      </c>
      <c r="K795" s="103"/>
      <c r="L795" s="103">
        <v>4.7800000000000002E-2</v>
      </c>
      <c r="O795" s="100"/>
    </row>
    <row r="796" spans="2:15" x14ac:dyDescent="0.2">
      <c r="B796" s="1">
        <v>781</v>
      </c>
      <c r="C796" s="101">
        <f t="shared" ca="1" si="48"/>
        <v>0.72546185299093791</v>
      </c>
      <c r="D796" s="101">
        <f t="shared" ca="1" si="49"/>
        <v>0.71379703345074719</v>
      </c>
      <c r="E796" s="101">
        <f t="shared" ca="1" si="50"/>
        <v>0</v>
      </c>
      <c r="F796" s="21">
        <f t="shared" ca="1" si="51"/>
        <v>0</v>
      </c>
      <c r="H796" s="21">
        <v>781</v>
      </c>
      <c r="I796" s="102">
        <v>0.66769258806280418</v>
      </c>
      <c r="J796" s="103">
        <v>1.3882906034501791E-3</v>
      </c>
      <c r="K796" s="103"/>
      <c r="L796" s="103">
        <v>4.48E-2</v>
      </c>
      <c r="O796" s="100"/>
    </row>
    <row r="797" spans="2:15" x14ac:dyDescent="0.2">
      <c r="B797" s="1">
        <v>782</v>
      </c>
      <c r="C797" s="101">
        <f t="shared" ca="1" si="48"/>
        <v>0.68801006921330998</v>
      </c>
      <c r="D797" s="101">
        <f t="shared" ca="1" si="49"/>
        <v>0.71116492252424424</v>
      </c>
      <c r="E797" s="101">
        <f t="shared" ca="1" si="50"/>
        <v>0</v>
      </c>
      <c r="F797" s="21">
        <f t="shared" ca="1" si="51"/>
        <v>0</v>
      </c>
      <c r="H797" s="21">
        <v>782</v>
      </c>
      <c r="I797" s="102">
        <v>0.66779497276496036</v>
      </c>
      <c r="J797" s="103">
        <v>1.3685741819618204E-3</v>
      </c>
      <c r="K797" s="103"/>
      <c r="L797" s="103">
        <v>4.3999999999999997E-2</v>
      </c>
      <c r="O797" s="100"/>
    </row>
    <row r="798" spans="2:15" x14ac:dyDescent="0.2">
      <c r="B798" s="1">
        <v>783</v>
      </c>
      <c r="C798" s="101">
        <f t="shared" ca="1" si="48"/>
        <v>-6.1718393277922827E-2</v>
      </c>
      <c r="D798" s="101">
        <f t="shared" ca="1" si="49"/>
        <v>0.66046897571014085</v>
      </c>
      <c r="E798" s="101">
        <f t="shared" ca="1" si="50"/>
        <v>0</v>
      </c>
      <c r="F798" s="21">
        <f t="shared" ca="1" si="51"/>
        <v>0</v>
      </c>
      <c r="H798" s="21">
        <v>783</v>
      </c>
      <c r="I798" s="102">
        <v>0.66773024841334794</v>
      </c>
      <c r="J798" s="103">
        <v>1.4154324913103011E-3</v>
      </c>
      <c r="K798" s="103"/>
      <c r="L798" s="103">
        <v>4.0599999999999997E-2</v>
      </c>
      <c r="O798" s="100"/>
    </row>
    <row r="799" spans="2:15" x14ac:dyDescent="0.2">
      <c r="B799" s="1">
        <v>784</v>
      </c>
      <c r="C799" s="101">
        <f t="shared" ca="1" si="48"/>
        <v>0.90873111059026368</v>
      </c>
      <c r="D799" s="101">
        <f t="shared" ca="1" si="49"/>
        <v>0.72681834544277835</v>
      </c>
      <c r="E799" s="101">
        <f t="shared" ca="1" si="50"/>
        <v>0</v>
      </c>
      <c r="F799" s="21">
        <f t="shared" ca="1" si="51"/>
        <v>0</v>
      </c>
      <c r="H799" s="21">
        <v>784</v>
      </c>
      <c r="I799" s="102">
        <v>0.66778767994047639</v>
      </c>
      <c r="J799" s="103">
        <v>1.3069239888180034E-3</v>
      </c>
      <c r="K799" s="103"/>
      <c r="L799" s="103">
        <v>4.1799999999999997E-2</v>
      </c>
      <c r="O799" s="100"/>
    </row>
    <row r="800" spans="2:15" x14ac:dyDescent="0.2">
      <c r="B800" s="1">
        <v>785</v>
      </c>
      <c r="C800" s="101">
        <f t="shared" ca="1" si="48"/>
        <v>1.2191215549732224</v>
      </c>
      <c r="D800" s="101">
        <f t="shared" ca="1" si="49"/>
        <v>0.74941574968606661</v>
      </c>
      <c r="E800" s="101">
        <f t="shared" ca="1" si="50"/>
        <v>0</v>
      </c>
      <c r="F800" s="21">
        <f t="shared" ca="1" si="51"/>
        <v>0</v>
      </c>
      <c r="H800" s="21">
        <v>785</v>
      </c>
      <c r="I800" s="102">
        <v>0.66789439239478898</v>
      </c>
      <c r="J800" s="103">
        <v>1.5772982817089858E-3</v>
      </c>
      <c r="K800" s="103"/>
      <c r="L800" s="103">
        <v>4.6399999999999997E-2</v>
      </c>
      <c r="O800" s="100"/>
    </row>
    <row r="801" spans="2:15" x14ac:dyDescent="0.2">
      <c r="B801" s="1">
        <v>786</v>
      </c>
      <c r="C801" s="101">
        <f t="shared" ca="1" si="48"/>
        <v>-0.51518718624742854</v>
      </c>
      <c r="D801" s="101">
        <f t="shared" ca="1" si="49"/>
        <v>0.63157669857724696</v>
      </c>
      <c r="E801" s="101">
        <f t="shared" ca="1" si="50"/>
        <v>0</v>
      </c>
      <c r="F801" s="21">
        <f t="shared" ca="1" si="51"/>
        <v>0</v>
      </c>
      <c r="H801" s="21">
        <v>786</v>
      </c>
      <c r="I801" s="102">
        <v>0.66765536930593039</v>
      </c>
      <c r="J801" s="103">
        <v>1.2778259136884875E-3</v>
      </c>
      <c r="K801" s="103"/>
      <c r="L801" s="103">
        <v>3.9199999999999999E-2</v>
      </c>
      <c r="O801" s="100"/>
    </row>
    <row r="802" spans="2:15" x14ac:dyDescent="0.2">
      <c r="B802" s="1">
        <v>787</v>
      </c>
      <c r="C802" s="101">
        <f t="shared" ca="1" si="48"/>
        <v>1.6339117258582549</v>
      </c>
      <c r="D802" s="101">
        <f t="shared" ca="1" si="49"/>
        <v>0.78071436640021719</v>
      </c>
      <c r="E802" s="101">
        <f t="shared" ca="1" si="50"/>
        <v>0</v>
      </c>
      <c r="F802" s="21">
        <f t="shared" ca="1" si="51"/>
        <v>0</v>
      </c>
      <c r="H802" s="21">
        <v>787</v>
      </c>
      <c r="I802" s="102">
        <v>0.66768024749218358</v>
      </c>
      <c r="J802" s="103">
        <v>1.4224348237507956E-3</v>
      </c>
      <c r="K802" s="103"/>
      <c r="L802" s="103">
        <v>3.8800000000000001E-2</v>
      </c>
      <c r="O802" s="100"/>
    </row>
    <row r="803" spans="2:15" x14ac:dyDescent="0.2">
      <c r="B803" s="1">
        <v>788</v>
      </c>
      <c r="C803" s="101">
        <f t="shared" ca="1" si="48"/>
        <v>-0.437865274458692</v>
      </c>
      <c r="D803" s="101">
        <f t="shared" ca="1" si="49"/>
        <v>0.63641223709516037</v>
      </c>
      <c r="E803" s="101">
        <f t="shared" ca="1" si="50"/>
        <v>0</v>
      </c>
      <c r="F803" s="21">
        <f t="shared" ca="1" si="51"/>
        <v>0</v>
      </c>
      <c r="H803" s="21">
        <v>788</v>
      </c>
      <c r="I803" s="102">
        <v>0.6676834821568014</v>
      </c>
      <c r="J803" s="103">
        <v>1.2993310507754825E-3</v>
      </c>
      <c r="K803" s="103"/>
      <c r="L803" s="103">
        <v>4.1799999999999997E-2</v>
      </c>
      <c r="O803" s="100"/>
    </row>
    <row r="804" spans="2:15" x14ac:dyDescent="0.2">
      <c r="B804" s="1">
        <v>789</v>
      </c>
      <c r="C804" s="101">
        <f t="shared" ca="1" si="48"/>
        <v>-1.6007198410947572</v>
      </c>
      <c r="D804" s="101">
        <f t="shared" ca="1" si="49"/>
        <v>0.56744340004304727</v>
      </c>
      <c r="E804" s="101">
        <f t="shared" ca="1" si="50"/>
        <v>0</v>
      </c>
      <c r="F804" s="21">
        <f t="shared" ca="1" si="51"/>
        <v>0</v>
      </c>
      <c r="H804" s="21">
        <v>789</v>
      </c>
      <c r="I804" s="102">
        <v>0.66772159431995415</v>
      </c>
      <c r="J804" s="103">
        <v>1.3547430654752386E-3</v>
      </c>
      <c r="K804" s="103"/>
      <c r="L804" s="103">
        <v>3.9800000000000002E-2</v>
      </c>
      <c r="O804" s="100"/>
    </row>
    <row r="805" spans="2:15" x14ac:dyDescent="0.2">
      <c r="B805" s="1">
        <v>790</v>
      </c>
      <c r="C805" s="101">
        <f t="shared" ca="1" si="48"/>
        <v>0.12534317497561198</v>
      </c>
      <c r="D805" s="101">
        <f t="shared" ca="1" si="49"/>
        <v>0.67276908176738615</v>
      </c>
      <c r="E805" s="101">
        <f t="shared" ca="1" si="50"/>
        <v>0</v>
      </c>
      <c r="F805" s="21">
        <f t="shared" ca="1" si="51"/>
        <v>0</v>
      </c>
      <c r="H805" s="21">
        <v>790</v>
      </c>
      <c r="I805" s="102">
        <v>0.66774244147382056</v>
      </c>
      <c r="J805" s="103">
        <v>1.4078384625348221E-3</v>
      </c>
      <c r="K805" s="103"/>
      <c r="L805" s="103">
        <v>4.1399999999999999E-2</v>
      </c>
      <c r="O805" s="100"/>
    </row>
    <row r="806" spans="2:15" x14ac:dyDescent="0.2">
      <c r="B806" s="1">
        <v>791</v>
      </c>
      <c r="C806" s="101">
        <f t="shared" ca="1" si="48"/>
        <v>1.8777938884802854</v>
      </c>
      <c r="D806" s="101">
        <f t="shared" ca="1" si="49"/>
        <v>0.79972363741658858</v>
      </c>
      <c r="E806" s="101">
        <f t="shared" ca="1" si="50"/>
        <v>1.1523637416588572E-2</v>
      </c>
      <c r="F806" s="21">
        <f t="shared" ca="1" si="51"/>
        <v>1</v>
      </c>
      <c r="H806" s="21">
        <v>791</v>
      </c>
      <c r="I806" s="102">
        <v>0.66790428701269</v>
      </c>
      <c r="J806" s="103">
        <v>1.5601312602280799E-3</v>
      </c>
      <c r="K806" s="103"/>
      <c r="L806" s="103">
        <v>4.9000000000000002E-2</v>
      </c>
      <c r="O806" s="100"/>
    </row>
    <row r="807" spans="2:15" x14ac:dyDescent="0.2">
      <c r="B807" s="1">
        <v>792</v>
      </c>
      <c r="C807" s="101">
        <f t="shared" ca="1" si="48"/>
        <v>-0.2194415767004414</v>
      </c>
      <c r="D807" s="101">
        <f t="shared" ca="1" si="49"/>
        <v>0.65027290461290121</v>
      </c>
      <c r="E807" s="101">
        <f t="shared" ca="1" si="50"/>
        <v>0</v>
      </c>
      <c r="F807" s="21">
        <f t="shared" ca="1" si="51"/>
        <v>0</v>
      </c>
      <c r="H807" s="21">
        <v>792</v>
      </c>
      <c r="I807" s="102">
        <v>0.66768847169196055</v>
      </c>
      <c r="J807" s="103">
        <v>1.1831226317618104E-3</v>
      </c>
      <c r="K807" s="103"/>
      <c r="L807" s="103">
        <v>3.7999999999999999E-2</v>
      </c>
      <c r="O807" s="100"/>
    </row>
    <row r="808" spans="2:15" x14ac:dyDescent="0.2">
      <c r="B808" s="1">
        <v>793</v>
      </c>
      <c r="C808" s="101">
        <f t="shared" ca="1" si="48"/>
        <v>-0.1164644849655523</v>
      </c>
      <c r="D808" s="101">
        <f t="shared" ca="1" si="49"/>
        <v>0.65691190640755137</v>
      </c>
      <c r="E808" s="101">
        <f t="shared" ca="1" si="50"/>
        <v>0</v>
      </c>
      <c r="F808" s="21">
        <f t="shared" ca="1" si="51"/>
        <v>0</v>
      </c>
      <c r="H808" s="21">
        <v>793</v>
      </c>
      <c r="I808" s="102">
        <v>0.66771576172782465</v>
      </c>
      <c r="J808" s="103">
        <v>1.263274533605819E-3</v>
      </c>
      <c r="K808" s="103"/>
      <c r="L808" s="103">
        <v>4.0599999999999997E-2</v>
      </c>
      <c r="O808" s="100"/>
    </row>
    <row r="809" spans="2:15" x14ac:dyDescent="0.2">
      <c r="B809" s="1">
        <v>794</v>
      </c>
      <c r="C809" s="101">
        <f t="shared" ca="1" si="48"/>
        <v>0.15122177280925986</v>
      </c>
      <c r="D809" s="101">
        <f t="shared" ca="1" si="49"/>
        <v>0.67448865270362535</v>
      </c>
      <c r="E809" s="101">
        <f t="shared" ca="1" si="50"/>
        <v>0</v>
      </c>
      <c r="F809" s="21">
        <f t="shared" ca="1" si="51"/>
        <v>0</v>
      </c>
      <c r="H809" s="21">
        <v>794</v>
      </c>
      <c r="I809" s="102">
        <v>0.66769601499176157</v>
      </c>
      <c r="J809" s="103">
        <v>1.2964160835752612E-3</v>
      </c>
      <c r="K809" s="103"/>
      <c r="L809" s="103">
        <v>3.9E-2</v>
      </c>
      <c r="O809" s="100"/>
    </row>
    <row r="810" spans="2:15" x14ac:dyDescent="0.2">
      <c r="B810" s="1">
        <v>795</v>
      </c>
      <c r="C810" s="101">
        <f t="shared" ca="1" si="48"/>
        <v>-4.0481993478001542E-2</v>
      </c>
      <c r="D810" s="101">
        <f t="shared" ca="1" si="49"/>
        <v>0.66185396741508729</v>
      </c>
      <c r="E810" s="101">
        <f t="shared" ca="1" si="50"/>
        <v>0</v>
      </c>
      <c r="F810" s="21">
        <f t="shared" ca="1" si="51"/>
        <v>0</v>
      </c>
      <c r="H810" s="21">
        <v>795</v>
      </c>
      <c r="I810" s="102">
        <v>0.6676565811130154</v>
      </c>
      <c r="J810" s="103">
        <v>1.1273688311487177E-3</v>
      </c>
      <c r="K810" s="103"/>
      <c r="L810" s="103">
        <v>3.9E-2</v>
      </c>
      <c r="O810" s="100"/>
    </row>
    <row r="811" spans="2:15" x14ac:dyDescent="0.2">
      <c r="B811" s="1">
        <v>796</v>
      </c>
      <c r="C811" s="101">
        <f t="shared" ca="1" si="48"/>
        <v>1.59331050469448</v>
      </c>
      <c r="D811" s="101">
        <f t="shared" ca="1" si="49"/>
        <v>0.77759389078987007</v>
      </c>
      <c r="E811" s="101">
        <f t="shared" ca="1" si="50"/>
        <v>0</v>
      </c>
      <c r="F811" s="21">
        <f t="shared" ca="1" si="51"/>
        <v>0</v>
      </c>
      <c r="H811" s="21">
        <v>796</v>
      </c>
      <c r="I811" s="102">
        <v>0.66773928116495929</v>
      </c>
      <c r="J811" s="103">
        <v>1.4295836260033602E-3</v>
      </c>
      <c r="K811" s="103"/>
      <c r="L811" s="103">
        <v>4.3799999999999999E-2</v>
      </c>
      <c r="O811" s="100"/>
    </row>
    <row r="812" spans="2:15" x14ac:dyDescent="0.2">
      <c r="B812" s="1">
        <v>797</v>
      </c>
      <c r="C812" s="101">
        <f t="shared" ca="1" si="48"/>
        <v>-1.7091967596130788</v>
      </c>
      <c r="D812" s="101">
        <f t="shared" ca="1" si="49"/>
        <v>0.56140395102876151</v>
      </c>
      <c r="E812" s="101">
        <f t="shared" ca="1" si="50"/>
        <v>0</v>
      </c>
      <c r="F812" s="21">
        <f t="shared" ca="1" si="51"/>
        <v>0</v>
      </c>
      <c r="H812" s="21">
        <v>797</v>
      </c>
      <c r="I812" s="102">
        <v>0.66788196037330205</v>
      </c>
      <c r="J812" s="103">
        <v>1.5245642047643749E-3</v>
      </c>
      <c r="K812" s="103"/>
      <c r="L812" s="103">
        <v>4.5199999999999997E-2</v>
      </c>
      <c r="O812" s="100"/>
    </row>
    <row r="813" spans="2:15" x14ac:dyDescent="0.2">
      <c r="B813" s="1">
        <v>798</v>
      </c>
      <c r="C813" s="101">
        <f t="shared" ca="1" si="48"/>
        <v>0.75043807495454784</v>
      </c>
      <c r="D813" s="101">
        <f t="shared" ca="1" si="49"/>
        <v>0.71555777445193358</v>
      </c>
      <c r="E813" s="101">
        <f t="shared" ca="1" si="50"/>
        <v>0</v>
      </c>
      <c r="F813" s="21">
        <f t="shared" ca="1" si="51"/>
        <v>0</v>
      </c>
      <c r="H813" s="21">
        <v>798</v>
      </c>
      <c r="I813" s="102">
        <v>0.66774349331833194</v>
      </c>
      <c r="J813" s="103">
        <v>1.4055872192901735E-3</v>
      </c>
      <c r="K813" s="103"/>
      <c r="L813" s="103">
        <v>3.9199999999999999E-2</v>
      </c>
      <c r="O813" s="100"/>
    </row>
    <row r="814" spans="2:15" x14ac:dyDescent="0.2">
      <c r="B814" s="1">
        <v>799</v>
      </c>
      <c r="C814" s="101">
        <f t="shared" ca="1" si="48"/>
        <v>-1.994389210936228</v>
      </c>
      <c r="D814" s="101">
        <f t="shared" ca="1" si="49"/>
        <v>0.54583074684197652</v>
      </c>
      <c r="E814" s="101">
        <f t="shared" ca="1" si="50"/>
        <v>0</v>
      </c>
      <c r="F814" s="21">
        <f t="shared" ca="1" si="51"/>
        <v>0</v>
      </c>
      <c r="H814" s="21">
        <v>799</v>
      </c>
      <c r="I814" s="102">
        <v>0.66767249648030547</v>
      </c>
      <c r="J814" s="103">
        <v>1.0863605984221007E-3</v>
      </c>
      <c r="K814" s="103"/>
      <c r="L814" s="103">
        <v>3.9800000000000002E-2</v>
      </c>
      <c r="O814" s="100"/>
    </row>
    <row r="815" spans="2:15" x14ac:dyDescent="0.2">
      <c r="B815" s="1">
        <v>800</v>
      </c>
      <c r="C815" s="101">
        <f t="shared" ca="1" si="48"/>
        <v>-0.56775511415845503</v>
      </c>
      <c r="D815" s="101">
        <f t="shared" ca="1" si="49"/>
        <v>0.62831021592721958</v>
      </c>
      <c r="E815" s="101">
        <f t="shared" ca="1" si="50"/>
        <v>0</v>
      </c>
      <c r="F815" s="21">
        <f t="shared" ca="1" si="51"/>
        <v>0</v>
      </c>
      <c r="H815" s="21">
        <v>800</v>
      </c>
      <c r="I815" s="102">
        <v>0.66772097485184412</v>
      </c>
      <c r="J815" s="103">
        <v>1.2690783366514271E-3</v>
      </c>
      <c r="K815" s="103"/>
      <c r="L815" s="103">
        <v>4.1599999999999998E-2</v>
      </c>
      <c r="O815" s="100"/>
    </row>
    <row r="816" spans="2:15" x14ac:dyDescent="0.2">
      <c r="B816" s="1">
        <v>801</v>
      </c>
      <c r="C816" s="101">
        <f t="shared" ca="1" si="48"/>
        <v>-0.26644460607333975</v>
      </c>
      <c r="D816" s="101">
        <f t="shared" ca="1" si="49"/>
        <v>0.64726493110516381</v>
      </c>
      <c r="E816" s="101">
        <f t="shared" ca="1" si="50"/>
        <v>0</v>
      </c>
      <c r="F816" s="21">
        <f t="shared" ca="1" si="51"/>
        <v>0</v>
      </c>
      <c r="H816" s="21">
        <v>801</v>
      </c>
      <c r="I816" s="102">
        <v>0.66759247238436847</v>
      </c>
      <c r="J816" s="103">
        <v>1.2448873139095182E-3</v>
      </c>
      <c r="K816" s="103"/>
      <c r="L816" s="103">
        <v>3.9600000000000003E-2</v>
      </c>
      <c r="O816" s="100"/>
    </row>
    <row r="817" spans="2:15" x14ac:dyDescent="0.2">
      <c r="B817" s="1">
        <v>802</v>
      </c>
      <c r="C817" s="101">
        <f t="shared" ca="1" si="48"/>
        <v>0.71569224097440842</v>
      </c>
      <c r="D817" s="101">
        <f t="shared" ca="1" si="49"/>
        <v>0.71310948752816528</v>
      </c>
      <c r="E817" s="101">
        <f t="shared" ca="1" si="50"/>
        <v>0</v>
      </c>
      <c r="F817" s="21">
        <f t="shared" ca="1" si="51"/>
        <v>0</v>
      </c>
      <c r="H817" s="21">
        <v>802</v>
      </c>
      <c r="I817" s="102">
        <v>0.66792719070473161</v>
      </c>
      <c r="J817" s="103">
        <v>1.5384193916047934E-3</v>
      </c>
      <c r="K817" s="103"/>
      <c r="L817" s="103">
        <v>4.3999999999999997E-2</v>
      </c>
      <c r="O817" s="100"/>
    </row>
    <row r="818" spans="2:15" x14ac:dyDescent="0.2">
      <c r="B818" s="1">
        <v>803</v>
      </c>
      <c r="C818" s="101">
        <f t="shared" ca="1" si="48"/>
        <v>0.91753100046106328</v>
      </c>
      <c r="D818" s="101">
        <f t="shared" ca="1" si="49"/>
        <v>0.7274495215099076</v>
      </c>
      <c r="E818" s="101">
        <f t="shared" ca="1" si="50"/>
        <v>0</v>
      </c>
      <c r="F818" s="21">
        <f t="shared" ca="1" si="51"/>
        <v>0</v>
      </c>
      <c r="H818" s="21">
        <v>803</v>
      </c>
      <c r="I818" s="102">
        <v>0.66763950861693244</v>
      </c>
      <c r="J818" s="103">
        <v>1.2722362507730895E-3</v>
      </c>
      <c r="K818" s="103"/>
      <c r="L818" s="103">
        <v>3.7199999999999997E-2</v>
      </c>
      <c r="O818" s="100"/>
    </row>
    <row r="819" spans="2:15" x14ac:dyDescent="0.2">
      <c r="B819" s="1">
        <v>804</v>
      </c>
      <c r="C819" s="101">
        <f t="shared" ca="1" si="48"/>
        <v>1.0146480171835104</v>
      </c>
      <c r="D819" s="101">
        <f t="shared" ca="1" si="49"/>
        <v>0.73445179345870948</v>
      </c>
      <c r="E819" s="101">
        <f t="shared" ca="1" si="50"/>
        <v>0</v>
      </c>
      <c r="F819" s="21">
        <f t="shared" ca="1" si="51"/>
        <v>0</v>
      </c>
      <c r="H819" s="21">
        <v>804</v>
      </c>
      <c r="I819" s="102">
        <v>0.66766381162493327</v>
      </c>
      <c r="J819" s="103">
        <v>1.2843332067790643E-3</v>
      </c>
      <c r="K819" s="103"/>
      <c r="L819" s="103">
        <v>3.8600000000000002E-2</v>
      </c>
      <c r="O819" s="100"/>
    </row>
    <row r="820" spans="2:15" x14ac:dyDescent="0.2">
      <c r="B820" s="1">
        <v>805</v>
      </c>
      <c r="C820" s="101">
        <f t="shared" ca="1" si="48"/>
        <v>-0.49773318506354197</v>
      </c>
      <c r="D820" s="101">
        <f t="shared" ca="1" si="49"/>
        <v>0.63266501181925283</v>
      </c>
      <c r="E820" s="101">
        <f t="shared" ca="1" si="50"/>
        <v>0</v>
      </c>
      <c r="F820" s="21">
        <f t="shared" ca="1" si="51"/>
        <v>0</v>
      </c>
      <c r="H820" s="21">
        <v>805</v>
      </c>
      <c r="I820" s="102">
        <v>0.66785843026793379</v>
      </c>
      <c r="J820" s="103">
        <v>1.5471424325937449E-3</v>
      </c>
      <c r="K820" s="103"/>
      <c r="L820" s="103">
        <v>4.1799999999999997E-2</v>
      </c>
      <c r="O820" s="100"/>
    </row>
    <row r="821" spans="2:15" x14ac:dyDescent="0.2">
      <c r="B821" s="1">
        <v>806</v>
      </c>
      <c r="C821" s="101">
        <f t="shared" ca="1" si="48"/>
        <v>-0.45082834286812229</v>
      </c>
      <c r="D821" s="101">
        <f t="shared" ca="1" si="49"/>
        <v>0.63559898048855745</v>
      </c>
      <c r="E821" s="101">
        <f t="shared" ca="1" si="50"/>
        <v>0</v>
      </c>
      <c r="F821" s="21">
        <f t="shared" ca="1" si="51"/>
        <v>0</v>
      </c>
      <c r="H821" s="21">
        <v>806</v>
      </c>
      <c r="I821" s="102">
        <v>0.66779986784025203</v>
      </c>
      <c r="J821" s="103">
        <v>1.431364217402465E-3</v>
      </c>
      <c r="K821" s="103"/>
      <c r="L821" s="103">
        <v>4.3200000000000002E-2</v>
      </c>
      <c r="O821" s="100"/>
    </row>
    <row r="822" spans="2:15" x14ac:dyDescent="0.2">
      <c r="B822" s="1">
        <v>807</v>
      </c>
      <c r="C822" s="101">
        <f t="shared" ca="1" si="48"/>
        <v>-1.5321043633308389</v>
      </c>
      <c r="D822" s="101">
        <f t="shared" ca="1" si="49"/>
        <v>0.57129706623290355</v>
      </c>
      <c r="E822" s="101">
        <f t="shared" ca="1" si="50"/>
        <v>0</v>
      </c>
      <c r="F822" s="21">
        <f t="shared" ca="1" si="51"/>
        <v>0</v>
      </c>
      <c r="H822" s="21">
        <v>807</v>
      </c>
      <c r="I822" s="102">
        <v>0.66773551793374697</v>
      </c>
      <c r="J822" s="103">
        <v>1.3950569904566596E-3</v>
      </c>
      <c r="K822" s="103"/>
      <c r="L822" s="103">
        <v>4.3200000000000002E-2</v>
      </c>
      <c r="O822" s="100"/>
    </row>
    <row r="823" spans="2:15" x14ac:dyDescent="0.2">
      <c r="B823" s="1">
        <v>808</v>
      </c>
      <c r="C823" s="101">
        <f t="shared" ca="1" si="48"/>
        <v>-0.25656855011930108</v>
      </c>
      <c r="D823" s="101">
        <f t="shared" ca="1" si="49"/>
        <v>0.64789579559030919</v>
      </c>
      <c r="E823" s="101">
        <f t="shared" ca="1" si="50"/>
        <v>0</v>
      </c>
      <c r="F823" s="21">
        <f t="shared" ca="1" si="51"/>
        <v>0</v>
      </c>
      <c r="H823" s="21">
        <v>808</v>
      </c>
      <c r="I823" s="102">
        <v>0.66765125427109084</v>
      </c>
      <c r="J823" s="103">
        <v>1.2230084974015208E-3</v>
      </c>
      <c r="K823" s="103"/>
      <c r="L823" s="103">
        <v>3.7999999999999999E-2</v>
      </c>
      <c r="O823" s="100"/>
    </row>
    <row r="824" spans="2:15" x14ac:dyDescent="0.2">
      <c r="B824" s="1">
        <v>809</v>
      </c>
      <c r="C824" s="101">
        <f t="shared" ca="1" si="48"/>
        <v>-1.1780337765444688</v>
      </c>
      <c r="D824" s="101">
        <f t="shared" ca="1" si="49"/>
        <v>0.59160271647262108</v>
      </c>
      <c r="E824" s="101">
        <f t="shared" ca="1" si="50"/>
        <v>0</v>
      </c>
      <c r="F824" s="21">
        <f t="shared" ca="1" si="51"/>
        <v>0</v>
      </c>
      <c r="H824" s="21">
        <v>809</v>
      </c>
      <c r="I824" s="102">
        <v>0.66771910460575712</v>
      </c>
      <c r="J824" s="103">
        <v>1.2845040587451024E-3</v>
      </c>
      <c r="K824" s="103"/>
      <c r="L824" s="103">
        <v>4.2799999999999998E-2</v>
      </c>
      <c r="O824" s="100"/>
    </row>
    <row r="825" spans="2:15" x14ac:dyDescent="0.2">
      <c r="B825" s="1">
        <v>810</v>
      </c>
      <c r="C825" s="101">
        <f t="shared" ca="1" si="48"/>
        <v>0.67793119233923338</v>
      </c>
      <c r="D825" s="101">
        <f t="shared" ca="1" si="49"/>
        <v>0.71045823813260434</v>
      </c>
      <c r="E825" s="101">
        <f t="shared" ca="1" si="50"/>
        <v>0</v>
      </c>
      <c r="F825" s="21">
        <f t="shared" ca="1" si="51"/>
        <v>0</v>
      </c>
      <c r="H825" s="21">
        <v>810</v>
      </c>
      <c r="I825" s="102">
        <v>0.66780340114418446</v>
      </c>
      <c r="J825" s="103">
        <v>1.2907614137233354E-3</v>
      </c>
      <c r="K825" s="103"/>
      <c r="L825" s="103">
        <v>4.4400000000000002E-2</v>
      </c>
      <c r="O825" s="100"/>
    </row>
    <row r="826" spans="2:15" x14ac:dyDescent="0.2">
      <c r="B826" s="1">
        <v>811</v>
      </c>
      <c r="C826" s="101">
        <f t="shared" ca="1" si="48"/>
        <v>0.46641344742733365</v>
      </c>
      <c r="D826" s="101">
        <f t="shared" ca="1" si="49"/>
        <v>0.69578852925552204</v>
      </c>
      <c r="E826" s="101">
        <f t="shared" ca="1" si="50"/>
        <v>0</v>
      </c>
      <c r="F826" s="21">
        <f t="shared" ca="1" si="51"/>
        <v>0</v>
      </c>
      <c r="H826" s="21">
        <v>811</v>
      </c>
      <c r="I826" s="102">
        <v>0.66788360770679078</v>
      </c>
      <c r="J826" s="103">
        <v>1.5538819933883375E-3</v>
      </c>
      <c r="K826" s="103"/>
      <c r="L826" s="103">
        <v>4.48E-2</v>
      </c>
      <c r="O826" s="100"/>
    </row>
    <row r="827" spans="2:15" x14ac:dyDescent="0.2">
      <c r="B827" s="1">
        <v>812</v>
      </c>
      <c r="C827" s="101">
        <f t="shared" ca="1" si="48"/>
        <v>1.4207129799360765</v>
      </c>
      <c r="D827" s="101">
        <f t="shared" ca="1" si="49"/>
        <v>0.76446722091944053</v>
      </c>
      <c r="E827" s="101">
        <f t="shared" ca="1" si="50"/>
        <v>0</v>
      </c>
      <c r="F827" s="21">
        <f t="shared" ca="1" si="51"/>
        <v>0</v>
      </c>
      <c r="H827" s="21">
        <v>812</v>
      </c>
      <c r="I827" s="102">
        <v>0.66786520054033982</v>
      </c>
      <c r="J827" s="103">
        <v>1.4348298813964544E-3</v>
      </c>
      <c r="K827" s="103"/>
      <c r="L827" s="103">
        <v>4.1799999999999997E-2</v>
      </c>
      <c r="O827" s="100"/>
    </row>
    <row r="828" spans="2:15" x14ac:dyDescent="0.2">
      <c r="B828" s="1">
        <v>813</v>
      </c>
      <c r="C828" s="101">
        <f t="shared" ca="1" si="48"/>
        <v>0.71609072280123909</v>
      </c>
      <c r="D828" s="101">
        <f t="shared" ca="1" si="49"/>
        <v>0.71313751811372794</v>
      </c>
      <c r="E828" s="101">
        <f t="shared" ca="1" si="50"/>
        <v>0</v>
      </c>
      <c r="F828" s="21">
        <f t="shared" ca="1" si="51"/>
        <v>0</v>
      </c>
      <c r="H828" s="21">
        <v>813</v>
      </c>
      <c r="I828" s="102">
        <v>0.66774111790969559</v>
      </c>
      <c r="J828" s="103">
        <v>1.3164776022696085E-3</v>
      </c>
      <c r="K828" s="103"/>
      <c r="L828" s="103">
        <v>4.1599999999999998E-2</v>
      </c>
      <c r="O828" s="100"/>
    </row>
    <row r="829" spans="2:15" x14ac:dyDescent="0.2">
      <c r="B829" s="1">
        <v>814</v>
      </c>
      <c r="C829" s="101">
        <f t="shared" ca="1" si="48"/>
        <v>-2.0773516799621699</v>
      </c>
      <c r="D829" s="101">
        <f t="shared" ca="1" si="49"/>
        <v>0.54138215310065452</v>
      </c>
      <c r="E829" s="101">
        <f t="shared" ca="1" si="50"/>
        <v>0</v>
      </c>
      <c r="F829" s="21">
        <f t="shared" ca="1" si="51"/>
        <v>0</v>
      </c>
      <c r="H829" s="21">
        <v>814</v>
      </c>
      <c r="I829" s="102">
        <v>0.66786124865160068</v>
      </c>
      <c r="J829" s="103">
        <v>1.4751294823944227E-3</v>
      </c>
      <c r="K829" s="103"/>
      <c r="L829" s="103">
        <v>4.3200000000000002E-2</v>
      </c>
      <c r="O829" s="100"/>
    </row>
    <row r="830" spans="2:15" x14ac:dyDescent="0.2">
      <c r="B830" s="1">
        <v>815</v>
      </c>
      <c r="C830" s="101">
        <f t="shared" ca="1" si="48"/>
        <v>2.1497728660207209</v>
      </c>
      <c r="D830" s="101">
        <f t="shared" ca="1" si="49"/>
        <v>0.82146931278656321</v>
      </c>
      <c r="E830" s="101">
        <f t="shared" ca="1" si="50"/>
        <v>3.3269312786563199E-2</v>
      </c>
      <c r="F830" s="21">
        <f t="shared" ca="1" si="51"/>
        <v>1</v>
      </c>
      <c r="H830" s="21">
        <v>815</v>
      </c>
      <c r="I830" s="102">
        <v>0.6677327122073512</v>
      </c>
      <c r="J830" s="103">
        <v>1.287945306557924E-3</v>
      </c>
      <c r="K830" s="103"/>
      <c r="L830" s="103">
        <v>4.1599999999999998E-2</v>
      </c>
      <c r="O830" s="100"/>
    </row>
    <row r="831" spans="2:15" x14ac:dyDescent="0.2">
      <c r="B831" s="1">
        <v>816</v>
      </c>
      <c r="C831" s="101">
        <f t="shared" ca="1" si="48"/>
        <v>0.5218049974656026</v>
      </c>
      <c r="D831" s="101">
        <f t="shared" ca="1" si="49"/>
        <v>0.69960065040271446</v>
      </c>
      <c r="E831" s="101">
        <f t="shared" ca="1" si="50"/>
        <v>0</v>
      </c>
      <c r="F831" s="21">
        <f t="shared" ca="1" si="51"/>
        <v>0</v>
      </c>
      <c r="H831" s="21">
        <v>816</v>
      </c>
      <c r="I831" s="102">
        <v>0.66769502871692898</v>
      </c>
      <c r="J831" s="103">
        <v>1.3325335779715147E-3</v>
      </c>
      <c r="K831" s="103"/>
      <c r="L831" s="103">
        <v>4.1200000000000001E-2</v>
      </c>
      <c r="O831" s="100"/>
    </row>
    <row r="832" spans="2:15" x14ac:dyDescent="0.2">
      <c r="B832" s="1">
        <v>817</v>
      </c>
      <c r="C832" s="101">
        <f t="shared" ca="1" si="48"/>
        <v>-0.15057015526911532</v>
      </c>
      <c r="D832" s="101">
        <f t="shared" ca="1" si="49"/>
        <v>0.65470561793732407</v>
      </c>
      <c r="E832" s="101">
        <f t="shared" ca="1" si="50"/>
        <v>0</v>
      </c>
      <c r="F832" s="21">
        <f t="shared" ca="1" si="51"/>
        <v>0</v>
      </c>
      <c r="H832" s="21">
        <v>817</v>
      </c>
      <c r="I832" s="102">
        <v>0.66774321673300008</v>
      </c>
      <c r="J832" s="103">
        <v>1.3927673391041717E-3</v>
      </c>
      <c r="K832" s="103"/>
      <c r="L832" s="103">
        <v>4.1200000000000001E-2</v>
      </c>
      <c r="O832" s="100"/>
    </row>
    <row r="833" spans="2:15" x14ac:dyDescent="0.2">
      <c r="B833" s="1">
        <v>818</v>
      </c>
      <c r="C833" s="101">
        <f t="shared" ca="1" si="48"/>
        <v>-2.6141794419280346E-2</v>
      </c>
      <c r="D833" s="101">
        <f t="shared" ca="1" si="49"/>
        <v>0.66279084631051344</v>
      </c>
      <c r="E833" s="101">
        <f t="shared" ca="1" si="50"/>
        <v>0</v>
      </c>
      <c r="F833" s="21">
        <f t="shared" ca="1" si="51"/>
        <v>0</v>
      </c>
      <c r="H833" s="21">
        <v>818</v>
      </c>
      <c r="I833" s="102">
        <v>0.66771971634263372</v>
      </c>
      <c r="J833" s="103">
        <v>1.3367207920818988E-3</v>
      </c>
      <c r="K833" s="103"/>
      <c r="L833" s="103">
        <v>4.2799999999999998E-2</v>
      </c>
      <c r="O833" s="100"/>
    </row>
    <row r="834" spans="2:15" x14ac:dyDescent="0.2">
      <c r="B834" s="1">
        <v>819</v>
      </c>
      <c r="C834" s="101">
        <f t="shared" ca="1" si="48"/>
        <v>-0.42554382438909266</v>
      </c>
      <c r="D834" s="101">
        <f t="shared" ca="1" si="49"/>
        <v>0.63718620542900406</v>
      </c>
      <c r="E834" s="101">
        <f t="shared" ca="1" si="50"/>
        <v>0</v>
      </c>
      <c r="F834" s="21">
        <f t="shared" ca="1" si="51"/>
        <v>0</v>
      </c>
      <c r="H834" s="21">
        <v>819</v>
      </c>
      <c r="I834" s="102">
        <v>0.66788063733697534</v>
      </c>
      <c r="J834" s="103">
        <v>1.4838684883191411E-3</v>
      </c>
      <c r="K834" s="103"/>
      <c r="L834" s="103">
        <v>4.3400000000000001E-2</v>
      </c>
      <c r="O834" s="100"/>
    </row>
    <row r="835" spans="2:15" x14ac:dyDescent="0.2">
      <c r="B835" s="1">
        <v>820</v>
      </c>
      <c r="C835" s="101">
        <f t="shared" ca="1" si="48"/>
        <v>-0.89668392707985045</v>
      </c>
      <c r="D835" s="101">
        <f t="shared" ca="1" si="49"/>
        <v>0.60825125485540921</v>
      </c>
      <c r="E835" s="101">
        <f t="shared" ca="1" si="50"/>
        <v>0</v>
      </c>
      <c r="F835" s="21">
        <f t="shared" ca="1" si="51"/>
        <v>0</v>
      </c>
      <c r="H835" s="21">
        <v>820</v>
      </c>
      <c r="I835" s="102">
        <v>0.66769035934120657</v>
      </c>
      <c r="J835" s="103">
        <v>1.3023865834174894E-3</v>
      </c>
      <c r="K835" s="103"/>
      <c r="L835" s="103">
        <v>4.2200000000000001E-2</v>
      </c>
      <c r="O835" s="100"/>
    </row>
    <row r="836" spans="2:15" x14ac:dyDescent="0.2">
      <c r="B836" s="1">
        <v>821</v>
      </c>
      <c r="C836" s="101">
        <f t="shared" ca="1" si="48"/>
        <v>0.8638976936270919</v>
      </c>
      <c r="D836" s="101">
        <f t="shared" ca="1" si="49"/>
        <v>0.72361114091006995</v>
      </c>
      <c r="E836" s="101">
        <f t="shared" ca="1" si="50"/>
        <v>0</v>
      </c>
      <c r="F836" s="21">
        <f t="shared" ca="1" si="51"/>
        <v>0</v>
      </c>
      <c r="H836" s="21">
        <v>821</v>
      </c>
      <c r="I836" s="102">
        <v>0.66761698557666538</v>
      </c>
      <c r="J836" s="103">
        <v>1.1187992832276481E-3</v>
      </c>
      <c r="K836" s="103"/>
      <c r="L836" s="103">
        <v>3.7999999999999999E-2</v>
      </c>
      <c r="O836" s="100"/>
    </row>
    <row r="837" spans="2:15" x14ac:dyDescent="0.2">
      <c r="B837" s="1">
        <v>822</v>
      </c>
      <c r="C837" s="101">
        <f t="shared" ca="1" si="48"/>
        <v>1.4791599881688968</v>
      </c>
      <c r="D837" s="101">
        <f t="shared" ca="1" si="49"/>
        <v>0.76888732578425423</v>
      </c>
      <c r="E837" s="101">
        <f t="shared" ca="1" si="50"/>
        <v>0</v>
      </c>
      <c r="F837" s="21">
        <f t="shared" ca="1" si="51"/>
        <v>0</v>
      </c>
      <c r="H837" s="21">
        <v>822</v>
      </c>
      <c r="I837" s="102">
        <v>0.66782743432997693</v>
      </c>
      <c r="J837" s="103">
        <v>1.564918107770173E-3</v>
      </c>
      <c r="K837" s="103"/>
      <c r="L837" s="103">
        <v>4.4200000000000003E-2</v>
      </c>
      <c r="O837" s="100"/>
    </row>
    <row r="838" spans="2:15" x14ac:dyDescent="0.2">
      <c r="B838" s="1">
        <v>823</v>
      </c>
      <c r="C838" s="101">
        <f t="shared" ca="1" si="48"/>
        <v>1.5086659605258745</v>
      </c>
      <c r="D838" s="101">
        <f t="shared" ca="1" si="49"/>
        <v>0.77112843848132873</v>
      </c>
      <c r="E838" s="101">
        <f t="shared" ca="1" si="50"/>
        <v>0</v>
      </c>
      <c r="F838" s="21">
        <f t="shared" ca="1" si="51"/>
        <v>0</v>
      </c>
      <c r="H838" s="21">
        <v>823</v>
      </c>
      <c r="I838" s="102">
        <v>0.66760587430348362</v>
      </c>
      <c r="J838" s="103">
        <v>1.1481553723817026E-3</v>
      </c>
      <c r="K838" s="103"/>
      <c r="L838" s="103">
        <v>3.9E-2</v>
      </c>
      <c r="O838" s="100"/>
    </row>
    <row r="839" spans="2:15" x14ac:dyDescent="0.2">
      <c r="B839" s="1">
        <v>824</v>
      </c>
      <c r="C839" s="101">
        <f t="shared" ca="1" si="48"/>
        <v>-1.2007975086746869</v>
      </c>
      <c r="D839" s="101">
        <f t="shared" ca="1" si="49"/>
        <v>0.59027579559978727</v>
      </c>
      <c r="E839" s="101">
        <f t="shared" ca="1" si="50"/>
        <v>0</v>
      </c>
      <c r="F839" s="21">
        <f t="shared" ca="1" si="51"/>
        <v>0</v>
      </c>
      <c r="H839" s="21">
        <v>824</v>
      </c>
      <c r="I839" s="102">
        <v>0.66774645956557588</v>
      </c>
      <c r="J839" s="103">
        <v>1.4002525581740572E-3</v>
      </c>
      <c r="K839" s="103"/>
      <c r="L839" s="103">
        <v>4.2200000000000001E-2</v>
      </c>
      <c r="O839" s="100"/>
    </row>
    <row r="840" spans="2:15" x14ac:dyDescent="0.2">
      <c r="B840" s="1">
        <v>825</v>
      </c>
      <c r="C840" s="101">
        <f t="shared" ca="1" si="48"/>
        <v>-0.74131821008100729</v>
      </c>
      <c r="D840" s="101">
        <f t="shared" ca="1" si="49"/>
        <v>0.61764479387522486</v>
      </c>
      <c r="E840" s="101">
        <f t="shared" ca="1" si="50"/>
        <v>0</v>
      </c>
      <c r="F840" s="21">
        <f t="shared" ca="1" si="51"/>
        <v>0</v>
      </c>
      <c r="H840" s="21">
        <v>825</v>
      </c>
      <c r="I840" s="102">
        <v>0.66779550623021522</v>
      </c>
      <c r="J840" s="103">
        <v>1.4570696915693544E-3</v>
      </c>
      <c r="K840" s="103"/>
      <c r="L840" s="103">
        <v>3.9399999999999998E-2</v>
      </c>
      <c r="O840" s="100"/>
    </row>
    <row r="841" spans="2:15" x14ac:dyDescent="0.2">
      <c r="B841" s="1">
        <v>826</v>
      </c>
      <c r="C841" s="101">
        <f t="shared" ca="1" si="48"/>
        <v>9.7202990308882034E-2</v>
      </c>
      <c r="D841" s="101">
        <f t="shared" ca="1" si="49"/>
        <v>0.67090420879983526</v>
      </c>
      <c r="E841" s="101">
        <f t="shared" ca="1" si="50"/>
        <v>0</v>
      </c>
      <c r="F841" s="21">
        <f t="shared" ca="1" si="51"/>
        <v>0</v>
      </c>
      <c r="H841" s="21">
        <v>826</v>
      </c>
      <c r="I841" s="102">
        <v>0.66774708152725926</v>
      </c>
      <c r="J841" s="103">
        <v>1.4473848390522579E-3</v>
      </c>
      <c r="K841" s="103"/>
      <c r="L841" s="103">
        <v>4.1000000000000002E-2</v>
      </c>
      <c r="O841" s="100"/>
    </row>
    <row r="842" spans="2:15" x14ac:dyDescent="0.2">
      <c r="B842" s="1">
        <v>827</v>
      </c>
      <c r="C842" s="101">
        <f t="shared" ca="1" si="48"/>
        <v>0.68093911613970814</v>
      </c>
      <c r="D842" s="101">
        <f t="shared" ca="1" si="49"/>
        <v>0.71066906633978044</v>
      </c>
      <c r="E842" s="101">
        <f t="shared" ca="1" si="50"/>
        <v>0</v>
      </c>
      <c r="F842" s="21">
        <f t="shared" ca="1" si="51"/>
        <v>0</v>
      </c>
      <c r="H842" s="21">
        <v>827</v>
      </c>
      <c r="I842" s="102">
        <v>0.66769873369539112</v>
      </c>
      <c r="J842" s="103">
        <v>1.3883466115395123E-3</v>
      </c>
      <c r="K842" s="103"/>
      <c r="L842" s="103">
        <v>4.0599999999999997E-2</v>
      </c>
      <c r="O842" s="100"/>
    </row>
    <row r="843" spans="2:15" x14ac:dyDescent="0.2">
      <c r="B843" s="1">
        <v>828</v>
      </c>
      <c r="C843" s="101">
        <f t="shared" ca="1" si="48"/>
        <v>0.17202209709524693</v>
      </c>
      <c r="D843" s="101">
        <f t="shared" ca="1" si="49"/>
        <v>0.67587397003280392</v>
      </c>
      <c r="E843" s="101">
        <f t="shared" ca="1" si="50"/>
        <v>0</v>
      </c>
      <c r="F843" s="21">
        <f t="shared" ca="1" si="51"/>
        <v>0</v>
      </c>
      <c r="H843" s="21">
        <v>828</v>
      </c>
      <c r="I843" s="102">
        <v>0.66775437652122294</v>
      </c>
      <c r="J843" s="103">
        <v>1.3768074507784225E-3</v>
      </c>
      <c r="K843" s="103"/>
      <c r="L843" s="103">
        <v>4.4400000000000002E-2</v>
      </c>
      <c r="O843" s="100"/>
    </row>
    <row r="844" spans="2:15" x14ac:dyDescent="0.2">
      <c r="B844" s="1">
        <v>829</v>
      </c>
      <c r="C844" s="101">
        <f t="shared" ca="1" si="48"/>
        <v>-0.84139880382159038</v>
      </c>
      <c r="D844" s="101">
        <f t="shared" ca="1" si="49"/>
        <v>0.61157735196530294</v>
      </c>
      <c r="E844" s="101">
        <f t="shared" ca="1" si="50"/>
        <v>0</v>
      </c>
      <c r="F844" s="21">
        <f t="shared" ca="1" si="51"/>
        <v>0</v>
      </c>
      <c r="H844" s="21">
        <v>829</v>
      </c>
      <c r="I844" s="102">
        <v>0.66775468324751364</v>
      </c>
      <c r="J844" s="103">
        <v>1.4486838777165831E-3</v>
      </c>
      <c r="K844" s="103"/>
      <c r="L844" s="103">
        <v>4.1200000000000001E-2</v>
      </c>
      <c r="O844" s="100"/>
    </row>
    <row r="845" spans="2:15" x14ac:dyDescent="0.2">
      <c r="B845" s="1">
        <v>830</v>
      </c>
      <c r="C845" s="101">
        <f t="shared" ca="1" si="48"/>
        <v>-0.12867536791281445</v>
      </c>
      <c r="D845" s="101">
        <f t="shared" ca="1" si="49"/>
        <v>0.65612113387599547</v>
      </c>
      <c r="E845" s="101">
        <f t="shared" ca="1" si="50"/>
        <v>0</v>
      </c>
      <c r="F845" s="21">
        <f t="shared" ca="1" si="51"/>
        <v>0</v>
      </c>
      <c r="H845" s="21">
        <v>830</v>
      </c>
      <c r="I845" s="102">
        <v>0.667759815057268</v>
      </c>
      <c r="J845" s="103">
        <v>1.3564296254907808E-3</v>
      </c>
      <c r="K845" s="103"/>
      <c r="L845" s="103">
        <v>4.3400000000000001E-2</v>
      </c>
      <c r="O845" s="100"/>
    </row>
    <row r="846" spans="2:15" x14ac:dyDescent="0.2">
      <c r="B846" s="1">
        <v>831</v>
      </c>
      <c r="C846" s="101">
        <f t="shared" ca="1" si="48"/>
        <v>-1.3982748565989997</v>
      </c>
      <c r="D846" s="101">
        <f t="shared" ca="1" si="49"/>
        <v>0.57888882696448585</v>
      </c>
      <c r="E846" s="101">
        <f t="shared" ca="1" si="50"/>
        <v>0</v>
      </c>
      <c r="F846" s="21">
        <f t="shared" ca="1" si="51"/>
        <v>0</v>
      </c>
      <c r="H846" s="21">
        <v>831</v>
      </c>
      <c r="I846" s="102">
        <v>0.66779131319303875</v>
      </c>
      <c r="J846" s="103">
        <v>1.3823904009348652E-3</v>
      </c>
      <c r="K846" s="103"/>
      <c r="L846" s="103">
        <v>4.3999999999999997E-2</v>
      </c>
      <c r="O846" s="100"/>
    </row>
    <row r="847" spans="2:15" x14ac:dyDescent="0.2">
      <c r="B847" s="1">
        <v>832</v>
      </c>
      <c r="C847" s="101">
        <f t="shared" ca="1" si="48"/>
        <v>1.1179996366184664</v>
      </c>
      <c r="D847" s="101">
        <f t="shared" ca="1" si="49"/>
        <v>0.74197763591935828</v>
      </c>
      <c r="E847" s="101">
        <f t="shared" ca="1" si="50"/>
        <v>0</v>
      </c>
      <c r="F847" s="21">
        <f t="shared" ca="1" si="51"/>
        <v>0</v>
      </c>
      <c r="H847" s="21">
        <v>832</v>
      </c>
      <c r="I847" s="102">
        <v>0.66767326809845906</v>
      </c>
      <c r="J847" s="103">
        <v>1.2741034599827571E-3</v>
      </c>
      <c r="K847" s="103"/>
      <c r="L847" s="103">
        <v>4.1399999999999999E-2</v>
      </c>
      <c r="O847" s="100"/>
    </row>
    <row r="848" spans="2:15" x14ac:dyDescent="0.2">
      <c r="B848" s="1">
        <v>833</v>
      </c>
      <c r="C848" s="101">
        <f t="shared" ref="C848:C911" ca="1" si="52">_xlfn.NORM.S.INV(RAND())</f>
        <v>-1.8316026992182589E-2</v>
      </c>
      <c r="D848" s="101">
        <f t="shared" ref="D848:D911" ca="1" si="53">S0*EXP((μ-0.5*σ*σ)*T+σ*SQRT(T)*$C848)</f>
        <v>0.66330268130530046</v>
      </c>
      <c r="E848" s="101">
        <f t="shared" ref="E848:E911" ca="1" si="54">MAX(0,CP*(D848-K))</f>
        <v>0</v>
      </c>
      <c r="F848" s="21">
        <f t="shared" ref="F848:F911" ca="1" si="55">(CP*(D848-K)&gt;0)*1</f>
        <v>0</v>
      </c>
      <c r="H848" s="21">
        <v>833</v>
      </c>
      <c r="I848" s="102">
        <v>0.66774229959947884</v>
      </c>
      <c r="J848" s="103">
        <v>1.3495203064966947E-3</v>
      </c>
      <c r="K848" s="103"/>
      <c r="L848" s="103">
        <v>4.0599999999999997E-2</v>
      </c>
      <c r="O848" s="100"/>
    </row>
    <row r="849" spans="2:15" x14ac:dyDescent="0.2">
      <c r="B849" s="1">
        <v>834</v>
      </c>
      <c r="C849" s="101">
        <f t="shared" ca="1" si="52"/>
        <v>1.4745488995765685</v>
      </c>
      <c r="D849" s="101">
        <f t="shared" ca="1" si="53"/>
        <v>0.76853768160329405</v>
      </c>
      <c r="E849" s="101">
        <f t="shared" ca="1" si="54"/>
        <v>0</v>
      </c>
      <c r="F849" s="21">
        <f t="shared" ca="1" si="55"/>
        <v>0</v>
      </c>
      <c r="H849" s="21">
        <v>834</v>
      </c>
      <c r="I849" s="102">
        <v>0.66758641446764388</v>
      </c>
      <c r="J849" s="103">
        <v>1.1766040089886249E-3</v>
      </c>
      <c r="K849" s="103"/>
      <c r="L849" s="103">
        <v>3.5999999999999997E-2</v>
      </c>
      <c r="O849" s="100"/>
    </row>
    <row r="850" spans="2:15" x14ac:dyDescent="0.2">
      <c r="B850" s="1">
        <v>835</v>
      </c>
      <c r="C850" s="101">
        <f t="shared" ca="1" si="52"/>
        <v>-0.32751103272573512</v>
      </c>
      <c r="D850" s="101">
        <f t="shared" ca="1" si="53"/>
        <v>0.6433777379759581</v>
      </c>
      <c r="E850" s="101">
        <f t="shared" ca="1" si="54"/>
        <v>0</v>
      </c>
      <c r="F850" s="21">
        <f t="shared" ca="1" si="55"/>
        <v>0</v>
      </c>
      <c r="H850" s="21">
        <v>835</v>
      </c>
      <c r="I850" s="102">
        <v>0.66766485527188524</v>
      </c>
      <c r="J850" s="103">
        <v>1.2514384691787749E-3</v>
      </c>
      <c r="K850" s="103"/>
      <c r="L850" s="103">
        <v>4.1799999999999997E-2</v>
      </c>
      <c r="O850" s="100"/>
    </row>
    <row r="851" spans="2:15" x14ac:dyDescent="0.2">
      <c r="B851" s="1">
        <v>836</v>
      </c>
      <c r="C851" s="101">
        <f t="shared" ca="1" si="52"/>
        <v>-0.2301024628244531</v>
      </c>
      <c r="D851" s="101">
        <f t="shared" ca="1" si="53"/>
        <v>0.64958943449652962</v>
      </c>
      <c r="E851" s="101">
        <f t="shared" ca="1" si="54"/>
        <v>0</v>
      </c>
      <c r="F851" s="21">
        <f t="shared" ca="1" si="55"/>
        <v>0</v>
      </c>
      <c r="H851" s="21">
        <v>836</v>
      </c>
      <c r="I851" s="102">
        <v>0.66778080183279531</v>
      </c>
      <c r="J851" s="103">
        <v>1.4793745924560999E-3</v>
      </c>
      <c r="K851" s="103"/>
      <c r="L851" s="103">
        <v>4.1599999999999998E-2</v>
      </c>
      <c r="O851" s="100"/>
    </row>
    <row r="852" spans="2:15" x14ac:dyDescent="0.2">
      <c r="B852" s="1">
        <v>837</v>
      </c>
      <c r="C852" s="101">
        <f t="shared" ca="1" si="52"/>
        <v>1.0669920156935502</v>
      </c>
      <c r="D852" s="101">
        <f t="shared" ca="1" si="53"/>
        <v>0.73825378167057942</v>
      </c>
      <c r="E852" s="101">
        <f t="shared" ca="1" si="54"/>
        <v>0</v>
      </c>
      <c r="F852" s="21">
        <f t="shared" ca="1" si="55"/>
        <v>0</v>
      </c>
      <c r="H852" s="21">
        <v>837</v>
      </c>
      <c r="I852" s="102">
        <v>0.66779893633221643</v>
      </c>
      <c r="J852" s="103">
        <v>1.4471335578262812E-3</v>
      </c>
      <c r="K852" s="103"/>
      <c r="L852" s="103">
        <v>4.1399999999999999E-2</v>
      </c>
      <c r="O852" s="100"/>
    </row>
    <row r="853" spans="2:15" x14ac:dyDescent="0.2">
      <c r="B853" s="1">
        <v>838</v>
      </c>
      <c r="C853" s="101">
        <f t="shared" ca="1" si="52"/>
        <v>-1.2995664287818809</v>
      </c>
      <c r="D853" s="101">
        <f t="shared" ca="1" si="53"/>
        <v>0.58455284102009686</v>
      </c>
      <c r="E853" s="101">
        <f t="shared" ca="1" si="54"/>
        <v>0</v>
      </c>
      <c r="F853" s="21">
        <f t="shared" ca="1" si="55"/>
        <v>0</v>
      </c>
      <c r="H853" s="21">
        <v>838</v>
      </c>
      <c r="I853" s="102">
        <v>0.66776899298924419</v>
      </c>
      <c r="J853" s="103">
        <v>1.4364586776147651E-3</v>
      </c>
      <c r="K853" s="103"/>
      <c r="L853" s="103">
        <v>4.2200000000000001E-2</v>
      </c>
      <c r="O853" s="100"/>
    </row>
    <row r="854" spans="2:15" x14ac:dyDescent="0.2">
      <c r="B854" s="1">
        <v>839</v>
      </c>
      <c r="C854" s="101">
        <f t="shared" ca="1" si="52"/>
        <v>1.323949483120026</v>
      </c>
      <c r="D854" s="101">
        <f t="shared" ca="1" si="53"/>
        <v>0.75720518608649812</v>
      </c>
      <c r="E854" s="101">
        <f t="shared" ca="1" si="54"/>
        <v>0</v>
      </c>
      <c r="F854" s="21">
        <f t="shared" ca="1" si="55"/>
        <v>0</v>
      </c>
      <c r="H854" s="21">
        <v>839</v>
      </c>
      <c r="I854" s="102">
        <v>0.66761708728344826</v>
      </c>
      <c r="J854" s="103">
        <v>1.2871334516850344E-3</v>
      </c>
      <c r="K854" s="103"/>
      <c r="L854" s="103">
        <v>3.9800000000000002E-2</v>
      </c>
      <c r="O854" s="100"/>
    </row>
    <row r="855" spans="2:15" x14ac:dyDescent="0.2">
      <c r="B855" s="1">
        <v>840</v>
      </c>
      <c r="C855" s="101">
        <f t="shared" ca="1" si="52"/>
        <v>-0.59647930326793275</v>
      </c>
      <c r="D855" s="101">
        <f t="shared" ca="1" si="53"/>
        <v>0.62653248641968795</v>
      </c>
      <c r="E855" s="101">
        <f t="shared" ca="1" si="54"/>
        <v>0</v>
      </c>
      <c r="F855" s="21">
        <f t="shared" ca="1" si="55"/>
        <v>0</v>
      </c>
      <c r="H855" s="21">
        <v>840</v>
      </c>
      <c r="I855" s="102">
        <v>0.66765964926256072</v>
      </c>
      <c r="J855" s="103">
        <v>1.2226764520728288E-3</v>
      </c>
      <c r="K855" s="103"/>
      <c r="L855" s="103">
        <v>3.9E-2</v>
      </c>
      <c r="O855" s="100"/>
    </row>
    <row r="856" spans="2:15" x14ac:dyDescent="0.2">
      <c r="B856" s="1">
        <v>841</v>
      </c>
      <c r="C856" s="101">
        <f t="shared" ca="1" si="52"/>
        <v>-0.71136903757299585</v>
      </c>
      <c r="D856" s="101">
        <f t="shared" ca="1" si="53"/>
        <v>0.61947215412321011</v>
      </c>
      <c r="E856" s="101">
        <f t="shared" ca="1" si="54"/>
        <v>0</v>
      </c>
      <c r="F856" s="21">
        <f t="shared" ca="1" si="55"/>
        <v>0</v>
      </c>
      <c r="H856" s="21">
        <v>841</v>
      </c>
      <c r="I856" s="102">
        <v>0.66783436806975816</v>
      </c>
      <c r="J856" s="103">
        <v>1.5363568089992667E-3</v>
      </c>
      <c r="K856" s="103"/>
      <c r="L856" s="103">
        <v>4.3200000000000002E-2</v>
      </c>
      <c r="O856" s="100"/>
    </row>
    <row r="857" spans="2:15" x14ac:dyDescent="0.2">
      <c r="B857" s="1">
        <v>842</v>
      </c>
      <c r="C857" s="101">
        <f t="shared" ca="1" si="52"/>
        <v>0.57118874539207209</v>
      </c>
      <c r="D857" s="101">
        <f t="shared" ca="1" si="53"/>
        <v>0.70301691394627408</v>
      </c>
      <c r="E857" s="101">
        <f t="shared" ca="1" si="54"/>
        <v>0</v>
      </c>
      <c r="F857" s="21">
        <f t="shared" ca="1" si="55"/>
        <v>0</v>
      </c>
      <c r="H857" s="21">
        <v>842</v>
      </c>
      <c r="I857" s="102">
        <v>0.66769802760883745</v>
      </c>
      <c r="J857" s="103">
        <v>1.216013012864104E-3</v>
      </c>
      <c r="K857" s="103"/>
      <c r="L857" s="103">
        <v>4.24E-2</v>
      </c>
      <c r="O857" s="100"/>
    </row>
    <row r="858" spans="2:15" x14ac:dyDescent="0.2">
      <c r="B858" s="1">
        <v>843</v>
      </c>
      <c r="C858" s="101">
        <f t="shared" ca="1" si="52"/>
        <v>-0.63342297861157482</v>
      </c>
      <c r="D858" s="101">
        <f t="shared" ca="1" si="53"/>
        <v>0.62425344870339072</v>
      </c>
      <c r="E858" s="101">
        <f t="shared" ca="1" si="54"/>
        <v>0</v>
      </c>
      <c r="F858" s="21">
        <f t="shared" ca="1" si="55"/>
        <v>0</v>
      </c>
      <c r="H858" s="21">
        <v>843</v>
      </c>
      <c r="I858" s="102">
        <v>0.66775966830264066</v>
      </c>
      <c r="J858" s="103">
        <v>1.3662260109071338E-3</v>
      </c>
      <c r="K858" s="103"/>
      <c r="L858" s="103">
        <v>4.24E-2</v>
      </c>
      <c r="O858" s="100"/>
    </row>
    <row r="859" spans="2:15" x14ac:dyDescent="0.2">
      <c r="B859" s="1">
        <v>844</v>
      </c>
      <c r="C859" s="101">
        <f t="shared" ca="1" si="52"/>
        <v>0.22024615989133189</v>
      </c>
      <c r="D859" s="101">
        <f t="shared" ca="1" si="53"/>
        <v>0.67909668407647827</v>
      </c>
      <c r="E859" s="101">
        <f t="shared" ca="1" si="54"/>
        <v>0</v>
      </c>
      <c r="F859" s="21">
        <f t="shared" ca="1" si="55"/>
        <v>0</v>
      </c>
      <c r="H859" s="21">
        <v>844</v>
      </c>
      <c r="I859" s="102">
        <v>0.6677545510603472</v>
      </c>
      <c r="J859" s="103">
        <v>1.4709857846716722E-3</v>
      </c>
      <c r="K859" s="103"/>
      <c r="L859" s="103">
        <v>4.3999999999999997E-2</v>
      </c>
      <c r="O859" s="100"/>
    </row>
    <row r="860" spans="2:15" x14ac:dyDescent="0.2">
      <c r="B860" s="1">
        <v>845</v>
      </c>
      <c r="C860" s="101">
        <f t="shared" ca="1" si="52"/>
        <v>-1.8646859598201164</v>
      </c>
      <c r="D860" s="101">
        <f t="shared" ca="1" si="53"/>
        <v>0.55285902472951309</v>
      </c>
      <c r="E860" s="101">
        <f t="shared" ca="1" si="54"/>
        <v>0</v>
      </c>
      <c r="F860" s="21">
        <f t="shared" ca="1" si="55"/>
        <v>0</v>
      </c>
      <c r="H860" s="21">
        <v>845</v>
      </c>
      <c r="I860" s="102">
        <v>0.66775448309840235</v>
      </c>
      <c r="J860" s="103">
        <v>1.3862521330064818E-3</v>
      </c>
      <c r="K860" s="103"/>
      <c r="L860" s="103">
        <v>4.2999999999999997E-2</v>
      </c>
      <c r="O860" s="100"/>
    </row>
    <row r="861" spans="2:15" x14ac:dyDescent="0.2">
      <c r="B861" s="1">
        <v>846</v>
      </c>
      <c r="C861" s="101">
        <f t="shared" ca="1" si="52"/>
        <v>-0.5224941614208849</v>
      </c>
      <c r="D861" s="101">
        <f t="shared" ca="1" si="53"/>
        <v>0.63112164123351078</v>
      </c>
      <c r="E861" s="101">
        <f t="shared" ca="1" si="54"/>
        <v>0</v>
      </c>
      <c r="F861" s="21">
        <f t="shared" ca="1" si="55"/>
        <v>0</v>
      </c>
      <c r="H861" s="21">
        <v>846</v>
      </c>
      <c r="I861" s="102">
        <v>0.66780112132007552</v>
      </c>
      <c r="J861" s="103">
        <v>1.5008758567090371E-3</v>
      </c>
      <c r="K861" s="103"/>
      <c r="L861" s="103">
        <v>4.4999999999999998E-2</v>
      </c>
      <c r="O861" s="100"/>
    </row>
    <row r="862" spans="2:15" x14ac:dyDescent="0.2">
      <c r="B862" s="1">
        <v>847</v>
      </c>
      <c r="C862" s="101">
        <f t="shared" ca="1" si="52"/>
        <v>-1.6399611228964532</v>
      </c>
      <c r="D862" s="101">
        <f t="shared" ca="1" si="53"/>
        <v>0.56525117886113752</v>
      </c>
      <c r="E862" s="101">
        <f t="shared" ca="1" si="54"/>
        <v>0</v>
      </c>
      <c r="F862" s="21">
        <f t="shared" ca="1" si="55"/>
        <v>0</v>
      </c>
      <c r="H862" s="21">
        <v>847</v>
      </c>
      <c r="I862" s="102">
        <v>0.66774274091913199</v>
      </c>
      <c r="J862" s="103">
        <v>1.3064836432536175E-3</v>
      </c>
      <c r="K862" s="103"/>
      <c r="L862" s="103">
        <v>4.1399999999999999E-2</v>
      </c>
      <c r="O862" s="100"/>
    </row>
    <row r="863" spans="2:15" x14ac:dyDescent="0.2">
      <c r="B863" s="1">
        <v>848</v>
      </c>
      <c r="C863" s="101">
        <f t="shared" ca="1" si="52"/>
        <v>7.5521280485690664E-2</v>
      </c>
      <c r="D863" s="101">
        <f t="shared" ca="1" si="53"/>
        <v>0.66947087080921208</v>
      </c>
      <c r="E863" s="101">
        <f t="shared" ca="1" si="54"/>
        <v>0</v>
      </c>
      <c r="F863" s="21">
        <f t="shared" ca="1" si="55"/>
        <v>0</v>
      </c>
      <c r="H863" s="21">
        <v>848</v>
      </c>
      <c r="I863" s="102">
        <v>0.66787537821903864</v>
      </c>
      <c r="J863" s="103">
        <v>1.5232158373534453E-3</v>
      </c>
      <c r="K863" s="103"/>
      <c r="L863" s="103">
        <v>4.2799999999999998E-2</v>
      </c>
      <c r="O863" s="100"/>
    </row>
    <row r="864" spans="2:15" x14ac:dyDescent="0.2">
      <c r="B864" s="1">
        <v>849</v>
      </c>
      <c r="C864" s="101">
        <f t="shared" ca="1" si="52"/>
        <v>-0.47484127146107258</v>
      </c>
      <c r="D864" s="101">
        <f t="shared" ca="1" si="53"/>
        <v>0.63409523972081538</v>
      </c>
      <c r="E864" s="101">
        <f t="shared" ca="1" si="54"/>
        <v>0</v>
      </c>
      <c r="F864" s="21">
        <f t="shared" ca="1" si="55"/>
        <v>0</v>
      </c>
      <c r="H864" s="21">
        <v>849</v>
      </c>
      <c r="I864" s="102">
        <v>0.66771861030100532</v>
      </c>
      <c r="J864" s="103">
        <v>1.3233677526832937E-3</v>
      </c>
      <c r="K864" s="103"/>
      <c r="L864" s="103">
        <v>4.1799999999999997E-2</v>
      </c>
      <c r="O864" s="100"/>
    </row>
    <row r="865" spans="2:15" x14ac:dyDescent="0.2">
      <c r="B865" s="1">
        <v>850</v>
      </c>
      <c r="C865" s="101">
        <f t="shared" ca="1" si="52"/>
        <v>0.68781488856034367</v>
      </c>
      <c r="D865" s="101">
        <f t="shared" ca="1" si="53"/>
        <v>0.7111512306842922</v>
      </c>
      <c r="E865" s="101">
        <f t="shared" ca="1" si="54"/>
        <v>0</v>
      </c>
      <c r="F865" s="21">
        <f t="shared" ca="1" si="55"/>
        <v>0</v>
      </c>
      <c r="H865" s="21">
        <v>850</v>
      </c>
      <c r="I865" s="102">
        <v>0.66788136708603774</v>
      </c>
      <c r="J865" s="103">
        <v>1.4947253548390999E-3</v>
      </c>
      <c r="K865" s="103"/>
      <c r="L865" s="103">
        <v>4.6199999999999998E-2</v>
      </c>
      <c r="O865" s="100"/>
    </row>
    <row r="866" spans="2:15" x14ac:dyDescent="0.2">
      <c r="B866" s="1">
        <v>851</v>
      </c>
      <c r="C866" s="101">
        <f t="shared" ca="1" si="52"/>
        <v>-0.21187421412216412</v>
      </c>
      <c r="D866" s="101">
        <f t="shared" ca="1" si="53"/>
        <v>0.65075848507341072</v>
      </c>
      <c r="E866" s="101">
        <f t="shared" ca="1" si="54"/>
        <v>0</v>
      </c>
      <c r="F866" s="21">
        <f t="shared" ca="1" si="55"/>
        <v>0</v>
      </c>
      <c r="H866" s="21">
        <v>851</v>
      </c>
      <c r="I866" s="102">
        <v>0.66767856836747297</v>
      </c>
      <c r="J866" s="103">
        <v>1.2034979668102163E-3</v>
      </c>
      <c r="K866" s="103"/>
      <c r="L866" s="103">
        <v>3.8600000000000002E-2</v>
      </c>
      <c r="O866" s="100"/>
    </row>
    <row r="867" spans="2:15" x14ac:dyDescent="0.2">
      <c r="B867" s="1">
        <v>852</v>
      </c>
      <c r="C867" s="101">
        <f t="shared" ca="1" si="52"/>
        <v>-0.71555814234951687</v>
      </c>
      <c r="D867" s="101">
        <f t="shared" ca="1" si="53"/>
        <v>0.61921622943283394</v>
      </c>
      <c r="E867" s="101">
        <f t="shared" ca="1" si="54"/>
        <v>0</v>
      </c>
      <c r="F867" s="21">
        <f t="shared" ca="1" si="55"/>
        <v>0</v>
      </c>
      <c r="H867" s="21">
        <v>852</v>
      </c>
      <c r="I867" s="102">
        <v>0.66788732522442196</v>
      </c>
      <c r="J867" s="103">
        <v>1.5063997869311377E-3</v>
      </c>
      <c r="K867" s="103"/>
      <c r="L867" s="103">
        <v>4.36E-2</v>
      </c>
      <c r="O867" s="100"/>
    </row>
    <row r="868" spans="2:15" x14ac:dyDescent="0.2">
      <c r="B868" s="1">
        <v>853</v>
      </c>
      <c r="C868" s="101">
        <f t="shared" ca="1" si="52"/>
        <v>1.6152648182309017</v>
      </c>
      <c r="D868" s="101">
        <f t="shared" ca="1" si="53"/>
        <v>0.7792796748467955</v>
      </c>
      <c r="E868" s="101">
        <f t="shared" ca="1" si="54"/>
        <v>0</v>
      </c>
      <c r="F868" s="21">
        <f t="shared" ca="1" si="55"/>
        <v>0</v>
      </c>
      <c r="H868" s="21">
        <v>853</v>
      </c>
      <c r="I868" s="102">
        <v>0.66775184404234555</v>
      </c>
      <c r="J868" s="103">
        <v>1.3494571537696752E-3</v>
      </c>
      <c r="K868" s="103"/>
      <c r="L868" s="103">
        <v>4.02E-2</v>
      </c>
      <c r="O868" s="100"/>
    </row>
    <row r="869" spans="2:15" x14ac:dyDescent="0.2">
      <c r="B869" s="1">
        <v>854</v>
      </c>
      <c r="C869" s="101">
        <f t="shared" ca="1" si="52"/>
        <v>0.12281391222085788</v>
      </c>
      <c r="D869" s="101">
        <f t="shared" ca="1" si="53"/>
        <v>0.67260125365921897</v>
      </c>
      <c r="E869" s="101">
        <f t="shared" ca="1" si="54"/>
        <v>0</v>
      </c>
      <c r="F869" s="21">
        <f t="shared" ca="1" si="55"/>
        <v>0</v>
      </c>
      <c r="H869" s="21">
        <v>854</v>
      </c>
      <c r="I869" s="102">
        <v>0.66771997208705036</v>
      </c>
      <c r="J869" s="103">
        <v>1.3964585041964486E-3</v>
      </c>
      <c r="K869" s="103"/>
      <c r="L869" s="103">
        <v>4.1599999999999998E-2</v>
      </c>
      <c r="O869" s="100"/>
    </row>
    <row r="870" spans="2:15" x14ac:dyDescent="0.2">
      <c r="B870" s="1">
        <v>855</v>
      </c>
      <c r="C870" s="101">
        <f t="shared" ca="1" si="52"/>
        <v>1.5376868549970444</v>
      </c>
      <c r="D870" s="101">
        <f t="shared" ca="1" si="53"/>
        <v>0.77333907928205403</v>
      </c>
      <c r="E870" s="101">
        <f t="shared" ca="1" si="54"/>
        <v>0</v>
      </c>
      <c r="F870" s="21">
        <f t="shared" ca="1" si="55"/>
        <v>0</v>
      </c>
      <c r="H870" s="21">
        <v>855</v>
      </c>
      <c r="I870" s="102">
        <v>0.66754530126687373</v>
      </c>
      <c r="J870" s="103">
        <v>1.2599288952976561E-3</v>
      </c>
      <c r="K870" s="103"/>
      <c r="L870" s="103">
        <v>3.78E-2</v>
      </c>
      <c r="O870" s="100"/>
    </row>
    <row r="871" spans="2:15" x14ac:dyDescent="0.2">
      <c r="B871" s="1">
        <v>856</v>
      </c>
      <c r="C871" s="101">
        <f t="shared" ca="1" si="52"/>
        <v>0.28913705085745639</v>
      </c>
      <c r="D871" s="101">
        <f t="shared" ca="1" si="53"/>
        <v>0.68372719346771793</v>
      </c>
      <c r="E871" s="101">
        <f t="shared" ca="1" si="54"/>
        <v>0</v>
      </c>
      <c r="F871" s="21">
        <f t="shared" ca="1" si="55"/>
        <v>0</v>
      </c>
      <c r="H871" s="21">
        <v>856</v>
      </c>
      <c r="I871" s="102">
        <v>0.66784715830244112</v>
      </c>
      <c r="J871" s="103">
        <v>1.4794093966671181E-3</v>
      </c>
      <c r="K871" s="103"/>
      <c r="L871" s="103">
        <v>4.2599999999999999E-2</v>
      </c>
      <c r="O871" s="100"/>
    </row>
    <row r="872" spans="2:15" x14ac:dyDescent="0.2">
      <c r="B872" s="1">
        <v>857</v>
      </c>
      <c r="C872" s="101">
        <f t="shared" ca="1" si="52"/>
        <v>0.99211712712050448</v>
      </c>
      <c r="D872" s="101">
        <f t="shared" ca="1" si="53"/>
        <v>0.73282130387201316</v>
      </c>
      <c r="E872" s="101">
        <f t="shared" ca="1" si="54"/>
        <v>0</v>
      </c>
      <c r="F872" s="21">
        <f t="shared" ca="1" si="55"/>
        <v>0</v>
      </c>
      <c r="H872" s="21">
        <v>857</v>
      </c>
      <c r="I872" s="102">
        <v>0.66760700398404149</v>
      </c>
      <c r="J872" s="103">
        <v>1.2413926464252645E-3</v>
      </c>
      <c r="K872" s="103"/>
      <c r="L872" s="103">
        <v>3.7199999999999997E-2</v>
      </c>
      <c r="O872" s="100"/>
    </row>
    <row r="873" spans="2:15" x14ac:dyDescent="0.2">
      <c r="B873" s="1">
        <v>858</v>
      </c>
      <c r="C873" s="101">
        <f t="shared" ca="1" si="52"/>
        <v>0.29694698198794284</v>
      </c>
      <c r="D873" s="101">
        <f t="shared" ca="1" si="53"/>
        <v>0.68425412750788961</v>
      </c>
      <c r="E873" s="101">
        <f t="shared" ca="1" si="54"/>
        <v>0</v>
      </c>
      <c r="F873" s="21">
        <f t="shared" ca="1" si="55"/>
        <v>0</v>
      </c>
      <c r="H873" s="21">
        <v>858</v>
      </c>
      <c r="I873" s="102">
        <v>0.66765599350188221</v>
      </c>
      <c r="J873" s="103">
        <v>1.2969438144458327E-3</v>
      </c>
      <c r="K873" s="103"/>
      <c r="L873" s="103">
        <v>3.9600000000000003E-2</v>
      </c>
      <c r="O873" s="100"/>
    </row>
    <row r="874" spans="2:15" x14ac:dyDescent="0.2">
      <c r="B874" s="1">
        <v>859</v>
      </c>
      <c r="C874" s="101">
        <f t="shared" ca="1" si="52"/>
        <v>-0.32723401854446027</v>
      </c>
      <c r="D874" s="101">
        <f t="shared" ca="1" si="53"/>
        <v>0.64339531854249987</v>
      </c>
      <c r="E874" s="101">
        <f t="shared" ca="1" si="54"/>
        <v>0</v>
      </c>
      <c r="F874" s="21">
        <f t="shared" ca="1" si="55"/>
        <v>0</v>
      </c>
      <c r="H874" s="21">
        <v>859</v>
      </c>
      <c r="I874" s="102">
        <v>0.66780940043754655</v>
      </c>
      <c r="J874" s="103">
        <v>1.4434735875844132E-3</v>
      </c>
      <c r="K874" s="103"/>
      <c r="L874" s="103">
        <v>4.4999999999999998E-2</v>
      </c>
      <c r="O874" s="100"/>
    </row>
    <row r="875" spans="2:15" x14ac:dyDescent="0.2">
      <c r="B875" s="1">
        <v>860</v>
      </c>
      <c r="C875" s="101">
        <f t="shared" ca="1" si="52"/>
        <v>0.40408323519741746</v>
      </c>
      <c r="D875" s="101">
        <f t="shared" ca="1" si="53"/>
        <v>0.69152371264378953</v>
      </c>
      <c r="E875" s="101">
        <f t="shared" ca="1" si="54"/>
        <v>0</v>
      </c>
      <c r="F875" s="21">
        <f t="shared" ca="1" si="55"/>
        <v>0</v>
      </c>
      <c r="H875" s="21">
        <v>860</v>
      </c>
      <c r="I875" s="102">
        <v>0.66773669964278748</v>
      </c>
      <c r="J875" s="103">
        <v>1.469850464182782E-3</v>
      </c>
      <c r="K875" s="103"/>
      <c r="L875" s="103">
        <v>4.1799999999999997E-2</v>
      </c>
      <c r="O875" s="100"/>
    </row>
    <row r="876" spans="2:15" x14ac:dyDescent="0.2">
      <c r="B876" s="1">
        <v>861</v>
      </c>
      <c r="C876" s="101">
        <f t="shared" ca="1" si="52"/>
        <v>-0.60366024126242335</v>
      </c>
      <c r="D876" s="101">
        <f t="shared" ca="1" si="53"/>
        <v>0.6260888472665842</v>
      </c>
      <c r="E876" s="101">
        <f t="shared" ca="1" si="54"/>
        <v>0</v>
      </c>
      <c r="F876" s="21">
        <f t="shared" ca="1" si="55"/>
        <v>0</v>
      </c>
      <c r="H876" s="21">
        <v>861</v>
      </c>
      <c r="I876" s="102">
        <v>0.66788870327072913</v>
      </c>
      <c r="J876" s="103">
        <v>1.6835848178089197E-3</v>
      </c>
      <c r="K876" s="103"/>
      <c r="L876" s="103">
        <v>4.3400000000000001E-2</v>
      </c>
      <c r="O876" s="100"/>
    </row>
    <row r="877" spans="2:15" x14ac:dyDescent="0.2">
      <c r="B877" s="1">
        <v>862</v>
      </c>
      <c r="C877" s="101">
        <f t="shared" ca="1" si="52"/>
        <v>-0.6623428966227064</v>
      </c>
      <c r="D877" s="101">
        <f t="shared" ca="1" si="53"/>
        <v>0.62247517912094985</v>
      </c>
      <c r="E877" s="101">
        <f t="shared" ca="1" si="54"/>
        <v>0</v>
      </c>
      <c r="F877" s="21">
        <f t="shared" ca="1" si="55"/>
        <v>0</v>
      </c>
      <c r="H877" s="21">
        <v>862</v>
      </c>
      <c r="I877" s="102">
        <v>0.66781298344736961</v>
      </c>
      <c r="J877" s="103">
        <v>1.4163169218190052E-3</v>
      </c>
      <c r="K877" s="103"/>
      <c r="L877" s="103">
        <v>3.9600000000000003E-2</v>
      </c>
      <c r="O877" s="100"/>
    </row>
    <row r="878" spans="2:15" x14ac:dyDescent="0.2">
      <c r="B878" s="1">
        <v>863</v>
      </c>
      <c r="C878" s="101">
        <f t="shared" ca="1" si="52"/>
        <v>-2.633072673727765</v>
      </c>
      <c r="D878" s="101">
        <f t="shared" ca="1" si="53"/>
        <v>0.51250391843247256</v>
      </c>
      <c r="E878" s="101">
        <f t="shared" ca="1" si="54"/>
        <v>0</v>
      </c>
      <c r="F878" s="21">
        <f t="shared" ca="1" si="55"/>
        <v>0</v>
      </c>
      <c r="H878" s="21">
        <v>863</v>
      </c>
      <c r="I878" s="102">
        <v>0.66788610428536099</v>
      </c>
      <c r="J878" s="103">
        <v>1.6293339735798731E-3</v>
      </c>
      <c r="K878" s="103"/>
      <c r="L878" s="103">
        <v>4.24E-2</v>
      </c>
      <c r="O878" s="100"/>
    </row>
    <row r="879" spans="2:15" x14ac:dyDescent="0.2">
      <c r="B879" s="1">
        <v>864</v>
      </c>
      <c r="C879" s="101">
        <f t="shared" ca="1" si="52"/>
        <v>-1.0578362419301233</v>
      </c>
      <c r="D879" s="101">
        <f t="shared" ca="1" si="53"/>
        <v>0.59865876823343289</v>
      </c>
      <c r="E879" s="101">
        <f t="shared" ca="1" si="54"/>
        <v>0</v>
      </c>
      <c r="F879" s="21">
        <f t="shared" ca="1" si="55"/>
        <v>0</v>
      </c>
      <c r="H879" s="21">
        <v>864</v>
      </c>
      <c r="I879" s="102">
        <v>0.66785472170150262</v>
      </c>
      <c r="J879" s="103">
        <v>1.5987463131538879E-3</v>
      </c>
      <c r="K879" s="103"/>
      <c r="L879" s="103">
        <v>4.4600000000000001E-2</v>
      </c>
      <c r="O879" s="100"/>
    </row>
    <row r="880" spans="2:15" x14ac:dyDescent="0.2">
      <c r="B880" s="1">
        <v>865</v>
      </c>
      <c r="C880" s="101">
        <f t="shared" ca="1" si="52"/>
        <v>1.1716261714378415</v>
      </c>
      <c r="D880" s="101">
        <f t="shared" ca="1" si="53"/>
        <v>0.74591294294855104</v>
      </c>
      <c r="E880" s="101">
        <f t="shared" ca="1" si="54"/>
        <v>0</v>
      </c>
      <c r="F880" s="21">
        <f t="shared" ca="1" si="55"/>
        <v>0</v>
      </c>
      <c r="H880" s="21">
        <v>865</v>
      </c>
      <c r="I880" s="102">
        <v>0.66766843245860696</v>
      </c>
      <c r="J880" s="103">
        <v>1.3104795749776922E-3</v>
      </c>
      <c r="K880" s="103"/>
      <c r="L880" s="103">
        <v>4.1200000000000001E-2</v>
      </c>
      <c r="O880" s="100"/>
    </row>
    <row r="881" spans="2:15" x14ac:dyDescent="0.2">
      <c r="B881" s="1">
        <v>866</v>
      </c>
      <c r="C881" s="101">
        <f t="shared" ca="1" si="52"/>
        <v>-0.2209359965805639</v>
      </c>
      <c r="D881" s="101">
        <f t="shared" ca="1" si="53"/>
        <v>0.65017705393568204</v>
      </c>
      <c r="E881" s="101">
        <f t="shared" ca="1" si="54"/>
        <v>0</v>
      </c>
      <c r="F881" s="21">
        <f t="shared" ca="1" si="55"/>
        <v>0</v>
      </c>
      <c r="H881" s="21">
        <v>866</v>
      </c>
      <c r="I881" s="102">
        <v>0.66765303913532659</v>
      </c>
      <c r="J881" s="103">
        <v>1.3409793450596206E-3</v>
      </c>
      <c r="K881" s="103"/>
      <c r="L881" s="103">
        <v>0.04</v>
      </c>
      <c r="O881" s="100"/>
    </row>
    <row r="882" spans="2:15" x14ac:dyDescent="0.2">
      <c r="B882" s="1">
        <v>867</v>
      </c>
      <c r="C882" s="101">
        <f t="shared" ca="1" si="52"/>
        <v>-0.56109589069159471</v>
      </c>
      <c r="D882" s="101">
        <f t="shared" ca="1" si="53"/>
        <v>0.62872307255135307</v>
      </c>
      <c r="E882" s="101">
        <f t="shared" ca="1" si="54"/>
        <v>0</v>
      </c>
      <c r="F882" s="21">
        <f t="shared" ca="1" si="55"/>
        <v>0</v>
      </c>
      <c r="H882" s="21">
        <v>867</v>
      </c>
      <c r="I882" s="102">
        <v>0.66776363708777531</v>
      </c>
      <c r="J882" s="103">
        <v>1.5085757565365735E-3</v>
      </c>
      <c r="K882" s="103"/>
      <c r="L882" s="103">
        <v>4.36E-2</v>
      </c>
      <c r="O882" s="100"/>
    </row>
    <row r="883" spans="2:15" x14ac:dyDescent="0.2">
      <c r="B883" s="1">
        <v>868</v>
      </c>
      <c r="C883" s="101">
        <f t="shared" ca="1" si="52"/>
        <v>-0.2315755802651302</v>
      </c>
      <c r="D883" s="101">
        <f t="shared" ca="1" si="53"/>
        <v>0.64949504934635738</v>
      </c>
      <c r="E883" s="101">
        <f t="shared" ca="1" si="54"/>
        <v>0</v>
      </c>
      <c r="F883" s="21">
        <f t="shared" ca="1" si="55"/>
        <v>0</v>
      </c>
      <c r="H883" s="21">
        <v>868</v>
      </c>
      <c r="I883" s="102">
        <v>0.66775345471149938</v>
      </c>
      <c r="J883" s="103">
        <v>1.3559585894213533E-3</v>
      </c>
      <c r="K883" s="103"/>
      <c r="L883" s="103">
        <v>4.0399999999999998E-2</v>
      </c>
      <c r="O883" s="100"/>
    </row>
    <row r="884" spans="2:15" x14ac:dyDescent="0.2">
      <c r="B884" s="1">
        <v>869</v>
      </c>
      <c r="C884" s="101">
        <f t="shared" ca="1" si="52"/>
        <v>1.3543479542278856</v>
      </c>
      <c r="D884" s="101">
        <f t="shared" ca="1" si="53"/>
        <v>0.75947910780833683</v>
      </c>
      <c r="E884" s="101">
        <f t="shared" ca="1" si="54"/>
        <v>0</v>
      </c>
      <c r="F884" s="21">
        <f t="shared" ca="1" si="55"/>
        <v>0</v>
      </c>
      <c r="H884" s="21">
        <v>869</v>
      </c>
      <c r="I884" s="102">
        <v>0.66776540926468853</v>
      </c>
      <c r="J884" s="103">
        <v>1.3961445566467228E-3</v>
      </c>
      <c r="K884" s="103"/>
      <c r="L884" s="103">
        <v>4.4400000000000002E-2</v>
      </c>
      <c r="O884" s="100"/>
    </row>
    <row r="885" spans="2:15" x14ac:dyDescent="0.2">
      <c r="B885" s="1">
        <v>870</v>
      </c>
      <c r="C885" s="101">
        <f t="shared" ca="1" si="52"/>
        <v>-1.3588787617355234</v>
      </c>
      <c r="D885" s="101">
        <f t="shared" ca="1" si="53"/>
        <v>0.5811428137630188</v>
      </c>
      <c r="E885" s="101">
        <f t="shared" ca="1" si="54"/>
        <v>0</v>
      </c>
      <c r="F885" s="21">
        <f t="shared" ca="1" si="55"/>
        <v>0</v>
      </c>
      <c r="H885" s="21">
        <v>870</v>
      </c>
      <c r="I885" s="102">
        <v>0.66755408150129036</v>
      </c>
      <c r="J885" s="103">
        <v>1.1822103640393845E-3</v>
      </c>
      <c r="K885" s="103"/>
      <c r="L885" s="103">
        <v>3.9199999999999999E-2</v>
      </c>
      <c r="O885" s="100"/>
    </row>
    <row r="886" spans="2:15" x14ac:dyDescent="0.2">
      <c r="B886" s="1">
        <v>871</v>
      </c>
      <c r="C886" s="101">
        <f t="shared" ca="1" si="52"/>
        <v>5.9730541749611794E-2</v>
      </c>
      <c r="D886" s="101">
        <f t="shared" ca="1" si="53"/>
        <v>0.6684289016969116</v>
      </c>
      <c r="E886" s="101">
        <f t="shared" ca="1" si="54"/>
        <v>0</v>
      </c>
      <c r="F886" s="21">
        <f t="shared" ca="1" si="55"/>
        <v>0</v>
      </c>
      <c r="H886" s="21">
        <v>871</v>
      </c>
      <c r="I886" s="102">
        <v>0.66767622856012054</v>
      </c>
      <c r="J886" s="103">
        <v>1.247713690557142E-3</v>
      </c>
      <c r="K886" s="103"/>
      <c r="L886" s="103">
        <v>4.1000000000000002E-2</v>
      </c>
      <c r="O886" s="100"/>
    </row>
    <row r="887" spans="2:15" x14ac:dyDescent="0.2">
      <c r="B887" s="1">
        <v>872</v>
      </c>
      <c r="C887" s="101">
        <f t="shared" ca="1" si="52"/>
        <v>-1.2826917061112684</v>
      </c>
      <c r="D887" s="101">
        <f t="shared" ca="1" si="53"/>
        <v>0.58552666580104684</v>
      </c>
      <c r="E887" s="101">
        <f t="shared" ca="1" si="54"/>
        <v>0</v>
      </c>
      <c r="F887" s="21">
        <f t="shared" ca="1" si="55"/>
        <v>0</v>
      </c>
      <c r="H887" s="21">
        <v>872</v>
      </c>
      <c r="I887" s="102">
        <v>0.66773545802019629</v>
      </c>
      <c r="J887" s="103">
        <v>1.266415948167485E-3</v>
      </c>
      <c r="K887" s="103"/>
      <c r="L887" s="103">
        <v>4.0800000000000003E-2</v>
      </c>
      <c r="O887" s="100"/>
    </row>
    <row r="888" spans="2:15" x14ac:dyDescent="0.2">
      <c r="B888" s="1">
        <v>873</v>
      </c>
      <c r="C888" s="101">
        <f t="shared" ca="1" si="52"/>
        <v>1.229557199113215</v>
      </c>
      <c r="D888" s="101">
        <f t="shared" ca="1" si="53"/>
        <v>0.75018758478688119</v>
      </c>
      <c r="E888" s="101">
        <f t="shared" ca="1" si="54"/>
        <v>0</v>
      </c>
      <c r="F888" s="21">
        <f t="shared" ca="1" si="55"/>
        <v>0</v>
      </c>
      <c r="H888" s="21">
        <v>873</v>
      </c>
      <c r="I888" s="102">
        <v>0.66780208971188981</v>
      </c>
      <c r="J888" s="103">
        <v>1.4857335418333967E-3</v>
      </c>
      <c r="K888" s="103"/>
      <c r="L888" s="103">
        <v>4.3400000000000001E-2</v>
      </c>
      <c r="O888" s="100"/>
    </row>
    <row r="889" spans="2:15" x14ac:dyDescent="0.2">
      <c r="B889" s="1">
        <v>874</v>
      </c>
      <c r="C889" s="101">
        <f t="shared" ca="1" si="52"/>
        <v>0.82799909338401001</v>
      </c>
      <c r="D889" s="101">
        <f t="shared" ca="1" si="53"/>
        <v>0.72105330340952234</v>
      </c>
      <c r="E889" s="101">
        <f t="shared" ca="1" si="54"/>
        <v>0</v>
      </c>
      <c r="F889" s="21">
        <f t="shared" ca="1" si="55"/>
        <v>0</v>
      </c>
      <c r="H889" s="21">
        <v>874</v>
      </c>
      <c r="I889" s="102">
        <v>0.66761936308829029</v>
      </c>
      <c r="J889" s="103">
        <v>1.2293896204374447E-3</v>
      </c>
      <c r="K889" s="103"/>
      <c r="L889" s="103">
        <v>4.1799999999999997E-2</v>
      </c>
      <c r="O889" s="100"/>
    </row>
    <row r="890" spans="2:15" x14ac:dyDescent="0.2">
      <c r="B890" s="1">
        <v>875</v>
      </c>
      <c r="C890" s="101">
        <f t="shared" ca="1" si="52"/>
        <v>1.2443913712442263</v>
      </c>
      <c r="D890" s="101">
        <f t="shared" ca="1" si="53"/>
        <v>0.75128610959590281</v>
      </c>
      <c r="E890" s="101">
        <f t="shared" ca="1" si="54"/>
        <v>0</v>
      </c>
      <c r="F890" s="21">
        <f t="shared" ca="1" si="55"/>
        <v>0</v>
      </c>
      <c r="H890" s="21">
        <v>875</v>
      </c>
      <c r="I890" s="102">
        <v>0.66760288074729879</v>
      </c>
      <c r="J890" s="103">
        <v>1.1908127771657303E-3</v>
      </c>
      <c r="K890" s="103"/>
      <c r="L890" s="103">
        <v>4.24E-2</v>
      </c>
      <c r="O890" s="100"/>
    </row>
    <row r="891" spans="2:15" x14ac:dyDescent="0.2">
      <c r="B891" s="1">
        <v>876</v>
      </c>
      <c r="C891" s="101">
        <f t="shared" ca="1" si="52"/>
        <v>0.20410612562228087</v>
      </c>
      <c r="D891" s="101">
        <f t="shared" ca="1" si="53"/>
        <v>0.6780163718423351</v>
      </c>
      <c r="E891" s="101">
        <f t="shared" ca="1" si="54"/>
        <v>0</v>
      </c>
      <c r="F891" s="21">
        <f t="shared" ca="1" si="55"/>
        <v>0</v>
      </c>
      <c r="H891" s="21">
        <v>876</v>
      </c>
      <c r="I891" s="102">
        <v>0.6677229119074285</v>
      </c>
      <c r="J891" s="103">
        <v>1.3564242976645486E-3</v>
      </c>
      <c r="K891" s="103"/>
      <c r="L891" s="103">
        <v>4.3400000000000001E-2</v>
      </c>
      <c r="O891" s="100"/>
    </row>
    <row r="892" spans="2:15" x14ac:dyDescent="0.2">
      <c r="B892" s="1">
        <v>877</v>
      </c>
      <c r="C892" s="101">
        <f t="shared" ca="1" si="52"/>
        <v>-0.31267406413852278</v>
      </c>
      <c r="D892" s="101">
        <f t="shared" ca="1" si="53"/>
        <v>0.64432003528171899</v>
      </c>
      <c r="E892" s="101">
        <f t="shared" ca="1" si="54"/>
        <v>0</v>
      </c>
      <c r="F892" s="21">
        <f t="shared" ca="1" si="55"/>
        <v>0</v>
      </c>
      <c r="H892" s="21">
        <v>877</v>
      </c>
      <c r="I892" s="102">
        <v>0.66778271565934633</v>
      </c>
      <c r="J892" s="103">
        <v>1.5145057411318653E-3</v>
      </c>
      <c r="K892" s="103"/>
      <c r="L892" s="103">
        <v>4.4999999999999998E-2</v>
      </c>
      <c r="O892" s="100"/>
    </row>
    <row r="893" spans="2:15" x14ac:dyDescent="0.2">
      <c r="B893" s="1">
        <v>878</v>
      </c>
      <c r="C893" s="101">
        <f t="shared" ca="1" si="52"/>
        <v>-0.24017015709434786</v>
      </c>
      <c r="D893" s="101">
        <f t="shared" ca="1" si="53"/>
        <v>0.64894465347970343</v>
      </c>
      <c r="E893" s="101">
        <f t="shared" ca="1" si="54"/>
        <v>0</v>
      </c>
      <c r="F893" s="21">
        <f t="shared" ca="1" si="55"/>
        <v>0</v>
      </c>
      <c r="H893" s="21">
        <v>878</v>
      </c>
      <c r="I893" s="102">
        <v>0.66787594005759643</v>
      </c>
      <c r="J893" s="103">
        <v>1.5215694212799497E-3</v>
      </c>
      <c r="K893" s="103"/>
      <c r="L893" s="103">
        <v>4.8000000000000001E-2</v>
      </c>
      <c r="O893" s="100"/>
    </row>
    <row r="894" spans="2:15" x14ac:dyDescent="0.2">
      <c r="B894" s="1">
        <v>879</v>
      </c>
      <c r="C894" s="101">
        <f t="shared" ca="1" si="52"/>
        <v>1.7647535392913729</v>
      </c>
      <c r="D894" s="101">
        <f t="shared" ca="1" si="53"/>
        <v>0.79085589061864148</v>
      </c>
      <c r="E894" s="101">
        <f t="shared" ca="1" si="54"/>
        <v>2.6558906186414655E-3</v>
      </c>
      <c r="F894" s="21">
        <f t="shared" ca="1" si="55"/>
        <v>1</v>
      </c>
      <c r="H894" s="21">
        <v>879</v>
      </c>
      <c r="I894" s="102">
        <v>0.66766401569357281</v>
      </c>
      <c r="J894" s="103">
        <v>1.3112463363165816E-3</v>
      </c>
      <c r="K894" s="103"/>
      <c r="L894" s="103">
        <v>3.9E-2</v>
      </c>
      <c r="O894" s="100"/>
    </row>
    <row r="895" spans="2:15" x14ac:dyDescent="0.2">
      <c r="B895" s="1">
        <v>880</v>
      </c>
      <c r="C895" s="101">
        <f t="shared" ca="1" si="52"/>
        <v>6.4735924334835021E-2</v>
      </c>
      <c r="D895" s="101">
        <f t="shared" ca="1" si="53"/>
        <v>0.66875901164848006</v>
      </c>
      <c r="E895" s="101">
        <f t="shared" ca="1" si="54"/>
        <v>0</v>
      </c>
      <c r="F895" s="21">
        <f t="shared" ca="1" si="55"/>
        <v>0</v>
      </c>
      <c r="H895" s="21">
        <v>880</v>
      </c>
      <c r="I895" s="102">
        <v>0.66774400149175472</v>
      </c>
      <c r="J895" s="103">
        <v>1.3016261385904479E-3</v>
      </c>
      <c r="K895" s="103"/>
      <c r="L895" s="103">
        <v>4.1200000000000001E-2</v>
      </c>
      <c r="O895" s="100"/>
    </row>
    <row r="896" spans="2:15" x14ac:dyDescent="0.2">
      <c r="B896" s="1">
        <v>881</v>
      </c>
      <c r="C896" s="101">
        <f t="shared" ca="1" si="52"/>
        <v>-0.69228268780486835</v>
      </c>
      <c r="D896" s="101">
        <f t="shared" ca="1" si="53"/>
        <v>0.62063953468080579</v>
      </c>
      <c r="E896" s="101">
        <f t="shared" ca="1" si="54"/>
        <v>0</v>
      </c>
      <c r="F896" s="21">
        <f t="shared" ca="1" si="55"/>
        <v>0</v>
      </c>
      <c r="H896" s="21">
        <v>881</v>
      </c>
      <c r="I896" s="102">
        <v>0.6676914507815831</v>
      </c>
      <c r="J896" s="103">
        <v>1.3896260440680972E-3</v>
      </c>
      <c r="K896" s="103"/>
      <c r="L896" s="103">
        <v>4.1000000000000002E-2</v>
      </c>
      <c r="O896" s="100"/>
    </row>
    <row r="897" spans="2:15" x14ac:dyDescent="0.2">
      <c r="B897" s="1">
        <v>882</v>
      </c>
      <c r="C897" s="101">
        <f t="shared" ca="1" si="52"/>
        <v>-0.64312804321557426</v>
      </c>
      <c r="D897" s="101">
        <f t="shared" ca="1" si="53"/>
        <v>0.62365612407886983</v>
      </c>
      <c r="E897" s="101">
        <f t="shared" ca="1" si="54"/>
        <v>0</v>
      </c>
      <c r="F897" s="21">
        <f t="shared" ca="1" si="55"/>
        <v>0</v>
      </c>
      <c r="H897" s="21">
        <v>882</v>
      </c>
      <c r="I897" s="102">
        <v>0.66772900077121167</v>
      </c>
      <c r="J897" s="103">
        <v>1.4922761485069618E-3</v>
      </c>
      <c r="K897" s="103"/>
      <c r="L897" s="103">
        <v>4.1200000000000001E-2</v>
      </c>
      <c r="O897" s="100"/>
    </row>
    <row r="898" spans="2:15" x14ac:dyDescent="0.2">
      <c r="B898" s="1">
        <v>883</v>
      </c>
      <c r="C898" s="101">
        <f t="shared" ca="1" si="52"/>
        <v>1.3581186120237259</v>
      </c>
      <c r="D898" s="101">
        <f t="shared" ca="1" si="53"/>
        <v>0.75976164304633131</v>
      </c>
      <c r="E898" s="101">
        <f t="shared" ca="1" si="54"/>
        <v>0</v>
      </c>
      <c r="F898" s="21">
        <f t="shared" ca="1" si="55"/>
        <v>0</v>
      </c>
      <c r="H898" s="21">
        <v>883</v>
      </c>
      <c r="I898" s="102">
        <v>0.66771722354108354</v>
      </c>
      <c r="J898" s="103">
        <v>1.3981706408490711E-3</v>
      </c>
      <c r="K898" s="103"/>
      <c r="L898" s="103">
        <v>4.2000000000000003E-2</v>
      </c>
      <c r="O898" s="100"/>
    </row>
    <row r="899" spans="2:15" x14ac:dyDescent="0.2">
      <c r="B899" s="1">
        <v>884</v>
      </c>
      <c r="C899" s="101">
        <f t="shared" ca="1" si="52"/>
        <v>0.21873750330923669</v>
      </c>
      <c r="D899" s="101">
        <f t="shared" ca="1" si="53"/>
        <v>0.67899563122149786</v>
      </c>
      <c r="E899" s="101">
        <f t="shared" ca="1" si="54"/>
        <v>0</v>
      </c>
      <c r="F899" s="21">
        <f t="shared" ca="1" si="55"/>
        <v>0</v>
      </c>
      <c r="H899" s="21">
        <v>884</v>
      </c>
      <c r="I899" s="102">
        <v>0.66762485888127421</v>
      </c>
      <c r="J899" s="103">
        <v>1.3288641653603757E-3</v>
      </c>
      <c r="K899" s="103"/>
      <c r="L899" s="103">
        <v>3.9800000000000002E-2</v>
      </c>
      <c r="O899" s="100"/>
    </row>
    <row r="900" spans="2:15" x14ac:dyDescent="0.2">
      <c r="B900" s="1">
        <v>885</v>
      </c>
      <c r="C900" s="101">
        <f t="shared" ca="1" si="52"/>
        <v>5.5144170489513228E-2</v>
      </c>
      <c r="D900" s="101">
        <f t="shared" ca="1" si="53"/>
        <v>0.668126569017641</v>
      </c>
      <c r="E900" s="101">
        <f t="shared" ca="1" si="54"/>
        <v>0</v>
      </c>
      <c r="F900" s="21">
        <f t="shared" ca="1" si="55"/>
        <v>0</v>
      </c>
      <c r="H900" s="21">
        <v>885</v>
      </c>
      <c r="I900" s="102">
        <v>0.66784959310169323</v>
      </c>
      <c r="J900" s="103">
        <v>1.5754597748855437E-3</v>
      </c>
      <c r="K900" s="103"/>
      <c r="L900" s="103">
        <v>4.3400000000000001E-2</v>
      </c>
      <c r="O900" s="100"/>
    </row>
    <row r="901" spans="2:15" x14ac:dyDescent="0.2">
      <c r="B901" s="1">
        <v>886</v>
      </c>
      <c r="C901" s="101">
        <f t="shared" ca="1" si="52"/>
        <v>-0.22184474831554862</v>
      </c>
      <c r="D901" s="101">
        <f t="shared" ca="1" si="53"/>
        <v>0.65011877436727084</v>
      </c>
      <c r="E901" s="101">
        <f t="shared" ca="1" si="54"/>
        <v>0</v>
      </c>
      <c r="F901" s="21">
        <f t="shared" ca="1" si="55"/>
        <v>0</v>
      </c>
      <c r="H901" s="21">
        <v>886</v>
      </c>
      <c r="I901" s="102">
        <v>0.66775841386132584</v>
      </c>
      <c r="J901" s="103">
        <v>1.3477078882712695E-3</v>
      </c>
      <c r="K901" s="103"/>
      <c r="L901" s="103">
        <v>4.3400000000000001E-2</v>
      </c>
      <c r="O901" s="100"/>
    </row>
    <row r="902" spans="2:15" x14ac:dyDescent="0.2">
      <c r="B902" s="1">
        <v>887</v>
      </c>
      <c r="C902" s="101">
        <f t="shared" ca="1" si="52"/>
        <v>-0.97302840635936272</v>
      </c>
      <c r="D902" s="101">
        <f t="shared" ca="1" si="53"/>
        <v>0.60368788885308433</v>
      </c>
      <c r="E902" s="101">
        <f t="shared" ca="1" si="54"/>
        <v>0</v>
      </c>
      <c r="F902" s="21">
        <f t="shared" ca="1" si="55"/>
        <v>0</v>
      </c>
      <c r="H902" s="21">
        <v>887</v>
      </c>
      <c r="I902" s="102">
        <v>0.66778646608467684</v>
      </c>
      <c r="J902" s="103">
        <v>1.4177350537365331E-3</v>
      </c>
      <c r="K902" s="103"/>
      <c r="L902" s="103">
        <v>4.2799999999999998E-2</v>
      </c>
      <c r="O902" s="100"/>
    </row>
    <row r="903" spans="2:15" x14ac:dyDescent="0.2">
      <c r="B903" s="1">
        <v>888</v>
      </c>
      <c r="C903" s="101">
        <f t="shared" ca="1" si="52"/>
        <v>-0.55024552996766785</v>
      </c>
      <c r="D903" s="101">
        <f t="shared" ca="1" si="53"/>
        <v>0.62939635130154459</v>
      </c>
      <c r="E903" s="101">
        <f t="shared" ca="1" si="54"/>
        <v>0</v>
      </c>
      <c r="F903" s="21">
        <f t="shared" ca="1" si="55"/>
        <v>0</v>
      </c>
      <c r="H903" s="21">
        <v>888</v>
      </c>
      <c r="I903" s="102">
        <v>0.66768893907787275</v>
      </c>
      <c r="J903" s="103">
        <v>1.2777124913722511E-3</v>
      </c>
      <c r="K903" s="103"/>
      <c r="L903" s="103">
        <v>4.3400000000000001E-2</v>
      </c>
      <c r="O903" s="100"/>
    </row>
    <row r="904" spans="2:15" x14ac:dyDescent="0.2">
      <c r="B904" s="1">
        <v>889</v>
      </c>
      <c r="C904" s="101">
        <f t="shared" ca="1" si="52"/>
        <v>-0.33623220383463032</v>
      </c>
      <c r="D904" s="101">
        <f t="shared" ca="1" si="53"/>
        <v>0.6428244987740801</v>
      </c>
      <c r="E904" s="101">
        <f t="shared" ca="1" si="54"/>
        <v>0</v>
      </c>
      <c r="F904" s="21">
        <f t="shared" ca="1" si="55"/>
        <v>0</v>
      </c>
      <c r="H904" s="21">
        <v>889</v>
      </c>
      <c r="I904" s="102">
        <v>0.66770900385157916</v>
      </c>
      <c r="J904" s="103">
        <v>1.3523198550024645E-3</v>
      </c>
      <c r="K904" s="103"/>
      <c r="L904" s="103">
        <v>4.0599999999999997E-2</v>
      </c>
      <c r="O904" s="100"/>
    </row>
    <row r="905" spans="2:15" x14ac:dyDescent="0.2">
      <c r="B905" s="1">
        <v>890</v>
      </c>
      <c r="C905" s="101">
        <f t="shared" ca="1" si="52"/>
        <v>0.6133299186468073</v>
      </c>
      <c r="D905" s="101">
        <f t="shared" ca="1" si="53"/>
        <v>0.70594533999172482</v>
      </c>
      <c r="E905" s="101">
        <f t="shared" ca="1" si="54"/>
        <v>0</v>
      </c>
      <c r="F905" s="21">
        <f t="shared" ca="1" si="55"/>
        <v>0</v>
      </c>
      <c r="H905" s="21">
        <v>890</v>
      </c>
      <c r="I905" s="102">
        <v>0.6677785144086501</v>
      </c>
      <c r="J905" s="103">
        <v>1.4646583996070271E-3</v>
      </c>
      <c r="K905" s="103"/>
      <c r="L905" s="103">
        <v>4.2999999999999997E-2</v>
      </c>
      <c r="O905" s="100"/>
    </row>
    <row r="906" spans="2:15" x14ac:dyDescent="0.2">
      <c r="B906" s="1">
        <v>891</v>
      </c>
      <c r="C906" s="101">
        <f t="shared" ca="1" si="52"/>
        <v>0.20555883501185637</v>
      </c>
      <c r="D906" s="101">
        <f t="shared" ca="1" si="53"/>
        <v>0.67811353663806373</v>
      </c>
      <c r="E906" s="101">
        <f t="shared" ca="1" si="54"/>
        <v>0</v>
      </c>
      <c r="F906" s="21">
        <f t="shared" ca="1" si="55"/>
        <v>0</v>
      </c>
      <c r="H906" s="21">
        <v>891</v>
      </c>
      <c r="I906" s="102">
        <v>0.66777829057589122</v>
      </c>
      <c r="J906" s="103">
        <v>1.3544251073216267E-3</v>
      </c>
      <c r="K906" s="103"/>
      <c r="L906" s="103">
        <v>4.1200000000000001E-2</v>
      </c>
      <c r="O906" s="100"/>
    </row>
    <row r="907" spans="2:15" x14ac:dyDescent="0.2">
      <c r="B907" s="1">
        <v>892</v>
      </c>
      <c r="C907" s="101">
        <f t="shared" ca="1" si="52"/>
        <v>0.51687521132385861</v>
      </c>
      <c r="D907" s="101">
        <f t="shared" ca="1" si="53"/>
        <v>0.69926053085363504</v>
      </c>
      <c r="E907" s="101">
        <f t="shared" ca="1" si="54"/>
        <v>0</v>
      </c>
      <c r="F907" s="21">
        <f t="shared" ca="1" si="55"/>
        <v>0</v>
      </c>
      <c r="H907" s="21">
        <v>892</v>
      </c>
      <c r="I907" s="102">
        <v>0.66768903261723045</v>
      </c>
      <c r="J907" s="103">
        <v>1.3518426833835097E-3</v>
      </c>
      <c r="K907" s="103"/>
      <c r="L907" s="103">
        <v>4.1399999999999999E-2</v>
      </c>
      <c r="O907" s="100"/>
    </row>
    <row r="908" spans="2:15" x14ac:dyDescent="0.2">
      <c r="B908" s="1">
        <v>893</v>
      </c>
      <c r="C908" s="101">
        <f t="shared" ca="1" si="52"/>
        <v>0.63951971438348476</v>
      </c>
      <c r="D908" s="101">
        <f t="shared" ca="1" si="53"/>
        <v>0.70777143422824351</v>
      </c>
      <c r="E908" s="101">
        <f t="shared" ca="1" si="54"/>
        <v>0</v>
      </c>
      <c r="F908" s="21">
        <f t="shared" ca="1" si="55"/>
        <v>0</v>
      </c>
      <c r="H908" s="21">
        <v>893</v>
      </c>
      <c r="I908" s="102">
        <v>0.66776795597381333</v>
      </c>
      <c r="J908" s="103">
        <v>1.4626728103831128E-3</v>
      </c>
      <c r="K908" s="103"/>
      <c r="L908" s="103">
        <v>4.3999999999999997E-2</v>
      </c>
      <c r="O908" s="100"/>
    </row>
    <row r="909" spans="2:15" x14ac:dyDescent="0.2">
      <c r="B909" s="1">
        <v>894</v>
      </c>
      <c r="C909" s="101">
        <f t="shared" ca="1" si="52"/>
        <v>-0.8681789190776662</v>
      </c>
      <c r="D909" s="101">
        <f t="shared" ca="1" si="53"/>
        <v>0.60996392525993448</v>
      </c>
      <c r="E909" s="101">
        <f t="shared" ca="1" si="54"/>
        <v>0</v>
      </c>
      <c r="F909" s="21">
        <f t="shared" ca="1" si="55"/>
        <v>0</v>
      </c>
      <c r="H909" s="21">
        <v>894</v>
      </c>
      <c r="I909" s="102">
        <v>0.66793372815101115</v>
      </c>
      <c r="J909" s="103">
        <v>1.6054738042065274E-3</v>
      </c>
      <c r="K909" s="103"/>
      <c r="L909" s="103">
        <v>4.6800000000000001E-2</v>
      </c>
      <c r="O909" s="100"/>
    </row>
    <row r="910" spans="2:15" x14ac:dyDescent="0.2">
      <c r="B910" s="1">
        <v>895</v>
      </c>
      <c r="C910" s="101">
        <f t="shared" ca="1" si="52"/>
        <v>0.11229625764791017</v>
      </c>
      <c r="D910" s="101">
        <f t="shared" ca="1" si="53"/>
        <v>0.67190380826434892</v>
      </c>
      <c r="E910" s="101">
        <f t="shared" ca="1" si="54"/>
        <v>0</v>
      </c>
      <c r="F910" s="21">
        <f t="shared" ca="1" si="55"/>
        <v>0</v>
      </c>
      <c r="H910" s="21">
        <v>895</v>
      </c>
      <c r="I910" s="102">
        <v>0.66778176995675387</v>
      </c>
      <c r="J910" s="103">
        <v>1.436527538202437E-3</v>
      </c>
      <c r="K910" s="103"/>
      <c r="L910" s="103">
        <v>4.2999999999999997E-2</v>
      </c>
      <c r="O910" s="100"/>
    </row>
    <row r="911" spans="2:15" x14ac:dyDescent="0.2">
      <c r="B911" s="1">
        <v>896</v>
      </c>
      <c r="C911" s="101">
        <f t="shared" ca="1" si="52"/>
        <v>-0.14463525674582589</v>
      </c>
      <c r="D911" s="101">
        <f t="shared" ca="1" si="53"/>
        <v>0.65508901201126335</v>
      </c>
      <c r="E911" s="101">
        <f t="shared" ca="1" si="54"/>
        <v>0</v>
      </c>
      <c r="F911" s="21">
        <f t="shared" ca="1" si="55"/>
        <v>0</v>
      </c>
      <c r="H911" s="21">
        <v>896</v>
      </c>
      <c r="I911" s="102">
        <v>0.667650904426493</v>
      </c>
      <c r="J911" s="103">
        <v>1.2758264451194644E-3</v>
      </c>
      <c r="K911" s="103"/>
      <c r="L911" s="103">
        <v>4.1599999999999998E-2</v>
      </c>
      <c r="O911" s="100"/>
    </row>
    <row r="912" spans="2:15" x14ac:dyDescent="0.2">
      <c r="B912" s="1">
        <v>897</v>
      </c>
      <c r="C912" s="101">
        <f t="shared" ref="C912:C975" ca="1" si="56">_xlfn.NORM.S.INV(RAND())</f>
        <v>1.166511497997071</v>
      </c>
      <c r="D912" s="101">
        <f t="shared" ref="D912:D975" ca="1" si="57">S0*EXP((μ-0.5*σ*σ)*T+σ*SQRT(T)*$C912)</f>
        <v>0.74553671123214604</v>
      </c>
      <c r="E912" s="101">
        <f t="shared" ref="E912:E975" ca="1" si="58">MAX(0,CP*(D912-K))</f>
        <v>0</v>
      </c>
      <c r="F912" s="21">
        <f t="shared" ref="F912:F975" ca="1" si="59">(CP*(D912-K)&gt;0)*1</f>
        <v>0</v>
      </c>
      <c r="H912" s="21">
        <v>897</v>
      </c>
      <c r="I912" s="102">
        <v>0.66774306616703727</v>
      </c>
      <c r="J912" s="103">
        <v>1.3754492144058981E-3</v>
      </c>
      <c r="K912" s="103"/>
      <c r="L912" s="103">
        <v>4.3200000000000002E-2</v>
      </c>
      <c r="O912" s="100"/>
    </row>
    <row r="913" spans="2:15" x14ac:dyDescent="0.2">
      <c r="B913" s="1">
        <v>898</v>
      </c>
      <c r="C913" s="101">
        <f t="shared" ca="1" si="56"/>
        <v>0.30785057869819149</v>
      </c>
      <c r="D913" s="101">
        <f t="shared" ca="1" si="57"/>
        <v>0.68499046968801969</v>
      </c>
      <c r="E913" s="101">
        <f t="shared" ca="1" si="58"/>
        <v>0</v>
      </c>
      <c r="F913" s="21">
        <f t="shared" ca="1" si="59"/>
        <v>0</v>
      </c>
      <c r="H913" s="21">
        <v>898</v>
      </c>
      <c r="I913" s="102">
        <v>0.66776922394616933</v>
      </c>
      <c r="J913" s="103">
        <v>1.5060563703583594E-3</v>
      </c>
      <c r="K913" s="103"/>
      <c r="L913" s="103">
        <v>4.1799999999999997E-2</v>
      </c>
      <c r="O913" s="100"/>
    </row>
    <row r="914" spans="2:15" x14ac:dyDescent="0.2">
      <c r="B914" s="1">
        <v>899</v>
      </c>
      <c r="C914" s="101">
        <f t="shared" ca="1" si="56"/>
        <v>-0.41733789310431652</v>
      </c>
      <c r="D914" s="101">
        <f t="shared" ca="1" si="57"/>
        <v>0.63770218074069895</v>
      </c>
      <c r="E914" s="101">
        <f t="shared" ca="1" si="58"/>
        <v>0</v>
      </c>
      <c r="F914" s="21">
        <f t="shared" ca="1" si="59"/>
        <v>0</v>
      </c>
      <c r="H914" s="21">
        <v>899</v>
      </c>
      <c r="I914" s="102">
        <v>0.66765060616410299</v>
      </c>
      <c r="J914" s="103">
        <v>1.2645891634749233E-3</v>
      </c>
      <c r="K914" s="103"/>
      <c r="L914" s="103">
        <v>3.9E-2</v>
      </c>
      <c r="O914" s="100"/>
    </row>
    <row r="915" spans="2:15" x14ac:dyDescent="0.2">
      <c r="B915" s="1">
        <v>900</v>
      </c>
      <c r="C915" s="101">
        <f t="shared" ca="1" si="56"/>
        <v>0.76825233676187676</v>
      </c>
      <c r="D915" s="101">
        <f t="shared" ca="1" si="57"/>
        <v>0.71681627401125769</v>
      </c>
      <c r="E915" s="101">
        <f t="shared" ca="1" si="58"/>
        <v>0</v>
      </c>
      <c r="F915" s="21">
        <f t="shared" ca="1" si="59"/>
        <v>0</v>
      </c>
      <c r="H915" s="21">
        <v>900</v>
      </c>
      <c r="I915" s="102">
        <v>0.66762677737257337</v>
      </c>
      <c r="J915" s="103">
        <v>1.2609720066452778E-3</v>
      </c>
      <c r="K915" s="103"/>
      <c r="L915" s="103">
        <v>3.8800000000000001E-2</v>
      </c>
      <c r="O915" s="100"/>
    </row>
    <row r="916" spans="2:15" x14ac:dyDescent="0.2">
      <c r="B916" s="1">
        <v>901</v>
      </c>
      <c r="C916" s="101">
        <f t="shared" ca="1" si="56"/>
        <v>-0.7124056393622793</v>
      </c>
      <c r="D916" s="101">
        <f t="shared" ca="1" si="57"/>
        <v>0.61940881523433233</v>
      </c>
      <c r="E916" s="101">
        <f t="shared" ca="1" si="58"/>
        <v>0</v>
      </c>
      <c r="F916" s="21">
        <f t="shared" ca="1" si="59"/>
        <v>0</v>
      </c>
      <c r="H916" s="21">
        <v>901</v>
      </c>
      <c r="I916" s="102">
        <v>0.66785117731669763</v>
      </c>
      <c r="J916" s="103">
        <v>1.4460611877603216E-3</v>
      </c>
      <c r="K916" s="103"/>
      <c r="L916" s="103">
        <v>4.1000000000000002E-2</v>
      </c>
      <c r="O916" s="100"/>
    </row>
    <row r="917" spans="2:15" x14ac:dyDescent="0.2">
      <c r="B917" s="1">
        <v>902</v>
      </c>
      <c r="C917" s="101">
        <f t="shared" ca="1" si="56"/>
        <v>0.95008260728092364</v>
      </c>
      <c r="D917" s="101">
        <f t="shared" ca="1" si="57"/>
        <v>0.72978906771278096</v>
      </c>
      <c r="E917" s="101">
        <f t="shared" ca="1" si="58"/>
        <v>0</v>
      </c>
      <c r="F917" s="21">
        <f t="shared" ca="1" si="59"/>
        <v>0</v>
      </c>
      <c r="H917" s="21">
        <v>902</v>
      </c>
      <c r="I917" s="102">
        <v>0.66763807506460604</v>
      </c>
      <c r="J917" s="103">
        <v>1.2620665575339746E-3</v>
      </c>
      <c r="K917" s="103"/>
      <c r="L917" s="103">
        <v>0.04</v>
      </c>
      <c r="O917" s="100"/>
    </row>
    <row r="918" spans="2:15" x14ac:dyDescent="0.2">
      <c r="B918" s="1">
        <v>903</v>
      </c>
      <c r="C918" s="101">
        <f t="shared" ca="1" si="56"/>
        <v>-0.25478025178493807</v>
      </c>
      <c r="D918" s="101">
        <f t="shared" ca="1" si="57"/>
        <v>0.6480100945663505</v>
      </c>
      <c r="E918" s="101">
        <f t="shared" ca="1" si="58"/>
        <v>0</v>
      </c>
      <c r="F918" s="21">
        <f t="shared" ca="1" si="59"/>
        <v>0</v>
      </c>
      <c r="H918" s="21">
        <v>903</v>
      </c>
      <c r="I918" s="102">
        <v>0.66782139362603887</v>
      </c>
      <c r="J918" s="103">
        <v>1.3860356248381058E-3</v>
      </c>
      <c r="K918" s="103"/>
      <c r="L918" s="103">
        <v>4.2000000000000003E-2</v>
      </c>
      <c r="O918" s="100"/>
    </row>
    <row r="919" spans="2:15" x14ac:dyDescent="0.2">
      <c r="B919" s="1">
        <v>904</v>
      </c>
      <c r="C919" s="101">
        <f t="shared" ca="1" si="56"/>
        <v>-0.8518999363065447</v>
      </c>
      <c r="D919" s="101">
        <f t="shared" ca="1" si="57"/>
        <v>0.61094418022834418</v>
      </c>
      <c r="E919" s="101">
        <f t="shared" ca="1" si="58"/>
        <v>0</v>
      </c>
      <c r="F919" s="21">
        <f t="shared" ca="1" si="59"/>
        <v>0</v>
      </c>
      <c r="H919" s="21">
        <v>904</v>
      </c>
      <c r="I919" s="102">
        <v>0.66779017136456365</v>
      </c>
      <c r="J919" s="103">
        <v>1.4786493175327705E-3</v>
      </c>
      <c r="K919" s="103"/>
      <c r="L919" s="103">
        <v>4.3999999999999997E-2</v>
      </c>
      <c r="O919" s="100"/>
    </row>
    <row r="920" spans="2:15" x14ac:dyDescent="0.2">
      <c r="B920" s="1">
        <v>905</v>
      </c>
      <c r="C920" s="101">
        <f t="shared" ca="1" si="56"/>
        <v>-0.22076790823428746</v>
      </c>
      <c r="D920" s="101">
        <f t="shared" ca="1" si="57"/>
        <v>0.65018783425794802</v>
      </c>
      <c r="E920" s="101">
        <f t="shared" ca="1" si="58"/>
        <v>0</v>
      </c>
      <c r="F920" s="21">
        <f t="shared" ca="1" si="59"/>
        <v>0</v>
      </c>
      <c r="H920" s="21">
        <v>905</v>
      </c>
      <c r="I920" s="102">
        <v>0.6676495596016534</v>
      </c>
      <c r="J920" s="103">
        <v>1.3031536915644089E-3</v>
      </c>
      <c r="K920" s="103"/>
      <c r="L920" s="103">
        <v>3.8600000000000002E-2</v>
      </c>
      <c r="O920" s="100"/>
    </row>
    <row r="921" spans="2:15" x14ac:dyDescent="0.2">
      <c r="B921" s="1">
        <v>906</v>
      </c>
      <c r="C921" s="101">
        <f t="shared" ca="1" si="56"/>
        <v>0.7684415324198508</v>
      </c>
      <c r="D921" s="101">
        <f t="shared" ca="1" si="57"/>
        <v>0.71682965172735125</v>
      </c>
      <c r="E921" s="101">
        <f t="shared" ca="1" si="58"/>
        <v>0</v>
      </c>
      <c r="F921" s="21">
        <f t="shared" ca="1" si="59"/>
        <v>0</v>
      </c>
      <c r="H921" s="21">
        <v>906</v>
      </c>
      <c r="I921" s="102">
        <v>0.66771714155267414</v>
      </c>
      <c r="J921" s="103">
        <v>1.4151761223548441E-3</v>
      </c>
      <c r="K921" s="103"/>
      <c r="L921" s="103">
        <v>3.8600000000000002E-2</v>
      </c>
      <c r="O921" s="100"/>
    </row>
    <row r="922" spans="2:15" x14ac:dyDescent="0.2">
      <c r="B922" s="1">
        <v>907</v>
      </c>
      <c r="C922" s="101">
        <f t="shared" ca="1" si="56"/>
        <v>1.0346394430746633</v>
      </c>
      <c r="D922" s="101">
        <f t="shared" ca="1" si="57"/>
        <v>0.73590154723351353</v>
      </c>
      <c r="E922" s="101">
        <f t="shared" ca="1" si="58"/>
        <v>0</v>
      </c>
      <c r="F922" s="21">
        <f t="shared" ca="1" si="59"/>
        <v>0</v>
      </c>
      <c r="H922" s="21">
        <v>907</v>
      </c>
      <c r="I922" s="102">
        <v>0.66764667845521342</v>
      </c>
      <c r="J922" s="103">
        <v>1.2321290213017787E-3</v>
      </c>
      <c r="K922" s="103"/>
      <c r="L922" s="103">
        <v>3.8399999999999997E-2</v>
      </c>
      <c r="O922" s="100"/>
    </row>
    <row r="923" spans="2:15" x14ac:dyDescent="0.2">
      <c r="B923" s="1">
        <v>908</v>
      </c>
      <c r="C923" s="101">
        <f t="shared" ca="1" si="56"/>
        <v>-1.4563687455910921</v>
      </c>
      <c r="D923" s="101">
        <f t="shared" ca="1" si="57"/>
        <v>0.57558101541210416</v>
      </c>
      <c r="E923" s="101">
        <f t="shared" ca="1" si="58"/>
        <v>0</v>
      </c>
      <c r="F923" s="21">
        <f t="shared" ca="1" si="59"/>
        <v>0</v>
      </c>
      <c r="H923" s="21">
        <v>908</v>
      </c>
      <c r="I923" s="102">
        <v>0.66762672510286558</v>
      </c>
      <c r="J923" s="103">
        <v>1.2072756000220764E-3</v>
      </c>
      <c r="K923" s="103"/>
      <c r="L923" s="103">
        <v>3.9399999999999998E-2</v>
      </c>
      <c r="O923" s="100"/>
    </row>
    <row r="924" spans="2:15" x14ac:dyDescent="0.2">
      <c r="B924" s="1">
        <v>909</v>
      </c>
      <c r="C924" s="101">
        <f t="shared" ca="1" si="56"/>
        <v>0.45627030203690067</v>
      </c>
      <c r="D924" s="101">
        <f t="shared" ca="1" si="57"/>
        <v>0.69509271780546678</v>
      </c>
      <c r="E924" s="101">
        <f t="shared" ca="1" si="58"/>
        <v>0</v>
      </c>
      <c r="F924" s="21">
        <f t="shared" ca="1" si="59"/>
        <v>0</v>
      </c>
      <c r="H924" s="21">
        <v>909</v>
      </c>
      <c r="I924" s="102">
        <v>0.6676047991394658</v>
      </c>
      <c r="J924" s="103">
        <v>1.1422069719451667E-3</v>
      </c>
      <c r="K924" s="103"/>
      <c r="L924" s="103">
        <v>3.7999999999999999E-2</v>
      </c>
      <c r="O924" s="100"/>
    </row>
    <row r="925" spans="2:15" x14ac:dyDescent="0.2">
      <c r="B925" s="1">
        <v>910</v>
      </c>
      <c r="C925" s="101">
        <f t="shared" ca="1" si="56"/>
        <v>0.48803559169013444</v>
      </c>
      <c r="D925" s="101">
        <f t="shared" ca="1" si="57"/>
        <v>0.69727411645268078</v>
      </c>
      <c r="E925" s="101">
        <f t="shared" ca="1" si="58"/>
        <v>0</v>
      </c>
      <c r="F925" s="21">
        <f t="shared" ca="1" si="59"/>
        <v>0</v>
      </c>
      <c r="H925" s="21">
        <v>910</v>
      </c>
      <c r="I925" s="102">
        <v>0.66746411274056194</v>
      </c>
      <c r="J925" s="103">
        <v>9.6557142556349582E-4</v>
      </c>
      <c r="K925" s="103"/>
      <c r="L925" s="103">
        <v>3.3000000000000002E-2</v>
      </c>
      <c r="O925" s="100"/>
    </row>
    <row r="926" spans="2:15" x14ac:dyDescent="0.2">
      <c r="B926" s="1">
        <v>911</v>
      </c>
      <c r="C926" s="101">
        <f t="shared" ca="1" si="56"/>
        <v>0.39074699509223509</v>
      </c>
      <c r="D926" s="101">
        <f t="shared" ca="1" si="57"/>
        <v>0.69061460825036514</v>
      </c>
      <c r="E926" s="101">
        <f t="shared" ca="1" si="58"/>
        <v>0</v>
      </c>
      <c r="F926" s="21">
        <f t="shared" ca="1" si="59"/>
        <v>0</v>
      </c>
      <c r="H926" s="21">
        <v>911</v>
      </c>
      <c r="I926" s="102">
        <v>0.66779913342259856</v>
      </c>
      <c r="J926" s="103">
        <v>1.3931658671467498E-3</v>
      </c>
      <c r="K926" s="103"/>
      <c r="L926" s="103">
        <v>4.2200000000000001E-2</v>
      </c>
      <c r="O926" s="100"/>
    </row>
    <row r="927" spans="2:15" x14ac:dyDescent="0.2">
      <c r="B927" s="1">
        <v>912</v>
      </c>
      <c r="C927" s="101">
        <f t="shared" ca="1" si="56"/>
        <v>0.54532721223107761</v>
      </c>
      <c r="D927" s="101">
        <f t="shared" ca="1" si="57"/>
        <v>0.70122579217005054</v>
      </c>
      <c r="E927" s="101">
        <f t="shared" ca="1" si="58"/>
        <v>0</v>
      </c>
      <c r="F927" s="21">
        <f t="shared" ca="1" si="59"/>
        <v>0</v>
      </c>
      <c r="H927" s="21">
        <v>912</v>
      </c>
      <c r="I927" s="102">
        <v>0.66786905403079444</v>
      </c>
      <c r="J927" s="103">
        <v>1.4931351028443882E-3</v>
      </c>
      <c r="K927" s="103"/>
      <c r="L927" s="103">
        <v>4.58E-2</v>
      </c>
      <c r="O927" s="100"/>
    </row>
    <row r="928" spans="2:15" x14ac:dyDescent="0.2">
      <c r="B928" s="1">
        <v>913</v>
      </c>
      <c r="C928" s="101">
        <f t="shared" ca="1" si="56"/>
        <v>1.0549012559003232</v>
      </c>
      <c r="D928" s="101">
        <f t="shared" ca="1" si="57"/>
        <v>0.7373738291908345</v>
      </c>
      <c r="E928" s="101">
        <f t="shared" ca="1" si="58"/>
        <v>0</v>
      </c>
      <c r="F928" s="21">
        <f t="shared" ca="1" si="59"/>
        <v>0</v>
      </c>
      <c r="H928" s="21">
        <v>913</v>
      </c>
      <c r="I928" s="102">
        <v>0.66763573230453699</v>
      </c>
      <c r="J928" s="103">
        <v>1.2142566912079148E-3</v>
      </c>
      <c r="K928" s="103"/>
      <c r="L928" s="103">
        <v>3.6600000000000001E-2</v>
      </c>
      <c r="O928" s="100"/>
    </row>
    <row r="929" spans="2:15" x14ac:dyDescent="0.2">
      <c r="B929" s="1">
        <v>914</v>
      </c>
      <c r="C929" s="101">
        <f t="shared" ca="1" si="56"/>
        <v>-0.20658796919981279</v>
      </c>
      <c r="D929" s="101">
        <f t="shared" ca="1" si="57"/>
        <v>0.65109790650103294</v>
      </c>
      <c r="E929" s="101">
        <f t="shared" ca="1" si="58"/>
        <v>0</v>
      </c>
      <c r="F929" s="21">
        <f t="shared" ca="1" si="59"/>
        <v>0</v>
      </c>
      <c r="H929" s="21">
        <v>914</v>
      </c>
      <c r="I929" s="102">
        <v>0.6678041603038547</v>
      </c>
      <c r="J929" s="103">
        <v>1.3834549179699198E-3</v>
      </c>
      <c r="K929" s="103"/>
      <c r="L929" s="103">
        <v>4.5199999999999997E-2</v>
      </c>
      <c r="O929" s="100"/>
    </row>
    <row r="930" spans="2:15" x14ac:dyDescent="0.2">
      <c r="B930" s="1">
        <v>915</v>
      </c>
      <c r="C930" s="101">
        <f t="shared" ca="1" si="56"/>
        <v>0.47188630025820671</v>
      </c>
      <c r="D930" s="101">
        <f t="shared" ca="1" si="57"/>
        <v>0.69616425172425256</v>
      </c>
      <c r="E930" s="101">
        <f t="shared" ca="1" si="58"/>
        <v>0</v>
      </c>
      <c r="F930" s="21">
        <f t="shared" ca="1" si="59"/>
        <v>0</v>
      </c>
      <c r="H930" s="21">
        <v>915</v>
      </c>
      <c r="I930" s="102">
        <v>0.66760189983870855</v>
      </c>
      <c r="J930" s="103">
        <v>1.1669849437609839E-3</v>
      </c>
      <c r="K930" s="103"/>
      <c r="L930" s="103">
        <v>3.6200000000000003E-2</v>
      </c>
      <c r="O930" s="100"/>
    </row>
    <row r="931" spans="2:15" x14ac:dyDescent="0.2">
      <c r="B931" s="1">
        <v>916</v>
      </c>
      <c r="C931" s="101">
        <f t="shared" ca="1" si="56"/>
        <v>-1.0676466841854595</v>
      </c>
      <c r="D931" s="101">
        <f t="shared" ca="1" si="57"/>
        <v>0.59807971736862253</v>
      </c>
      <c r="E931" s="101">
        <f t="shared" ca="1" si="58"/>
        <v>0</v>
      </c>
      <c r="F931" s="21">
        <f t="shared" ca="1" si="59"/>
        <v>0</v>
      </c>
      <c r="H931" s="21">
        <v>916</v>
      </c>
      <c r="I931" s="102">
        <v>0.6678450609180534</v>
      </c>
      <c r="J931" s="103">
        <v>1.346068116798996E-3</v>
      </c>
      <c r="K931" s="103"/>
      <c r="L931" s="103">
        <v>4.5600000000000002E-2</v>
      </c>
      <c r="O931" s="100"/>
    </row>
    <row r="932" spans="2:15" x14ac:dyDescent="0.2">
      <c r="B932" s="1">
        <v>917</v>
      </c>
      <c r="C932" s="101">
        <f t="shared" ca="1" si="56"/>
        <v>0.77218816035154203</v>
      </c>
      <c r="D932" s="101">
        <f t="shared" ca="1" si="57"/>
        <v>0.71709462110332345</v>
      </c>
      <c r="E932" s="101">
        <f t="shared" ca="1" si="58"/>
        <v>0</v>
      </c>
      <c r="F932" s="21">
        <f t="shared" ca="1" si="59"/>
        <v>0</v>
      </c>
      <c r="H932" s="21">
        <v>917</v>
      </c>
      <c r="I932" s="102">
        <v>0.66767527381412606</v>
      </c>
      <c r="J932" s="103">
        <v>1.1726187484123228E-3</v>
      </c>
      <c r="K932" s="103"/>
      <c r="L932" s="103">
        <v>3.9600000000000003E-2</v>
      </c>
      <c r="O932" s="100"/>
    </row>
    <row r="933" spans="2:15" x14ac:dyDescent="0.2">
      <c r="B933" s="1">
        <v>918</v>
      </c>
      <c r="C933" s="101">
        <f t="shared" ca="1" si="56"/>
        <v>1.8319900746844811</v>
      </c>
      <c r="D933" s="101">
        <f t="shared" ca="1" si="57"/>
        <v>0.79611851729711414</v>
      </c>
      <c r="E933" s="101">
        <f t="shared" ca="1" si="58"/>
        <v>7.9185172971141249E-3</v>
      </c>
      <c r="F933" s="21">
        <f t="shared" ca="1" si="59"/>
        <v>1</v>
      </c>
      <c r="H933" s="21">
        <v>918</v>
      </c>
      <c r="I933" s="102">
        <v>0.66765716343332215</v>
      </c>
      <c r="J933" s="103">
        <v>1.3173322136859134E-3</v>
      </c>
      <c r="K933" s="103"/>
      <c r="L933" s="103">
        <v>3.9199999999999999E-2</v>
      </c>
      <c r="O933" s="100"/>
    </row>
    <row r="934" spans="2:15" x14ac:dyDescent="0.2">
      <c r="B934" s="1">
        <v>919</v>
      </c>
      <c r="C934" s="101">
        <f t="shared" ca="1" si="56"/>
        <v>1.0284241941372576</v>
      </c>
      <c r="D934" s="101">
        <f t="shared" ca="1" si="57"/>
        <v>0.73545051869464673</v>
      </c>
      <c r="E934" s="101">
        <f t="shared" ca="1" si="58"/>
        <v>0</v>
      </c>
      <c r="F934" s="21">
        <f t="shared" ca="1" si="59"/>
        <v>0</v>
      </c>
      <c r="H934" s="21">
        <v>919</v>
      </c>
      <c r="I934" s="102">
        <v>0.66789654293799794</v>
      </c>
      <c r="J934" s="103">
        <v>1.6265490040044397E-3</v>
      </c>
      <c r="K934" s="103"/>
      <c r="L934" s="103">
        <v>4.5600000000000002E-2</v>
      </c>
      <c r="O934" s="100"/>
    </row>
    <row r="935" spans="2:15" x14ac:dyDescent="0.2">
      <c r="B935" s="1">
        <v>920</v>
      </c>
      <c r="C935" s="101">
        <f t="shared" ca="1" si="56"/>
        <v>-0.4602904386947691</v>
      </c>
      <c r="D935" s="101">
        <f t="shared" ca="1" si="57"/>
        <v>0.63500601860772765</v>
      </c>
      <c r="E935" s="101">
        <f t="shared" ca="1" si="58"/>
        <v>0</v>
      </c>
      <c r="F935" s="21">
        <f t="shared" ca="1" si="59"/>
        <v>0</v>
      </c>
      <c r="H935" s="21">
        <v>920</v>
      </c>
      <c r="I935" s="102">
        <v>0.66763394948743338</v>
      </c>
      <c r="J935" s="103">
        <v>1.1698153382574993E-3</v>
      </c>
      <c r="K935" s="103"/>
      <c r="L935" s="103">
        <v>0.04</v>
      </c>
      <c r="O935" s="100"/>
    </row>
    <row r="936" spans="2:15" x14ac:dyDescent="0.2">
      <c r="B936" s="1">
        <v>921</v>
      </c>
      <c r="C936" s="101">
        <f t="shared" ca="1" si="56"/>
        <v>1.2237464399003544</v>
      </c>
      <c r="D936" s="101">
        <f t="shared" ca="1" si="57"/>
        <v>0.74975771473093988</v>
      </c>
      <c r="E936" s="101">
        <f t="shared" ca="1" si="58"/>
        <v>0</v>
      </c>
      <c r="F936" s="21">
        <f t="shared" ca="1" si="59"/>
        <v>0</v>
      </c>
      <c r="H936" s="21">
        <v>921</v>
      </c>
      <c r="I936" s="102">
        <v>0.66771252217472898</v>
      </c>
      <c r="J936" s="103">
        <v>1.4370925219404536E-3</v>
      </c>
      <c r="K936" s="103"/>
      <c r="L936" s="103">
        <v>4.0800000000000003E-2</v>
      </c>
      <c r="O936" s="100"/>
    </row>
    <row r="937" spans="2:15" x14ac:dyDescent="0.2">
      <c r="B937" s="1">
        <v>922</v>
      </c>
      <c r="C937" s="101">
        <f t="shared" ca="1" si="56"/>
        <v>1.0784592209888491</v>
      </c>
      <c r="D937" s="101">
        <f t="shared" ca="1" si="57"/>
        <v>0.73908932276716532</v>
      </c>
      <c r="E937" s="101">
        <f t="shared" ca="1" si="58"/>
        <v>0</v>
      </c>
      <c r="F937" s="21">
        <f t="shared" ca="1" si="59"/>
        <v>0</v>
      </c>
      <c r="H937" s="21">
        <v>922</v>
      </c>
      <c r="I937" s="102">
        <v>0.66776364979889247</v>
      </c>
      <c r="J937" s="103">
        <v>1.3833952024480678E-3</v>
      </c>
      <c r="K937" s="103"/>
      <c r="L937" s="103">
        <v>3.9199999999999999E-2</v>
      </c>
      <c r="O937" s="100"/>
    </row>
    <row r="938" spans="2:15" x14ac:dyDescent="0.2">
      <c r="B938" s="1">
        <v>923</v>
      </c>
      <c r="C938" s="101">
        <f t="shared" ca="1" si="56"/>
        <v>-2.7115735468669883E-2</v>
      </c>
      <c r="D938" s="101">
        <f t="shared" ca="1" si="57"/>
        <v>0.66272717449814766</v>
      </c>
      <c r="E938" s="101">
        <f t="shared" ca="1" si="58"/>
        <v>0</v>
      </c>
      <c r="F938" s="21">
        <f t="shared" ca="1" si="59"/>
        <v>0</v>
      </c>
      <c r="H938" s="21">
        <v>923</v>
      </c>
      <c r="I938" s="102">
        <v>0.66793166757372147</v>
      </c>
      <c r="J938" s="103">
        <v>1.5169418211447155E-3</v>
      </c>
      <c r="K938" s="103"/>
      <c r="L938" s="103">
        <v>4.8000000000000001E-2</v>
      </c>
      <c r="O938" s="100"/>
    </row>
    <row r="939" spans="2:15" x14ac:dyDescent="0.2">
      <c r="B939" s="1">
        <v>924</v>
      </c>
      <c r="C939" s="101">
        <f t="shared" ca="1" si="56"/>
        <v>-1.9709114387276339</v>
      </c>
      <c r="D939" s="101">
        <f t="shared" ca="1" si="57"/>
        <v>0.54709628943095012</v>
      </c>
      <c r="E939" s="101">
        <f t="shared" ca="1" si="58"/>
        <v>0</v>
      </c>
      <c r="F939" s="21">
        <f t="shared" ca="1" si="59"/>
        <v>0</v>
      </c>
      <c r="H939" s="21">
        <v>924</v>
      </c>
      <c r="I939" s="102">
        <v>0.6676880135038914</v>
      </c>
      <c r="J939" s="103">
        <v>1.3314170466095479E-3</v>
      </c>
      <c r="K939" s="103"/>
      <c r="L939" s="103">
        <v>4.1200000000000001E-2</v>
      </c>
      <c r="O939" s="100"/>
    </row>
    <row r="940" spans="2:15" x14ac:dyDescent="0.2">
      <c r="B940" s="1">
        <v>925</v>
      </c>
      <c r="C940" s="101">
        <f t="shared" ca="1" si="56"/>
        <v>-0.17821780054137434</v>
      </c>
      <c r="D940" s="101">
        <f t="shared" ca="1" si="57"/>
        <v>0.65292253703930969</v>
      </c>
      <c r="E940" s="101">
        <f t="shared" ca="1" si="58"/>
        <v>0</v>
      </c>
      <c r="F940" s="21">
        <f t="shared" ca="1" si="59"/>
        <v>0</v>
      </c>
      <c r="H940" s="21">
        <v>925</v>
      </c>
      <c r="I940" s="102">
        <v>0.66767122946435375</v>
      </c>
      <c r="J940" s="103">
        <v>1.2921621483984484E-3</v>
      </c>
      <c r="K940" s="103"/>
      <c r="L940" s="103">
        <v>4.02E-2</v>
      </c>
      <c r="O940" s="100"/>
    </row>
    <row r="941" spans="2:15" x14ac:dyDescent="0.2">
      <c r="B941" s="1">
        <v>926</v>
      </c>
      <c r="C941" s="101">
        <f t="shared" ca="1" si="56"/>
        <v>-1.0888188279316744</v>
      </c>
      <c r="D941" s="101">
        <f t="shared" ca="1" si="57"/>
        <v>0.59683196217225654</v>
      </c>
      <c r="E941" s="101">
        <f t="shared" ca="1" si="58"/>
        <v>0</v>
      </c>
      <c r="F941" s="21">
        <f t="shared" ca="1" si="59"/>
        <v>0</v>
      </c>
      <c r="H941" s="21">
        <v>926</v>
      </c>
      <c r="I941" s="102">
        <v>0.66784262225322621</v>
      </c>
      <c r="J941" s="103">
        <v>1.4953317883976843E-3</v>
      </c>
      <c r="K941" s="103"/>
      <c r="L941" s="103">
        <v>3.9800000000000002E-2</v>
      </c>
      <c r="O941" s="100"/>
    </row>
    <row r="942" spans="2:15" x14ac:dyDescent="0.2">
      <c r="B942" s="1">
        <v>927</v>
      </c>
      <c r="C942" s="101">
        <f t="shared" ca="1" si="56"/>
        <v>1.3974730120045769</v>
      </c>
      <c r="D942" s="101">
        <f t="shared" ca="1" si="57"/>
        <v>0.76271674719733329</v>
      </c>
      <c r="E942" s="101">
        <f t="shared" ca="1" si="58"/>
        <v>0</v>
      </c>
      <c r="F942" s="21">
        <f t="shared" ca="1" si="59"/>
        <v>0</v>
      </c>
      <c r="H942" s="21">
        <v>927</v>
      </c>
      <c r="I942" s="102">
        <v>0.66779692273525459</v>
      </c>
      <c r="J942" s="103">
        <v>1.5356006010456536E-3</v>
      </c>
      <c r="K942" s="103"/>
      <c r="L942" s="103">
        <v>4.4200000000000003E-2</v>
      </c>
      <c r="O942" s="100"/>
    </row>
    <row r="943" spans="2:15" x14ac:dyDescent="0.2">
      <c r="B943" s="1">
        <v>928</v>
      </c>
      <c r="C943" s="101">
        <f t="shared" ca="1" si="56"/>
        <v>-0.47328239085528812</v>
      </c>
      <c r="D943" s="101">
        <f t="shared" ca="1" si="57"/>
        <v>0.63419275207436776</v>
      </c>
      <c r="E943" s="101">
        <f t="shared" ca="1" si="58"/>
        <v>0</v>
      </c>
      <c r="F943" s="21">
        <f t="shared" ca="1" si="59"/>
        <v>0</v>
      </c>
      <c r="H943" s="21">
        <v>928</v>
      </c>
      <c r="I943" s="102">
        <v>0.66759084016116421</v>
      </c>
      <c r="J943" s="103">
        <v>1.1313693209191579E-3</v>
      </c>
      <c r="K943" s="103"/>
      <c r="L943" s="103">
        <v>3.7199999999999997E-2</v>
      </c>
      <c r="O943" s="100"/>
    </row>
    <row r="944" spans="2:15" x14ac:dyDescent="0.2">
      <c r="B944" s="1">
        <v>929</v>
      </c>
      <c r="C944" s="101">
        <f t="shared" ca="1" si="56"/>
        <v>-0.7785729295431405</v>
      </c>
      <c r="D944" s="101">
        <f t="shared" ca="1" si="57"/>
        <v>0.6153792042725813</v>
      </c>
      <c r="E944" s="101">
        <f t="shared" ca="1" si="58"/>
        <v>0</v>
      </c>
      <c r="F944" s="21">
        <f t="shared" ca="1" si="59"/>
        <v>0</v>
      </c>
      <c r="H944" s="21">
        <v>929</v>
      </c>
      <c r="I944" s="102">
        <v>0.66771245470297269</v>
      </c>
      <c r="J944" s="103">
        <v>1.3258033269720143E-3</v>
      </c>
      <c r="K944" s="103"/>
      <c r="L944" s="103">
        <v>4.02E-2</v>
      </c>
      <c r="O944" s="100"/>
    </row>
    <row r="945" spans="2:15" x14ac:dyDescent="0.2">
      <c r="B945" s="1">
        <v>930</v>
      </c>
      <c r="C945" s="101">
        <f t="shared" ca="1" si="56"/>
        <v>0.53662256006544817</v>
      </c>
      <c r="D945" s="101">
        <f t="shared" ca="1" si="57"/>
        <v>0.70062395117569942</v>
      </c>
      <c r="E945" s="101">
        <f t="shared" ca="1" si="58"/>
        <v>0</v>
      </c>
      <c r="F945" s="21">
        <f t="shared" ca="1" si="59"/>
        <v>0</v>
      </c>
      <c r="H945" s="21">
        <v>930</v>
      </c>
      <c r="I945" s="102">
        <v>0.66772121945980434</v>
      </c>
      <c r="J945" s="103">
        <v>1.3315220922710353E-3</v>
      </c>
      <c r="K945" s="103"/>
      <c r="L945" s="103">
        <v>4.02E-2</v>
      </c>
      <c r="O945" s="100"/>
    </row>
    <row r="946" spans="2:15" x14ac:dyDescent="0.2">
      <c r="B946" s="1">
        <v>931</v>
      </c>
      <c r="C946" s="101">
        <f t="shared" ca="1" si="56"/>
        <v>-0.77294280425684736</v>
      </c>
      <c r="D946" s="101">
        <f t="shared" ca="1" si="57"/>
        <v>0.61572105804511701</v>
      </c>
      <c r="E946" s="101">
        <f t="shared" ca="1" si="58"/>
        <v>0</v>
      </c>
      <c r="F946" s="21">
        <f t="shared" ca="1" si="59"/>
        <v>0</v>
      </c>
      <c r="H946" s="21">
        <v>931</v>
      </c>
      <c r="I946" s="102">
        <v>0.66770018619404858</v>
      </c>
      <c r="J946" s="103">
        <v>1.3027293089351525E-3</v>
      </c>
      <c r="K946" s="103"/>
      <c r="L946" s="103">
        <v>3.7999999999999999E-2</v>
      </c>
      <c r="O946" s="100"/>
    </row>
    <row r="947" spans="2:15" x14ac:dyDescent="0.2">
      <c r="B947" s="1">
        <v>932</v>
      </c>
      <c r="C947" s="101">
        <f t="shared" ca="1" si="56"/>
        <v>0.43637650393234073</v>
      </c>
      <c r="D947" s="101">
        <f t="shared" ca="1" si="57"/>
        <v>0.69373003964348345</v>
      </c>
      <c r="E947" s="101">
        <f t="shared" ca="1" si="58"/>
        <v>0</v>
      </c>
      <c r="F947" s="21">
        <f t="shared" ca="1" si="59"/>
        <v>0</v>
      </c>
      <c r="H947" s="21">
        <v>932</v>
      </c>
      <c r="I947" s="102">
        <v>0.66783675098780027</v>
      </c>
      <c r="J947" s="103">
        <v>1.5087922210986358E-3</v>
      </c>
      <c r="K947" s="103"/>
      <c r="L947" s="103">
        <v>4.5199999999999997E-2</v>
      </c>
      <c r="O947" s="100"/>
    </row>
    <row r="948" spans="2:15" x14ac:dyDescent="0.2">
      <c r="B948" s="1">
        <v>933</v>
      </c>
      <c r="C948" s="101">
        <f t="shared" ca="1" si="56"/>
        <v>0.60499418181203646</v>
      </c>
      <c r="D948" s="101">
        <f t="shared" ca="1" si="57"/>
        <v>0.70536511633078602</v>
      </c>
      <c r="E948" s="101">
        <f t="shared" ca="1" si="58"/>
        <v>0</v>
      </c>
      <c r="F948" s="21">
        <f t="shared" ca="1" si="59"/>
        <v>0</v>
      </c>
      <c r="H948" s="21">
        <v>933</v>
      </c>
      <c r="I948" s="102">
        <v>0.66773843704908253</v>
      </c>
      <c r="J948" s="103">
        <v>1.253342983631168E-3</v>
      </c>
      <c r="K948" s="103"/>
      <c r="L948" s="103">
        <v>3.9399999999999998E-2</v>
      </c>
      <c r="O948" s="100"/>
    </row>
    <row r="949" spans="2:15" x14ac:dyDescent="0.2">
      <c r="B949" s="1">
        <v>934</v>
      </c>
      <c r="C949" s="101">
        <f t="shared" ca="1" si="56"/>
        <v>-1.3799822032884275</v>
      </c>
      <c r="D949" s="101">
        <f t="shared" ca="1" si="57"/>
        <v>0.57993432363359065</v>
      </c>
      <c r="E949" s="101">
        <f t="shared" ca="1" si="58"/>
        <v>0</v>
      </c>
      <c r="F949" s="21">
        <f t="shared" ca="1" si="59"/>
        <v>0</v>
      </c>
      <c r="H949" s="21">
        <v>934</v>
      </c>
      <c r="I949" s="102">
        <v>0.6677921855549076</v>
      </c>
      <c r="J949" s="103">
        <v>1.5008046531622937E-3</v>
      </c>
      <c r="K949" s="103"/>
      <c r="L949" s="103">
        <v>4.48E-2</v>
      </c>
      <c r="O949" s="100"/>
    </row>
    <row r="950" spans="2:15" x14ac:dyDescent="0.2">
      <c r="B950" s="1">
        <v>935</v>
      </c>
      <c r="C950" s="101">
        <f t="shared" ca="1" si="56"/>
        <v>-0.12758545539297347</v>
      </c>
      <c r="D950" s="101">
        <f t="shared" ca="1" si="57"/>
        <v>0.65619167752401708</v>
      </c>
      <c r="E950" s="101">
        <f t="shared" ca="1" si="58"/>
        <v>0</v>
      </c>
      <c r="F950" s="21">
        <f t="shared" ca="1" si="59"/>
        <v>0</v>
      </c>
      <c r="H950" s="21">
        <v>935</v>
      </c>
      <c r="I950" s="102">
        <v>0.66783655738901337</v>
      </c>
      <c r="J950" s="103">
        <v>1.4251110575199068E-3</v>
      </c>
      <c r="K950" s="103"/>
      <c r="L950" s="103">
        <v>4.48E-2</v>
      </c>
      <c r="O950" s="100"/>
    </row>
    <row r="951" spans="2:15" x14ac:dyDescent="0.2">
      <c r="B951" s="1">
        <v>936</v>
      </c>
      <c r="C951" s="101">
        <f t="shared" ca="1" si="56"/>
        <v>-1.4933655150326968</v>
      </c>
      <c r="D951" s="101">
        <f t="shared" ca="1" si="57"/>
        <v>0.57348431226816221</v>
      </c>
      <c r="E951" s="101">
        <f t="shared" ca="1" si="58"/>
        <v>0</v>
      </c>
      <c r="F951" s="21">
        <f t="shared" ca="1" si="59"/>
        <v>0</v>
      </c>
      <c r="H951" s="21">
        <v>936</v>
      </c>
      <c r="I951" s="102">
        <v>0.6677783122502926</v>
      </c>
      <c r="J951" s="103">
        <v>1.3806957130107409E-3</v>
      </c>
      <c r="K951" s="103"/>
      <c r="L951" s="103">
        <v>4.2599999999999999E-2</v>
      </c>
      <c r="O951" s="100"/>
    </row>
    <row r="952" spans="2:15" x14ac:dyDescent="0.2">
      <c r="B952" s="1">
        <v>937</v>
      </c>
      <c r="C952" s="101">
        <f t="shared" ca="1" si="56"/>
        <v>1.1057541273880389</v>
      </c>
      <c r="D952" s="101">
        <f t="shared" ca="1" si="57"/>
        <v>0.74108193236547926</v>
      </c>
      <c r="E952" s="101">
        <f t="shared" ca="1" si="58"/>
        <v>0</v>
      </c>
      <c r="F952" s="21">
        <f t="shared" ca="1" si="59"/>
        <v>0</v>
      </c>
      <c r="H952" s="21">
        <v>937</v>
      </c>
      <c r="I952" s="102">
        <v>0.66767246950901094</v>
      </c>
      <c r="J952" s="103">
        <v>1.2958100002636612E-3</v>
      </c>
      <c r="K952" s="103"/>
      <c r="L952" s="103">
        <v>3.9399999999999998E-2</v>
      </c>
      <c r="O952" s="100"/>
    </row>
    <row r="953" spans="2:15" x14ac:dyDescent="0.2">
      <c r="B953" s="1">
        <v>938</v>
      </c>
      <c r="C953" s="101">
        <f t="shared" ca="1" si="56"/>
        <v>1.3411866123536558</v>
      </c>
      <c r="D953" s="101">
        <f t="shared" ca="1" si="57"/>
        <v>0.75849375213564929</v>
      </c>
      <c r="E953" s="101">
        <f t="shared" ca="1" si="58"/>
        <v>0</v>
      </c>
      <c r="F953" s="21">
        <f t="shared" ca="1" si="59"/>
        <v>0</v>
      </c>
      <c r="H953" s="21">
        <v>938</v>
      </c>
      <c r="I953" s="102">
        <v>0.66789278662752871</v>
      </c>
      <c r="J953" s="103">
        <v>1.4712047158723025E-3</v>
      </c>
      <c r="K953" s="103"/>
      <c r="L953" s="103">
        <v>4.5600000000000002E-2</v>
      </c>
      <c r="O953" s="100"/>
    </row>
    <row r="954" spans="2:15" x14ac:dyDescent="0.2">
      <c r="B954" s="1">
        <v>939</v>
      </c>
      <c r="C954" s="101">
        <f t="shared" ca="1" si="56"/>
        <v>1.9594359972472266</v>
      </c>
      <c r="D954" s="101">
        <f t="shared" ca="1" si="57"/>
        <v>0.80619004342699152</v>
      </c>
      <c r="E954" s="101">
        <f t="shared" ca="1" si="58"/>
        <v>1.7990043426991509E-2</v>
      </c>
      <c r="F954" s="21">
        <f t="shared" ca="1" si="59"/>
        <v>1</v>
      </c>
      <c r="H954" s="21">
        <v>939</v>
      </c>
      <c r="I954" s="102">
        <v>0.66779370884774636</v>
      </c>
      <c r="J954" s="103">
        <v>1.4229795358480476E-3</v>
      </c>
      <c r="K954" s="103"/>
      <c r="L954" s="103">
        <v>4.2000000000000003E-2</v>
      </c>
      <c r="O954" s="100"/>
    </row>
    <row r="955" spans="2:15" x14ac:dyDescent="0.2">
      <c r="B955" s="1">
        <v>940</v>
      </c>
      <c r="C955" s="101">
        <f t="shared" ca="1" si="56"/>
        <v>-3.4041856918339761E-3</v>
      </c>
      <c r="D955" s="101">
        <f t="shared" ca="1" si="57"/>
        <v>0.66427906692121375</v>
      </c>
      <c r="E955" s="101">
        <f t="shared" ca="1" si="58"/>
        <v>0</v>
      </c>
      <c r="F955" s="21">
        <f t="shared" ca="1" si="59"/>
        <v>0</v>
      </c>
      <c r="H955" s="21">
        <v>940</v>
      </c>
      <c r="I955" s="102">
        <v>0.6678282915689947</v>
      </c>
      <c r="J955" s="103">
        <v>1.4552991655707836E-3</v>
      </c>
      <c r="K955" s="103"/>
      <c r="L955" s="103">
        <v>4.5199999999999997E-2</v>
      </c>
      <c r="O955" s="100"/>
    </row>
    <row r="956" spans="2:15" x14ac:dyDescent="0.2">
      <c r="B956" s="1">
        <v>941</v>
      </c>
      <c r="C956" s="101">
        <f t="shared" ca="1" si="56"/>
        <v>-0.34422627454122401</v>
      </c>
      <c r="D956" s="101">
        <f t="shared" ca="1" si="57"/>
        <v>0.6423178020616741</v>
      </c>
      <c r="E956" s="101">
        <f t="shared" ca="1" si="58"/>
        <v>0</v>
      </c>
      <c r="F956" s="21">
        <f t="shared" ca="1" si="59"/>
        <v>0</v>
      </c>
      <c r="H956" s="21">
        <v>941</v>
      </c>
      <c r="I956" s="102">
        <v>0.66759093982208295</v>
      </c>
      <c r="J956" s="103">
        <v>1.1699728996967123E-3</v>
      </c>
      <c r="K956" s="103"/>
      <c r="L956" s="103">
        <v>3.56E-2</v>
      </c>
      <c r="O956" s="100"/>
    </row>
    <row r="957" spans="2:15" x14ac:dyDescent="0.2">
      <c r="B957" s="1">
        <v>942</v>
      </c>
      <c r="C957" s="101">
        <f t="shared" ca="1" si="56"/>
        <v>-0.36220335008101984</v>
      </c>
      <c r="D957" s="101">
        <f t="shared" ca="1" si="57"/>
        <v>0.64117980039977662</v>
      </c>
      <c r="E957" s="101">
        <f t="shared" ca="1" si="58"/>
        <v>0</v>
      </c>
      <c r="F957" s="21">
        <f t="shared" ca="1" si="59"/>
        <v>0</v>
      </c>
      <c r="H957" s="21">
        <v>942</v>
      </c>
      <c r="I957" s="102">
        <v>0.66765710180782989</v>
      </c>
      <c r="J957" s="103">
        <v>1.3582291812295078E-3</v>
      </c>
      <c r="K957" s="103"/>
      <c r="L957" s="103">
        <v>4.1599999999999998E-2</v>
      </c>
      <c r="O957" s="100"/>
    </row>
    <row r="958" spans="2:15" x14ac:dyDescent="0.2">
      <c r="B958" s="1">
        <v>943</v>
      </c>
      <c r="C958" s="101">
        <f t="shared" ca="1" si="56"/>
        <v>0.86476361600827645</v>
      </c>
      <c r="D958" s="101">
        <f t="shared" ca="1" si="57"/>
        <v>0.72367295132488363</v>
      </c>
      <c r="E958" s="101">
        <f t="shared" ca="1" si="58"/>
        <v>0</v>
      </c>
      <c r="F958" s="21">
        <f t="shared" ca="1" si="59"/>
        <v>0</v>
      </c>
      <c r="H958" s="21">
        <v>943</v>
      </c>
      <c r="I958" s="102">
        <v>0.6677602686119215</v>
      </c>
      <c r="J958" s="103">
        <v>1.3807869531352952E-3</v>
      </c>
      <c r="K958" s="103"/>
      <c r="L958" s="103">
        <v>4.1799999999999997E-2</v>
      </c>
      <c r="O958" s="100"/>
    </row>
    <row r="959" spans="2:15" x14ac:dyDescent="0.2">
      <c r="B959" s="1">
        <v>944</v>
      </c>
      <c r="C959" s="101">
        <f t="shared" ca="1" si="56"/>
        <v>1.050760023469927</v>
      </c>
      <c r="D959" s="101">
        <f t="shared" ca="1" si="57"/>
        <v>0.73707267596070514</v>
      </c>
      <c r="E959" s="101">
        <f t="shared" ca="1" si="58"/>
        <v>0</v>
      </c>
      <c r="F959" s="21">
        <f t="shared" ca="1" si="59"/>
        <v>0</v>
      </c>
      <c r="H959" s="21">
        <v>944</v>
      </c>
      <c r="I959" s="102">
        <v>0.66782561107978466</v>
      </c>
      <c r="J959" s="103">
        <v>1.4316215168702678E-3</v>
      </c>
      <c r="K959" s="103"/>
      <c r="L959" s="103">
        <v>4.1399999999999999E-2</v>
      </c>
      <c r="O959" s="100"/>
    </row>
    <row r="960" spans="2:15" x14ac:dyDescent="0.2">
      <c r="B960" s="1">
        <v>945</v>
      </c>
      <c r="C960" s="101">
        <f t="shared" ca="1" si="56"/>
        <v>0.20777668989315903</v>
      </c>
      <c r="D960" s="101">
        <f t="shared" ca="1" si="57"/>
        <v>0.67826190522046792</v>
      </c>
      <c r="E960" s="101">
        <f t="shared" ca="1" si="58"/>
        <v>0</v>
      </c>
      <c r="F960" s="21">
        <f t="shared" ca="1" si="59"/>
        <v>0</v>
      </c>
      <c r="H960" s="21">
        <v>945</v>
      </c>
      <c r="I960" s="102">
        <v>0.66779239149073655</v>
      </c>
      <c r="J960" s="103">
        <v>1.4125160328692212E-3</v>
      </c>
      <c r="K960" s="103"/>
      <c r="L960" s="103">
        <v>4.5999999999999999E-2</v>
      </c>
      <c r="O960" s="100"/>
    </row>
    <row r="961" spans="2:15" x14ac:dyDescent="0.2">
      <c r="B961" s="1">
        <v>946</v>
      </c>
      <c r="C961" s="101">
        <f t="shared" ca="1" si="56"/>
        <v>1.2858896464966509</v>
      </c>
      <c r="D961" s="101">
        <f t="shared" ca="1" si="57"/>
        <v>0.75436776086231216</v>
      </c>
      <c r="E961" s="101">
        <f t="shared" ca="1" si="58"/>
        <v>0</v>
      </c>
      <c r="F961" s="21">
        <f t="shared" ca="1" si="59"/>
        <v>0</v>
      </c>
      <c r="H961" s="21">
        <v>946</v>
      </c>
      <c r="I961" s="102">
        <v>0.66778726989043202</v>
      </c>
      <c r="J961" s="103">
        <v>1.4301407909208003E-3</v>
      </c>
      <c r="K961" s="103"/>
      <c r="L961" s="103">
        <v>4.1599999999999998E-2</v>
      </c>
      <c r="O961" s="100"/>
    </row>
    <row r="962" spans="2:15" x14ac:dyDescent="0.2">
      <c r="B962" s="1">
        <v>947</v>
      </c>
      <c r="C962" s="101">
        <f t="shared" ca="1" si="56"/>
        <v>0.96600884630815087</v>
      </c>
      <c r="D962" s="101">
        <f t="shared" ca="1" si="57"/>
        <v>0.73093645666332263</v>
      </c>
      <c r="E962" s="101">
        <f t="shared" ca="1" si="58"/>
        <v>0</v>
      </c>
      <c r="F962" s="21">
        <f t="shared" ca="1" si="59"/>
        <v>0</v>
      </c>
      <c r="H962" s="21">
        <v>947</v>
      </c>
      <c r="I962" s="102">
        <v>0.66773322893478249</v>
      </c>
      <c r="J962" s="103">
        <v>1.3769936370361367E-3</v>
      </c>
      <c r="K962" s="103"/>
      <c r="L962" s="103">
        <v>3.9199999999999999E-2</v>
      </c>
      <c r="O962" s="100"/>
    </row>
    <row r="963" spans="2:15" x14ac:dyDescent="0.2">
      <c r="B963" s="1">
        <v>948</v>
      </c>
      <c r="C963" s="101">
        <f t="shared" ca="1" si="56"/>
        <v>-0.37594581252365022</v>
      </c>
      <c r="D963" s="101">
        <f t="shared" ca="1" si="57"/>
        <v>0.64031122211920533</v>
      </c>
      <c r="E963" s="101">
        <f t="shared" ca="1" si="58"/>
        <v>0</v>
      </c>
      <c r="F963" s="21">
        <f t="shared" ca="1" si="59"/>
        <v>0</v>
      </c>
      <c r="H963" s="21">
        <v>948</v>
      </c>
      <c r="I963" s="102">
        <v>0.66770804416634044</v>
      </c>
      <c r="J963" s="103">
        <v>1.344234694824223E-3</v>
      </c>
      <c r="K963" s="103"/>
      <c r="L963" s="103">
        <v>4.2599999999999999E-2</v>
      </c>
      <c r="O963" s="100"/>
    </row>
    <row r="964" spans="2:15" x14ac:dyDescent="0.2">
      <c r="B964" s="1">
        <v>949</v>
      </c>
      <c r="C964" s="101">
        <f t="shared" ca="1" si="56"/>
        <v>-0.89024730785847228</v>
      </c>
      <c r="D964" s="101">
        <f t="shared" ca="1" si="57"/>
        <v>0.60863756633141552</v>
      </c>
      <c r="E964" s="101">
        <f t="shared" ca="1" si="58"/>
        <v>0</v>
      </c>
      <c r="F964" s="21">
        <f t="shared" ca="1" si="59"/>
        <v>0</v>
      </c>
      <c r="H964" s="21">
        <v>949</v>
      </c>
      <c r="I964" s="102">
        <v>0.66768268951056464</v>
      </c>
      <c r="J964" s="103">
        <v>1.2126684142419201E-3</v>
      </c>
      <c r="K964" s="103"/>
      <c r="L964" s="103">
        <v>3.9600000000000003E-2</v>
      </c>
      <c r="O964" s="100"/>
    </row>
    <row r="965" spans="2:15" x14ac:dyDescent="0.2">
      <c r="B965" s="1">
        <v>950</v>
      </c>
      <c r="C965" s="101">
        <f t="shared" ca="1" si="56"/>
        <v>1.7637968898947098</v>
      </c>
      <c r="D965" s="101">
        <f t="shared" ca="1" si="57"/>
        <v>0.7907812648932957</v>
      </c>
      <c r="E965" s="101">
        <f t="shared" ca="1" si="58"/>
        <v>2.5812648932956872E-3</v>
      </c>
      <c r="F965" s="21">
        <f t="shared" ca="1" si="59"/>
        <v>1</v>
      </c>
      <c r="H965" s="21">
        <v>950</v>
      </c>
      <c r="I965" s="102">
        <v>0.66777630092708484</v>
      </c>
      <c r="J965" s="103">
        <v>1.4375784335228198E-3</v>
      </c>
      <c r="K965" s="103"/>
      <c r="L965" s="103">
        <v>4.2999999999999997E-2</v>
      </c>
      <c r="O965" s="100"/>
    </row>
    <row r="966" spans="2:15" x14ac:dyDescent="0.2">
      <c r="B966" s="1">
        <v>951</v>
      </c>
      <c r="C966" s="101">
        <f t="shared" ca="1" si="56"/>
        <v>1.1348530795546319</v>
      </c>
      <c r="D966" s="101">
        <f t="shared" ca="1" si="57"/>
        <v>0.74321215951891317</v>
      </c>
      <c r="E966" s="101">
        <f t="shared" ca="1" si="58"/>
        <v>0</v>
      </c>
      <c r="F966" s="21">
        <f t="shared" ca="1" si="59"/>
        <v>0</v>
      </c>
      <c r="H966" s="21">
        <v>951</v>
      </c>
      <c r="I966" s="102">
        <v>0.66781418806234705</v>
      </c>
      <c r="J966" s="103">
        <v>1.4842081342925626E-3</v>
      </c>
      <c r="K966" s="103"/>
      <c r="L966" s="103">
        <v>4.5999999999999999E-2</v>
      </c>
      <c r="O966" s="100"/>
    </row>
    <row r="967" spans="2:15" x14ac:dyDescent="0.2">
      <c r="B967" s="1">
        <v>952</v>
      </c>
      <c r="C967" s="101">
        <f t="shared" ca="1" si="56"/>
        <v>7.4209220352347421E-2</v>
      </c>
      <c r="D967" s="101">
        <f t="shared" ca="1" si="57"/>
        <v>0.66938423125240132</v>
      </c>
      <c r="E967" s="101">
        <f t="shared" ca="1" si="58"/>
        <v>0</v>
      </c>
      <c r="F967" s="21">
        <f t="shared" ca="1" si="59"/>
        <v>0</v>
      </c>
      <c r="H967" s="21">
        <v>952</v>
      </c>
      <c r="I967" s="102">
        <v>0.66777471227441043</v>
      </c>
      <c r="J967" s="103">
        <v>1.4724525797018418E-3</v>
      </c>
      <c r="K967" s="103"/>
      <c r="L967" s="103">
        <v>4.1000000000000002E-2</v>
      </c>
      <c r="O967" s="100"/>
    </row>
    <row r="968" spans="2:15" x14ac:dyDescent="0.2">
      <c r="B968" s="1">
        <v>953</v>
      </c>
      <c r="C968" s="101">
        <f t="shared" ca="1" si="56"/>
        <v>4.3532302509389449E-2</v>
      </c>
      <c r="D968" s="101">
        <f t="shared" ca="1" si="57"/>
        <v>0.6673617282411356</v>
      </c>
      <c r="E968" s="101">
        <f t="shared" ca="1" si="58"/>
        <v>0</v>
      </c>
      <c r="F968" s="21">
        <f t="shared" ca="1" si="59"/>
        <v>0</v>
      </c>
      <c r="H968" s="21">
        <v>953</v>
      </c>
      <c r="I968" s="102">
        <v>0.66778483887661821</v>
      </c>
      <c r="J968" s="103">
        <v>1.5722304330144194E-3</v>
      </c>
      <c r="K968" s="103"/>
      <c r="L968" s="103">
        <v>4.4200000000000003E-2</v>
      </c>
      <c r="O968" s="100"/>
    </row>
    <row r="969" spans="2:15" x14ac:dyDescent="0.2">
      <c r="B969" s="1">
        <v>954</v>
      </c>
      <c r="C969" s="101">
        <f t="shared" ca="1" si="56"/>
        <v>0.53139843408234233</v>
      </c>
      <c r="D969" s="101">
        <f t="shared" ca="1" si="57"/>
        <v>0.70026300235452466</v>
      </c>
      <c r="E969" s="101">
        <f t="shared" ca="1" si="58"/>
        <v>0</v>
      </c>
      <c r="F969" s="21">
        <f t="shared" ca="1" si="59"/>
        <v>0</v>
      </c>
      <c r="H969" s="21">
        <v>954</v>
      </c>
      <c r="I969" s="102">
        <v>0.66768311177039696</v>
      </c>
      <c r="J969" s="103">
        <v>1.2977703327364913E-3</v>
      </c>
      <c r="K969" s="103"/>
      <c r="L969" s="103">
        <v>4.1399999999999999E-2</v>
      </c>
      <c r="O969" s="100"/>
    </row>
    <row r="970" spans="2:15" x14ac:dyDescent="0.2">
      <c r="B970" s="1">
        <v>955</v>
      </c>
      <c r="C970" s="101">
        <f t="shared" ca="1" si="56"/>
        <v>2.2561194881648943</v>
      </c>
      <c r="D970" s="101">
        <f t="shared" ca="1" si="57"/>
        <v>0.83013202423140908</v>
      </c>
      <c r="E970" s="101">
        <f t="shared" ca="1" si="58"/>
        <v>4.1932024231409071E-2</v>
      </c>
      <c r="F970" s="21">
        <f t="shared" ca="1" si="59"/>
        <v>1</v>
      </c>
      <c r="H970" s="21">
        <v>955</v>
      </c>
      <c r="I970" s="102">
        <v>0.66784072822972773</v>
      </c>
      <c r="J970" s="103">
        <v>1.4111851770673579E-3</v>
      </c>
      <c r="K970" s="103"/>
      <c r="L970" s="103">
        <v>4.3799999999999999E-2</v>
      </c>
      <c r="O970" s="100"/>
    </row>
    <row r="971" spans="2:15" x14ac:dyDescent="0.2">
      <c r="B971" s="1">
        <v>956</v>
      </c>
      <c r="C971" s="101">
        <f t="shared" ca="1" si="56"/>
        <v>-1.5526043921821877</v>
      </c>
      <c r="D971" s="101">
        <f t="shared" ca="1" si="57"/>
        <v>0.57014298511247252</v>
      </c>
      <c r="E971" s="101">
        <f t="shared" ca="1" si="58"/>
        <v>0</v>
      </c>
      <c r="F971" s="21">
        <f t="shared" ca="1" si="59"/>
        <v>0</v>
      </c>
      <c r="H971" s="21">
        <v>956</v>
      </c>
      <c r="I971" s="102">
        <v>0.66756167815901513</v>
      </c>
      <c r="J971" s="103">
        <v>1.2359202728016007E-3</v>
      </c>
      <c r="K971" s="103"/>
      <c r="L971" s="103">
        <v>3.6799999999999999E-2</v>
      </c>
      <c r="O971" s="100"/>
    </row>
    <row r="972" spans="2:15" x14ac:dyDescent="0.2">
      <c r="B972" s="1">
        <v>957</v>
      </c>
      <c r="C972" s="101">
        <f t="shared" ca="1" si="56"/>
        <v>1.2463792610153599</v>
      </c>
      <c r="D972" s="101">
        <f t="shared" ca="1" si="57"/>
        <v>0.75143344229316467</v>
      </c>
      <c r="E972" s="101">
        <f t="shared" ca="1" si="58"/>
        <v>0</v>
      </c>
      <c r="F972" s="21">
        <f t="shared" ca="1" si="59"/>
        <v>0</v>
      </c>
      <c r="H972" s="21">
        <v>957</v>
      </c>
      <c r="I972" s="102">
        <v>0.66775434748689833</v>
      </c>
      <c r="J972" s="103">
        <v>1.382844276771079E-3</v>
      </c>
      <c r="K972" s="103"/>
      <c r="L972" s="103">
        <v>4.1399999999999999E-2</v>
      </c>
      <c r="O972" s="100"/>
    </row>
    <row r="973" spans="2:15" x14ac:dyDescent="0.2">
      <c r="B973" s="1">
        <v>958</v>
      </c>
      <c r="C973" s="101">
        <f t="shared" ca="1" si="56"/>
        <v>-0.2719307464626381</v>
      </c>
      <c r="D973" s="101">
        <f t="shared" ca="1" si="57"/>
        <v>0.6469147518706887</v>
      </c>
      <c r="E973" s="101">
        <f t="shared" ca="1" si="58"/>
        <v>0</v>
      </c>
      <c r="F973" s="21">
        <f t="shared" ca="1" si="59"/>
        <v>0</v>
      </c>
      <c r="H973" s="21">
        <v>958</v>
      </c>
      <c r="I973" s="102">
        <v>0.66769537842013338</v>
      </c>
      <c r="J973" s="103">
        <v>1.3314138801424772E-3</v>
      </c>
      <c r="K973" s="103"/>
      <c r="L973" s="103">
        <v>4.2000000000000003E-2</v>
      </c>
      <c r="O973" s="100"/>
    </row>
    <row r="974" spans="2:15" x14ac:dyDescent="0.2">
      <c r="B974" s="1">
        <v>959</v>
      </c>
      <c r="C974" s="101">
        <f t="shared" ca="1" si="56"/>
        <v>-1.3135426356149567</v>
      </c>
      <c r="D974" s="101">
        <f t="shared" ca="1" si="57"/>
        <v>0.58374751327111551</v>
      </c>
      <c r="E974" s="101">
        <f t="shared" ca="1" si="58"/>
        <v>0</v>
      </c>
      <c r="F974" s="21">
        <f t="shared" ca="1" si="59"/>
        <v>0</v>
      </c>
      <c r="H974" s="21">
        <v>959</v>
      </c>
      <c r="I974" s="102">
        <v>0.66766229222868323</v>
      </c>
      <c r="J974" s="103">
        <v>1.2443197621638134E-3</v>
      </c>
      <c r="K974" s="103"/>
      <c r="L974" s="103">
        <v>4.1799999999999997E-2</v>
      </c>
      <c r="O974" s="100"/>
    </row>
    <row r="975" spans="2:15" x14ac:dyDescent="0.2">
      <c r="B975" s="1">
        <v>960</v>
      </c>
      <c r="C975" s="101">
        <f t="shared" ca="1" si="56"/>
        <v>-1.1925214372895614</v>
      </c>
      <c r="D975" s="101">
        <f t="shared" ca="1" si="57"/>
        <v>0.59075787146221004</v>
      </c>
      <c r="E975" s="101">
        <f t="shared" ca="1" si="58"/>
        <v>0</v>
      </c>
      <c r="F975" s="21">
        <f t="shared" ca="1" si="59"/>
        <v>0</v>
      </c>
      <c r="H975" s="21">
        <v>960</v>
      </c>
      <c r="I975" s="102">
        <v>0.66790506041373887</v>
      </c>
      <c r="J975" s="103">
        <v>1.6406394687949522E-3</v>
      </c>
      <c r="K975" s="103"/>
      <c r="L975" s="103">
        <v>4.6399999999999997E-2</v>
      </c>
      <c r="O975" s="100"/>
    </row>
    <row r="976" spans="2:15" x14ac:dyDescent="0.2">
      <c r="B976" s="1">
        <v>961</v>
      </c>
      <c r="C976" s="101">
        <f t="shared" ref="C976:C1039" ca="1" si="60">_xlfn.NORM.S.INV(RAND())</f>
        <v>0.33123048449382708</v>
      </c>
      <c r="D976" s="101">
        <f t="shared" ref="D976:D1039" ca="1" si="61">S0*EXP((μ-0.5*σ*σ)*T+σ*SQRT(T)*$C976)</f>
        <v>0.6865720347896237</v>
      </c>
      <c r="E976" s="101">
        <f t="shared" ref="E976:E1039" ca="1" si="62">MAX(0,CP*(D976-K))</f>
        <v>0</v>
      </c>
      <c r="F976" s="21">
        <f t="shared" ref="F976:F1039" ca="1" si="63">(CP*(D976-K)&gt;0)*1</f>
        <v>0</v>
      </c>
      <c r="H976" s="21">
        <v>961</v>
      </c>
      <c r="I976" s="102">
        <v>0.66779584695091687</v>
      </c>
      <c r="J976" s="103">
        <v>1.4720809750331824E-3</v>
      </c>
      <c r="K976" s="103"/>
      <c r="L976" s="103">
        <v>4.3200000000000002E-2</v>
      </c>
      <c r="O976" s="100"/>
    </row>
    <row r="977" spans="2:15" x14ac:dyDescent="0.2">
      <c r="B977" s="1">
        <v>962</v>
      </c>
      <c r="C977" s="101">
        <f t="shared" ca="1" si="60"/>
        <v>-0.63083979354690101</v>
      </c>
      <c r="D977" s="101">
        <f t="shared" ca="1" si="61"/>
        <v>0.62441253424256227</v>
      </c>
      <c r="E977" s="101">
        <f t="shared" ca="1" si="62"/>
        <v>0</v>
      </c>
      <c r="F977" s="21">
        <f t="shared" ca="1" si="63"/>
        <v>0</v>
      </c>
      <c r="H977" s="21">
        <v>962</v>
      </c>
      <c r="I977" s="102">
        <v>0.66781385235098412</v>
      </c>
      <c r="J977" s="103">
        <v>1.4554832165668179E-3</v>
      </c>
      <c r="K977" s="103"/>
      <c r="L977" s="103">
        <v>4.2999999999999997E-2</v>
      </c>
      <c r="O977" s="100"/>
    </row>
    <row r="978" spans="2:15" x14ac:dyDescent="0.2">
      <c r="B978" s="1">
        <v>963</v>
      </c>
      <c r="C978" s="101">
        <f t="shared" ca="1" si="60"/>
        <v>-0.43399700492482085</v>
      </c>
      <c r="D978" s="101">
        <f t="shared" ca="1" si="61"/>
        <v>0.63665512003421665</v>
      </c>
      <c r="E978" s="101">
        <f t="shared" ca="1" si="62"/>
        <v>0</v>
      </c>
      <c r="F978" s="21">
        <f t="shared" ca="1" si="63"/>
        <v>0</v>
      </c>
      <c r="H978" s="21">
        <v>963</v>
      </c>
      <c r="I978" s="102">
        <v>0.66773135989894628</v>
      </c>
      <c r="J978" s="103">
        <v>1.3741830208155474E-3</v>
      </c>
      <c r="K978" s="103"/>
      <c r="L978" s="103">
        <v>4.1000000000000002E-2</v>
      </c>
      <c r="O978" s="100"/>
    </row>
    <row r="979" spans="2:15" x14ac:dyDescent="0.2">
      <c r="B979" s="1">
        <v>964</v>
      </c>
      <c r="C979" s="101">
        <f t="shared" ca="1" si="60"/>
        <v>-0.88478190821746949</v>
      </c>
      <c r="D979" s="101">
        <f t="shared" ca="1" si="61"/>
        <v>0.60896577999089418</v>
      </c>
      <c r="E979" s="101">
        <f t="shared" ca="1" si="62"/>
        <v>0</v>
      </c>
      <c r="F979" s="21">
        <f t="shared" ca="1" si="63"/>
        <v>0</v>
      </c>
      <c r="H979" s="21">
        <v>964</v>
      </c>
      <c r="I979" s="102">
        <v>0.66761592713843687</v>
      </c>
      <c r="J979" s="103">
        <v>1.1899760592659239E-3</v>
      </c>
      <c r="K979" s="103"/>
      <c r="L979" s="103">
        <v>3.8199999999999998E-2</v>
      </c>
      <c r="O979" s="100"/>
    </row>
    <row r="980" spans="2:15" x14ac:dyDescent="0.2">
      <c r="B980" s="1">
        <v>965</v>
      </c>
      <c r="C980" s="101">
        <f t="shared" ca="1" si="60"/>
        <v>3.9789077394123004E-2</v>
      </c>
      <c r="D980" s="101">
        <f t="shared" ca="1" si="61"/>
        <v>0.66711535929392052</v>
      </c>
      <c r="E980" s="101">
        <f t="shared" ca="1" si="62"/>
        <v>0</v>
      </c>
      <c r="F980" s="21">
        <f t="shared" ca="1" si="63"/>
        <v>0</v>
      </c>
      <c r="H980" s="21">
        <v>965</v>
      </c>
      <c r="I980" s="102">
        <v>0.66786465549101159</v>
      </c>
      <c r="J980" s="103">
        <v>1.3684475494022397E-3</v>
      </c>
      <c r="K980" s="103"/>
      <c r="L980" s="103">
        <v>4.2999999999999997E-2</v>
      </c>
      <c r="O980" s="100"/>
    </row>
    <row r="981" spans="2:15" x14ac:dyDescent="0.2">
      <c r="B981" s="1">
        <v>966</v>
      </c>
      <c r="C981" s="101">
        <f t="shared" ca="1" si="60"/>
        <v>-2.3160909671848655</v>
      </c>
      <c r="D981" s="101">
        <f t="shared" ca="1" si="61"/>
        <v>0.52878179052753627</v>
      </c>
      <c r="E981" s="101">
        <f t="shared" ca="1" si="62"/>
        <v>0</v>
      </c>
      <c r="F981" s="21">
        <f t="shared" ca="1" si="63"/>
        <v>0</v>
      </c>
      <c r="H981" s="21">
        <v>966</v>
      </c>
      <c r="I981" s="102">
        <v>0.66764524289777138</v>
      </c>
      <c r="J981" s="103">
        <v>1.1884446273559086E-3</v>
      </c>
      <c r="K981" s="103"/>
      <c r="L981" s="103">
        <v>3.9199999999999999E-2</v>
      </c>
      <c r="O981" s="100"/>
    </row>
    <row r="982" spans="2:15" x14ac:dyDescent="0.2">
      <c r="B982" s="1">
        <v>967</v>
      </c>
      <c r="C982" s="101">
        <f t="shared" ca="1" si="60"/>
        <v>0.66760083152706451</v>
      </c>
      <c r="D982" s="101">
        <f t="shared" ca="1" si="61"/>
        <v>0.70973464957371268</v>
      </c>
      <c r="E982" s="101">
        <f t="shared" ca="1" si="62"/>
        <v>0</v>
      </c>
      <c r="F982" s="21">
        <f t="shared" ca="1" si="63"/>
        <v>0</v>
      </c>
      <c r="H982" s="21">
        <v>967</v>
      </c>
      <c r="I982" s="102">
        <v>0.66771042974587758</v>
      </c>
      <c r="J982" s="103">
        <v>1.4478996166153004E-3</v>
      </c>
      <c r="K982" s="103"/>
      <c r="L982" s="103">
        <v>3.9399999999999998E-2</v>
      </c>
      <c r="O982" s="100"/>
    </row>
    <row r="983" spans="2:15" x14ac:dyDescent="0.2">
      <c r="B983" s="1">
        <v>968</v>
      </c>
      <c r="C983" s="101">
        <f t="shared" ca="1" si="60"/>
        <v>0.65042018476255425</v>
      </c>
      <c r="D983" s="101">
        <f t="shared" ca="1" si="61"/>
        <v>0.70853286544155714</v>
      </c>
      <c r="E983" s="101">
        <f t="shared" ca="1" si="62"/>
        <v>0</v>
      </c>
      <c r="F983" s="21">
        <f t="shared" ca="1" si="63"/>
        <v>0</v>
      </c>
      <c r="H983" s="21">
        <v>968</v>
      </c>
      <c r="I983" s="102">
        <v>0.6677308884506028</v>
      </c>
      <c r="J983" s="103">
        <v>1.306305157968111E-3</v>
      </c>
      <c r="K983" s="103"/>
      <c r="L983" s="103">
        <v>4.3400000000000001E-2</v>
      </c>
      <c r="O983" s="100"/>
    </row>
    <row r="984" spans="2:15" x14ac:dyDescent="0.2">
      <c r="B984" s="1">
        <v>969</v>
      </c>
      <c r="C984" s="101">
        <f t="shared" ca="1" si="60"/>
        <v>0.3710718384449333</v>
      </c>
      <c r="D984" s="101">
        <f t="shared" ca="1" si="61"/>
        <v>0.68927557459625155</v>
      </c>
      <c r="E984" s="101">
        <f t="shared" ca="1" si="62"/>
        <v>0</v>
      </c>
      <c r="F984" s="21">
        <f t="shared" ca="1" si="63"/>
        <v>0</v>
      </c>
      <c r="H984" s="21">
        <v>969</v>
      </c>
      <c r="I984" s="102">
        <v>0.66784784275608722</v>
      </c>
      <c r="J984" s="103">
        <v>1.4222469425952291E-3</v>
      </c>
      <c r="K984" s="103"/>
      <c r="L984" s="103">
        <v>4.3400000000000001E-2</v>
      </c>
      <c r="O984" s="100"/>
    </row>
    <row r="985" spans="2:15" x14ac:dyDescent="0.2">
      <c r="B985" s="1">
        <v>970</v>
      </c>
      <c r="C985" s="101">
        <f t="shared" ca="1" si="60"/>
        <v>0.45759157759878</v>
      </c>
      <c r="D985" s="101">
        <f t="shared" ca="1" si="61"/>
        <v>0.69518331679278345</v>
      </c>
      <c r="E985" s="101">
        <f t="shared" ca="1" si="62"/>
        <v>0</v>
      </c>
      <c r="F985" s="21">
        <f t="shared" ca="1" si="63"/>
        <v>0</v>
      </c>
      <c r="H985" s="21">
        <v>970</v>
      </c>
      <c r="I985" s="102">
        <v>0.66768888919496105</v>
      </c>
      <c r="J985" s="103">
        <v>1.3868155314866045E-3</v>
      </c>
      <c r="K985" s="103"/>
      <c r="L985" s="103">
        <v>3.8399999999999997E-2</v>
      </c>
      <c r="O985" s="100"/>
    </row>
    <row r="986" spans="2:15" x14ac:dyDescent="0.2">
      <c r="B986" s="1">
        <v>971</v>
      </c>
      <c r="C986" s="101">
        <f t="shared" ca="1" si="60"/>
        <v>0.82086018414895967</v>
      </c>
      <c r="D986" s="101">
        <f t="shared" ca="1" si="61"/>
        <v>0.72054572256081351</v>
      </c>
      <c r="E986" s="101">
        <f t="shared" ca="1" si="62"/>
        <v>0</v>
      </c>
      <c r="F986" s="21">
        <f t="shared" ca="1" si="63"/>
        <v>0</v>
      </c>
      <c r="H986" s="21">
        <v>971</v>
      </c>
      <c r="I986" s="102">
        <v>0.66776898797509043</v>
      </c>
      <c r="J986" s="103">
        <v>1.4059357121451147E-3</v>
      </c>
      <c r="K986" s="103"/>
      <c r="L986" s="103">
        <v>4.24E-2</v>
      </c>
      <c r="O986" s="100"/>
    </row>
    <row r="987" spans="2:15" x14ac:dyDescent="0.2">
      <c r="B987" s="1">
        <v>972</v>
      </c>
      <c r="C987" s="101">
        <f t="shared" ca="1" si="60"/>
        <v>0.24880067703243539</v>
      </c>
      <c r="D987" s="101">
        <f t="shared" ca="1" si="61"/>
        <v>0.68101216179139357</v>
      </c>
      <c r="E987" s="101">
        <f t="shared" ca="1" si="62"/>
        <v>0</v>
      </c>
      <c r="F987" s="21">
        <f t="shared" ca="1" si="63"/>
        <v>0</v>
      </c>
      <c r="H987" s="21">
        <v>972</v>
      </c>
      <c r="I987" s="102">
        <v>0.66772654792653774</v>
      </c>
      <c r="J987" s="103">
        <v>1.3958637314606902E-3</v>
      </c>
      <c r="K987" s="103"/>
      <c r="L987" s="103">
        <v>4.2599999999999999E-2</v>
      </c>
      <c r="O987" s="100"/>
    </row>
    <row r="988" spans="2:15" x14ac:dyDescent="0.2">
      <c r="B988" s="1">
        <v>973</v>
      </c>
      <c r="C988" s="101">
        <f t="shared" ca="1" si="60"/>
        <v>-0.44891103945891675</v>
      </c>
      <c r="D988" s="101">
        <f t="shared" ca="1" si="61"/>
        <v>0.63571919973621183</v>
      </c>
      <c r="E988" s="101">
        <f t="shared" ca="1" si="62"/>
        <v>0</v>
      </c>
      <c r="F988" s="21">
        <f t="shared" ca="1" si="63"/>
        <v>0</v>
      </c>
      <c r="H988" s="21">
        <v>973</v>
      </c>
      <c r="I988" s="102">
        <v>0.66774403669260685</v>
      </c>
      <c r="J988" s="103">
        <v>1.415223696516294E-3</v>
      </c>
      <c r="K988" s="103"/>
      <c r="L988" s="103">
        <v>4.24E-2</v>
      </c>
      <c r="O988" s="100"/>
    </row>
    <row r="989" spans="2:15" x14ac:dyDescent="0.2">
      <c r="B989" s="1">
        <v>974</v>
      </c>
      <c r="C989" s="101">
        <f t="shared" ca="1" si="60"/>
        <v>-8.6398199953199223E-2</v>
      </c>
      <c r="D989" s="101">
        <f t="shared" ca="1" si="61"/>
        <v>0.65886305333276718</v>
      </c>
      <c r="E989" s="101">
        <f t="shared" ca="1" si="62"/>
        <v>0</v>
      </c>
      <c r="F989" s="21">
        <f t="shared" ca="1" si="63"/>
        <v>0</v>
      </c>
      <c r="H989" s="21">
        <v>974</v>
      </c>
      <c r="I989" s="102">
        <v>0.66780994199480859</v>
      </c>
      <c r="J989" s="103">
        <v>1.4886142129524594E-3</v>
      </c>
      <c r="K989" s="103"/>
      <c r="L989" s="103">
        <v>4.5400000000000003E-2</v>
      </c>
      <c r="O989" s="100"/>
    </row>
    <row r="990" spans="2:15" x14ac:dyDescent="0.2">
      <c r="B990" s="1">
        <v>975</v>
      </c>
      <c r="C990" s="101">
        <f t="shared" ca="1" si="60"/>
        <v>-1.5806988291598845</v>
      </c>
      <c r="D990" s="101">
        <f t="shared" ca="1" si="61"/>
        <v>0.56856515084515635</v>
      </c>
      <c r="E990" s="101">
        <f t="shared" ca="1" si="62"/>
        <v>0</v>
      </c>
      <c r="F990" s="21">
        <f t="shared" ca="1" si="63"/>
        <v>0</v>
      </c>
      <c r="H990" s="21">
        <v>975</v>
      </c>
      <c r="I990" s="102">
        <v>0.66765210428859956</v>
      </c>
      <c r="J990" s="103">
        <v>1.2284832336468979E-3</v>
      </c>
      <c r="K990" s="103"/>
      <c r="L990" s="103">
        <v>3.9199999999999999E-2</v>
      </c>
      <c r="O990" s="100"/>
    </row>
    <row r="991" spans="2:15" x14ac:dyDescent="0.2">
      <c r="B991" s="1">
        <v>976</v>
      </c>
      <c r="C991" s="101">
        <f t="shared" ca="1" si="60"/>
        <v>0.85399866191002183</v>
      </c>
      <c r="D991" s="101">
        <f t="shared" ca="1" si="61"/>
        <v>0.72290491305305882</v>
      </c>
      <c r="E991" s="101">
        <f t="shared" ca="1" si="62"/>
        <v>0</v>
      </c>
      <c r="F991" s="21">
        <f t="shared" ca="1" si="63"/>
        <v>0</v>
      </c>
      <c r="H991" s="21">
        <v>976</v>
      </c>
      <c r="I991" s="102">
        <v>0.66767462687736667</v>
      </c>
      <c r="J991" s="103">
        <v>1.3389768356656701E-3</v>
      </c>
      <c r="K991" s="103"/>
      <c r="L991" s="103">
        <v>4.4600000000000001E-2</v>
      </c>
      <c r="O991" s="100"/>
    </row>
    <row r="992" spans="2:15" x14ac:dyDescent="0.2">
      <c r="B992" s="1">
        <v>977</v>
      </c>
      <c r="C992" s="101">
        <f t="shared" ca="1" si="60"/>
        <v>1.0333907727765552</v>
      </c>
      <c r="D992" s="101">
        <f t="shared" ca="1" si="61"/>
        <v>0.735810911458604</v>
      </c>
      <c r="E992" s="101">
        <f t="shared" ca="1" si="62"/>
        <v>0</v>
      </c>
      <c r="F992" s="21">
        <f t="shared" ca="1" si="63"/>
        <v>0</v>
      </c>
      <c r="H992" s="21">
        <v>977</v>
      </c>
      <c r="I992" s="102">
        <v>0.66758653034037296</v>
      </c>
      <c r="J992" s="103">
        <v>1.1382729427618888E-3</v>
      </c>
      <c r="K992" s="103"/>
      <c r="L992" s="103">
        <v>3.7400000000000003E-2</v>
      </c>
      <c r="O992" s="100"/>
    </row>
    <row r="993" spans="2:15" x14ac:dyDescent="0.2">
      <c r="B993" s="1">
        <v>978</v>
      </c>
      <c r="C993" s="101">
        <f t="shared" ca="1" si="60"/>
        <v>-2.1477365711645282</v>
      </c>
      <c r="D993" s="101">
        <f t="shared" ca="1" si="61"/>
        <v>0.53763643121200555</v>
      </c>
      <c r="E993" s="101">
        <f t="shared" ca="1" si="62"/>
        <v>0</v>
      </c>
      <c r="F993" s="21">
        <f t="shared" ca="1" si="63"/>
        <v>0</v>
      </c>
      <c r="H993" s="21">
        <v>978</v>
      </c>
      <c r="I993" s="102">
        <v>0.66759021618644232</v>
      </c>
      <c r="J993" s="103">
        <v>1.1822252256231305E-3</v>
      </c>
      <c r="K993" s="103"/>
      <c r="L993" s="103">
        <v>3.6799999999999999E-2</v>
      </c>
      <c r="O993" s="100"/>
    </row>
    <row r="994" spans="2:15" x14ac:dyDescent="0.2">
      <c r="B994" s="1">
        <v>979</v>
      </c>
      <c r="C994" s="101">
        <f t="shared" ca="1" si="60"/>
        <v>-0.44435701536157918</v>
      </c>
      <c r="D994" s="101">
        <f t="shared" ca="1" si="61"/>
        <v>0.63600483847212674</v>
      </c>
      <c r="E994" s="101">
        <f t="shared" ca="1" si="62"/>
        <v>0</v>
      </c>
      <c r="F994" s="21">
        <f t="shared" ca="1" si="63"/>
        <v>0</v>
      </c>
      <c r="H994" s="21">
        <v>979</v>
      </c>
      <c r="I994" s="102">
        <v>0.66768868234114687</v>
      </c>
      <c r="J994" s="103">
        <v>1.1827276928705998E-3</v>
      </c>
      <c r="K994" s="103"/>
      <c r="L994" s="103">
        <v>4.0800000000000003E-2</v>
      </c>
      <c r="O994" s="100"/>
    </row>
    <row r="995" spans="2:15" x14ac:dyDescent="0.2">
      <c r="B995" s="1">
        <v>980</v>
      </c>
      <c r="C995" s="101">
        <f t="shared" ca="1" si="60"/>
        <v>-0.4464245674113716</v>
      </c>
      <c r="D995" s="101">
        <f t="shared" ca="1" si="61"/>
        <v>0.63587514100755382</v>
      </c>
      <c r="E995" s="101">
        <f t="shared" ca="1" si="62"/>
        <v>0</v>
      </c>
      <c r="F995" s="21">
        <f t="shared" ca="1" si="63"/>
        <v>0</v>
      </c>
      <c r="H995" s="21">
        <v>980</v>
      </c>
      <c r="I995" s="102">
        <v>0.66777179962783162</v>
      </c>
      <c r="J995" s="103">
        <v>1.4343629803869476E-3</v>
      </c>
      <c r="K995" s="103"/>
      <c r="L995" s="103">
        <v>4.2200000000000001E-2</v>
      </c>
      <c r="O995" s="100"/>
    </row>
    <row r="996" spans="2:15" x14ac:dyDescent="0.2">
      <c r="B996" s="1">
        <v>981</v>
      </c>
      <c r="C996" s="101">
        <f t="shared" ca="1" si="60"/>
        <v>2.4559725949400031</v>
      </c>
      <c r="D996" s="101">
        <f t="shared" ca="1" si="61"/>
        <v>0.84665943408689781</v>
      </c>
      <c r="E996" s="101">
        <f t="shared" ca="1" si="62"/>
        <v>5.8459434086897799E-2</v>
      </c>
      <c r="F996" s="21">
        <f t="shared" ca="1" si="63"/>
        <v>1</v>
      </c>
      <c r="H996" s="21">
        <v>981</v>
      </c>
      <c r="I996" s="102">
        <v>0.66766778097217627</v>
      </c>
      <c r="J996" s="103">
        <v>1.3800589873402161E-3</v>
      </c>
      <c r="K996" s="103"/>
      <c r="L996" s="103">
        <v>4.0399999999999998E-2</v>
      </c>
      <c r="O996" s="100"/>
    </row>
    <row r="997" spans="2:15" x14ac:dyDescent="0.2">
      <c r="B997" s="1">
        <v>982</v>
      </c>
      <c r="C997" s="101">
        <f t="shared" ca="1" si="60"/>
        <v>2.3440301694480197</v>
      </c>
      <c r="D997" s="101">
        <f t="shared" ca="1" si="61"/>
        <v>0.83736192097662621</v>
      </c>
      <c r="E997" s="101">
        <f t="shared" ca="1" si="62"/>
        <v>4.9161920976626194E-2</v>
      </c>
      <c r="F997" s="21">
        <f t="shared" ca="1" si="63"/>
        <v>1</v>
      </c>
      <c r="H997" s="21">
        <v>982</v>
      </c>
      <c r="I997" s="102">
        <v>0.66778267793732415</v>
      </c>
      <c r="J997" s="103">
        <v>1.4163167023479263E-3</v>
      </c>
      <c r="K997" s="103"/>
      <c r="L997" s="103">
        <v>4.4200000000000003E-2</v>
      </c>
      <c r="O997" s="100"/>
    </row>
    <row r="998" spans="2:15" x14ac:dyDescent="0.2">
      <c r="B998" s="1">
        <v>983</v>
      </c>
      <c r="C998" s="101">
        <f t="shared" ca="1" si="60"/>
        <v>-1.8868341971913862</v>
      </c>
      <c r="D998" s="101">
        <f t="shared" ca="1" si="61"/>
        <v>0.55165249465643529</v>
      </c>
      <c r="E998" s="101">
        <f t="shared" ca="1" si="62"/>
        <v>0</v>
      </c>
      <c r="F998" s="21">
        <f t="shared" ca="1" si="63"/>
        <v>0</v>
      </c>
      <c r="H998" s="21">
        <v>983</v>
      </c>
      <c r="I998" s="102">
        <v>0.66764048022182565</v>
      </c>
      <c r="J998" s="103">
        <v>1.2792343105415519E-3</v>
      </c>
      <c r="K998" s="103"/>
      <c r="L998" s="103">
        <v>3.9399999999999998E-2</v>
      </c>
      <c r="O998" s="100"/>
    </row>
    <row r="999" spans="2:15" x14ac:dyDescent="0.2">
      <c r="B999" s="1">
        <v>984</v>
      </c>
      <c r="C999" s="101">
        <f t="shared" ca="1" si="60"/>
        <v>-2.0101409180516256</v>
      </c>
      <c r="D999" s="101">
        <f t="shared" ca="1" si="61"/>
        <v>0.54498331033020175</v>
      </c>
      <c r="E999" s="101">
        <f t="shared" ca="1" si="62"/>
        <v>0</v>
      </c>
      <c r="F999" s="21">
        <f t="shared" ca="1" si="63"/>
        <v>0</v>
      </c>
      <c r="H999" s="21">
        <v>984</v>
      </c>
      <c r="I999" s="102">
        <v>0.66760142235009601</v>
      </c>
      <c r="J999" s="103">
        <v>1.2054770150662993E-3</v>
      </c>
      <c r="K999" s="103"/>
      <c r="L999" s="103">
        <v>3.44E-2</v>
      </c>
      <c r="O999" s="100"/>
    </row>
    <row r="1000" spans="2:15" x14ac:dyDescent="0.2">
      <c r="B1000" s="1">
        <v>985</v>
      </c>
      <c r="C1000" s="101">
        <f t="shared" ca="1" si="60"/>
        <v>0.7724536477720898</v>
      </c>
      <c r="D1000" s="101">
        <f t="shared" ca="1" si="61"/>
        <v>0.71711340064548779</v>
      </c>
      <c r="E1000" s="101">
        <f t="shared" ca="1" si="62"/>
        <v>0</v>
      </c>
      <c r="F1000" s="21">
        <f t="shared" ca="1" si="63"/>
        <v>0</v>
      </c>
      <c r="H1000" s="21">
        <v>985</v>
      </c>
      <c r="I1000" s="102">
        <v>0.66776542922734494</v>
      </c>
      <c r="J1000" s="103">
        <v>1.4195418702873403E-3</v>
      </c>
      <c r="K1000" s="103"/>
      <c r="L1000" s="103">
        <v>4.3999999999999997E-2</v>
      </c>
      <c r="O1000" s="100"/>
    </row>
    <row r="1001" spans="2:15" x14ac:dyDescent="0.2">
      <c r="B1001" s="1">
        <v>986</v>
      </c>
      <c r="C1001" s="101">
        <f t="shared" ca="1" si="60"/>
        <v>6.0570027719276422E-2</v>
      </c>
      <c r="D1001" s="101">
        <f t="shared" ca="1" si="61"/>
        <v>0.66848425525525312</v>
      </c>
      <c r="E1001" s="101">
        <f t="shared" ca="1" si="62"/>
        <v>0</v>
      </c>
      <c r="F1001" s="21">
        <f t="shared" ca="1" si="63"/>
        <v>0</v>
      </c>
      <c r="H1001" s="21">
        <v>986</v>
      </c>
      <c r="I1001" s="102">
        <v>0.66773181863222586</v>
      </c>
      <c r="J1001" s="103">
        <v>1.4032563163885849E-3</v>
      </c>
      <c r="K1001" s="103"/>
      <c r="L1001" s="103">
        <v>4.2999999999999997E-2</v>
      </c>
      <c r="O1001" s="100"/>
    </row>
    <row r="1002" spans="2:15" x14ac:dyDescent="0.2">
      <c r="B1002" s="1">
        <v>987</v>
      </c>
      <c r="C1002" s="101">
        <f t="shared" ca="1" si="60"/>
        <v>0.48923986533721903</v>
      </c>
      <c r="D1002" s="101">
        <f t="shared" ca="1" si="61"/>
        <v>0.69735695136616538</v>
      </c>
      <c r="E1002" s="101">
        <f t="shared" ca="1" si="62"/>
        <v>0</v>
      </c>
      <c r="F1002" s="21">
        <f t="shared" ca="1" si="63"/>
        <v>0</v>
      </c>
      <c r="H1002" s="21">
        <v>987</v>
      </c>
      <c r="I1002" s="102">
        <v>0.66781534026513523</v>
      </c>
      <c r="J1002" s="103">
        <v>1.4988538264287051E-3</v>
      </c>
      <c r="K1002" s="103"/>
      <c r="L1002" s="103">
        <v>4.4999999999999998E-2</v>
      </c>
      <c r="O1002" s="100"/>
    </row>
    <row r="1003" spans="2:15" x14ac:dyDescent="0.2">
      <c r="B1003" s="1">
        <v>988</v>
      </c>
      <c r="C1003" s="101">
        <f t="shared" ca="1" si="60"/>
        <v>0.3658796194711183</v>
      </c>
      <c r="D1003" s="101">
        <f t="shared" ca="1" si="61"/>
        <v>0.68892264053103081</v>
      </c>
      <c r="E1003" s="101">
        <f t="shared" ca="1" si="62"/>
        <v>0</v>
      </c>
      <c r="F1003" s="21">
        <f t="shared" ca="1" si="63"/>
        <v>0</v>
      </c>
      <c r="H1003" s="21">
        <v>988</v>
      </c>
      <c r="I1003" s="102">
        <v>0.66754107709697019</v>
      </c>
      <c r="J1003" s="103">
        <v>1.0814481476684337E-3</v>
      </c>
      <c r="K1003" s="103"/>
      <c r="L1003" s="103">
        <v>3.9399999999999998E-2</v>
      </c>
      <c r="O1003" s="100"/>
    </row>
    <row r="1004" spans="2:15" x14ac:dyDescent="0.2">
      <c r="B1004" s="1">
        <v>989</v>
      </c>
      <c r="C1004" s="101">
        <f t="shared" ca="1" si="60"/>
        <v>0.55910421131775978</v>
      </c>
      <c r="D1004" s="101">
        <f t="shared" ca="1" si="61"/>
        <v>0.70217939283341746</v>
      </c>
      <c r="E1004" s="101">
        <f t="shared" ca="1" si="62"/>
        <v>0</v>
      </c>
      <c r="F1004" s="21">
        <f t="shared" ca="1" si="63"/>
        <v>0</v>
      </c>
      <c r="H1004" s="21">
        <v>989</v>
      </c>
      <c r="I1004" s="102">
        <v>0.6678246106781236</v>
      </c>
      <c r="J1004" s="103">
        <v>1.3653885646360989E-3</v>
      </c>
      <c r="K1004" s="103"/>
      <c r="L1004" s="103">
        <v>4.5400000000000003E-2</v>
      </c>
      <c r="O1004" s="100"/>
    </row>
    <row r="1005" spans="2:15" x14ac:dyDescent="0.2">
      <c r="B1005" s="1">
        <v>990</v>
      </c>
      <c r="C1005" s="101">
        <f t="shared" ca="1" si="60"/>
        <v>0.83093049465127855</v>
      </c>
      <c r="D1005" s="101">
        <f t="shared" ca="1" si="61"/>
        <v>0.72126183138843791</v>
      </c>
      <c r="E1005" s="101">
        <f t="shared" ca="1" si="62"/>
        <v>0</v>
      </c>
      <c r="F1005" s="21">
        <f t="shared" ca="1" si="63"/>
        <v>0</v>
      </c>
      <c r="H1005" s="21">
        <v>990</v>
      </c>
      <c r="I1005" s="102">
        <v>0.66766610633661172</v>
      </c>
      <c r="J1005" s="103">
        <v>1.2269928611766388E-3</v>
      </c>
      <c r="K1005" s="103"/>
      <c r="L1005" s="103">
        <v>3.9E-2</v>
      </c>
      <c r="O1005" s="100"/>
    </row>
    <row r="1006" spans="2:15" x14ac:dyDescent="0.2">
      <c r="B1006" s="1">
        <v>991</v>
      </c>
      <c r="C1006" s="101">
        <f t="shared" ca="1" si="60"/>
        <v>0.42697262019332516</v>
      </c>
      <c r="D1006" s="101">
        <f t="shared" ca="1" si="61"/>
        <v>0.69308682601195104</v>
      </c>
      <c r="E1006" s="101">
        <f t="shared" ca="1" si="62"/>
        <v>0</v>
      </c>
      <c r="F1006" s="21">
        <f t="shared" ca="1" si="63"/>
        <v>0</v>
      </c>
      <c r="H1006" s="21">
        <v>991</v>
      </c>
      <c r="I1006" s="102">
        <v>0.66768352555192956</v>
      </c>
      <c r="J1006" s="103">
        <v>1.1717392764034114E-3</v>
      </c>
      <c r="K1006" s="103"/>
      <c r="L1006" s="103">
        <v>4.1799999999999997E-2</v>
      </c>
      <c r="O1006" s="100"/>
    </row>
    <row r="1007" spans="2:15" x14ac:dyDescent="0.2">
      <c r="B1007" s="1">
        <v>992</v>
      </c>
      <c r="C1007" s="101">
        <f t="shared" ca="1" si="60"/>
        <v>-1.1037223539301049</v>
      </c>
      <c r="D1007" s="101">
        <f t="shared" ca="1" si="61"/>
        <v>0.5959552020001404</v>
      </c>
      <c r="E1007" s="101">
        <f t="shared" ca="1" si="62"/>
        <v>0</v>
      </c>
      <c r="F1007" s="21">
        <f t="shared" ca="1" si="63"/>
        <v>0</v>
      </c>
      <c r="H1007" s="21">
        <v>992</v>
      </c>
      <c r="I1007" s="102">
        <v>0.66768912997682517</v>
      </c>
      <c r="J1007" s="103">
        <v>1.3933564436697942E-3</v>
      </c>
      <c r="K1007" s="103"/>
      <c r="L1007" s="103">
        <v>3.9600000000000003E-2</v>
      </c>
      <c r="O1007" s="100"/>
    </row>
    <row r="1008" spans="2:15" x14ac:dyDescent="0.2">
      <c r="B1008" s="1">
        <v>993</v>
      </c>
      <c r="C1008" s="101">
        <f t="shared" ca="1" si="60"/>
        <v>0.73316702134101308</v>
      </c>
      <c r="D1008" s="101">
        <f t="shared" ca="1" si="61"/>
        <v>0.71433975969651176</v>
      </c>
      <c r="E1008" s="101">
        <f t="shared" ca="1" si="62"/>
        <v>0</v>
      </c>
      <c r="F1008" s="21">
        <f t="shared" ca="1" si="63"/>
        <v>0</v>
      </c>
      <c r="H1008" s="21">
        <v>993</v>
      </c>
      <c r="I1008" s="102">
        <v>0.66783066498009624</v>
      </c>
      <c r="J1008" s="103">
        <v>1.5005711098569929E-3</v>
      </c>
      <c r="K1008" s="103"/>
      <c r="L1008" s="103">
        <v>4.3200000000000002E-2</v>
      </c>
      <c r="O1008" s="100"/>
    </row>
    <row r="1009" spans="2:15" x14ac:dyDescent="0.2">
      <c r="B1009" s="1">
        <v>994</v>
      </c>
      <c r="C1009" s="101">
        <f t="shared" ca="1" si="60"/>
        <v>-1.8770845584913483</v>
      </c>
      <c r="D1009" s="101">
        <f t="shared" ca="1" si="61"/>
        <v>0.55218328359056201</v>
      </c>
      <c r="E1009" s="101">
        <f t="shared" ca="1" si="62"/>
        <v>0</v>
      </c>
      <c r="F1009" s="21">
        <f t="shared" ca="1" si="63"/>
        <v>0</v>
      </c>
      <c r="H1009" s="21">
        <v>994</v>
      </c>
      <c r="I1009" s="102">
        <v>0.66779638119710172</v>
      </c>
      <c r="J1009" s="103">
        <v>1.5049574368830932E-3</v>
      </c>
      <c r="K1009" s="103"/>
      <c r="L1009" s="103">
        <v>4.36E-2</v>
      </c>
      <c r="O1009" s="100"/>
    </row>
    <row r="1010" spans="2:15" x14ac:dyDescent="0.2">
      <c r="B1010" s="1">
        <v>995</v>
      </c>
      <c r="C1010" s="101">
        <f t="shared" ca="1" si="60"/>
        <v>0.11977448497355987</v>
      </c>
      <c r="D1010" s="101">
        <f t="shared" ca="1" si="61"/>
        <v>0.67239962919627716</v>
      </c>
      <c r="E1010" s="101">
        <f t="shared" ca="1" si="62"/>
        <v>0</v>
      </c>
      <c r="F1010" s="21">
        <f t="shared" ca="1" si="63"/>
        <v>0</v>
      </c>
      <c r="H1010" s="21">
        <v>995</v>
      </c>
      <c r="I1010" s="102">
        <v>0.66762686620577094</v>
      </c>
      <c r="J1010" s="103">
        <v>1.3224962426829038E-3</v>
      </c>
      <c r="K1010" s="103"/>
      <c r="L1010" s="103">
        <v>3.9600000000000003E-2</v>
      </c>
      <c r="O1010" s="100"/>
    </row>
    <row r="1011" spans="2:15" x14ac:dyDescent="0.2">
      <c r="B1011" s="1">
        <v>996</v>
      </c>
      <c r="C1011" s="101">
        <f t="shared" ca="1" si="60"/>
        <v>-0.40511692739431526</v>
      </c>
      <c r="D1011" s="101">
        <f t="shared" ca="1" si="61"/>
        <v>0.63847138932797265</v>
      </c>
      <c r="E1011" s="101">
        <f t="shared" ca="1" si="62"/>
        <v>0</v>
      </c>
      <c r="F1011" s="21">
        <f t="shared" ca="1" si="63"/>
        <v>0</v>
      </c>
      <c r="H1011" s="21">
        <v>996</v>
      </c>
      <c r="I1011" s="102">
        <v>0.66769094257222072</v>
      </c>
      <c r="J1011" s="103">
        <v>1.3546930524898999E-3</v>
      </c>
      <c r="K1011" s="103"/>
      <c r="L1011" s="103">
        <v>4.2200000000000001E-2</v>
      </c>
      <c r="O1011" s="100"/>
    </row>
    <row r="1012" spans="2:15" x14ac:dyDescent="0.2">
      <c r="B1012" s="1">
        <v>997</v>
      </c>
      <c r="C1012" s="101">
        <f t="shared" ca="1" si="60"/>
        <v>-1.0175463697556866</v>
      </c>
      <c r="D1012" s="101">
        <f t="shared" ca="1" si="61"/>
        <v>0.60104271975923684</v>
      </c>
      <c r="E1012" s="101">
        <f t="shared" ca="1" si="62"/>
        <v>0</v>
      </c>
      <c r="F1012" s="21">
        <f t="shared" ca="1" si="63"/>
        <v>0</v>
      </c>
      <c r="H1012" s="21">
        <v>997</v>
      </c>
      <c r="I1012" s="102">
        <v>0.6676112356611168</v>
      </c>
      <c r="J1012" s="103">
        <v>1.1487025169307917E-3</v>
      </c>
      <c r="K1012" s="103"/>
      <c r="L1012" s="103">
        <v>3.5400000000000001E-2</v>
      </c>
      <c r="O1012" s="100"/>
    </row>
    <row r="1013" spans="2:15" x14ac:dyDescent="0.2">
      <c r="B1013" s="1">
        <v>998</v>
      </c>
      <c r="C1013" s="101">
        <f t="shared" ca="1" si="60"/>
        <v>-0.18874191719993408</v>
      </c>
      <c r="D1013" s="101">
        <f t="shared" ca="1" si="61"/>
        <v>0.65224508148181537</v>
      </c>
      <c r="E1013" s="101">
        <f t="shared" ca="1" si="62"/>
        <v>0</v>
      </c>
      <c r="F1013" s="21">
        <f t="shared" ca="1" si="63"/>
        <v>0</v>
      </c>
      <c r="H1013" s="21">
        <v>998</v>
      </c>
      <c r="I1013" s="102">
        <v>0.66782128935210272</v>
      </c>
      <c r="J1013" s="103">
        <v>1.3792075541971161E-3</v>
      </c>
      <c r="K1013" s="103"/>
      <c r="L1013" s="103">
        <v>4.2599999999999999E-2</v>
      </c>
      <c r="O1013" s="100"/>
    </row>
    <row r="1014" spans="2:15" x14ac:dyDescent="0.2">
      <c r="B1014" s="1">
        <v>999</v>
      </c>
      <c r="C1014" s="101">
        <f t="shared" ca="1" si="60"/>
        <v>-0.20674569813684848</v>
      </c>
      <c r="D1014" s="101">
        <f t="shared" ca="1" si="61"/>
        <v>0.65108777641350979</v>
      </c>
      <c r="E1014" s="101">
        <f t="shared" ca="1" si="62"/>
        <v>0</v>
      </c>
      <c r="F1014" s="21">
        <f t="shared" ca="1" si="63"/>
        <v>0</v>
      </c>
      <c r="H1014" s="21">
        <v>999</v>
      </c>
      <c r="I1014" s="102">
        <v>0.66768156992696726</v>
      </c>
      <c r="J1014" s="103">
        <v>1.3394669118632165E-3</v>
      </c>
      <c r="K1014" s="103"/>
      <c r="L1014" s="103">
        <v>3.9800000000000002E-2</v>
      </c>
      <c r="O1014" s="100"/>
    </row>
    <row r="1015" spans="2:15" x14ac:dyDescent="0.2">
      <c r="B1015" s="1">
        <v>1000</v>
      </c>
      <c r="C1015" s="101">
        <f t="shared" ca="1" si="60"/>
        <v>2.4818094213484407</v>
      </c>
      <c r="D1015" s="101">
        <f t="shared" ca="1" si="61"/>
        <v>0.84881996435173213</v>
      </c>
      <c r="E1015" s="101">
        <f t="shared" ca="1" si="62"/>
        <v>6.0619964351732114E-2</v>
      </c>
      <c r="F1015" s="21">
        <f t="shared" ca="1" si="63"/>
        <v>1</v>
      </c>
      <c r="H1015" s="21">
        <v>1000</v>
      </c>
      <c r="I1015" s="102">
        <v>0.66772790190989495</v>
      </c>
      <c r="J1015" s="103">
        <v>1.3417589088402105E-3</v>
      </c>
      <c r="K1015" s="103"/>
      <c r="L1015" s="103">
        <v>4.0599999999999997E-2</v>
      </c>
      <c r="O1015" s="100"/>
    </row>
    <row r="1016" spans="2:15" x14ac:dyDescent="0.2">
      <c r="B1016" s="1">
        <v>1001</v>
      </c>
      <c r="C1016" s="101">
        <f t="shared" ca="1" si="60"/>
        <v>1.1454174826092445</v>
      </c>
      <c r="D1016" s="101">
        <f t="shared" ca="1" si="61"/>
        <v>0.74398705472677484</v>
      </c>
      <c r="E1016" s="101">
        <f t="shared" ca="1" si="62"/>
        <v>0</v>
      </c>
      <c r="F1016" s="21">
        <f t="shared" ca="1" si="63"/>
        <v>0</v>
      </c>
      <c r="H1016" s="21">
        <v>1001</v>
      </c>
      <c r="I1016" s="102">
        <v>0.6678098048229496</v>
      </c>
      <c r="J1016" s="103">
        <v>1.5069340911685505E-3</v>
      </c>
      <c r="K1016" s="103"/>
      <c r="L1016" s="103">
        <v>4.7399999999999998E-2</v>
      </c>
      <c r="O1016" s="100"/>
    </row>
    <row r="1017" spans="2:15" x14ac:dyDescent="0.2">
      <c r="B1017" s="1">
        <v>1002</v>
      </c>
      <c r="C1017" s="101">
        <f t="shared" ca="1" si="60"/>
        <v>-0.19273878989753543</v>
      </c>
      <c r="D1017" s="101">
        <f t="shared" ca="1" si="61"/>
        <v>0.65198798009426728</v>
      </c>
      <c r="E1017" s="101">
        <f t="shared" ca="1" si="62"/>
        <v>0</v>
      </c>
      <c r="F1017" s="21">
        <f t="shared" ca="1" si="63"/>
        <v>0</v>
      </c>
      <c r="H1017" s="21">
        <v>1002</v>
      </c>
      <c r="I1017" s="102">
        <v>0.66773664293886381</v>
      </c>
      <c r="J1017" s="103">
        <v>1.3873455964294962E-3</v>
      </c>
      <c r="K1017" s="103"/>
      <c r="L1017" s="103">
        <v>4.2799999999999998E-2</v>
      </c>
      <c r="O1017" s="100"/>
    </row>
    <row r="1018" spans="2:15" x14ac:dyDescent="0.2">
      <c r="B1018" s="1">
        <v>1003</v>
      </c>
      <c r="C1018" s="101">
        <f t="shared" ca="1" si="60"/>
        <v>-0.49890104590345968</v>
      </c>
      <c r="D1018" s="101">
        <f t="shared" ca="1" si="61"/>
        <v>0.63259213342431531</v>
      </c>
      <c r="E1018" s="101">
        <f t="shared" ca="1" si="62"/>
        <v>0</v>
      </c>
      <c r="F1018" s="21">
        <f t="shared" ca="1" si="63"/>
        <v>0</v>
      </c>
      <c r="H1018" s="21">
        <v>1003</v>
      </c>
      <c r="I1018" s="102">
        <v>0.66772452481869349</v>
      </c>
      <c r="J1018" s="103">
        <v>1.428142240086853E-3</v>
      </c>
      <c r="K1018" s="103"/>
      <c r="L1018" s="103">
        <v>4.2999999999999997E-2</v>
      </c>
      <c r="O1018" s="100"/>
    </row>
    <row r="1019" spans="2:15" x14ac:dyDescent="0.2">
      <c r="B1019" s="1">
        <v>1004</v>
      </c>
      <c r="C1019" s="101">
        <f t="shared" ca="1" si="60"/>
        <v>1.3703536240998253</v>
      </c>
      <c r="D1019" s="101">
        <f t="shared" ca="1" si="61"/>
        <v>0.76067913605530912</v>
      </c>
      <c r="E1019" s="101">
        <f t="shared" ca="1" si="62"/>
        <v>0</v>
      </c>
      <c r="F1019" s="21">
        <f t="shared" ca="1" si="63"/>
        <v>0</v>
      </c>
      <c r="H1019" s="21">
        <v>1004</v>
      </c>
      <c r="I1019" s="102">
        <v>0.66775561051859322</v>
      </c>
      <c r="J1019" s="103">
        <v>1.3804185558875834E-3</v>
      </c>
      <c r="K1019" s="103"/>
      <c r="L1019" s="103">
        <v>4.0599999999999997E-2</v>
      </c>
      <c r="O1019" s="100"/>
    </row>
    <row r="1020" spans="2:15" x14ac:dyDescent="0.2">
      <c r="B1020" s="1">
        <v>1005</v>
      </c>
      <c r="C1020" s="101">
        <f t="shared" ca="1" si="60"/>
        <v>-1.0751101006024546</v>
      </c>
      <c r="D1020" s="101">
        <f t="shared" ca="1" si="61"/>
        <v>0.59763957234664855</v>
      </c>
      <c r="E1020" s="101">
        <f t="shared" ca="1" si="62"/>
        <v>0</v>
      </c>
      <c r="F1020" s="21">
        <f t="shared" ca="1" si="63"/>
        <v>0</v>
      </c>
      <c r="H1020" s="21">
        <v>1005</v>
      </c>
      <c r="I1020" s="102">
        <v>0.66775244682190726</v>
      </c>
      <c r="J1020" s="103">
        <v>1.6081992573027473E-3</v>
      </c>
      <c r="K1020" s="103"/>
      <c r="L1020" s="103">
        <v>4.2599999999999999E-2</v>
      </c>
      <c r="O1020" s="100"/>
    </row>
    <row r="1021" spans="2:15" x14ac:dyDescent="0.2">
      <c r="B1021" s="1">
        <v>1006</v>
      </c>
      <c r="C1021" s="101">
        <f t="shared" ca="1" si="60"/>
        <v>0.33012391370941691</v>
      </c>
      <c r="D1021" s="101">
        <f t="shared" ca="1" si="61"/>
        <v>0.68649709706396711</v>
      </c>
      <c r="E1021" s="101">
        <f t="shared" ca="1" si="62"/>
        <v>0</v>
      </c>
      <c r="F1021" s="21">
        <f t="shared" ca="1" si="63"/>
        <v>0</v>
      </c>
      <c r="H1021" s="21">
        <v>1006</v>
      </c>
      <c r="I1021" s="102">
        <v>0.66776310264720973</v>
      </c>
      <c r="J1021" s="103">
        <v>1.3925366379664115E-3</v>
      </c>
      <c r="K1021" s="103"/>
      <c r="L1021" s="103">
        <v>4.2799999999999998E-2</v>
      </c>
      <c r="O1021" s="100"/>
    </row>
    <row r="1022" spans="2:15" x14ac:dyDescent="0.2">
      <c r="B1022" s="1">
        <v>1007</v>
      </c>
      <c r="C1022" s="101">
        <f t="shared" ca="1" si="60"/>
        <v>-7.4688320776133937E-2</v>
      </c>
      <c r="D1022" s="101">
        <f t="shared" ca="1" si="61"/>
        <v>0.65962453125356069</v>
      </c>
      <c r="E1022" s="101">
        <f t="shared" ca="1" si="62"/>
        <v>0</v>
      </c>
      <c r="F1022" s="21">
        <f t="shared" ca="1" si="63"/>
        <v>0</v>
      </c>
      <c r="H1022" s="21">
        <v>1007</v>
      </c>
      <c r="I1022" s="102">
        <v>0.66786028015351562</v>
      </c>
      <c r="J1022" s="103">
        <v>1.6324950089226221E-3</v>
      </c>
      <c r="K1022" s="103"/>
      <c r="L1022" s="103">
        <v>4.3999999999999997E-2</v>
      </c>
      <c r="O1022" s="100"/>
    </row>
    <row r="1023" spans="2:15" x14ac:dyDescent="0.2">
      <c r="B1023" s="1">
        <v>1008</v>
      </c>
      <c r="C1023" s="101">
        <f t="shared" ca="1" si="60"/>
        <v>-0.15839002694531051</v>
      </c>
      <c r="D1023" s="101">
        <f t="shared" ca="1" si="61"/>
        <v>0.6542007972938032</v>
      </c>
      <c r="E1023" s="101">
        <f t="shared" ca="1" si="62"/>
        <v>0</v>
      </c>
      <c r="F1023" s="21">
        <f t="shared" ca="1" si="63"/>
        <v>0</v>
      </c>
      <c r="H1023" s="21">
        <v>1008</v>
      </c>
      <c r="I1023" s="102">
        <v>0.66778442694791607</v>
      </c>
      <c r="J1023" s="103">
        <v>1.4710160598855621E-3</v>
      </c>
      <c r="K1023" s="103"/>
      <c r="L1023" s="103">
        <v>4.0599999999999997E-2</v>
      </c>
      <c r="O1023" s="100"/>
    </row>
    <row r="1024" spans="2:15" x14ac:dyDescent="0.2">
      <c r="B1024" s="1">
        <v>1009</v>
      </c>
      <c r="C1024" s="101">
        <f t="shared" ca="1" si="60"/>
        <v>0.30063153751799221</v>
      </c>
      <c r="D1024" s="101">
        <f t="shared" ca="1" si="61"/>
        <v>0.68450286448787379</v>
      </c>
      <c r="E1024" s="101">
        <f t="shared" ca="1" si="62"/>
        <v>0</v>
      </c>
      <c r="F1024" s="21">
        <f t="shared" ca="1" si="63"/>
        <v>0</v>
      </c>
      <c r="H1024" s="21">
        <v>1009</v>
      </c>
      <c r="I1024" s="102">
        <v>0.6676013847715091</v>
      </c>
      <c r="J1024" s="103">
        <v>1.2816657223514375E-3</v>
      </c>
      <c r="K1024" s="103"/>
      <c r="L1024" s="103">
        <v>3.8399999999999997E-2</v>
      </c>
      <c r="O1024" s="100"/>
    </row>
    <row r="1025" spans="2:15" x14ac:dyDescent="0.2">
      <c r="B1025" s="1">
        <v>1010</v>
      </c>
      <c r="C1025" s="101">
        <f t="shared" ca="1" si="60"/>
        <v>-0.82975572180900692</v>
      </c>
      <c r="D1025" s="101">
        <f t="shared" ca="1" si="61"/>
        <v>0.61228014535265229</v>
      </c>
      <c r="E1025" s="101">
        <f t="shared" ca="1" si="62"/>
        <v>0</v>
      </c>
      <c r="F1025" s="21">
        <f t="shared" ca="1" si="63"/>
        <v>0</v>
      </c>
      <c r="H1025" s="21">
        <v>1010</v>
      </c>
      <c r="I1025" s="102">
        <v>0.66776823184813094</v>
      </c>
      <c r="J1025" s="103">
        <v>1.4716855356430593E-3</v>
      </c>
      <c r="K1025" s="103"/>
      <c r="L1025" s="103">
        <v>4.3799999999999999E-2</v>
      </c>
      <c r="O1025" s="100"/>
    </row>
    <row r="1026" spans="2:15" x14ac:dyDescent="0.2">
      <c r="B1026" s="1">
        <v>1011</v>
      </c>
      <c r="C1026" s="101">
        <f t="shared" ca="1" si="60"/>
        <v>-4.887024071977962E-2</v>
      </c>
      <c r="D1026" s="101">
        <f t="shared" ca="1" si="61"/>
        <v>0.66130655752617629</v>
      </c>
      <c r="E1026" s="101">
        <f t="shared" ca="1" si="62"/>
        <v>0</v>
      </c>
      <c r="F1026" s="21">
        <f t="shared" ca="1" si="63"/>
        <v>0</v>
      </c>
      <c r="H1026" s="21">
        <v>1011</v>
      </c>
      <c r="I1026" s="102">
        <v>0.66766638933822964</v>
      </c>
      <c r="J1026" s="103">
        <v>1.2365794432489092E-3</v>
      </c>
      <c r="K1026" s="103"/>
      <c r="L1026" s="103">
        <v>0.04</v>
      </c>
      <c r="O1026" s="100"/>
    </row>
    <row r="1027" spans="2:15" x14ac:dyDescent="0.2">
      <c r="B1027" s="1">
        <v>1012</v>
      </c>
      <c r="C1027" s="101">
        <f t="shared" ca="1" si="60"/>
        <v>0.84911615059183387</v>
      </c>
      <c r="D1027" s="101">
        <f t="shared" ca="1" si="61"/>
        <v>0.72255683330333986</v>
      </c>
      <c r="E1027" s="101">
        <f t="shared" ca="1" si="62"/>
        <v>0</v>
      </c>
      <c r="F1027" s="21">
        <f t="shared" ca="1" si="63"/>
        <v>0</v>
      </c>
      <c r="H1027" s="21">
        <v>1012</v>
      </c>
      <c r="I1027" s="102">
        <v>0.66768864714811849</v>
      </c>
      <c r="J1027" s="103">
        <v>1.3105000117301731E-3</v>
      </c>
      <c r="K1027" s="103"/>
      <c r="L1027" s="103">
        <v>4.02E-2</v>
      </c>
      <c r="O1027" s="100"/>
    </row>
    <row r="1028" spans="2:15" x14ac:dyDescent="0.2">
      <c r="B1028" s="1">
        <v>1013</v>
      </c>
      <c r="C1028" s="101">
        <f t="shared" ca="1" si="60"/>
        <v>-0.81280852650989666</v>
      </c>
      <c r="D1028" s="101">
        <f t="shared" ca="1" si="61"/>
        <v>0.61330454628683573</v>
      </c>
      <c r="E1028" s="101">
        <f t="shared" ca="1" si="62"/>
        <v>0</v>
      </c>
      <c r="F1028" s="21">
        <f t="shared" ca="1" si="63"/>
        <v>0</v>
      </c>
      <c r="H1028" s="21">
        <v>1013</v>
      </c>
      <c r="I1028" s="102">
        <v>0.66775235633710994</v>
      </c>
      <c r="J1028" s="103">
        <v>1.5420606382110596E-3</v>
      </c>
      <c r="K1028" s="103"/>
      <c r="L1028" s="103">
        <v>4.1399999999999999E-2</v>
      </c>
      <c r="O1028" s="100"/>
    </row>
    <row r="1029" spans="2:15" x14ac:dyDescent="0.2">
      <c r="B1029" s="1">
        <v>1014</v>
      </c>
      <c r="C1029" s="101">
        <f t="shared" ca="1" si="60"/>
        <v>-0.33069769532081145</v>
      </c>
      <c r="D1029" s="101">
        <f t="shared" ca="1" si="61"/>
        <v>0.64317553257234095</v>
      </c>
      <c r="E1029" s="101">
        <f t="shared" ca="1" si="62"/>
        <v>0</v>
      </c>
      <c r="F1029" s="21">
        <f t="shared" ca="1" si="63"/>
        <v>0</v>
      </c>
      <c r="H1029" s="21">
        <v>1014</v>
      </c>
      <c r="I1029" s="102">
        <v>0.66750421712061647</v>
      </c>
      <c r="J1029" s="103">
        <v>1.2512021275240051E-3</v>
      </c>
      <c r="K1029" s="103"/>
      <c r="L1029" s="103">
        <v>3.7999999999999999E-2</v>
      </c>
      <c r="O1029" s="100"/>
    </row>
    <row r="1030" spans="2:15" x14ac:dyDescent="0.2">
      <c r="B1030" s="1">
        <v>1015</v>
      </c>
      <c r="C1030" s="101">
        <f t="shared" ca="1" si="60"/>
        <v>-1.9267101113200136</v>
      </c>
      <c r="D1030" s="101">
        <f t="shared" ca="1" si="61"/>
        <v>0.54948687946439412</v>
      </c>
      <c r="E1030" s="101">
        <f t="shared" ca="1" si="62"/>
        <v>0</v>
      </c>
      <c r="F1030" s="21">
        <f t="shared" ca="1" si="63"/>
        <v>0</v>
      </c>
      <c r="H1030" s="21">
        <v>1015</v>
      </c>
      <c r="I1030" s="102">
        <v>0.66781092951987631</v>
      </c>
      <c r="J1030" s="103">
        <v>1.4011688136858511E-3</v>
      </c>
      <c r="K1030" s="103"/>
      <c r="L1030" s="103">
        <v>4.5199999999999997E-2</v>
      </c>
      <c r="O1030" s="100"/>
    </row>
    <row r="1031" spans="2:15" x14ac:dyDescent="0.2">
      <c r="B1031" s="1">
        <v>1016</v>
      </c>
      <c r="C1031" s="101">
        <f t="shared" ca="1" si="60"/>
        <v>1.0779515600999321</v>
      </c>
      <c r="D1031" s="101">
        <f t="shared" ca="1" si="61"/>
        <v>0.73905231280330985</v>
      </c>
      <c r="E1031" s="101">
        <f t="shared" ca="1" si="62"/>
        <v>0</v>
      </c>
      <c r="F1031" s="21">
        <f t="shared" ca="1" si="63"/>
        <v>0</v>
      </c>
      <c r="H1031" s="21">
        <v>1016</v>
      </c>
      <c r="I1031" s="102">
        <v>0.66761693349776219</v>
      </c>
      <c r="J1031" s="103">
        <v>1.3025931514706734E-3</v>
      </c>
      <c r="K1031" s="103"/>
      <c r="L1031" s="103">
        <v>3.7999999999999999E-2</v>
      </c>
      <c r="O1031" s="100"/>
    </row>
    <row r="1032" spans="2:15" x14ac:dyDescent="0.2">
      <c r="B1032" s="1">
        <v>1017</v>
      </c>
      <c r="C1032" s="101">
        <f t="shared" ca="1" si="60"/>
        <v>-0.16068573797187277</v>
      </c>
      <c r="D1032" s="101">
        <f t="shared" ca="1" si="61"/>
        <v>0.65405266900104364</v>
      </c>
      <c r="E1032" s="101">
        <f t="shared" ca="1" si="62"/>
        <v>0</v>
      </c>
      <c r="F1032" s="21">
        <f t="shared" ca="1" si="63"/>
        <v>0</v>
      </c>
      <c r="H1032" s="21">
        <v>1017</v>
      </c>
      <c r="I1032" s="102">
        <v>0.66770512264617587</v>
      </c>
      <c r="J1032" s="103">
        <v>1.3884708206622588E-3</v>
      </c>
      <c r="K1032" s="103"/>
      <c r="L1032" s="103">
        <v>4.36E-2</v>
      </c>
      <c r="O1032" s="100"/>
    </row>
    <row r="1033" spans="2:15" x14ac:dyDescent="0.2">
      <c r="B1033" s="1">
        <v>1018</v>
      </c>
      <c r="C1033" s="101">
        <f t="shared" ca="1" si="60"/>
        <v>-0.66059505991153022</v>
      </c>
      <c r="D1033" s="101">
        <f t="shared" ca="1" si="61"/>
        <v>0.62258250865280984</v>
      </c>
      <c r="E1033" s="101">
        <f t="shared" ca="1" si="62"/>
        <v>0</v>
      </c>
      <c r="F1033" s="21">
        <f t="shared" ca="1" si="63"/>
        <v>0</v>
      </c>
      <c r="H1033" s="21">
        <v>1018</v>
      </c>
      <c r="I1033" s="102">
        <v>0.66792391066438905</v>
      </c>
      <c r="J1033" s="103">
        <v>1.5524359373493832E-3</v>
      </c>
      <c r="K1033" s="103"/>
      <c r="L1033" s="103">
        <v>4.4600000000000001E-2</v>
      </c>
      <c r="O1033" s="100"/>
    </row>
    <row r="1034" spans="2:15" x14ac:dyDescent="0.2">
      <c r="B1034" s="1">
        <v>1019</v>
      </c>
      <c r="C1034" s="101">
        <f t="shared" ca="1" si="60"/>
        <v>0.45521200751553231</v>
      </c>
      <c r="D1034" s="101">
        <f t="shared" ca="1" si="61"/>
        <v>0.69502015976942477</v>
      </c>
      <c r="E1034" s="101">
        <f t="shared" ca="1" si="62"/>
        <v>0</v>
      </c>
      <c r="F1034" s="21">
        <f t="shared" ca="1" si="63"/>
        <v>0</v>
      </c>
      <c r="H1034" s="21">
        <v>1019</v>
      </c>
      <c r="I1034" s="102">
        <v>0.66771549768722271</v>
      </c>
      <c r="J1034" s="103">
        <v>1.4072500807754515E-3</v>
      </c>
      <c r="K1034" s="103"/>
      <c r="L1034" s="103">
        <v>4.3799999999999999E-2</v>
      </c>
      <c r="O1034" s="100"/>
    </row>
    <row r="1035" spans="2:15" x14ac:dyDescent="0.2">
      <c r="B1035" s="1">
        <v>1020</v>
      </c>
      <c r="C1035" s="101">
        <f t="shared" ca="1" si="60"/>
        <v>-0.37834149293710512</v>
      </c>
      <c r="D1035" s="101">
        <f t="shared" ca="1" si="61"/>
        <v>0.64015992607172545</v>
      </c>
      <c r="E1035" s="101">
        <f t="shared" ca="1" si="62"/>
        <v>0</v>
      </c>
      <c r="F1035" s="21">
        <f t="shared" ca="1" si="63"/>
        <v>0</v>
      </c>
      <c r="H1035" s="21">
        <v>1020</v>
      </c>
      <c r="I1035" s="102">
        <v>0.6675883548666427</v>
      </c>
      <c r="J1035" s="103">
        <v>1.239271256005434E-3</v>
      </c>
      <c r="K1035" s="103"/>
      <c r="L1035" s="103">
        <v>3.8600000000000002E-2</v>
      </c>
      <c r="O1035" s="100"/>
    </row>
    <row r="1036" spans="2:15" x14ac:dyDescent="0.2">
      <c r="B1036" s="1">
        <v>1021</v>
      </c>
      <c r="C1036" s="101">
        <f t="shared" ca="1" si="60"/>
        <v>-0.26694137177441846</v>
      </c>
      <c r="D1036" s="101">
        <f t="shared" ca="1" si="61"/>
        <v>0.64723321484729379</v>
      </c>
      <c r="E1036" s="101">
        <f t="shared" ca="1" si="62"/>
        <v>0</v>
      </c>
      <c r="F1036" s="21">
        <f t="shared" ca="1" si="63"/>
        <v>0</v>
      </c>
      <c r="H1036" s="21">
        <v>1021</v>
      </c>
      <c r="I1036" s="102">
        <v>0.66772064497378358</v>
      </c>
      <c r="J1036" s="103">
        <v>1.3174941625475024E-3</v>
      </c>
      <c r="K1036" s="103"/>
      <c r="L1036" s="103">
        <v>4.1200000000000001E-2</v>
      </c>
      <c r="O1036" s="100"/>
    </row>
    <row r="1037" spans="2:15" x14ac:dyDescent="0.2">
      <c r="B1037" s="1">
        <v>1022</v>
      </c>
      <c r="C1037" s="101">
        <f t="shared" ca="1" si="60"/>
        <v>-0.83329207836755093</v>
      </c>
      <c r="D1037" s="101">
        <f t="shared" ca="1" si="61"/>
        <v>0.6120666003666253</v>
      </c>
      <c r="E1037" s="101">
        <f t="shared" ca="1" si="62"/>
        <v>0</v>
      </c>
      <c r="F1037" s="21">
        <f t="shared" ca="1" si="63"/>
        <v>0</v>
      </c>
      <c r="H1037" s="21">
        <v>1022</v>
      </c>
      <c r="I1037" s="102">
        <v>0.66778711344361041</v>
      </c>
      <c r="J1037" s="103">
        <v>1.4600474268927988E-3</v>
      </c>
      <c r="K1037" s="103"/>
      <c r="L1037" s="103">
        <v>4.1000000000000002E-2</v>
      </c>
      <c r="O1037" s="100"/>
    </row>
    <row r="1038" spans="2:15" x14ac:dyDescent="0.2">
      <c r="B1038" s="1">
        <v>1023</v>
      </c>
      <c r="C1038" s="101">
        <f t="shared" ca="1" si="60"/>
        <v>0.30998451826626083</v>
      </c>
      <c r="D1038" s="101">
        <f t="shared" ca="1" si="61"/>
        <v>0.68513467167852815</v>
      </c>
      <c r="E1038" s="101">
        <f t="shared" ca="1" si="62"/>
        <v>0</v>
      </c>
      <c r="F1038" s="21">
        <f t="shared" ca="1" si="63"/>
        <v>0</v>
      </c>
      <c r="H1038" s="21">
        <v>1023</v>
      </c>
      <c r="I1038" s="102">
        <v>0.6676732557712457</v>
      </c>
      <c r="J1038" s="103">
        <v>1.3234137786579702E-3</v>
      </c>
      <c r="K1038" s="103"/>
      <c r="L1038" s="103">
        <v>4.24E-2</v>
      </c>
      <c r="O1038" s="100"/>
    </row>
    <row r="1039" spans="2:15" x14ac:dyDescent="0.2">
      <c r="B1039" s="1">
        <v>1024</v>
      </c>
      <c r="C1039" s="101">
        <f t="shared" ca="1" si="60"/>
        <v>0.29136133026918054</v>
      </c>
      <c r="D1039" s="101">
        <f t="shared" ca="1" si="61"/>
        <v>0.68387722368562887</v>
      </c>
      <c r="E1039" s="101">
        <f t="shared" ca="1" si="62"/>
        <v>0</v>
      </c>
      <c r="F1039" s="21">
        <f t="shared" ca="1" si="63"/>
        <v>0</v>
      </c>
      <c r="H1039" s="21">
        <v>1024</v>
      </c>
      <c r="I1039" s="102">
        <v>0.66754207023820067</v>
      </c>
      <c r="J1039" s="103">
        <v>1.1376046022156425E-3</v>
      </c>
      <c r="K1039" s="103"/>
      <c r="L1039" s="103">
        <v>3.5799999999999998E-2</v>
      </c>
      <c r="O1039" s="100"/>
    </row>
    <row r="1040" spans="2:15" x14ac:dyDescent="0.2">
      <c r="B1040" s="1">
        <v>1025</v>
      </c>
      <c r="C1040" s="101">
        <f t="shared" ref="C1040:C1103" ca="1" si="64">_xlfn.NORM.S.INV(RAND())</f>
        <v>-0.49252033341713197</v>
      </c>
      <c r="D1040" s="101">
        <f t="shared" ref="D1040:D1103" ca="1" si="65">S0*EXP((μ-0.5*σ*σ)*T+σ*SQRT(T)*$C1040)</f>
        <v>0.63299041346564588</v>
      </c>
      <c r="E1040" s="101">
        <f t="shared" ref="E1040:E1103" ca="1" si="66">MAX(0,CP*(D1040-K))</f>
        <v>0</v>
      </c>
      <c r="F1040" s="21">
        <f t="shared" ref="F1040:F1103" ca="1" si="67">(CP*(D1040-K)&gt;0)*1</f>
        <v>0</v>
      </c>
      <c r="H1040" s="21">
        <v>1025</v>
      </c>
      <c r="I1040" s="102">
        <v>0.66792999691187849</v>
      </c>
      <c r="J1040" s="103">
        <v>1.6535656628490567E-3</v>
      </c>
      <c r="K1040" s="103"/>
      <c r="L1040" s="103">
        <v>4.8599999999999997E-2</v>
      </c>
      <c r="O1040" s="100"/>
    </row>
    <row r="1041" spans="2:15" x14ac:dyDescent="0.2">
      <c r="B1041" s="1">
        <v>1026</v>
      </c>
      <c r="C1041" s="101">
        <f t="shared" ca="1" si="64"/>
        <v>-0.50824858608761336</v>
      </c>
      <c r="D1041" s="101">
        <f t="shared" ca="1" si="65"/>
        <v>0.63200911829836026</v>
      </c>
      <c r="E1041" s="101">
        <f t="shared" ca="1" si="66"/>
        <v>0</v>
      </c>
      <c r="F1041" s="21">
        <f t="shared" ca="1" si="67"/>
        <v>0</v>
      </c>
      <c r="H1041" s="21">
        <v>1026</v>
      </c>
      <c r="I1041" s="102">
        <v>0.66773427236235661</v>
      </c>
      <c r="J1041" s="103">
        <v>1.4198339154985423E-3</v>
      </c>
      <c r="K1041" s="103"/>
      <c r="L1041" s="103">
        <v>4.1599999999999998E-2</v>
      </c>
      <c r="O1041" s="100"/>
    </row>
    <row r="1042" spans="2:15" x14ac:dyDescent="0.2">
      <c r="B1042" s="1">
        <v>1027</v>
      </c>
      <c r="C1042" s="101">
        <f t="shared" ca="1" si="64"/>
        <v>0.31420058277991475</v>
      </c>
      <c r="D1042" s="101">
        <f t="shared" ca="1" si="65"/>
        <v>0.68541966350468042</v>
      </c>
      <c r="E1042" s="101">
        <f t="shared" ca="1" si="66"/>
        <v>0</v>
      </c>
      <c r="F1042" s="21">
        <f t="shared" ca="1" si="67"/>
        <v>0</v>
      </c>
      <c r="H1042" s="21">
        <v>1027</v>
      </c>
      <c r="I1042" s="102">
        <v>0.66758562909792596</v>
      </c>
      <c r="J1042" s="103">
        <v>1.1515478040149049E-3</v>
      </c>
      <c r="K1042" s="103"/>
      <c r="L1042" s="103">
        <v>3.9399999999999998E-2</v>
      </c>
      <c r="O1042" s="100"/>
    </row>
    <row r="1043" spans="2:15" x14ac:dyDescent="0.2">
      <c r="B1043" s="1">
        <v>1028</v>
      </c>
      <c r="C1043" s="101">
        <f t="shared" ca="1" si="64"/>
        <v>-0.95645132271972666</v>
      </c>
      <c r="D1043" s="101">
        <f t="shared" ca="1" si="65"/>
        <v>0.60467583805999969</v>
      </c>
      <c r="E1043" s="101">
        <f t="shared" ca="1" si="66"/>
        <v>0</v>
      </c>
      <c r="F1043" s="21">
        <f t="shared" ca="1" si="67"/>
        <v>0</v>
      </c>
      <c r="H1043" s="21">
        <v>1028</v>
      </c>
      <c r="I1043" s="102">
        <v>0.66775337951626612</v>
      </c>
      <c r="J1043" s="103">
        <v>1.373292310164849E-3</v>
      </c>
      <c r="K1043" s="103"/>
      <c r="L1043" s="103">
        <v>4.2000000000000003E-2</v>
      </c>
      <c r="O1043" s="100"/>
    </row>
    <row r="1044" spans="2:15" x14ac:dyDescent="0.2">
      <c r="B1044" s="1">
        <v>1029</v>
      </c>
      <c r="C1044" s="101">
        <f t="shared" ca="1" si="64"/>
        <v>0.72065245653163068</v>
      </c>
      <c r="D1044" s="101">
        <f t="shared" ca="1" si="65"/>
        <v>0.71345848470672402</v>
      </c>
      <c r="E1044" s="101">
        <f t="shared" ca="1" si="66"/>
        <v>0</v>
      </c>
      <c r="F1044" s="21">
        <f t="shared" ca="1" si="67"/>
        <v>0</v>
      </c>
      <c r="H1044" s="21">
        <v>1029</v>
      </c>
      <c r="I1044" s="102">
        <v>0.66765106115776607</v>
      </c>
      <c r="J1044" s="103">
        <v>1.1457765439122399E-3</v>
      </c>
      <c r="K1044" s="103"/>
      <c r="L1044" s="103">
        <v>4.0800000000000003E-2</v>
      </c>
      <c r="O1044" s="100"/>
    </row>
    <row r="1045" spans="2:15" x14ac:dyDescent="0.2">
      <c r="B1045" s="1">
        <v>1030</v>
      </c>
      <c r="C1045" s="101">
        <f t="shared" ca="1" si="64"/>
        <v>-7.5789262800090171E-2</v>
      </c>
      <c r="D1045" s="101">
        <f t="shared" ca="1" si="65"/>
        <v>0.65955290098704356</v>
      </c>
      <c r="E1045" s="101">
        <f t="shared" ca="1" si="66"/>
        <v>0</v>
      </c>
      <c r="F1045" s="21">
        <f t="shared" ca="1" si="67"/>
        <v>0</v>
      </c>
      <c r="H1045" s="21">
        <v>1030</v>
      </c>
      <c r="I1045" s="102">
        <v>0.66773211301162194</v>
      </c>
      <c r="J1045" s="103">
        <v>1.3332277442382888E-3</v>
      </c>
      <c r="K1045" s="103"/>
      <c r="L1045" s="103">
        <v>4.3799999999999999E-2</v>
      </c>
      <c r="O1045" s="100"/>
    </row>
    <row r="1046" spans="2:15" x14ac:dyDescent="0.2">
      <c r="B1046" s="1">
        <v>1031</v>
      </c>
      <c r="C1046" s="101">
        <f t="shared" ca="1" si="64"/>
        <v>0.72898878748052132</v>
      </c>
      <c r="D1046" s="101">
        <f t="shared" ca="1" si="65"/>
        <v>0.71404540770743929</v>
      </c>
      <c r="E1046" s="101">
        <f t="shared" ca="1" si="66"/>
        <v>0</v>
      </c>
      <c r="F1046" s="21">
        <f t="shared" ca="1" si="67"/>
        <v>0</v>
      </c>
      <c r="H1046" s="21">
        <v>1031</v>
      </c>
      <c r="I1046" s="102">
        <v>0.66765842860291658</v>
      </c>
      <c r="J1046" s="103">
        <v>1.350521475076456E-3</v>
      </c>
      <c r="K1046" s="103"/>
      <c r="L1046" s="103">
        <v>4.02E-2</v>
      </c>
      <c r="O1046" s="100"/>
    </row>
    <row r="1047" spans="2:15" x14ac:dyDescent="0.2">
      <c r="B1047" s="1">
        <v>1032</v>
      </c>
      <c r="C1047" s="101">
        <f t="shared" ca="1" si="64"/>
        <v>0.68520324242412101</v>
      </c>
      <c r="D1047" s="101">
        <f t="shared" ca="1" si="65"/>
        <v>0.7109680501762351</v>
      </c>
      <c r="E1047" s="101">
        <f t="shared" ca="1" si="66"/>
        <v>0</v>
      </c>
      <c r="F1047" s="21">
        <f t="shared" ca="1" si="67"/>
        <v>0</v>
      </c>
      <c r="H1047" s="21">
        <v>1032</v>
      </c>
      <c r="I1047" s="102">
        <v>0.66775019968700544</v>
      </c>
      <c r="J1047" s="103">
        <v>1.3285679932649147E-3</v>
      </c>
      <c r="K1047" s="103"/>
      <c r="L1047" s="103">
        <v>4.1799999999999997E-2</v>
      </c>
      <c r="O1047" s="100"/>
    </row>
    <row r="1048" spans="2:15" x14ac:dyDescent="0.2">
      <c r="B1048" s="1">
        <v>1033</v>
      </c>
      <c r="C1048" s="101">
        <f t="shared" ca="1" si="64"/>
        <v>0.59527092007019811</v>
      </c>
      <c r="D1048" s="101">
        <f t="shared" ca="1" si="65"/>
        <v>0.70468891409447953</v>
      </c>
      <c r="E1048" s="101">
        <f t="shared" ca="1" si="66"/>
        <v>0</v>
      </c>
      <c r="F1048" s="21">
        <f t="shared" ca="1" si="67"/>
        <v>0</v>
      </c>
      <c r="H1048" s="21">
        <v>1033</v>
      </c>
      <c r="I1048" s="102">
        <v>0.66763636223444145</v>
      </c>
      <c r="J1048" s="103">
        <v>1.3019771307110801E-3</v>
      </c>
      <c r="K1048" s="103"/>
      <c r="L1048" s="103">
        <v>4.24E-2</v>
      </c>
      <c r="O1048" s="100"/>
    </row>
    <row r="1049" spans="2:15" x14ac:dyDescent="0.2">
      <c r="B1049" s="1">
        <v>1034</v>
      </c>
      <c r="C1049" s="101">
        <f t="shared" ca="1" si="64"/>
        <v>-0.58886907081654782</v>
      </c>
      <c r="D1049" s="101">
        <f t="shared" ca="1" si="65"/>
        <v>0.62700299054605602</v>
      </c>
      <c r="E1049" s="101">
        <f t="shared" ca="1" si="66"/>
        <v>0</v>
      </c>
      <c r="F1049" s="21">
        <f t="shared" ca="1" si="67"/>
        <v>0</v>
      </c>
      <c r="H1049" s="21">
        <v>1034</v>
      </c>
      <c r="I1049" s="102">
        <v>0.66760390265437863</v>
      </c>
      <c r="J1049" s="103">
        <v>1.2122637604453286E-3</v>
      </c>
      <c r="K1049" s="103"/>
      <c r="L1049" s="103">
        <v>3.7999999999999999E-2</v>
      </c>
      <c r="O1049" s="100"/>
    </row>
    <row r="1050" spans="2:15" x14ac:dyDescent="0.2">
      <c r="B1050" s="1">
        <v>1035</v>
      </c>
      <c r="C1050" s="101">
        <f t="shared" ca="1" si="64"/>
        <v>-0.80181797971854996</v>
      </c>
      <c r="D1050" s="101">
        <f t="shared" ca="1" si="65"/>
        <v>0.61396980384847422</v>
      </c>
      <c r="E1050" s="101">
        <f t="shared" ca="1" si="66"/>
        <v>0</v>
      </c>
      <c r="F1050" s="21">
        <f t="shared" ca="1" si="67"/>
        <v>0</v>
      </c>
      <c r="H1050" s="21">
        <v>1035</v>
      </c>
      <c r="I1050" s="102">
        <v>0.66770286208655594</v>
      </c>
      <c r="J1050" s="103">
        <v>1.2393348168028007E-3</v>
      </c>
      <c r="K1050" s="103"/>
      <c r="L1050" s="103">
        <v>4.1000000000000002E-2</v>
      </c>
      <c r="O1050" s="100"/>
    </row>
    <row r="1051" spans="2:15" x14ac:dyDescent="0.2">
      <c r="B1051" s="1">
        <v>1036</v>
      </c>
      <c r="C1051" s="101">
        <f t="shared" ca="1" si="64"/>
        <v>-1.3779477095085266</v>
      </c>
      <c r="D1051" s="101">
        <f t="shared" ca="1" si="65"/>
        <v>0.58005071952734544</v>
      </c>
      <c r="E1051" s="101">
        <f t="shared" ca="1" si="66"/>
        <v>0</v>
      </c>
      <c r="F1051" s="21">
        <f t="shared" ca="1" si="67"/>
        <v>0</v>
      </c>
      <c r="H1051" s="21">
        <v>1036</v>
      </c>
      <c r="I1051" s="102">
        <v>0.66772958708974917</v>
      </c>
      <c r="J1051" s="103">
        <v>1.3503374554477959E-3</v>
      </c>
      <c r="K1051" s="103"/>
      <c r="L1051" s="103">
        <v>4.1799999999999997E-2</v>
      </c>
      <c r="O1051" s="100"/>
    </row>
    <row r="1052" spans="2:15" x14ac:dyDescent="0.2">
      <c r="B1052" s="1">
        <v>1037</v>
      </c>
      <c r="C1052" s="101">
        <f t="shared" ca="1" si="64"/>
        <v>4.509937829986066E-2</v>
      </c>
      <c r="D1052" s="101">
        <f t="shared" ca="1" si="65"/>
        <v>0.66746489594524272</v>
      </c>
      <c r="E1052" s="101">
        <f t="shared" ca="1" si="66"/>
        <v>0</v>
      </c>
      <c r="F1052" s="21">
        <f t="shared" ca="1" si="67"/>
        <v>0</v>
      </c>
      <c r="H1052" s="21">
        <v>1037</v>
      </c>
      <c r="I1052" s="102">
        <v>0.66783345951725437</v>
      </c>
      <c r="J1052" s="103">
        <v>1.4546037400725495E-3</v>
      </c>
      <c r="K1052" s="103"/>
      <c r="L1052" s="103">
        <v>4.3799999999999999E-2</v>
      </c>
      <c r="O1052" s="100"/>
    </row>
    <row r="1053" spans="2:15" x14ac:dyDescent="0.2">
      <c r="B1053" s="1">
        <v>1038</v>
      </c>
      <c r="C1053" s="101">
        <f t="shared" ca="1" si="64"/>
        <v>-0.35934037097884458</v>
      </c>
      <c r="D1053" s="101">
        <f t="shared" ca="1" si="65"/>
        <v>0.64136090031048398</v>
      </c>
      <c r="E1053" s="101">
        <f t="shared" ca="1" si="66"/>
        <v>0</v>
      </c>
      <c r="F1053" s="21">
        <f t="shared" ca="1" si="67"/>
        <v>0</v>
      </c>
      <c r="H1053" s="21">
        <v>1038</v>
      </c>
      <c r="I1053" s="102">
        <v>0.66784575031377547</v>
      </c>
      <c r="J1053" s="103">
        <v>1.4264861704663663E-3</v>
      </c>
      <c r="K1053" s="103"/>
      <c r="L1053" s="103">
        <v>3.8199999999999998E-2</v>
      </c>
      <c r="O1053" s="100"/>
    </row>
    <row r="1054" spans="2:15" x14ac:dyDescent="0.2">
      <c r="B1054" s="1">
        <v>1039</v>
      </c>
      <c r="C1054" s="101">
        <f t="shared" ca="1" si="64"/>
        <v>0.78942206497655898</v>
      </c>
      <c r="D1054" s="101">
        <f t="shared" ca="1" si="65"/>
        <v>0.71831470093439687</v>
      </c>
      <c r="E1054" s="101">
        <f t="shared" ca="1" si="66"/>
        <v>0</v>
      </c>
      <c r="F1054" s="21">
        <f t="shared" ca="1" si="67"/>
        <v>0</v>
      </c>
      <c r="H1054" s="21">
        <v>1039</v>
      </c>
      <c r="I1054" s="102">
        <v>0.66779280009134345</v>
      </c>
      <c r="J1054" s="103">
        <v>1.455619142310699E-3</v>
      </c>
      <c r="K1054" s="103"/>
      <c r="L1054" s="103">
        <v>4.1200000000000001E-2</v>
      </c>
      <c r="O1054" s="100"/>
    </row>
    <row r="1055" spans="2:15" x14ac:dyDescent="0.2">
      <c r="B1055" s="1">
        <v>1040</v>
      </c>
      <c r="C1055" s="101">
        <f t="shared" ca="1" si="64"/>
        <v>0.17090203103554669</v>
      </c>
      <c r="D1055" s="101">
        <f t="shared" ca="1" si="65"/>
        <v>0.67579930035668134</v>
      </c>
      <c r="E1055" s="101">
        <f t="shared" ca="1" si="66"/>
        <v>0</v>
      </c>
      <c r="F1055" s="21">
        <f t="shared" ca="1" si="67"/>
        <v>0</v>
      </c>
      <c r="H1055" s="21">
        <v>1040</v>
      </c>
      <c r="I1055" s="102">
        <v>0.66777972783477568</v>
      </c>
      <c r="J1055" s="103">
        <v>1.3735112858238733E-3</v>
      </c>
      <c r="K1055" s="103"/>
      <c r="L1055" s="103">
        <v>4.4600000000000001E-2</v>
      </c>
      <c r="O1055" s="100"/>
    </row>
    <row r="1056" spans="2:15" x14ac:dyDescent="0.2">
      <c r="B1056" s="1">
        <v>1041</v>
      </c>
      <c r="C1056" s="101">
        <f t="shared" ca="1" si="64"/>
        <v>0.36544461451510962</v>
      </c>
      <c r="D1056" s="101">
        <f t="shared" ca="1" si="65"/>
        <v>0.68889307986292347</v>
      </c>
      <c r="E1056" s="101">
        <f t="shared" ca="1" si="66"/>
        <v>0</v>
      </c>
      <c r="F1056" s="21">
        <f t="shared" ca="1" si="67"/>
        <v>0</v>
      </c>
      <c r="H1056" s="21">
        <v>1041</v>
      </c>
      <c r="I1056" s="102">
        <v>0.66752622643051929</v>
      </c>
      <c r="J1056" s="103">
        <v>1.2608836432606318E-3</v>
      </c>
      <c r="K1056" s="103"/>
      <c r="L1056" s="103">
        <v>3.5799999999999998E-2</v>
      </c>
      <c r="O1056" s="100"/>
    </row>
    <row r="1057" spans="2:15" x14ac:dyDescent="0.2">
      <c r="B1057" s="1">
        <v>1042</v>
      </c>
      <c r="C1057" s="101">
        <f t="shared" ca="1" si="64"/>
        <v>0.99189615721632629</v>
      </c>
      <c r="D1057" s="101">
        <f t="shared" ca="1" si="65"/>
        <v>0.73280533091285682</v>
      </c>
      <c r="E1057" s="101">
        <f t="shared" ca="1" si="66"/>
        <v>0</v>
      </c>
      <c r="F1057" s="21">
        <f t="shared" ca="1" si="67"/>
        <v>0</v>
      </c>
      <c r="H1057" s="21">
        <v>1042</v>
      </c>
      <c r="I1057" s="102">
        <v>0.66771871560081819</v>
      </c>
      <c r="J1057" s="103">
        <v>1.3081602334826384E-3</v>
      </c>
      <c r="K1057" s="103"/>
      <c r="L1057" s="103">
        <v>3.9600000000000003E-2</v>
      </c>
      <c r="O1057" s="100"/>
    </row>
    <row r="1058" spans="2:15" x14ac:dyDescent="0.2">
      <c r="B1058" s="1">
        <v>1043</v>
      </c>
      <c r="C1058" s="101">
        <f t="shared" ca="1" si="64"/>
        <v>-0.49523965567601524</v>
      </c>
      <c r="D1058" s="101">
        <f t="shared" ca="1" si="65"/>
        <v>0.63282064443642327</v>
      </c>
      <c r="E1058" s="101">
        <f t="shared" ca="1" si="66"/>
        <v>0</v>
      </c>
      <c r="F1058" s="21">
        <f t="shared" ca="1" si="67"/>
        <v>0</v>
      </c>
      <c r="H1058" s="21">
        <v>1043</v>
      </c>
      <c r="I1058" s="102">
        <v>0.66771027174777564</v>
      </c>
      <c r="J1058" s="103">
        <v>1.2363149482873732E-3</v>
      </c>
      <c r="K1058" s="103"/>
      <c r="L1058" s="103">
        <v>3.9800000000000002E-2</v>
      </c>
      <c r="O1058" s="100"/>
    </row>
    <row r="1059" spans="2:15" x14ac:dyDescent="0.2">
      <c r="B1059" s="1">
        <v>1044</v>
      </c>
      <c r="C1059" s="101">
        <f t="shared" ca="1" si="64"/>
        <v>-0.47823585383919803</v>
      </c>
      <c r="D1059" s="101">
        <f t="shared" ca="1" si="65"/>
        <v>0.63388295094285318</v>
      </c>
      <c r="E1059" s="101">
        <f t="shared" ca="1" si="66"/>
        <v>0</v>
      </c>
      <c r="F1059" s="21">
        <f t="shared" ca="1" si="67"/>
        <v>0</v>
      </c>
      <c r="H1059" s="21">
        <v>1044</v>
      </c>
      <c r="I1059" s="102">
        <v>0.66770423691884861</v>
      </c>
      <c r="J1059" s="103">
        <v>1.285726615939629E-3</v>
      </c>
      <c r="K1059" s="103"/>
      <c r="L1059" s="103">
        <v>4.2000000000000003E-2</v>
      </c>
      <c r="O1059" s="100"/>
    </row>
    <row r="1060" spans="2:15" x14ac:dyDescent="0.2">
      <c r="B1060" s="1">
        <v>1045</v>
      </c>
      <c r="C1060" s="101">
        <f t="shared" ca="1" si="64"/>
        <v>-0.42067965032844767</v>
      </c>
      <c r="D1060" s="101">
        <f t="shared" ca="1" si="65"/>
        <v>0.63749200619326396</v>
      </c>
      <c r="E1060" s="101">
        <f t="shared" ca="1" si="66"/>
        <v>0</v>
      </c>
      <c r="F1060" s="21">
        <f t="shared" ca="1" si="67"/>
        <v>0</v>
      </c>
      <c r="H1060" s="21">
        <v>1045</v>
      </c>
      <c r="I1060" s="102">
        <v>0.66767577643953169</v>
      </c>
      <c r="J1060" s="103">
        <v>1.2875687075415583E-3</v>
      </c>
      <c r="K1060" s="103"/>
      <c r="L1060" s="103">
        <v>3.9E-2</v>
      </c>
      <c r="O1060" s="100"/>
    </row>
    <row r="1061" spans="2:15" x14ac:dyDescent="0.2">
      <c r="B1061" s="1">
        <v>1046</v>
      </c>
      <c r="C1061" s="101">
        <f t="shared" ca="1" si="64"/>
        <v>-0.20604670489143417</v>
      </c>
      <c r="D1061" s="101">
        <f t="shared" ca="1" si="65"/>
        <v>0.65113267021624721</v>
      </c>
      <c r="E1061" s="101">
        <f t="shared" ca="1" si="66"/>
        <v>0</v>
      </c>
      <c r="F1061" s="21">
        <f t="shared" ca="1" si="67"/>
        <v>0</v>
      </c>
      <c r="H1061" s="21">
        <v>1046</v>
      </c>
      <c r="I1061" s="102">
        <v>0.66773224991569469</v>
      </c>
      <c r="J1061" s="103">
        <v>1.4358866637862637E-3</v>
      </c>
      <c r="K1061" s="103"/>
      <c r="L1061" s="103">
        <v>4.1599999999999998E-2</v>
      </c>
      <c r="O1061" s="100"/>
    </row>
    <row r="1062" spans="2:15" x14ac:dyDescent="0.2">
      <c r="B1062" s="1">
        <v>1047</v>
      </c>
      <c r="C1062" s="101">
        <f t="shared" ca="1" si="64"/>
        <v>-0.37235003301158642</v>
      </c>
      <c r="D1062" s="101">
        <f t="shared" ca="1" si="65"/>
        <v>0.64053837596310914</v>
      </c>
      <c r="E1062" s="101">
        <f t="shared" ca="1" si="66"/>
        <v>0</v>
      </c>
      <c r="F1062" s="21">
        <f t="shared" ca="1" si="67"/>
        <v>0</v>
      </c>
      <c r="H1062" s="21">
        <v>1047</v>
      </c>
      <c r="I1062" s="102">
        <v>0.66761275499611394</v>
      </c>
      <c r="J1062" s="103">
        <v>1.1632640664913437E-3</v>
      </c>
      <c r="K1062" s="103"/>
      <c r="L1062" s="103">
        <v>3.8199999999999998E-2</v>
      </c>
      <c r="O1062" s="100"/>
    </row>
    <row r="1063" spans="2:15" x14ac:dyDescent="0.2">
      <c r="B1063" s="1">
        <v>1048</v>
      </c>
      <c r="C1063" s="101">
        <f t="shared" ca="1" si="64"/>
        <v>-0.3993628651191265</v>
      </c>
      <c r="D1063" s="101">
        <f t="shared" ca="1" si="65"/>
        <v>0.63883388110178507</v>
      </c>
      <c r="E1063" s="101">
        <f t="shared" ca="1" si="66"/>
        <v>0</v>
      </c>
      <c r="F1063" s="21">
        <f t="shared" ca="1" si="67"/>
        <v>0</v>
      </c>
      <c r="H1063" s="21">
        <v>1048</v>
      </c>
      <c r="I1063" s="102">
        <v>0.66779905303587161</v>
      </c>
      <c r="J1063" s="103">
        <v>1.4562340454923734E-3</v>
      </c>
      <c r="K1063" s="103"/>
      <c r="L1063" s="103">
        <v>4.2999999999999997E-2</v>
      </c>
      <c r="O1063" s="100"/>
    </row>
    <row r="1064" spans="2:15" x14ac:dyDescent="0.2">
      <c r="B1064" s="1">
        <v>1049</v>
      </c>
      <c r="C1064" s="101">
        <f t="shared" ca="1" si="64"/>
        <v>-1.5074270692158853</v>
      </c>
      <c r="D1064" s="101">
        <f t="shared" ca="1" si="65"/>
        <v>0.57268941206459723</v>
      </c>
      <c r="E1064" s="101">
        <f t="shared" ca="1" si="66"/>
        <v>0</v>
      </c>
      <c r="F1064" s="21">
        <f t="shared" ca="1" si="67"/>
        <v>0</v>
      </c>
      <c r="H1064" s="21">
        <v>1049</v>
      </c>
      <c r="I1064" s="102">
        <v>0.66783206842514098</v>
      </c>
      <c r="J1064" s="103">
        <v>1.5825820655623161E-3</v>
      </c>
      <c r="K1064" s="103"/>
      <c r="L1064" s="103">
        <v>4.1599999999999998E-2</v>
      </c>
      <c r="O1064" s="100"/>
    </row>
    <row r="1065" spans="2:15" x14ac:dyDescent="0.2">
      <c r="B1065" s="1">
        <v>1050</v>
      </c>
      <c r="C1065" s="101">
        <f t="shared" ca="1" si="64"/>
        <v>-1.0626894999114669</v>
      </c>
      <c r="D1065" s="101">
        <f t="shared" ca="1" si="65"/>
        <v>0.5983722398333946</v>
      </c>
      <c r="E1065" s="101">
        <f t="shared" ca="1" si="66"/>
        <v>0</v>
      </c>
      <c r="F1065" s="21">
        <f t="shared" ca="1" si="67"/>
        <v>0</v>
      </c>
      <c r="H1065" s="21">
        <v>1050</v>
      </c>
      <c r="I1065" s="102">
        <v>0.66770624643596577</v>
      </c>
      <c r="J1065" s="103">
        <v>1.4360762481449329E-3</v>
      </c>
      <c r="K1065" s="103"/>
      <c r="L1065" s="103">
        <v>3.9399999999999998E-2</v>
      </c>
      <c r="O1065" s="100"/>
    </row>
    <row r="1066" spans="2:15" x14ac:dyDescent="0.2">
      <c r="B1066" s="1">
        <v>1051</v>
      </c>
      <c r="C1066" s="101">
        <f t="shared" ca="1" si="64"/>
        <v>-0.79865986888579144</v>
      </c>
      <c r="D1066" s="101">
        <f t="shared" ca="1" si="65"/>
        <v>0.61416109766319082</v>
      </c>
      <c r="E1066" s="101">
        <f t="shared" ca="1" si="66"/>
        <v>0</v>
      </c>
      <c r="F1066" s="21">
        <f t="shared" ca="1" si="67"/>
        <v>0</v>
      </c>
      <c r="H1066" s="21">
        <v>1051</v>
      </c>
      <c r="I1066" s="102">
        <v>0.66774297387031034</v>
      </c>
      <c r="J1066" s="103">
        <v>1.3112734474763849E-3</v>
      </c>
      <c r="K1066" s="103"/>
      <c r="L1066" s="103">
        <v>4.24E-2</v>
      </c>
      <c r="O1066" s="100"/>
    </row>
    <row r="1067" spans="2:15" x14ac:dyDescent="0.2">
      <c r="B1067" s="1">
        <v>1052</v>
      </c>
      <c r="C1067" s="101">
        <f t="shared" ca="1" si="64"/>
        <v>0.7621466773368315</v>
      </c>
      <c r="D1067" s="101">
        <f t="shared" ca="1" si="65"/>
        <v>0.71638468680906209</v>
      </c>
      <c r="E1067" s="101">
        <f t="shared" ca="1" si="66"/>
        <v>0</v>
      </c>
      <c r="F1067" s="21">
        <f t="shared" ca="1" si="67"/>
        <v>0</v>
      </c>
      <c r="H1067" s="21">
        <v>1052</v>
      </c>
      <c r="I1067" s="102">
        <v>0.66778424374372158</v>
      </c>
      <c r="J1067" s="103">
        <v>1.4841905863772081E-3</v>
      </c>
      <c r="K1067" s="103"/>
      <c r="L1067" s="103">
        <v>4.7E-2</v>
      </c>
      <c r="O1067" s="100"/>
    </row>
    <row r="1068" spans="2:15" x14ac:dyDescent="0.2">
      <c r="B1068" s="1">
        <v>1053</v>
      </c>
      <c r="C1068" s="101">
        <f t="shared" ca="1" si="64"/>
        <v>0.54883118575265699</v>
      </c>
      <c r="D1068" s="101">
        <f t="shared" ca="1" si="65"/>
        <v>0.70146820335488824</v>
      </c>
      <c r="E1068" s="101">
        <f t="shared" ca="1" si="66"/>
        <v>0</v>
      </c>
      <c r="F1068" s="21">
        <f t="shared" ca="1" si="67"/>
        <v>0</v>
      </c>
      <c r="H1068" s="21">
        <v>1053</v>
      </c>
      <c r="I1068" s="102">
        <v>0.6679332770284907</v>
      </c>
      <c r="J1068" s="103">
        <v>1.6883974002161889E-3</v>
      </c>
      <c r="K1068" s="103"/>
      <c r="L1068" s="103">
        <v>4.8800000000000003E-2</v>
      </c>
      <c r="O1068" s="100"/>
    </row>
    <row r="1069" spans="2:15" x14ac:dyDescent="0.2">
      <c r="B1069" s="1">
        <v>1054</v>
      </c>
      <c r="C1069" s="101">
        <f t="shared" ca="1" si="64"/>
        <v>-0.26724479465640744</v>
      </c>
      <c r="D1069" s="101">
        <f t="shared" ca="1" si="65"/>
        <v>0.64721384342419064</v>
      </c>
      <c r="E1069" s="101">
        <f t="shared" ca="1" si="66"/>
        <v>0</v>
      </c>
      <c r="F1069" s="21">
        <f t="shared" ca="1" si="67"/>
        <v>0</v>
      </c>
      <c r="H1069" s="21">
        <v>1054</v>
      </c>
      <c r="I1069" s="102">
        <v>0.66764421660568296</v>
      </c>
      <c r="J1069" s="103">
        <v>1.2914585062182773E-3</v>
      </c>
      <c r="K1069" s="103"/>
      <c r="L1069" s="103">
        <v>0.04</v>
      </c>
      <c r="O1069" s="100"/>
    </row>
    <row r="1070" spans="2:15" x14ac:dyDescent="0.2">
      <c r="B1070" s="1">
        <v>1055</v>
      </c>
      <c r="C1070" s="101">
        <f t="shared" ca="1" si="64"/>
        <v>-0.88940614559663866</v>
      </c>
      <c r="D1070" s="101">
        <f t="shared" ca="1" si="65"/>
        <v>0.6086880691309019</v>
      </c>
      <c r="E1070" s="101">
        <f t="shared" ca="1" si="66"/>
        <v>0</v>
      </c>
      <c r="F1070" s="21">
        <f t="shared" ca="1" si="67"/>
        <v>0</v>
      </c>
      <c r="H1070" s="21">
        <v>1055</v>
      </c>
      <c r="I1070" s="102">
        <v>0.66778834879586668</v>
      </c>
      <c r="J1070" s="103">
        <v>1.4440244832454687E-3</v>
      </c>
      <c r="K1070" s="103"/>
      <c r="L1070" s="103">
        <v>4.6800000000000001E-2</v>
      </c>
      <c r="O1070" s="100"/>
    </row>
    <row r="1071" spans="2:15" x14ac:dyDescent="0.2">
      <c r="B1071" s="1">
        <v>1056</v>
      </c>
      <c r="C1071" s="101">
        <f t="shared" ca="1" si="64"/>
        <v>2.20197234876421</v>
      </c>
      <c r="D1071" s="101">
        <f t="shared" ca="1" si="65"/>
        <v>0.82570998809077467</v>
      </c>
      <c r="E1071" s="101">
        <f t="shared" ca="1" si="66"/>
        <v>3.750998809077466E-2</v>
      </c>
      <c r="F1071" s="21">
        <f t="shared" ca="1" si="67"/>
        <v>1</v>
      </c>
      <c r="H1071" s="21">
        <v>1056</v>
      </c>
      <c r="I1071" s="102">
        <v>0.66777790424785533</v>
      </c>
      <c r="J1071" s="103">
        <v>1.520898916641541E-3</v>
      </c>
      <c r="K1071" s="103"/>
      <c r="L1071" s="103">
        <v>4.6399999999999997E-2</v>
      </c>
      <c r="O1071" s="100"/>
    </row>
    <row r="1072" spans="2:15" x14ac:dyDescent="0.2">
      <c r="B1072" s="1">
        <v>1057</v>
      </c>
      <c r="C1072" s="101">
        <f t="shared" ca="1" si="64"/>
        <v>-0.54983640302739467</v>
      </c>
      <c r="D1072" s="101">
        <f t="shared" ca="1" si="65"/>
        <v>0.6294217522517388</v>
      </c>
      <c r="E1072" s="101">
        <f t="shared" ca="1" si="66"/>
        <v>0</v>
      </c>
      <c r="F1072" s="21">
        <f t="shared" ca="1" si="67"/>
        <v>0</v>
      </c>
      <c r="H1072" s="21">
        <v>1057</v>
      </c>
      <c r="I1072" s="102">
        <v>0.66776271637503182</v>
      </c>
      <c r="J1072" s="103">
        <v>1.4717168950444898E-3</v>
      </c>
      <c r="K1072" s="103"/>
      <c r="L1072" s="103">
        <v>4.1200000000000001E-2</v>
      </c>
      <c r="O1072" s="100"/>
    </row>
    <row r="1073" spans="2:15" x14ac:dyDescent="0.2">
      <c r="B1073" s="1">
        <v>1058</v>
      </c>
      <c r="C1073" s="101">
        <f t="shared" ca="1" si="64"/>
        <v>-0.71401794064609836</v>
      </c>
      <c r="D1073" s="101">
        <f t="shared" ca="1" si="65"/>
        <v>0.6193103125767736</v>
      </c>
      <c r="E1073" s="101">
        <f t="shared" ca="1" si="66"/>
        <v>0</v>
      </c>
      <c r="F1073" s="21">
        <f t="shared" ca="1" si="67"/>
        <v>0</v>
      </c>
      <c r="H1073" s="21">
        <v>1058</v>
      </c>
      <c r="I1073" s="102">
        <v>0.66773181984997632</v>
      </c>
      <c r="J1073" s="103">
        <v>1.3213147289286868E-3</v>
      </c>
      <c r="K1073" s="103"/>
      <c r="L1073" s="103">
        <v>4.02E-2</v>
      </c>
      <c r="O1073" s="100"/>
    </row>
    <row r="1074" spans="2:15" x14ac:dyDescent="0.2">
      <c r="B1074" s="1">
        <v>1059</v>
      </c>
      <c r="C1074" s="101">
        <f t="shared" ca="1" si="64"/>
        <v>-1.093495056770319</v>
      </c>
      <c r="D1074" s="101">
        <f t="shared" ca="1" si="65"/>
        <v>0.59655672532791404</v>
      </c>
      <c r="E1074" s="101">
        <f t="shared" ca="1" si="66"/>
        <v>0</v>
      </c>
      <c r="F1074" s="21">
        <f t="shared" ca="1" si="67"/>
        <v>0</v>
      </c>
      <c r="H1074" s="21">
        <v>1059</v>
      </c>
      <c r="I1074" s="102">
        <v>0.66782120805753464</v>
      </c>
      <c r="J1074" s="103">
        <v>1.4098366778539334E-3</v>
      </c>
      <c r="K1074" s="103"/>
      <c r="L1074" s="103">
        <v>4.2799999999999998E-2</v>
      </c>
      <c r="O1074" s="100"/>
    </row>
    <row r="1075" spans="2:15" x14ac:dyDescent="0.2">
      <c r="B1075" s="1">
        <v>1060</v>
      </c>
      <c r="C1075" s="101">
        <f t="shared" ca="1" si="64"/>
        <v>-0.87335244572181081</v>
      </c>
      <c r="D1075" s="101">
        <f t="shared" ca="1" si="65"/>
        <v>0.60965272573118767</v>
      </c>
      <c r="E1075" s="101">
        <f t="shared" ca="1" si="66"/>
        <v>0</v>
      </c>
      <c r="F1075" s="21">
        <f t="shared" ca="1" si="67"/>
        <v>0</v>
      </c>
      <c r="H1075" s="21">
        <v>1060</v>
      </c>
      <c r="I1075" s="102">
        <v>0.66767750252449554</v>
      </c>
      <c r="J1075" s="103">
        <v>1.3336110577886347E-3</v>
      </c>
      <c r="K1075" s="103"/>
      <c r="L1075" s="103">
        <v>4.02E-2</v>
      </c>
      <c r="O1075" s="100"/>
    </row>
    <row r="1076" spans="2:15" x14ac:dyDescent="0.2">
      <c r="B1076" s="1">
        <v>1061</v>
      </c>
      <c r="C1076" s="101">
        <f t="shared" ca="1" si="64"/>
        <v>0.24713564322784662</v>
      </c>
      <c r="D1076" s="101">
        <f t="shared" ca="1" si="65"/>
        <v>0.68090032076097329</v>
      </c>
      <c r="E1076" s="101">
        <f t="shared" ca="1" si="66"/>
        <v>0</v>
      </c>
      <c r="F1076" s="21">
        <f t="shared" ca="1" si="67"/>
        <v>0</v>
      </c>
      <c r="H1076" s="21">
        <v>1061</v>
      </c>
      <c r="I1076" s="102">
        <v>0.66781326560419452</v>
      </c>
      <c r="J1076" s="103">
        <v>1.3429633089737506E-3</v>
      </c>
      <c r="K1076" s="103"/>
      <c r="L1076" s="103">
        <v>4.1599999999999998E-2</v>
      </c>
      <c r="O1076" s="100"/>
    </row>
    <row r="1077" spans="2:15" x14ac:dyDescent="0.2">
      <c r="B1077" s="1">
        <v>1062</v>
      </c>
      <c r="C1077" s="101">
        <f t="shared" ca="1" si="64"/>
        <v>2.1761982650396527</v>
      </c>
      <c r="D1077" s="101">
        <f t="shared" ca="1" si="65"/>
        <v>0.82361337777803234</v>
      </c>
      <c r="E1077" s="101">
        <f t="shared" ca="1" si="66"/>
        <v>3.5413377778032329E-2</v>
      </c>
      <c r="F1077" s="21">
        <f t="shared" ca="1" si="67"/>
        <v>1</v>
      </c>
      <c r="H1077" s="21">
        <v>1062</v>
      </c>
      <c r="I1077" s="102">
        <v>0.66766375114358456</v>
      </c>
      <c r="J1077" s="103">
        <v>1.2990596794169008E-3</v>
      </c>
      <c r="K1077" s="103"/>
      <c r="L1077" s="103">
        <v>3.9199999999999999E-2</v>
      </c>
      <c r="O1077" s="100"/>
    </row>
    <row r="1078" spans="2:15" x14ac:dyDescent="0.2">
      <c r="B1078" s="1">
        <v>1063</v>
      </c>
      <c r="C1078" s="101">
        <f t="shared" ca="1" si="64"/>
        <v>-0.67204421162132111</v>
      </c>
      <c r="D1078" s="101">
        <f t="shared" ca="1" si="65"/>
        <v>0.62187978606782301</v>
      </c>
      <c r="E1078" s="101">
        <f t="shared" ca="1" si="66"/>
        <v>0</v>
      </c>
      <c r="F1078" s="21">
        <f t="shared" ca="1" si="67"/>
        <v>0</v>
      </c>
      <c r="H1078" s="21">
        <v>1063</v>
      </c>
      <c r="I1078" s="102">
        <v>0.667826692267948</v>
      </c>
      <c r="J1078" s="103">
        <v>1.4022734821514124E-3</v>
      </c>
      <c r="K1078" s="103"/>
      <c r="L1078" s="103">
        <v>4.5199999999999997E-2</v>
      </c>
      <c r="O1078" s="100"/>
    </row>
    <row r="1079" spans="2:15" x14ac:dyDescent="0.2">
      <c r="B1079" s="1">
        <v>1064</v>
      </c>
      <c r="C1079" s="101">
        <f t="shared" ca="1" si="64"/>
        <v>3.309840924164368E-2</v>
      </c>
      <c r="D1079" s="101">
        <f t="shared" ca="1" si="65"/>
        <v>0.66667522417153846</v>
      </c>
      <c r="E1079" s="101">
        <f t="shared" ca="1" si="66"/>
        <v>0</v>
      </c>
      <c r="F1079" s="21">
        <f t="shared" ca="1" si="67"/>
        <v>0</v>
      </c>
      <c r="H1079" s="21">
        <v>1064</v>
      </c>
      <c r="I1079" s="102">
        <v>0.66755529788352264</v>
      </c>
      <c r="J1079" s="103">
        <v>1.2341453493946992E-3</v>
      </c>
      <c r="K1079" s="103"/>
      <c r="L1079" s="103">
        <v>3.8199999999999998E-2</v>
      </c>
      <c r="O1079" s="100"/>
    </row>
    <row r="1080" spans="2:15" x14ac:dyDescent="0.2">
      <c r="B1080" s="1">
        <v>1065</v>
      </c>
      <c r="C1080" s="101">
        <f t="shared" ca="1" si="64"/>
        <v>-1.2788720720269298</v>
      </c>
      <c r="D1080" s="101">
        <f t="shared" ca="1" si="65"/>
        <v>0.58574731845582451</v>
      </c>
      <c r="E1080" s="101">
        <f t="shared" ca="1" si="66"/>
        <v>0</v>
      </c>
      <c r="F1080" s="21">
        <f t="shared" ca="1" si="67"/>
        <v>0</v>
      </c>
      <c r="H1080" s="21">
        <v>1065</v>
      </c>
      <c r="I1080" s="102">
        <v>0.66761561537303504</v>
      </c>
      <c r="J1080" s="103">
        <v>1.1433957364688769E-3</v>
      </c>
      <c r="K1080" s="103"/>
      <c r="L1080" s="103">
        <v>3.6600000000000001E-2</v>
      </c>
      <c r="O1080" s="100"/>
    </row>
    <row r="1081" spans="2:15" x14ac:dyDescent="0.2">
      <c r="B1081" s="1">
        <v>1066</v>
      </c>
      <c r="C1081" s="101">
        <f t="shared" ca="1" si="64"/>
        <v>0.46526694174296912</v>
      </c>
      <c r="D1081" s="101">
        <f t="shared" ca="1" si="65"/>
        <v>0.69570984500361577</v>
      </c>
      <c r="E1081" s="101">
        <f t="shared" ca="1" si="66"/>
        <v>0</v>
      </c>
      <c r="F1081" s="21">
        <f t="shared" ca="1" si="67"/>
        <v>0</v>
      </c>
      <c r="H1081" s="21">
        <v>1066</v>
      </c>
      <c r="I1081" s="102">
        <v>0.66777241102312745</v>
      </c>
      <c r="J1081" s="103">
        <v>1.5326460150796716E-3</v>
      </c>
      <c r="K1081" s="103"/>
      <c r="L1081" s="103">
        <v>4.58E-2</v>
      </c>
      <c r="O1081" s="100"/>
    </row>
    <row r="1082" spans="2:15" x14ac:dyDescent="0.2">
      <c r="B1082" s="1">
        <v>1067</v>
      </c>
      <c r="C1082" s="101">
        <f t="shared" ca="1" si="64"/>
        <v>0.6644835435494475</v>
      </c>
      <c r="D1082" s="101">
        <f t="shared" ca="1" si="65"/>
        <v>0.70951644438984662</v>
      </c>
      <c r="E1082" s="101">
        <f t="shared" ca="1" si="66"/>
        <v>0</v>
      </c>
      <c r="F1082" s="21">
        <f t="shared" ca="1" si="67"/>
        <v>0</v>
      </c>
      <c r="H1082" s="21">
        <v>1067</v>
      </c>
      <c r="I1082" s="102">
        <v>0.66776717647193995</v>
      </c>
      <c r="J1082" s="103">
        <v>1.4063392506348366E-3</v>
      </c>
      <c r="K1082" s="103"/>
      <c r="L1082" s="103">
        <v>4.2000000000000003E-2</v>
      </c>
      <c r="O1082" s="100"/>
    </row>
    <row r="1083" spans="2:15" x14ac:dyDescent="0.2">
      <c r="B1083" s="1">
        <v>1068</v>
      </c>
      <c r="C1083" s="101">
        <f t="shared" ca="1" si="64"/>
        <v>6.7026344203782534E-2</v>
      </c>
      <c r="D1083" s="101">
        <f t="shared" ca="1" si="65"/>
        <v>0.66891012147653073</v>
      </c>
      <c r="E1083" s="101">
        <f t="shared" ca="1" si="66"/>
        <v>0</v>
      </c>
      <c r="F1083" s="21">
        <f t="shared" ca="1" si="67"/>
        <v>0</v>
      </c>
      <c r="H1083" s="21">
        <v>1068</v>
      </c>
      <c r="I1083" s="102">
        <v>0.66777060935860921</v>
      </c>
      <c r="J1083" s="103">
        <v>1.3885611288446799E-3</v>
      </c>
      <c r="K1083" s="103"/>
      <c r="L1083" s="103">
        <v>4.58E-2</v>
      </c>
      <c r="O1083" s="100"/>
    </row>
    <row r="1084" spans="2:15" x14ac:dyDescent="0.2">
      <c r="B1084" s="1">
        <v>1069</v>
      </c>
      <c r="C1084" s="101">
        <f t="shared" ca="1" si="64"/>
        <v>0.69549488741744092</v>
      </c>
      <c r="D1084" s="101">
        <f t="shared" ca="1" si="65"/>
        <v>0.71169017827598313</v>
      </c>
      <c r="E1084" s="101">
        <f t="shared" ca="1" si="66"/>
        <v>0</v>
      </c>
      <c r="F1084" s="21">
        <f t="shared" ca="1" si="67"/>
        <v>0</v>
      </c>
      <c r="H1084" s="21">
        <v>1069</v>
      </c>
      <c r="I1084" s="102">
        <v>0.66778208057915411</v>
      </c>
      <c r="J1084" s="103">
        <v>1.2847844345267455E-3</v>
      </c>
      <c r="K1084" s="103"/>
      <c r="L1084" s="103">
        <v>4.1599999999999998E-2</v>
      </c>
      <c r="O1084" s="100"/>
    </row>
    <row r="1085" spans="2:15" x14ac:dyDescent="0.2">
      <c r="B1085" s="1">
        <v>1070</v>
      </c>
      <c r="C1085" s="101">
        <f t="shared" ca="1" si="64"/>
        <v>1.9584699248871473</v>
      </c>
      <c r="D1085" s="101">
        <f t="shared" ca="1" si="65"/>
        <v>0.80611322148262898</v>
      </c>
      <c r="E1085" s="101">
        <f t="shared" ca="1" si="66"/>
        <v>1.7913221482628972E-2</v>
      </c>
      <c r="F1085" s="21">
        <f t="shared" ca="1" si="67"/>
        <v>1</v>
      </c>
      <c r="H1085" s="21">
        <v>1070</v>
      </c>
      <c r="I1085" s="102">
        <v>0.66773559355656509</v>
      </c>
      <c r="J1085" s="103">
        <v>1.2963436529582636E-3</v>
      </c>
      <c r="K1085" s="103"/>
      <c r="L1085" s="103">
        <v>3.6999999999999998E-2</v>
      </c>
      <c r="O1085" s="100"/>
    </row>
    <row r="1086" spans="2:15" x14ac:dyDescent="0.2">
      <c r="B1086" s="1">
        <v>1071</v>
      </c>
      <c r="C1086" s="101">
        <f t="shared" ca="1" si="64"/>
        <v>-0.28065730321336396</v>
      </c>
      <c r="D1086" s="101">
        <f t="shared" ca="1" si="65"/>
        <v>0.6463581278219811</v>
      </c>
      <c r="E1086" s="101">
        <f t="shared" ca="1" si="66"/>
        <v>0</v>
      </c>
      <c r="F1086" s="21">
        <f t="shared" ca="1" si="67"/>
        <v>0</v>
      </c>
      <c r="H1086" s="21">
        <v>1071</v>
      </c>
      <c r="I1086" s="102">
        <v>0.66760996957343444</v>
      </c>
      <c r="J1086" s="103">
        <v>1.2342997662041953E-3</v>
      </c>
      <c r="K1086" s="103"/>
      <c r="L1086" s="103">
        <v>3.9800000000000002E-2</v>
      </c>
      <c r="O1086" s="100"/>
    </row>
    <row r="1087" spans="2:15" x14ac:dyDescent="0.2">
      <c r="B1087" s="1">
        <v>1072</v>
      </c>
      <c r="C1087" s="101">
        <f t="shared" ca="1" si="64"/>
        <v>0.10852124556787567</v>
      </c>
      <c r="D1087" s="101">
        <f t="shared" ca="1" si="65"/>
        <v>0.67165365654518716</v>
      </c>
      <c r="E1087" s="101">
        <f t="shared" ca="1" si="66"/>
        <v>0</v>
      </c>
      <c r="F1087" s="21">
        <f t="shared" ca="1" si="67"/>
        <v>0</v>
      </c>
      <c r="H1087" s="21">
        <v>1072</v>
      </c>
      <c r="I1087" s="102">
        <v>0.66772581932002928</v>
      </c>
      <c r="J1087" s="103">
        <v>1.4087460845168651E-3</v>
      </c>
      <c r="K1087" s="103"/>
      <c r="L1087" s="103">
        <v>4.4400000000000002E-2</v>
      </c>
      <c r="O1087" s="100"/>
    </row>
    <row r="1088" spans="2:15" x14ac:dyDescent="0.2">
      <c r="B1088" s="1">
        <v>1073</v>
      </c>
      <c r="C1088" s="101">
        <f t="shared" ca="1" si="64"/>
        <v>0.31684400323156159</v>
      </c>
      <c r="D1088" s="101">
        <f t="shared" ca="1" si="65"/>
        <v>0.68559841032636393</v>
      </c>
      <c r="E1088" s="101">
        <f t="shared" ca="1" si="66"/>
        <v>0</v>
      </c>
      <c r="F1088" s="21">
        <f t="shared" ca="1" si="67"/>
        <v>0</v>
      </c>
      <c r="H1088" s="21">
        <v>1073</v>
      </c>
      <c r="I1088" s="102">
        <v>0.66781819070881154</v>
      </c>
      <c r="J1088" s="103">
        <v>1.3394579612807293E-3</v>
      </c>
      <c r="K1088" s="103"/>
      <c r="L1088" s="103">
        <v>4.3799999999999999E-2</v>
      </c>
      <c r="O1088" s="100"/>
    </row>
    <row r="1089" spans="2:15" x14ac:dyDescent="0.2">
      <c r="B1089" s="1">
        <v>1074</v>
      </c>
      <c r="C1089" s="101">
        <f t="shared" ca="1" si="64"/>
        <v>0.36984305314957372</v>
      </c>
      <c r="D1089" s="101">
        <f t="shared" ca="1" si="65"/>
        <v>0.68919203324889722</v>
      </c>
      <c r="E1089" s="101">
        <f t="shared" ca="1" si="66"/>
        <v>0</v>
      </c>
      <c r="F1089" s="21">
        <f t="shared" ca="1" si="67"/>
        <v>0</v>
      </c>
      <c r="H1089" s="21">
        <v>1074</v>
      </c>
      <c r="I1089" s="102">
        <v>0.66773638489521625</v>
      </c>
      <c r="J1089" s="103">
        <v>1.3791283056224382E-3</v>
      </c>
      <c r="K1089" s="103"/>
      <c r="L1089" s="103">
        <v>4.1799999999999997E-2</v>
      </c>
      <c r="O1089" s="100"/>
    </row>
    <row r="1090" spans="2:15" x14ac:dyDescent="0.2">
      <c r="B1090" s="1">
        <v>1075</v>
      </c>
      <c r="C1090" s="101">
        <f t="shared" ca="1" si="64"/>
        <v>0.23416063953589292</v>
      </c>
      <c r="D1090" s="101">
        <f t="shared" ca="1" si="65"/>
        <v>0.68002941324492105</v>
      </c>
      <c r="E1090" s="101">
        <f t="shared" ca="1" si="66"/>
        <v>0</v>
      </c>
      <c r="F1090" s="21">
        <f t="shared" ca="1" si="67"/>
        <v>0</v>
      </c>
      <c r="H1090" s="21">
        <v>1075</v>
      </c>
      <c r="I1090" s="102">
        <v>0.66771857089139108</v>
      </c>
      <c r="J1090" s="103">
        <v>1.2835069285224755E-3</v>
      </c>
      <c r="K1090" s="103"/>
      <c r="L1090" s="103">
        <v>4.02E-2</v>
      </c>
      <c r="O1090" s="100"/>
    </row>
    <row r="1091" spans="2:15" x14ac:dyDescent="0.2">
      <c r="B1091" s="1">
        <v>1076</v>
      </c>
      <c r="C1091" s="101">
        <f t="shared" ca="1" si="64"/>
        <v>0.77260165525980529</v>
      </c>
      <c r="D1091" s="101">
        <f t="shared" ca="1" si="65"/>
        <v>0.71712387033002467</v>
      </c>
      <c r="E1091" s="101">
        <f t="shared" ca="1" si="66"/>
        <v>0</v>
      </c>
      <c r="F1091" s="21">
        <f t="shared" ca="1" si="67"/>
        <v>0</v>
      </c>
      <c r="H1091" s="21">
        <v>1076</v>
      </c>
      <c r="I1091" s="102">
        <v>0.66775912776644397</v>
      </c>
      <c r="J1091" s="103">
        <v>1.3482418176728479E-3</v>
      </c>
      <c r="K1091" s="103"/>
      <c r="L1091" s="103">
        <v>4.2999999999999997E-2</v>
      </c>
      <c r="O1091" s="100"/>
    </row>
    <row r="1092" spans="2:15" x14ac:dyDescent="0.2">
      <c r="B1092" s="1">
        <v>1077</v>
      </c>
      <c r="C1092" s="101">
        <f t="shared" ca="1" si="64"/>
        <v>2.1803254817526483</v>
      </c>
      <c r="D1092" s="101">
        <f t="shared" ca="1" si="65"/>
        <v>0.82394875068327</v>
      </c>
      <c r="E1092" s="101">
        <f t="shared" ca="1" si="66"/>
        <v>3.5748750683269992E-2</v>
      </c>
      <c r="F1092" s="21">
        <f t="shared" ca="1" si="67"/>
        <v>1</v>
      </c>
      <c r="H1092" s="21">
        <v>1077</v>
      </c>
      <c r="I1092" s="102">
        <v>0.66782013779616134</v>
      </c>
      <c r="J1092" s="103">
        <v>1.4439641105053326E-3</v>
      </c>
      <c r="K1092" s="103"/>
      <c r="L1092" s="103">
        <v>4.4200000000000003E-2</v>
      </c>
      <c r="O1092" s="100"/>
    </row>
    <row r="1093" spans="2:15" x14ac:dyDescent="0.2">
      <c r="B1093" s="1">
        <v>1078</v>
      </c>
      <c r="C1093" s="101">
        <f t="shared" ca="1" si="64"/>
        <v>-0.24918324286088717</v>
      </c>
      <c r="D1093" s="101">
        <f t="shared" ca="1" si="65"/>
        <v>0.6483679573724388</v>
      </c>
      <c r="E1093" s="101">
        <f t="shared" ca="1" si="66"/>
        <v>0</v>
      </c>
      <c r="F1093" s="21">
        <f t="shared" ca="1" si="67"/>
        <v>0</v>
      </c>
      <c r="H1093" s="21">
        <v>1078</v>
      </c>
      <c r="I1093" s="102">
        <v>0.66781937989296425</v>
      </c>
      <c r="J1093" s="103">
        <v>1.477046327328867E-3</v>
      </c>
      <c r="K1093" s="103"/>
      <c r="L1093" s="103">
        <v>4.4600000000000001E-2</v>
      </c>
      <c r="O1093" s="100"/>
    </row>
    <row r="1094" spans="2:15" x14ac:dyDescent="0.2">
      <c r="B1094" s="1">
        <v>1079</v>
      </c>
      <c r="C1094" s="101">
        <f t="shared" ca="1" si="64"/>
        <v>-2.1186839937699227</v>
      </c>
      <c r="D1094" s="101">
        <f t="shared" ca="1" si="65"/>
        <v>0.53917939133803328</v>
      </c>
      <c r="E1094" s="101">
        <f t="shared" ca="1" si="66"/>
        <v>0</v>
      </c>
      <c r="F1094" s="21">
        <f t="shared" ca="1" si="67"/>
        <v>0</v>
      </c>
      <c r="H1094" s="21">
        <v>1079</v>
      </c>
      <c r="I1094" s="102">
        <v>0.66771754079054346</v>
      </c>
      <c r="J1094" s="103">
        <v>1.287972052317925E-3</v>
      </c>
      <c r="K1094" s="103"/>
      <c r="L1094" s="103">
        <v>4.1000000000000002E-2</v>
      </c>
      <c r="O1094" s="100"/>
    </row>
    <row r="1095" spans="2:15" x14ac:dyDescent="0.2">
      <c r="B1095" s="1">
        <v>1080</v>
      </c>
      <c r="C1095" s="101">
        <f t="shared" ca="1" si="64"/>
        <v>-1.5176406807116907</v>
      </c>
      <c r="D1095" s="101">
        <f t="shared" ca="1" si="65"/>
        <v>0.5721127270918438</v>
      </c>
      <c r="E1095" s="101">
        <f t="shared" ca="1" si="66"/>
        <v>0</v>
      </c>
      <c r="F1095" s="21">
        <f t="shared" ca="1" si="67"/>
        <v>0</v>
      </c>
      <c r="H1095" s="21">
        <v>1080</v>
      </c>
      <c r="I1095" s="102">
        <v>0.66769655161515118</v>
      </c>
      <c r="J1095" s="103">
        <v>1.4222813462027915E-3</v>
      </c>
      <c r="K1095" s="103"/>
      <c r="L1095" s="103">
        <v>4.3200000000000002E-2</v>
      </c>
      <c r="O1095" s="100"/>
    </row>
    <row r="1096" spans="2:15" x14ac:dyDescent="0.2">
      <c r="B1096" s="1">
        <v>1081</v>
      </c>
      <c r="C1096" s="101">
        <f t="shared" ca="1" si="64"/>
        <v>9.2979632884642782E-2</v>
      </c>
      <c r="D1096" s="101">
        <f t="shared" ca="1" si="65"/>
        <v>0.67062476994386511</v>
      </c>
      <c r="E1096" s="101">
        <f t="shared" ca="1" si="66"/>
        <v>0</v>
      </c>
      <c r="F1096" s="21">
        <f t="shared" ca="1" si="67"/>
        <v>0</v>
      </c>
      <c r="H1096" s="21">
        <v>1081</v>
      </c>
      <c r="I1096" s="102">
        <v>0.66774117606802841</v>
      </c>
      <c r="J1096" s="103">
        <v>1.4299984212104325E-3</v>
      </c>
      <c r="K1096" s="103"/>
      <c r="L1096" s="103">
        <v>4.0800000000000003E-2</v>
      </c>
      <c r="O1096" s="100"/>
    </row>
    <row r="1097" spans="2:15" x14ac:dyDescent="0.2">
      <c r="B1097" s="1">
        <v>1082</v>
      </c>
      <c r="C1097" s="101">
        <f t="shared" ca="1" si="64"/>
        <v>7.7403592169270327E-2</v>
      </c>
      <c r="D1097" s="101">
        <f t="shared" ca="1" si="65"/>
        <v>0.66959518549683728</v>
      </c>
      <c r="E1097" s="101">
        <f t="shared" ca="1" si="66"/>
        <v>0</v>
      </c>
      <c r="F1097" s="21">
        <f t="shared" ca="1" si="67"/>
        <v>0</v>
      </c>
      <c r="H1097" s="21">
        <v>1082</v>
      </c>
      <c r="I1097" s="102">
        <v>0.66772578785521053</v>
      </c>
      <c r="J1097" s="103">
        <v>1.4772426055332446E-3</v>
      </c>
      <c r="K1097" s="103"/>
      <c r="L1097" s="103">
        <v>4.2799999999999998E-2</v>
      </c>
      <c r="O1097" s="100"/>
    </row>
    <row r="1098" spans="2:15" x14ac:dyDescent="0.2">
      <c r="B1098" s="1">
        <v>1083</v>
      </c>
      <c r="C1098" s="101">
        <f t="shared" ca="1" si="64"/>
        <v>1.8833347432311884E-2</v>
      </c>
      <c r="D1098" s="101">
        <f t="shared" ca="1" si="65"/>
        <v>0.66573778875628775</v>
      </c>
      <c r="E1098" s="101">
        <f t="shared" ca="1" si="66"/>
        <v>0</v>
      </c>
      <c r="F1098" s="21">
        <f t="shared" ca="1" si="67"/>
        <v>0</v>
      </c>
      <c r="H1098" s="21">
        <v>1083</v>
      </c>
      <c r="I1098" s="102">
        <v>0.66767925459077593</v>
      </c>
      <c r="J1098" s="103">
        <v>1.3445696103781531E-3</v>
      </c>
      <c r="K1098" s="103"/>
      <c r="L1098" s="103">
        <v>4.1000000000000002E-2</v>
      </c>
      <c r="O1098" s="100"/>
    </row>
    <row r="1099" spans="2:15" x14ac:dyDescent="0.2">
      <c r="B1099" s="1">
        <v>1084</v>
      </c>
      <c r="C1099" s="101">
        <f t="shared" ca="1" si="64"/>
        <v>0.60366438889061136</v>
      </c>
      <c r="D1099" s="101">
        <f t="shared" ca="1" si="65"/>
        <v>0.70527259786720542</v>
      </c>
      <c r="E1099" s="101">
        <f t="shared" ca="1" si="66"/>
        <v>0</v>
      </c>
      <c r="F1099" s="21">
        <f t="shared" ca="1" si="67"/>
        <v>0</v>
      </c>
      <c r="H1099" s="21">
        <v>1084</v>
      </c>
      <c r="I1099" s="102">
        <v>0.66782625286332331</v>
      </c>
      <c r="J1099" s="103">
        <v>1.3768713720775537E-3</v>
      </c>
      <c r="K1099" s="103"/>
      <c r="L1099" s="103">
        <v>4.0599999999999997E-2</v>
      </c>
      <c r="O1099" s="100"/>
    </row>
    <row r="1100" spans="2:15" x14ac:dyDescent="0.2">
      <c r="B1100" s="1">
        <v>1085</v>
      </c>
      <c r="C1100" s="101">
        <f t="shared" ca="1" si="64"/>
        <v>1.0792159302739743</v>
      </c>
      <c r="D1100" s="101">
        <f t="shared" ca="1" si="65"/>
        <v>0.73914449252790482</v>
      </c>
      <c r="E1100" s="101">
        <f t="shared" ca="1" si="66"/>
        <v>0</v>
      </c>
      <c r="F1100" s="21">
        <f t="shared" ca="1" si="67"/>
        <v>0</v>
      </c>
      <c r="H1100" s="21">
        <v>1085</v>
      </c>
      <c r="I1100" s="102">
        <v>0.66775914721441509</v>
      </c>
      <c r="J1100" s="103">
        <v>1.4879314448924762E-3</v>
      </c>
      <c r="K1100" s="103"/>
      <c r="L1100" s="103">
        <v>4.2799999999999998E-2</v>
      </c>
      <c r="O1100" s="100"/>
    </row>
    <row r="1101" spans="2:15" x14ac:dyDescent="0.2">
      <c r="B1101" s="1">
        <v>1086</v>
      </c>
      <c r="C1101" s="101">
        <f t="shared" ca="1" si="64"/>
        <v>-1.030284951665295</v>
      </c>
      <c r="D1101" s="101">
        <f t="shared" ca="1" si="65"/>
        <v>0.60028795346465491</v>
      </c>
      <c r="E1101" s="101">
        <f t="shared" ca="1" si="66"/>
        <v>0</v>
      </c>
      <c r="F1101" s="21">
        <f t="shared" ca="1" si="67"/>
        <v>0</v>
      </c>
      <c r="H1101" s="21">
        <v>1086</v>
      </c>
      <c r="I1101" s="102">
        <v>0.66774943388285779</v>
      </c>
      <c r="J1101" s="103">
        <v>1.3681600487758612E-3</v>
      </c>
      <c r="K1101" s="103"/>
      <c r="L1101" s="103">
        <v>3.9399999999999998E-2</v>
      </c>
      <c r="O1101" s="100"/>
    </row>
    <row r="1102" spans="2:15" x14ac:dyDescent="0.2">
      <c r="B1102" s="1">
        <v>1087</v>
      </c>
      <c r="C1102" s="101">
        <f t="shared" ca="1" si="64"/>
        <v>0.42620146892228017</v>
      </c>
      <c r="D1102" s="101">
        <f t="shared" ca="1" si="65"/>
        <v>0.69303410671552501</v>
      </c>
      <c r="E1102" s="101">
        <f t="shared" ca="1" si="66"/>
        <v>0</v>
      </c>
      <c r="F1102" s="21">
        <f t="shared" ca="1" si="67"/>
        <v>0</v>
      </c>
      <c r="H1102" s="21">
        <v>1087</v>
      </c>
      <c r="I1102" s="102">
        <v>0.66752975362209732</v>
      </c>
      <c r="J1102" s="103">
        <v>1.1122967762556423E-3</v>
      </c>
      <c r="K1102" s="103"/>
      <c r="L1102" s="103">
        <v>3.3599999999999998E-2</v>
      </c>
      <c r="O1102" s="100"/>
    </row>
    <row r="1103" spans="2:15" x14ac:dyDescent="0.2">
      <c r="B1103" s="1">
        <v>1088</v>
      </c>
      <c r="C1103" s="101">
        <f t="shared" ca="1" si="64"/>
        <v>1.2060528206012526</v>
      </c>
      <c r="D1103" s="101">
        <f t="shared" ca="1" si="65"/>
        <v>0.74845028732065533</v>
      </c>
      <c r="E1103" s="101">
        <f t="shared" ca="1" si="66"/>
        <v>0</v>
      </c>
      <c r="F1103" s="21">
        <f t="shared" ca="1" si="67"/>
        <v>0</v>
      </c>
      <c r="H1103" s="21">
        <v>1088</v>
      </c>
      <c r="I1103" s="102">
        <v>0.66772759903432477</v>
      </c>
      <c r="J1103" s="103">
        <v>1.378949641210435E-3</v>
      </c>
      <c r="K1103" s="103"/>
      <c r="L1103" s="103">
        <v>4.3400000000000001E-2</v>
      </c>
      <c r="O1103" s="100"/>
    </row>
    <row r="1104" spans="2:15" x14ac:dyDescent="0.2">
      <c r="B1104" s="1">
        <v>1089</v>
      </c>
      <c r="C1104" s="101">
        <f t="shared" ref="C1104:C1167" ca="1" si="68">_xlfn.NORM.S.INV(RAND())</f>
        <v>-0.6470061108285593</v>
      </c>
      <c r="D1104" s="101">
        <f t="shared" ref="D1104:D1167" ca="1" si="69">S0*EXP((μ-0.5*σ*σ)*T+σ*SQRT(T)*$C1104)</f>
        <v>0.62341759770597005</v>
      </c>
      <c r="E1104" s="101">
        <f t="shared" ref="E1104:E1167" ca="1" si="70">MAX(0,CP*(D1104-K))</f>
        <v>0</v>
      </c>
      <c r="F1104" s="21">
        <f t="shared" ref="F1104:F1167" ca="1" si="71">(CP*(D1104-K)&gt;0)*1</f>
        <v>0</v>
      </c>
      <c r="H1104" s="21">
        <v>1089</v>
      </c>
      <c r="I1104" s="102">
        <v>0.66759714240086354</v>
      </c>
      <c r="J1104" s="103">
        <v>1.2453513066476294E-3</v>
      </c>
      <c r="K1104" s="103"/>
      <c r="L1104" s="103">
        <v>3.6799999999999999E-2</v>
      </c>
      <c r="O1104" s="100"/>
    </row>
    <row r="1105" spans="2:15" x14ac:dyDescent="0.2">
      <c r="B1105" s="1">
        <v>1090</v>
      </c>
      <c r="C1105" s="101">
        <f t="shared" ca="1" si="68"/>
        <v>-2.455549951097876</v>
      </c>
      <c r="D1105" s="101">
        <f t="shared" ca="1" si="69"/>
        <v>0.52155745107147322</v>
      </c>
      <c r="E1105" s="101">
        <f t="shared" ca="1" si="70"/>
        <v>0</v>
      </c>
      <c r="F1105" s="21">
        <f t="shared" ca="1" si="71"/>
        <v>0</v>
      </c>
      <c r="H1105" s="21">
        <v>1090</v>
      </c>
      <c r="I1105" s="102">
        <v>0.66778324021980251</v>
      </c>
      <c r="J1105" s="103">
        <v>1.3982933921466174E-3</v>
      </c>
      <c r="K1105" s="103"/>
      <c r="L1105" s="103">
        <v>4.2000000000000003E-2</v>
      </c>
      <c r="O1105" s="100"/>
    </row>
    <row r="1106" spans="2:15" x14ac:dyDescent="0.2">
      <c r="B1106" s="1">
        <v>1091</v>
      </c>
      <c r="C1106" s="101">
        <f t="shared" ca="1" si="68"/>
        <v>-1.9069411644004668</v>
      </c>
      <c r="D1106" s="101">
        <f t="shared" ca="1" si="69"/>
        <v>0.55055944361355824</v>
      </c>
      <c r="E1106" s="101">
        <f t="shared" ca="1" si="70"/>
        <v>0</v>
      </c>
      <c r="F1106" s="21">
        <f t="shared" ca="1" si="71"/>
        <v>0</v>
      </c>
      <c r="H1106" s="21">
        <v>1091</v>
      </c>
      <c r="I1106" s="102">
        <v>0.66777116163093164</v>
      </c>
      <c r="J1106" s="103">
        <v>1.4273158667990494E-3</v>
      </c>
      <c r="K1106" s="103"/>
      <c r="L1106" s="103">
        <v>4.48E-2</v>
      </c>
      <c r="O1106" s="100"/>
    </row>
    <row r="1107" spans="2:15" x14ac:dyDescent="0.2">
      <c r="B1107" s="1">
        <v>1092</v>
      </c>
      <c r="C1107" s="101">
        <f t="shared" ca="1" si="68"/>
        <v>9.7903887191910857E-2</v>
      </c>
      <c r="D1107" s="101">
        <f t="shared" ca="1" si="69"/>
        <v>0.67095059497447407</v>
      </c>
      <c r="E1107" s="101">
        <f t="shared" ca="1" si="70"/>
        <v>0</v>
      </c>
      <c r="F1107" s="21">
        <f t="shared" ca="1" si="71"/>
        <v>0</v>
      </c>
      <c r="H1107" s="21">
        <v>1092</v>
      </c>
      <c r="I1107" s="102">
        <v>0.66761299340764024</v>
      </c>
      <c r="J1107" s="103">
        <v>1.1078833654428355E-3</v>
      </c>
      <c r="K1107" s="103"/>
      <c r="L1107" s="103">
        <v>3.7600000000000001E-2</v>
      </c>
      <c r="O1107" s="100"/>
    </row>
    <row r="1108" spans="2:15" x14ac:dyDescent="0.2">
      <c r="B1108" s="1">
        <v>1093</v>
      </c>
      <c r="C1108" s="101">
        <f t="shared" ca="1" si="68"/>
        <v>-0.45007225818785296</v>
      </c>
      <c r="D1108" s="101">
        <f t="shared" ca="1" si="69"/>
        <v>0.63564638598798151</v>
      </c>
      <c r="E1108" s="101">
        <f t="shared" ca="1" si="70"/>
        <v>0</v>
      </c>
      <c r="F1108" s="21">
        <f t="shared" ca="1" si="71"/>
        <v>0</v>
      </c>
      <c r="H1108" s="21">
        <v>1093</v>
      </c>
      <c r="I1108" s="102">
        <v>0.66764094131228235</v>
      </c>
      <c r="J1108" s="103">
        <v>1.2885540296611417E-3</v>
      </c>
      <c r="K1108" s="103"/>
      <c r="L1108" s="103">
        <v>3.9600000000000003E-2</v>
      </c>
      <c r="O1108" s="100"/>
    </row>
    <row r="1109" spans="2:15" x14ac:dyDescent="0.2">
      <c r="B1109" s="1">
        <v>1094</v>
      </c>
      <c r="C1109" s="101">
        <f t="shared" ca="1" si="68"/>
        <v>-0.45764858105076511</v>
      </c>
      <c r="D1109" s="101">
        <f t="shared" ca="1" si="69"/>
        <v>0.63517152041601221</v>
      </c>
      <c r="E1109" s="101">
        <f t="shared" ca="1" si="70"/>
        <v>0</v>
      </c>
      <c r="F1109" s="21">
        <f t="shared" ca="1" si="71"/>
        <v>0</v>
      </c>
      <c r="H1109" s="21">
        <v>1094</v>
      </c>
      <c r="I1109" s="102">
        <v>0.66762883186103172</v>
      </c>
      <c r="J1109" s="103">
        <v>1.2116518681455908E-3</v>
      </c>
      <c r="K1109" s="103"/>
      <c r="L1109" s="103">
        <v>3.7400000000000003E-2</v>
      </c>
      <c r="O1109" s="100"/>
    </row>
    <row r="1110" spans="2:15" x14ac:dyDescent="0.2">
      <c r="B1110" s="1">
        <v>1095</v>
      </c>
      <c r="C1110" s="101">
        <f t="shared" ca="1" si="68"/>
        <v>0.23894323760603639</v>
      </c>
      <c r="D1110" s="101">
        <f t="shared" ca="1" si="69"/>
        <v>0.68035030083995973</v>
      </c>
      <c r="E1110" s="101">
        <f t="shared" ca="1" si="70"/>
        <v>0</v>
      </c>
      <c r="F1110" s="21">
        <f t="shared" ca="1" si="71"/>
        <v>0</v>
      </c>
      <c r="H1110" s="21">
        <v>1095</v>
      </c>
      <c r="I1110" s="102">
        <v>0.66777455181948875</v>
      </c>
      <c r="J1110" s="103">
        <v>1.4514787052880842E-3</v>
      </c>
      <c r="K1110" s="103"/>
      <c r="L1110" s="103">
        <v>4.4200000000000003E-2</v>
      </c>
      <c r="O1110" s="100"/>
    </row>
    <row r="1111" spans="2:15" x14ac:dyDescent="0.2">
      <c r="B1111" s="1">
        <v>1096</v>
      </c>
      <c r="C1111" s="101">
        <f t="shared" ca="1" si="68"/>
        <v>9.2926157910225723E-2</v>
      </c>
      <c r="D1111" s="101">
        <f t="shared" ca="1" si="69"/>
        <v>0.67062123251324279</v>
      </c>
      <c r="E1111" s="101">
        <f t="shared" ca="1" si="70"/>
        <v>0</v>
      </c>
      <c r="F1111" s="21">
        <f t="shared" ca="1" si="71"/>
        <v>0</v>
      </c>
      <c r="H1111" s="21">
        <v>1096</v>
      </c>
      <c r="I1111" s="102">
        <v>0.66770580547501324</v>
      </c>
      <c r="J1111" s="103">
        <v>1.203750386221489E-3</v>
      </c>
      <c r="K1111" s="103"/>
      <c r="L1111" s="103">
        <v>0.04</v>
      </c>
      <c r="O1111" s="100"/>
    </row>
    <row r="1112" spans="2:15" x14ac:dyDescent="0.2">
      <c r="B1112" s="1">
        <v>1097</v>
      </c>
      <c r="C1112" s="101">
        <f t="shared" ca="1" si="68"/>
        <v>-0.25133385788704143</v>
      </c>
      <c r="D1112" s="101">
        <f t="shared" ca="1" si="69"/>
        <v>0.64823042749514559</v>
      </c>
      <c r="E1112" s="101">
        <f t="shared" ca="1" si="70"/>
        <v>0</v>
      </c>
      <c r="F1112" s="21">
        <f t="shared" ca="1" si="71"/>
        <v>0</v>
      </c>
      <c r="H1112" s="21">
        <v>1097</v>
      </c>
      <c r="I1112" s="102">
        <v>0.66776392915212079</v>
      </c>
      <c r="J1112" s="103">
        <v>1.3259202133543136E-3</v>
      </c>
      <c r="K1112" s="103"/>
      <c r="L1112" s="103">
        <v>4.2799999999999998E-2</v>
      </c>
      <c r="O1112" s="100"/>
    </row>
    <row r="1113" spans="2:15" x14ac:dyDescent="0.2">
      <c r="B1113" s="1">
        <v>1098</v>
      </c>
      <c r="C1113" s="101">
        <f t="shared" ca="1" si="68"/>
        <v>1.2338185329773159</v>
      </c>
      <c r="D1113" s="101">
        <f t="shared" ca="1" si="69"/>
        <v>0.75050298763750978</v>
      </c>
      <c r="E1113" s="101">
        <f t="shared" ca="1" si="70"/>
        <v>0</v>
      </c>
      <c r="F1113" s="21">
        <f t="shared" ca="1" si="71"/>
        <v>0</v>
      </c>
      <c r="H1113" s="21">
        <v>1098</v>
      </c>
      <c r="I1113" s="102">
        <v>0.66769063519190752</v>
      </c>
      <c r="J1113" s="103">
        <v>1.3174105196218284E-3</v>
      </c>
      <c r="K1113" s="103"/>
      <c r="L1113" s="103">
        <v>4.1599999999999998E-2</v>
      </c>
      <c r="O1113" s="100"/>
    </row>
    <row r="1114" spans="2:15" x14ac:dyDescent="0.2">
      <c r="B1114" s="1">
        <v>1099</v>
      </c>
      <c r="C1114" s="101">
        <f t="shared" ca="1" si="68"/>
        <v>-0.80593832580263813</v>
      </c>
      <c r="D1114" s="101">
        <f t="shared" ca="1" si="69"/>
        <v>0.61372031487560885</v>
      </c>
      <c r="E1114" s="101">
        <f t="shared" ca="1" si="70"/>
        <v>0</v>
      </c>
      <c r="F1114" s="21">
        <f t="shared" ca="1" si="71"/>
        <v>0</v>
      </c>
      <c r="H1114" s="21">
        <v>1099</v>
      </c>
      <c r="I1114" s="102">
        <v>0.667536886673885</v>
      </c>
      <c r="J1114" s="103">
        <v>1.2415350225131335E-3</v>
      </c>
      <c r="K1114" s="103"/>
      <c r="L1114" s="103">
        <v>3.4799999999999998E-2</v>
      </c>
      <c r="O1114" s="100"/>
    </row>
    <row r="1115" spans="2:15" x14ac:dyDescent="0.2">
      <c r="B1115" s="1">
        <v>1100</v>
      </c>
      <c r="C1115" s="101">
        <f t="shared" ca="1" si="68"/>
        <v>-1.0793746476982145</v>
      </c>
      <c r="D1115" s="101">
        <f t="shared" ca="1" si="69"/>
        <v>0.59738822180825979</v>
      </c>
      <c r="E1115" s="101">
        <f t="shared" ca="1" si="70"/>
        <v>0</v>
      </c>
      <c r="F1115" s="21">
        <f t="shared" ca="1" si="71"/>
        <v>0</v>
      </c>
      <c r="H1115" s="21">
        <v>1100</v>
      </c>
      <c r="I1115" s="102">
        <v>0.66782308511371535</v>
      </c>
      <c r="J1115" s="103">
        <v>1.4085837905901371E-3</v>
      </c>
      <c r="K1115" s="103"/>
      <c r="L1115" s="103">
        <v>4.4999999999999998E-2</v>
      </c>
      <c r="O1115" s="100"/>
    </row>
    <row r="1116" spans="2:15" x14ac:dyDescent="0.2">
      <c r="B1116" s="1">
        <v>1101</v>
      </c>
      <c r="C1116" s="101">
        <f t="shared" ca="1" si="68"/>
        <v>1.0758326492348511</v>
      </c>
      <c r="D1116" s="101">
        <f t="shared" ca="1" si="69"/>
        <v>0.73889785801258734</v>
      </c>
      <c r="E1116" s="101">
        <f t="shared" ca="1" si="70"/>
        <v>0</v>
      </c>
      <c r="F1116" s="21">
        <f t="shared" ca="1" si="71"/>
        <v>0</v>
      </c>
      <c r="H1116" s="21">
        <v>1101</v>
      </c>
      <c r="I1116" s="102">
        <v>0.66766735191829807</v>
      </c>
      <c r="J1116" s="103">
        <v>1.268149963140307E-3</v>
      </c>
      <c r="K1116" s="103"/>
      <c r="L1116" s="103">
        <v>4.2999999999999997E-2</v>
      </c>
      <c r="O1116" s="100"/>
    </row>
    <row r="1117" spans="2:15" x14ac:dyDescent="0.2">
      <c r="B1117" s="1">
        <v>1102</v>
      </c>
      <c r="C1117" s="101">
        <f t="shared" ca="1" si="68"/>
        <v>1.1216004791525716</v>
      </c>
      <c r="D1117" s="101">
        <f t="shared" ca="1" si="69"/>
        <v>0.74224122716180985</v>
      </c>
      <c r="E1117" s="101">
        <f t="shared" ca="1" si="70"/>
        <v>0</v>
      </c>
      <c r="F1117" s="21">
        <f t="shared" ca="1" si="71"/>
        <v>0</v>
      </c>
      <c r="H1117" s="21">
        <v>1102</v>
      </c>
      <c r="I1117" s="102">
        <v>0.66788934559598767</v>
      </c>
      <c r="J1117" s="103">
        <v>1.6103558685920821E-3</v>
      </c>
      <c r="K1117" s="103"/>
      <c r="L1117" s="103">
        <v>4.9000000000000002E-2</v>
      </c>
      <c r="O1117" s="100"/>
    </row>
    <row r="1118" spans="2:15" x14ac:dyDescent="0.2">
      <c r="B1118" s="1">
        <v>1103</v>
      </c>
      <c r="C1118" s="101">
        <f t="shared" ca="1" si="68"/>
        <v>0.79327806464746586</v>
      </c>
      <c r="D1118" s="101">
        <f t="shared" ca="1" si="69"/>
        <v>0.71858797174214606</v>
      </c>
      <c r="E1118" s="101">
        <f t="shared" ca="1" si="70"/>
        <v>0</v>
      </c>
      <c r="F1118" s="21">
        <f t="shared" ca="1" si="71"/>
        <v>0</v>
      </c>
      <c r="H1118" s="21">
        <v>1103</v>
      </c>
      <c r="I1118" s="102">
        <v>0.66768313087081166</v>
      </c>
      <c r="J1118" s="103">
        <v>1.4400278545350701E-3</v>
      </c>
      <c r="K1118" s="103"/>
      <c r="L1118" s="103">
        <v>3.9600000000000003E-2</v>
      </c>
      <c r="O1118" s="100"/>
    </row>
    <row r="1119" spans="2:15" x14ac:dyDescent="0.2">
      <c r="B1119" s="1">
        <v>1104</v>
      </c>
      <c r="C1119" s="101">
        <f t="shared" ca="1" si="68"/>
        <v>-1.8228533452252342</v>
      </c>
      <c r="D1119" s="101">
        <f t="shared" ca="1" si="69"/>
        <v>0.55514506914066264</v>
      </c>
      <c r="E1119" s="101">
        <f t="shared" ca="1" si="70"/>
        <v>0</v>
      </c>
      <c r="F1119" s="21">
        <f t="shared" ca="1" si="71"/>
        <v>0</v>
      </c>
      <c r="H1119" s="21">
        <v>1104</v>
      </c>
      <c r="I1119" s="102">
        <v>0.66786727294369097</v>
      </c>
      <c r="J1119" s="103">
        <v>1.6018946776494623E-3</v>
      </c>
      <c r="K1119" s="103"/>
      <c r="L1119" s="103">
        <v>4.4999999999999998E-2</v>
      </c>
      <c r="O1119" s="100"/>
    </row>
    <row r="1120" spans="2:15" x14ac:dyDescent="0.2">
      <c r="B1120" s="1">
        <v>1105</v>
      </c>
      <c r="C1120" s="101">
        <f t="shared" ca="1" si="68"/>
        <v>-1.1702952639454138</v>
      </c>
      <c r="D1120" s="101">
        <f t="shared" ca="1" si="69"/>
        <v>0.59205448120201076</v>
      </c>
      <c r="E1120" s="101">
        <f t="shared" ca="1" si="70"/>
        <v>0</v>
      </c>
      <c r="F1120" s="21">
        <f t="shared" ca="1" si="71"/>
        <v>0</v>
      </c>
      <c r="H1120" s="21">
        <v>1105</v>
      </c>
      <c r="I1120" s="102">
        <v>0.6677277491250706</v>
      </c>
      <c r="J1120" s="103">
        <v>1.3979495985887507E-3</v>
      </c>
      <c r="K1120" s="103"/>
      <c r="L1120" s="103">
        <v>4.1200000000000001E-2</v>
      </c>
      <c r="O1120" s="100"/>
    </row>
    <row r="1121" spans="2:15" x14ac:dyDescent="0.2">
      <c r="B1121" s="1">
        <v>1106</v>
      </c>
      <c r="C1121" s="101">
        <f t="shared" ca="1" si="68"/>
        <v>-0.79368495686300855</v>
      </c>
      <c r="D1121" s="101">
        <f t="shared" ca="1" si="69"/>
        <v>0.61446256007886435</v>
      </c>
      <c r="E1121" s="101">
        <f t="shared" ca="1" si="70"/>
        <v>0</v>
      </c>
      <c r="F1121" s="21">
        <f t="shared" ca="1" si="71"/>
        <v>0</v>
      </c>
      <c r="H1121" s="21">
        <v>1106</v>
      </c>
      <c r="I1121" s="102">
        <v>0.66760677975746308</v>
      </c>
      <c r="J1121" s="103">
        <v>1.1195158316670113E-3</v>
      </c>
      <c r="K1121" s="103"/>
      <c r="L1121" s="103">
        <v>3.7199999999999997E-2</v>
      </c>
      <c r="O1121" s="100"/>
    </row>
    <row r="1122" spans="2:15" x14ac:dyDescent="0.2">
      <c r="B1122" s="1">
        <v>1107</v>
      </c>
      <c r="C1122" s="101">
        <f t="shared" ca="1" si="68"/>
        <v>0.38162142375840552</v>
      </c>
      <c r="D1122" s="101">
        <f t="shared" ca="1" si="69"/>
        <v>0.68999322538525754</v>
      </c>
      <c r="E1122" s="101">
        <f t="shared" ca="1" si="70"/>
        <v>0</v>
      </c>
      <c r="F1122" s="21">
        <f t="shared" ca="1" si="71"/>
        <v>0</v>
      </c>
      <c r="H1122" s="21">
        <v>1107</v>
      </c>
      <c r="I1122" s="102">
        <v>0.66784978459707667</v>
      </c>
      <c r="J1122" s="103">
        <v>1.5381904835698992E-3</v>
      </c>
      <c r="K1122" s="103"/>
      <c r="L1122" s="103">
        <v>4.5600000000000002E-2</v>
      </c>
      <c r="O1122" s="100"/>
    </row>
    <row r="1123" spans="2:15" x14ac:dyDescent="0.2">
      <c r="B1123" s="1">
        <v>1108</v>
      </c>
      <c r="C1123" s="101">
        <f t="shared" ca="1" si="68"/>
        <v>1.7870640093899062</v>
      </c>
      <c r="D1123" s="101">
        <f t="shared" ca="1" si="69"/>
        <v>0.79259827089705925</v>
      </c>
      <c r="E1123" s="101">
        <f t="shared" ca="1" si="70"/>
        <v>4.3982708970592421E-3</v>
      </c>
      <c r="F1123" s="21">
        <f t="shared" ca="1" si="71"/>
        <v>1</v>
      </c>
      <c r="H1123" s="21">
        <v>1108</v>
      </c>
      <c r="I1123" s="102">
        <v>0.66787218168071338</v>
      </c>
      <c r="J1123" s="103">
        <v>1.5406986839938018E-3</v>
      </c>
      <c r="K1123" s="103"/>
      <c r="L1123" s="103">
        <v>4.3799999999999999E-2</v>
      </c>
      <c r="O1123" s="100"/>
    </row>
    <row r="1124" spans="2:15" x14ac:dyDescent="0.2">
      <c r="B1124" s="1">
        <v>1109</v>
      </c>
      <c r="C1124" s="101">
        <f t="shared" ca="1" si="68"/>
        <v>0.36884493174571142</v>
      </c>
      <c r="D1124" s="101">
        <f t="shared" ca="1" si="69"/>
        <v>0.68912418148554733</v>
      </c>
      <c r="E1124" s="101">
        <f t="shared" ca="1" si="70"/>
        <v>0</v>
      </c>
      <c r="F1124" s="21">
        <f t="shared" ca="1" si="71"/>
        <v>0</v>
      </c>
      <c r="H1124" s="21">
        <v>1109</v>
      </c>
      <c r="I1124" s="102">
        <v>0.66766961198061747</v>
      </c>
      <c r="J1124" s="103">
        <v>1.2460805932581057E-3</v>
      </c>
      <c r="K1124" s="103"/>
      <c r="L1124" s="103">
        <v>3.8199999999999998E-2</v>
      </c>
      <c r="O1124" s="100"/>
    </row>
    <row r="1125" spans="2:15" x14ac:dyDescent="0.2">
      <c r="B1125" s="1">
        <v>1110</v>
      </c>
      <c r="C1125" s="101">
        <f t="shared" ca="1" si="68"/>
        <v>1.1355403359192719</v>
      </c>
      <c r="D1125" s="101">
        <f t="shared" ca="1" si="69"/>
        <v>0.74326254497550803</v>
      </c>
      <c r="E1125" s="101">
        <f t="shared" ca="1" si="70"/>
        <v>0</v>
      </c>
      <c r="F1125" s="21">
        <f t="shared" ca="1" si="71"/>
        <v>0</v>
      </c>
      <c r="H1125" s="21">
        <v>1110</v>
      </c>
      <c r="I1125" s="102">
        <v>0.66777072478948185</v>
      </c>
      <c r="J1125" s="103">
        <v>1.4334600323508168E-3</v>
      </c>
      <c r="K1125" s="103"/>
      <c r="L1125" s="103">
        <v>4.3999999999999997E-2</v>
      </c>
      <c r="O1125" s="100"/>
    </row>
    <row r="1126" spans="2:15" x14ac:dyDescent="0.2">
      <c r="B1126" s="1">
        <v>1111</v>
      </c>
      <c r="C1126" s="101">
        <f t="shared" ca="1" si="68"/>
        <v>-0.98699038528438476</v>
      </c>
      <c r="D1126" s="101">
        <f t="shared" ca="1" si="69"/>
        <v>0.60285704518394767</v>
      </c>
      <c r="E1126" s="101">
        <f t="shared" ca="1" si="70"/>
        <v>0</v>
      </c>
      <c r="F1126" s="21">
        <f t="shared" ca="1" si="71"/>
        <v>0</v>
      </c>
      <c r="H1126" s="21">
        <v>1111</v>
      </c>
      <c r="I1126" s="102">
        <v>0.66772871401540745</v>
      </c>
      <c r="J1126" s="103">
        <v>1.398389154544645E-3</v>
      </c>
      <c r="K1126" s="103"/>
      <c r="L1126" s="103">
        <v>4.2999999999999997E-2</v>
      </c>
      <c r="O1126" s="100"/>
    </row>
    <row r="1127" spans="2:15" x14ac:dyDescent="0.2">
      <c r="B1127" s="1">
        <v>1112</v>
      </c>
      <c r="C1127" s="101">
        <f t="shared" ca="1" si="68"/>
        <v>-0.88825578316861709</v>
      </c>
      <c r="D1127" s="101">
        <f t="shared" ca="1" si="69"/>
        <v>0.60875714287850469</v>
      </c>
      <c r="E1127" s="101">
        <f t="shared" ca="1" si="70"/>
        <v>0</v>
      </c>
      <c r="F1127" s="21">
        <f t="shared" ca="1" si="71"/>
        <v>0</v>
      </c>
      <c r="H1127" s="21">
        <v>1112</v>
      </c>
      <c r="I1127" s="102">
        <v>0.6675352161411523</v>
      </c>
      <c r="J1127" s="103">
        <v>1.0388290320714126E-3</v>
      </c>
      <c r="K1127" s="103"/>
      <c r="L1127" s="103">
        <v>3.8800000000000001E-2</v>
      </c>
      <c r="O1127" s="100"/>
    </row>
    <row r="1128" spans="2:15" x14ac:dyDescent="0.2">
      <c r="B1128" s="1">
        <v>1113</v>
      </c>
      <c r="C1128" s="101">
        <f t="shared" ca="1" si="68"/>
        <v>-0.79226351151389729</v>
      </c>
      <c r="D1128" s="101">
        <f t="shared" ca="1" si="69"/>
        <v>0.61454872191408927</v>
      </c>
      <c r="E1128" s="101">
        <f t="shared" ca="1" si="70"/>
        <v>0</v>
      </c>
      <c r="F1128" s="21">
        <f t="shared" ca="1" si="71"/>
        <v>0</v>
      </c>
      <c r="H1128" s="21">
        <v>1113</v>
      </c>
      <c r="I1128" s="102">
        <v>0.66764831651195211</v>
      </c>
      <c r="J1128" s="103">
        <v>1.2403310905492893E-3</v>
      </c>
      <c r="K1128" s="103"/>
      <c r="L1128" s="103">
        <v>4.1599999999999998E-2</v>
      </c>
      <c r="O1128" s="100"/>
    </row>
    <row r="1129" spans="2:15" x14ac:dyDescent="0.2">
      <c r="B1129" s="1">
        <v>1114</v>
      </c>
      <c r="C1129" s="101">
        <f t="shared" ca="1" si="68"/>
        <v>6.7703858154313123E-2</v>
      </c>
      <c r="D1129" s="101">
        <f t="shared" ca="1" si="69"/>
        <v>0.66895482681861262</v>
      </c>
      <c r="E1129" s="101">
        <f t="shared" ca="1" si="70"/>
        <v>0</v>
      </c>
      <c r="F1129" s="21">
        <f t="shared" ca="1" si="71"/>
        <v>0</v>
      </c>
      <c r="H1129" s="21">
        <v>1114</v>
      </c>
      <c r="I1129" s="102">
        <v>0.66779557813722723</v>
      </c>
      <c r="J1129" s="103">
        <v>1.4171969628752712E-3</v>
      </c>
      <c r="K1129" s="103"/>
      <c r="L1129" s="103">
        <v>4.4200000000000003E-2</v>
      </c>
      <c r="O1129" s="100"/>
    </row>
    <row r="1130" spans="2:15" x14ac:dyDescent="0.2">
      <c r="B1130" s="1">
        <v>1115</v>
      </c>
      <c r="C1130" s="101">
        <f t="shared" ca="1" si="68"/>
        <v>1.0513294709606389</v>
      </c>
      <c r="D1130" s="101">
        <f t="shared" ca="1" si="69"/>
        <v>0.73711407927367145</v>
      </c>
      <c r="E1130" s="101">
        <f t="shared" ca="1" si="70"/>
        <v>0</v>
      </c>
      <c r="F1130" s="21">
        <f t="shared" ca="1" si="71"/>
        <v>0</v>
      </c>
      <c r="H1130" s="21">
        <v>1115</v>
      </c>
      <c r="I1130" s="102">
        <v>0.66789459994629319</v>
      </c>
      <c r="J1130" s="103">
        <v>1.5437051959149247E-3</v>
      </c>
      <c r="K1130" s="103"/>
      <c r="L1130" s="103">
        <v>4.4400000000000002E-2</v>
      </c>
      <c r="O1130" s="100"/>
    </row>
    <row r="1131" spans="2:15" x14ac:dyDescent="0.2">
      <c r="B1131" s="1">
        <v>1116</v>
      </c>
      <c r="C1131" s="101">
        <f t="shared" ca="1" si="68"/>
        <v>-1.6644326211173854</v>
      </c>
      <c r="D1131" s="101">
        <f t="shared" ca="1" si="69"/>
        <v>0.56388836397128994</v>
      </c>
      <c r="E1131" s="101">
        <f t="shared" ca="1" si="70"/>
        <v>0</v>
      </c>
      <c r="F1131" s="21">
        <f t="shared" ca="1" si="71"/>
        <v>0</v>
      </c>
      <c r="H1131" s="21">
        <v>1116</v>
      </c>
      <c r="I1131" s="102">
        <v>0.66776815715552018</v>
      </c>
      <c r="J1131" s="103">
        <v>1.316266201567904E-3</v>
      </c>
      <c r="K1131" s="103"/>
      <c r="L1131" s="103">
        <v>4.3999999999999997E-2</v>
      </c>
      <c r="O1131" s="100"/>
    </row>
    <row r="1132" spans="2:15" x14ac:dyDescent="0.2">
      <c r="B1132" s="1">
        <v>1117</v>
      </c>
      <c r="C1132" s="101">
        <f t="shared" ca="1" si="68"/>
        <v>2.7295785268713062</v>
      </c>
      <c r="D1132" s="101">
        <f t="shared" ca="1" si="69"/>
        <v>0.86982094554989708</v>
      </c>
      <c r="E1132" s="101">
        <f t="shared" ca="1" si="70"/>
        <v>8.1620945549897073E-2</v>
      </c>
      <c r="F1132" s="21">
        <f t="shared" ca="1" si="71"/>
        <v>1</v>
      </c>
      <c r="H1132" s="21">
        <v>1117</v>
      </c>
      <c r="I1132" s="102">
        <v>0.66778931693100663</v>
      </c>
      <c r="J1132" s="103">
        <v>1.3241558571964413E-3</v>
      </c>
      <c r="K1132" s="103"/>
      <c r="L1132" s="103">
        <v>4.1799999999999997E-2</v>
      </c>
      <c r="O1132" s="100"/>
    </row>
    <row r="1133" spans="2:15" x14ac:dyDescent="0.2">
      <c r="B1133" s="1">
        <v>1118</v>
      </c>
      <c r="C1133" s="101">
        <f t="shared" ca="1" si="68"/>
        <v>-9.419141652683273E-2</v>
      </c>
      <c r="D1133" s="101">
        <f t="shared" ca="1" si="69"/>
        <v>0.65835675804759552</v>
      </c>
      <c r="E1133" s="101">
        <f t="shared" ca="1" si="70"/>
        <v>0</v>
      </c>
      <c r="F1133" s="21">
        <f t="shared" ca="1" si="71"/>
        <v>0</v>
      </c>
      <c r="H1133" s="21">
        <v>1118</v>
      </c>
      <c r="I1133" s="102">
        <v>0.66763732199726145</v>
      </c>
      <c r="J1133" s="103">
        <v>1.3004862072931228E-3</v>
      </c>
      <c r="K1133" s="103"/>
      <c r="L1133" s="103">
        <v>3.8800000000000001E-2</v>
      </c>
      <c r="O1133" s="100"/>
    </row>
    <row r="1134" spans="2:15" x14ac:dyDescent="0.2">
      <c r="B1134" s="1">
        <v>1119</v>
      </c>
      <c r="C1134" s="101">
        <f t="shared" ca="1" si="68"/>
        <v>-6.691984519050187E-2</v>
      </c>
      <c r="D1134" s="101">
        <f t="shared" ca="1" si="69"/>
        <v>0.66013019045375709</v>
      </c>
      <c r="E1134" s="101">
        <f t="shared" ca="1" si="70"/>
        <v>0</v>
      </c>
      <c r="F1134" s="21">
        <f t="shared" ca="1" si="71"/>
        <v>0</v>
      </c>
      <c r="H1134" s="21">
        <v>1119</v>
      </c>
      <c r="I1134" s="102">
        <v>0.66780452166503568</v>
      </c>
      <c r="J1134" s="103">
        <v>1.2995491615197974E-3</v>
      </c>
      <c r="K1134" s="103"/>
      <c r="L1134" s="103">
        <v>4.2999999999999997E-2</v>
      </c>
      <c r="O1134" s="100"/>
    </row>
    <row r="1135" spans="2:15" x14ac:dyDescent="0.2">
      <c r="B1135" s="1">
        <v>1120</v>
      </c>
      <c r="C1135" s="101">
        <f t="shared" ca="1" si="68"/>
        <v>-0.28757292445556859</v>
      </c>
      <c r="D1135" s="101">
        <f t="shared" ca="1" si="69"/>
        <v>0.64591735460979605</v>
      </c>
      <c r="E1135" s="101">
        <f t="shared" ca="1" si="70"/>
        <v>0</v>
      </c>
      <c r="F1135" s="21">
        <f t="shared" ca="1" si="71"/>
        <v>0</v>
      </c>
      <c r="H1135" s="21">
        <v>1120</v>
      </c>
      <c r="I1135" s="102">
        <v>0.66787803824334346</v>
      </c>
      <c r="J1135" s="103">
        <v>1.6955550715472196E-3</v>
      </c>
      <c r="K1135" s="103"/>
      <c r="L1135" s="103">
        <v>4.6399999999999997E-2</v>
      </c>
      <c r="O1135" s="100"/>
    </row>
    <row r="1136" spans="2:15" x14ac:dyDescent="0.2">
      <c r="B1136" s="1">
        <v>1121</v>
      </c>
      <c r="C1136" s="101">
        <f t="shared" ca="1" si="68"/>
        <v>1.5262705027884653</v>
      </c>
      <c r="D1136" s="101">
        <f t="shared" ca="1" si="69"/>
        <v>0.77246869366714666</v>
      </c>
      <c r="E1136" s="101">
        <f t="shared" ca="1" si="70"/>
        <v>0</v>
      </c>
      <c r="F1136" s="21">
        <f t="shared" ca="1" si="71"/>
        <v>0</v>
      </c>
      <c r="H1136" s="21">
        <v>1121</v>
      </c>
      <c r="I1136" s="102">
        <v>0.66771559326483187</v>
      </c>
      <c r="J1136" s="103">
        <v>1.2842070120744975E-3</v>
      </c>
      <c r="K1136" s="103"/>
      <c r="L1136" s="103">
        <v>4.1799999999999997E-2</v>
      </c>
      <c r="O1136" s="100"/>
    </row>
    <row r="1137" spans="2:15" x14ac:dyDescent="0.2">
      <c r="B1137" s="1">
        <v>1122</v>
      </c>
      <c r="C1137" s="101">
        <f t="shared" ca="1" si="68"/>
        <v>1.5323943105073603</v>
      </c>
      <c r="D1137" s="101">
        <f t="shared" ca="1" si="69"/>
        <v>0.7729354524629326</v>
      </c>
      <c r="E1137" s="101">
        <f t="shared" ca="1" si="70"/>
        <v>0</v>
      </c>
      <c r="F1137" s="21">
        <f t="shared" ca="1" si="71"/>
        <v>0</v>
      </c>
      <c r="H1137" s="21">
        <v>1122</v>
      </c>
      <c r="I1137" s="102">
        <v>0.66784564947632608</v>
      </c>
      <c r="J1137" s="103">
        <v>1.4681449786599788E-3</v>
      </c>
      <c r="K1137" s="103"/>
      <c r="L1137" s="103">
        <v>4.3799999999999999E-2</v>
      </c>
      <c r="O1137" s="100"/>
    </row>
    <row r="1138" spans="2:15" x14ac:dyDescent="0.2">
      <c r="B1138" s="1">
        <v>1123</v>
      </c>
      <c r="C1138" s="101">
        <f t="shared" ca="1" si="68"/>
        <v>-4.3600989015091546E-2</v>
      </c>
      <c r="D1138" s="101">
        <f t="shared" ca="1" si="69"/>
        <v>0.66165037151679262</v>
      </c>
      <c r="E1138" s="101">
        <f t="shared" ca="1" si="70"/>
        <v>0</v>
      </c>
      <c r="F1138" s="21">
        <f t="shared" ca="1" si="71"/>
        <v>0</v>
      </c>
      <c r="H1138" s="21">
        <v>1123</v>
      </c>
      <c r="I1138" s="102">
        <v>0.66785779412572843</v>
      </c>
      <c r="J1138" s="103">
        <v>1.4388806809887444E-3</v>
      </c>
      <c r="K1138" s="103"/>
      <c r="L1138" s="103">
        <v>4.58E-2</v>
      </c>
      <c r="O1138" s="100"/>
    </row>
    <row r="1139" spans="2:15" x14ac:dyDescent="0.2">
      <c r="B1139" s="1">
        <v>1124</v>
      </c>
      <c r="C1139" s="101">
        <f t="shared" ca="1" si="68"/>
        <v>0.10051007698645799</v>
      </c>
      <c r="D1139" s="101">
        <f t="shared" ca="1" si="69"/>
        <v>0.6711231037957841</v>
      </c>
      <c r="E1139" s="101">
        <f t="shared" ca="1" si="70"/>
        <v>0</v>
      </c>
      <c r="F1139" s="21">
        <f t="shared" ca="1" si="71"/>
        <v>0</v>
      </c>
      <c r="H1139" s="21">
        <v>1124</v>
      </c>
      <c r="I1139" s="102">
        <v>0.66773899002414283</v>
      </c>
      <c r="J1139" s="103">
        <v>1.3599117216128048E-3</v>
      </c>
      <c r="K1139" s="103"/>
      <c r="L1139" s="103">
        <v>4.1000000000000002E-2</v>
      </c>
      <c r="O1139" s="100"/>
    </row>
    <row r="1140" spans="2:15" x14ac:dyDescent="0.2">
      <c r="B1140" s="1">
        <v>1125</v>
      </c>
      <c r="C1140" s="101">
        <f t="shared" ca="1" si="68"/>
        <v>-0.45597196273646862</v>
      </c>
      <c r="D1140" s="101">
        <f t="shared" ca="1" si="69"/>
        <v>0.63527657621660871</v>
      </c>
      <c r="E1140" s="101">
        <f t="shared" ca="1" si="70"/>
        <v>0</v>
      </c>
      <c r="F1140" s="21">
        <f t="shared" ca="1" si="71"/>
        <v>0</v>
      </c>
      <c r="H1140" s="21">
        <v>1125</v>
      </c>
      <c r="I1140" s="102">
        <v>0.66788374019542185</v>
      </c>
      <c r="J1140" s="103">
        <v>1.4790077209006251E-3</v>
      </c>
      <c r="K1140" s="103"/>
      <c r="L1140" s="103">
        <v>4.5400000000000003E-2</v>
      </c>
      <c r="O1140" s="100"/>
    </row>
    <row r="1141" spans="2:15" x14ac:dyDescent="0.2">
      <c r="B1141" s="1">
        <v>1126</v>
      </c>
      <c r="C1141" s="101">
        <f t="shared" ca="1" si="68"/>
        <v>-0.54141260154208537</v>
      </c>
      <c r="D1141" s="101">
        <f t="shared" ca="1" si="69"/>
        <v>0.62994497813500394</v>
      </c>
      <c r="E1141" s="101">
        <f t="shared" ca="1" si="70"/>
        <v>0</v>
      </c>
      <c r="F1141" s="21">
        <f t="shared" ca="1" si="71"/>
        <v>0</v>
      </c>
      <c r="H1141" s="21">
        <v>1126</v>
      </c>
      <c r="I1141" s="102">
        <v>0.66780489334132076</v>
      </c>
      <c r="J1141" s="103">
        <v>1.402915656725838E-3</v>
      </c>
      <c r="K1141" s="103"/>
      <c r="L1141" s="103">
        <v>4.24E-2</v>
      </c>
      <c r="O1141" s="100"/>
    </row>
    <row r="1142" spans="2:15" x14ac:dyDescent="0.2">
      <c r="B1142" s="1">
        <v>1127</v>
      </c>
      <c r="C1142" s="101">
        <f t="shared" ca="1" si="68"/>
        <v>3.5158786046221295E-2</v>
      </c>
      <c r="D1142" s="101">
        <f t="shared" ca="1" si="69"/>
        <v>0.66681073188018403</v>
      </c>
      <c r="E1142" s="101">
        <f t="shared" ca="1" si="70"/>
        <v>0</v>
      </c>
      <c r="F1142" s="21">
        <f t="shared" ca="1" si="71"/>
        <v>0</v>
      </c>
      <c r="H1142" s="21">
        <v>1127</v>
      </c>
      <c r="I1142" s="102">
        <v>0.66759256975231751</v>
      </c>
      <c r="J1142" s="103">
        <v>1.2284074298706507E-3</v>
      </c>
      <c r="K1142" s="103"/>
      <c r="L1142" s="103">
        <v>3.8199999999999998E-2</v>
      </c>
      <c r="O1142" s="100"/>
    </row>
    <row r="1143" spans="2:15" x14ac:dyDescent="0.2">
      <c r="B1143" s="1">
        <v>1128</v>
      </c>
      <c r="C1143" s="101">
        <f t="shared" ca="1" si="68"/>
        <v>-0.97966260245042203</v>
      </c>
      <c r="D1143" s="101">
        <f t="shared" ca="1" si="69"/>
        <v>0.60329296117377451</v>
      </c>
      <c r="E1143" s="101">
        <f t="shared" ca="1" si="70"/>
        <v>0</v>
      </c>
      <c r="F1143" s="21">
        <f t="shared" ca="1" si="71"/>
        <v>0</v>
      </c>
      <c r="H1143" s="21">
        <v>1128</v>
      </c>
      <c r="I1143" s="102">
        <v>0.66783387339130773</v>
      </c>
      <c r="J1143" s="103">
        <v>1.5551751862220835E-3</v>
      </c>
      <c r="K1143" s="103"/>
      <c r="L1143" s="103">
        <v>4.3999999999999997E-2</v>
      </c>
      <c r="O1143" s="100"/>
    </row>
    <row r="1144" spans="2:15" x14ac:dyDescent="0.2">
      <c r="B1144" s="1">
        <v>1129</v>
      </c>
      <c r="C1144" s="101">
        <f t="shared" ca="1" si="68"/>
        <v>-0.14683611515662395</v>
      </c>
      <c r="D1144" s="101">
        <f t="shared" ca="1" si="69"/>
        <v>0.65494681051095649</v>
      </c>
      <c r="E1144" s="101">
        <f t="shared" ca="1" si="70"/>
        <v>0</v>
      </c>
      <c r="F1144" s="21">
        <f t="shared" ca="1" si="71"/>
        <v>0</v>
      </c>
      <c r="H1144" s="21">
        <v>1129</v>
      </c>
      <c r="I1144" s="102">
        <v>0.66769434927713522</v>
      </c>
      <c r="J1144" s="103">
        <v>1.2977154000367423E-3</v>
      </c>
      <c r="K1144" s="103"/>
      <c r="L1144" s="103">
        <v>4.1599999999999998E-2</v>
      </c>
      <c r="O1144" s="100"/>
    </row>
    <row r="1145" spans="2:15" x14ac:dyDescent="0.2">
      <c r="B1145" s="1">
        <v>1130</v>
      </c>
      <c r="C1145" s="101">
        <f t="shared" ca="1" si="68"/>
        <v>-1.2506885097979934</v>
      </c>
      <c r="D1145" s="101">
        <f t="shared" ca="1" si="69"/>
        <v>0.58737799910359256</v>
      </c>
      <c r="E1145" s="101">
        <f t="shared" ca="1" si="70"/>
        <v>0</v>
      </c>
      <c r="F1145" s="21">
        <f t="shared" ca="1" si="71"/>
        <v>0</v>
      </c>
      <c r="H1145" s="21">
        <v>1130</v>
      </c>
      <c r="I1145" s="102">
        <v>0.66766411774772905</v>
      </c>
      <c r="J1145" s="103">
        <v>1.2598982188536552E-3</v>
      </c>
      <c r="K1145" s="103"/>
      <c r="L1145" s="103">
        <v>3.8600000000000002E-2</v>
      </c>
      <c r="O1145" s="100"/>
    </row>
    <row r="1146" spans="2:15" x14ac:dyDescent="0.2">
      <c r="B1146" s="1">
        <v>1131</v>
      </c>
      <c r="C1146" s="101">
        <f t="shared" ca="1" si="68"/>
        <v>-0.2730323293714132</v>
      </c>
      <c r="D1146" s="101">
        <f t="shared" ca="1" si="69"/>
        <v>0.64684446089865022</v>
      </c>
      <c r="E1146" s="101">
        <f t="shared" ca="1" si="70"/>
        <v>0</v>
      </c>
      <c r="F1146" s="21">
        <f t="shared" ca="1" si="71"/>
        <v>0</v>
      </c>
      <c r="H1146" s="21">
        <v>1131</v>
      </c>
      <c r="I1146" s="102">
        <v>0.66755502409421552</v>
      </c>
      <c r="J1146" s="103">
        <v>1.1403468705703625E-3</v>
      </c>
      <c r="K1146" s="103"/>
      <c r="L1146" s="103">
        <v>3.5200000000000002E-2</v>
      </c>
      <c r="O1146" s="100"/>
    </row>
    <row r="1147" spans="2:15" x14ac:dyDescent="0.2">
      <c r="B1147" s="1">
        <v>1132</v>
      </c>
      <c r="C1147" s="101">
        <f t="shared" ca="1" si="68"/>
        <v>1.3825484395235357</v>
      </c>
      <c r="D1147" s="101">
        <f t="shared" ca="1" si="69"/>
        <v>0.76159471726675465</v>
      </c>
      <c r="E1147" s="101">
        <f t="shared" ca="1" si="70"/>
        <v>0</v>
      </c>
      <c r="F1147" s="21">
        <f t="shared" ca="1" si="71"/>
        <v>0</v>
      </c>
      <c r="H1147" s="21">
        <v>1132</v>
      </c>
      <c r="I1147" s="102">
        <v>0.6676945353149617</v>
      </c>
      <c r="J1147" s="103">
        <v>1.3760938419603206E-3</v>
      </c>
      <c r="K1147" s="103"/>
      <c r="L1147" s="103">
        <v>4.2799999999999998E-2</v>
      </c>
      <c r="O1147" s="100"/>
    </row>
    <row r="1148" spans="2:15" x14ac:dyDescent="0.2">
      <c r="B1148" s="1">
        <v>1133</v>
      </c>
      <c r="C1148" s="101">
        <f t="shared" ca="1" si="68"/>
        <v>-0.1685303839319669</v>
      </c>
      <c r="D1148" s="101">
        <f t="shared" ca="1" si="69"/>
        <v>0.65354675470491685</v>
      </c>
      <c r="E1148" s="101">
        <f t="shared" ca="1" si="70"/>
        <v>0</v>
      </c>
      <c r="F1148" s="21">
        <f t="shared" ca="1" si="71"/>
        <v>0</v>
      </c>
      <c r="H1148" s="21">
        <v>1133</v>
      </c>
      <c r="I1148" s="102">
        <v>0.6678283206488258</v>
      </c>
      <c r="J1148" s="103">
        <v>1.4378329778749867E-3</v>
      </c>
      <c r="K1148" s="103"/>
      <c r="L1148" s="103">
        <v>4.3799999999999999E-2</v>
      </c>
      <c r="O1148" s="100"/>
    </row>
    <row r="1149" spans="2:15" x14ac:dyDescent="0.2">
      <c r="B1149" s="1">
        <v>1134</v>
      </c>
      <c r="C1149" s="101">
        <f t="shared" ca="1" si="68"/>
        <v>2.0807066429651004</v>
      </c>
      <c r="D1149" s="101">
        <f t="shared" ca="1" si="69"/>
        <v>0.81589184058263409</v>
      </c>
      <c r="E1149" s="101">
        <f t="shared" ca="1" si="70"/>
        <v>2.7691840582634075E-2</v>
      </c>
      <c r="F1149" s="21">
        <f t="shared" ca="1" si="71"/>
        <v>1</v>
      </c>
      <c r="H1149" s="21">
        <v>1134</v>
      </c>
      <c r="I1149" s="102">
        <v>0.66773171841591772</v>
      </c>
      <c r="J1149" s="103">
        <v>1.2352471840128569E-3</v>
      </c>
      <c r="K1149" s="103"/>
      <c r="L1149" s="103">
        <v>4.1399999999999999E-2</v>
      </c>
      <c r="O1149" s="100"/>
    </row>
    <row r="1150" spans="2:15" x14ac:dyDescent="0.2">
      <c r="B1150" s="1">
        <v>1135</v>
      </c>
      <c r="C1150" s="101">
        <f t="shared" ca="1" si="68"/>
        <v>1.5246552545390815</v>
      </c>
      <c r="D1150" s="101">
        <f t="shared" ca="1" si="69"/>
        <v>0.77234562585794553</v>
      </c>
      <c r="E1150" s="101">
        <f t="shared" ca="1" si="70"/>
        <v>0</v>
      </c>
      <c r="F1150" s="21">
        <f t="shared" ca="1" si="71"/>
        <v>0</v>
      </c>
      <c r="H1150" s="21">
        <v>1135</v>
      </c>
      <c r="I1150" s="102">
        <v>0.66786786917918617</v>
      </c>
      <c r="J1150" s="103">
        <v>1.4775124857921455E-3</v>
      </c>
      <c r="K1150" s="103"/>
      <c r="L1150" s="103">
        <v>4.6199999999999998E-2</v>
      </c>
      <c r="O1150" s="100"/>
    </row>
    <row r="1151" spans="2:15" x14ac:dyDescent="0.2">
      <c r="B1151" s="1">
        <v>1136</v>
      </c>
      <c r="C1151" s="101">
        <f t="shared" ca="1" si="68"/>
        <v>1.7572526113379845</v>
      </c>
      <c r="D1151" s="101">
        <f t="shared" ca="1" si="69"/>
        <v>0.79027095160175365</v>
      </c>
      <c r="E1151" s="101">
        <f t="shared" ca="1" si="70"/>
        <v>2.0709516017536345E-3</v>
      </c>
      <c r="F1151" s="21">
        <f t="shared" ca="1" si="71"/>
        <v>1</v>
      </c>
      <c r="H1151" s="21">
        <v>1136</v>
      </c>
      <c r="I1151" s="102">
        <v>0.66779792021825357</v>
      </c>
      <c r="J1151" s="103">
        <v>1.499863294095062E-3</v>
      </c>
      <c r="K1151" s="103"/>
      <c r="L1151" s="103">
        <v>4.3200000000000002E-2</v>
      </c>
      <c r="O1151" s="100"/>
    </row>
    <row r="1152" spans="2:15" x14ac:dyDescent="0.2">
      <c r="B1152" s="1">
        <v>1137</v>
      </c>
      <c r="C1152" s="101">
        <f t="shared" ca="1" si="68"/>
        <v>-0.93617227526483004</v>
      </c>
      <c r="D1152" s="101">
        <f t="shared" ca="1" si="69"/>
        <v>0.60588661324296311</v>
      </c>
      <c r="E1152" s="101">
        <f t="shared" ca="1" si="70"/>
        <v>0</v>
      </c>
      <c r="F1152" s="21">
        <f t="shared" ca="1" si="71"/>
        <v>0</v>
      </c>
      <c r="H1152" s="21">
        <v>1137</v>
      </c>
      <c r="I1152" s="102">
        <v>0.66769671790228091</v>
      </c>
      <c r="J1152" s="103">
        <v>1.308652702103215E-3</v>
      </c>
      <c r="K1152" s="103"/>
      <c r="L1152" s="103">
        <v>4.2200000000000001E-2</v>
      </c>
      <c r="O1152" s="100"/>
    </row>
    <row r="1153" spans="2:15" x14ac:dyDescent="0.2">
      <c r="B1153" s="1">
        <v>1138</v>
      </c>
      <c r="C1153" s="101">
        <f t="shared" ca="1" si="68"/>
        <v>0.28135060314574162</v>
      </c>
      <c r="D1153" s="101">
        <f t="shared" ca="1" si="69"/>
        <v>0.68320224780385019</v>
      </c>
      <c r="E1153" s="101">
        <f t="shared" ca="1" si="70"/>
        <v>0</v>
      </c>
      <c r="F1153" s="21">
        <f t="shared" ca="1" si="71"/>
        <v>0</v>
      </c>
      <c r="H1153" s="21">
        <v>1138</v>
      </c>
      <c r="I1153" s="102">
        <v>0.66781861392151409</v>
      </c>
      <c r="J1153" s="103">
        <v>1.4857934306696866E-3</v>
      </c>
      <c r="K1153" s="103"/>
      <c r="L1153" s="103">
        <v>4.2000000000000003E-2</v>
      </c>
      <c r="O1153" s="100"/>
    </row>
    <row r="1154" spans="2:15" x14ac:dyDescent="0.2">
      <c r="B1154" s="1">
        <v>1139</v>
      </c>
      <c r="C1154" s="101">
        <f t="shared" ca="1" si="68"/>
        <v>0.13672071153972401</v>
      </c>
      <c r="D1154" s="101">
        <f t="shared" ca="1" si="69"/>
        <v>0.67352455119013221</v>
      </c>
      <c r="E1154" s="101">
        <f t="shared" ca="1" si="70"/>
        <v>0</v>
      </c>
      <c r="F1154" s="21">
        <f t="shared" ca="1" si="71"/>
        <v>0</v>
      </c>
      <c r="H1154" s="21">
        <v>1139</v>
      </c>
      <c r="I1154" s="102">
        <v>0.6676331072389331</v>
      </c>
      <c r="J1154" s="103">
        <v>1.2362820098548047E-3</v>
      </c>
      <c r="K1154" s="103"/>
      <c r="L1154" s="103">
        <v>4.1000000000000002E-2</v>
      </c>
      <c r="O1154" s="100"/>
    </row>
    <row r="1155" spans="2:15" x14ac:dyDescent="0.2">
      <c r="B1155" s="1">
        <v>1140</v>
      </c>
      <c r="C1155" s="101">
        <f t="shared" ca="1" si="68"/>
        <v>1.750055766219389</v>
      </c>
      <c r="D1155" s="101">
        <f t="shared" ca="1" si="69"/>
        <v>0.78971013232799803</v>
      </c>
      <c r="E1155" s="101">
        <f t="shared" ca="1" si="70"/>
        <v>1.510132327998015E-3</v>
      </c>
      <c r="F1155" s="21">
        <f t="shared" ca="1" si="71"/>
        <v>1</v>
      </c>
      <c r="H1155" s="21">
        <v>1140</v>
      </c>
      <c r="I1155" s="102">
        <v>0.66765487124864265</v>
      </c>
      <c r="J1155" s="103">
        <v>1.1799866294288496E-3</v>
      </c>
      <c r="K1155" s="103"/>
      <c r="L1155" s="103">
        <v>0.04</v>
      </c>
      <c r="O1155" s="100"/>
    </row>
    <row r="1156" spans="2:15" x14ac:dyDescent="0.2">
      <c r="B1156" s="1">
        <v>1141</v>
      </c>
      <c r="C1156" s="101">
        <f t="shared" ca="1" si="68"/>
        <v>1.2920883950337563</v>
      </c>
      <c r="D1156" s="101">
        <f t="shared" ca="1" si="69"/>
        <v>0.75482916217032947</v>
      </c>
      <c r="E1156" s="101">
        <f t="shared" ca="1" si="70"/>
        <v>0</v>
      </c>
      <c r="F1156" s="21">
        <f t="shared" ca="1" si="71"/>
        <v>0</v>
      </c>
      <c r="H1156" s="21">
        <v>1141</v>
      </c>
      <c r="I1156" s="102">
        <v>0.66776574373414044</v>
      </c>
      <c r="J1156" s="103">
        <v>1.322325516937059E-3</v>
      </c>
      <c r="K1156" s="103"/>
      <c r="L1156" s="103">
        <v>4.24E-2</v>
      </c>
      <c r="O1156" s="100"/>
    </row>
    <row r="1157" spans="2:15" x14ac:dyDescent="0.2">
      <c r="B1157" s="1">
        <v>1142</v>
      </c>
      <c r="C1157" s="101">
        <f t="shared" ca="1" si="68"/>
        <v>-1.6095796066937584</v>
      </c>
      <c r="D1157" s="101">
        <f t="shared" ca="1" si="69"/>
        <v>0.56694770574630671</v>
      </c>
      <c r="E1157" s="101">
        <f t="shared" ca="1" si="70"/>
        <v>0</v>
      </c>
      <c r="F1157" s="21">
        <f t="shared" ca="1" si="71"/>
        <v>0</v>
      </c>
      <c r="H1157" s="21">
        <v>1142</v>
      </c>
      <c r="I1157" s="102">
        <v>0.66779973207774179</v>
      </c>
      <c r="J1157" s="103">
        <v>1.4024315265090111E-3</v>
      </c>
      <c r="K1157" s="103"/>
      <c r="L1157" s="103">
        <v>3.9E-2</v>
      </c>
      <c r="O1157" s="100"/>
    </row>
    <row r="1158" spans="2:15" x14ac:dyDescent="0.2">
      <c r="B1158" s="1">
        <v>1143</v>
      </c>
      <c r="C1158" s="101">
        <f t="shared" ca="1" si="68"/>
        <v>2.1085643457208976</v>
      </c>
      <c r="D1158" s="101">
        <f t="shared" ca="1" si="69"/>
        <v>0.81813692993801546</v>
      </c>
      <c r="E1158" s="101">
        <f t="shared" ca="1" si="70"/>
        <v>2.9936929938015444E-2</v>
      </c>
      <c r="F1158" s="21">
        <f t="shared" ca="1" si="71"/>
        <v>1</v>
      </c>
      <c r="H1158" s="21">
        <v>1143</v>
      </c>
      <c r="I1158" s="102">
        <v>0.66783283992510878</v>
      </c>
      <c r="J1158" s="103">
        <v>1.4071813682563833E-3</v>
      </c>
      <c r="K1158" s="103"/>
      <c r="L1158" s="103">
        <v>4.4200000000000003E-2</v>
      </c>
      <c r="O1158" s="100"/>
    </row>
    <row r="1159" spans="2:15" x14ac:dyDescent="0.2">
      <c r="B1159" s="1">
        <v>1144</v>
      </c>
      <c r="C1159" s="101">
        <f t="shared" ca="1" si="68"/>
        <v>1.4567263906561803</v>
      </c>
      <c r="D1159" s="101">
        <f t="shared" ca="1" si="69"/>
        <v>0.7671877517223733</v>
      </c>
      <c r="E1159" s="101">
        <f t="shared" ca="1" si="70"/>
        <v>0</v>
      </c>
      <c r="F1159" s="21">
        <f t="shared" ca="1" si="71"/>
        <v>0</v>
      </c>
      <c r="H1159" s="21">
        <v>1144</v>
      </c>
      <c r="I1159" s="102">
        <v>0.66776699043056897</v>
      </c>
      <c r="J1159" s="103">
        <v>1.3533512703838733E-3</v>
      </c>
      <c r="K1159" s="103"/>
      <c r="L1159" s="103">
        <v>4.2999999999999997E-2</v>
      </c>
      <c r="O1159" s="100"/>
    </row>
    <row r="1160" spans="2:15" x14ac:dyDescent="0.2">
      <c r="B1160" s="1">
        <v>1145</v>
      </c>
      <c r="C1160" s="101">
        <f t="shared" ca="1" si="68"/>
        <v>0.91003289231422668</v>
      </c>
      <c r="D1160" s="101">
        <f t="shared" ca="1" si="69"/>
        <v>0.72691168179752486</v>
      </c>
      <c r="E1160" s="101">
        <f t="shared" ca="1" si="70"/>
        <v>0</v>
      </c>
      <c r="F1160" s="21">
        <f t="shared" ca="1" si="71"/>
        <v>0</v>
      </c>
      <c r="H1160" s="21">
        <v>1145</v>
      </c>
      <c r="I1160" s="102">
        <v>0.66761715176063285</v>
      </c>
      <c r="J1160" s="103">
        <v>1.3384802156168095E-3</v>
      </c>
      <c r="K1160" s="103"/>
      <c r="L1160" s="103">
        <v>3.9800000000000002E-2</v>
      </c>
      <c r="O1160" s="100"/>
    </row>
    <row r="1161" spans="2:15" x14ac:dyDescent="0.2">
      <c r="B1161" s="1">
        <v>1146</v>
      </c>
      <c r="C1161" s="101">
        <f t="shared" ca="1" si="68"/>
        <v>0.52348358697704145</v>
      </c>
      <c r="D1161" s="101">
        <f t="shared" ca="1" si="69"/>
        <v>0.69971649867618224</v>
      </c>
      <c r="E1161" s="101">
        <f t="shared" ca="1" si="70"/>
        <v>0</v>
      </c>
      <c r="F1161" s="21">
        <f t="shared" ca="1" si="71"/>
        <v>0</v>
      </c>
      <c r="H1161" s="21">
        <v>1146</v>
      </c>
      <c r="I1161" s="102">
        <v>0.66774888978383218</v>
      </c>
      <c r="J1161" s="103">
        <v>1.3518832607596672E-3</v>
      </c>
      <c r="K1161" s="103"/>
      <c r="L1161" s="103">
        <v>4.0800000000000003E-2</v>
      </c>
      <c r="O1161" s="100"/>
    </row>
    <row r="1162" spans="2:15" x14ac:dyDescent="0.2">
      <c r="B1162" s="1">
        <v>1147</v>
      </c>
      <c r="C1162" s="101">
        <f t="shared" ca="1" si="68"/>
        <v>-0.45809343270379238</v>
      </c>
      <c r="D1162" s="101">
        <f t="shared" ca="1" si="69"/>
        <v>0.63514364922049249</v>
      </c>
      <c r="E1162" s="101">
        <f t="shared" ca="1" si="70"/>
        <v>0</v>
      </c>
      <c r="F1162" s="21">
        <f t="shared" ca="1" si="71"/>
        <v>0</v>
      </c>
      <c r="H1162" s="21">
        <v>1147</v>
      </c>
      <c r="I1162" s="102">
        <v>0.66774505995444244</v>
      </c>
      <c r="J1162" s="103">
        <v>1.3839706664988299E-3</v>
      </c>
      <c r="K1162" s="103"/>
      <c r="L1162" s="103">
        <v>4.1599999999999998E-2</v>
      </c>
      <c r="O1162" s="100"/>
    </row>
    <row r="1163" spans="2:15" x14ac:dyDescent="0.2">
      <c r="B1163" s="1">
        <v>1148</v>
      </c>
      <c r="C1163" s="101">
        <f t="shared" ca="1" si="68"/>
        <v>-3.745991092401376E-2</v>
      </c>
      <c r="D1163" s="101">
        <f t="shared" ca="1" si="69"/>
        <v>0.66205129696923837</v>
      </c>
      <c r="E1163" s="101">
        <f t="shared" ca="1" si="70"/>
        <v>0</v>
      </c>
      <c r="F1163" s="21">
        <f t="shared" ca="1" si="71"/>
        <v>0</v>
      </c>
      <c r="H1163" s="21">
        <v>1148</v>
      </c>
      <c r="I1163" s="102">
        <v>0.66776330932790884</v>
      </c>
      <c r="J1163" s="103">
        <v>1.2633389353021722E-3</v>
      </c>
      <c r="K1163" s="103"/>
      <c r="L1163" s="103">
        <v>4.4600000000000001E-2</v>
      </c>
      <c r="O1163" s="100"/>
    </row>
    <row r="1164" spans="2:15" x14ac:dyDescent="0.2">
      <c r="B1164" s="1">
        <v>1149</v>
      </c>
      <c r="C1164" s="101">
        <f t="shared" ca="1" si="68"/>
        <v>2.0713329691387008</v>
      </c>
      <c r="D1164" s="101">
        <f t="shared" ca="1" si="69"/>
        <v>0.81513778985689733</v>
      </c>
      <c r="E1164" s="101">
        <f t="shared" ca="1" si="70"/>
        <v>2.6937789856897321E-2</v>
      </c>
      <c r="F1164" s="21">
        <f t="shared" ca="1" si="71"/>
        <v>1</v>
      </c>
      <c r="H1164" s="21">
        <v>1149</v>
      </c>
      <c r="I1164" s="102">
        <v>0.66764946405495795</v>
      </c>
      <c r="J1164" s="103">
        <v>1.2797293263070407E-3</v>
      </c>
      <c r="K1164" s="103"/>
      <c r="L1164" s="103">
        <v>3.9199999999999999E-2</v>
      </c>
      <c r="O1164" s="100"/>
    </row>
    <row r="1165" spans="2:15" x14ac:dyDescent="0.2">
      <c r="B1165" s="1">
        <v>1150</v>
      </c>
      <c r="C1165" s="101">
        <f t="shared" ca="1" si="68"/>
        <v>0.86158736482394338</v>
      </c>
      <c r="D1165" s="101">
        <f t="shared" ca="1" si="69"/>
        <v>0.72344625313707978</v>
      </c>
      <c r="E1165" s="101">
        <f t="shared" ca="1" si="70"/>
        <v>0</v>
      </c>
      <c r="F1165" s="21">
        <f t="shared" ca="1" si="71"/>
        <v>0</v>
      </c>
      <c r="H1165" s="21">
        <v>1150</v>
      </c>
      <c r="I1165" s="102">
        <v>0.6677118753342931</v>
      </c>
      <c r="J1165" s="103">
        <v>1.2468016425690939E-3</v>
      </c>
      <c r="K1165" s="103"/>
      <c r="L1165" s="103">
        <v>4.1799999999999997E-2</v>
      </c>
      <c r="O1165" s="100"/>
    </row>
    <row r="1166" spans="2:15" x14ac:dyDescent="0.2">
      <c r="B1166" s="1">
        <v>1151</v>
      </c>
      <c r="C1166" s="101">
        <f t="shared" ca="1" si="68"/>
        <v>-0.170075081907862</v>
      </c>
      <c r="D1166" s="101">
        <f t="shared" ca="1" si="69"/>
        <v>0.65344718068188545</v>
      </c>
      <c r="E1166" s="101">
        <f t="shared" ca="1" si="70"/>
        <v>0</v>
      </c>
      <c r="F1166" s="21">
        <f t="shared" ca="1" si="71"/>
        <v>0</v>
      </c>
      <c r="H1166" s="21">
        <v>1151</v>
      </c>
      <c r="I1166" s="102">
        <v>0.66765417909789637</v>
      </c>
      <c r="J1166" s="103">
        <v>1.1909026849447136E-3</v>
      </c>
      <c r="K1166" s="103"/>
      <c r="L1166" s="103">
        <v>3.8199999999999998E-2</v>
      </c>
      <c r="O1166" s="100"/>
    </row>
    <row r="1167" spans="2:15" x14ac:dyDescent="0.2">
      <c r="B1167" s="1">
        <v>1152</v>
      </c>
      <c r="C1167" s="101">
        <f t="shared" ca="1" si="68"/>
        <v>1.6025431767646205</v>
      </c>
      <c r="D1167" s="101">
        <f t="shared" ca="1" si="69"/>
        <v>0.77830238601374602</v>
      </c>
      <c r="E1167" s="101">
        <f t="shared" ca="1" si="70"/>
        <v>0</v>
      </c>
      <c r="F1167" s="21">
        <f t="shared" ca="1" si="71"/>
        <v>0</v>
      </c>
      <c r="H1167" s="21">
        <v>1152</v>
      </c>
      <c r="I1167" s="102">
        <v>0.66771519855553563</v>
      </c>
      <c r="J1167" s="103">
        <v>1.3147953041866729E-3</v>
      </c>
      <c r="K1167" s="103"/>
      <c r="L1167" s="103">
        <v>4.3400000000000001E-2</v>
      </c>
      <c r="O1167" s="100"/>
    </row>
    <row r="1168" spans="2:15" x14ac:dyDescent="0.2">
      <c r="B1168" s="1">
        <v>1153</v>
      </c>
      <c r="C1168" s="101">
        <f t="shared" ref="C1168:C1231" ca="1" si="72">_xlfn.NORM.S.INV(RAND())</f>
        <v>-0.24283864133320937</v>
      </c>
      <c r="D1168" s="101">
        <f t="shared" ref="D1168:D1231" ca="1" si="73">S0*EXP((μ-0.5*σ*σ)*T+σ*SQRT(T)*$C1168)</f>
        <v>0.64877385891547379</v>
      </c>
      <c r="E1168" s="101">
        <f t="shared" ref="E1168:E1231" ca="1" si="74">MAX(0,CP*(D1168-K))</f>
        <v>0</v>
      </c>
      <c r="F1168" s="21">
        <f t="shared" ref="F1168:F1231" ca="1" si="75">(CP*(D1168-K)&gt;0)*1</f>
        <v>0</v>
      </c>
      <c r="H1168" s="21">
        <v>1153</v>
      </c>
      <c r="I1168" s="102">
        <v>0.66779097158424194</v>
      </c>
      <c r="J1168" s="103">
        <v>1.3542276569039986E-3</v>
      </c>
      <c r="K1168" s="103"/>
      <c r="L1168" s="103">
        <v>4.2799999999999998E-2</v>
      </c>
      <c r="O1168" s="100"/>
    </row>
    <row r="1169" spans="2:15" x14ac:dyDescent="0.2">
      <c r="B1169" s="1">
        <v>1154</v>
      </c>
      <c r="C1169" s="101">
        <f t="shared" ca="1" si="72"/>
        <v>-1.3421502680446478</v>
      </c>
      <c r="D1169" s="101">
        <f t="shared" ca="1" si="73"/>
        <v>0.5821025612371622</v>
      </c>
      <c r="E1169" s="101">
        <f t="shared" ca="1" si="74"/>
        <v>0</v>
      </c>
      <c r="F1169" s="21">
        <f t="shared" ca="1" si="75"/>
        <v>0</v>
      </c>
      <c r="H1169" s="21">
        <v>1154</v>
      </c>
      <c r="I1169" s="102">
        <v>0.66775567697388327</v>
      </c>
      <c r="J1169" s="103">
        <v>1.401239002616103E-3</v>
      </c>
      <c r="K1169" s="103"/>
      <c r="L1169" s="103">
        <v>3.9600000000000003E-2</v>
      </c>
      <c r="O1169" s="100"/>
    </row>
    <row r="1170" spans="2:15" x14ac:dyDescent="0.2">
      <c r="B1170" s="1">
        <v>1155</v>
      </c>
      <c r="C1170" s="101">
        <f t="shared" ca="1" si="72"/>
        <v>0.64837766423695298</v>
      </c>
      <c r="D1170" s="101">
        <f t="shared" ca="1" si="73"/>
        <v>0.70839012679297253</v>
      </c>
      <c r="E1170" s="101">
        <f t="shared" ca="1" si="74"/>
        <v>0</v>
      </c>
      <c r="F1170" s="21">
        <f t="shared" ca="1" si="75"/>
        <v>0</v>
      </c>
      <c r="H1170" s="21">
        <v>1155</v>
      </c>
      <c r="I1170" s="102">
        <v>0.66764326399077811</v>
      </c>
      <c r="J1170" s="103">
        <v>1.3095755015748755E-3</v>
      </c>
      <c r="K1170" s="103"/>
      <c r="L1170" s="103">
        <v>4.0800000000000003E-2</v>
      </c>
      <c r="O1170" s="100"/>
    </row>
    <row r="1171" spans="2:15" x14ac:dyDescent="0.2">
      <c r="B1171" s="1">
        <v>1156</v>
      </c>
      <c r="C1171" s="101">
        <f t="shared" ca="1" si="72"/>
        <v>1.5166848720902657E-2</v>
      </c>
      <c r="D1171" s="101">
        <f t="shared" ca="1" si="73"/>
        <v>0.66549705604142018</v>
      </c>
      <c r="E1171" s="101">
        <f t="shared" ca="1" si="74"/>
        <v>0</v>
      </c>
      <c r="F1171" s="21">
        <f t="shared" ca="1" si="75"/>
        <v>0</v>
      </c>
      <c r="H1171" s="21">
        <v>1156</v>
      </c>
      <c r="I1171" s="102">
        <v>0.66771275028322685</v>
      </c>
      <c r="J1171" s="103">
        <v>1.1680539390481509E-3</v>
      </c>
      <c r="K1171" s="103"/>
      <c r="L1171" s="103">
        <v>3.9600000000000003E-2</v>
      </c>
      <c r="O1171" s="100"/>
    </row>
    <row r="1172" spans="2:15" x14ac:dyDescent="0.2">
      <c r="B1172" s="1">
        <v>1157</v>
      </c>
      <c r="C1172" s="101">
        <f t="shared" ca="1" si="72"/>
        <v>-1.051809950671305</v>
      </c>
      <c r="D1172" s="101">
        <f t="shared" ca="1" si="73"/>
        <v>0.59901474155748358</v>
      </c>
      <c r="E1172" s="101">
        <f t="shared" ca="1" si="74"/>
        <v>0</v>
      </c>
      <c r="F1172" s="21">
        <f t="shared" ca="1" si="75"/>
        <v>0</v>
      </c>
      <c r="H1172" s="21">
        <v>1157</v>
      </c>
      <c r="I1172" s="102">
        <v>0.66776484973585704</v>
      </c>
      <c r="J1172" s="103">
        <v>1.3928655913897638E-3</v>
      </c>
      <c r="K1172" s="103"/>
      <c r="L1172" s="103">
        <v>4.2799999999999998E-2</v>
      </c>
      <c r="O1172" s="100"/>
    </row>
    <row r="1173" spans="2:15" x14ac:dyDescent="0.2">
      <c r="B1173" s="1">
        <v>1158</v>
      </c>
      <c r="C1173" s="101">
        <f t="shared" ca="1" si="72"/>
        <v>-1.5161386144475675</v>
      </c>
      <c r="D1173" s="101">
        <f t="shared" ca="1" si="73"/>
        <v>0.57219750091627453</v>
      </c>
      <c r="E1173" s="101">
        <f t="shared" ca="1" si="74"/>
        <v>0</v>
      </c>
      <c r="F1173" s="21">
        <f t="shared" ca="1" si="75"/>
        <v>0</v>
      </c>
      <c r="H1173" s="21">
        <v>1158</v>
      </c>
      <c r="I1173" s="102">
        <v>0.66773838368712579</v>
      </c>
      <c r="J1173" s="103">
        <v>1.4372565555972492E-3</v>
      </c>
      <c r="K1173" s="103"/>
      <c r="L1173" s="103">
        <v>4.02E-2</v>
      </c>
      <c r="O1173" s="100"/>
    </row>
    <row r="1174" spans="2:15" x14ac:dyDescent="0.2">
      <c r="B1174" s="1">
        <v>1159</v>
      </c>
      <c r="C1174" s="101">
        <f t="shared" ca="1" si="72"/>
        <v>-0.76581608561945946</v>
      </c>
      <c r="D1174" s="101">
        <f t="shared" ca="1" si="73"/>
        <v>0.61615405533877676</v>
      </c>
      <c r="E1174" s="101">
        <f t="shared" ca="1" si="74"/>
        <v>0</v>
      </c>
      <c r="F1174" s="21">
        <f t="shared" ca="1" si="75"/>
        <v>0</v>
      </c>
      <c r="H1174" s="21">
        <v>1159</v>
      </c>
      <c r="I1174" s="102">
        <v>0.66775331717912489</v>
      </c>
      <c r="J1174" s="103">
        <v>1.4013864290924462E-3</v>
      </c>
      <c r="K1174" s="103"/>
      <c r="L1174" s="103">
        <v>4.2599999999999999E-2</v>
      </c>
      <c r="O1174" s="100"/>
    </row>
    <row r="1175" spans="2:15" x14ac:dyDescent="0.2">
      <c r="B1175" s="1">
        <v>1160</v>
      </c>
      <c r="C1175" s="101">
        <f t="shared" ca="1" si="72"/>
        <v>-2.9446132368988431</v>
      </c>
      <c r="D1175" s="101">
        <f t="shared" ca="1" si="73"/>
        <v>0.4969938155829226</v>
      </c>
      <c r="E1175" s="101">
        <f t="shared" ca="1" si="74"/>
        <v>0</v>
      </c>
      <c r="F1175" s="21">
        <f t="shared" ca="1" si="75"/>
        <v>0</v>
      </c>
      <c r="H1175" s="21">
        <v>1160</v>
      </c>
      <c r="I1175" s="102">
        <v>0.66763143015506898</v>
      </c>
      <c r="J1175" s="103">
        <v>1.269027574912579E-3</v>
      </c>
      <c r="K1175" s="103"/>
      <c r="L1175" s="103">
        <v>4.3200000000000002E-2</v>
      </c>
      <c r="O1175" s="100"/>
    </row>
    <row r="1176" spans="2:15" x14ac:dyDescent="0.2">
      <c r="B1176" s="1">
        <v>1161</v>
      </c>
      <c r="C1176" s="101">
        <f t="shared" ca="1" si="72"/>
        <v>-1.5912986650536449</v>
      </c>
      <c r="D1176" s="101">
        <f t="shared" ca="1" si="73"/>
        <v>0.56797098011529834</v>
      </c>
      <c r="E1176" s="101">
        <f t="shared" ca="1" si="74"/>
        <v>0</v>
      </c>
      <c r="F1176" s="21">
        <f t="shared" ca="1" si="75"/>
        <v>0</v>
      </c>
      <c r="H1176" s="21">
        <v>1161</v>
      </c>
      <c r="I1176" s="102">
        <v>0.66774350393206006</v>
      </c>
      <c r="J1176" s="103">
        <v>1.369848855752775E-3</v>
      </c>
      <c r="K1176" s="103"/>
      <c r="L1176" s="103">
        <v>4.3799999999999999E-2</v>
      </c>
      <c r="O1176" s="100"/>
    </row>
    <row r="1177" spans="2:15" x14ac:dyDescent="0.2">
      <c r="B1177" s="1">
        <v>1162</v>
      </c>
      <c r="C1177" s="101">
        <f t="shared" ca="1" si="72"/>
        <v>-1.4541124008106106</v>
      </c>
      <c r="D1177" s="101">
        <f t="shared" ca="1" si="73"/>
        <v>0.57570913606864094</v>
      </c>
      <c r="E1177" s="101">
        <f t="shared" ca="1" si="74"/>
        <v>0</v>
      </c>
      <c r="F1177" s="21">
        <f t="shared" ca="1" si="75"/>
        <v>0</v>
      </c>
      <c r="H1177" s="21">
        <v>1162</v>
      </c>
      <c r="I1177" s="102">
        <v>0.6678385193189873</v>
      </c>
      <c r="J1177" s="103">
        <v>1.4317116958267701E-3</v>
      </c>
      <c r="K1177" s="103"/>
      <c r="L1177" s="103">
        <v>4.4200000000000003E-2</v>
      </c>
      <c r="O1177" s="100"/>
    </row>
    <row r="1178" spans="2:15" x14ac:dyDescent="0.2">
      <c r="B1178" s="1">
        <v>1163</v>
      </c>
      <c r="C1178" s="101">
        <f t="shared" ca="1" si="72"/>
        <v>-0.49496610180122386</v>
      </c>
      <c r="D1178" s="101">
        <f t="shared" ca="1" si="73"/>
        <v>0.63283772051991427</v>
      </c>
      <c r="E1178" s="101">
        <f t="shared" ca="1" si="74"/>
        <v>0</v>
      </c>
      <c r="F1178" s="21">
        <f t="shared" ca="1" si="75"/>
        <v>0</v>
      </c>
      <c r="H1178" s="21">
        <v>1163</v>
      </c>
      <c r="I1178" s="102">
        <v>0.66771686520726303</v>
      </c>
      <c r="J1178" s="103">
        <v>1.3364676992475471E-3</v>
      </c>
      <c r="K1178" s="103"/>
      <c r="L1178" s="103">
        <v>4.2599999999999999E-2</v>
      </c>
      <c r="O1178" s="100"/>
    </row>
    <row r="1179" spans="2:15" x14ac:dyDescent="0.2">
      <c r="B1179" s="1">
        <v>1164</v>
      </c>
      <c r="C1179" s="101">
        <f t="shared" ca="1" si="72"/>
        <v>0.35021793390416445</v>
      </c>
      <c r="D1179" s="101">
        <f t="shared" ca="1" si="73"/>
        <v>0.6878591529238226</v>
      </c>
      <c r="E1179" s="101">
        <f t="shared" ca="1" si="74"/>
        <v>0</v>
      </c>
      <c r="F1179" s="21">
        <f t="shared" ca="1" si="75"/>
        <v>0</v>
      </c>
      <c r="H1179" s="21">
        <v>1164</v>
      </c>
      <c r="I1179" s="102">
        <v>0.66775036683391154</v>
      </c>
      <c r="J1179" s="103">
        <v>1.3300044101864214E-3</v>
      </c>
      <c r="K1179" s="103"/>
      <c r="L1179" s="103">
        <v>3.9800000000000002E-2</v>
      </c>
      <c r="O1179" s="100"/>
    </row>
    <row r="1180" spans="2:15" x14ac:dyDescent="0.2">
      <c r="B1180" s="1">
        <v>1165</v>
      </c>
      <c r="C1180" s="101">
        <f t="shared" ca="1" si="72"/>
        <v>-1.3335650646923418</v>
      </c>
      <c r="D1180" s="101">
        <f t="shared" ca="1" si="73"/>
        <v>0.58259572698167195</v>
      </c>
      <c r="E1180" s="101">
        <f t="shared" ca="1" si="74"/>
        <v>0</v>
      </c>
      <c r="F1180" s="21">
        <f t="shared" ca="1" si="75"/>
        <v>0</v>
      </c>
      <c r="H1180" s="21">
        <v>1165</v>
      </c>
      <c r="I1180" s="102">
        <v>0.66756900657048657</v>
      </c>
      <c r="J1180" s="103">
        <v>1.2253665523361934E-3</v>
      </c>
      <c r="K1180" s="103"/>
      <c r="L1180" s="103">
        <v>3.7600000000000001E-2</v>
      </c>
      <c r="O1180" s="100"/>
    </row>
    <row r="1181" spans="2:15" x14ac:dyDescent="0.2">
      <c r="B1181" s="1">
        <v>1166</v>
      </c>
      <c r="C1181" s="101">
        <f t="shared" ca="1" si="72"/>
        <v>-0.15244499834732791</v>
      </c>
      <c r="D1181" s="101">
        <f t="shared" ca="1" si="73"/>
        <v>0.65458454983531367</v>
      </c>
      <c r="E1181" s="101">
        <f t="shared" ca="1" si="74"/>
        <v>0</v>
      </c>
      <c r="F1181" s="21">
        <f t="shared" ca="1" si="75"/>
        <v>0</v>
      </c>
      <c r="H1181" s="21">
        <v>1166</v>
      </c>
      <c r="I1181" s="102">
        <v>0.66788343882553136</v>
      </c>
      <c r="J1181" s="103">
        <v>1.5040781758038128E-3</v>
      </c>
      <c r="K1181" s="103"/>
      <c r="L1181" s="103">
        <v>4.5199999999999997E-2</v>
      </c>
      <c r="O1181" s="100"/>
    </row>
    <row r="1182" spans="2:15" x14ac:dyDescent="0.2">
      <c r="B1182" s="1">
        <v>1167</v>
      </c>
      <c r="C1182" s="101">
        <f t="shared" ca="1" si="72"/>
        <v>0.32390277114631422</v>
      </c>
      <c r="D1182" s="101">
        <f t="shared" ca="1" si="73"/>
        <v>0.68607594928822901</v>
      </c>
      <c r="E1182" s="101">
        <f t="shared" ca="1" si="74"/>
        <v>0</v>
      </c>
      <c r="F1182" s="21">
        <f t="shared" ca="1" si="75"/>
        <v>0</v>
      </c>
      <c r="H1182" s="21">
        <v>1167</v>
      </c>
      <c r="I1182" s="102">
        <v>0.66776313379831176</v>
      </c>
      <c r="J1182" s="103">
        <v>1.3413122629883205E-3</v>
      </c>
      <c r="K1182" s="103"/>
      <c r="L1182" s="103">
        <v>4.1000000000000002E-2</v>
      </c>
      <c r="O1182" s="100"/>
    </row>
    <row r="1183" spans="2:15" x14ac:dyDescent="0.2">
      <c r="B1183" s="1">
        <v>1168</v>
      </c>
      <c r="C1183" s="101">
        <f t="shared" ca="1" si="72"/>
        <v>0.74835952101703462</v>
      </c>
      <c r="D1183" s="101">
        <f t="shared" ca="1" si="73"/>
        <v>0.71541107773893542</v>
      </c>
      <c r="E1183" s="101">
        <f t="shared" ca="1" si="74"/>
        <v>0</v>
      </c>
      <c r="F1183" s="21">
        <f t="shared" ca="1" si="75"/>
        <v>0</v>
      </c>
      <c r="H1183" s="21">
        <v>1168</v>
      </c>
      <c r="I1183" s="102">
        <v>0.66781760372830545</v>
      </c>
      <c r="J1183" s="103">
        <v>1.4283999513623781E-3</v>
      </c>
      <c r="K1183" s="103"/>
      <c r="L1183" s="103">
        <v>4.7600000000000003E-2</v>
      </c>
      <c r="O1183" s="100"/>
    </row>
    <row r="1184" spans="2:15" x14ac:dyDescent="0.2">
      <c r="B1184" s="1">
        <v>1169</v>
      </c>
      <c r="C1184" s="101">
        <f t="shared" ca="1" si="72"/>
        <v>-0.77698745645442291</v>
      </c>
      <c r="D1184" s="101">
        <f t="shared" ca="1" si="73"/>
        <v>0.61547545290163064</v>
      </c>
      <c r="E1184" s="101">
        <f t="shared" ca="1" si="74"/>
        <v>0</v>
      </c>
      <c r="F1184" s="21">
        <f t="shared" ca="1" si="75"/>
        <v>0</v>
      </c>
      <c r="H1184" s="21">
        <v>1169</v>
      </c>
      <c r="I1184" s="102">
        <v>0.66784646655276536</v>
      </c>
      <c r="J1184" s="103">
        <v>1.4861298993739988E-3</v>
      </c>
      <c r="K1184" s="103"/>
      <c r="L1184" s="103">
        <v>4.6199999999999998E-2</v>
      </c>
      <c r="O1184" s="100"/>
    </row>
    <row r="1185" spans="2:15" x14ac:dyDescent="0.2">
      <c r="B1185" s="1">
        <v>1170</v>
      </c>
      <c r="C1185" s="101">
        <f t="shared" ca="1" si="72"/>
        <v>0.47137438829691275</v>
      </c>
      <c r="D1185" s="101">
        <f t="shared" ca="1" si="73"/>
        <v>0.69612909932830225</v>
      </c>
      <c r="E1185" s="101">
        <f t="shared" ca="1" si="74"/>
        <v>0</v>
      </c>
      <c r="F1185" s="21">
        <f t="shared" ca="1" si="75"/>
        <v>0</v>
      </c>
      <c r="H1185" s="21">
        <v>1170</v>
      </c>
      <c r="I1185" s="102">
        <v>0.66771217261154547</v>
      </c>
      <c r="J1185" s="103">
        <v>1.2750394359822589E-3</v>
      </c>
      <c r="K1185" s="103"/>
      <c r="L1185" s="103">
        <v>4.2799999999999998E-2</v>
      </c>
      <c r="O1185" s="100"/>
    </row>
    <row r="1186" spans="2:15" x14ac:dyDescent="0.2">
      <c r="B1186" s="1">
        <v>1171</v>
      </c>
      <c r="C1186" s="101">
        <f t="shared" ca="1" si="72"/>
        <v>-1.2913085595354437</v>
      </c>
      <c r="D1186" s="101">
        <f t="shared" ca="1" si="73"/>
        <v>0.58502919255762131</v>
      </c>
      <c r="E1186" s="101">
        <f t="shared" ca="1" si="74"/>
        <v>0</v>
      </c>
      <c r="F1186" s="21">
        <f t="shared" ca="1" si="75"/>
        <v>0</v>
      </c>
      <c r="H1186" s="21">
        <v>1171</v>
      </c>
      <c r="I1186" s="102">
        <v>0.66779087642071211</v>
      </c>
      <c r="J1186" s="103">
        <v>1.3081765236666498E-3</v>
      </c>
      <c r="K1186" s="103"/>
      <c r="L1186" s="103">
        <v>4.1000000000000002E-2</v>
      </c>
      <c r="O1186" s="100"/>
    </row>
    <row r="1187" spans="2:15" x14ac:dyDescent="0.2">
      <c r="B1187" s="1">
        <v>1172</v>
      </c>
      <c r="C1187" s="101">
        <f t="shared" ca="1" si="72"/>
        <v>1.6275978516336551</v>
      </c>
      <c r="D1187" s="101">
        <f t="shared" ca="1" si="73"/>
        <v>0.78022828191013571</v>
      </c>
      <c r="E1187" s="101">
        <f t="shared" ca="1" si="74"/>
        <v>0</v>
      </c>
      <c r="F1187" s="21">
        <f t="shared" ca="1" si="75"/>
        <v>0</v>
      </c>
      <c r="H1187" s="21">
        <v>1172</v>
      </c>
      <c r="I1187" s="102">
        <v>0.6678076523074068</v>
      </c>
      <c r="J1187" s="103">
        <v>1.4465405169470215E-3</v>
      </c>
      <c r="K1187" s="103"/>
      <c r="L1187" s="103">
        <v>4.0399999999999998E-2</v>
      </c>
      <c r="O1187" s="100"/>
    </row>
    <row r="1188" spans="2:15" x14ac:dyDescent="0.2">
      <c r="B1188" s="1">
        <v>1173</v>
      </c>
      <c r="C1188" s="101">
        <f t="shared" ca="1" si="72"/>
        <v>-7.189443694745129E-2</v>
      </c>
      <c r="D1188" s="101">
        <f t="shared" ca="1" si="73"/>
        <v>0.65980634381638859</v>
      </c>
      <c r="E1188" s="101">
        <f t="shared" ca="1" si="74"/>
        <v>0</v>
      </c>
      <c r="F1188" s="21">
        <f t="shared" ca="1" si="75"/>
        <v>0</v>
      </c>
      <c r="H1188" s="21">
        <v>1173</v>
      </c>
      <c r="I1188" s="102">
        <v>0.66761130882885067</v>
      </c>
      <c r="J1188" s="103">
        <v>1.2053864307194771E-3</v>
      </c>
      <c r="K1188" s="103"/>
      <c r="L1188" s="103">
        <v>3.78E-2</v>
      </c>
      <c r="O1188" s="100"/>
    </row>
    <row r="1189" spans="2:15" x14ac:dyDescent="0.2">
      <c r="B1189" s="1">
        <v>1174</v>
      </c>
      <c r="C1189" s="101">
        <f t="shared" ca="1" si="72"/>
        <v>-0.1536301326979625</v>
      </c>
      <c r="D1189" s="101">
        <f t="shared" ca="1" si="73"/>
        <v>0.65450803126406776</v>
      </c>
      <c r="E1189" s="101">
        <f t="shared" ca="1" si="74"/>
        <v>0</v>
      </c>
      <c r="F1189" s="21">
        <f t="shared" ca="1" si="75"/>
        <v>0</v>
      </c>
      <c r="H1189" s="21">
        <v>1174</v>
      </c>
      <c r="I1189" s="102">
        <v>0.66768797283367654</v>
      </c>
      <c r="J1189" s="103">
        <v>1.3712950086930129E-3</v>
      </c>
      <c r="K1189" s="103"/>
      <c r="L1189" s="103">
        <v>0.04</v>
      </c>
      <c r="O1189" s="100"/>
    </row>
    <row r="1190" spans="2:15" x14ac:dyDescent="0.2">
      <c r="B1190" s="1">
        <v>1175</v>
      </c>
      <c r="C1190" s="101">
        <f t="shared" ca="1" si="72"/>
        <v>-0.85859880897210072</v>
      </c>
      <c r="D1190" s="101">
        <f t="shared" ca="1" si="73"/>
        <v>0.61054061041350061</v>
      </c>
      <c r="E1190" s="101">
        <f t="shared" ca="1" si="74"/>
        <v>0</v>
      </c>
      <c r="F1190" s="21">
        <f t="shared" ca="1" si="75"/>
        <v>0</v>
      </c>
      <c r="H1190" s="21">
        <v>1175</v>
      </c>
      <c r="I1190" s="102">
        <v>0.66779962642548241</v>
      </c>
      <c r="J1190" s="103">
        <v>1.4137873745781343E-3</v>
      </c>
      <c r="K1190" s="103"/>
      <c r="L1190" s="103">
        <v>4.3200000000000002E-2</v>
      </c>
      <c r="O1190" s="100"/>
    </row>
    <row r="1191" spans="2:15" x14ac:dyDescent="0.2">
      <c r="B1191" s="1">
        <v>1176</v>
      </c>
      <c r="C1191" s="101">
        <f t="shared" ca="1" si="72"/>
        <v>0.45544041168359001</v>
      </c>
      <c r="D1191" s="101">
        <f t="shared" ca="1" si="73"/>
        <v>0.69503581881253906</v>
      </c>
      <c r="E1191" s="101">
        <f t="shared" ca="1" si="74"/>
        <v>0</v>
      </c>
      <c r="F1191" s="21">
        <f t="shared" ca="1" si="75"/>
        <v>0</v>
      </c>
      <c r="H1191" s="21">
        <v>1176</v>
      </c>
      <c r="I1191" s="102">
        <v>0.66786115143687952</v>
      </c>
      <c r="J1191" s="103">
        <v>1.4986975307182443E-3</v>
      </c>
      <c r="K1191" s="103"/>
      <c r="L1191" s="103">
        <v>4.7399999999999998E-2</v>
      </c>
      <c r="O1191" s="100"/>
    </row>
    <row r="1192" spans="2:15" x14ac:dyDescent="0.2">
      <c r="B1192" s="1">
        <v>1177</v>
      </c>
      <c r="C1192" s="101">
        <f t="shared" ca="1" si="72"/>
        <v>0.64277185909612466</v>
      </c>
      <c r="D1192" s="101">
        <f t="shared" ca="1" si="73"/>
        <v>0.70799852080071346</v>
      </c>
      <c r="E1192" s="101">
        <f t="shared" ca="1" si="74"/>
        <v>0</v>
      </c>
      <c r="F1192" s="21">
        <f t="shared" ca="1" si="75"/>
        <v>0</v>
      </c>
      <c r="H1192" s="21">
        <v>1177</v>
      </c>
      <c r="I1192" s="102">
        <v>0.66780664184477223</v>
      </c>
      <c r="J1192" s="103">
        <v>1.4131129516903721E-3</v>
      </c>
      <c r="K1192" s="103"/>
      <c r="L1192" s="103">
        <v>3.9800000000000002E-2</v>
      </c>
      <c r="O1192" s="100"/>
    </row>
    <row r="1193" spans="2:15" x14ac:dyDescent="0.2">
      <c r="B1193" s="1">
        <v>1178</v>
      </c>
      <c r="C1193" s="101">
        <f t="shared" ca="1" si="72"/>
        <v>7.8833957370854635E-2</v>
      </c>
      <c r="D1193" s="101">
        <f t="shared" ca="1" si="73"/>
        <v>0.6696896674357905</v>
      </c>
      <c r="E1193" s="101">
        <f t="shared" ca="1" si="74"/>
        <v>0</v>
      </c>
      <c r="F1193" s="21">
        <f t="shared" ca="1" si="75"/>
        <v>0</v>
      </c>
      <c r="H1193" s="21">
        <v>1178</v>
      </c>
      <c r="I1193" s="102">
        <v>0.66768686755051965</v>
      </c>
      <c r="J1193" s="103">
        <v>1.3077676518096352E-3</v>
      </c>
      <c r="K1193" s="103"/>
      <c r="L1193" s="103">
        <v>4.2599999999999999E-2</v>
      </c>
      <c r="O1193" s="100"/>
    </row>
    <row r="1194" spans="2:15" x14ac:dyDescent="0.2">
      <c r="B1194" s="1">
        <v>1179</v>
      </c>
      <c r="C1194" s="101">
        <f t="shared" ca="1" si="72"/>
        <v>0.78167090946752238</v>
      </c>
      <c r="D1194" s="101">
        <f t="shared" ca="1" si="73"/>
        <v>0.71776569872943996</v>
      </c>
      <c r="E1194" s="101">
        <f t="shared" ca="1" si="74"/>
        <v>0</v>
      </c>
      <c r="F1194" s="21">
        <f t="shared" ca="1" si="75"/>
        <v>0</v>
      </c>
      <c r="H1194" s="21">
        <v>1179</v>
      </c>
      <c r="I1194" s="102">
        <v>0.66775877044905396</v>
      </c>
      <c r="J1194" s="103">
        <v>1.3755850684417255E-3</v>
      </c>
      <c r="K1194" s="103"/>
      <c r="L1194" s="103">
        <v>4.1399999999999999E-2</v>
      </c>
      <c r="O1194" s="100"/>
    </row>
    <row r="1195" spans="2:15" x14ac:dyDescent="0.2">
      <c r="B1195" s="1">
        <v>1180</v>
      </c>
      <c r="C1195" s="101">
        <f t="shared" ca="1" si="72"/>
        <v>0.59506083172924795</v>
      </c>
      <c r="D1195" s="101">
        <f t="shared" ca="1" si="73"/>
        <v>0.7046743107008534</v>
      </c>
      <c r="E1195" s="101">
        <f t="shared" ca="1" si="74"/>
        <v>0</v>
      </c>
      <c r="F1195" s="21">
        <f t="shared" ca="1" si="75"/>
        <v>0</v>
      </c>
      <c r="H1195" s="21">
        <v>1180</v>
      </c>
      <c r="I1195" s="102">
        <v>0.66773644180065816</v>
      </c>
      <c r="J1195" s="103">
        <v>1.4829481952915947E-3</v>
      </c>
      <c r="K1195" s="103"/>
      <c r="L1195" s="103">
        <v>4.0800000000000003E-2</v>
      </c>
      <c r="O1195" s="100"/>
    </row>
    <row r="1196" spans="2:15" x14ac:dyDescent="0.2">
      <c r="B1196" s="1">
        <v>1181</v>
      </c>
      <c r="C1196" s="101">
        <f t="shared" ca="1" si="72"/>
        <v>0.2241894944267897</v>
      </c>
      <c r="D1196" s="101">
        <f t="shared" ca="1" si="73"/>
        <v>0.67936088759717406</v>
      </c>
      <c r="E1196" s="101">
        <f t="shared" ca="1" si="74"/>
        <v>0</v>
      </c>
      <c r="F1196" s="21">
        <f t="shared" ca="1" si="75"/>
        <v>0</v>
      </c>
      <c r="H1196" s="21">
        <v>1181</v>
      </c>
      <c r="I1196" s="102">
        <v>0.66778011880400889</v>
      </c>
      <c r="J1196" s="103">
        <v>1.4016896932911318E-3</v>
      </c>
      <c r="K1196" s="103"/>
      <c r="L1196" s="103">
        <v>4.2200000000000001E-2</v>
      </c>
      <c r="O1196" s="100"/>
    </row>
    <row r="1197" spans="2:15" x14ac:dyDescent="0.2">
      <c r="B1197" s="1">
        <v>1182</v>
      </c>
      <c r="C1197" s="101">
        <f t="shared" ca="1" si="72"/>
        <v>-0.42577831936099553</v>
      </c>
      <c r="D1197" s="101">
        <f t="shared" ca="1" si="73"/>
        <v>0.63717146691230386</v>
      </c>
      <c r="E1197" s="101">
        <f t="shared" ca="1" si="74"/>
        <v>0</v>
      </c>
      <c r="F1197" s="21">
        <f t="shared" ca="1" si="75"/>
        <v>0</v>
      </c>
      <c r="H1197" s="21">
        <v>1182</v>
      </c>
      <c r="I1197" s="102">
        <v>0.66767291175250376</v>
      </c>
      <c r="J1197" s="103">
        <v>1.3765629105311082E-3</v>
      </c>
      <c r="K1197" s="103"/>
      <c r="L1197" s="103">
        <v>4.1200000000000001E-2</v>
      </c>
      <c r="O1197" s="100"/>
    </row>
    <row r="1198" spans="2:15" x14ac:dyDescent="0.2">
      <c r="B1198" s="1">
        <v>1183</v>
      </c>
      <c r="C1198" s="101">
        <f t="shared" ca="1" si="72"/>
        <v>-1.0078503605967273</v>
      </c>
      <c r="D1198" s="101">
        <f t="shared" ca="1" si="73"/>
        <v>0.60161784835409671</v>
      </c>
      <c r="E1198" s="101">
        <f t="shared" ca="1" si="74"/>
        <v>0</v>
      </c>
      <c r="F1198" s="21">
        <f t="shared" ca="1" si="75"/>
        <v>0</v>
      </c>
      <c r="H1198" s="21">
        <v>1183</v>
      </c>
      <c r="I1198" s="102">
        <v>0.66770105456354156</v>
      </c>
      <c r="J1198" s="103">
        <v>1.2720096067375204E-3</v>
      </c>
      <c r="K1198" s="103"/>
      <c r="L1198" s="103">
        <v>3.9E-2</v>
      </c>
      <c r="O1198" s="100"/>
    </row>
    <row r="1199" spans="2:15" x14ac:dyDescent="0.2">
      <c r="B1199" s="1">
        <v>1184</v>
      </c>
      <c r="C1199" s="101">
        <f t="shared" ca="1" si="72"/>
        <v>-1.3697768390678116</v>
      </c>
      <c r="D1199" s="101">
        <f t="shared" ca="1" si="73"/>
        <v>0.58051842044721114</v>
      </c>
      <c r="E1199" s="101">
        <f t="shared" ca="1" si="74"/>
        <v>0</v>
      </c>
      <c r="F1199" s="21">
        <f t="shared" ca="1" si="75"/>
        <v>0</v>
      </c>
      <c r="H1199" s="21">
        <v>1184</v>
      </c>
      <c r="I1199" s="102">
        <v>0.66773757025909453</v>
      </c>
      <c r="J1199" s="103">
        <v>1.4338910348229874E-3</v>
      </c>
      <c r="K1199" s="103"/>
      <c r="L1199" s="103">
        <v>4.3799999999999999E-2</v>
      </c>
      <c r="O1199" s="100"/>
    </row>
    <row r="1200" spans="2:15" x14ac:dyDescent="0.2">
      <c r="B1200" s="1">
        <v>1185</v>
      </c>
      <c r="C1200" s="101">
        <f t="shared" ca="1" si="72"/>
        <v>-1.0009871919408422</v>
      </c>
      <c r="D1200" s="101">
        <f t="shared" ca="1" si="73"/>
        <v>0.60202527675501738</v>
      </c>
      <c r="E1200" s="101">
        <f t="shared" ca="1" si="74"/>
        <v>0</v>
      </c>
      <c r="F1200" s="21">
        <f t="shared" ca="1" si="75"/>
        <v>0</v>
      </c>
      <c r="H1200" s="21">
        <v>1185</v>
      </c>
      <c r="I1200" s="102">
        <v>0.66777609146628147</v>
      </c>
      <c r="J1200" s="103">
        <v>1.3891963556199158E-3</v>
      </c>
      <c r="K1200" s="103"/>
      <c r="L1200" s="103">
        <v>4.24E-2</v>
      </c>
      <c r="O1200" s="100"/>
    </row>
    <row r="1201" spans="2:15" x14ac:dyDescent="0.2">
      <c r="B1201" s="1">
        <v>1186</v>
      </c>
      <c r="C1201" s="101">
        <f t="shared" ca="1" si="72"/>
        <v>0.97224932470510383</v>
      </c>
      <c r="D1201" s="101">
        <f t="shared" ca="1" si="73"/>
        <v>0.73138653704625867</v>
      </c>
      <c r="E1201" s="101">
        <f t="shared" ca="1" si="74"/>
        <v>0</v>
      </c>
      <c r="F1201" s="21">
        <f t="shared" ca="1" si="75"/>
        <v>0</v>
      </c>
      <c r="H1201" s="21">
        <v>1186</v>
      </c>
      <c r="I1201" s="102">
        <v>0.66788654985203066</v>
      </c>
      <c r="J1201" s="103">
        <v>1.5929383996079486E-3</v>
      </c>
      <c r="K1201" s="103"/>
      <c r="L1201" s="103">
        <v>4.6800000000000001E-2</v>
      </c>
      <c r="O1201" s="100"/>
    </row>
    <row r="1202" spans="2:15" x14ac:dyDescent="0.2">
      <c r="B1202" s="1">
        <v>1187</v>
      </c>
      <c r="C1202" s="101">
        <f t="shared" ca="1" si="72"/>
        <v>7.9750679332876884E-2</v>
      </c>
      <c r="D1202" s="101">
        <f t="shared" ca="1" si="73"/>
        <v>0.66975022798024741</v>
      </c>
      <c r="E1202" s="101">
        <f t="shared" ca="1" si="74"/>
        <v>0</v>
      </c>
      <c r="F1202" s="21">
        <f t="shared" ca="1" si="75"/>
        <v>0</v>
      </c>
      <c r="H1202" s="21">
        <v>1187</v>
      </c>
      <c r="I1202" s="102">
        <v>0.66766921516638644</v>
      </c>
      <c r="J1202" s="103">
        <v>1.3071681998705906E-3</v>
      </c>
      <c r="K1202" s="103"/>
      <c r="L1202" s="103">
        <v>4.1399999999999999E-2</v>
      </c>
      <c r="O1202" s="100"/>
    </row>
    <row r="1203" spans="2:15" x14ac:dyDescent="0.2">
      <c r="B1203" s="1">
        <v>1188</v>
      </c>
      <c r="C1203" s="101">
        <f t="shared" ca="1" si="72"/>
        <v>-1.6620253816662267</v>
      </c>
      <c r="D1203" s="101">
        <f t="shared" ca="1" si="73"/>
        <v>0.56402227701743202</v>
      </c>
      <c r="E1203" s="101">
        <f t="shared" ca="1" si="74"/>
        <v>0</v>
      </c>
      <c r="F1203" s="21">
        <f t="shared" ca="1" si="75"/>
        <v>0</v>
      </c>
      <c r="H1203" s="21">
        <v>1188</v>
      </c>
      <c r="I1203" s="102">
        <v>0.66763686009602019</v>
      </c>
      <c r="J1203" s="103">
        <v>1.3326441680152437E-3</v>
      </c>
      <c r="K1203" s="103"/>
      <c r="L1203" s="103">
        <v>3.7600000000000001E-2</v>
      </c>
      <c r="O1203" s="100"/>
    </row>
    <row r="1204" spans="2:15" x14ac:dyDescent="0.2">
      <c r="B1204" s="1">
        <v>1189</v>
      </c>
      <c r="C1204" s="101">
        <f t="shared" ca="1" si="72"/>
        <v>-0.43369394134037836</v>
      </c>
      <c r="D1204" s="101">
        <f t="shared" ca="1" si="73"/>
        <v>0.63667415286488382</v>
      </c>
      <c r="E1204" s="101">
        <f t="shared" ca="1" si="74"/>
        <v>0</v>
      </c>
      <c r="F1204" s="21">
        <f t="shared" ca="1" si="75"/>
        <v>0</v>
      </c>
      <c r="H1204" s="21">
        <v>1189</v>
      </c>
      <c r="I1204" s="102">
        <v>0.66766501863069749</v>
      </c>
      <c r="J1204" s="103">
        <v>1.197597715328628E-3</v>
      </c>
      <c r="K1204" s="103"/>
      <c r="L1204" s="103">
        <v>4.2200000000000001E-2</v>
      </c>
      <c r="O1204" s="100"/>
    </row>
    <row r="1205" spans="2:15" x14ac:dyDescent="0.2">
      <c r="B1205" s="1">
        <v>1190</v>
      </c>
      <c r="C1205" s="101">
        <f t="shared" ca="1" si="72"/>
        <v>-0.40159001358774887</v>
      </c>
      <c r="D1205" s="101">
        <f t="shared" ca="1" si="73"/>
        <v>0.63869355181841403</v>
      </c>
      <c r="E1205" s="101">
        <f t="shared" ca="1" si="74"/>
        <v>0</v>
      </c>
      <c r="F1205" s="21">
        <f t="shared" ca="1" si="75"/>
        <v>0</v>
      </c>
      <c r="H1205" s="21">
        <v>1190</v>
      </c>
      <c r="I1205" s="102">
        <v>0.66773997348955005</v>
      </c>
      <c r="J1205" s="103">
        <v>1.311767771294923E-3</v>
      </c>
      <c r="K1205" s="103"/>
      <c r="L1205" s="103">
        <v>4.3400000000000001E-2</v>
      </c>
      <c r="O1205" s="100"/>
    </row>
    <row r="1206" spans="2:15" x14ac:dyDescent="0.2">
      <c r="B1206" s="1">
        <v>1191</v>
      </c>
      <c r="C1206" s="101">
        <f t="shared" ca="1" si="72"/>
        <v>-0.67362181234214336</v>
      </c>
      <c r="D1206" s="101">
        <f t="shared" ca="1" si="73"/>
        <v>0.62178301876284081</v>
      </c>
      <c r="E1206" s="101">
        <f t="shared" ca="1" si="74"/>
        <v>0</v>
      </c>
      <c r="F1206" s="21">
        <f t="shared" ca="1" si="75"/>
        <v>0</v>
      </c>
      <c r="H1206" s="21">
        <v>1191</v>
      </c>
      <c r="I1206" s="102">
        <v>0.66771889179393007</v>
      </c>
      <c r="J1206" s="103">
        <v>1.2071945979095808E-3</v>
      </c>
      <c r="K1206" s="103"/>
      <c r="L1206" s="103">
        <v>4.1599999999999998E-2</v>
      </c>
      <c r="O1206" s="100"/>
    </row>
    <row r="1207" spans="2:15" x14ac:dyDescent="0.2">
      <c r="B1207" s="1">
        <v>1192</v>
      </c>
      <c r="C1207" s="101">
        <f t="shared" ca="1" si="72"/>
        <v>-1.0541179488598167</v>
      </c>
      <c r="D1207" s="101">
        <f t="shared" ca="1" si="73"/>
        <v>0.59887838298721208</v>
      </c>
      <c r="E1207" s="101">
        <f t="shared" ca="1" si="74"/>
        <v>0</v>
      </c>
      <c r="F1207" s="21">
        <f t="shared" ca="1" si="75"/>
        <v>0</v>
      </c>
      <c r="H1207" s="21">
        <v>1192</v>
      </c>
      <c r="I1207" s="102">
        <v>0.66793748244516238</v>
      </c>
      <c r="J1207" s="103">
        <v>1.5903394234070105E-3</v>
      </c>
      <c r="K1207" s="103"/>
      <c r="L1207" s="103">
        <v>4.7399999999999998E-2</v>
      </c>
      <c r="O1207" s="100"/>
    </row>
    <row r="1208" spans="2:15" x14ac:dyDescent="0.2">
      <c r="B1208" s="1">
        <v>1193</v>
      </c>
      <c r="C1208" s="101">
        <f t="shared" ca="1" si="72"/>
        <v>0.32982142326587632</v>
      </c>
      <c r="D1208" s="101">
        <f t="shared" ca="1" si="73"/>
        <v>0.68647661362909995</v>
      </c>
      <c r="E1208" s="101">
        <f t="shared" ca="1" si="74"/>
        <v>0</v>
      </c>
      <c r="F1208" s="21">
        <f t="shared" ca="1" si="75"/>
        <v>0</v>
      </c>
      <c r="H1208" s="21">
        <v>1193</v>
      </c>
      <c r="I1208" s="102">
        <v>0.66772591375316093</v>
      </c>
      <c r="J1208" s="103">
        <v>1.3300493881800877E-3</v>
      </c>
      <c r="K1208" s="103"/>
      <c r="L1208" s="103">
        <v>4.1399999999999999E-2</v>
      </c>
      <c r="O1208" s="100"/>
    </row>
    <row r="1209" spans="2:15" x14ac:dyDescent="0.2">
      <c r="B1209" s="1">
        <v>1194</v>
      </c>
      <c r="C1209" s="101">
        <f t="shared" ca="1" si="72"/>
        <v>0.34469038256392398</v>
      </c>
      <c r="D1209" s="101">
        <f t="shared" ca="1" si="73"/>
        <v>0.68748420339415117</v>
      </c>
      <c r="E1209" s="101">
        <f t="shared" ca="1" si="74"/>
        <v>0</v>
      </c>
      <c r="F1209" s="21">
        <f t="shared" ca="1" si="75"/>
        <v>0</v>
      </c>
      <c r="H1209" s="21">
        <v>1194</v>
      </c>
      <c r="I1209" s="102">
        <v>0.66772450802452454</v>
      </c>
      <c r="J1209" s="103">
        <v>1.3680275288632054E-3</v>
      </c>
      <c r="K1209" s="103"/>
      <c r="L1209" s="103">
        <v>4.48E-2</v>
      </c>
      <c r="O1209" s="100"/>
    </row>
    <row r="1210" spans="2:15" x14ac:dyDescent="0.2">
      <c r="B1210" s="1">
        <v>1195</v>
      </c>
      <c r="C1210" s="101">
        <f t="shared" ca="1" si="72"/>
        <v>1.1098706487600321</v>
      </c>
      <c r="D1210" s="101">
        <f t="shared" ca="1" si="73"/>
        <v>0.74138291655154376</v>
      </c>
      <c r="E1210" s="101">
        <f t="shared" ca="1" si="74"/>
        <v>0</v>
      </c>
      <c r="F1210" s="21">
        <f t="shared" ca="1" si="75"/>
        <v>0</v>
      </c>
      <c r="H1210" s="21">
        <v>1195</v>
      </c>
      <c r="I1210" s="102">
        <v>0.66767667001838127</v>
      </c>
      <c r="J1210" s="103">
        <v>1.360114571046186E-3</v>
      </c>
      <c r="K1210" s="103"/>
      <c r="L1210" s="103">
        <v>0.04</v>
      </c>
      <c r="O1210" s="100"/>
    </row>
    <row r="1211" spans="2:15" x14ac:dyDescent="0.2">
      <c r="B1211" s="1">
        <v>1196</v>
      </c>
      <c r="C1211" s="101">
        <f t="shared" ca="1" si="72"/>
        <v>-1.2891739116306875E-2</v>
      </c>
      <c r="D1211" s="101">
        <f t="shared" ca="1" si="73"/>
        <v>0.6636576823045377</v>
      </c>
      <c r="E1211" s="101">
        <f t="shared" ca="1" si="74"/>
        <v>0</v>
      </c>
      <c r="F1211" s="21">
        <f t="shared" ca="1" si="75"/>
        <v>0</v>
      </c>
      <c r="H1211" s="21">
        <v>1196</v>
      </c>
      <c r="I1211" s="102">
        <v>0.66772313377352654</v>
      </c>
      <c r="J1211" s="103">
        <v>1.4013341422179665E-3</v>
      </c>
      <c r="K1211" s="103"/>
      <c r="L1211" s="103">
        <v>4.3200000000000002E-2</v>
      </c>
      <c r="O1211" s="100"/>
    </row>
    <row r="1212" spans="2:15" x14ac:dyDescent="0.2">
      <c r="B1212" s="1">
        <v>1197</v>
      </c>
      <c r="C1212" s="101">
        <f t="shared" ca="1" si="72"/>
        <v>0.48540412353789103</v>
      </c>
      <c r="D1212" s="101">
        <f t="shared" ca="1" si="73"/>
        <v>0.69709314744752238</v>
      </c>
      <c r="E1212" s="101">
        <f t="shared" ca="1" si="74"/>
        <v>0</v>
      </c>
      <c r="F1212" s="21">
        <f t="shared" ca="1" si="75"/>
        <v>0</v>
      </c>
      <c r="H1212" s="21">
        <v>1197</v>
      </c>
      <c r="I1212" s="102">
        <v>0.66758938003696533</v>
      </c>
      <c r="J1212" s="103">
        <v>1.1459592467354686E-3</v>
      </c>
      <c r="K1212" s="103"/>
      <c r="L1212" s="103">
        <v>3.9199999999999999E-2</v>
      </c>
      <c r="O1212" s="100"/>
    </row>
    <row r="1213" spans="2:15" x14ac:dyDescent="0.2">
      <c r="B1213" s="1">
        <v>1198</v>
      </c>
      <c r="C1213" s="101">
        <f t="shared" ca="1" si="72"/>
        <v>-0.59982658939700151</v>
      </c>
      <c r="D1213" s="101">
        <f t="shared" ca="1" si="73"/>
        <v>0.6263256516070691</v>
      </c>
      <c r="E1213" s="101">
        <f t="shared" ca="1" si="74"/>
        <v>0</v>
      </c>
      <c r="F1213" s="21">
        <f t="shared" ca="1" si="75"/>
        <v>0</v>
      </c>
      <c r="H1213" s="21">
        <v>1198</v>
      </c>
      <c r="I1213" s="102">
        <v>0.66790076018906497</v>
      </c>
      <c r="J1213" s="103">
        <v>1.6560916536211322E-3</v>
      </c>
      <c r="K1213" s="103"/>
      <c r="L1213" s="103">
        <v>4.6600000000000003E-2</v>
      </c>
      <c r="O1213" s="100"/>
    </row>
    <row r="1214" spans="2:15" x14ac:dyDescent="0.2">
      <c r="B1214" s="1">
        <v>1199</v>
      </c>
      <c r="C1214" s="101">
        <f t="shared" ca="1" si="72"/>
        <v>0.50213812798885304</v>
      </c>
      <c r="D1214" s="101">
        <f t="shared" ca="1" si="73"/>
        <v>0.69824476448376727</v>
      </c>
      <c r="E1214" s="101">
        <f t="shared" ca="1" si="74"/>
        <v>0</v>
      </c>
      <c r="F1214" s="21">
        <f t="shared" ca="1" si="75"/>
        <v>0</v>
      </c>
      <c r="H1214" s="21">
        <v>1199</v>
      </c>
      <c r="I1214" s="102">
        <v>0.66776251236709994</v>
      </c>
      <c r="J1214" s="103">
        <v>1.4529964472759355E-3</v>
      </c>
      <c r="K1214" s="103"/>
      <c r="L1214" s="103">
        <v>4.3999999999999997E-2</v>
      </c>
      <c r="O1214" s="100"/>
    </row>
    <row r="1215" spans="2:15" x14ac:dyDescent="0.2">
      <c r="B1215" s="1">
        <v>1200</v>
      </c>
      <c r="C1215" s="101">
        <f t="shared" ca="1" si="72"/>
        <v>1.6160007010693285</v>
      </c>
      <c r="D1215" s="101">
        <f t="shared" ca="1" si="73"/>
        <v>0.7793362436104545</v>
      </c>
      <c r="E1215" s="101">
        <f t="shared" ca="1" si="74"/>
        <v>0</v>
      </c>
      <c r="F1215" s="21">
        <f t="shared" ca="1" si="75"/>
        <v>0</v>
      </c>
      <c r="H1215" s="21">
        <v>1200</v>
      </c>
      <c r="I1215" s="102">
        <v>0.66766716992252284</v>
      </c>
      <c r="J1215" s="103">
        <v>1.3164542811800412E-3</v>
      </c>
      <c r="K1215" s="103"/>
      <c r="L1215" s="103">
        <v>4.0800000000000003E-2</v>
      </c>
      <c r="O1215" s="100"/>
    </row>
    <row r="1216" spans="2:15" x14ac:dyDescent="0.2">
      <c r="B1216" s="1">
        <v>1201</v>
      </c>
      <c r="C1216" s="101">
        <f t="shared" ca="1" si="72"/>
        <v>-0.71116746417640209</v>
      </c>
      <c r="D1216" s="101">
        <f t="shared" ca="1" si="73"/>
        <v>0.61948447149984887</v>
      </c>
      <c r="E1216" s="101">
        <f t="shared" ca="1" si="74"/>
        <v>0</v>
      </c>
      <c r="F1216" s="21">
        <f t="shared" ca="1" si="75"/>
        <v>0</v>
      </c>
      <c r="H1216" s="21">
        <v>1201</v>
      </c>
      <c r="I1216" s="102">
        <v>0.66781569596895829</v>
      </c>
      <c r="J1216" s="103">
        <v>1.4417747151681249E-3</v>
      </c>
      <c r="K1216" s="103"/>
      <c r="L1216" s="103">
        <v>4.2999999999999997E-2</v>
      </c>
      <c r="O1216" s="100"/>
    </row>
    <row r="1217" spans="2:15" x14ac:dyDescent="0.2">
      <c r="B1217" s="1">
        <v>1202</v>
      </c>
      <c r="C1217" s="101">
        <f t="shared" ca="1" si="72"/>
        <v>1.8572571048443307</v>
      </c>
      <c r="D1217" s="101">
        <f t="shared" ca="1" si="73"/>
        <v>0.79810521664539158</v>
      </c>
      <c r="E1217" s="101">
        <f t="shared" ca="1" si="74"/>
        <v>9.905216645391568E-3</v>
      </c>
      <c r="F1217" s="21">
        <f t="shared" ca="1" si="75"/>
        <v>1</v>
      </c>
      <c r="H1217" s="21">
        <v>1202</v>
      </c>
      <c r="I1217" s="102">
        <v>0.66780164850955248</v>
      </c>
      <c r="J1217" s="103">
        <v>1.4069665917481164E-3</v>
      </c>
      <c r="K1217" s="103"/>
      <c r="L1217" s="103">
        <v>4.5999999999999999E-2</v>
      </c>
      <c r="O1217" s="100"/>
    </row>
    <row r="1218" spans="2:15" x14ac:dyDescent="0.2">
      <c r="B1218" s="1">
        <v>1203</v>
      </c>
      <c r="C1218" s="101">
        <f t="shared" ca="1" si="72"/>
        <v>2.4162107344698294</v>
      </c>
      <c r="D1218" s="101">
        <f t="shared" ca="1" si="73"/>
        <v>0.84334520182038009</v>
      </c>
      <c r="E1218" s="101">
        <f t="shared" ca="1" si="74"/>
        <v>5.5145201820380074E-2</v>
      </c>
      <c r="F1218" s="21">
        <f t="shared" ca="1" si="75"/>
        <v>1</v>
      </c>
      <c r="H1218" s="21">
        <v>1203</v>
      </c>
      <c r="I1218" s="102">
        <v>0.66769140434102292</v>
      </c>
      <c r="J1218" s="103">
        <v>1.4191275503279207E-3</v>
      </c>
      <c r="K1218" s="103"/>
      <c r="L1218" s="103">
        <v>4.1000000000000002E-2</v>
      </c>
      <c r="O1218" s="100"/>
    </row>
    <row r="1219" spans="2:15" x14ac:dyDescent="0.2">
      <c r="B1219" s="1">
        <v>1204</v>
      </c>
      <c r="C1219" s="101">
        <f t="shared" ca="1" si="72"/>
        <v>0.27827395254338266</v>
      </c>
      <c r="D1219" s="101">
        <f t="shared" ca="1" si="73"/>
        <v>0.68299493770119868</v>
      </c>
      <c r="E1219" s="101">
        <f t="shared" ca="1" si="74"/>
        <v>0</v>
      </c>
      <c r="F1219" s="21">
        <f t="shared" ca="1" si="75"/>
        <v>0</v>
      </c>
      <c r="H1219" s="21">
        <v>1204</v>
      </c>
      <c r="I1219" s="102">
        <v>0.66764138134033169</v>
      </c>
      <c r="J1219" s="103">
        <v>1.2414770337745773E-3</v>
      </c>
      <c r="K1219" s="103"/>
      <c r="L1219" s="103">
        <v>4.0800000000000003E-2</v>
      </c>
      <c r="O1219" s="100"/>
    </row>
    <row r="1220" spans="2:15" x14ac:dyDescent="0.2">
      <c r="B1220" s="1">
        <v>1205</v>
      </c>
      <c r="C1220" s="101">
        <f t="shared" ca="1" si="72"/>
        <v>-0.40464553936165409</v>
      </c>
      <c r="D1220" s="101">
        <f t="shared" ca="1" si="73"/>
        <v>0.63850107787825683</v>
      </c>
      <c r="E1220" s="101">
        <f t="shared" ca="1" si="74"/>
        <v>0</v>
      </c>
      <c r="F1220" s="21">
        <f t="shared" ca="1" si="75"/>
        <v>0</v>
      </c>
      <c r="H1220" s="21">
        <v>1205</v>
      </c>
      <c r="I1220" s="102">
        <v>0.66797146404827989</v>
      </c>
      <c r="J1220" s="103">
        <v>1.6629563316515636E-3</v>
      </c>
      <c r="K1220" s="103"/>
      <c r="L1220" s="103">
        <v>4.9200000000000001E-2</v>
      </c>
      <c r="O1220" s="100"/>
    </row>
    <row r="1221" spans="2:15" x14ac:dyDescent="0.2">
      <c r="B1221" s="1">
        <v>1206</v>
      </c>
      <c r="C1221" s="101">
        <f t="shared" ca="1" si="72"/>
        <v>1.1831274137234553</v>
      </c>
      <c r="D1221" s="101">
        <f t="shared" ca="1" si="73"/>
        <v>0.74675965973997604</v>
      </c>
      <c r="E1221" s="101">
        <f t="shared" ca="1" si="74"/>
        <v>0</v>
      </c>
      <c r="F1221" s="21">
        <f t="shared" ca="1" si="75"/>
        <v>0</v>
      </c>
      <c r="H1221" s="21">
        <v>1206</v>
      </c>
      <c r="I1221" s="102">
        <v>0.66773755395214229</v>
      </c>
      <c r="J1221" s="103">
        <v>1.3745869841623277E-3</v>
      </c>
      <c r="K1221" s="103"/>
      <c r="L1221" s="103">
        <v>4.3200000000000002E-2</v>
      </c>
      <c r="O1221" s="100"/>
    </row>
    <row r="1222" spans="2:15" x14ac:dyDescent="0.2">
      <c r="B1222" s="1">
        <v>1207</v>
      </c>
      <c r="C1222" s="101">
        <f t="shared" ca="1" si="72"/>
        <v>1.732178053598644</v>
      </c>
      <c r="D1222" s="101">
        <f t="shared" ca="1" si="73"/>
        <v>0.78831872052221774</v>
      </c>
      <c r="E1222" s="101">
        <f t="shared" ca="1" si="74"/>
        <v>1.1872052221773011E-4</v>
      </c>
      <c r="F1222" s="21">
        <f t="shared" ca="1" si="75"/>
        <v>1</v>
      </c>
      <c r="H1222" s="21">
        <v>1207</v>
      </c>
      <c r="I1222" s="102">
        <v>0.66755562900107912</v>
      </c>
      <c r="J1222" s="103">
        <v>1.2141612218706734E-3</v>
      </c>
      <c r="K1222" s="103"/>
      <c r="L1222" s="103">
        <v>3.5400000000000001E-2</v>
      </c>
      <c r="O1222" s="100"/>
    </row>
    <row r="1223" spans="2:15" x14ac:dyDescent="0.2">
      <c r="B1223" s="1">
        <v>1208</v>
      </c>
      <c r="C1223" s="101">
        <f t="shared" ca="1" si="72"/>
        <v>-0.19211257217526223</v>
      </c>
      <c r="D1223" s="101">
        <f t="shared" ca="1" si="73"/>
        <v>0.65202825525270669</v>
      </c>
      <c r="E1223" s="101">
        <f t="shared" ca="1" si="74"/>
        <v>0</v>
      </c>
      <c r="F1223" s="21">
        <f t="shared" ca="1" si="75"/>
        <v>0</v>
      </c>
      <c r="H1223" s="21">
        <v>1208</v>
      </c>
      <c r="I1223" s="102">
        <v>0.66786628351721711</v>
      </c>
      <c r="J1223" s="103">
        <v>1.4204553649193067E-3</v>
      </c>
      <c r="K1223" s="103"/>
      <c r="L1223" s="103">
        <v>4.5999999999999999E-2</v>
      </c>
      <c r="O1223" s="100"/>
    </row>
    <row r="1224" spans="2:15" x14ac:dyDescent="0.2">
      <c r="B1224" s="1">
        <v>1209</v>
      </c>
      <c r="C1224" s="101">
        <f t="shared" ca="1" si="72"/>
        <v>0.97082944383969227</v>
      </c>
      <c r="D1224" s="101">
        <f t="shared" ca="1" si="73"/>
        <v>0.73128410700302493</v>
      </c>
      <c r="E1224" s="101">
        <f t="shared" ca="1" si="74"/>
        <v>0</v>
      </c>
      <c r="F1224" s="21">
        <f t="shared" ca="1" si="75"/>
        <v>0</v>
      </c>
      <c r="H1224" s="21">
        <v>1209</v>
      </c>
      <c r="I1224" s="102">
        <v>0.66771266605624668</v>
      </c>
      <c r="J1224" s="103">
        <v>1.3075443059466639E-3</v>
      </c>
      <c r="K1224" s="103"/>
      <c r="L1224" s="103">
        <v>4.2599999999999999E-2</v>
      </c>
      <c r="O1224" s="100"/>
    </row>
    <row r="1225" spans="2:15" x14ac:dyDescent="0.2">
      <c r="B1225" s="1">
        <v>1210</v>
      </c>
      <c r="C1225" s="101">
        <f t="shared" ca="1" si="72"/>
        <v>-0.9639586073032903</v>
      </c>
      <c r="D1225" s="101">
        <f t="shared" ca="1" si="73"/>
        <v>0.60422822412199406</v>
      </c>
      <c r="E1225" s="101">
        <f t="shared" ca="1" si="74"/>
        <v>0</v>
      </c>
      <c r="F1225" s="21">
        <f t="shared" ca="1" si="75"/>
        <v>0</v>
      </c>
      <c r="H1225" s="21">
        <v>1210</v>
      </c>
      <c r="I1225" s="102">
        <v>0.66781532351992046</v>
      </c>
      <c r="J1225" s="103">
        <v>1.3113891387015301E-3</v>
      </c>
      <c r="K1225" s="103"/>
      <c r="L1225" s="103">
        <v>0.04</v>
      </c>
      <c r="O1225" s="100"/>
    </row>
    <row r="1226" spans="2:15" x14ac:dyDescent="0.2">
      <c r="B1226" s="1">
        <v>1211</v>
      </c>
      <c r="C1226" s="101">
        <f t="shared" ca="1" si="72"/>
        <v>-0.30394541748335963</v>
      </c>
      <c r="D1226" s="101">
        <f t="shared" ca="1" si="73"/>
        <v>0.6448750371284262</v>
      </c>
      <c r="E1226" s="101">
        <f t="shared" ca="1" si="74"/>
        <v>0</v>
      </c>
      <c r="F1226" s="21">
        <f t="shared" ca="1" si="75"/>
        <v>0</v>
      </c>
      <c r="H1226" s="21">
        <v>1211</v>
      </c>
      <c r="I1226" s="102">
        <v>0.66763928405329276</v>
      </c>
      <c r="J1226" s="103">
        <v>1.3594604695442798E-3</v>
      </c>
      <c r="K1226" s="103"/>
      <c r="L1226" s="103">
        <v>3.9199999999999999E-2</v>
      </c>
      <c r="O1226" s="100"/>
    </row>
    <row r="1227" spans="2:15" x14ac:dyDescent="0.2">
      <c r="B1227" s="1">
        <v>1212</v>
      </c>
      <c r="C1227" s="101">
        <f t="shared" ca="1" si="72"/>
        <v>-0.61899039342926221</v>
      </c>
      <c r="D1227" s="101">
        <f t="shared" ca="1" si="73"/>
        <v>0.62514279962323216</v>
      </c>
      <c r="E1227" s="101">
        <f t="shared" ca="1" si="74"/>
        <v>0</v>
      </c>
      <c r="F1227" s="21">
        <f t="shared" ca="1" si="75"/>
        <v>0</v>
      </c>
      <c r="H1227" s="21">
        <v>1212</v>
      </c>
      <c r="I1227" s="102">
        <v>0.66760412857354223</v>
      </c>
      <c r="J1227" s="103">
        <v>1.3167645359827495E-3</v>
      </c>
      <c r="K1227" s="103"/>
      <c r="L1227" s="103">
        <v>4.1200000000000001E-2</v>
      </c>
      <c r="O1227" s="100"/>
    </row>
    <row r="1228" spans="2:15" x14ac:dyDescent="0.2">
      <c r="B1228" s="1">
        <v>1213</v>
      </c>
      <c r="C1228" s="101">
        <f t="shared" ca="1" si="72"/>
        <v>0.76867527072399056</v>
      </c>
      <c r="D1228" s="101">
        <f t="shared" ca="1" si="73"/>
        <v>0.7168461793259866</v>
      </c>
      <c r="E1228" s="101">
        <f t="shared" ca="1" si="74"/>
        <v>0</v>
      </c>
      <c r="F1228" s="21">
        <f t="shared" ca="1" si="75"/>
        <v>0</v>
      </c>
      <c r="H1228" s="21">
        <v>1213</v>
      </c>
      <c r="I1228" s="102">
        <v>0.66772545526771687</v>
      </c>
      <c r="J1228" s="103">
        <v>1.3002013302525377E-3</v>
      </c>
      <c r="K1228" s="103"/>
      <c r="L1228" s="103">
        <v>3.8399999999999997E-2</v>
      </c>
      <c r="O1228" s="100"/>
    </row>
    <row r="1229" spans="2:15" x14ac:dyDescent="0.2">
      <c r="B1229" s="1">
        <v>1214</v>
      </c>
      <c r="C1229" s="101">
        <f t="shared" ca="1" si="72"/>
        <v>-0.23407461393117868</v>
      </c>
      <c r="D1229" s="101">
        <f t="shared" ca="1" si="73"/>
        <v>0.64933496335670904</v>
      </c>
      <c r="E1229" s="101">
        <f t="shared" ca="1" si="74"/>
        <v>0</v>
      </c>
      <c r="F1229" s="21">
        <f t="shared" ca="1" si="75"/>
        <v>0</v>
      </c>
      <c r="H1229" s="21">
        <v>1214</v>
      </c>
      <c r="I1229" s="102">
        <v>0.66770539846645993</v>
      </c>
      <c r="J1229" s="103">
        <v>1.2481861302669308E-3</v>
      </c>
      <c r="K1229" s="103"/>
      <c r="L1229" s="103">
        <v>3.9600000000000003E-2</v>
      </c>
      <c r="O1229" s="100"/>
    </row>
    <row r="1230" spans="2:15" x14ac:dyDescent="0.2">
      <c r="B1230" s="1">
        <v>1215</v>
      </c>
      <c r="C1230" s="101">
        <f t="shared" ca="1" si="72"/>
        <v>0.16780079021106431</v>
      </c>
      <c r="D1230" s="101">
        <f t="shared" ca="1" si="73"/>
        <v>0.67559259786829606</v>
      </c>
      <c r="E1230" s="101">
        <f t="shared" ca="1" si="74"/>
        <v>0</v>
      </c>
      <c r="F1230" s="21">
        <f t="shared" ca="1" si="75"/>
        <v>0</v>
      </c>
      <c r="H1230" s="21">
        <v>1215</v>
      </c>
      <c r="I1230" s="102">
        <v>0.66766539700410099</v>
      </c>
      <c r="J1230" s="103">
        <v>1.2558767711129473E-3</v>
      </c>
      <c r="K1230" s="103"/>
      <c r="L1230" s="103">
        <v>3.7199999999999997E-2</v>
      </c>
      <c r="O1230" s="100"/>
    </row>
    <row r="1231" spans="2:15" x14ac:dyDescent="0.2">
      <c r="B1231" s="1">
        <v>1216</v>
      </c>
      <c r="C1231" s="101">
        <f t="shared" ca="1" si="72"/>
        <v>-0.4765233033385658</v>
      </c>
      <c r="D1231" s="101">
        <f t="shared" ca="1" si="73"/>
        <v>0.63399004072660736</v>
      </c>
      <c r="E1231" s="101">
        <f t="shared" ca="1" si="74"/>
        <v>0</v>
      </c>
      <c r="F1231" s="21">
        <f t="shared" ca="1" si="75"/>
        <v>0</v>
      </c>
      <c r="H1231" s="21">
        <v>1216</v>
      </c>
      <c r="I1231" s="102">
        <v>0.66769183419520295</v>
      </c>
      <c r="J1231" s="103">
        <v>1.2934568908871873E-3</v>
      </c>
      <c r="K1231" s="103"/>
      <c r="L1231" s="103">
        <v>4.1799999999999997E-2</v>
      </c>
      <c r="O1231" s="100"/>
    </row>
    <row r="1232" spans="2:15" x14ac:dyDescent="0.2">
      <c r="B1232" s="1">
        <v>1217</v>
      </c>
      <c r="C1232" s="101">
        <f t="shared" ref="C1232:C1295" ca="1" si="76">_xlfn.NORM.S.INV(RAND())</f>
        <v>0.52014586848537814</v>
      </c>
      <c r="D1232" s="101">
        <f t="shared" ref="D1232:D1295" ca="1" si="77">S0*EXP((μ-0.5*σ*σ)*T+σ*SQRT(T)*$C1232)</f>
        <v>0.69948616405078312</v>
      </c>
      <c r="E1232" s="101">
        <f t="shared" ref="E1232:E1295" ca="1" si="78">MAX(0,CP*(D1232-K))</f>
        <v>0</v>
      </c>
      <c r="F1232" s="21">
        <f t="shared" ref="F1232:F1295" ca="1" si="79">(CP*(D1232-K)&gt;0)*1</f>
        <v>0</v>
      </c>
      <c r="H1232" s="21">
        <v>1217</v>
      </c>
      <c r="I1232" s="102">
        <v>0.6677498963641868</v>
      </c>
      <c r="J1232" s="103">
        <v>1.2610685385571778E-3</v>
      </c>
      <c r="K1232" s="103"/>
      <c r="L1232" s="103">
        <v>4.1200000000000001E-2</v>
      </c>
      <c r="O1232" s="100"/>
    </row>
    <row r="1233" spans="2:15" x14ac:dyDescent="0.2">
      <c r="B1233" s="1">
        <v>1218</v>
      </c>
      <c r="C1233" s="101">
        <f t="shared" ca="1" si="76"/>
        <v>0.4002597008508047</v>
      </c>
      <c r="D1233" s="101">
        <f t="shared" ca="1" si="77"/>
        <v>0.69126294777757913</v>
      </c>
      <c r="E1233" s="101">
        <f t="shared" ca="1" si="78"/>
        <v>0</v>
      </c>
      <c r="F1233" s="21">
        <f t="shared" ca="1" si="79"/>
        <v>0</v>
      </c>
      <c r="H1233" s="21">
        <v>1218</v>
      </c>
      <c r="I1233" s="102">
        <v>0.66774003258826775</v>
      </c>
      <c r="J1233" s="103">
        <v>1.4222158082636358E-3</v>
      </c>
      <c r="K1233" s="103"/>
      <c r="L1233" s="103">
        <v>4.36E-2</v>
      </c>
      <c r="O1233" s="100"/>
    </row>
    <row r="1234" spans="2:15" x14ac:dyDescent="0.2">
      <c r="B1234" s="1">
        <v>1219</v>
      </c>
      <c r="C1234" s="101">
        <f t="shared" ca="1" si="76"/>
        <v>-1.0646772347078861</v>
      </c>
      <c r="D1234" s="101">
        <f t="shared" ca="1" si="77"/>
        <v>0.59825492681684811</v>
      </c>
      <c r="E1234" s="101">
        <f t="shared" ca="1" si="78"/>
        <v>0</v>
      </c>
      <c r="F1234" s="21">
        <f t="shared" ca="1" si="79"/>
        <v>0</v>
      </c>
      <c r="H1234" s="21">
        <v>1219</v>
      </c>
      <c r="I1234" s="102">
        <v>0.66755693441163466</v>
      </c>
      <c r="J1234" s="103">
        <v>1.2138808852329523E-3</v>
      </c>
      <c r="K1234" s="103"/>
      <c r="L1234" s="103">
        <v>3.8199999999999998E-2</v>
      </c>
      <c r="O1234" s="100"/>
    </row>
    <row r="1235" spans="2:15" x14ac:dyDescent="0.2">
      <c r="B1235" s="1">
        <v>1220</v>
      </c>
      <c r="C1235" s="101">
        <f t="shared" ca="1" si="76"/>
        <v>5.6892192495740221E-2</v>
      </c>
      <c r="D1235" s="101">
        <f t="shared" ca="1" si="77"/>
        <v>0.66824178214928986</v>
      </c>
      <c r="E1235" s="101">
        <f t="shared" ca="1" si="78"/>
        <v>0</v>
      </c>
      <c r="F1235" s="21">
        <f t="shared" ca="1" si="79"/>
        <v>0</v>
      </c>
      <c r="H1235" s="21">
        <v>1220</v>
      </c>
      <c r="I1235" s="102">
        <v>0.66778389156270312</v>
      </c>
      <c r="J1235" s="103">
        <v>1.3681193424686185E-3</v>
      </c>
      <c r="K1235" s="103"/>
      <c r="L1235" s="103">
        <v>4.2999999999999997E-2</v>
      </c>
      <c r="O1235" s="100"/>
    </row>
    <row r="1236" spans="2:15" x14ac:dyDescent="0.2">
      <c r="B1236" s="1">
        <v>1221</v>
      </c>
      <c r="C1236" s="101">
        <f t="shared" ca="1" si="76"/>
        <v>-2.395094150055161</v>
      </c>
      <c r="D1236" s="101">
        <f t="shared" ca="1" si="77"/>
        <v>0.52467702026534491</v>
      </c>
      <c r="E1236" s="101">
        <f t="shared" ca="1" si="78"/>
        <v>0</v>
      </c>
      <c r="F1236" s="21">
        <f t="shared" ca="1" si="79"/>
        <v>0</v>
      </c>
      <c r="H1236" s="21">
        <v>1221</v>
      </c>
      <c r="I1236" s="102">
        <v>0.66778503381763199</v>
      </c>
      <c r="J1236" s="103">
        <v>1.3497242850868641E-3</v>
      </c>
      <c r="K1236" s="103"/>
      <c r="L1236" s="103">
        <v>4.24E-2</v>
      </c>
      <c r="O1236" s="100"/>
    </row>
    <row r="1237" spans="2:15" x14ac:dyDescent="0.2">
      <c r="B1237" s="1">
        <v>1222</v>
      </c>
      <c r="C1237" s="101">
        <f t="shared" ca="1" si="76"/>
        <v>0.21362152942952128</v>
      </c>
      <c r="D1237" s="101">
        <f t="shared" ca="1" si="77"/>
        <v>0.67865306493399757</v>
      </c>
      <c r="E1237" s="101">
        <f t="shared" ca="1" si="78"/>
        <v>0</v>
      </c>
      <c r="F1237" s="21">
        <f t="shared" ca="1" si="79"/>
        <v>0</v>
      </c>
      <c r="H1237" s="21">
        <v>1222</v>
      </c>
      <c r="I1237" s="102">
        <v>0.6677635136780552</v>
      </c>
      <c r="J1237" s="103">
        <v>1.3667187046192345E-3</v>
      </c>
      <c r="K1237" s="103"/>
      <c r="L1237" s="103">
        <v>0.04</v>
      </c>
      <c r="O1237" s="100"/>
    </row>
    <row r="1238" spans="2:15" x14ac:dyDescent="0.2">
      <c r="B1238" s="1">
        <v>1223</v>
      </c>
      <c r="C1238" s="101">
        <f t="shared" ca="1" si="76"/>
        <v>-2.9933372156299409</v>
      </c>
      <c r="D1238" s="101">
        <f t="shared" ca="1" si="77"/>
        <v>0.49461089594935714</v>
      </c>
      <c r="E1238" s="101">
        <f t="shared" ca="1" si="78"/>
        <v>0</v>
      </c>
      <c r="F1238" s="21">
        <f t="shared" ca="1" si="79"/>
        <v>0</v>
      </c>
      <c r="H1238" s="21">
        <v>1223</v>
      </c>
      <c r="I1238" s="102">
        <v>0.66777095306751966</v>
      </c>
      <c r="J1238" s="103">
        <v>1.2338786137245962E-3</v>
      </c>
      <c r="K1238" s="103"/>
      <c r="L1238" s="103">
        <v>4.1399999999999999E-2</v>
      </c>
      <c r="O1238" s="100"/>
    </row>
    <row r="1239" spans="2:15" x14ac:dyDescent="0.2">
      <c r="B1239" s="1">
        <v>1224</v>
      </c>
      <c r="C1239" s="101">
        <f t="shared" ca="1" si="76"/>
        <v>-0.3500639943795284</v>
      </c>
      <c r="D1239" s="101">
        <f t="shared" ca="1" si="77"/>
        <v>0.64194803597934458</v>
      </c>
      <c r="E1239" s="101">
        <f t="shared" ca="1" si="78"/>
        <v>0</v>
      </c>
      <c r="F1239" s="21">
        <f t="shared" ca="1" si="79"/>
        <v>0</v>
      </c>
      <c r="H1239" s="21">
        <v>1224</v>
      </c>
      <c r="I1239" s="102">
        <v>0.66762143570406152</v>
      </c>
      <c r="J1239" s="103">
        <v>1.2383021419160062E-3</v>
      </c>
      <c r="K1239" s="103"/>
      <c r="L1239" s="103">
        <v>3.9399999999999998E-2</v>
      </c>
      <c r="O1239" s="100"/>
    </row>
    <row r="1240" spans="2:15" x14ac:dyDescent="0.2">
      <c r="B1240" s="1">
        <v>1225</v>
      </c>
      <c r="C1240" s="101">
        <f t="shared" ca="1" si="76"/>
        <v>-0.4540469710338052</v>
      </c>
      <c r="D1240" s="101">
        <f t="shared" ca="1" si="77"/>
        <v>0.63539721635823243</v>
      </c>
      <c r="E1240" s="101">
        <f t="shared" ca="1" si="78"/>
        <v>0</v>
      </c>
      <c r="F1240" s="21">
        <f t="shared" ca="1" si="79"/>
        <v>0</v>
      </c>
      <c r="H1240" s="21">
        <v>1225</v>
      </c>
      <c r="I1240" s="102">
        <v>0.66765868107959059</v>
      </c>
      <c r="J1240" s="103">
        <v>1.2987947544088861E-3</v>
      </c>
      <c r="K1240" s="103"/>
      <c r="L1240" s="103">
        <v>0.04</v>
      </c>
      <c r="O1240" s="100"/>
    </row>
    <row r="1241" spans="2:15" x14ac:dyDescent="0.2">
      <c r="B1241" s="1">
        <v>1226</v>
      </c>
      <c r="C1241" s="101">
        <f t="shared" ca="1" si="76"/>
        <v>-0.76208077821038112</v>
      </c>
      <c r="D1241" s="101">
        <f t="shared" ca="1" si="77"/>
        <v>0.61638112262667233</v>
      </c>
      <c r="E1241" s="101">
        <f t="shared" ca="1" si="78"/>
        <v>0</v>
      </c>
      <c r="F1241" s="21">
        <f t="shared" ca="1" si="79"/>
        <v>0</v>
      </c>
      <c r="H1241" s="21">
        <v>1226</v>
      </c>
      <c r="I1241" s="102">
        <v>0.66771049558859485</v>
      </c>
      <c r="J1241" s="103">
        <v>1.3450080705813409E-3</v>
      </c>
      <c r="K1241" s="103"/>
      <c r="L1241" s="103">
        <v>4.0399999999999998E-2</v>
      </c>
      <c r="O1241" s="100"/>
    </row>
    <row r="1242" spans="2:15" x14ac:dyDescent="0.2">
      <c r="B1242" s="1">
        <v>1227</v>
      </c>
      <c r="C1242" s="101">
        <f t="shared" ca="1" si="76"/>
        <v>0.67887281009556655</v>
      </c>
      <c r="D1242" s="101">
        <f t="shared" ca="1" si="77"/>
        <v>0.71052423028051392</v>
      </c>
      <c r="E1242" s="101">
        <f t="shared" ca="1" si="78"/>
        <v>0</v>
      </c>
      <c r="F1242" s="21">
        <f t="shared" ca="1" si="79"/>
        <v>0</v>
      </c>
      <c r="H1242" s="21">
        <v>1227</v>
      </c>
      <c r="I1242" s="102">
        <v>0.66779570571917635</v>
      </c>
      <c r="J1242" s="103">
        <v>1.4433973229645647E-3</v>
      </c>
      <c r="K1242" s="103"/>
      <c r="L1242" s="103">
        <v>4.4600000000000001E-2</v>
      </c>
      <c r="O1242" s="100"/>
    </row>
    <row r="1243" spans="2:15" x14ac:dyDescent="0.2">
      <c r="B1243" s="1">
        <v>1228</v>
      </c>
      <c r="C1243" s="101">
        <f t="shared" ca="1" si="76"/>
        <v>-0.25603527337651266</v>
      </c>
      <c r="D1243" s="101">
        <f t="shared" ca="1" si="77"/>
        <v>0.64792987783018086</v>
      </c>
      <c r="E1243" s="101">
        <f t="shared" ca="1" si="78"/>
        <v>0</v>
      </c>
      <c r="F1243" s="21">
        <f t="shared" ca="1" si="79"/>
        <v>0</v>
      </c>
      <c r="H1243" s="21">
        <v>1228</v>
      </c>
      <c r="I1243" s="102">
        <v>0.66768928601044819</v>
      </c>
      <c r="J1243" s="103">
        <v>1.4113136647003314E-3</v>
      </c>
      <c r="K1243" s="103"/>
      <c r="L1243" s="103">
        <v>4.2200000000000001E-2</v>
      </c>
      <c r="O1243" s="100"/>
    </row>
    <row r="1244" spans="2:15" x14ac:dyDescent="0.2">
      <c r="B1244" s="1">
        <v>1229</v>
      </c>
      <c r="C1244" s="101">
        <f t="shared" ca="1" si="76"/>
        <v>-1.7493179221115098</v>
      </c>
      <c r="D1244" s="101">
        <f t="shared" ca="1" si="77"/>
        <v>0.55918652687426451</v>
      </c>
      <c r="E1244" s="101">
        <f t="shared" ca="1" si="78"/>
        <v>0</v>
      </c>
      <c r="F1244" s="21">
        <f t="shared" ca="1" si="79"/>
        <v>0</v>
      </c>
      <c r="H1244" s="21">
        <v>1229</v>
      </c>
      <c r="I1244" s="102">
        <v>0.6678094472576066</v>
      </c>
      <c r="J1244" s="103">
        <v>1.3385944556048716E-3</v>
      </c>
      <c r="K1244" s="103"/>
      <c r="L1244" s="103">
        <v>4.0599999999999997E-2</v>
      </c>
      <c r="O1244" s="100"/>
    </row>
    <row r="1245" spans="2:15" x14ac:dyDescent="0.2">
      <c r="B1245" s="1">
        <v>1230</v>
      </c>
      <c r="C1245" s="101">
        <f t="shared" ca="1" si="76"/>
        <v>-0.21355337928233192</v>
      </c>
      <c r="D1245" s="101">
        <f t="shared" ca="1" si="77"/>
        <v>0.65065070556753002</v>
      </c>
      <c r="E1245" s="101">
        <f t="shared" ca="1" si="78"/>
        <v>0</v>
      </c>
      <c r="F1245" s="21">
        <f t="shared" ca="1" si="79"/>
        <v>0</v>
      </c>
      <c r="H1245" s="21">
        <v>1230</v>
      </c>
      <c r="I1245" s="102">
        <v>0.66769457878168337</v>
      </c>
      <c r="J1245" s="103">
        <v>1.2672627973471465E-3</v>
      </c>
      <c r="K1245" s="103"/>
      <c r="L1245" s="103">
        <v>3.7600000000000001E-2</v>
      </c>
      <c r="O1245" s="100"/>
    </row>
    <row r="1246" spans="2:15" x14ac:dyDescent="0.2">
      <c r="B1246" s="1">
        <v>1231</v>
      </c>
      <c r="C1246" s="101">
        <f t="shared" ca="1" si="76"/>
        <v>0.37392903634466007</v>
      </c>
      <c r="D1246" s="101">
        <f t="shared" ca="1" si="77"/>
        <v>0.6894698658781</v>
      </c>
      <c r="E1246" s="101">
        <f t="shared" ca="1" si="78"/>
        <v>0</v>
      </c>
      <c r="F1246" s="21">
        <f t="shared" ca="1" si="79"/>
        <v>0</v>
      </c>
      <c r="H1246" s="21">
        <v>1231</v>
      </c>
      <c r="I1246" s="102">
        <v>0.66784453205240046</v>
      </c>
      <c r="J1246" s="103">
        <v>1.5517286020991982E-3</v>
      </c>
      <c r="K1246" s="103"/>
      <c r="L1246" s="103">
        <v>4.3400000000000001E-2</v>
      </c>
      <c r="O1246" s="100"/>
    </row>
    <row r="1247" spans="2:15" x14ac:dyDescent="0.2">
      <c r="B1247" s="1">
        <v>1232</v>
      </c>
      <c r="C1247" s="101">
        <f t="shared" ca="1" si="76"/>
        <v>0.44273555973727263</v>
      </c>
      <c r="D1247" s="101">
        <f t="shared" ca="1" si="77"/>
        <v>0.69416532920592788</v>
      </c>
      <c r="E1247" s="101">
        <f t="shared" ca="1" si="78"/>
        <v>0</v>
      </c>
      <c r="F1247" s="21">
        <f t="shared" ca="1" si="79"/>
        <v>0</v>
      </c>
      <c r="H1247" s="21">
        <v>1232</v>
      </c>
      <c r="I1247" s="102">
        <v>0.66777934119048799</v>
      </c>
      <c r="J1247" s="103">
        <v>1.3474331806937517E-3</v>
      </c>
      <c r="K1247" s="103"/>
      <c r="L1247" s="103">
        <v>4.2200000000000001E-2</v>
      </c>
      <c r="O1247" s="100"/>
    </row>
    <row r="1248" spans="2:15" x14ac:dyDescent="0.2">
      <c r="B1248" s="1">
        <v>1233</v>
      </c>
      <c r="C1248" s="101">
        <f t="shared" ca="1" si="76"/>
        <v>-1.1116684830198349</v>
      </c>
      <c r="D1248" s="101">
        <f t="shared" ca="1" si="77"/>
        <v>0.59548826537579125</v>
      </c>
      <c r="E1248" s="101">
        <f t="shared" ca="1" si="78"/>
        <v>0</v>
      </c>
      <c r="F1248" s="21">
        <f t="shared" ca="1" si="79"/>
        <v>0</v>
      </c>
      <c r="H1248" s="21">
        <v>1233</v>
      </c>
      <c r="I1248" s="102">
        <v>0.66760537206043669</v>
      </c>
      <c r="J1248" s="103">
        <v>1.2964697422005358E-3</v>
      </c>
      <c r="K1248" s="103"/>
      <c r="L1248" s="103">
        <v>4.02E-2</v>
      </c>
      <c r="O1248" s="100"/>
    </row>
    <row r="1249" spans="2:15" x14ac:dyDescent="0.2">
      <c r="B1249" s="1">
        <v>1234</v>
      </c>
      <c r="C1249" s="101">
        <f t="shared" ca="1" si="76"/>
        <v>0.44596410921913093</v>
      </c>
      <c r="D1249" s="101">
        <f t="shared" ca="1" si="77"/>
        <v>0.69438643413408097</v>
      </c>
      <c r="E1249" s="101">
        <f t="shared" ca="1" si="78"/>
        <v>0</v>
      </c>
      <c r="F1249" s="21">
        <f t="shared" ca="1" si="79"/>
        <v>0</v>
      </c>
      <c r="H1249" s="21">
        <v>1234</v>
      </c>
      <c r="I1249" s="102">
        <v>0.66754785677307871</v>
      </c>
      <c r="J1249" s="103">
        <v>1.1772381340931569E-3</v>
      </c>
      <c r="K1249" s="103"/>
      <c r="L1249" s="103">
        <v>3.7600000000000001E-2</v>
      </c>
      <c r="O1249" s="100"/>
    </row>
    <row r="1250" spans="2:15" x14ac:dyDescent="0.2">
      <c r="B1250" s="1">
        <v>1235</v>
      </c>
      <c r="C1250" s="101">
        <f t="shared" ca="1" si="76"/>
        <v>-0.54593493424088213</v>
      </c>
      <c r="D1250" s="101">
        <f t="shared" ca="1" si="77"/>
        <v>0.62966402934580479</v>
      </c>
      <c r="E1250" s="101">
        <f t="shared" ca="1" si="78"/>
        <v>0</v>
      </c>
      <c r="F1250" s="21">
        <f t="shared" ca="1" si="79"/>
        <v>0</v>
      </c>
      <c r="H1250" s="21">
        <v>1235</v>
      </c>
      <c r="I1250" s="102">
        <v>0.66792550383126392</v>
      </c>
      <c r="J1250" s="103">
        <v>1.4914034033064907E-3</v>
      </c>
      <c r="K1250" s="103"/>
      <c r="L1250" s="103">
        <v>4.4400000000000002E-2</v>
      </c>
      <c r="O1250" s="100"/>
    </row>
    <row r="1251" spans="2:15" x14ac:dyDescent="0.2">
      <c r="B1251" s="1">
        <v>1236</v>
      </c>
      <c r="C1251" s="101">
        <f t="shared" ca="1" si="76"/>
        <v>-0.16361114646598418</v>
      </c>
      <c r="D1251" s="101">
        <f t="shared" ca="1" si="77"/>
        <v>0.65386395875489522</v>
      </c>
      <c r="E1251" s="101">
        <f t="shared" ca="1" si="78"/>
        <v>0</v>
      </c>
      <c r="F1251" s="21">
        <f t="shared" ca="1" si="79"/>
        <v>0</v>
      </c>
      <c r="H1251" s="21">
        <v>1236</v>
      </c>
      <c r="I1251" s="102">
        <v>0.6677198589825174</v>
      </c>
      <c r="J1251" s="103">
        <v>1.3966221126482544E-3</v>
      </c>
      <c r="K1251" s="103"/>
      <c r="L1251" s="103">
        <v>4.0599999999999997E-2</v>
      </c>
      <c r="O1251" s="100"/>
    </row>
    <row r="1252" spans="2:15" x14ac:dyDescent="0.2">
      <c r="B1252" s="1">
        <v>1237</v>
      </c>
      <c r="C1252" s="101">
        <f t="shared" ca="1" si="76"/>
        <v>-1.1053182086923816</v>
      </c>
      <c r="D1252" s="101">
        <f t="shared" ca="1" si="77"/>
        <v>0.595861395766899</v>
      </c>
      <c r="E1252" s="101">
        <f t="shared" ca="1" si="78"/>
        <v>0</v>
      </c>
      <c r="F1252" s="21">
        <f t="shared" ca="1" si="79"/>
        <v>0</v>
      </c>
      <c r="H1252" s="21">
        <v>1237</v>
      </c>
      <c r="I1252" s="102">
        <v>0.66776809580169361</v>
      </c>
      <c r="J1252" s="103">
        <v>1.3516575318956118E-3</v>
      </c>
      <c r="K1252" s="103"/>
      <c r="L1252" s="103">
        <v>4.1799999999999997E-2</v>
      </c>
      <c r="O1252" s="100"/>
    </row>
    <row r="1253" spans="2:15" x14ac:dyDescent="0.2">
      <c r="B1253" s="1">
        <v>1238</v>
      </c>
      <c r="C1253" s="101">
        <f t="shared" ca="1" si="76"/>
        <v>0.25389859438809226</v>
      </c>
      <c r="D1253" s="101">
        <f t="shared" ca="1" si="77"/>
        <v>0.68135470531396913</v>
      </c>
      <c r="E1253" s="101">
        <f t="shared" ca="1" si="78"/>
        <v>0</v>
      </c>
      <c r="F1253" s="21">
        <f t="shared" ca="1" si="79"/>
        <v>0</v>
      </c>
      <c r="H1253" s="21">
        <v>1238</v>
      </c>
      <c r="I1253" s="102">
        <v>0.66791755249247231</v>
      </c>
      <c r="J1253" s="103">
        <v>1.5061373932336577E-3</v>
      </c>
      <c r="K1253" s="103"/>
      <c r="L1253" s="103">
        <v>4.6399999999999997E-2</v>
      </c>
      <c r="O1253" s="100"/>
    </row>
    <row r="1254" spans="2:15" x14ac:dyDescent="0.2">
      <c r="B1254" s="1">
        <v>1239</v>
      </c>
      <c r="C1254" s="101">
        <f t="shared" ca="1" si="76"/>
        <v>0.93717777516057932</v>
      </c>
      <c r="D1254" s="101">
        <f t="shared" ca="1" si="77"/>
        <v>0.72886067392679266</v>
      </c>
      <c r="E1254" s="101">
        <f t="shared" ca="1" si="78"/>
        <v>0</v>
      </c>
      <c r="F1254" s="21">
        <f t="shared" ca="1" si="79"/>
        <v>0</v>
      </c>
      <c r="H1254" s="21">
        <v>1239</v>
      </c>
      <c r="I1254" s="102">
        <v>0.6678527053626393</v>
      </c>
      <c r="J1254" s="103">
        <v>1.5120092380493961E-3</v>
      </c>
      <c r="K1254" s="103"/>
      <c r="L1254" s="103">
        <v>4.3200000000000002E-2</v>
      </c>
      <c r="O1254" s="100"/>
    </row>
    <row r="1255" spans="2:15" x14ac:dyDescent="0.2">
      <c r="B1255" s="1">
        <v>1240</v>
      </c>
      <c r="C1255" s="101">
        <f t="shared" ca="1" si="76"/>
        <v>-0.65091701769305288</v>
      </c>
      <c r="D1255" s="101">
        <f t="shared" ca="1" si="77"/>
        <v>0.62317714389541301</v>
      </c>
      <c r="E1255" s="101">
        <f t="shared" ca="1" si="78"/>
        <v>0</v>
      </c>
      <c r="F1255" s="21">
        <f t="shared" ca="1" si="79"/>
        <v>0</v>
      </c>
      <c r="H1255" s="21">
        <v>1240</v>
      </c>
      <c r="I1255" s="102">
        <v>0.66791896806852724</v>
      </c>
      <c r="J1255" s="103">
        <v>1.5532337577669349E-3</v>
      </c>
      <c r="K1255" s="103"/>
      <c r="L1255" s="103">
        <v>4.5600000000000002E-2</v>
      </c>
      <c r="O1255" s="100"/>
    </row>
    <row r="1256" spans="2:15" x14ac:dyDescent="0.2">
      <c r="B1256" s="1">
        <v>1241</v>
      </c>
      <c r="C1256" s="101">
        <f t="shared" ca="1" si="76"/>
        <v>1.831120030233377</v>
      </c>
      <c r="D1256" s="101">
        <f t="shared" ca="1" si="77"/>
        <v>0.79605019547634037</v>
      </c>
      <c r="E1256" s="101">
        <f t="shared" ca="1" si="78"/>
        <v>7.8501954763403603E-3</v>
      </c>
      <c r="F1256" s="21">
        <f t="shared" ca="1" si="79"/>
        <v>1</v>
      </c>
      <c r="H1256" s="21">
        <v>1241</v>
      </c>
      <c r="I1256" s="102">
        <v>0.66779695420728935</v>
      </c>
      <c r="J1256" s="103">
        <v>1.4023493776504365E-3</v>
      </c>
      <c r="K1256" s="103"/>
      <c r="L1256" s="103">
        <v>4.0800000000000003E-2</v>
      </c>
      <c r="O1256" s="100"/>
    </row>
    <row r="1257" spans="2:15" x14ac:dyDescent="0.2">
      <c r="B1257" s="1">
        <v>1242</v>
      </c>
      <c r="C1257" s="101">
        <f t="shared" ca="1" si="76"/>
        <v>-0.21802778307174595</v>
      </c>
      <c r="D1257" s="101">
        <f t="shared" ca="1" si="77"/>
        <v>0.65036359700615909</v>
      </c>
      <c r="E1257" s="101">
        <f t="shared" ca="1" si="78"/>
        <v>0</v>
      </c>
      <c r="F1257" s="21">
        <f t="shared" ca="1" si="79"/>
        <v>0</v>
      </c>
      <c r="H1257" s="21">
        <v>1242</v>
      </c>
      <c r="I1257" s="102">
        <v>0.66774897458334936</v>
      </c>
      <c r="J1257" s="103">
        <v>1.411593154687252E-3</v>
      </c>
      <c r="K1257" s="103"/>
      <c r="L1257" s="103">
        <v>4.3799999999999999E-2</v>
      </c>
      <c r="O1257" s="100"/>
    </row>
    <row r="1258" spans="2:15" x14ac:dyDescent="0.2">
      <c r="B1258" s="1">
        <v>1243</v>
      </c>
      <c r="C1258" s="101">
        <f t="shared" ca="1" si="76"/>
        <v>1.4662597015767507</v>
      </c>
      <c r="D1258" s="101">
        <f t="shared" ca="1" si="77"/>
        <v>0.76790953785729665</v>
      </c>
      <c r="E1258" s="101">
        <f t="shared" ca="1" si="78"/>
        <v>0</v>
      </c>
      <c r="F1258" s="21">
        <f t="shared" ca="1" si="79"/>
        <v>0</v>
      </c>
      <c r="H1258" s="21">
        <v>1243</v>
      </c>
      <c r="I1258" s="102">
        <v>0.66785640196066509</v>
      </c>
      <c r="J1258" s="103">
        <v>1.5203063413938584E-3</v>
      </c>
      <c r="K1258" s="103"/>
      <c r="L1258" s="103">
        <v>4.5199999999999997E-2</v>
      </c>
      <c r="O1258" s="100"/>
    </row>
    <row r="1259" spans="2:15" x14ac:dyDescent="0.2">
      <c r="B1259" s="1">
        <v>1244</v>
      </c>
      <c r="C1259" s="101">
        <f t="shared" ca="1" si="76"/>
        <v>0.67720510616715213</v>
      </c>
      <c r="D1259" s="101">
        <f t="shared" ca="1" si="77"/>
        <v>0.71040735544193956</v>
      </c>
      <c r="E1259" s="101">
        <f t="shared" ca="1" si="78"/>
        <v>0</v>
      </c>
      <c r="F1259" s="21">
        <f t="shared" ca="1" si="79"/>
        <v>0</v>
      </c>
      <c r="H1259" s="21">
        <v>1244</v>
      </c>
      <c r="I1259" s="102">
        <v>0.66775971169467108</v>
      </c>
      <c r="J1259" s="103">
        <v>1.5269292425225244E-3</v>
      </c>
      <c r="K1259" s="103"/>
      <c r="L1259" s="103">
        <v>4.02E-2</v>
      </c>
      <c r="O1259" s="100"/>
    </row>
    <row r="1260" spans="2:15" x14ac:dyDescent="0.2">
      <c r="B1260" s="1">
        <v>1245</v>
      </c>
      <c r="C1260" s="101">
        <f t="shared" ca="1" si="76"/>
        <v>-1.0376433629443622</v>
      </c>
      <c r="D1260" s="101">
        <f t="shared" ca="1" si="77"/>
        <v>0.59985239648127342</v>
      </c>
      <c r="E1260" s="101">
        <f t="shared" ca="1" si="78"/>
        <v>0</v>
      </c>
      <c r="F1260" s="21">
        <f t="shared" ca="1" si="79"/>
        <v>0</v>
      </c>
      <c r="H1260" s="21">
        <v>1245</v>
      </c>
      <c r="I1260" s="102">
        <v>0.66784916995897625</v>
      </c>
      <c r="J1260" s="103">
        <v>1.4170055568263128E-3</v>
      </c>
      <c r="K1260" s="103"/>
      <c r="L1260" s="103">
        <v>4.5199999999999997E-2</v>
      </c>
      <c r="O1260" s="100"/>
    </row>
    <row r="1261" spans="2:15" x14ac:dyDescent="0.2">
      <c r="B1261" s="1">
        <v>1246</v>
      </c>
      <c r="C1261" s="101">
        <f t="shared" ca="1" si="76"/>
        <v>0.86885685831591752</v>
      </c>
      <c r="D1261" s="101">
        <f t="shared" ca="1" si="77"/>
        <v>0.7239652025727924</v>
      </c>
      <c r="E1261" s="101">
        <f t="shared" ca="1" si="78"/>
        <v>0</v>
      </c>
      <c r="F1261" s="21">
        <f t="shared" ca="1" si="79"/>
        <v>0</v>
      </c>
      <c r="H1261" s="21">
        <v>1246</v>
      </c>
      <c r="I1261" s="102">
        <v>0.66778552383646561</v>
      </c>
      <c r="J1261" s="103">
        <v>1.3238911479912625E-3</v>
      </c>
      <c r="K1261" s="103"/>
      <c r="L1261" s="103">
        <v>4.1799999999999997E-2</v>
      </c>
      <c r="O1261" s="100"/>
    </row>
    <row r="1262" spans="2:15" x14ac:dyDescent="0.2">
      <c r="B1262" s="1">
        <v>1247</v>
      </c>
      <c r="C1262" s="101">
        <f t="shared" ca="1" si="76"/>
        <v>-0.60411388305888547</v>
      </c>
      <c r="D1262" s="101">
        <f t="shared" ca="1" si="77"/>
        <v>0.62606083177721339</v>
      </c>
      <c r="E1262" s="101">
        <f t="shared" ca="1" si="78"/>
        <v>0</v>
      </c>
      <c r="F1262" s="21">
        <f t="shared" ca="1" si="79"/>
        <v>0</v>
      </c>
      <c r="H1262" s="21">
        <v>1247</v>
      </c>
      <c r="I1262" s="102">
        <v>0.66776173324298405</v>
      </c>
      <c r="J1262" s="103">
        <v>1.5447485297836753E-3</v>
      </c>
      <c r="K1262" s="103"/>
      <c r="L1262" s="103">
        <v>4.24E-2</v>
      </c>
      <c r="O1262" s="100"/>
    </row>
    <row r="1263" spans="2:15" x14ac:dyDescent="0.2">
      <c r="B1263" s="1">
        <v>1248</v>
      </c>
      <c r="C1263" s="101">
        <f t="shared" ca="1" si="76"/>
        <v>-0.78487623683344299</v>
      </c>
      <c r="D1263" s="101">
        <f t="shared" ca="1" si="77"/>
        <v>0.61499670097073011</v>
      </c>
      <c r="E1263" s="101">
        <f t="shared" ca="1" si="78"/>
        <v>0</v>
      </c>
      <c r="F1263" s="21">
        <f t="shared" ca="1" si="79"/>
        <v>0</v>
      </c>
      <c r="H1263" s="21">
        <v>1248</v>
      </c>
      <c r="I1263" s="102">
        <v>0.667700530077876</v>
      </c>
      <c r="J1263" s="103">
        <v>1.5015929239187847E-3</v>
      </c>
      <c r="K1263" s="103"/>
      <c r="L1263" s="103">
        <v>4.3200000000000002E-2</v>
      </c>
      <c r="O1263" s="100"/>
    </row>
    <row r="1264" spans="2:15" x14ac:dyDescent="0.2">
      <c r="B1264" s="1">
        <v>1249</v>
      </c>
      <c r="C1264" s="101">
        <f t="shared" ca="1" si="76"/>
        <v>1.5350477748821507</v>
      </c>
      <c r="D1264" s="101">
        <f t="shared" ca="1" si="77"/>
        <v>0.77313778802826572</v>
      </c>
      <c r="E1264" s="101">
        <f t="shared" ca="1" si="78"/>
        <v>0</v>
      </c>
      <c r="F1264" s="21">
        <f t="shared" ca="1" si="79"/>
        <v>0</v>
      </c>
      <c r="H1264" s="21">
        <v>1249</v>
      </c>
      <c r="I1264" s="102">
        <v>0.66772016730920569</v>
      </c>
      <c r="J1264" s="103">
        <v>1.2773742778409731E-3</v>
      </c>
      <c r="K1264" s="103"/>
      <c r="L1264" s="103">
        <v>4.24E-2</v>
      </c>
      <c r="O1264" s="100"/>
    </row>
    <row r="1265" spans="2:15" x14ac:dyDescent="0.2">
      <c r="B1265" s="1">
        <v>1250</v>
      </c>
      <c r="C1265" s="101">
        <f t="shared" ca="1" si="76"/>
        <v>-0.51445344410170557</v>
      </c>
      <c r="D1265" s="101">
        <f t="shared" ca="1" si="77"/>
        <v>0.63162241204647407</v>
      </c>
      <c r="E1265" s="101">
        <f t="shared" ca="1" si="78"/>
        <v>0</v>
      </c>
      <c r="F1265" s="21">
        <f t="shared" ca="1" si="79"/>
        <v>0</v>
      </c>
      <c r="H1265" s="21">
        <v>1250</v>
      </c>
      <c r="I1265" s="102">
        <v>0.66781408404251574</v>
      </c>
      <c r="J1265" s="103">
        <v>1.3821448953071779E-3</v>
      </c>
      <c r="K1265" s="103"/>
      <c r="L1265" s="103">
        <v>4.2000000000000003E-2</v>
      </c>
      <c r="O1265" s="100"/>
    </row>
    <row r="1266" spans="2:15" x14ac:dyDescent="0.2">
      <c r="B1266" s="1">
        <v>1251</v>
      </c>
      <c r="C1266" s="101">
        <f t="shared" ca="1" si="76"/>
        <v>0.30973011686957608</v>
      </c>
      <c r="D1266" s="101">
        <f t="shared" ca="1" si="77"/>
        <v>0.68511747878836893</v>
      </c>
      <c r="E1266" s="101">
        <f t="shared" ca="1" si="78"/>
        <v>0</v>
      </c>
      <c r="F1266" s="21">
        <f t="shared" ca="1" si="79"/>
        <v>0</v>
      </c>
      <c r="H1266" s="21">
        <v>1251</v>
      </c>
      <c r="I1266" s="102">
        <v>0.6676737357548439</v>
      </c>
      <c r="J1266" s="103">
        <v>1.364469236083783E-3</v>
      </c>
      <c r="K1266" s="103"/>
      <c r="L1266" s="103">
        <v>3.7400000000000003E-2</v>
      </c>
      <c r="O1266" s="100"/>
    </row>
    <row r="1267" spans="2:15" x14ac:dyDescent="0.2">
      <c r="B1267" s="1">
        <v>1252</v>
      </c>
      <c r="C1267" s="101">
        <f t="shared" ca="1" si="76"/>
        <v>-0.943462200603992</v>
      </c>
      <c r="D1267" s="101">
        <f t="shared" ca="1" si="77"/>
        <v>0.60545108412112003</v>
      </c>
      <c r="E1267" s="101">
        <f t="shared" ca="1" si="78"/>
        <v>0</v>
      </c>
      <c r="F1267" s="21">
        <f t="shared" ca="1" si="79"/>
        <v>0</v>
      </c>
      <c r="H1267" s="21">
        <v>1252</v>
      </c>
      <c r="I1267" s="102">
        <v>0.66767441807125749</v>
      </c>
      <c r="J1267" s="103">
        <v>1.2500943310073892E-3</v>
      </c>
      <c r="K1267" s="103"/>
      <c r="L1267" s="103">
        <v>4.0399999999999998E-2</v>
      </c>
      <c r="O1267" s="100"/>
    </row>
    <row r="1268" spans="2:15" x14ac:dyDescent="0.2">
      <c r="B1268" s="1">
        <v>1253</v>
      </c>
      <c r="C1268" s="101">
        <f t="shared" ca="1" si="76"/>
        <v>-0.3262934485226085</v>
      </c>
      <c r="D1268" s="101">
        <f t="shared" ca="1" si="77"/>
        <v>0.64345501493357127</v>
      </c>
      <c r="E1268" s="101">
        <f t="shared" ca="1" si="78"/>
        <v>0</v>
      </c>
      <c r="F1268" s="21">
        <f t="shared" ca="1" si="79"/>
        <v>0</v>
      </c>
      <c r="H1268" s="21">
        <v>1253</v>
      </c>
      <c r="I1268" s="102">
        <v>0.66780093619761616</v>
      </c>
      <c r="J1268" s="103">
        <v>1.398795274789235E-3</v>
      </c>
      <c r="K1268" s="103"/>
      <c r="L1268" s="103">
        <v>4.3400000000000001E-2</v>
      </c>
      <c r="O1268" s="100"/>
    </row>
    <row r="1269" spans="2:15" x14ac:dyDescent="0.2">
      <c r="B1269" s="1">
        <v>1254</v>
      </c>
      <c r="C1269" s="101">
        <f t="shared" ca="1" si="76"/>
        <v>-0.36788013245050627</v>
      </c>
      <c r="D1269" s="101">
        <f t="shared" ca="1" si="77"/>
        <v>0.64082086244126479</v>
      </c>
      <c r="E1269" s="101">
        <f t="shared" ca="1" si="78"/>
        <v>0</v>
      </c>
      <c r="F1269" s="21">
        <f t="shared" ca="1" si="79"/>
        <v>0</v>
      </c>
      <c r="H1269" s="21">
        <v>1254</v>
      </c>
      <c r="I1269" s="102">
        <v>0.66775382308862685</v>
      </c>
      <c r="J1269" s="103">
        <v>1.3469740121160427E-3</v>
      </c>
      <c r="K1269" s="103"/>
      <c r="L1269" s="103">
        <v>3.8600000000000002E-2</v>
      </c>
      <c r="O1269" s="100"/>
    </row>
    <row r="1270" spans="2:15" x14ac:dyDescent="0.2">
      <c r="B1270" s="1">
        <v>1255</v>
      </c>
      <c r="C1270" s="101">
        <f t="shared" ca="1" si="76"/>
        <v>-0.274157074459632</v>
      </c>
      <c r="D1270" s="101">
        <f t="shared" ca="1" si="77"/>
        <v>0.64677269984974894</v>
      </c>
      <c r="E1270" s="101">
        <f t="shared" ca="1" si="78"/>
        <v>0</v>
      </c>
      <c r="F1270" s="21">
        <f t="shared" ca="1" si="79"/>
        <v>0</v>
      </c>
      <c r="H1270" s="21">
        <v>1255</v>
      </c>
      <c r="I1270" s="102">
        <v>0.66782773394739181</v>
      </c>
      <c r="J1270" s="103">
        <v>1.3756994435215799E-3</v>
      </c>
      <c r="K1270" s="103"/>
      <c r="L1270" s="103">
        <v>3.9800000000000002E-2</v>
      </c>
      <c r="O1270" s="100"/>
    </row>
    <row r="1271" spans="2:15" x14ac:dyDescent="0.2">
      <c r="B1271" s="1">
        <v>1256</v>
      </c>
      <c r="C1271" s="101">
        <f t="shared" ca="1" si="76"/>
        <v>1.9027046495511661</v>
      </c>
      <c r="D1271" s="101">
        <f t="shared" ca="1" si="77"/>
        <v>0.80169115906543398</v>
      </c>
      <c r="E1271" s="101">
        <f t="shared" ca="1" si="78"/>
        <v>1.3491159065433966E-2</v>
      </c>
      <c r="F1271" s="21">
        <f t="shared" ca="1" si="79"/>
        <v>1</v>
      </c>
      <c r="H1271" s="21">
        <v>1256</v>
      </c>
      <c r="I1271" s="102">
        <v>0.66764446521104681</v>
      </c>
      <c r="J1271" s="103">
        <v>1.2907336648828932E-3</v>
      </c>
      <c r="K1271" s="103"/>
      <c r="L1271" s="103">
        <v>4.0399999999999998E-2</v>
      </c>
      <c r="O1271" s="100"/>
    </row>
    <row r="1272" spans="2:15" x14ac:dyDescent="0.2">
      <c r="B1272" s="1">
        <v>1257</v>
      </c>
      <c r="C1272" s="101">
        <f t="shared" ca="1" si="76"/>
        <v>-0.28385709487516259</v>
      </c>
      <c r="D1272" s="101">
        <f t="shared" ca="1" si="77"/>
        <v>0.6461541489054542</v>
      </c>
      <c r="E1272" s="101">
        <f t="shared" ca="1" si="78"/>
        <v>0</v>
      </c>
      <c r="F1272" s="21">
        <f t="shared" ca="1" si="79"/>
        <v>0</v>
      </c>
      <c r="H1272" s="21">
        <v>1257</v>
      </c>
      <c r="I1272" s="102">
        <v>0.6676973545044057</v>
      </c>
      <c r="J1272" s="103">
        <v>1.278318674591851E-3</v>
      </c>
      <c r="K1272" s="103"/>
      <c r="L1272" s="103">
        <v>4.1200000000000001E-2</v>
      </c>
      <c r="O1272" s="100"/>
    </row>
    <row r="1273" spans="2:15" x14ac:dyDescent="0.2">
      <c r="B1273" s="1">
        <v>1258</v>
      </c>
      <c r="C1273" s="101">
        <f t="shared" ca="1" si="76"/>
        <v>-1.0772176073899689</v>
      </c>
      <c r="D1273" s="101">
        <f t="shared" ca="1" si="77"/>
        <v>0.59751534360457925</v>
      </c>
      <c r="E1273" s="101">
        <f t="shared" ca="1" si="78"/>
        <v>0</v>
      </c>
      <c r="F1273" s="21">
        <f t="shared" ca="1" si="79"/>
        <v>0</v>
      </c>
      <c r="H1273" s="21">
        <v>1258</v>
      </c>
      <c r="I1273" s="102">
        <v>0.66768257765802064</v>
      </c>
      <c r="J1273" s="103">
        <v>1.3416979526558953E-3</v>
      </c>
      <c r="K1273" s="103"/>
      <c r="L1273" s="103">
        <v>3.8800000000000001E-2</v>
      </c>
      <c r="O1273" s="100"/>
    </row>
    <row r="1274" spans="2:15" x14ac:dyDescent="0.2">
      <c r="B1274" s="1">
        <v>1259</v>
      </c>
      <c r="C1274" s="101">
        <f t="shared" ca="1" si="76"/>
        <v>2.1925973092176974</v>
      </c>
      <c r="D1274" s="101">
        <f t="shared" ca="1" si="77"/>
        <v>0.82494675225725433</v>
      </c>
      <c r="E1274" s="101">
        <f t="shared" ca="1" si="78"/>
        <v>3.6746752257254323E-2</v>
      </c>
      <c r="F1274" s="21">
        <f t="shared" ca="1" si="79"/>
        <v>1</v>
      </c>
      <c r="H1274" s="21">
        <v>1259</v>
      </c>
      <c r="I1274" s="102">
        <v>0.66766373301265991</v>
      </c>
      <c r="J1274" s="103">
        <v>1.3710200423907629E-3</v>
      </c>
      <c r="K1274" s="103"/>
      <c r="L1274" s="103">
        <v>4.1599999999999998E-2</v>
      </c>
      <c r="O1274" s="100"/>
    </row>
    <row r="1275" spans="2:15" x14ac:dyDescent="0.2">
      <c r="B1275" s="1">
        <v>1260</v>
      </c>
      <c r="C1275" s="101">
        <f t="shared" ca="1" si="76"/>
        <v>-1.9259681911082278</v>
      </c>
      <c r="D1275" s="101">
        <f t="shared" ca="1" si="77"/>
        <v>0.54952709458003457</v>
      </c>
      <c r="E1275" s="101">
        <f t="shared" ca="1" si="78"/>
        <v>0</v>
      </c>
      <c r="F1275" s="21">
        <f t="shared" ca="1" si="79"/>
        <v>0</v>
      </c>
      <c r="H1275" s="21">
        <v>1260</v>
      </c>
      <c r="I1275" s="102">
        <v>0.66776838904373881</v>
      </c>
      <c r="J1275" s="103">
        <v>1.4308050182562364E-3</v>
      </c>
      <c r="K1275" s="103"/>
      <c r="L1275" s="103">
        <v>4.3200000000000002E-2</v>
      </c>
      <c r="O1275" s="100"/>
    </row>
    <row r="1276" spans="2:15" x14ac:dyDescent="0.2">
      <c r="B1276" s="1">
        <v>1261</v>
      </c>
      <c r="C1276" s="101">
        <f t="shared" ca="1" si="76"/>
        <v>-2.2113661190445346</v>
      </c>
      <c r="D1276" s="101">
        <f t="shared" ca="1" si="77"/>
        <v>0.53427252239478273</v>
      </c>
      <c r="E1276" s="101">
        <f t="shared" ca="1" si="78"/>
        <v>0</v>
      </c>
      <c r="F1276" s="21">
        <f t="shared" ca="1" si="79"/>
        <v>0</v>
      </c>
      <c r="H1276" s="21">
        <v>1261</v>
      </c>
      <c r="I1276" s="102">
        <v>0.66759939800781254</v>
      </c>
      <c r="J1276" s="103">
        <v>1.2454282745583715E-3</v>
      </c>
      <c r="K1276" s="103"/>
      <c r="L1276" s="103">
        <v>3.7199999999999997E-2</v>
      </c>
      <c r="O1276" s="100"/>
    </row>
    <row r="1277" spans="2:15" x14ac:dyDescent="0.2">
      <c r="B1277" s="1">
        <v>1262</v>
      </c>
      <c r="C1277" s="101">
        <f t="shared" ca="1" si="76"/>
        <v>0.11415581337779657</v>
      </c>
      <c r="D1277" s="101">
        <f t="shared" ca="1" si="77"/>
        <v>0.67202706624077324</v>
      </c>
      <c r="E1277" s="101">
        <f t="shared" ca="1" si="78"/>
        <v>0</v>
      </c>
      <c r="F1277" s="21">
        <f t="shared" ca="1" si="79"/>
        <v>0</v>
      </c>
      <c r="H1277" s="21">
        <v>1262</v>
      </c>
      <c r="I1277" s="102">
        <v>0.66784841561136332</v>
      </c>
      <c r="J1277" s="103">
        <v>1.493312993250727E-3</v>
      </c>
      <c r="K1277" s="103"/>
      <c r="L1277" s="103">
        <v>4.4400000000000002E-2</v>
      </c>
      <c r="O1277" s="100"/>
    </row>
    <row r="1278" spans="2:15" x14ac:dyDescent="0.2">
      <c r="B1278" s="1">
        <v>1263</v>
      </c>
      <c r="C1278" s="101">
        <f t="shared" ca="1" si="76"/>
        <v>0.10387571479325342</v>
      </c>
      <c r="D1278" s="101">
        <f t="shared" ca="1" si="77"/>
        <v>0.67134594759858612</v>
      </c>
      <c r="E1278" s="101">
        <f t="shared" ca="1" si="78"/>
        <v>0</v>
      </c>
      <c r="F1278" s="21">
        <f t="shared" ca="1" si="79"/>
        <v>0</v>
      </c>
      <c r="H1278" s="21">
        <v>1263</v>
      </c>
      <c r="I1278" s="102">
        <v>0.6676391959632022</v>
      </c>
      <c r="J1278" s="103">
        <v>1.1549730725074773E-3</v>
      </c>
      <c r="K1278" s="103"/>
      <c r="L1278" s="103">
        <v>0.04</v>
      </c>
      <c r="O1278" s="100"/>
    </row>
    <row r="1279" spans="2:15" x14ac:dyDescent="0.2">
      <c r="B1279" s="1">
        <v>1264</v>
      </c>
      <c r="C1279" s="101">
        <f t="shared" ca="1" si="76"/>
        <v>-0.62676250525389843</v>
      </c>
      <c r="D1279" s="101">
        <f t="shared" ca="1" si="77"/>
        <v>0.62466371667998144</v>
      </c>
      <c r="E1279" s="101">
        <f t="shared" ca="1" si="78"/>
        <v>0</v>
      </c>
      <c r="F1279" s="21">
        <f t="shared" ca="1" si="79"/>
        <v>0</v>
      </c>
      <c r="H1279" s="21">
        <v>1264</v>
      </c>
      <c r="I1279" s="102">
        <v>0.66780529459175764</v>
      </c>
      <c r="J1279" s="103">
        <v>1.4863226036068644E-3</v>
      </c>
      <c r="K1279" s="103"/>
      <c r="L1279" s="103">
        <v>4.1200000000000001E-2</v>
      </c>
      <c r="O1279" s="100"/>
    </row>
    <row r="1280" spans="2:15" x14ac:dyDescent="0.2">
      <c r="B1280" s="1">
        <v>1265</v>
      </c>
      <c r="C1280" s="101">
        <f t="shared" ca="1" si="76"/>
        <v>0.35370532331755578</v>
      </c>
      <c r="D1280" s="101">
        <f t="shared" ca="1" si="77"/>
        <v>0.68809581766847205</v>
      </c>
      <c r="E1280" s="101">
        <f t="shared" ca="1" si="78"/>
        <v>0</v>
      </c>
      <c r="F1280" s="21">
        <f t="shared" ca="1" si="79"/>
        <v>0</v>
      </c>
      <c r="H1280" s="21">
        <v>1265</v>
      </c>
      <c r="I1280" s="102">
        <v>0.66769649410324605</v>
      </c>
      <c r="J1280" s="103">
        <v>1.4020303789483227E-3</v>
      </c>
      <c r="K1280" s="103"/>
      <c r="L1280" s="103">
        <v>3.9399999999999998E-2</v>
      </c>
      <c r="O1280" s="100"/>
    </row>
    <row r="1281" spans="2:15" x14ac:dyDescent="0.2">
      <c r="B1281" s="1">
        <v>1266</v>
      </c>
      <c r="C1281" s="101">
        <f t="shared" ca="1" si="76"/>
        <v>-1.6396577544488951</v>
      </c>
      <c r="D1281" s="101">
        <f t="shared" ca="1" si="77"/>
        <v>0.56526809406688316</v>
      </c>
      <c r="E1281" s="101">
        <f t="shared" ca="1" si="78"/>
        <v>0</v>
      </c>
      <c r="F1281" s="21">
        <f t="shared" ca="1" si="79"/>
        <v>0</v>
      </c>
      <c r="H1281" s="21">
        <v>1266</v>
      </c>
      <c r="I1281" s="102">
        <v>0.66775745759818428</v>
      </c>
      <c r="J1281" s="103">
        <v>1.4099695931583448E-3</v>
      </c>
      <c r="K1281" s="103"/>
      <c r="L1281" s="103">
        <v>3.8600000000000002E-2</v>
      </c>
      <c r="O1281" s="100"/>
    </row>
    <row r="1282" spans="2:15" x14ac:dyDescent="0.2">
      <c r="B1282" s="1">
        <v>1267</v>
      </c>
      <c r="C1282" s="101">
        <f t="shared" ca="1" si="76"/>
        <v>-1.6026819700451251</v>
      </c>
      <c r="D1282" s="101">
        <f t="shared" ca="1" si="77"/>
        <v>0.56733358370239262</v>
      </c>
      <c r="E1282" s="101">
        <f t="shared" ca="1" si="78"/>
        <v>0</v>
      </c>
      <c r="F1282" s="21">
        <f t="shared" ca="1" si="79"/>
        <v>0</v>
      </c>
      <c r="H1282" s="21">
        <v>1267</v>
      </c>
      <c r="I1282" s="102">
        <v>0.66774132576626855</v>
      </c>
      <c r="J1282" s="103">
        <v>1.3250921322599384E-3</v>
      </c>
      <c r="K1282" s="103"/>
      <c r="L1282" s="103">
        <v>3.9600000000000003E-2</v>
      </c>
      <c r="O1282" s="100"/>
    </row>
    <row r="1283" spans="2:15" x14ac:dyDescent="0.2">
      <c r="B1283" s="1">
        <v>1268</v>
      </c>
      <c r="C1283" s="101">
        <f t="shared" ca="1" si="76"/>
        <v>2.065373888237771</v>
      </c>
      <c r="D1283" s="101">
        <f t="shared" ca="1" si="77"/>
        <v>0.81465878317212148</v>
      </c>
      <c r="E1283" s="101">
        <f t="shared" ca="1" si="78"/>
        <v>2.6458783172121469E-2</v>
      </c>
      <c r="F1283" s="21">
        <f t="shared" ca="1" si="79"/>
        <v>1</v>
      </c>
      <c r="H1283" s="21">
        <v>1268</v>
      </c>
      <c r="I1283" s="102">
        <v>0.66786303218587995</v>
      </c>
      <c r="J1283" s="103">
        <v>1.4202081077388431E-3</v>
      </c>
      <c r="K1283" s="103"/>
      <c r="L1283" s="103">
        <v>4.24E-2</v>
      </c>
      <c r="O1283" s="100"/>
    </row>
    <row r="1284" spans="2:15" x14ac:dyDescent="0.2">
      <c r="B1284" s="1">
        <v>1269</v>
      </c>
      <c r="C1284" s="101">
        <f t="shared" ca="1" si="76"/>
        <v>-1.2604549548929225</v>
      </c>
      <c r="D1284" s="101">
        <f t="shared" ca="1" si="77"/>
        <v>0.58681240625233377</v>
      </c>
      <c r="E1284" s="101">
        <f t="shared" ca="1" si="78"/>
        <v>0</v>
      </c>
      <c r="F1284" s="21">
        <f t="shared" ca="1" si="79"/>
        <v>0</v>
      </c>
      <c r="H1284" s="21">
        <v>1269</v>
      </c>
      <c r="I1284" s="102">
        <v>0.66771133715530839</v>
      </c>
      <c r="J1284" s="103">
        <v>1.4476515022080569E-3</v>
      </c>
      <c r="K1284" s="103"/>
      <c r="L1284" s="103">
        <v>3.9199999999999999E-2</v>
      </c>
      <c r="O1284" s="100"/>
    </row>
    <row r="1285" spans="2:15" x14ac:dyDescent="0.2">
      <c r="B1285" s="1">
        <v>1270</v>
      </c>
      <c r="C1285" s="101">
        <f t="shared" ca="1" si="76"/>
        <v>-1.046685032118494</v>
      </c>
      <c r="D1285" s="101">
        <f t="shared" ca="1" si="77"/>
        <v>0.5993176372921023</v>
      </c>
      <c r="E1285" s="101">
        <f t="shared" ca="1" si="78"/>
        <v>0</v>
      </c>
      <c r="F1285" s="21">
        <f t="shared" ca="1" si="79"/>
        <v>0</v>
      </c>
      <c r="H1285" s="21">
        <v>1270</v>
      </c>
      <c r="I1285" s="102">
        <v>0.66768913655469919</v>
      </c>
      <c r="J1285" s="103">
        <v>1.4303180260449872E-3</v>
      </c>
      <c r="K1285" s="103"/>
      <c r="L1285" s="103">
        <v>4.1399999999999999E-2</v>
      </c>
      <c r="O1285" s="100"/>
    </row>
    <row r="1286" spans="2:15" x14ac:dyDescent="0.2">
      <c r="B1286" s="1">
        <v>1271</v>
      </c>
      <c r="C1286" s="101">
        <f t="shared" ca="1" si="76"/>
        <v>0.37797854341760623</v>
      </c>
      <c r="D1286" s="101">
        <f t="shared" ca="1" si="77"/>
        <v>0.68974532876467798</v>
      </c>
      <c r="E1286" s="101">
        <f t="shared" ca="1" si="78"/>
        <v>0</v>
      </c>
      <c r="F1286" s="21">
        <f t="shared" ca="1" si="79"/>
        <v>0</v>
      </c>
      <c r="H1286" s="21">
        <v>1271</v>
      </c>
      <c r="I1286" s="102">
        <v>0.66782772089750886</v>
      </c>
      <c r="J1286" s="103">
        <v>1.4432274403386007E-3</v>
      </c>
      <c r="K1286" s="103"/>
      <c r="L1286" s="103">
        <v>4.0399999999999998E-2</v>
      </c>
      <c r="O1286" s="100"/>
    </row>
    <row r="1287" spans="2:15" x14ac:dyDescent="0.2">
      <c r="B1287" s="1">
        <v>1272</v>
      </c>
      <c r="C1287" s="101">
        <f t="shared" ca="1" si="76"/>
        <v>-0.35432049177468239</v>
      </c>
      <c r="D1287" s="101">
        <f t="shared" ca="1" si="77"/>
        <v>0.64167856005057444</v>
      </c>
      <c r="E1287" s="101">
        <f t="shared" ca="1" si="78"/>
        <v>0</v>
      </c>
      <c r="F1287" s="21">
        <f t="shared" ca="1" si="79"/>
        <v>0</v>
      </c>
      <c r="H1287" s="21">
        <v>1272</v>
      </c>
      <c r="I1287" s="102">
        <v>0.66775867688309987</v>
      </c>
      <c r="J1287" s="103">
        <v>1.3942269189589998E-3</v>
      </c>
      <c r="K1287" s="103"/>
      <c r="L1287" s="103">
        <v>4.0399999999999998E-2</v>
      </c>
      <c r="O1287" s="100"/>
    </row>
    <row r="1288" spans="2:15" x14ac:dyDescent="0.2">
      <c r="B1288" s="1">
        <v>1273</v>
      </c>
      <c r="C1288" s="101">
        <f t="shared" ca="1" si="76"/>
        <v>-2.383650518373249</v>
      </c>
      <c r="D1288" s="101">
        <f t="shared" ca="1" si="77"/>
        <v>0.52526961795999305</v>
      </c>
      <c r="E1288" s="101">
        <f t="shared" ca="1" si="78"/>
        <v>0</v>
      </c>
      <c r="F1288" s="21">
        <f t="shared" ca="1" si="79"/>
        <v>0</v>
      </c>
      <c r="H1288" s="21">
        <v>1273</v>
      </c>
      <c r="I1288" s="102">
        <v>0.66792902787525388</v>
      </c>
      <c r="J1288" s="103">
        <v>1.5584564899325097E-3</v>
      </c>
      <c r="K1288" s="103"/>
      <c r="L1288" s="103">
        <v>4.5199999999999997E-2</v>
      </c>
      <c r="O1288" s="100"/>
    </row>
    <row r="1289" spans="2:15" x14ac:dyDescent="0.2">
      <c r="B1289" s="1">
        <v>1274</v>
      </c>
      <c r="C1289" s="101">
        <f t="shared" ca="1" si="76"/>
        <v>-1.3292223521149136</v>
      </c>
      <c r="D1289" s="101">
        <f t="shared" ca="1" si="77"/>
        <v>0.58284534751402928</v>
      </c>
      <c r="E1289" s="101">
        <f t="shared" ca="1" si="78"/>
        <v>0</v>
      </c>
      <c r="F1289" s="21">
        <f t="shared" ca="1" si="79"/>
        <v>0</v>
      </c>
      <c r="H1289" s="21">
        <v>1274</v>
      </c>
      <c r="I1289" s="102">
        <v>0.66788426513453236</v>
      </c>
      <c r="J1289" s="103">
        <v>1.5515751466070162E-3</v>
      </c>
      <c r="K1289" s="103"/>
      <c r="L1289" s="103">
        <v>4.6399999999999997E-2</v>
      </c>
      <c r="O1289" s="100"/>
    </row>
    <row r="1290" spans="2:15" x14ac:dyDescent="0.2">
      <c r="B1290" s="1">
        <v>1275</v>
      </c>
      <c r="C1290" s="101">
        <f t="shared" ca="1" si="76"/>
        <v>-0.1155424882250885</v>
      </c>
      <c r="D1290" s="101">
        <f t="shared" ca="1" si="77"/>
        <v>0.65697165327896889</v>
      </c>
      <c r="E1290" s="101">
        <f t="shared" ca="1" si="78"/>
        <v>0</v>
      </c>
      <c r="F1290" s="21">
        <f t="shared" ca="1" si="79"/>
        <v>0</v>
      </c>
      <c r="H1290" s="21">
        <v>1275</v>
      </c>
      <c r="I1290" s="102">
        <v>0.66769676173156056</v>
      </c>
      <c r="J1290" s="103">
        <v>1.3093937998854002E-3</v>
      </c>
      <c r="K1290" s="103"/>
      <c r="L1290" s="103">
        <v>3.8600000000000002E-2</v>
      </c>
      <c r="O1290" s="100"/>
    </row>
    <row r="1291" spans="2:15" x14ac:dyDescent="0.2">
      <c r="B1291" s="1">
        <v>1276</v>
      </c>
      <c r="C1291" s="101">
        <f t="shared" ca="1" si="76"/>
        <v>-1.0461883695634302</v>
      </c>
      <c r="D1291" s="101">
        <f t="shared" ca="1" si="77"/>
        <v>0.5993469994531373</v>
      </c>
      <c r="E1291" s="101">
        <f t="shared" ca="1" si="78"/>
        <v>0</v>
      </c>
      <c r="F1291" s="21">
        <f t="shared" ca="1" si="79"/>
        <v>0</v>
      </c>
      <c r="H1291" s="21">
        <v>1276</v>
      </c>
      <c r="I1291" s="102">
        <v>0.66771757379811725</v>
      </c>
      <c r="J1291" s="103">
        <v>1.3634350298566849E-3</v>
      </c>
      <c r="K1291" s="103"/>
      <c r="L1291" s="103">
        <v>4.0399999999999998E-2</v>
      </c>
      <c r="O1291" s="100"/>
    </row>
    <row r="1292" spans="2:15" x14ac:dyDescent="0.2">
      <c r="B1292" s="1">
        <v>1277</v>
      </c>
      <c r="C1292" s="101">
        <f t="shared" ca="1" si="76"/>
        <v>-1.0030317758011866</v>
      </c>
      <c r="D1292" s="101">
        <f t="shared" ca="1" si="77"/>
        <v>0.6019038722615585</v>
      </c>
      <c r="E1292" s="101">
        <f t="shared" ca="1" si="78"/>
        <v>0</v>
      </c>
      <c r="F1292" s="21">
        <f t="shared" ca="1" si="79"/>
        <v>0</v>
      </c>
      <c r="H1292" s="21">
        <v>1277</v>
      </c>
      <c r="I1292" s="102">
        <v>0.66761877426373528</v>
      </c>
      <c r="J1292" s="103">
        <v>1.1984897046102031E-3</v>
      </c>
      <c r="K1292" s="103"/>
      <c r="L1292" s="103">
        <v>4.1399999999999999E-2</v>
      </c>
      <c r="O1292" s="100"/>
    </row>
    <row r="1293" spans="2:15" x14ac:dyDescent="0.2">
      <c r="B1293" s="1">
        <v>1278</v>
      </c>
      <c r="C1293" s="101">
        <f t="shared" ca="1" si="76"/>
        <v>-2.6695509362458146E-2</v>
      </c>
      <c r="D1293" s="101">
        <f t="shared" ca="1" si="77"/>
        <v>0.66275464620918578</v>
      </c>
      <c r="E1293" s="101">
        <f t="shared" ca="1" si="78"/>
        <v>0</v>
      </c>
      <c r="F1293" s="21">
        <f t="shared" ca="1" si="79"/>
        <v>0</v>
      </c>
      <c r="H1293" s="21">
        <v>1278</v>
      </c>
      <c r="I1293" s="102">
        <v>0.66777586937043631</v>
      </c>
      <c r="J1293" s="103">
        <v>1.4859388344826679E-3</v>
      </c>
      <c r="K1293" s="103"/>
      <c r="L1293" s="103">
        <v>4.6600000000000003E-2</v>
      </c>
      <c r="O1293" s="100"/>
    </row>
    <row r="1294" spans="2:15" x14ac:dyDescent="0.2">
      <c r="B1294" s="1">
        <v>1279</v>
      </c>
      <c r="C1294" s="101">
        <f t="shared" ca="1" si="76"/>
        <v>-0.39457104008916338</v>
      </c>
      <c r="D1294" s="101">
        <f t="shared" ca="1" si="77"/>
        <v>0.63913591134828596</v>
      </c>
      <c r="E1294" s="101">
        <f t="shared" ca="1" si="78"/>
        <v>0</v>
      </c>
      <c r="F1294" s="21">
        <f t="shared" ca="1" si="79"/>
        <v>0</v>
      </c>
      <c r="H1294" s="21">
        <v>1279</v>
      </c>
      <c r="I1294" s="102">
        <v>0.66770048863900944</v>
      </c>
      <c r="J1294" s="103">
        <v>1.2392053639581505E-3</v>
      </c>
      <c r="K1294" s="103"/>
      <c r="L1294" s="103">
        <v>3.9E-2</v>
      </c>
      <c r="O1294" s="100"/>
    </row>
    <row r="1295" spans="2:15" x14ac:dyDescent="0.2">
      <c r="B1295" s="1">
        <v>1280</v>
      </c>
      <c r="C1295" s="101">
        <f t="shared" ca="1" si="76"/>
        <v>1.2715303018680264</v>
      </c>
      <c r="D1295" s="101">
        <f t="shared" ca="1" si="77"/>
        <v>0.75330001203553765</v>
      </c>
      <c r="E1295" s="101">
        <f t="shared" ca="1" si="78"/>
        <v>0</v>
      </c>
      <c r="F1295" s="21">
        <f t="shared" ca="1" si="79"/>
        <v>0</v>
      </c>
      <c r="H1295" s="21">
        <v>1280</v>
      </c>
      <c r="I1295" s="102">
        <v>0.66783317993482605</v>
      </c>
      <c r="J1295" s="103">
        <v>1.4213531103981515E-3</v>
      </c>
      <c r="K1295" s="103"/>
      <c r="L1295" s="103">
        <v>4.2599999999999999E-2</v>
      </c>
      <c r="O1295" s="100"/>
    </row>
    <row r="1296" spans="2:15" x14ac:dyDescent="0.2">
      <c r="B1296" s="1">
        <v>1281</v>
      </c>
      <c r="C1296" s="101">
        <f t="shared" ref="C1296:C1359" ca="1" si="80">_xlfn.NORM.S.INV(RAND())</f>
        <v>0.4712012555142005</v>
      </c>
      <c r="D1296" s="101">
        <f t="shared" ref="D1296:D1359" ca="1" si="81">S0*EXP((μ-0.5*σ*σ)*T+σ*SQRT(T)*$C1296)</f>
        <v>0.69611721090418821</v>
      </c>
      <c r="E1296" s="101">
        <f t="shared" ref="E1296:E1359" ca="1" si="82">MAX(0,CP*(D1296-K))</f>
        <v>0</v>
      </c>
      <c r="F1296" s="21">
        <f t="shared" ref="F1296:F1359" ca="1" si="83">(CP*(D1296-K)&gt;0)*1</f>
        <v>0</v>
      </c>
      <c r="H1296" s="21">
        <v>1281</v>
      </c>
      <c r="I1296" s="102">
        <v>0.66758751498090652</v>
      </c>
      <c r="J1296" s="103">
        <v>1.2586337620608028E-3</v>
      </c>
      <c r="K1296" s="103"/>
      <c r="L1296" s="103">
        <v>3.7999999999999999E-2</v>
      </c>
      <c r="O1296" s="100"/>
    </row>
    <row r="1297" spans="2:15" x14ac:dyDescent="0.2">
      <c r="B1297" s="1">
        <v>1282</v>
      </c>
      <c r="C1297" s="101">
        <f t="shared" ca="1" si="80"/>
        <v>0.1829726878810688</v>
      </c>
      <c r="D1297" s="101">
        <f t="shared" ca="1" si="81"/>
        <v>0.67660443055743669</v>
      </c>
      <c r="E1297" s="101">
        <f t="shared" ca="1" si="82"/>
        <v>0</v>
      </c>
      <c r="F1297" s="21">
        <f t="shared" ca="1" si="83"/>
        <v>0</v>
      </c>
      <c r="H1297" s="21">
        <v>1282</v>
      </c>
      <c r="I1297" s="102">
        <v>0.66779174198620206</v>
      </c>
      <c r="J1297" s="103">
        <v>1.3730864475768694E-3</v>
      </c>
      <c r="K1297" s="103"/>
      <c r="L1297" s="103">
        <v>4.36E-2</v>
      </c>
      <c r="O1297" s="100"/>
    </row>
    <row r="1298" spans="2:15" x14ac:dyDescent="0.2">
      <c r="B1298" s="1">
        <v>1283</v>
      </c>
      <c r="C1298" s="101">
        <f t="shared" ca="1" si="80"/>
        <v>-0.16101383315521162</v>
      </c>
      <c r="D1298" s="101">
        <f t="shared" ca="1" si="81"/>
        <v>0.65403150175051938</v>
      </c>
      <c r="E1298" s="101">
        <f t="shared" ca="1" si="82"/>
        <v>0</v>
      </c>
      <c r="F1298" s="21">
        <f t="shared" ca="1" si="83"/>
        <v>0</v>
      </c>
      <c r="H1298" s="21">
        <v>1283</v>
      </c>
      <c r="I1298" s="102">
        <v>0.66784107622428313</v>
      </c>
      <c r="J1298" s="103">
        <v>1.5494953883688804E-3</v>
      </c>
      <c r="K1298" s="103"/>
      <c r="L1298" s="103">
        <v>4.5199999999999997E-2</v>
      </c>
      <c r="O1298" s="100"/>
    </row>
    <row r="1299" spans="2:15" x14ac:dyDescent="0.2">
      <c r="B1299" s="1">
        <v>1284</v>
      </c>
      <c r="C1299" s="101">
        <f t="shared" ca="1" si="80"/>
        <v>-0.34936656655004222</v>
      </c>
      <c r="D1299" s="101">
        <f t="shared" ca="1" si="81"/>
        <v>0.64199220044568006</v>
      </c>
      <c r="E1299" s="101">
        <f t="shared" ca="1" si="82"/>
        <v>0</v>
      </c>
      <c r="F1299" s="21">
        <f t="shared" ca="1" si="83"/>
        <v>0</v>
      </c>
      <c r="H1299" s="21">
        <v>1284</v>
      </c>
      <c r="I1299" s="102">
        <v>0.66767964450952655</v>
      </c>
      <c r="J1299" s="103">
        <v>1.4338836931940045E-3</v>
      </c>
      <c r="K1299" s="103"/>
      <c r="L1299" s="103">
        <v>4.2999999999999997E-2</v>
      </c>
      <c r="O1299" s="100"/>
    </row>
    <row r="1300" spans="2:15" x14ac:dyDescent="0.2">
      <c r="B1300" s="1">
        <v>1285</v>
      </c>
      <c r="C1300" s="101">
        <f t="shared" ca="1" si="80"/>
        <v>-0.78132410647932116</v>
      </c>
      <c r="D1300" s="101">
        <f t="shared" ca="1" si="81"/>
        <v>0.61521222548223198</v>
      </c>
      <c r="E1300" s="101">
        <f t="shared" ca="1" si="82"/>
        <v>0</v>
      </c>
      <c r="F1300" s="21">
        <f t="shared" ca="1" si="83"/>
        <v>0</v>
      </c>
      <c r="H1300" s="21">
        <v>1285</v>
      </c>
      <c r="I1300" s="102">
        <v>0.66767686917642954</v>
      </c>
      <c r="J1300" s="103">
        <v>1.3542142915779437E-3</v>
      </c>
      <c r="K1300" s="103"/>
      <c r="L1300" s="103">
        <v>3.8800000000000001E-2</v>
      </c>
      <c r="O1300" s="100"/>
    </row>
    <row r="1301" spans="2:15" x14ac:dyDescent="0.2">
      <c r="B1301" s="1">
        <v>1286</v>
      </c>
      <c r="C1301" s="101">
        <f t="shared" ca="1" si="80"/>
        <v>-1.5614384237537615</v>
      </c>
      <c r="D1301" s="101">
        <f t="shared" ca="1" si="81"/>
        <v>0.56964637858413003</v>
      </c>
      <c r="E1301" s="101">
        <f t="shared" ca="1" si="82"/>
        <v>0</v>
      </c>
      <c r="F1301" s="21">
        <f t="shared" ca="1" si="83"/>
        <v>0</v>
      </c>
      <c r="H1301" s="21">
        <v>1286</v>
      </c>
      <c r="I1301" s="102">
        <v>0.66758788001567371</v>
      </c>
      <c r="J1301" s="103">
        <v>1.1747056929438395E-3</v>
      </c>
      <c r="K1301" s="103"/>
      <c r="L1301" s="103">
        <v>3.5799999999999998E-2</v>
      </c>
      <c r="O1301" s="100"/>
    </row>
    <row r="1302" spans="2:15" x14ac:dyDescent="0.2">
      <c r="B1302" s="1">
        <v>1287</v>
      </c>
      <c r="C1302" s="101">
        <f t="shared" ca="1" si="80"/>
        <v>0.37022929223754858</v>
      </c>
      <c r="D1302" s="101">
        <f t="shared" ca="1" si="81"/>
        <v>0.68921829136989832</v>
      </c>
      <c r="E1302" s="101">
        <f t="shared" ca="1" si="82"/>
        <v>0</v>
      </c>
      <c r="F1302" s="21">
        <f t="shared" ca="1" si="83"/>
        <v>0</v>
      </c>
      <c r="H1302" s="21">
        <v>1287</v>
      </c>
      <c r="I1302" s="102">
        <v>0.66778760765645628</v>
      </c>
      <c r="J1302" s="103">
        <v>1.3077351480666574E-3</v>
      </c>
      <c r="K1302" s="103"/>
      <c r="L1302" s="103">
        <v>4.3200000000000002E-2</v>
      </c>
      <c r="O1302" s="100"/>
    </row>
    <row r="1303" spans="2:15" x14ac:dyDescent="0.2">
      <c r="B1303" s="1">
        <v>1288</v>
      </c>
      <c r="C1303" s="101">
        <f t="shared" ca="1" si="80"/>
        <v>-0.50236325381285007</v>
      </c>
      <c r="D1303" s="101">
        <f t="shared" ca="1" si="81"/>
        <v>0.63237612948353972</v>
      </c>
      <c r="E1303" s="101">
        <f t="shared" ca="1" si="82"/>
        <v>0</v>
      </c>
      <c r="F1303" s="21">
        <f t="shared" ca="1" si="83"/>
        <v>0</v>
      </c>
      <c r="H1303" s="21">
        <v>1288</v>
      </c>
      <c r="I1303" s="102">
        <v>0.66792659424354495</v>
      </c>
      <c r="J1303" s="103">
        <v>1.5954956136289054E-3</v>
      </c>
      <c r="K1303" s="103"/>
      <c r="L1303" s="103">
        <v>4.3400000000000001E-2</v>
      </c>
      <c r="O1303" s="100"/>
    </row>
    <row r="1304" spans="2:15" x14ac:dyDescent="0.2">
      <c r="B1304" s="1">
        <v>1289</v>
      </c>
      <c r="C1304" s="101">
        <f t="shared" ca="1" si="80"/>
        <v>1.8829686488499231</v>
      </c>
      <c r="D1304" s="101">
        <f t="shared" ca="1" si="81"/>
        <v>0.80013195673079074</v>
      </c>
      <c r="E1304" s="101">
        <f t="shared" ca="1" si="82"/>
        <v>1.1931956730790727E-2</v>
      </c>
      <c r="F1304" s="21">
        <f t="shared" ca="1" si="83"/>
        <v>1</v>
      </c>
      <c r="H1304" s="21">
        <v>1289</v>
      </c>
      <c r="I1304" s="102">
        <v>0.6678417718412516</v>
      </c>
      <c r="J1304" s="103">
        <v>1.4012772291853799E-3</v>
      </c>
      <c r="K1304" s="103"/>
      <c r="L1304" s="103">
        <v>4.5600000000000002E-2</v>
      </c>
      <c r="O1304" s="100"/>
    </row>
    <row r="1305" spans="2:15" x14ac:dyDescent="0.2">
      <c r="B1305" s="1">
        <v>1290</v>
      </c>
      <c r="C1305" s="101">
        <f t="shared" ca="1" si="80"/>
        <v>-0.64583060497098499</v>
      </c>
      <c r="D1305" s="101">
        <f t="shared" ca="1" si="81"/>
        <v>0.62348988932225358</v>
      </c>
      <c r="E1305" s="101">
        <f t="shared" ca="1" si="82"/>
        <v>0</v>
      </c>
      <c r="F1305" s="21">
        <f t="shared" ca="1" si="83"/>
        <v>0</v>
      </c>
      <c r="H1305" s="21">
        <v>1290</v>
      </c>
      <c r="I1305" s="102">
        <v>0.66770977336914317</v>
      </c>
      <c r="J1305" s="103">
        <v>1.3220788942041751E-3</v>
      </c>
      <c r="K1305" s="103"/>
      <c r="L1305" s="103">
        <v>4.1399999999999999E-2</v>
      </c>
      <c r="O1305" s="100"/>
    </row>
    <row r="1306" spans="2:15" x14ac:dyDescent="0.2">
      <c r="B1306" s="1">
        <v>1291</v>
      </c>
      <c r="C1306" s="101">
        <f t="shared" ca="1" si="80"/>
        <v>1.5972876595718668</v>
      </c>
      <c r="D1306" s="101">
        <f t="shared" ca="1" si="81"/>
        <v>0.77789900991908012</v>
      </c>
      <c r="E1306" s="101">
        <f t="shared" ca="1" si="82"/>
        <v>0</v>
      </c>
      <c r="F1306" s="21">
        <f t="shared" ca="1" si="83"/>
        <v>0</v>
      </c>
      <c r="H1306" s="21">
        <v>1291</v>
      </c>
      <c r="I1306" s="102">
        <v>0.66785693746767261</v>
      </c>
      <c r="J1306" s="103">
        <v>1.6313838820086037E-3</v>
      </c>
      <c r="K1306" s="103"/>
      <c r="L1306" s="103">
        <v>4.58E-2</v>
      </c>
      <c r="O1306" s="100"/>
    </row>
    <row r="1307" spans="2:15" x14ac:dyDescent="0.2">
      <c r="B1307" s="1">
        <v>1292</v>
      </c>
      <c r="C1307" s="101">
        <f t="shared" ca="1" si="80"/>
        <v>0.72155253487510662</v>
      </c>
      <c r="D1307" s="101">
        <f t="shared" ca="1" si="81"/>
        <v>0.71352183187408758</v>
      </c>
      <c r="E1307" s="101">
        <f t="shared" ca="1" si="82"/>
        <v>0</v>
      </c>
      <c r="F1307" s="21">
        <f t="shared" ca="1" si="83"/>
        <v>0</v>
      </c>
      <c r="H1307" s="21">
        <v>1292</v>
      </c>
      <c r="I1307" s="102">
        <v>0.6675829297216419</v>
      </c>
      <c r="J1307" s="103">
        <v>1.302161738890119E-3</v>
      </c>
      <c r="K1307" s="103"/>
      <c r="L1307" s="103">
        <v>3.7999999999999999E-2</v>
      </c>
      <c r="O1307" s="100"/>
    </row>
    <row r="1308" spans="2:15" x14ac:dyDescent="0.2">
      <c r="B1308" s="1">
        <v>1293</v>
      </c>
      <c r="C1308" s="101">
        <f t="shared" ca="1" si="80"/>
        <v>-0.46363089289889975</v>
      </c>
      <c r="D1308" s="101">
        <f t="shared" ca="1" si="81"/>
        <v>0.63479681425566814</v>
      </c>
      <c r="E1308" s="101">
        <f t="shared" ca="1" si="82"/>
        <v>0</v>
      </c>
      <c r="F1308" s="21">
        <f t="shared" ca="1" si="83"/>
        <v>0</v>
      </c>
      <c r="H1308" s="21">
        <v>1293</v>
      </c>
      <c r="I1308" s="102">
        <v>0.66773570165363816</v>
      </c>
      <c r="J1308" s="103">
        <v>1.3973560839430413E-3</v>
      </c>
      <c r="K1308" s="103"/>
      <c r="L1308" s="103">
        <v>4.2000000000000003E-2</v>
      </c>
      <c r="O1308" s="100"/>
    </row>
    <row r="1309" spans="2:15" x14ac:dyDescent="0.2">
      <c r="B1309" s="1">
        <v>1294</v>
      </c>
      <c r="C1309" s="101">
        <f t="shared" ca="1" si="80"/>
        <v>1.2807872522768498</v>
      </c>
      <c r="D1309" s="101">
        <f t="shared" ca="1" si="81"/>
        <v>0.75398817787157013</v>
      </c>
      <c r="E1309" s="101">
        <f t="shared" ca="1" si="82"/>
        <v>0</v>
      </c>
      <c r="F1309" s="21">
        <f t="shared" ca="1" si="83"/>
        <v>0</v>
      </c>
      <c r="H1309" s="21">
        <v>1294</v>
      </c>
      <c r="I1309" s="102">
        <v>0.66769503568472055</v>
      </c>
      <c r="J1309" s="103">
        <v>1.2468359874041979E-3</v>
      </c>
      <c r="K1309" s="103"/>
      <c r="L1309" s="103">
        <v>3.8800000000000001E-2</v>
      </c>
      <c r="O1309" s="100"/>
    </row>
    <row r="1310" spans="2:15" x14ac:dyDescent="0.2">
      <c r="B1310" s="1">
        <v>1295</v>
      </c>
      <c r="C1310" s="101">
        <f t="shared" ca="1" si="80"/>
        <v>-1.0058320659307738</v>
      </c>
      <c r="D1310" s="101">
        <f t="shared" ca="1" si="81"/>
        <v>0.60173763472765207</v>
      </c>
      <c r="E1310" s="101">
        <f t="shared" ca="1" si="82"/>
        <v>0</v>
      </c>
      <c r="F1310" s="21">
        <f t="shared" ca="1" si="83"/>
        <v>0</v>
      </c>
      <c r="H1310" s="21">
        <v>1295</v>
      </c>
      <c r="I1310" s="102">
        <v>0.66770264698136317</v>
      </c>
      <c r="J1310" s="103">
        <v>1.3487849136912676E-3</v>
      </c>
      <c r="K1310" s="103"/>
      <c r="L1310" s="103">
        <v>4.1200000000000001E-2</v>
      </c>
      <c r="O1310" s="100"/>
    </row>
    <row r="1311" spans="2:15" x14ac:dyDescent="0.2">
      <c r="B1311" s="1">
        <v>1296</v>
      </c>
      <c r="C1311" s="101">
        <f t="shared" ca="1" si="80"/>
        <v>1.0826412544560116</v>
      </c>
      <c r="D1311" s="101">
        <f t="shared" ca="1" si="81"/>
        <v>0.73939427576981354</v>
      </c>
      <c r="E1311" s="101">
        <f t="shared" ca="1" si="82"/>
        <v>0</v>
      </c>
      <c r="F1311" s="21">
        <f t="shared" ca="1" si="83"/>
        <v>0</v>
      </c>
      <c r="H1311" s="21">
        <v>1296</v>
      </c>
      <c r="I1311" s="102">
        <v>0.66747874652962658</v>
      </c>
      <c r="J1311" s="103">
        <v>1.1096211519392156E-3</v>
      </c>
      <c r="K1311" s="103"/>
      <c r="L1311" s="103">
        <v>3.6799999999999999E-2</v>
      </c>
      <c r="O1311" s="100"/>
    </row>
    <row r="1312" spans="2:15" x14ac:dyDescent="0.2">
      <c r="B1312" s="1">
        <v>1297</v>
      </c>
      <c r="C1312" s="101">
        <f t="shared" ca="1" si="80"/>
        <v>-1.2358184721286767</v>
      </c>
      <c r="D1312" s="101">
        <f t="shared" ca="1" si="81"/>
        <v>0.58824019746950851</v>
      </c>
      <c r="E1312" s="101">
        <f t="shared" ca="1" si="82"/>
        <v>0</v>
      </c>
      <c r="F1312" s="21">
        <f t="shared" ca="1" si="83"/>
        <v>0</v>
      </c>
      <c r="H1312" s="21">
        <v>1297</v>
      </c>
      <c r="I1312" s="102">
        <v>0.66782128777612748</v>
      </c>
      <c r="J1312" s="103">
        <v>1.410706603461147E-3</v>
      </c>
      <c r="K1312" s="103"/>
      <c r="L1312" s="103">
        <v>4.4600000000000001E-2</v>
      </c>
      <c r="O1312" s="100"/>
    </row>
    <row r="1313" spans="2:15" x14ac:dyDescent="0.2">
      <c r="B1313" s="1">
        <v>1298</v>
      </c>
      <c r="C1313" s="101">
        <f t="shared" ca="1" si="80"/>
        <v>0.32183529197225186</v>
      </c>
      <c r="D1313" s="101">
        <f t="shared" ca="1" si="81"/>
        <v>0.68593604598926983</v>
      </c>
      <c r="E1313" s="101">
        <f t="shared" ca="1" si="82"/>
        <v>0</v>
      </c>
      <c r="F1313" s="21">
        <f t="shared" ca="1" si="83"/>
        <v>0</v>
      </c>
      <c r="H1313" s="21">
        <v>1298</v>
      </c>
      <c r="I1313" s="102">
        <v>0.66758880051653635</v>
      </c>
      <c r="J1313" s="103">
        <v>1.3508594823609221E-3</v>
      </c>
      <c r="K1313" s="103"/>
      <c r="L1313" s="103">
        <v>3.6799999999999999E-2</v>
      </c>
      <c r="O1313" s="100"/>
    </row>
    <row r="1314" spans="2:15" x14ac:dyDescent="0.2">
      <c r="B1314" s="1">
        <v>1299</v>
      </c>
      <c r="C1314" s="101">
        <f t="shared" ca="1" si="80"/>
        <v>-0.74456506382304233</v>
      </c>
      <c r="D1314" s="101">
        <f t="shared" ca="1" si="81"/>
        <v>0.61744701000684965</v>
      </c>
      <c r="E1314" s="101">
        <f t="shared" ca="1" si="82"/>
        <v>0</v>
      </c>
      <c r="F1314" s="21">
        <f t="shared" ca="1" si="83"/>
        <v>0</v>
      </c>
      <c r="H1314" s="21">
        <v>1299</v>
      </c>
      <c r="I1314" s="102">
        <v>0.66772770247190816</v>
      </c>
      <c r="J1314" s="103">
        <v>1.2711016696951652E-3</v>
      </c>
      <c r="K1314" s="103"/>
      <c r="L1314" s="103">
        <v>3.6400000000000002E-2</v>
      </c>
      <c r="O1314" s="100"/>
    </row>
    <row r="1315" spans="2:15" x14ac:dyDescent="0.2">
      <c r="B1315" s="1">
        <v>1300</v>
      </c>
      <c r="C1315" s="101">
        <f t="shared" ca="1" si="80"/>
        <v>0.85233723308132403</v>
      </c>
      <c r="D1315" s="101">
        <f t="shared" ca="1" si="81"/>
        <v>0.72278644909686096</v>
      </c>
      <c r="E1315" s="101">
        <f t="shared" ca="1" si="82"/>
        <v>0</v>
      </c>
      <c r="F1315" s="21">
        <f t="shared" ca="1" si="83"/>
        <v>0</v>
      </c>
      <c r="H1315" s="21">
        <v>1300</v>
      </c>
      <c r="I1315" s="102">
        <v>0.66767682491585589</v>
      </c>
      <c r="J1315" s="103">
        <v>1.2841775963740906E-3</v>
      </c>
      <c r="K1315" s="103"/>
      <c r="L1315" s="103">
        <v>4.1000000000000002E-2</v>
      </c>
      <c r="O1315" s="100"/>
    </row>
    <row r="1316" spans="2:15" x14ac:dyDescent="0.2">
      <c r="B1316" s="1">
        <v>1301</v>
      </c>
      <c r="C1316" s="101">
        <f t="shared" ca="1" si="80"/>
        <v>1.4460213485372964</v>
      </c>
      <c r="D1316" s="101">
        <f t="shared" ca="1" si="81"/>
        <v>0.76637806006766218</v>
      </c>
      <c r="E1316" s="101">
        <f t="shared" ca="1" si="82"/>
        <v>0</v>
      </c>
      <c r="F1316" s="21">
        <f t="shared" ca="1" si="83"/>
        <v>0</v>
      </c>
      <c r="H1316" s="21">
        <v>1301</v>
      </c>
      <c r="I1316" s="102">
        <v>0.66779900280383431</v>
      </c>
      <c r="J1316" s="103">
        <v>1.4498885857866051E-3</v>
      </c>
      <c r="K1316" s="103"/>
      <c r="L1316" s="103">
        <v>4.3400000000000001E-2</v>
      </c>
      <c r="O1316" s="100"/>
    </row>
    <row r="1317" spans="2:15" x14ac:dyDescent="0.2">
      <c r="B1317" s="1">
        <v>1302</v>
      </c>
      <c r="C1317" s="101">
        <f t="shared" ca="1" si="80"/>
        <v>1.5682619991659335</v>
      </c>
      <c r="D1317" s="101">
        <f t="shared" ca="1" si="81"/>
        <v>0.77567496959671356</v>
      </c>
      <c r="E1317" s="101">
        <f t="shared" ca="1" si="82"/>
        <v>0</v>
      </c>
      <c r="F1317" s="21">
        <f t="shared" ca="1" si="83"/>
        <v>0</v>
      </c>
      <c r="H1317" s="21">
        <v>1302</v>
      </c>
      <c r="I1317" s="102">
        <v>0.66761471731649191</v>
      </c>
      <c r="J1317" s="103">
        <v>1.3213275800642065E-3</v>
      </c>
      <c r="K1317" s="103"/>
      <c r="L1317" s="103">
        <v>4.1399999999999999E-2</v>
      </c>
      <c r="O1317" s="100"/>
    </row>
    <row r="1318" spans="2:15" x14ac:dyDescent="0.2">
      <c r="B1318" s="1">
        <v>1303</v>
      </c>
      <c r="C1318" s="101">
        <f t="shared" ca="1" si="80"/>
        <v>0.27602367471990497</v>
      </c>
      <c r="D1318" s="101">
        <f t="shared" ca="1" si="81"/>
        <v>0.68284334987460416</v>
      </c>
      <c r="E1318" s="101">
        <f t="shared" ca="1" si="82"/>
        <v>0</v>
      </c>
      <c r="F1318" s="21">
        <f t="shared" ca="1" si="83"/>
        <v>0</v>
      </c>
      <c r="H1318" s="21">
        <v>1303</v>
      </c>
      <c r="I1318" s="102">
        <v>0.66765475417368025</v>
      </c>
      <c r="J1318" s="103">
        <v>1.222387330201619E-3</v>
      </c>
      <c r="K1318" s="103"/>
      <c r="L1318" s="103">
        <v>4.1599999999999998E-2</v>
      </c>
      <c r="O1318" s="100"/>
    </row>
    <row r="1319" spans="2:15" x14ac:dyDescent="0.2">
      <c r="B1319" s="1">
        <v>1304</v>
      </c>
      <c r="C1319" s="101">
        <f t="shared" ca="1" si="80"/>
        <v>0.96589091201467869</v>
      </c>
      <c r="D1319" s="101">
        <f t="shared" ca="1" si="81"/>
        <v>0.73092795358640372</v>
      </c>
      <c r="E1319" s="101">
        <f t="shared" ca="1" si="82"/>
        <v>0</v>
      </c>
      <c r="F1319" s="21">
        <f t="shared" ca="1" si="83"/>
        <v>0</v>
      </c>
      <c r="H1319" s="21">
        <v>1304</v>
      </c>
      <c r="I1319" s="102">
        <v>0.66785097264131088</v>
      </c>
      <c r="J1319" s="103">
        <v>1.4990945408339465E-3</v>
      </c>
      <c r="K1319" s="103"/>
      <c r="L1319" s="103">
        <v>4.48E-2</v>
      </c>
      <c r="O1319" s="100"/>
    </row>
    <row r="1320" spans="2:15" x14ac:dyDescent="0.2">
      <c r="B1320" s="1">
        <v>1305</v>
      </c>
      <c r="C1320" s="101">
        <f t="shared" ca="1" si="80"/>
        <v>-0.7978713974850864</v>
      </c>
      <c r="D1320" s="101">
        <f t="shared" ca="1" si="81"/>
        <v>0.61420886643098205</v>
      </c>
      <c r="E1320" s="101">
        <f t="shared" ca="1" si="82"/>
        <v>0</v>
      </c>
      <c r="F1320" s="21">
        <f t="shared" ca="1" si="83"/>
        <v>0</v>
      </c>
      <c r="H1320" s="21">
        <v>1305</v>
      </c>
      <c r="I1320" s="102">
        <v>0.66772457238723548</v>
      </c>
      <c r="J1320" s="103">
        <v>1.3169376604924338E-3</v>
      </c>
      <c r="K1320" s="103"/>
      <c r="L1320" s="103">
        <v>0.04</v>
      </c>
      <c r="O1320" s="100"/>
    </row>
    <row r="1321" spans="2:15" x14ac:dyDescent="0.2">
      <c r="B1321" s="1">
        <v>1306</v>
      </c>
      <c r="C1321" s="101">
        <f t="shared" ca="1" si="80"/>
        <v>2.4161031040795571</v>
      </c>
      <c r="D1321" s="101">
        <f t="shared" ca="1" si="81"/>
        <v>0.84333624823686903</v>
      </c>
      <c r="E1321" s="101">
        <f t="shared" ca="1" si="82"/>
        <v>5.5136248236869023E-2</v>
      </c>
      <c r="F1321" s="21">
        <f t="shared" ca="1" si="83"/>
        <v>1</v>
      </c>
      <c r="H1321" s="21">
        <v>1306</v>
      </c>
      <c r="I1321" s="102">
        <v>0.66769186547204651</v>
      </c>
      <c r="J1321" s="103">
        <v>1.2273126866666688E-3</v>
      </c>
      <c r="K1321" s="103"/>
      <c r="L1321" s="103">
        <v>4.0800000000000003E-2</v>
      </c>
      <c r="O1321" s="100"/>
    </row>
    <row r="1322" spans="2:15" x14ac:dyDescent="0.2">
      <c r="B1322" s="1">
        <v>1307</v>
      </c>
      <c r="C1322" s="101">
        <f t="shared" ca="1" si="80"/>
        <v>-0.43729225566632213</v>
      </c>
      <c r="D1322" s="101">
        <f t="shared" ca="1" si="81"/>
        <v>0.63644821025284914</v>
      </c>
      <c r="E1322" s="101">
        <f t="shared" ca="1" si="82"/>
        <v>0</v>
      </c>
      <c r="F1322" s="21">
        <f t="shared" ca="1" si="83"/>
        <v>0</v>
      </c>
      <c r="H1322" s="21">
        <v>1307</v>
      </c>
      <c r="I1322" s="102">
        <v>0.66763113974574251</v>
      </c>
      <c r="J1322" s="103">
        <v>1.3767291931845915E-3</v>
      </c>
      <c r="K1322" s="103"/>
      <c r="L1322" s="103">
        <v>4.0599999999999997E-2</v>
      </c>
      <c r="O1322" s="100"/>
    </row>
    <row r="1323" spans="2:15" x14ac:dyDescent="0.2">
      <c r="B1323" s="1">
        <v>1308</v>
      </c>
      <c r="C1323" s="101">
        <f t="shared" ca="1" si="80"/>
        <v>1.7970241030548888</v>
      </c>
      <c r="D1323" s="101">
        <f t="shared" ca="1" si="81"/>
        <v>0.793377363002014</v>
      </c>
      <c r="E1323" s="101">
        <f t="shared" ca="1" si="82"/>
        <v>5.1773630020139905E-3</v>
      </c>
      <c r="F1323" s="21">
        <f t="shared" ca="1" si="83"/>
        <v>1</v>
      </c>
      <c r="H1323" s="21">
        <v>1308</v>
      </c>
      <c r="I1323" s="102">
        <v>0.66777580987003293</v>
      </c>
      <c r="J1323" s="103">
        <v>1.3220742009331704E-3</v>
      </c>
      <c r="K1323" s="103"/>
      <c r="L1323" s="103">
        <v>4.3400000000000001E-2</v>
      </c>
      <c r="O1323" s="100"/>
    </row>
    <row r="1324" spans="2:15" x14ac:dyDescent="0.2">
      <c r="B1324" s="1">
        <v>1309</v>
      </c>
      <c r="C1324" s="101">
        <f t="shared" ca="1" si="80"/>
        <v>0.70681388344519536</v>
      </c>
      <c r="D1324" s="101">
        <f t="shared" ca="1" si="81"/>
        <v>0.71248523891331483</v>
      </c>
      <c r="E1324" s="101">
        <f t="shared" ca="1" si="82"/>
        <v>0</v>
      </c>
      <c r="F1324" s="21">
        <f t="shared" ca="1" si="83"/>
        <v>0</v>
      </c>
      <c r="H1324" s="21">
        <v>1309</v>
      </c>
      <c r="I1324" s="102">
        <v>0.66772156635710067</v>
      </c>
      <c r="J1324" s="103">
        <v>1.3157481796684687E-3</v>
      </c>
      <c r="K1324" s="103"/>
      <c r="L1324" s="103">
        <v>4.0800000000000003E-2</v>
      </c>
      <c r="O1324" s="100"/>
    </row>
    <row r="1325" spans="2:15" x14ac:dyDescent="0.2">
      <c r="B1325" s="1">
        <v>1310</v>
      </c>
      <c r="C1325" s="101">
        <f t="shared" ca="1" si="80"/>
        <v>1.5825133112459708</v>
      </c>
      <c r="D1325" s="101">
        <f t="shared" ca="1" si="81"/>
        <v>0.77676615569135865</v>
      </c>
      <c r="E1325" s="101">
        <f t="shared" ca="1" si="82"/>
        <v>0</v>
      </c>
      <c r="F1325" s="21">
        <f t="shared" ca="1" si="83"/>
        <v>0</v>
      </c>
      <c r="H1325" s="21">
        <v>1310</v>
      </c>
      <c r="I1325" s="102">
        <v>0.66771344457573922</v>
      </c>
      <c r="J1325" s="103">
        <v>1.2742395163699879E-3</v>
      </c>
      <c r="K1325" s="103"/>
      <c r="L1325" s="103">
        <v>3.78E-2</v>
      </c>
      <c r="O1325" s="100"/>
    </row>
    <row r="1326" spans="2:15" x14ac:dyDescent="0.2">
      <c r="B1326" s="1">
        <v>1311</v>
      </c>
      <c r="C1326" s="101">
        <f t="shared" ca="1" si="80"/>
        <v>-2.872790645130225</v>
      </c>
      <c r="D1326" s="101">
        <f t="shared" ca="1" si="81"/>
        <v>0.50052735779780932</v>
      </c>
      <c r="E1326" s="101">
        <f t="shared" ca="1" si="82"/>
        <v>0</v>
      </c>
      <c r="F1326" s="21">
        <f t="shared" ca="1" si="83"/>
        <v>0</v>
      </c>
      <c r="H1326" s="21">
        <v>1311</v>
      </c>
      <c r="I1326" s="102">
        <v>0.66769429715564388</v>
      </c>
      <c r="J1326" s="103">
        <v>1.2873834121728636E-3</v>
      </c>
      <c r="K1326" s="103"/>
      <c r="L1326" s="103">
        <v>4.02E-2</v>
      </c>
      <c r="O1326" s="100"/>
    </row>
    <row r="1327" spans="2:15" x14ac:dyDescent="0.2">
      <c r="B1327" s="1">
        <v>1312</v>
      </c>
      <c r="C1327" s="101">
        <f t="shared" ca="1" si="80"/>
        <v>1.4746665117672799</v>
      </c>
      <c r="D1327" s="101">
        <f t="shared" ca="1" si="81"/>
        <v>0.76854659778530254</v>
      </c>
      <c r="E1327" s="101">
        <f t="shared" ca="1" si="82"/>
        <v>0</v>
      </c>
      <c r="F1327" s="21">
        <f t="shared" ca="1" si="83"/>
        <v>0</v>
      </c>
      <c r="H1327" s="21">
        <v>1312</v>
      </c>
      <c r="I1327" s="102">
        <v>0.66761959812575911</v>
      </c>
      <c r="J1327" s="103">
        <v>1.2416682064689791E-3</v>
      </c>
      <c r="K1327" s="103"/>
      <c r="L1327" s="103">
        <v>3.6600000000000001E-2</v>
      </c>
      <c r="O1327" s="100"/>
    </row>
    <row r="1328" spans="2:15" x14ac:dyDescent="0.2">
      <c r="B1328" s="1">
        <v>1313</v>
      </c>
      <c r="C1328" s="101">
        <f t="shared" ca="1" si="80"/>
        <v>-1.2332022140618366E-2</v>
      </c>
      <c r="D1328" s="101">
        <f t="shared" ca="1" si="81"/>
        <v>0.66369432466937606</v>
      </c>
      <c r="E1328" s="101">
        <f t="shared" ca="1" si="82"/>
        <v>0</v>
      </c>
      <c r="F1328" s="21">
        <f t="shared" ca="1" si="83"/>
        <v>0</v>
      </c>
      <c r="H1328" s="21">
        <v>1313</v>
      </c>
      <c r="I1328" s="102">
        <v>0.66767171373848444</v>
      </c>
      <c r="J1328" s="103">
        <v>1.2825257389776946E-3</v>
      </c>
      <c r="K1328" s="103"/>
      <c r="L1328" s="103">
        <v>3.9399999999999998E-2</v>
      </c>
      <c r="O1328" s="100"/>
    </row>
    <row r="1329" spans="2:15" x14ac:dyDescent="0.2">
      <c r="B1329" s="1">
        <v>1314</v>
      </c>
      <c r="C1329" s="101">
        <f t="shared" ca="1" si="80"/>
        <v>-0.58786295976912228</v>
      </c>
      <c r="D1329" s="101">
        <f t="shared" ca="1" si="81"/>
        <v>0.62706521999874942</v>
      </c>
      <c r="E1329" s="101">
        <f t="shared" ca="1" si="82"/>
        <v>0</v>
      </c>
      <c r="F1329" s="21">
        <f t="shared" ca="1" si="83"/>
        <v>0</v>
      </c>
      <c r="H1329" s="21">
        <v>1314</v>
      </c>
      <c r="I1329" s="102">
        <v>0.66772056741670349</v>
      </c>
      <c r="J1329" s="103">
        <v>1.292918308165295E-3</v>
      </c>
      <c r="K1329" s="103"/>
      <c r="L1329" s="103">
        <v>4.2200000000000001E-2</v>
      </c>
      <c r="O1329" s="100"/>
    </row>
    <row r="1330" spans="2:15" x14ac:dyDescent="0.2">
      <c r="B1330" s="1">
        <v>1315</v>
      </c>
      <c r="C1330" s="101">
        <f t="shared" ca="1" si="80"/>
        <v>0.63601577957076572</v>
      </c>
      <c r="D1330" s="101">
        <f t="shared" ca="1" si="81"/>
        <v>0.70752684749416617</v>
      </c>
      <c r="E1330" s="101">
        <f t="shared" ca="1" si="82"/>
        <v>0</v>
      </c>
      <c r="F1330" s="21">
        <f t="shared" ca="1" si="83"/>
        <v>0</v>
      </c>
      <c r="H1330" s="21">
        <v>1315</v>
      </c>
      <c r="I1330" s="102">
        <v>0.66777203446965749</v>
      </c>
      <c r="J1330" s="103">
        <v>1.4175859160395099E-3</v>
      </c>
      <c r="K1330" s="103"/>
      <c r="L1330" s="103">
        <v>4.2000000000000003E-2</v>
      </c>
      <c r="O1330" s="100"/>
    </row>
    <row r="1331" spans="2:15" x14ac:dyDescent="0.2">
      <c r="B1331" s="1">
        <v>1316</v>
      </c>
      <c r="C1331" s="101">
        <f t="shared" ca="1" si="80"/>
        <v>-1.9201515646178569</v>
      </c>
      <c r="D1331" s="101">
        <f t="shared" ca="1" si="81"/>
        <v>0.54984248157714311</v>
      </c>
      <c r="E1331" s="101">
        <f t="shared" ca="1" si="82"/>
        <v>0</v>
      </c>
      <c r="F1331" s="21">
        <f t="shared" ca="1" si="83"/>
        <v>0</v>
      </c>
      <c r="H1331" s="21">
        <v>1316</v>
      </c>
      <c r="I1331" s="102">
        <v>0.66777817201356493</v>
      </c>
      <c r="J1331" s="103">
        <v>1.3321869195147091E-3</v>
      </c>
      <c r="K1331" s="103"/>
      <c r="L1331" s="103">
        <v>4.36E-2</v>
      </c>
      <c r="O1331" s="100"/>
    </row>
    <row r="1332" spans="2:15" x14ac:dyDescent="0.2">
      <c r="B1332" s="1">
        <v>1317</v>
      </c>
      <c r="C1332" s="101">
        <f t="shared" ca="1" si="80"/>
        <v>-0.92660927245180513</v>
      </c>
      <c r="D1332" s="101">
        <f t="shared" ca="1" si="81"/>
        <v>0.60645842014593976</v>
      </c>
      <c r="E1332" s="101">
        <f t="shared" ca="1" si="82"/>
        <v>0</v>
      </c>
      <c r="F1332" s="21">
        <f t="shared" ca="1" si="83"/>
        <v>0</v>
      </c>
      <c r="H1332" s="21">
        <v>1317</v>
      </c>
      <c r="I1332" s="102">
        <v>0.66786599893869036</v>
      </c>
      <c r="J1332" s="103">
        <v>1.6943507974365563E-3</v>
      </c>
      <c r="K1332" s="103"/>
      <c r="L1332" s="103">
        <v>4.4600000000000001E-2</v>
      </c>
      <c r="O1332" s="100"/>
    </row>
    <row r="1333" spans="2:15" x14ac:dyDescent="0.2">
      <c r="B1333" s="1">
        <v>1318</v>
      </c>
      <c r="C1333" s="101">
        <f t="shared" ca="1" si="80"/>
        <v>0.4893127015901918</v>
      </c>
      <c r="D1333" s="101">
        <f t="shared" ca="1" si="81"/>
        <v>0.69736196165993602</v>
      </c>
      <c r="E1333" s="101">
        <f t="shared" ca="1" si="82"/>
        <v>0</v>
      </c>
      <c r="F1333" s="21">
        <f t="shared" ca="1" si="83"/>
        <v>0</v>
      </c>
      <c r="H1333" s="21">
        <v>1318</v>
      </c>
      <c r="I1333" s="102">
        <v>0.66765125777240153</v>
      </c>
      <c r="J1333" s="103">
        <v>1.2634529759970197E-3</v>
      </c>
      <c r="K1333" s="103"/>
      <c r="L1333" s="103">
        <v>3.7999999999999999E-2</v>
      </c>
      <c r="O1333" s="100"/>
    </row>
    <row r="1334" spans="2:15" x14ac:dyDescent="0.2">
      <c r="B1334" s="1">
        <v>1319</v>
      </c>
      <c r="C1334" s="101">
        <f t="shared" ca="1" si="80"/>
        <v>0.86048940009798425</v>
      </c>
      <c r="D1334" s="101">
        <f t="shared" ca="1" si="81"/>
        <v>0.72336790475323276</v>
      </c>
      <c r="E1334" s="101">
        <f t="shared" ca="1" si="82"/>
        <v>0</v>
      </c>
      <c r="F1334" s="21">
        <f t="shared" ca="1" si="83"/>
        <v>0</v>
      </c>
      <c r="H1334" s="21">
        <v>1319</v>
      </c>
      <c r="I1334" s="102">
        <v>0.66772503747887757</v>
      </c>
      <c r="J1334" s="103">
        <v>1.4515985233138488E-3</v>
      </c>
      <c r="K1334" s="103"/>
      <c r="L1334" s="103">
        <v>3.7600000000000001E-2</v>
      </c>
      <c r="O1334" s="100"/>
    </row>
    <row r="1335" spans="2:15" x14ac:dyDescent="0.2">
      <c r="B1335" s="1">
        <v>1320</v>
      </c>
      <c r="C1335" s="101">
        <f t="shared" ca="1" si="80"/>
        <v>0.13130321638735248</v>
      </c>
      <c r="D1335" s="101">
        <f t="shared" ca="1" si="81"/>
        <v>0.67316472329587573</v>
      </c>
      <c r="E1335" s="101">
        <f t="shared" ca="1" si="82"/>
        <v>0</v>
      </c>
      <c r="F1335" s="21">
        <f t="shared" ca="1" si="83"/>
        <v>0</v>
      </c>
      <c r="H1335" s="21">
        <v>1320</v>
      </c>
      <c r="I1335" s="102">
        <v>0.6678411944230791</v>
      </c>
      <c r="J1335" s="103">
        <v>1.5689835881562996E-3</v>
      </c>
      <c r="K1335" s="103"/>
      <c r="L1335" s="103">
        <v>4.3400000000000001E-2</v>
      </c>
      <c r="O1335" s="100"/>
    </row>
    <row r="1336" spans="2:15" x14ac:dyDescent="0.2">
      <c r="B1336" s="1">
        <v>1321</v>
      </c>
      <c r="C1336" s="101">
        <f t="shared" ca="1" si="80"/>
        <v>-1.0278565960799741</v>
      </c>
      <c r="D1336" s="101">
        <f t="shared" ca="1" si="81"/>
        <v>0.60043176139147414</v>
      </c>
      <c r="E1336" s="101">
        <f t="shared" ca="1" si="82"/>
        <v>0</v>
      </c>
      <c r="F1336" s="21">
        <f t="shared" ca="1" si="83"/>
        <v>0</v>
      </c>
      <c r="H1336" s="21">
        <v>1321</v>
      </c>
      <c r="I1336" s="102">
        <v>0.66764873794344659</v>
      </c>
      <c r="J1336" s="103">
        <v>1.2955859056865875E-3</v>
      </c>
      <c r="K1336" s="103"/>
      <c r="L1336" s="103">
        <v>4.0800000000000003E-2</v>
      </c>
      <c r="O1336" s="100"/>
    </row>
    <row r="1337" spans="2:15" x14ac:dyDescent="0.2">
      <c r="B1337" s="1">
        <v>1322</v>
      </c>
      <c r="C1337" s="101">
        <f t="shared" ca="1" si="80"/>
        <v>-1.1866712218473678</v>
      </c>
      <c r="D1337" s="101">
        <f t="shared" ca="1" si="81"/>
        <v>0.5910988802676681</v>
      </c>
      <c r="E1337" s="101">
        <f t="shared" ca="1" si="82"/>
        <v>0</v>
      </c>
      <c r="F1337" s="21">
        <f t="shared" ca="1" si="83"/>
        <v>0</v>
      </c>
      <c r="H1337" s="21">
        <v>1322</v>
      </c>
      <c r="I1337" s="102">
        <v>0.66795480444436295</v>
      </c>
      <c r="J1337" s="103">
        <v>1.6551632484138618E-3</v>
      </c>
      <c r="K1337" s="103"/>
      <c r="L1337" s="103">
        <v>4.8599999999999997E-2</v>
      </c>
      <c r="O1337" s="100"/>
    </row>
    <row r="1338" spans="2:15" x14ac:dyDescent="0.2">
      <c r="B1338" s="1">
        <v>1323</v>
      </c>
      <c r="C1338" s="101">
        <f t="shared" ca="1" si="80"/>
        <v>-1.5470467931419183</v>
      </c>
      <c r="D1338" s="101">
        <f t="shared" ca="1" si="81"/>
        <v>0.57045562828157215</v>
      </c>
      <c r="E1338" s="101">
        <f t="shared" ca="1" si="82"/>
        <v>0</v>
      </c>
      <c r="F1338" s="21">
        <f t="shared" ca="1" si="83"/>
        <v>0</v>
      </c>
      <c r="H1338" s="21">
        <v>1323</v>
      </c>
      <c r="I1338" s="102">
        <v>0.66767926503108133</v>
      </c>
      <c r="J1338" s="103">
        <v>1.1646405923952693E-3</v>
      </c>
      <c r="K1338" s="103"/>
      <c r="L1338" s="103">
        <v>4.0599999999999997E-2</v>
      </c>
      <c r="O1338" s="100"/>
    </row>
    <row r="1339" spans="2:15" x14ac:dyDescent="0.2">
      <c r="B1339" s="1">
        <v>1324</v>
      </c>
      <c r="C1339" s="101">
        <f t="shared" ca="1" si="80"/>
        <v>-0.96309013467536586</v>
      </c>
      <c r="D1339" s="101">
        <f t="shared" ca="1" si="81"/>
        <v>0.60427998893459223</v>
      </c>
      <c r="E1339" s="101">
        <f t="shared" ca="1" si="82"/>
        <v>0</v>
      </c>
      <c r="F1339" s="21">
        <f t="shared" ca="1" si="83"/>
        <v>0</v>
      </c>
      <c r="H1339" s="21">
        <v>1324</v>
      </c>
      <c r="I1339" s="102">
        <v>0.6677920132070887</v>
      </c>
      <c r="J1339" s="103">
        <v>1.3724064078023041E-3</v>
      </c>
      <c r="K1339" s="103"/>
      <c r="L1339" s="103">
        <v>4.3999999999999997E-2</v>
      </c>
      <c r="O1339" s="100"/>
    </row>
    <row r="1340" spans="2:15" x14ac:dyDescent="0.2">
      <c r="B1340" s="1">
        <v>1325</v>
      </c>
      <c r="C1340" s="101">
        <f t="shared" ca="1" si="80"/>
        <v>-0.68283634943042415</v>
      </c>
      <c r="D1340" s="101">
        <f t="shared" ca="1" si="81"/>
        <v>0.6212181157090001</v>
      </c>
      <c r="E1340" s="101">
        <f t="shared" ca="1" si="82"/>
        <v>0</v>
      </c>
      <c r="F1340" s="21">
        <f t="shared" ca="1" si="83"/>
        <v>0</v>
      </c>
      <c r="H1340" s="21">
        <v>1325</v>
      </c>
      <c r="I1340" s="102">
        <v>0.66780885395728051</v>
      </c>
      <c r="J1340" s="103">
        <v>1.3701803585315572E-3</v>
      </c>
      <c r="K1340" s="103"/>
      <c r="L1340" s="103">
        <v>4.02E-2</v>
      </c>
      <c r="O1340" s="100"/>
    </row>
    <row r="1341" spans="2:15" x14ac:dyDescent="0.2">
      <c r="B1341" s="1">
        <v>1326</v>
      </c>
      <c r="C1341" s="101">
        <f t="shared" ca="1" si="80"/>
        <v>-4.8869098697510776E-3</v>
      </c>
      <c r="D1341" s="101">
        <f t="shared" ca="1" si="81"/>
        <v>0.66418191797862303</v>
      </c>
      <c r="E1341" s="101">
        <f t="shared" ca="1" si="82"/>
        <v>0</v>
      </c>
      <c r="F1341" s="21">
        <f t="shared" ca="1" si="83"/>
        <v>0</v>
      </c>
      <c r="H1341" s="21">
        <v>1326</v>
      </c>
      <c r="I1341" s="102">
        <v>0.66785466905325941</v>
      </c>
      <c r="J1341" s="103">
        <v>1.6160810091084272E-3</v>
      </c>
      <c r="K1341" s="103"/>
      <c r="L1341" s="103">
        <v>4.6199999999999998E-2</v>
      </c>
      <c r="O1341" s="100"/>
    </row>
    <row r="1342" spans="2:15" x14ac:dyDescent="0.2">
      <c r="B1342" s="1">
        <v>1327</v>
      </c>
      <c r="C1342" s="101">
        <f t="shared" ca="1" si="80"/>
        <v>-1.4041934874097135</v>
      </c>
      <c r="D1342" s="101">
        <f t="shared" ca="1" si="81"/>
        <v>0.57855095780640942</v>
      </c>
      <c r="E1342" s="101">
        <f t="shared" ca="1" si="82"/>
        <v>0</v>
      </c>
      <c r="F1342" s="21">
        <f t="shared" ca="1" si="83"/>
        <v>0</v>
      </c>
      <c r="H1342" s="21">
        <v>1327</v>
      </c>
      <c r="I1342" s="102">
        <v>0.667755643542007</v>
      </c>
      <c r="J1342" s="103">
        <v>1.4830843734959733E-3</v>
      </c>
      <c r="K1342" s="103"/>
      <c r="L1342" s="103">
        <v>4.2000000000000003E-2</v>
      </c>
      <c r="O1342" s="100"/>
    </row>
    <row r="1343" spans="2:15" x14ac:dyDescent="0.2">
      <c r="B1343" s="1">
        <v>1328</v>
      </c>
      <c r="C1343" s="101">
        <f t="shared" ca="1" si="80"/>
        <v>-2.1889601343423406</v>
      </c>
      <c r="D1343" s="101">
        <f t="shared" ca="1" si="81"/>
        <v>0.53545465390142499</v>
      </c>
      <c r="E1343" s="101">
        <f t="shared" ca="1" si="82"/>
        <v>0</v>
      </c>
      <c r="F1343" s="21">
        <f t="shared" ca="1" si="83"/>
        <v>0</v>
      </c>
      <c r="H1343" s="21">
        <v>1328</v>
      </c>
      <c r="I1343" s="102">
        <v>0.66789733156518372</v>
      </c>
      <c r="J1343" s="103">
        <v>1.6021951238685407E-3</v>
      </c>
      <c r="K1343" s="103"/>
      <c r="L1343" s="103">
        <v>4.5999999999999999E-2</v>
      </c>
      <c r="O1343" s="100"/>
    </row>
    <row r="1344" spans="2:15" x14ac:dyDescent="0.2">
      <c r="B1344" s="1">
        <v>1329</v>
      </c>
      <c r="C1344" s="101">
        <f t="shared" ca="1" si="80"/>
        <v>-0.27453145367208676</v>
      </c>
      <c r="D1344" s="101">
        <f t="shared" ca="1" si="81"/>
        <v>0.64674881545237428</v>
      </c>
      <c r="E1344" s="101">
        <f t="shared" ca="1" si="82"/>
        <v>0</v>
      </c>
      <c r="F1344" s="21">
        <f t="shared" ca="1" si="83"/>
        <v>0</v>
      </c>
      <c r="H1344" s="21">
        <v>1329</v>
      </c>
      <c r="I1344" s="102">
        <v>0.66773612354476264</v>
      </c>
      <c r="J1344" s="103">
        <v>1.3354473292686428E-3</v>
      </c>
      <c r="K1344" s="103"/>
      <c r="L1344" s="103">
        <v>4.0800000000000003E-2</v>
      </c>
      <c r="O1344" s="100"/>
    </row>
    <row r="1345" spans="2:15" x14ac:dyDescent="0.2">
      <c r="B1345" s="1">
        <v>1330</v>
      </c>
      <c r="C1345" s="101">
        <f t="shared" ca="1" si="80"/>
        <v>-1.1959797360995779</v>
      </c>
      <c r="D1345" s="101">
        <f t="shared" ca="1" si="81"/>
        <v>0.59055637990219056</v>
      </c>
      <c r="E1345" s="101">
        <f t="shared" ca="1" si="82"/>
        <v>0</v>
      </c>
      <c r="F1345" s="21">
        <f t="shared" ca="1" si="83"/>
        <v>0</v>
      </c>
      <c r="H1345" s="21">
        <v>1330</v>
      </c>
      <c r="I1345" s="102">
        <v>0.66770870431095464</v>
      </c>
      <c r="J1345" s="103">
        <v>1.4431392303911872E-3</v>
      </c>
      <c r="K1345" s="103"/>
      <c r="L1345" s="103">
        <v>4.5400000000000003E-2</v>
      </c>
      <c r="O1345" s="100"/>
    </row>
    <row r="1346" spans="2:15" x14ac:dyDescent="0.2">
      <c r="B1346" s="1">
        <v>1331</v>
      </c>
      <c r="C1346" s="101">
        <f t="shared" ca="1" si="80"/>
        <v>-1.1280036604889956</v>
      </c>
      <c r="D1346" s="101">
        <f t="shared" ca="1" si="81"/>
        <v>0.59452951373977647</v>
      </c>
      <c r="E1346" s="101">
        <f t="shared" ca="1" si="82"/>
        <v>0</v>
      </c>
      <c r="F1346" s="21">
        <f t="shared" ca="1" si="83"/>
        <v>0</v>
      </c>
      <c r="H1346" s="21">
        <v>1331</v>
      </c>
      <c r="I1346" s="102">
        <v>0.66779533614030395</v>
      </c>
      <c r="J1346" s="103">
        <v>1.4606366558735481E-3</v>
      </c>
      <c r="K1346" s="103"/>
      <c r="L1346" s="103">
        <v>4.4200000000000003E-2</v>
      </c>
      <c r="O1346" s="100"/>
    </row>
    <row r="1347" spans="2:15" x14ac:dyDescent="0.2">
      <c r="B1347" s="1">
        <v>1332</v>
      </c>
      <c r="C1347" s="101">
        <f t="shared" ca="1" si="80"/>
        <v>-1.499500678364359</v>
      </c>
      <c r="D1347" s="101">
        <f t="shared" ca="1" si="81"/>
        <v>0.57313735565856694</v>
      </c>
      <c r="E1347" s="101">
        <f t="shared" ca="1" si="82"/>
        <v>0</v>
      </c>
      <c r="F1347" s="21">
        <f t="shared" ca="1" si="83"/>
        <v>0</v>
      </c>
      <c r="H1347" s="21">
        <v>1332</v>
      </c>
      <c r="I1347" s="102">
        <v>0.66782453622331073</v>
      </c>
      <c r="J1347" s="103">
        <v>1.4405575178537673E-3</v>
      </c>
      <c r="K1347" s="103"/>
      <c r="L1347" s="103">
        <v>4.6199999999999998E-2</v>
      </c>
      <c r="O1347" s="100"/>
    </row>
    <row r="1348" spans="2:15" x14ac:dyDescent="0.2">
      <c r="B1348" s="1">
        <v>1333</v>
      </c>
      <c r="C1348" s="101">
        <f t="shared" ca="1" si="80"/>
        <v>-1.0368546545416781</v>
      </c>
      <c r="D1348" s="101">
        <f t="shared" ca="1" si="81"/>
        <v>0.59989906635873869</v>
      </c>
      <c r="E1348" s="101">
        <f t="shared" ca="1" si="82"/>
        <v>0</v>
      </c>
      <c r="F1348" s="21">
        <f t="shared" ca="1" si="83"/>
        <v>0</v>
      </c>
      <c r="H1348" s="21">
        <v>1333</v>
      </c>
      <c r="I1348" s="102">
        <v>0.66765545011907379</v>
      </c>
      <c r="J1348" s="103">
        <v>1.3495905020361179E-3</v>
      </c>
      <c r="K1348" s="103"/>
      <c r="L1348" s="103">
        <v>4.1000000000000002E-2</v>
      </c>
      <c r="O1348" s="100"/>
    </row>
    <row r="1349" spans="2:15" x14ac:dyDescent="0.2">
      <c r="B1349" s="1">
        <v>1334</v>
      </c>
      <c r="C1349" s="101">
        <f t="shared" ca="1" si="80"/>
        <v>1.3420087046532863</v>
      </c>
      <c r="D1349" s="101">
        <f t="shared" ca="1" si="81"/>
        <v>0.7585552626130595</v>
      </c>
      <c r="E1349" s="101">
        <f t="shared" ca="1" si="82"/>
        <v>0</v>
      </c>
      <c r="F1349" s="21">
        <f t="shared" ca="1" si="83"/>
        <v>0</v>
      </c>
      <c r="H1349" s="21">
        <v>1334</v>
      </c>
      <c r="I1349" s="102">
        <v>0.66776604958032526</v>
      </c>
      <c r="J1349" s="103">
        <v>1.3227249824630789E-3</v>
      </c>
      <c r="K1349" s="103"/>
      <c r="L1349" s="103">
        <v>3.9800000000000002E-2</v>
      </c>
      <c r="O1349" s="100"/>
    </row>
    <row r="1350" spans="2:15" x14ac:dyDescent="0.2">
      <c r="B1350" s="1">
        <v>1335</v>
      </c>
      <c r="C1350" s="101">
        <f t="shared" ca="1" si="80"/>
        <v>0.84135824440822216</v>
      </c>
      <c r="D1350" s="101">
        <f t="shared" ca="1" si="81"/>
        <v>0.72200410809096016</v>
      </c>
      <c r="E1350" s="101">
        <f t="shared" ca="1" si="82"/>
        <v>0</v>
      </c>
      <c r="F1350" s="21">
        <f t="shared" ca="1" si="83"/>
        <v>0</v>
      </c>
      <c r="H1350" s="21">
        <v>1335</v>
      </c>
      <c r="I1350" s="102">
        <v>0.66765052976415196</v>
      </c>
      <c r="J1350" s="103">
        <v>1.2583291757306604E-3</v>
      </c>
      <c r="K1350" s="103"/>
      <c r="L1350" s="103">
        <v>4.02E-2</v>
      </c>
      <c r="O1350" s="100"/>
    </row>
    <row r="1351" spans="2:15" x14ac:dyDescent="0.2">
      <c r="B1351" s="1">
        <v>1336</v>
      </c>
      <c r="C1351" s="101">
        <f t="shared" ca="1" si="80"/>
        <v>0.66127058321709864</v>
      </c>
      <c r="D1351" s="101">
        <f t="shared" ca="1" si="81"/>
        <v>0.70929161249995065</v>
      </c>
      <c r="E1351" s="101">
        <f t="shared" ca="1" si="82"/>
        <v>0</v>
      </c>
      <c r="F1351" s="21">
        <f t="shared" ca="1" si="83"/>
        <v>0</v>
      </c>
      <c r="H1351" s="21">
        <v>1336</v>
      </c>
      <c r="I1351" s="102">
        <v>0.66788445209236247</v>
      </c>
      <c r="J1351" s="103">
        <v>1.5925321257713942E-3</v>
      </c>
      <c r="K1351" s="103"/>
      <c r="L1351" s="103">
        <v>4.6800000000000001E-2</v>
      </c>
      <c r="O1351" s="100"/>
    </row>
    <row r="1352" spans="2:15" x14ac:dyDescent="0.2">
      <c r="B1352" s="1">
        <v>1337</v>
      </c>
      <c r="C1352" s="101">
        <f t="shared" ca="1" si="80"/>
        <v>0.30769767883418447</v>
      </c>
      <c r="D1352" s="101">
        <f t="shared" ca="1" si="81"/>
        <v>0.68498013857163942</v>
      </c>
      <c r="E1352" s="101">
        <f t="shared" ca="1" si="82"/>
        <v>0</v>
      </c>
      <c r="F1352" s="21">
        <f t="shared" ca="1" si="83"/>
        <v>0</v>
      </c>
      <c r="H1352" s="21">
        <v>1337</v>
      </c>
      <c r="I1352" s="102">
        <v>0.66784968128041711</v>
      </c>
      <c r="J1352" s="103">
        <v>1.4477649898404115E-3</v>
      </c>
      <c r="K1352" s="103"/>
      <c r="L1352" s="103">
        <v>4.5199999999999997E-2</v>
      </c>
      <c r="O1352" s="100"/>
    </row>
    <row r="1353" spans="2:15" x14ac:dyDescent="0.2">
      <c r="B1353" s="1">
        <v>1338</v>
      </c>
      <c r="C1353" s="101">
        <f t="shared" ca="1" si="80"/>
        <v>4.8131805043855579E-3</v>
      </c>
      <c r="D1353" s="101">
        <f t="shared" ca="1" si="81"/>
        <v>0.66481773114744425</v>
      </c>
      <c r="E1353" s="101">
        <f t="shared" ca="1" si="82"/>
        <v>0</v>
      </c>
      <c r="F1353" s="21">
        <f t="shared" ca="1" si="83"/>
        <v>0</v>
      </c>
      <c r="H1353" s="21">
        <v>1338</v>
      </c>
      <c r="I1353" s="102">
        <v>0.66768093058999423</v>
      </c>
      <c r="J1353" s="103">
        <v>1.2274554771622053E-3</v>
      </c>
      <c r="K1353" s="103"/>
      <c r="L1353" s="103">
        <v>4.02E-2</v>
      </c>
      <c r="O1353" s="100"/>
    </row>
    <row r="1354" spans="2:15" x14ac:dyDescent="0.2">
      <c r="B1354" s="1">
        <v>1339</v>
      </c>
      <c r="C1354" s="101">
        <f t="shared" ca="1" si="80"/>
        <v>-0.14530395688073375</v>
      </c>
      <c r="D1354" s="101">
        <f t="shared" ca="1" si="81"/>
        <v>0.65504580280354741</v>
      </c>
      <c r="E1354" s="101">
        <f t="shared" ca="1" si="82"/>
        <v>0</v>
      </c>
      <c r="F1354" s="21">
        <f t="shared" ca="1" si="83"/>
        <v>0</v>
      </c>
      <c r="H1354" s="21">
        <v>1339</v>
      </c>
      <c r="I1354" s="102">
        <v>0.66767032793825287</v>
      </c>
      <c r="J1354" s="103">
        <v>1.2628711373083013E-3</v>
      </c>
      <c r="K1354" s="103"/>
      <c r="L1354" s="103">
        <v>3.7199999999999997E-2</v>
      </c>
      <c r="O1354" s="100"/>
    </row>
    <row r="1355" spans="2:15" x14ac:dyDescent="0.2">
      <c r="B1355" s="1">
        <v>1340</v>
      </c>
      <c r="C1355" s="101">
        <f t="shared" ca="1" si="80"/>
        <v>1.8004355567124517</v>
      </c>
      <c r="D1355" s="101">
        <f t="shared" ca="1" si="81"/>
        <v>0.79364438759137612</v>
      </c>
      <c r="E1355" s="101">
        <f t="shared" ca="1" si="82"/>
        <v>5.4443875913761097E-3</v>
      </c>
      <c r="F1355" s="21">
        <f t="shared" ca="1" si="83"/>
        <v>1</v>
      </c>
      <c r="H1355" s="21">
        <v>1340</v>
      </c>
      <c r="I1355" s="102">
        <v>0.66766562209445912</v>
      </c>
      <c r="J1355" s="103">
        <v>1.2685847700092821E-3</v>
      </c>
      <c r="K1355" s="103"/>
      <c r="L1355" s="103">
        <v>4.1799999999999997E-2</v>
      </c>
      <c r="O1355" s="100"/>
    </row>
    <row r="1356" spans="2:15" x14ac:dyDescent="0.2">
      <c r="B1356" s="1">
        <v>1341</v>
      </c>
      <c r="C1356" s="101">
        <f t="shared" ca="1" si="80"/>
        <v>0.71670705608156748</v>
      </c>
      <c r="D1356" s="101">
        <f t="shared" ca="1" si="81"/>
        <v>0.71318087529166074</v>
      </c>
      <c r="E1356" s="101">
        <f t="shared" ca="1" si="82"/>
        <v>0</v>
      </c>
      <c r="F1356" s="21">
        <f t="shared" ca="1" si="83"/>
        <v>0</v>
      </c>
      <c r="H1356" s="21">
        <v>1341</v>
      </c>
      <c r="I1356" s="102">
        <v>0.66764762316056103</v>
      </c>
      <c r="J1356" s="103">
        <v>1.2660803794493421E-3</v>
      </c>
      <c r="K1356" s="103"/>
      <c r="L1356" s="103">
        <v>4.1399999999999999E-2</v>
      </c>
      <c r="O1356" s="100"/>
    </row>
    <row r="1357" spans="2:15" x14ac:dyDescent="0.2">
      <c r="B1357" s="1">
        <v>1342</v>
      </c>
      <c r="C1357" s="101">
        <f t="shared" ca="1" si="80"/>
        <v>0.926855900960595</v>
      </c>
      <c r="D1357" s="101">
        <f t="shared" ca="1" si="81"/>
        <v>0.72811895235828739</v>
      </c>
      <c r="E1357" s="101">
        <f t="shared" ca="1" si="82"/>
        <v>0</v>
      </c>
      <c r="F1357" s="21">
        <f t="shared" ca="1" si="83"/>
        <v>0</v>
      </c>
      <c r="H1357" s="21">
        <v>1342</v>
      </c>
      <c r="I1357" s="102">
        <v>0.66773106570823126</v>
      </c>
      <c r="J1357" s="103">
        <v>1.2900104806865429E-3</v>
      </c>
      <c r="K1357" s="103"/>
      <c r="L1357" s="103">
        <v>3.9600000000000003E-2</v>
      </c>
      <c r="O1357" s="100"/>
    </row>
    <row r="1358" spans="2:15" x14ac:dyDescent="0.2">
      <c r="B1358" s="1">
        <v>1343</v>
      </c>
      <c r="C1358" s="101">
        <f t="shared" ca="1" si="80"/>
        <v>-0.35839735621111934</v>
      </c>
      <c r="D1358" s="101">
        <f t="shared" ca="1" si="81"/>
        <v>0.64142056262181701</v>
      </c>
      <c r="E1358" s="101">
        <f t="shared" ca="1" si="82"/>
        <v>0</v>
      </c>
      <c r="F1358" s="21">
        <f t="shared" ca="1" si="83"/>
        <v>0</v>
      </c>
      <c r="H1358" s="21">
        <v>1343</v>
      </c>
      <c r="I1358" s="102">
        <v>0.66775532002137628</v>
      </c>
      <c r="J1358" s="103">
        <v>1.3319219094021224E-3</v>
      </c>
      <c r="K1358" s="103"/>
      <c r="L1358" s="103">
        <v>4.1799999999999997E-2</v>
      </c>
      <c r="O1358" s="100"/>
    </row>
    <row r="1359" spans="2:15" x14ac:dyDescent="0.2">
      <c r="B1359" s="1">
        <v>1344</v>
      </c>
      <c r="C1359" s="101">
        <f t="shared" ca="1" si="80"/>
        <v>-0.65540570443836077</v>
      </c>
      <c r="D1359" s="101">
        <f t="shared" ca="1" si="81"/>
        <v>0.62290128082069496</v>
      </c>
      <c r="E1359" s="101">
        <f t="shared" ca="1" si="82"/>
        <v>0</v>
      </c>
      <c r="F1359" s="21">
        <f t="shared" ca="1" si="83"/>
        <v>0</v>
      </c>
      <c r="H1359" s="21">
        <v>1344</v>
      </c>
      <c r="I1359" s="102">
        <v>0.66761098164830823</v>
      </c>
      <c r="J1359" s="103">
        <v>1.1324726034697117E-3</v>
      </c>
      <c r="K1359" s="103"/>
      <c r="L1359" s="103">
        <v>4.1599999999999998E-2</v>
      </c>
      <c r="O1359" s="100"/>
    </row>
    <row r="1360" spans="2:15" x14ac:dyDescent="0.2">
      <c r="B1360" s="1">
        <v>1345</v>
      </c>
      <c r="C1360" s="101">
        <f t="shared" ref="C1360:C1423" ca="1" si="84">_xlfn.NORM.S.INV(RAND())</f>
        <v>-0.58900696121211005</v>
      </c>
      <c r="D1360" s="101">
        <f t="shared" ref="D1360:D1423" ca="1" si="85">S0*EXP((μ-0.5*σ*σ)*T+σ*SQRT(T)*$C1360)</f>
        <v>0.62699446230285316</v>
      </c>
      <c r="E1360" s="101">
        <f t="shared" ref="E1360:E1423" ca="1" si="86">MAX(0,CP*(D1360-K))</f>
        <v>0</v>
      </c>
      <c r="F1360" s="21">
        <f t="shared" ref="F1360:F1423" ca="1" si="87">(CP*(D1360-K)&gt;0)*1</f>
        <v>0</v>
      </c>
      <c r="H1360" s="21">
        <v>1345</v>
      </c>
      <c r="I1360" s="102">
        <v>0.66792785280421008</v>
      </c>
      <c r="J1360" s="103">
        <v>1.5904718433628583E-3</v>
      </c>
      <c r="K1360" s="103"/>
      <c r="L1360" s="103">
        <v>4.6199999999999998E-2</v>
      </c>
      <c r="O1360" s="100"/>
    </row>
    <row r="1361" spans="2:15" x14ac:dyDescent="0.2">
      <c r="B1361" s="1">
        <v>1346</v>
      </c>
      <c r="C1361" s="101">
        <f t="shared" ca="1" si="84"/>
        <v>-1.7941312856502003</v>
      </c>
      <c r="D1361" s="101">
        <f t="shared" ca="1" si="85"/>
        <v>0.55672012633579504</v>
      </c>
      <c r="E1361" s="101">
        <f t="shared" ca="1" si="86"/>
        <v>0</v>
      </c>
      <c r="F1361" s="21">
        <f t="shared" ca="1" si="87"/>
        <v>0</v>
      </c>
      <c r="H1361" s="21">
        <v>1346</v>
      </c>
      <c r="I1361" s="102">
        <v>0.66775994164879449</v>
      </c>
      <c r="J1361" s="103">
        <v>1.3129666942004992E-3</v>
      </c>
      <c r="K1361" s="103"/>
      <c r="L1361" s="103">
        <v>4.2999999999999997E-2</v>
      </c>
      <c r="O1361" s="100"/>
    </row>
    <row r="1362" spans="2:15" x14ac:dyDescent="0.2">
      <c r="B1362" s="1">
        <v>1347</v>
      </c>
      <c r="C1362" s="101">
        <f t="shared" ca="1" si="84"/>
        <v>-1.1852877007142526</v>
      </c>
      <c r="D1362" s="101">
        <f t="shared" ca="1" si="85"/>
        <v>0.59117955443091141</v>
      </c>
      <c r="E1362" s="101">
        <f t="shared" ca="1" si="86"/>
        <v>0</v>
      </c>
      <c r="F1362" s="21">
        <f t="shared" ca="1" si="87"/>
        <v>0</v>
      </c>
      <c r="H1362" s="21">
        <v>1347</v>
      </c>
      <c r="I1362" s="102">
        <v>0.66767364423597342</v>
      </c>
      <c r="J1362" s="103">
        <v>1.2738154278001642E-3</v>
      </c>
      <c r="K1362" s="103"/>
      <c r="L1362" s="103">
        <v>4.1799999999999997E-2</v>
      </c>
      <c r="O1362" s="100"/>
    </row>
    <row r="1363" spans="2:15" x14ac:dyDescent="0.2">
      <c r="B1363" s="1">
        <v>1348</v>
      </c>
      <c r="C1363" s="101">
        <f t="shared" ca="1" si="84"/>
        <v>-0.28585148174533387</v>
      </c>
      <c r="D1363" s="101">
        <f t="shared" ca="1" si="85"/>
        <v>0.64602704417153389</v>
      </c>
      <c r="E1363" s="101">
        <f t="shared" ca="1" si="86"/>
        <v>0</v>
      </c>
      <c r="F1363" s="21">
        <f t="shared" ca="1" si="87"/>
        <v>0</v>
      </c>
      <c r="H1363" s="21">
        <v>1348</v>
      </c>
      <c r="I1363" s="102">
        <v>0.66780456786856346</v>
      </c>
      <c r="J1363" s="103">
        <v>1.4073627160632212E-3</v>
      </c>
      <c r="K1363" s="103"/>
      <c r="L1363" s="103">
        <v>4.2599999999999999E-2</v>
      </c>
      <c r="O1363" s="100"/>
    </row>
    <row r="1364" spans="2:15" x14ac:dyDescent="0.2">
      <c r="B1364" s="1">
        <v>1349</v>
      </c>
      <c r="C1364" s="101">
        <f t="shared" ca="1" si="84"/>
        <v>0.40918806065575825</v>
      </c>
      <c r="D1364" s="101">
        <f t="shared" ca="1" si="85"/>
        <v>0.69187201484840388</v>
      </c>
      <c r="E1364" s="101">
        <f t="shared" ca="1" si="86"/>
        <v>0</v>
      </c>
      <c r="F1364" s="21">
        <f t="shared" ca="1" si="87"/>
        <v>0</v>
      </c>
      <c r="H1364" s="21">
        <v>1349</v>
      </c>
      <c r="I1364" s="102">
        <v>0.66786410036032684</v>
      </c>
      <c r="J1364" s="103">
        <v>1.5184589365421048E-3</v>
      </c>
      <c r="K1364" s="103"/>
      <c r="L1364" s="103">
        <v>4.4999999999999998E-2</v>
      </c>
      <c r="O1364" s="100"/>
    </row>
    <row r="1365" spans="2:15" x14ac:dyDescent="0.2">
      <c r="B1365" s="1">
        <v>1350</v>
      </c>
      <c r="C1365" s="101">
        <f t="shared" ca="1" si="84"/>
        <v>-0.53311136026090888</v>
      </c>
      <c r="D1365" s="101">
        <f t="shared" ca="1" si="85"/>
        <v>0.6304610169604401</v>
      </c>
      <c r="E1365" s="101">
        <f t="shared" ca="1" si="86"/>
        <v>0</v>
      </c>
      <c r="F1365" s="21">
        <f t="shared" ca="1" si="87"/>
        <v>0</v>
      </c>
      <c r="H1365" s="21">
        <v>1350</v>
      </c>
      <c r="I1365" s="102">
        <v>0.66764608689045357</v>
      </c>
      <c r="J1365" s="103">
        <v>1.278493239251494E-3</v>
      </c>
      <c r="K1365" s="103"/>
      <c r="L1365" s="103">
        <v>3.6799999999999999E-2</v>
      </c>
      <c r="O1365" s="100"/>
    </row>
    <row r="1366" spans="2:15" x14ac:dyDescent="0.2">
      <c r="B1366" s="1">
        <v>1351</v>
      </c>
      <c r="C1366" s="101">
        <f t="shared" ca="1" si="84"/>
        <v>1.3078098840089848E-2</v>
      </c>
      <c r="D1366" s="101">
        <f t="shared" ca="1" si="85"/>
        <v>0.66535995311088747</v>
      </c>
      <c r="E1366" s="101">
        <f t="shared" ca="1" si="86"/>
        <v>0</v>
      </c>
      <c r="F1366" s="21">
        <f t="shared" ca="1" si="87"/>
        <v>0</v>
      </c>
      <c r="H1366" s="21">
        <v>1351</v>
      </c>
      <c r="I1366" s="102">
        <v>0.66756343066874702</v>
      </c>
      <c r="J1366" s="103">
        <v>1.24480915086718E-3</v>
      </c>
      <c r="K1366" s="103"/>
      <c r="L1366" s="103">
        <v>3.8199999999999998E-2</v>
      </c>
      <c r="O1366" s="100"/>
    </row>
    <row r="1367" spans="2:15" x14ac:dyDescent="0.2">
      <c r="B1367" s="1">
        <v>1352</v>
      </c>
      <c r="C1367" s="101">
        <f t="shared" ca="1" si="84"/>
        <v>6.4433170793780373E-2</v>
      </c>
      <c r="D1367" s="101">
        <f t="shared" ca="1" si="85"/>
        <v>0.66873904012043695</v>
      </c>
      <c r="E1367" s="101">
        <f t="shared" ca="1" si="86"/>
        <v>0</v>
      </c>
      <c r="F1367" s="21">
        <f t="shared" ca="1" si="87"/>
        <v>0</v>
      </c>
      <c r="H1367" s="21">
        <v>1352</v>
      </c>
      <c r="I1367" s="102">
        <v>0.66768513267152307</v>
      </c>
      <c r="J1367" s="103">
        <v>1.3986478580127195E-3</v>
      </c>
      <c r="K1367" s="103"/>
      <c r="L1367" s="103">
        <v>4.0399999999999998E-2</v>
      </c>
      <c r="O1367" s="100"/>
    </row>
    <row r="1368" spans="2:15" x14ac:dyDescent="0.2">
      <c r="B1368" s="1">
        <v>1353</v>
      </c>
      <c r="C1368" s="101">
        <f t="shared" ca="1" si="84"/>
        <v>-0.24133482048723021</v>
      </c>
      <c r="D1368" s="101">
        <f t="shared" ca="1" si="85"/>
        <v>0.64887010444265214</v>
      </c>
      <c r="E1368" s="101">
        <f t="shared" ca="1" si="86"/>
        <v>0</v>
      </c>
      <c r="F1368" s="21">
        <f t="shared" ca="1" si="87"/>
        <v>0</v>
      </c>
      <c r="H1368" s="21">
        <v>1353</v>
      </c>
      <c r="I1368" s="102">
        <v>0.66774712679029002</v>
      </c>
      <c r="J1368" s="103">
        <v>1.4454778838424054E-3</v>
      </c>
      <c r="K1368" s="103"/>
      <c r="L1368" s="103">
        <v>3.9800000000000002E-2</v>
      </c>
      <c r="O1368" s="100"/>
    </row>
    <row r="1369" spans="2:15" x14ac:dyDescent="0.2">
      <c r="B1369" s="1">
        <v>1354</v>
      </c>
      <c r="C1369" s="101">
        <f t="shared" ca="1" si="84"/>
        <v>-0.43718333164762296</v>
      </c>
      <c r="D1369" s="101">
        <f t="shared" ca="1" si="85"/>
        <v>0.6364550485498538</v>
      </c>
      <c r="E1369" s="101">
        <f t="shared" ca="1" si="86"/>
        <v>0</v>
      </c>
      <c r="F1369" s="21">
        <f t="shared" ca="1" si="87"/>
        <v>0</v>
      </c>
      <c r="H1369" s="21">
        <v>1354</v>
      </c>
      <c r="I1369" s="102">
        <v>0.6678344779295885</v>
      </c>
      <c r="J1369" s="103">
        <v>1.5097396137043412E-3</v>
      </c>
      <c r="K1369" s="103"/>
      <c r="L1369" s="103">
        <v>4.6399999999999997E-2</v>
      </c>
      <c r="O1369" s="100"/>
    </row>
    <row r="1370" spans="2:15" x14ac:dyDescent="0.2">
      <c r="B1370" s="1">
        <v>1355</v>
      </c>
      <c r="C1370" s="101">
        <f t="shared" ca="1" si="84"/>
        <v>-1.6744537760284537</v>
      </c>
      <c r="D1370" s="101">
        <f t="shared" ca="1" si="85"/>
        <v>0.5633312357260466</v>
      </c>
      <c r="E1370" s="101">
        <f t="shared" ca="1" si="86"/>
        <v>0</v>
      </c>
      <c r="F1370" s="21">
        <f t="shared" ca="1" si="87"/>
        <v>0</v>
      </c>
      <c r="H1370" s="21">
        <v>1355</v>
      </c>
      <c r="I1370" s="102">
        <v>0.66760644511314304</v>
      </c>
      <c r="J1370" s="103">
        <v>1.1605998688957258E-3</v>
      </c>
      <c r="K1370" s="103"/>
      <c r="L1370" s="103">
        <v>3.78E-2</v>
      </c>
      <c r="O1370" s="100"/>
    </row>
    <row r="1371" spans="2:15" x14ac:dyDescent="0.2">
      <c r="B1371" s="1">
        <v>1356</v>
      </c>
      <c r="C1371" s="101">
        <f t="shared" ca="1" si="84"/>
        <v>-1.45544740721596</v>
      </c>
      <c r="D1371" s="101">
        <f t="shared" ca="1" si="85"/>
        <v>0.57563332776537135</v>
      </c>
      <c r="E1371" s="101">
        <f t="shared" ca="1" si="86"/>
        <v>0</v>
      </c>
      <c r="F1371" s="21">
        <f t="shared" ca="1" si="87"/>
        <v>0</v>
      </c>
      <c r="H1371" s="21">
        <v>1356</v>
      </c>
      <c r="I1371" s="102">
        <v>0.66767558986223963</v>
      </c>
      <c r="J1371" s="103">
        <v>1.2932826694161304E-3</v>
      </c>
      <c r="K1371" s="103"/>
      <c r="L1371" s="103">
        <v>3.9199999999999999E-2</v>
      </c>
      <c r="O1371" s="100"/>
    </row>
    <row r="1372" spans="2:15" x14ac:dyDescent="0.2">
      <c r="B1372" s="1">
        <v>1357</v>
      </c>
      <c r="C1372" s="101">
        <f t="shared" ca="1" si="84"/>
        <v>-0.6641530144575537</v>
      </c>
      <c r="D1372" s="101">
        <f t="shared" ca="1" si="85"/>
        <v>0.62236404459141148</v>
      </c>
      <c r="E1372" s="101">
        <f t="shared" ca="1" si="86"/>
        <v>0</v>
      </c>
      <c r="F1372" s="21">
        <f t="shared" ca="1" si="87"/>
        <v>0</v>
      </c>
      <c r="H1372" s="21">
        <v>1357</v>
      </c>
      <c r="I1372" s="102">
        <v>0.66786684988336065</v>
      </c>
      <c r="J1372" s="103">
        <v>1.5180209018324023E-3</v>
      </c>
      <c r="K1372" s="103"/>
      <c r="L1372" s="103">
        <v>4.4999999999999998E-2</v>
      </c>
      <c r="O1372" s="100"/>
    </row>
    <row r="1373" spans="2:15" x14ac:dyDescent="0.2">
      <c r="B1373" s="1">
        <v>1358</v>
      </c>
      <c r="C1373" s="101">
        <f t="shared" ca="1" si="84"/>
        <v>0.17656274382635656</v>
      </c>
      <c r="D1373" s="101">
        <f t="shared" ca="1" si="85"/>
        <v>0.67617675868777605</v>
      </c>
      <c r="E1373" s="101">
        <f t="shared" ca="1" si="86"/>
        <v>0</v>
      </c>
      <c r="F1373" s="21">
        <f t="shared" ca="1" si="87"/>
        <v>0</v>
      </c>
      <c r="H1373" s="21">
        <v>1358</v>
      </c>
      <c r="I1373" s="102">
        <v>0.66784931076557363</v>
      </c>
      <c r="J1373" s="103">
        <v>1.5347304573696779E-3</v>
      </c>
      <c r="K1373" s="103"/>
      <c r="L1373" s="103">
        <v>0.04</v>
      </c>
      <c r="O1373" s="100"/>
    </row>
    <row r="1374" spans="2:15" x14ac:dyDescent="0.2">
      <c r="B1374" s="1">
        <v>1359</v>
      </c>
      <c r="C1374" s="101">
        <f t="shared" ca="1" si="84"/>
        <v>-1.2789923066331486</v>
      </c>
      <c r="D1374" s="101">
        <f t="shared" ca="1" si="85"/>
        <v>0.58574037147468649</v>
      </c>
      <c r="E1374" s="101">
        <f t="shared" ca="1" si="86"/>
        <v>0</v>
      </c>
      <c r="F1374" s="21">
        <f t="shared" ca="1" si="87"/>
        <v>0</v>
      </c>
      <c r="H1374" s="21">
        <v>1359</v>
      </c>
      <c r="I1374" s="102">
        <v>0.66776063179083089</v>
      </c>
      <c r="J1374" s="103">
        <v>1.4180966902273562E-3</v>
      </c>
      <c r="K1374" s="103"/>
      <c r="L1374" s="103">
        <v>3.9199999999999999E-2</v>
      </c>
      <c r="O1374" s="100"/>
    </row>
    <row r="1375" spans="2:15" x14ac:dyDescent="0.2">
      <c r="B1375" s="1">
        <v>1360</v>
      </c>
      <c r="C1375" s="101">
        <f t="shared" ca="1" si="84"/>
        <v>-0.55603052904853767</v>
      </c>
      <c r="D1375" s="101">
        <f t="shared" ca="1" si="85"/>
        <v>0.62903729503659533</v>
      </c>
      <c r="E1375" s="101">
        <f t="shared" ca="1" si="86"/>
        <v>0</v>
      </c>
      <c r="F1375" s="21">
        <f t="shared" ca="1" si="87"/>
        <v>0</v>
      </c>
      <c r="H1375" s="21">
        <v>1360</v>
      </c>
      <c r="I1375" s="102">
        <v>0.66772918831877937</v>
      </c>
      <c r="J1375" s="103">
        <v>1.3587991236774549E-3</v>
      </c>
      <c r="K1375" s="103"/>
      <c r="L1375" s="103">
        <v>4.2799999999999998E-2</v>
      </c>
      <c r="O1375" s="100"/>
    </row>
    <row r="1376" spans="2:15" x14ac:dyDescent="0.2">
      <c r="B1376" s="1">
        <v>1361</v>
      </c>
      <c r="C1376" s="101">
        <f t="shared" ca="1" si="84"/>
        <v>-0.11114898217209065</v>
      </c>
      <c r="D1376" s="101">
        <f t="shared" ca="1" si="85"/>
        <v>0.65725643418795077</v>
      </c>
      <c r="E1376" s="101">
        <f t="shared" ca="1" si="86"/>
        <v>0</v>
      </c>
      <c r="F1376" s="21">
        <f t="shared" ca="1" si="87"/>
        <v>0</v>
      </c>
      <c r="H1376" s="21">
        <v>1361</v>
      </c>
      <c r="I1376" s="102">
        <v>0.66776602483387271</v>
      </c>
      <c r="J1376" s="103">
        <v>1.495817053242335E-3</v>
      </c>
      <c r="K1376" s="103"/>
      <c r="L1376" s="103">
        <v>4.2200000000000001E-2</v>
      </c>
      <c r="O1376" s="100"/>
    </row>
    <row r="1377" spans="2:15" x14ac:dyDescent="0.2">
      <c r="B1377" s="1">
        <v>1362</v>
      </c>
      <c r="C1377" s="101">
        <f t="shared" ca="1" si="84"/>
        <v>-1.4566633580696686</v>
      </c>
      <c r="D1377" s="101">
        <f t="shared" ca="1" si="85"/>
        <v>0.57556428871513587</v>
      </c>
      <c r="E1377" s="101">
        <f t="shared" ca="1" si="86"/>
        <v>0</v>
      </c>
      <c r="F1377" s="21">
        <f t="shared" ca="1" si="87"/>
        <v>0</v>
      </c>
      <c r="H1377" s="21">
        <v>1362</v>
      </c>
      <c r="I1377" s="102">
        <v>0.66782784127491879</v>
      </c>
      <c r="J1377" s="103">
        <v>1.4630756910961533E-3</v>
      </c>
      <c r="K1377" s="103"/>
      <c r="L1377" s="103">
        <v>4.5999999999999999E-2</v>
      </c>
      <c r="O1377" s="100"/>
    </row>
    <row r="1378" spans="2:15" x14ac:dyDescent="0.2">
      <c r="B1378" s="1">
        <v>1363</v>
      </c>
      <c r="C1378" s="101">
        <f t="shared" ca="1" si="84"/>
        <v>0.20825034771415565</v>
      </c>
      <c r="D1378" s="101">
        <f t="shared" ca="1" si="85"/>
        <v>0.67829359587320515</v>
      </c>
      <c r="E1378" s="101">
        <f t="shared" ca="1" si="86"/>
        <v>0</v>
      </c>
      <c r="F1378" s="21">
        <f t="shared" ca="1" si="87"/>
        <v>0</v>
      </c>
      <c r="H1378" s="21">
        <v>1363</v>
      </c>
      <c r="I1378" s="102">
        <v>0.66791799446026612</v>
      </c>
      <c r="J1378" s="103">
        <v>1.5350275040301366E-3</v>
      </c>
      <c r="K1378" s="103"/>
      <c r="L1378" s="103">
        <v>4.5199999999999997E-2</v>
      </c>
      <c r="O1378" s="100"/>
    </row>
    <row r="1379" spans="2:15" x14ac:dyDescent="0.2">
      <c r="B1379" s="1">
        <v>1364</v>
      </c>
      <c r="C1379" s="101">
        <f t="shared" ca="1" si="84"/>
        <v>1.0267131095866335</v>
      </c>
      <c r="D1379" s="101">
        <f t="shared" ca="1" si="85"/>
        <v>0.73532639714789594</v>
      </c>
      <c r="E1379" s="101">
        <f t="shared" ca="1" si="86"/>
        <v>0</v>
      </c>
      <c r="F1379" s="21">
        <f t="shared" ca="1" si="87"/>
        <v>0</v>
      </c>
      <c r="H1379" s="21">
        <v>1364</v>
      </c>
      <c r="I1379" s="102">
        <v>0.66773293585116966</v>
      </c>
      <c r="J1379" s="103">
        <v>1.3207168333352714E-3</v>
      </c>
      <c r="K1379" s="103"/>
      <c r="L1379" s="103">
        <v>4.0599999999999997E-2</v>
      </c>
      <c r="O1379" s="100"/>
    </row>
    <row r="1380" spans="2:15" x14ac:dyDescent="0.2">
      <c r="B1380" s="1">
        <v>1365</v>
      </c>
      <c r="C1380" s="101">
        <f t="shared" ca="1" si="84"/>
        <v>0.77246292761623803</v>
      </c>
      <c r="D1380" s="101">
        <f t="shared" ca="1" si="85"/>
        <v>0.71711405707427744</v>
      </c>
      <c r="E1380" s="101">
        <f t="shared" ca="1" si="86"/>
        <v>0</v>
      </c>
      <c r="F1380" s="21">
        <f t="shared" ca="1" si="87"/>
        <v>0</v>
      </c>
      <c r="H1380" s="21">
        <v>1365</v>
      </c>
      <c r="I1380" s="102">
        <v>0.6677637148476504</v>
      </c>
      <c r="J1380" s="103">
        <v>1.5774730261840816E-3</v>
      </c>
      <c r="K1380" s="103"/>
      <c r="L1380" s="103">
        <v>3.9199999999999999E-2</v>
      </c>
      <c r="O1380" s="100"/>
    </row>
    <row r="1381" spans="2:15" x14ac:dyDescent="0.2">
      <c r="B1381" s="1">
        <v>1366</v>
      </c>
      <c r="C1381" s="101">
        <f t="shared" ca="1" si="84"/>
        <v>0.93737364233972365</v>
      </c>
      <c r="D1381" s="101">
        <f t="shared" ca="1" si="85"/>
        <v>0.72887475608707297</v>
      </c>
      <c r="E1381" s="101">
        <f t="shared" ca="1" si="86"/>
        <v>0</v>
      </c>
      <c r="F1381" s="21">
        <f t="shared" ca="1" si="87"/>
        <v>0</v>
      </c>
      <c r="H1381" s="21">
        <v>1366</v>
      </c>
      <c r="I1381" s="102">
        <v>0.6676798794902622</v>
      </c>
      <c r="J1381" s="103">
        <v>1.2533612632735802E-3</v>
      </c>
      <c r="K1381" s="103"/>
      <c r="L1381" s="103">
        <v>3.78E-2</v>
      </c>
      <c r="O1381" s="100"/>
    </row>
    <row r="1382" spans="2:15" x14ac:dyDescent="0.2">
      <c r="B1382" s="1">
        <v>1367</v>
      </c>
      <c r="C1382" s="101">
        <f t="shared" ca="1" si="84"/>
        <v>1.1643986481398638</v>
      </c>
      <c r="D1382" s="101">
        <f t="shared" ca="1" si="85"/>
        <v>0.74538134690274194</v>
      </c>
      <c r="E1382" s="101">
        <f t="shared" ca="1" si="86"/>
        <v>0</v>
      </c>
      <c r="F1382" s="21">
        <f t="shared" ca="1" si="87"/>
        <v>0</v>
      </c>
      <c r="H1382" s="21">
        <v>1367</v>
      </c>
      <c r="I1382" s="102">
        <v>0.66772950651794816</v>
      </c>
      <c r="J1382" s="103">
        <v>1.3235856443100202E-3</v>
      </c>
      <c r="K1382" s="103"/>
      <c r="L1382" s="103">
        <v>4.1000000000000002E-2</v>
      </c>
      <c r="O1382" s="100"/>
    </row>
    <row r="1383" spans="2:15" x14ac:dyDescent="0.2">
      <c r="B1383" s="1">
        <v>1368</v>
      </c>
      <c r="C1383" s="101">
        <f t="shared" ca="1" si="84"/>
        <v>-1.4787975188091302</v>
      </c>
      <c r="D1383" s="101">
        <f t="shared" ca="1" si="85"/>
        <v>0.57430900533303342</v>
      </c>
      <c r="E1383" s="101">
        <f t="shared" ca="1" si="86"/>
        <v>0</v>
      </c>
      <c r="F1383" s="21">
        <f t="shared" ca="1" si="87"/>
        <v>0</v>
      </c>
      <c r="H1383" s="21">
        <v>1368</v>
      </c>
      <c r="I1383" s="102">
        <v>0.66766956213115314</v>
      </c>
      <c r="J1383" s="103">
        <v>1.2886737824041928E-3</v>
      </c>
      <c r="K1383" s="103"/>
      <c r="L1383" s="103">
        <v>3.8800000000000001E-2</v>
      </c>
      <c r="O1383" s="100"/>
    </row>
    <row r="1384" spans="2:15" x14ac:dyDescent="0.2">
      <c r="B1384" s="1">
        <v>1369</v>
      </c>
      <c r="C1384" s="101">
        <f t="shared" ca="1" si="84"/>
        <v>-0.47837377872887721</v>
      </c>
      <c r="D1384" s="101">
        <f t="shared" ca="1" si="85"/>
        <v>0.63387432696440216</v>
      </c>
      <c r="E1384" s="101">
        <f t="shared" ca="1" si="86"/>
        <v>0</v>
      </c>
      <c r="F1384" s="21">
        <f t="shared" ca="1" si="87"/>
        <v>0</v>
      </c>
      <c r="H1384" s="21">
        <v>1369</v>
      </c>
      <c r="I1384" s="102">
        <v>0.6676478259940074</v>
      </c>
      <c r="J1384" s="103">
        <v>1.214886670429972E-3</v>
      </c>
      <c r="K1384" s="103"/>
      <c r="L1384" s="103">
        <v>0.04</v>
      </c>
      <c r="O1384" s="100"/>
    </row>
    <row r="1385" spans="2:15" x14ac:dyDescent="0.2">
      <c r="B1385" s="1">
        <v>1370</v>
      </c>
      <c r="C1385" s="101">
        <f t="shared" ca="1" si="84"/>
        <v>-1.5309158449196234</v>
      </c>
      <c r="D1385" s="101">
        <f t="shared" ca="1" si="85"/>
        <v>0.57136404733146906</v>
      </c>
      <c r="E1385" s="101">
        <f t="shared" ca="1" si="86"/>
        <v>0</v>
      </c>
      <c r="F1385" s="21">
        <f t="shared" ca="1" si="87"/>
        <v>0</v>
      </c>
      <c r="H1385" s="21">
        <v>1370</v>
      </c>
      <c r="I1385" s="102">
        <v>0.66777642138170246</v>
      </c>
      <c r="J1385" s="103">
        <v>1.5772527869108775E-3</v>
      </c>
      <c r="K1385" s="103"/>
      <c r="L1385" s="103">
        <v>4.3999999999999997E-2</v>
      </c>
      <c r="O1385" s="100"/>
    </row>
    <row r="1386" spans="2:15" x14ac:dyDescent="0.2">
      <c r="B1386" s="1">
        <v>1371</v>
      </c>
      <c r="C1386" s="101">
        <f t="shared" ca="1" si="84"/>
        <v>-1.4470996325444607</v>
      </c>
      <c r="D1386" s="101">
        <f t="shared" ca="1" si="85"/>
        <v>0.57610751992398113</v>
      </c>
      <c r="E1386" s="101">
        <f t="shared" ca="1" si="86"/>
        <v>0</v>
      </c>
      <c r="F1386" s="21">
        <f t="shared" ca="1" si="87"/>
        <v>0</v>
      </c>
      <c r="H1386" s="21">
        <v>1371</v>
      </c>
      <c r="I1386" s="102">
        <v>0.66773310561474819</v>
      </c>
      <c r="J1386" s="103">
        <v>1.2480800382436283E-3</v>
      </c>
      <c r="K1386" s="103"/>
      <c r="L1386" s="103">
        <v>4.24E-2</v>
      </c>
      <c r="O1386" s="100"/>
    </row>
    <row r="1387" spans="2:15" x14ac:dyDescent="0.2">
      <c r="B1387" s="1">
        <v>1372</v>
      </c>
      <c r="C1387" s="101">
        <f t="shared" ca="1" si="84"/>
        <v>-0.47486717696031855</v>
      </c>
      <c r="D1387" s="101">
        <f t="shared" ca="1" si="85"/>
        <v>0.63409361938584552</v>
      </c>
      <c r="E1387" s="101">
        <f t="shared" ca="1" si="86"/>
        <v>0</v>
      </c>
      <c r="F1387" s="21">
        <f t="shared" ca="1" si="87"/>
        <v>0</v>
      </c>
      <c r="H1387" s="21">
        <v>1372</v>
      </c>
      <c r="I1387" s="102">
        <v>0.66778602649647256</v>
      </c>
      <c r="J1387" s="103">
        <v>1.3219431303831204E-3</v>
      </c>
      <c r="K1387" s="103"/>
      <c r="L1387" s="103">
        <v>4.1399999999999999E-2</v>
      </c>
      <c r="O1387" s="100"/>
    </row>
    <row r="1388" spans="2:15" x14ac:dyDescent="0.2">
      <c r="B1388" s="1">
        <v>1373</v>
      </c>
      <c r="C1388" s="101">
        <f t="shared" ca="1" si="84"/>
        <v>0.41543788681852878</v>
      </c>
      <c r="D1388" s="101">
        <f t="shared" ca="1" si="85"/>
        <v>0.69229867931845601</v>
      </c>
      <c r="E1388" s="101">
        <f t="shared" ca="1" si="86"/>
        <v>0</v>
      </c>
      <c r="F1388" s="21">
        <f t="shared" ca="1" si="87"/>
        <v>0</v>
      </c>
      <c r="H1388" s="21">
        <v>1373</v>
      </c>
      <c r="I1388" s="102">
        <v>0.66777433491886917</v>
      </c>
      <c r="J1388" s="103">
        <v>1.4936806476450206E-3</v>
      </c>
      <c r="K1388" s="103"/>
      <c r="L1388" s="103">
        <v>4.3799999999999999E-2</v>
      </c>
      <c r="O1388" s="100"/>
    </row>
    <row r="1389" spans="2:15" x14ac:dyDescent="0.2">
      <c r="B1389" s="1">
        <v>1374</v>
      </c>
      <c r="C1389" s="101">
        <f t="shared" ca="1" si="84"/>
        <v>0.80230841771821337</v>
      </c>
      <c r="D1389" s="101">
        <f t="shared" ca="1" si="85"/>
        <v>0.71922835064622392</v>
      </c>
      <c r="E1389" s="101">
        <f t="shared" ca="1" si="86"/>
        <v>0</v>
      </c>
      <c r="F1389" s="21">
        <f t="shared" ca="1" si="87"/>
        <v>0</v>
      </c>
      <c r="H1389" s="21">
        <v>1374</v>
      </c>
      <c r="I1389" s="102">
        <v>0.66767453199593274</v>
      </c>
      <c r="J1389" s="103">
        <v>1.376446992027513E-3</v>
      </c>
      <c r="K1389" s="103"/>
      <c r="L1389" s="103">
        <v>3.9800000000000002E-2</v>
      </c>
      <c r="O1389" s="100"/>
    </row>
    <row r="1390" spans="2:15" x14ac:dyDescent="0.2">
      <c r="B1390" s="1">
        <v>1375</v>
      </c>
      <c r="C1390" s="101">
        <f t="shared" ca="1" si="84"/>
        <v>-1.2915951969115966</v>
      </c>
      <c r="D1390" s="101">
        <f t="shared" ca="1" si="85"/>
        <v>0.58501265150595005</v>
      </c>
      <c r="E1390" s="101">
        <f t="shared" ca="1" si="86"/>
        <v>0</v>
      </c>
      <c r="F1390" s="21">
        <f t="shared" ca="1" si="87"/>
        <v>0</v>
      </c>
      <c r="H1390" s="21">
        <v>1375</v>
      </c>
      <c r="I1390" s="102">
        <v>0.66769402284552437</v>
      </c>
      <c r="J1390" s="103">
        <v>1.2568050191135108E-3</v>
      </c>
      <c r="K1390" s="103"/>
      <c r="L1390" s="103">
        <v>3.8399999999999997E-2</v>
      </c>
      <c r="O1390" s="100"/>
    </row>
    <row r="1391" spans="2:15" x14ac:dyDescent="0.2">
      <c r="B1391" s="1">
        <v>1376</v>
      </c>
      <c r="C1391" s="101">
        <f t="shared" ca="1" si="84"/>
        <v>0.73268676168431124</v>
      </c>
      <c r="D1391" s="101">
        <f t="shared" ca="1" si="85"/>
        <v>0.7143059197597228</v>
      </c>
      <c r="E1391" s="101">
        <f t="shared" ca="1" si="86"/>
        <v>0</v>
      </c>
      <c r="F1391" s="21">
        <f t="shared" ca="1" si="87"/>
        <v>0</v>
      </c>
      <c r="H1391" s="21">
        <v>1376</v>
      </c>
      <c r="I1391" s="102">
        <v>0.66781674120786538</v>
      </c>
      <c r="J1391" s="103">
        <v>1.5749849878707038E-3</v>
      </c>
      <c r="K1391" s="103"/>
      <c r="L1391" s="103">
        <v>4.2000000000000003E-2</v>
      </c>
      <c r="O1391" s="100"/>
    </row>
    <row r="1392" spans="2:15" x14ac:dyDescent="0.2">
      <c r="B1392" s="1">
        <v>1377</v>
      </c>
      <c r="C1392" s="101">
        <f t="shared" ca="1" si="84"/>
        <v>1.2967029207669758</v>
      </c>
      <c r="D1392" s="101">
        <f t="shared" ca="1" si="85"/>
        <v>0.75517282573358668</v>
      </c>
      <c r="E1392" s="101">
        <f t="shared" ca="1" si="86"/>
        <v>0</v>
      </c>
      <c r="F1392" s="21">
        <f t="shared" ca="1" si="87"/>
        <v>0</v>
      </c>
      <c r="H1392" s="21">
        <v>1377</v>
      </c>
      <c r="I1392" s="102">
        <v>0.66770245302424225</v>
      </c>
      <c r="J1392" s="103">
        <v>1.2693527083903976E-3</v>
      </c>
      <c r="K1392" s="103"/>
      <c r="L1392" s="103">
        <v>4.0800000000000003E-2</v>
      </c>
      <c r="O1392" s="100"/>
    </row>
    <row r="1393" spans="2:15" x14ac:dyDescent="0.2">
      <c r="B1393" s="1">
        <v>1378</v>
      </c>
      <c r="C1393" s="101">
        <f t="shared" ca="1" si="84"/>
        <v>-0.33559515772715615</v>
      </c>
      <c r="D1393" s="101">
        <f t="shared" ca="1" si="85"/>
        <v>0.64286489453864037</v>
      </c>
      <c r="E1393" s="101">
        <f t="shared" ca="1" si="86"/>
        <v>0</v>
      </c>
      <c r="F1393" s="21">
        <f t="shared" ca="1" si="87"/>
        <v>0</v>
      </c>
      <c r="H1393" s="21">
        <v>1378</v>
      </c>
      <c r="I1393" s="102">
        <v>0.66759099156002355</v>
      </c>
      <c r="J1393" s="103">
        <v>1.1037392250894361E-3</v>
      </c>
      <c r="K1393" s="103"/>
      <c r="L1393" s="103">
        <v>3.5000000000000003E-2</v>
      </c>
      <c r="O1393" s="100"/>
    </row>
    <row r="1394" spans="2:15" x14ac:dyDescent="0.2">
      <c r="B1394" s="1">
        <v>1379</v>
      </c>
      <c r="C1394" s="101">
        <f t="shared" ca="1" si="84"/>
        <v>1.4026397101001356</v>
      </c>
      <c r="D1394" s="101">
        <f t="shared" ca="1" si="85"/>
        <v>0.76310556482141645</v>
      </c>
      <c r="E1394" s="101">
        <f t="shared" ca="1" si="86"/>
        <v>0</v>
      </c>
      <c r="F1394" s="21">
        <f t="shared" ca="1" si="87"/>
        <v>0</v>
      </c>
      <c r="H1394" s="21">
        <v>1379</v>
      </c>
      <c r="I1394" s="102">
        <v>0.66767897399817555</v>
      </c>
      <c r="J1394" s="103">
        <v>1.1139579057796939E-3</v>
      </c>
      <c r="K1394" s="103"/>
      <c r="L1394" s="103">
        <v>3.7999999999999999E-2</v>
      </c>
      <c r="O1394" s="100"/>
    </row>
    <row r="1395" spans="2:15" x14ac:dyDescent="0.2">
      <c r="B1395" s="1">
        <v>1380</v>
      </c>
      <c r="C1395" s="101">
        <f t="shared" ca="1" si="84"/>
        <v>1.0133683530878468</v>
      </c>
      <c r="D1395" s="101">
        <f t="shared" ca="1" si="85"/>
        <v>0.73435909110276865</v>
      </c>
      <c r="E1395" s="101">
        <f t="shared" ca="1" si="86"/>
        <v>0</v>
      </c>
      <c r="F1395" s="21">
        <f t="shared" ca="1" si="87"/>
        <v>0</v>
      </c>
      <c r="H1395" s="21">
        <v>1380</v>
      </c>
      <c r="I1395" s="102">
        <v>0.66773543484505071</v>
      </c>
      <c r="J1395" s="103">
        <v>1.433391565989033E-3</v>
      </c>
      <c r="K1395" s="103"/>
      <c r="L1395" s="103">
        <v>4.2000000000000003E-2</v>
      </c>
      <c r="O1395" s="100"/>
    </row>
    <row r="1396" spans="2:15" x14ac:dyDescent="0.2">
      <c r="B1396" s="1">
        <v>1381</v>
      </c>
      <c r="C1396" s="101">
        <f t="shared" ca="1" si="84"/>
        <v>-8.8751259822204179E-2</v>
      </c>
      <c r="D1396" s="101">
        <f t="shared" ca="1" si="85"/>
        <v>0.65871014307110831</v>
      </c>
      <c r="E1396" s="101">
        <f t="shared" ca="1" si="86"/>
        <v>0</v>
      </c>
      <c r="F1396" s="21">
        <f t="shared" ca="1" si="87"/>
        <v>0</v>
      </c>
      <c r="H1396" s="21">
        <v>1381</v>
      </c>
      <c r="I1396" s="102">
        <v>0.66769439863420277</v>
      </c>
      <c r="J1396" s="103">
        <v>1.2426280369405448E-3</v>
      </c>
      <c r="K1396" s="103"/>
      <c r="L1396" s="103">
        <v>4.1200000000000001E-2</v>
      </c>
      <c r="O1396" s="100"/>
    </row>
    <row r="1397" spans="2:15" x14ac:dyDescent="0.2">
      <c r="B1397" s="1">
        <v>1382</v>
      </c>
      <c r="C1397" s="101">
        <f t="shared" ca="1" si="84"/>
        <v>0.64038920681680489</v>
      </c>
      <c r="D1397" s="101">
        <f t="shared" ca="1" si="85"/>
        <v>0.70783214089149171</v>
      </c>
      <c r="E1397" s="101">
        <f t="shared" ca="1" si="86"/>
        <v>0</v>
      </c>
      <c r="F1397" s="21">
        <f t="shared" ca="1" si="87"/>
        <v>0</v>
      </c>
      <c r="H1397" s="21">
        <v>1382</v>
      </c>
      <c r="I1397" s="102">
        <v>0.66773185773627997</v>
      </c>
      <c r="J1397" s="103">
        <v>1.4335630521398787E-3</v>
      </c>
      <c r="K1397" s="103"/>
      <c r="L1397" s="103">
        <v>4.4999999999999998E-2</v>
      </c>
      <c r="O1397" s="100"/>
    </row>
    <row r="1398" spans="2:15" x14ac:dyDescent="0.2">
      <c r="B1398" s="1">
        <v>1383</v>
      </c>
      <c r="C1398" s="101">
        <f t="shared" ca="1" si="84"/>
        <v>-0.97770035210039374</v>
      </c>
      <c r="D1398" s="101">
        <f t="shared" ca="1" si="85"/>
        <v>0.60340974524351232</v>
      </c>
      <c r="E1398" s="101">
        <f t="shared" ca="1" si="86"/>
        <v>0</v>
      </c>
      <c r="F1398" s="21">
        <f t="shared" ca="1" si="87"/>
        <v>0</v>
      </c>
      <c r="H1398" s="21">
        <v>1383</v>
      </c>
      <c r="I1398" s="102">
        <v>0.66778572508683487</v>
      </c>
      <c r="J1398" s="103">
        <v>1.5227852702768461E-3</v>
      </c>
      <c r="K1398" s="103"/>
      <c r="L1398" s="103">
        <v>4.1200000000000001E-2</v>
      </c>
      <c r="O1398" s="100"/>
    </row>
    <row r="1399" spans="2:15" x14ac:dyDescent="0.2">
      <c r="B1399" s="1">
        <v>1384</v>
      </c>
      <c r="C1399" s="101">
        <f t="shared" ca="1" si="84"/>
        <v>-2.1491788372709122</v>
      </c>
      <c r="D1399" s="101">
        <f t="shared" ca="1" si="85"/>
        <v>0.53755994870848711</v>
      </c>
      <c r="E1399" s="101">
        <f t="shared" ca="1" si="86"/>
        <v>0</v>
      </c>
      <c r="F1399" s="21">
        <f t="shared" ca="1" si="87"/>
        <v>0</v>
      </c>
      <c r="H1399" s="21">
        <v>1384</v>
      </c>
      <c r="I1399" s="102">
        <v>0.66777982686825887</v>
      </c>
      <c r="J1399" s="103">
        <v>1.325298396594052E-3</v>
      </c>
      <c r="K1399" s="103"/>
      <c r="L1399" s="103">
        <v>4.1000000000000002E-2</v>
      </c>
      <c r="O1399" s="100"/>
    </row>
    <row r="1400" spans="2:15" x14ac:dyDescent="0.2">
      <c r="B1400" s="1">
        <v>1385</v>
      </c>
      <c r="C1400" s="101">
        <f t="shared" ca="1" si="84"/>
        <v>1.483886797422123</v>
      </c>
      <c r="D1400" s="101">
        <f t="shared" ca="1" si="85"/>
        <v>0.76924590980331897</v>
      </c>
      <c r="E1400" s="101">
        <f t="shared" ca="1" si="86"/>
        <v>0</v>
      </c>
      <c r="F1400" s="21">
        <f t="shared" ca="1" si="87"/>
        <v>0</v>
      </c>
      <c r="H1400" s="21">
        <v>1385</v>
      </c>
      <c r="I1400" s="102">
        <v>0.66779373996894742</v>
      </c>
      <c r="J1400" s="103">
        <v>1.5372759898602362E-3</v>
      </c>
      <c r="K1400" s="103"/>
      <c r="L1400" s="103">
        <v>4.2200000000000001E-2</v>
      </c>
      <c r="O1400" s="100"/>
    </row>
    <row r="1401" spans="2:15" x14ac:dyDescent="0.2">
      <c r="B1401" s="1">
        <v>1386</v>
      </c>
      <c r="C1401" s="101">
        <f t="shared" ca="1" si="84"/>
        <v>0.58881871905821725</v>
      </c>
      <c r="D1401" s="101">
        <f t="shared" ca="1" si="85"/>
        <v>0.7042405549496259</v>
      </c>
      <c r="E1401" s="101">
        <f t="shared" ca="1" si="86"/>
        <v>0</v>
      </c>
      <c r="F1401" s="21">
        <f t="shared" ca="1" si="87"/>
        <v>0</v>
      </c>
      <c r="H1401" s="21">
        <v>1386</v>
      </c>
      <c r="I1401" s="102">
        <v>0.6677475240424563</v>
      </c>
      <c r="J1401" s="103">
        <v>1.3824716789595235E-3</v>
      </c>
      <c r="K1401" s="103"/>
      <c r="L1401" s="103">
        <v>4.2999999999999997E-2</v>
      </c>
      <c r="O1401" s="100"/>
    </row>
    <row r="1402" spans="2:15" x14ac:dyDescent="0.2">
      <c r="B1402" s="1">
        <v>1387</v>
      </c>
      <c r="C1402" s="101">
        <f t="shared" ca="1" si="84"/>
        <v>2.1226449358747113</v>
      </c>
      <c r="D1402" s="101">
        <f t="shared" ca="1" si="85"/>
        <v>0.81927405280170607</v>
      </c>
      <c r="E1402" s="101">
        <f t="shared" ca="1" si="86"/>
        <v>3.1074052801706054E-2</v>
      </c>
      <c r="F1402" s="21">
        <f t="shared" ca="1" si="87"/>
        <v>1</v>
      </c>
      <c r="H1402" s="21">
        <v>1387</v>
      </c>
      <c r="I1402" s="102">
        <v>0.66774970650275234</v>
      </c>
      <c r="J1402" s="103">
        <v>1.2583922935173592E-3</v>
      </c>
      <c r="K1402" s="103"/>
      <c r="L1402" s="103">
        <v>4.1200000000000001E-2</v>
      </c>
      <c r="O1402" s="100"/>
    </row>
    <row r="1403" spans="2:15" x14ac:dyDescent="0.2">
      <c r="B1403" s="1">
        <v>1388</v>
      </c>
      <c r="C1403" s="101">
        <f t="shared" ca="1" si="84"/>
        <v>-1.7076798270242646</v>
      </c>
      <c r="D1403" s="101">
        <f t="shared" ca="1" si="85"/>
        <v>0.56148796144560664</v>
      </c>
      <c r="E1403" s="101">
        <f t="shared" ca="1" si="86"/>
        <v>0</v>
      </c>
      <c r="F1403" s="21">
        <f t="shared" ca="1" si="87"/>
        <v>0</v>
      </c>
      <c r="H1403" s="21">
        <v>1388</v>
      </c>
      <c r="I1403" s="102">
        <v>0.66768044140487459</v>
      </c>
      <c r="J1403" s="103">
        <v>1.3042273961561268E-3</v>
      </c>
      <c r="K1403" s="103"/>
      <c r="L1403" s="103">
        <v>4.2799999999999998E-2</v>
      </c>
      <c r="O1403" s="100"/>
    </row>
    <row r="1404" spans="2:15" x14ac:dyDescent="0.2">
      <c r="B1404" s="1">
        <v>1389</v>
      </c>
      <c r="C1404" s="101">
        <f t="shared" ca="1" si="84"/>
        <v>-0.11195478192446054</v>
      </c>
      <c r="D1404" s="101">
        <f t="shared" ca="1" si="85"/>
        <v>0.65720419413401099</v>
      </c>
      <c r="E1404" s="101">
        <f t="shared" ca="1" si="86"/>
        <v>0</v>
      </c>
      <c r="F1404" s="21">
        <f t="shared" ca="1" si="87"/>
        <v>0</v>
      </c>
      <c r="H1404" s="21">
        <v>1389</v>
      </c>
      <c r="I1404" s="102">
        <v>0.66779276462552994</v>
      </c>
      <c r="J1404" s="103">
        <v>1.3948615060729711E-3</v>
      </c>
      <c r="K1404" s="103"/>
      <c r="L1404" s="103">
        <v>4.3200000000000002E-2</v>
      </c>
      <c r="O1404" s="100"/>
    </row>
    <row r="1405" spans="2:15" x14ac:dyDescent="0.2">
      <c r="B1405" s="1">
        <v>1390</v>
      </c>
      <c r="C1405" s="101">
        <f t="shared" ca="1" si="84"/>
        <v>0.35929870205855979</v>
      </c>
      <c r="D1405" s="101">
        <f t="shared" ca="1" si="85"/>
        <v>0.68847557123404124</v>
      </c>
      <c r="E1405" s="101">
        <f t="shared" ca="1" si="86"/>
        <v>0</v>
      </c>
      <c r="F1405" s="21">
        <f t="shared" ca="1" si="87"/>
        <v>0</v>
      </c>
      <c r="H1405" s="21">
        <v>1390</v>
      </c>
      <c r="I1405" s="102">
        <v>0.66796313297947119</v>
      </c>
      <c r="J1405" s="103">
        <v>1.561780105094078E-3</v>
      </c>
      <c r="K1405" s="103"/>
      <c r="L1405" s="103">
        <v>4.5199999999999997E-2</v>
      </c>
      <c r="O1405" s="100"/>
    </row>
    <row r="1406" spans="2:15" x14ac:dyDescent="0.2">
      <c r="B1406" s="1">
        <v>1391</v>
      </c>
      <c r="C1406" s="101">
        <f t="shared" ca="1" si="84"/>
        <v>-1.7501504617420836</v>
      </c>
      <c r="D1406" s="101">
        <f t="shared" ca="1" si="85"/>
        <v>0.55914060678930377</v>
      </c>
      <c r="E1406" s="101">
        <f t="shared" ca="1" si="86"/>
        <v>0</v>
      </c>
      <c r="F1406" s="21">
        <f t="shared" ca="1" si="87"/>
        <v>0</v>
      </c>
      <c r="H1406" s="21">
        <v>1391</v>
      </c>
      <c r="I1406" s="102">
        <v>0.66774999261342993</v>
      </c>
      <c r="J1406" s="103">
        <v>1.408748906938088E-3</v>
      </c>
      <c r="K1406" s="103"/>
      <c r="L1406" s="103">
        <v>4.36E-2</v>
      </c>
      <c r="O1406" s="100"/>
    </row>
    <row r="1407" spans="2:15" x14ac:dyDescent="0.2">
      <c r="B1407" s="1">
        <v>1392</v>
      </c>
      <c r="C1407" s="101">
        <f t="shared" ca="1" si="84"/>
        <v>0.58574299451260248</v>
      </c>
      <c r="D1407" s="101">
        <f t="shared" ca="1" si="85"/>
        <v>0.70402692531837374</v>
      </c>
      <c r="E1407" s="101">
        <f t="shared" ca="1" si="86"/>
        <v>0</v>
      </c>
      <c r="F1407" s="21">
        <f t="shared" ca="1" si="87"/>
        <v>0</v>
      </c>
      <c r="H1407" s="21">
        <v>1392</v>
      </c>
      <c r="I1407" s="102">
        <v>0.66773485231697738</v>
      </c>
      <c r="J1407" s="103">
        <v>1.4032710789714626E-3</v>
      </c>
      <c r="K1407" s="103"/>
      <c r="L1407" s="103">
        <v>4.2999999999999997E-2</v>
      </c>
      <c r="O1407" s="100"/>
    </row>
    <row r="1408" spans="2:15" x14ac:dyDescent="0.2">
      <c r="B1408" s="1">
        <v>1393</v>
      </c>
      <c r="C1408" s="101">
        <f t="shared" ca="1" si="84"/>
        <v>-0.38750629085083044</v>
      </c>
      <c r="D1408" s="101">
        <f t="shared" ca="1" si="85"/>
        <v>0.63958146520324521</v>
      </c>
      <c r="E1408" s="101">
        <f t="shared" ca="1" si="86"/>
        <v>0</v>
      </c>
      <c r="F1408" s="21">
        <f t="shared" ca="1" si="87"/>
        <v>0</v>
      </c>
      <c r="H1408" s="21">
        <v>1393</v>
      </c>
      <c r="I1408" s="102">
        <v>0.66777356856366066</v>
      </c>
      <c r="J1408" s="103">
        <v>1.3519453787446825E-3</v>
      </c>
      <c r="K1408" s="103"/>
      <c r="L1408" s="103">
        <v>4.1599999999999998E-2</v>
      </c>
      <c r="O1408" s="100"/>
    </row>
    <row r="1409" spans="2:15" x14ac:dyDescent="0.2">
      <c r="B1409" s="1">
        <v>1394</v>
      </c>
      <c r="C1409" s="101">
        <f t="shared" ca="1" si="84"/>
        <v>-0.63135995151041235</v>
      </c>
      <c r="D1409" s="101">
        <f t="shared" ca="1" si="85"/>
        <v>0.62438049703733589</v>
      </c>
      <c r="E1409" s="101">
        <f t="shared" ca="1" si="86"/>
        <v>0</v>
      </c>
      <c r="F1409" s="21">
        <f t="shared" ca="1" si="87"/>
        <v>0</v>
      </c>
      <c r="H1409" s="21">
        <v>1394</v>
      </c>
      <c r="I1409" s="102">
        <v>0.66769618658364716</v>
      </c>
      <c r="J1409" s="103">
        <v>1.2504340594223988E-3</v>
      </c>
      <c r="K1409" s="103"/>
      <c r="L1409" s="103">
        <v>3.6999999999999998E-2</v>
      </c>
      <c r="O1409" s="100"/>
    </row>
    <row r="1410" spans="2:15" x14ac:dyDescent="0.2">
      <c r="B1410" s="1">
        <v>1395</v>
      </c>
      <c r="C1410" s="101">
        <f t="shared" ca="1" si="84"/>
        <v>-0.28644231727435043</v>
      </c>
      <c r="D1410" s="101">
        <f t="shared" ca="1" si="85"/>
        <v>0.64598939429579083</v>
      </c>
      <c r="E1410" s="101">
        <f t="shared" ca="1" si="86"/>
        <v>0</v>
      </c>
      <c r="F1410" s="21">
        <f t="shared" ca="1" si="87"/>
        <v>0</v>
      </c>
      <c r="H1410" s="21">
        <v>1395</v>
      </c>
      <c r="I1410" s="102">
        <v>0.66770814199211204</v>
      </c>
      <c r="J1410" s="103">
        <v>1.3360129555972293E-3</v>
      </c>
      <c r="K1410" s="103"/>
      <c r="L1410" s="103">
        <v>4.1399999999999999E-2</v>
      </c>
      <c r="O1410" s="100"/>
    </row>
    <row r="1411" spans="2:15" x14ac:dyDescent="0.2">
      <c r="B1411" s="1">
        <v>1396</v>
      </c>
      <c r="C1411" s="101">
        <f t="shared" ca="1" si="84"/>
        <v>0.53867780743711857</v>
      </c>
      <c r="D1411" s="101">
        <f t="shared" ca="1" si="85"/>
        <v>0.70076600469756956</v>
      </c>
      <c r="E1411" s="101">
        <f t="shared" ca="1" si="86"/>
        <v>0</v>
      </c>
      <c r="F1411" s="21">
        <f t="shared" ca="1" si="87"/>
        <v>0</v>
      </c>
      <c r="H1411" s="21">
        <v>1396</v>
      </c>
      <c r="I1411" s="102">
        <v>0.66774273156778208</v>
      </c>
      <c r="J1411" s="103">
        <v>1.252261864837191E-3</v>
      </c>
      <c r="K1411" s="103"/>
      <c r="L1411" s="103">
        <v>3.9399999999999998E-2</v>
      </c>
      <c r="O1411" s="100"/>
    </row>
    <row r="1412" spans="2:15" x14ac:dyDescent="0.2">
      <c r="B1412" s="1">
        <v>1397</v>
      </c>
      <c r="C1412" s="101">
        <f t="shared" ca="1" si="84"/>
        <v>-8.1313750154172387E-2</v>
      </c>
      <c r="D1412" s="101">
        <f t="shared" ca="1" si="85"/>
        <v>0.65919358032442221</v>
      </c>
      <c r="E1412" s="101">
        <f t="shared" ca="1" si="86"/>
        <v>0</v>
      </c>
      <c r="F1412" s="21">
        <f t="shared" ca="1" si="87"/>
        <v>0</v>
      </c>
      <c r="H1412" s="21">
        <v>1397</v>
      </c>
      <c r="I1412" s="102">
        <v>0.66788207606931183</v>
      </c>
      <c r="J1412" s="103">
        <v>1.6500386820830794E-3</v>
      </c>
      <c r="K1412" s="103"/>
      <c r="L1412" s="103">
        <v>4.6600000000000003E-2</v>
      </c>
      <c r="O1412" s="100"/>
    </row>
    <row r="1413" spans="2:15" x14ac:dyDescent="0.2">
      <c r="B1413" s="1">
        <v>1398</v>
      </c>
      <c r="C1413" s="101">
        <f t="shared" ca="1" si="84"/>
        <v>-1.6025366052718519</v>
      </c>
      <c r="D1413" s="101">
        <f t="shared" ca="1" si="85"/>
        <v>0.5673417187421973</v>
      </c>
      <c r="E1413" s="101">
        <f t="shared" ca="1" si="86"/>
        <v>0</v>
      </c>
      <c r="F1413" s="21">
        <f t="shared" ca="1" si="87"/>
        <v>0</v>
      </c>
      <c r="H1413" s="21">
        <v>1398</v>
      </c>
      <c r="I1413" s="102">
        <v>0.66780073176051113</v>
      </c>
      <c r="J1413" s="103">
        <v>1.4806877124663889E-3</v>
      </c>
      <c r="K1413" s="103"/>
      <c r="L1413" s="103">
        <v>4.36E-2</v>
      </c>
      <c r="O1413" s="100"/>
    </row>
    <row r="1414" spans="2:15" x14ac:dyDescent="0.2">
      <c r="B1414" s="1">
        <v>1399</v>
      </c>
      <c r="C1414" s="101">
        <f t="shared" ca="1" si="84"/>
        <v>-1.4317539081928716</v>
      </c>
      <c r="D1414" s="101">
        <f t="shared" ca="1" si="85"/>
        <v>0.57698024726087282</v>
      </c>
      <c r="E1414" s="101">
        <f t="shared" ca="1" si="86"/>
        <v>0</v>
      </c>
      <c r="F1414" s="21">
        <f t="shared" ca="1" si="87"/>
        <v>0</v>
      </c>
      <c r="H1414" s="21">
        <v>1399</v>
      </c>
      <c r="I1414" s="102">
        <v>0.66768657945790555</v>
      </c>
      <c r="J1414" s="103">
        <v>1.1747782217065219E-3</v>
      </c>
      <c r="K1414" s="103"/>
      <c r="L1414" s="103">
        <v>4.0599999999999997E-2</v>
      </c>
      <c r="O1414" s="100"/>
    </row>
    <row r="1415" spans="2:15" x14ac:dyDescent="0.2">
      <c r="B1415" s="1">
        <v>1400</v>
      </c>
      <c r="C1415" s="101">
        <f t="shared" ca="1" si="84"/>
        <v>0.20853742711471507</v>
      </c>
      <c r="D1415" s="101">
        <f t="shared" ca="1" si="85"/>
        <v>0.67831280399041816</v>
      </c>
      <c r="E1415" s="101">
        <f t="shared" ca="1" si="86"/>
        <v>0</v>
      </c>
      <c r="F1415" s="21">
        <f t="shared" ca="1" si="87"/>
        <v>0</v>
      </c>
      <c r="H1415" s="21">
        <v>1400</v>
      </c>
      <c r="I1415" s="102">
        <v>0.66782574281950369</v>
      </c>
      <c r="J1415" s="103">
        <v>1.444340237620899E-3</v>
      </c>
      <c r="K1415" s="103"/>
      <c r="L1415" s="103">
        <v>4.2599999999999999E-2</v>
      </c>
      <c r="O1415" s="100"/>
    </row>
    <row r="1416" spans="2:15" x14ac:dyDescent="0.2">
      <c r="B1416" s="1">
        <v>1401</v>
      </c>
      <c r="C1416" s="101">
        <f t="shared" ca="1" si="84"/>
        <v>-0.31119769220685251</v>
      </c>
      <c r="D1416" s="101">
        <f t="shared" ca="1" si="85"/>
        <v>0.64441387526904492</v>
      </c>
      <c r="E1416" s="101">
        <f t="shared" ca="1" si="86"/>
        <v>0</v>
      </c>
      <c r="F1416" s="21">
        <f t="shared" ca="1" si="87"/>
        <v>0</v>
      </c>
      <c r="H1416" s="21">
        <v>1401</v>
      </c>
      <c r="I1416" s="102">
        <v>0.66771001618117853</v>
      </c>
      <c r="J1416" s="103">
        <v>1.3145020339592063E-3</v>
      </c>
      <c r="K1416" s="103"/>
      <c r="L1416" s="103">
        <v>4.2000000000000003E-2</v>
      </c>
      <c r="O1416" s="100"/>
    </row>
    <row r="1417" spans="2:15" x14ac:dyDescent="0.2">
      <c r="B1417" s="1">
        <v>1402</v>
      </c>
      <c r="C1417" s="101">
        <f t="shared" ca="1" si="84"/>
        <v>1.9916402067577448</v>
      </c>
      <c r="D1417" s="101">
        <f t="shared" ca="1" si="85"/>
        <v>0.80875511188982763</v>
      </c>
      <c r="E1417" s="101">
        <f t="shared" ca="1" si="86"/>
        <v>2.0555111889827615E-2</v>
      </c>
      <c r="F1417" s="21">
        <f t="shared" ca="1" si="87"/>
        <v>1</v>
      </c>
      <c r="H1417" s="21">
        <v>1402</v>
      </c>
      <c r="I1417" s="102">
        <v>0.66773663612130962</v>
      </c>
      <c r="J1417" s="103">
        <v>1.3357988471878334E-3</v>
      </c>
      <c r="K1417" s="103"/>
      <c r="L1417" s="103">
        <v>4.0599999999999997E-2</v>
      </c>
      <c r="O1417" s="100"/>
    </row>
    <row r="1418" spans="2:15" x14ac:dyDescent="0.2">
      <c r="B1418" s="1">
        <v>1403</v>
      </c>
      <c r="C1418" s="101">
        <f t="shared" ca="1" si="84"/>
        <v>0.31187366811815331</v>
      </c>
      <c r="D1418" s="101">
        <f t="shared" ca="1" si="85"/>
        <v>0.68526235721946172</v>
      </c>
      <c r="E1418" s="101">
        <f t="shared" ca="1" si="86"/>
        <v>0</v>
      </c>
      <c r="F1418" s="21">
        <f t="shared" ca="1" si="87"/>
        <v>0</v>
      </c>
      <c r="H1418" s="21">
        <v>1403</v>
      </c>
      <c r="I1418" s="102">
        <v>0.66780487289456159</v>
      </c>
      <c r="J1418" s="103">
        <v>1.3929530891769626E-3</v>
      </c>
      <c r="K1418" s="103"/>
      <c r="L1418" s="103">
        <v>4.3200000000000002E-2</v>
      </c>
      <c r="O1418" s="100"/>
    </row>
    <row r="1419" spans="2:15" x14ac:dyDescent="0.2">
      <c r="B1419" s="1">
        <v>1404</v>
      </c>
      <c r="C1419" s="101">
        <f t="shared" ca="1" si="84"/>
        <v>0.44710509443908159</v>
      </c>
      <c r="D1419" s="101">
        <f t="shared" ca="1" si="85"/>
        <v>0.69446459054126075</v>
      </c>
      <c r="E1419" s="101">
        <f t="shared" ca="1" si="86"/>
        <v>0</v>
      </c>
      <c r="F1419" s="21">
        <f t="shared" ca="1" si="87"/>
        <v>0</v>
      </c>
      <c r="H1419" s="21">
        <v>1404</v>
      </c>
      <c r="I1419" s="102">
        <v>0.66758349832959785</v>
      </c>
      <c r="J1419" s="103">
        <v>1.2507435296702856E-3</v>
      </c>
      <c r="K1419" s="103"/>
      <c r="L1419" s="103">
        <v>3.7400000000000003E-2</v>
      </c>
      <c r="O1419" s="100"/>
    </row>
    <row r="1420" spans="2:15" x14ac:dyDescent="0.2">
      <c r="B1420" s="1">
        <v>1405</v>
      </c>
      <c r="C1420" s="101">
        <f t="shared" ca="1" si="84"/>
        <v>-1.2614809866393026</v>
      </c>
      <c r="D1420" s="101">
        <f t="shared" ca="1" si="85"/>
        <v>0.586753018483545</v>
      </c>
      <c r="E1420" s="101">
        <f t="shared" ca="1" si="86"/>
        <v>0</v>
      </c>
      <c r="F1420" s="21">
        <f t="shared" ca="1" si="87"/>
        <v>0</v>
      </c>
      <c r="H1420" s="21">
        <v>1405</v>
      </c>
      <c r="I1420" s="102">
        <v>0.6677408186464705</v>
      </c>
      <c r="J1420" s="103">
        <v>1.5297049325950858E-3</v>
      </c>
      <c r="K1420" s="103"/>
      <c r="L1420" s="103">
        <v>4.6800000000000001E-2</v>
      </c>
      <c r="O1420" s="100"/>
    </row>
    <row r="1421" spans="2:15" x14ac:dyDescent="0.2">
      <c r="B1421" s="1">
        <v>1406</v>
      </c>
      <c r="C1421" s="101">
        <f t="shared" ca="1" si="84"/>
        <v>-0.24275525331477624</v>
      </c>
      <c r="D1421" s="101">
        <f t="shared" ca="1" si="85"/>
        <v>0.64877919542984164</v>
      </c>
      <c r="E1421" s="101">
        <f t="shared" ca="1" si="86"/>
        <v>0</v>
      </c>
      <c r="F1421" s="21">
        <f t="shared" ca="1" si="87"/>
        <v>0</v>
      </c>
      <c r="H1421" s="21">
        <v>1406</v>
      </c>
      <c r="I1421" s="102">
        <v>0.66793943081742724</v>
      </c>
      <c r="J1421" s="103">
        <v>1.7230044527681656E-3</v>
      </c>
      <c r="K1421" s="103"/>
      <c r="L1421" s="103">
        <v>4.8599999999999997E-2</v>
      </c>
      <c r="O1421" s="100"/>
    </row>
    <row r="1422" spans="2:15" x14ac:dyDescent="0.2">
      <c r="B1422" s="1">
        <v>1407</v>
      </c>
      <c r="C1422" s="101">
        <f t="shared" ca="1" si="84"/>
        <v>0.63849225162946488</v>
      </c>
      <c r="D1422" s="101">
        <f t="shared" ca="1" si="85"/>
        <v>0.70769970502433133</v>
      </c>
      <c r="E1422" s="101">
        <f t="shared" ca="1" si="86"/>
        <v>0</v>
      </c>
      <c r="F1422" s="21">
        <f t="shared" ca="1" si="87"/>
        <v>0</v>
      </c>
      <c r="H1422" s="21">
        <v>1407</v>
      </c>
      <c r="I1422" s="102">
        <v>0.66770118869664308</v>
      </c>
      <c r="J1422" s="103">
        <v>1.2553527703006355E-3</v>
      </c>
      <c r="K1422" s="103"/>
      <c r="L1422" s="103">
        <v>4.2599999999999999E-2</v>
      </c>
      <c r="O1422" s="100"/>
    </row>
    <row r="1423" spans="2:15" x14ac:dyDescent="0.2">
      <c r="B1423" s="1">
        <v>1408</v>
      </c>
      <c r="C1423" s="101">
        <f t="shared" ca="1" si="84"/>
        <v>-1.24877091873302</v>
      </c>
      <c r="D1423" s="101">
        <f t="shared" ca="1" si="85"/>
        <v>0.5874891143486628</v>
      </c>
      <c r="E1423" s="101">
        <f t="shared" ca="1" si="86"/>
        <v>0</v>
      </c>
      <c r="F1423" s="21">
        <f t="shared" ca="1" si="87"/>
        <v>0</v>
      </c>
      <c r="H1423" s="21">
        <v>1408</v>
      </c>
      <c r="I1423" s="102">
        <v>0.66771154106934461</v>
      </c>
      <c r="J1423" s="103">
        <v>1.3582539950750014E-3</v>
      </c>
      <c r="K1423" s="103"/>
      <c r="L1423" s="103">
        <v>4.1399999999999999E-2</v>
      </c>
      <c r="O1423" s="100"/>
    </row>
    <row r="1424" spans="2:15" x14ac:dyDescent="0.2">
      <c r="B1424" s="1">
        <v>1409</v>
      </c>
      <c r="C1424" s="101">
        <f t="shared" ref="C1424:C1487" ca="1" si="88">_xlfn.NORM.S.INV(RAND())</f>
        <v>-1.8084496063435502</v>
      </c>
      <c r="D1424" s="101">
        <f t="shared" ref="D1424:D1487" ca="1" si="89">S0*EXP((μ-0.5*σ*σ)*T+σ*SQRT(T)*$C1424)</f>
        <v>0.55593438201618828</v>
      </c>
      <c r="E1424" s="101">
        <f t="shared" ref="E1424:E1487" ca="1" si="90">MAX(0,CP*(D1424-K))</f>
        <v>0</v>
      </c>
      <c r="F1424" s="21">
        <f t="shared" ref="F1424:F1487" ca="1" si="91">(CP*(D1424-K)&gt;0)*1</f>
        <v>0</v>
      </c>
      <c r="H1424" s="21">
        <v>1409</v>
      </c>
      <c r="I1424" s="102">
        <v>0.66777141658436179</v>
      </c>
      <c r="J1424" s="103">
        <v>1.5155587313998356E-3</v>
      </c>
      <c r="K1424" s="103"/>
      <c r="L1424" s="103">
        <v>4.3799999999999999E-2</v>
      </c>
      <c r="O1424" s="100"/>
    </row>
    <row r="1425" spans="2:15" x14ac:dyDescent="0.2">
      <c r="B1425" s="1">
        <v>1410</v>
      </c>
      <c r="C1425" s="101">
        <f t="shared" ca="1" si="88"/>
        <v>-1.5466686372204452</v>
      </c>
      <c r="D1425" s="101">
        <f t="shared" ca="1" si="89"/>
        <v>0.57047690770102677</v>
      </c>
      <c r="E1425" s="101">
        <f t="shared" ca="1" si="90"/>
        <v>0</v>
      </c>
      <c r="F1425" s="21">
        <f t="shared" ca="1" si="91"/>
        <v>0</v>
      </c>
      <c r="H1425" s="21">
        <v>1410</v>
      </c>
      <c r="I1425" s="102">
        <v>0.6677724253733206</v>
      </c>
      <c r="J1425" s="103">
        <v>1.3355729949370337E-3</v>
      </c>
      <c r="K1425" s="103"/>
      <c r="L1425" s="103">
        <v>4.3200000000000002E-2</v>
      </c>
      <c r="O1425" s="100"/>
    </row>
    <row r="1426" spans="2:15" x14ac:dyDescent="0.2">
      <c r="B1426" s="1">
        <v>1411</v>
      </c>
      <c r="C1426" s="101">
        <f t="shared" ca="1" si="88"/>
        <v>1.094255898167984</v>
      </c>
      <c r="D1426" s="101">
        <f t="shared" ca="1" si="89"/>
        <v>0.74024187330003111</v>
      </c>
      <c r="E1426" s="101">
        <f t="shared" ca="1" si="90"/>
        <v>0</v>
      </c>
      <c r="F1426" s="21">
        <f t="shared" ca="1" si="91"/>
        <v>0</v>
      </c>
      <c r="H1426" s="21">
        <v>1411</v>
      </c>
      <c r="I1426" s="102">
        <v>0.66781975944240268</v>
      </c>
      <c r="J1426" s="103">
        <v>1.6163694463293575E-3</v>
      </c>
      <c r="K1426" s="103"/>
      <c r="L1426" s="103">
        <v>4.6399999999999997E-2</v>
      </c>
      <c r="O1426" s="100"/>
    </row>
    <row r="1427" spans="2:15" x14ac:dyDescent="0.2">
      <c r="B1427" s="1">
        <v>1412</v>
      </c>
      <c r="C1427" s="101">
        <f t="shared" ca="1" si="88"/>
        <v>-0.95245756129084291</v>
      </c>
      <c r="D1427" s="101">
        <f t="shared" ca="1" si="89"/>
        <v>0.60491409698728427</v>
      </c>
      <c r="E1427" s="101">
        <f t="shared" ca="1" si="90"/>
        <v>0</v>
      </c>
      <c r="F1427" s="21">
        <f t="shared" ca="1" si="91"/>
        <v>0</v>
      </c>
      <c r="H1427" s="21">
        <v>1412</v>
      </c>
      <c r="I1427" s="102">
        <v>0.66774811778974164</v>
      </c>
      <c r="J1427" s="103">
        <v>1.3121386735923408E-3</v>
      </c>
      <c r="K1427" s="103"/>
      <c r="L1427" s="103">
        <v>4.3999999999999997E-2</v>
      </c>
      <c r="O1427" s="100"/>
    </row>
    <row r="1428" spans="2:15" x14ac:dyDescent="0.2">
      <c r="B1428" s="1">
        <v>1413</v>
      </c>
      <c r="C1428" s="101">
        <f t="shared" ca="1" si="88"/>
        <v>-0.21727865027324106</v>
      </c>
      <c r="D1428" s="101">
        <f t="shared" ca="1" si="89"/>
        <v>0.65041165769410825</v>
      </c>
      <c r="E1428" s="101">
        <f t="shared" ca="1" si="90"/>
        <v>0</v>
      </c>
      <c r="F1428" s="21">
        <f t="shared" ca="1" si="91"/>
        <v>0</v>
      </c>
      <c r="H1428" s="21">
        <v>1413</v>
      </c>
      <c r="I1428" s="102">
        <v>0.66777986157413161</v>
      </c>
      <c r="J1428" s="103">
        <v>1.3487360120393403E-3</v>
      </c>
      <c r="K1428" s="103"/>
      <c r="L1428" s="103">
        <v>4.3799999999999999E-2</v>
      </c>
      <c r="O1428" s="100"/>
    </row>
    <row r="1429" spans="2:15" x14ac:dyDescent="0.2">
      <c r="B1429" s="1">
        <v>1414</v>
      </c>
      <c r="C1429" s="101">
        <f t="shared" ca="1" si="88"/>
        <v>6.7199356379392602E-2</v>
      </c>
      <c r="D1429" s="101">
        <f t="shared" ca="1" si="89"/>
        <v>0.66892153729466353</v>
      </c>
      <c r="E1429" s="101">
        <f t="shared" ca="1" si="90"/>
        <v>0</v>
      </c>
      <c r="F1429" s="21">
        <f t="shared" ca="1" si="91"/>
        <v>0</v>
      </c>
      <c r="H1429" s="21">
        <v>1414</v>
      </c>
      <c r="I1429" s="102">
        <v>0.66755704562242524</v>
      </c>
      <c r="J1429" s="103">
        <v>1.2677253986607252E-3</v>
      </c>
      <c r="K1429" s="103"/>
      <c r="L1429" s="103">
        <v>3.8800000000000001E-2</v>
      </c>
      <c r="O1429" s="100"/>
    </row>
    <row r="1430" spans="2:15" x14ac:dyDescent="0.2">
      <c r="B1430" s="1">
        <v>1415</v>
      </c>
      <c r="C1430" s="101">
        <f t="shared" ca="1" si="88"/>
        <v>-4.1352099421013574E-2</v>
      </c>
      <c r="D1430" s="101">
        <f t="shared" ca="1" si="89"/>
        <v>0.66179716398324007</v>
      </c>
      <c r="E1430" s="101">
        <f t="shared" ca="1" si="90"/>
        <v>0</v>
      </c>
      <c r="F1430" s="21">
        <f t="shared" ca="1" si="91"/>
        <v>0</v>
      </c>
      <c r="H1430" s="21">
        <v>1415</v>
      </c>
      <c r="I1430" s="102">
        <v>0.66773501291331927</v>
      </c>
      <c r="J1430" s="103">
        <v>1.2566438831398635E-3</v>
      </c>
      <c r="K1430" s="103"/>
      <c r="L1430" s="103">
        <v>4.1000000000000002E-2</v>
      </c>
      <c r="O1430" s="100"/>
    </row>
    <row r="1431" spans="2:15" x14ac:dyDescent="0.2">
      <c r="B1431" s="1">
        <v>1416</v>
      </c>
      <c r="C1431" s="101">
        <f t="shared" ca="1" si="88"/>
        <v>0.90498088245407582</v>
      </c>
      <c r="D1431" s="101">
        <f t="shared" ca="1" si="89"/>
        <v>0.72654952509234438</v>
      </c>
      <c r="E1431" s="101">
        <f t="shared" ca="1" si="90"/>
        <v>0</v>
      </c>
      <c r="F1431" s="21">
        <f t="shared" ca="1" si="91"/>
        <v>0</v>
      </c>
      <c r="H1431" s="21">
        <v>1416</v>
      </c>
      <c r="I1431" s="102">
        <v>0.6676308106045753</v>
      </c>
      <c r="J1431" s="103">
        <v>1.4024377220878403E-3</v>
      </c>
      <c r="K1431" s="103"/>
      <c r="L1431" s="103">
        <v>3.9800000000000002E-2</v>
      </c>
      <c r="O1431" s="100"/>
    </row>
    <row r="1432" spans="2:15" x14ac:dyDescent="0.2">
      <c r="B1432" s="1">
        <v>1417</v>
      </c>
      <c r="C1432" s="101">
        <f t="shared" ca="1" si="88"/>
        <v>1.8507531034593847</v>
      </c>
      <c r="D1432" s="101">
        <f t="shared" ca="1" si="89"/>
        <v>0.79759334582970021</v>
      </c>
      <c r="E1432" s="101">
        <f t="shared" ca="1" si="90"/>
        <v>9.3933458297001948E-3</v>
      </c>
      <c r="F1432" s="21">
        <f t="shared" ca="1" si="91"/>
        <v>1</v>
      </c>
      <c r="H1432" s="21">
        <v>1417</v>
      </c>
      <c r="I1432" s="102">
        <v>0.66768895894750613</v>
      </c>
      <c r="J1432" s="103">
        <v>1.2018123760758142E-3</v>
      </c>
      <c r="K1432" s="103"/>
      <c r="L1432" s="103">
        <v>3.8800000000000001E-2</v>
      </c>
      <c r="O1432" s="100"/>
    </row>
    <row r="1433" spans="2:15" x14ac:dyDescent="0.2">
      <c r="B1433" s="1">
        <v>1418</v>
      </c>
      <c r="C1433" s="101">
        <f t="shared" ca="1" si="88"/>
        <v>-8.3421381259845301E-2</v>
      </c>
      <c r="D1433" s="101">
        <f t="shared" ca="1" si="89"/>
        <v>0.65905654853612317</v>
      </c>
      <c r="E1433" s="101">
        <f t="shared" ca="1" si="90"/>
        <v>0</v>
      </c>
      <c r="F1433" s="21">
        <f t="shared" ca="1" si="91"/>
        <v>0</v>
      </c>
      <c r="H1433" s="21">
        <v>1418</v>
      </c>
      <c r="I1433" s="102">
        <v>0.66765107337953389</v>
      </c>
      <c r="J1433" s="103">
        <v>1.1361239744727891E-3</v>
      </c>
      <c r="K1433" s="103"/>
      <c r="L1433" s="103">
        <v>3.9199999999999999E-2</v>
      </c>
      <c r="O1433" s="100"/>
    </row>
    <row r="1434" spans="2:15" x14ac:dyDescent="0.2">
      <c r="B1434" s="1">
        <v>1419</v>
      </c>
      <c r="C1434" s="101">
        <f t="shared" ca="1" si="88"/>
        <v>-0.53953808208135945</v>
      </c>
      <c r="D1434" s="101">
        <f t="shared" ca="1" si="89"/>
        <v>0.63006146893413173</v>
      </c>
      <c r="E1434" s="101">
        <f t="shared" ca="1" si="90"/>
        <v>0</v>
      </c>
      <c r="F1434" s="21">
        <f t="shared" ca="1" si="91"/>
        <v>0</v>
      </c>
      <c r="H1434" s="21">
        <v>1419</v>
      </c>
      <c r="I1434" s="102">
        <v>0.66762500377446066</v>
      </c>
      <c r="J1434" s="103">
        <v>1.1518814177732765E-3</v>
      </c>
      <c r="K1434" s="103"/>
      <c r="L1434" s="103">
        <v>3.8600000000000002E-2</v>
      </c>
      <c r="O1434" s="100"/>
    </row>
    <row r="1435" spans="2:15" x14ac:dyDescent="0.2">
      <c r="B1435" s="1">
        <v>1420</v>
      </c>
      <c r="C1435" s="101">
        <f t="shared" ca="1" si="88"/>
        <v>-2.029419547028851</v>
      </c>
      <c r="D1435" s="101">
        <f t="shared" ca="1" si="89"/>
        <v>0.54394791697936407</v>
      </c>
      <c r="E1435" s="101">
        <f t="shared" ca="1" si="90"/>
        <v>0</v>
      </c>
      <c r="F1435" s="21">
        <f t="shared" ca="1" si="91"/>
        <v>0</v>
      </c>
      <c r="H1435" s="21">
        <v>1420</v>
      </c>
      <c r="I1435" s="102">
        <v>0.66781040626626209</v>
      </c>
      <c r="J1435" s="103">
        <v>1.5457913736632585E-3</v>
      </c>
      <c r="K1435" s="103"/>
      <c r="L1435" s="103">
        <v>4.58E-2</v>
      </c>
      <c r="O1435" s="100"/>
    </row>
    <row r="1436" spans="2:15" x14ac:dyDescent="0.2">
      <c r="B1436" s="1">
        <v>1421</v>
      </c>
      <c r="C1436" s="101">
        <f t="shared" ca="1" si="88"/>
        <v>-0.39895463050559016</v>
      </c>
      <c r="D1436" s="101">
        <f t="shared" ca="1" si="89"/>
        <v>0.63885960669578012</v>
      </c>
      <c r="E1436" s="101">
        <f t="shared" ca="1" si="90"/>
        <v>0</v>
      </c>
      <c r="F1436" s="21">
        <f t="shared" ca="1" si="91"/>
        <v>0</v>
      </c>
      <c r="H1436" s="21">
        <v>1421</v>
      </c>
      <c r="I1436" s="102">
        <v>0.66766124115115022</v>
      </c>
      <c r="J1436" s="103">
        <v>1.2015660605163238E-3</v>
      </c>
      <c r="K1436" s="103"/>
      <c r="L1436" s="103">
        <v>3.9399999999999998E-2</v>
      </c>
      <c r="O1436" s="100"/>
    </row>
    <row r="1437" spans="2:15" x14ac:dyDescent="0.2">
      <c r="B1437" s="1">
        <v>1422</v>
      </c>
      <c r="C1437" s="101">
        <f t="shared" ca="1" si="88"/>
        <v>0.30578993954169842</v>
      </c>
      <c r="D1437" s="101">
        <f t="shared" ca="1" si="89"/>
        <v>0.68485124981272616</v>
      </c>
      <c r="E1437" s="101">
        <f t="shared" ca="1" si="90"/>
        <v>0</v>
      </c>
      <c r="F1437" s="21">
        <f t="shared" ca="1" si="91"/>
        <v>0</v>
      </c>
      <c r="H1437" s="21">
        <v>1422</v>
      </c>
      <c r="I1437" s="102">
        <v>0.66774604192848375</v>
      </c>
      <c r="J1437" s="103">
        <v>1.203715799068704E-3</v>
      </c>
      <c r="K1437" s="103"/>
      <c r="L1437" s="103">
        <v>4.0800000000000003E-2</v>
      </c>
      <c r="O1437" s="100"/>
    </row>
    <row r="1438" spans="2:15" x14ac:dyDescent="0.2">
      <c r="B1438" s="1">
        <v>1423</v>
      </c>
      <c r="C1438" s="101">
        <f t="shared" ca="1" si="88"/>
        <v>-0.22985664008591886</v>
      </c>
      <c r="D1438" s="101">
        <f t="shared" ca="1" si="89"/>
        <v>0.64960518611453721</v>
      </c>
      <c r="E1438" s="101">
        <f t="shared" ca="1" si="90"/>
        <v>0</v>
      </c>
      <c r="F1438" s="21">
        <f t="shared" ca="1" si="91"/>
        <v>0</v>
      </c>
      <c r="H1438" s="21">
        <v>1423</v>
      </c>
      <c r="I1438" s="102">
        <v>0.66762671900085069</v>
      </c>
      <c r="J1438" s="103">
        <v>1.1623926076918217E-3</v>
      </c>
      <c r="K1438" s="103"/>
      <c r="L1438" s="103">
        <v>3.5799999999999998E-2</v>
      </c>
      <c r="O1438" s="100"/>
    </row>
    <row r="1439" spans="2:15" x14ac:dyDescent="0.2">
      <c r="B1439" s="1">
        <v>1424</v>
      </c>
      <c r="C1439" s="101">
        <f t="shared" ca="1" si="88"/>
        <v>0.12722492887841225</v>
      </c>
      <c r="D1439" s="101">
        <f t="shared" ca="1" si="89"/>
        <v>0.6728939718801793</v>
      </c>
      <c r="E1439" s="101">
        <f t="shared" ca="1" si="90"/>
        <v>0</v>
      </c>
      <c r="F1439" s="21">
        <f t="shared" ca="1" si="91"/>
        <v>0</v>
      </c>
      <c r="H1439" s="21">
        <v>1424</v>
      </c>
      <c r="I1439" s="102">
        <v>0.66765852488397048</v>
      </c>
      <c r="J1439" s="103">
        <v>1.3425980938325504E-3</v>
      </c>
      <c r="K1439" s="103"/>
      <c r="L1439" s="103">
        <v>3.9E-2</v>
      </c>
      <c r="O1439" s="100"/>
    </row>
    <row r="1440" spans="2:15" x14ac:dyDescent="0.2">
      <c r="B1440" s="1">
        <v>1425</v>
      </c>
      <c r="C1440" s="101">
        <f t="shared" ca="1" si="88"/>
        <v>-0.95081086034170714</v>
      </c>
      <c r="D1440" s="101">
        <f t="shared" ca="1" si="89"/>
        <v>0.60501236283708293</v>
      </c>
      <c r="E1440" s="101">
        <f t="shared" ca="1" si="90"/>
        <v>0</v>
      </c>
      <c r="F1440" s="21">
        <f t="shared" ca="1" si="91"/>
        <v>0</v>
      </c>
      <c r="H1440" s="21">
        <v>1425</v>
      </c>
      <c r="I1440" s="102">
        <v>0.66777045988751227</v>
      </c>
      <c r="J1440" s="103">
        <v>1.5169146112741533E-3</v>
      </c>
      <c r="K1440" s="103"/>
      <c r="L1440" s="103">
        <v>4.24E-2</v>
      </c>
      <c r="O1440" s="100"/>
    </row>
    <row r="1441" spans="2:15" x14ac:dyDescent="0.2">
      <c r="B1441" s="1">
        <v>1426</v>
      </c>
      <c r="C1441" s="101">
        <f t="shared" ca="1" si="88"/>
        <v>-1.3236537525369765</v>
      </c>
      <c r="D1441" s="101">
        <f t="shared" ca="1" si="89"/>
        <v>0.58316558893789316</v>
      </c>
      <c r="E1441" s="101">
        <f t="shared" ca="1" si="90"/>
        <v>0</v>
      </c>
      <c r="F1441" s="21">
        <f t="shared" ca="1" si="91"/>
        <v>0</v>
      </c>
      <c r="H1441" s="21">
        <v>1426</v>
      </c>
      <c r="I1441" s="102">
        <v>0.66773515887714852</v>
      </c>
      <c r="J1441" s="103">
        <v>1.2910658100149482E-3</v>
      </c>
      <c r="K1441" s="103"/>
      <c r="L1441" s="103">
        <v>4.0599999999999997E-2</v>
      </c>
      <c r="O1441" s="100"/>
    </row>
    <row r="1442" spans="2:15" x14ac:dyDescent="0.2">
      <c r="B1442" s="1">
        <v>1427</v>
      </c>
      <c r="C1442" s="101">
        <f t="shared" ca="1" si="88"/>
        <v>-0.41454357408762221</v>
      </c>
      <c r="D1442" s="101">
        <f t="shared" ca="1" si="89"/>
        <v>0.63787797822015802</v>
      </c>
      <c r="E1442" s="101">
        <f t="shared" ca="1" si="90"/>
        <v>0</v>
      </c>
      <c r="F1442" s="21">
        <f t="shared" ca="1" si="91"/>
        <v>0</v>
      </c>
      <c r="H1442" s="21">
        <v>1427</v>
      </c>
      <c r="I1442" s="102">
        <v>0.66764428525978126</v>
      </c>
      <c r="J1442" s="103">
        <v>1.216964114597372E-3</v>
      </c>
      <c r="K1442" s="103"/>
      <c r="L1442" s="103">
        <v>3.9600000000000003E-2</v>
      </c>
      <c r="O1442" s="100"/>
    </row>
    <row r="1443" spans="2:15" x14ac:dyDescent="0.2">
      <c r="B1443" s="1">
        <v>1428</v>
      </c>
      <c r="C1443" s="101">
        <f t="shared" ca="1" si="88"/>
        <v>0.55383291568331849</v>
      </c>
      <c r="D1443" s="101">
        <f t="shared" ca="1" si="89"/>
        <v>0.7018143772132277</v>
      </c>
      <c r="E1443" s="101">
        <f t="shared" ca="1" si="90"/>
        <v>0</v>
      </c>
      <c r="F1443" s="21">
        <f t="shared" ca="1" si="91"/>
        <v>0</v>
      </c>
      <c r="H1443" s="21">
        <v>1428</v>
      </c>
      <c r="I1443" s="102">
        <v>0.66797217595012193</v>
      </c>
      <c r="J1443" s="103">
        <v>1.6686946233013173E-3</v>
      </c>
      <c r="K1443" s="103"/>
      <c r="L1443" s="103">
        <v>4.6199999999999998E-2</v>
      </c>
      <c r="O1443" s="100"/>
    </row>
    <row r="1444" spans="2:15" x14ac:dyDescent="0.2">
      <c r="B1444" s="1">
        <v>1429</v>
      </c>
      <c r="C1444" s="101">
        <f t="shared" ca="1" si="88"/>
        <v>0.61835059324135433</v>
      </c>
      <c r="D1444" s="101">
        <f t="shared" ca="1" si="89"/>
        <v>0.70629504318374237</v>
      </c>
      <c r="E1444" s="101">
        <f t="shared" ca="1" si="90"/>
        <v>0</v>
      </c>
      <c r="F1444" s="21">
        <f t="shared" ca="1" si="91"/>
        <v>0</v>
      </c>
      <c r="H1444" s="21">
        <v>1429</v>
      </c>
      <c r="I1444" s="102">
        <v>0.66772713689044527</v>
      </c>
      <c r="J1444" s="103">
        <v>1.3533418310920499E-3</v>
      </c>
      <c r="K1444" s="103"/>
      <c r="L1444" s="103">
        <v>4.3799999999999999E-2</v>
      </c>
      <c r="O1444" s="100"/>
    </row>
    <row r="1445" spans="2:15" x14ac:dyDescent="0.2">
      <c r="B1445" s="1">
        <v>1430</v>
      </c>
      <c r="C1445" s="101">
        <f t="shared" ca="1" si="88"/>
        <v>-0.76590310270319339</v>
      </c>
      <c r="D1445" s="101">
        <f t="shared" ca="1" si="89"/>
        <v>0.61614876661515328</v>
      </c>
      <c r="E1445" s="101">
        <f t="shared" ca="1" si="90"/>
        <v>0</v>
      </c>
      <c r="F1445" s="21">
        <f t="shared" ca="1" si="91"/>
        <v>0</v>
      </c>
      <c r="H1445" s="21">
        <v>1430</v>
      </c>
      <c r="I1445" s="102">
        <v>0.66773630751002078</v>
      </c>
      <c r="J1445" s="103">
        <v>1.3466561383100161E-3</v>
      </c>
      <c r="K1445" s="103"/>
      <c r="L1445" s="103">
        <v>4.0800000000000003E-2</v>
      </c>
      <c r="O1445" s="100"/>
    </row>
    <row r="1446" spans="2:15" x14ac:dyDescent="0.2">
      <c r="B1446" s="1">
        <v>1431</v>
      </c>
      <c r="C1446" s="101">
        <f t="shared" ca="1" si="88"/>
        <v>-0.51222119470479477</v>
      </c>
      <c r="D1446" s="101">
        <f t="shared" ca="1" si="89"/>
        <v>0.63176150558694533</v>
      </c>
      <c r="E1446" s="101">
        <f t="shared" ca="1" si="90"/>
        <v>0</v>
      </c>
      <c r="F1446" s="21">
        <f t="shared" ca="1" si="91"/>
        <v>0</v>
      </c>
      <c r="H1446" s="21">
        <v>1431</v>
      </c>
      <c r="I1446" s="102">
        <v>0.6678242216262239</v>
      </c>
      <c r="J1446" s="103">
        <v>1.4659139815301136E-3</v>
      </c>
      <c r="K1446" s="103"/>
      <c r="L1446" s="103">
        <v>4.02E-2</v>
      </c>
      <c r="O1446" s="100"/>
    </row>
    <row r="1447" spans="2:15" x14ac:dyDescent="0.2">
      <c r="B1447" s="1">
        <v>1432</v>
      </c>
      <c r="C1447" s="101">
        <f t="shared" ca="1" si="88"/>
        <v>0.43522802160257495</v>
      </c>
      <c r="D1447" s="101">
        <f t="shared" ca="1" si="89"/>
        <v>0.69365145293142494</v>
      </c>
      <c r="E1447" s="101">
        <f t="shared" ca="1" si="90"/>
        <v>0</v>
      </c>
      <c r="F1447" s="21">
        <f t="shared" ca="1" si="91"/>
        <v>0</v>
      </c>
      <c r="H1447" s="21">
        <v>1432</v>
      </c>
      <c r="I1447" s="102">
        <v>0.66774532957357202</v>
      </c>
      <c r="J1447" s="103">
        <v>1.3397651084526335E-3</v>
      </c>
      <c r="K1447" s="103"/>
      <c r="L1447" s="103">
        <v>0.04</v>
      </c>
      <c r="O1447" s="100"/>
    </row>
    <row r="1448" spans="2:15" x14ac:dyDescent="0.2">
      <c r="B1448" s="1">
        <v>1433</v>
      </c>
      <c r="C1448" s="101">
        <f t="shared" ca="1" si="88"/>
        <v>0.25190313306006862</v>
      </c>
      <c r="D1448" s="101">
        <f t="shared" ca="1" si="89"/>
        <v>0.68122060409233198</v>
      </c>
      <c r="E1448" s="101">
        <f t="shared" ca="1" si="90"/>
        <v>0</v>
      </c>
      <c r="F1448" s="21">
        <f t="shared" ca="1" si="91"/>
        <v>0</v>
      </c>
      <c r="H1448" s="21">
        <v>1433</v>
      </c>
      <c r="I1448" s="102">
        <v>0.66776092196535997</v>
      </c>
      <c r="J1448" s="103">
        <v>1.3984503653422348E-3</v>
      </c>
      <c r="K1448" s="103"/>
      <c r="L1448" s="103">
        <v>4.2000000000000003E-2</v>
      </c>
      <c r="O1448" s="100"/>
    </row>
    <row r="1449" spans="2:15" x14ac:dyDescent="0.2">
      <c r="B1449" s="1">
        <v>1434</v>
      </c>
      <c r="C1449" s="101">
        <f t="shared" ca="1" si="88"/>
        <v>-1.1007050568385677</v>
      </c>
      <c r="D1449" s="101">
        <f t="shared" ca="1" si="89"/>
        <v>0.59613260265595147</v>
      </c>
      <c r="E1449" s="101">
        <f t="shared" ca="1" si="90"/>
        <v>0</v>
      </c>
      <c r="F1449" s="21">
        <f t="shared" ca="1" si="91"/>
        <v>0</v>
      </c>
      <c r="H1449" s="21">
        <v>1434</v>
      </c>
      <c r="I1449" s="102">
        <v>0.66767261277668277</v>
      </c>
      <c r="J1449" s="103">
        <v>1.0908383482237298E-3</v>
      </c>
      <c r="K1449" s="103"/>
      <c r="L1449" s="103">
        <v>3.8399999999999997E-2</v>
      </c>
      <c r="O1449" s="100"/>
    </row>
    <row r="1450" spans="2:15" x14ac:dyDescent="0.2">
      <c r="B1450" s="1">
        <v>1435</v>
      </c>
      <c r="C1450" s="101">
        <f t="shared" ca="1" si="88"/>
        <v>-1.5011531832428837</v>
      </c>
      <c r="D1450" s="101">
        <f t="shared" ca="1" si="89"/>
        <v>0.57304393886190619</v>
      </c>
      <c r="E1450" s="101">
        <f t="shared" ca="1" si="90"/>
        <v>0</v>
      </c>
      <c r="F1450" s="21">
        <f t="shared" ca="1" si="91"/>
        <v>0</v>
      </c>
      <c r="H1450" s="21">
        <v>1435</v>
      </c>
      <c r="I1450" s="102">
        <v>0.66783323280963203</v>
      </c>
      <c r="J1450" s="103">
        <v>1.5144548722556277E-3</v>
      </c>
      <c r="K1450" s="103"/>
      <c r="L1450" s="103">
        <v>4.3200000000000002E-2</v>
      </c>
      <c r="O1450" s="100"/>
    </row>
    <row r="1451" spans="2:15" x14ac:dyDescent="0.2">
      <c r="B1451" s="1">
        <v>1436</v>
      </c>
      <c r="C1451" s="101">
        <f t="shared" ca="1" si="88"/>
        <v>-0.89043860756143889</v>
      </c>
      <c r="D1451" s="101">
        <f t="shared" ca="1" si="89"/>
        <v>0.60862608141462171</v>
      </c>
      <c r="E1451" s="101">
        <f t="shared" ca="1" si="90"/>
        <v>0</v>
      </c>
      <c r="F1451" s="21">
        <f t="shared" ca="1" si="91"/>
        <v>0</v>
      </c>
      <c r="H1451" s="21">
        <v>1436</v>
      </c>
      <c r="I1451" s="102">
        <v>0.66776801807768194</v>
      </c>
      <c r="J1451" s="103">
        <v>1.4690635100086072E-3</v>
      </c>
      <c r="K1451" s="103"/>
      <c r="L1451" s="103">
        <v>4.1799999999999997E-2</v>
      </c>
      <c r="O1451" s="100"/>
    </row>
    <row r="1452" spans="2:15" x14ac:dyDescent="0.2">
      <c r="B1452" s="1">
        <v>1437</v>
      </c>
      <c r="C1452" s="101">
        <f t="shared" ca="1" si="88"/>
        <v>-0.23058023695833443</v>
      </c>
      <c r="D1452" s="101">
        <f t="shared" ca="1" si="89"/>
        <v>0.64955882118906616</v>
      </c>
      <c r="E1452" s="101">
        <f t="shared" ca="1" si="90"/>
        <v>0</v>
      </c>
      <c r="F1452" s="21">
        <f t="shared" ca="1" si="91"/>
        <v>0</v>
      </c>
      <c r="H1452" s="21">
        <v>1437</v>
      </c>
      <c r="I1452" s="102">
        <v>0.66779495482778173</v>
      </c>
      <c r="J1452" s="103">
        <v>1.5118155435189737E-3</v>
      </c>
      <c r="K1452" s="103"/>
      <c r="L1452" s="103">
        <v>4.2799999999999998E-2</v>
      </c>
      <c r="O1452" s="100"/>
    </row>
    <row r="1453" spans="2:15" x14ac:dyDescent="0.2">
      <c r="B1453" s="1">
        <v>1438</v>
      </c>
      <c r="C1453" s="101">
        <f t="shared" ca="1" si="88"/>
        <v>-0.9686983245492089</v>
      </c>
      <c r="D1453" s="101">
        <f t="shared" ca="1" si="89"/>
        <v>0.60394579412388183</v>
      </c>
      <c r="E1453" s="101">
        <f t="shared" ca="1" si="90"/>
        <v>0</v>
      </c>
      <c r="F1453" s="21">
        <f t="shared" ca="1" si="91"/>
        <v>0</v>
      </c>
      <c r="H1453" s="21">
        <v>1438</v>
      </c>
      <c r="I1453" s="102">
        <v>0.66765593143400204</v>
      </c>
      <c r="J1453" s="103">
        <v>1.3253209236430412E-3</v>
      </c>
      <c r="K1453" s="103"/>
      <c r="L1453" s="103">
        <v>4.1599999999999998E-2</v>
      </c>
      <c r="O1453" s="100"/>
    </row>
    <row r="1454" spans="2:15" x14ac:dyDescent="0.2">
      <c r="B1454" s="1">
        <v>1439</v>
      </c>
      <c r="C1454" s="101">
        <f t="shared" ca="1" si="88"/>
        <v>-1.5090764360435762</v>
      </c>
      <c r="D1454" s="101">
        <f t="shared" ca="1" si="89"/>
        <v>0.5725962455214233</v>
      </c>
      <c r="E1454" s="101">
        <f t="shared" ca="1" si="90"/>
        <v>0</v>
      </c>
      <c r="F1454" s="21">
        <f t="shared" ca="1" si="91"/>
        <v>0</v>
      </c>
      <c r="H1454" s="21">
        <v>1439</v>
      </c>
      <c r="I1454" s="102">
        <v>0.66777718450063894</v>
      </c>
      <c r="J1454" s="103">
        <v>1.443551969283704E-3</v>
      </c>
      <c r="K1454" s="103"/>
      <c r="L1454" s="103">
        <v>3.9199999999999999E-2</v>
      </c>
      <c r="O1454" s="100"/>
    </row>
    <row r="1455" spans="2:15" x14ac:dyDescent="0.2">
      <c r="B1455" s="1">
        <v>1440</v>
      </c>
      <c r="C1455" s="101">
        <f t="shared" ca="1" si="88"/>
        <v>-1.0637194399265197</v>
      </c>
      <c r="D1455" s="101">
        <f t="shared" ca="1" si="89"/>
        <v>0.59831145150392673</v>
      </c>
      <c r="E1455" s="101">
        <f t="shared" ca="1" si="90"/>
        <v>0</v>
      </c>
      <c r="F1455" s="21">
        <f t="shared" ca="1" si="91"/>
        <v>0</v>
      </c>
      <c r="H1455" s="21">
        <v>1440</v>
      </c>
      <c r="I1455" s="102">
        <v>0.66776779373299022</v>
      </c>
      <c r="J1455" s="103">
        <v>1.2367199185114967E-3</v>
      </c>
      <c r="K1455" s="103"/>
      <c r="L1455" s="103">
        <v>4.2999999999999997E-2</v>
      </c>
      <c r="O1455" s="100"/>
    </row>
    <row r="1456" spans="2:15" x14ac:dyDescent="0.2">
      <c r="B1456" s="1">
        <v>1441</v>
      </c>
      <c r="C1456" s="101">
        <f t="shared" ca="1" si="88"/>
        <v>2.5666828022505697</v>
      </c>
      <c r="D1456" s="101">
        <f t="shared" ca="1" si="89"/>
        <v>0.85595613486823985</v>
      </c>
      <c r="E1456" s="101">
        <f t="shared" ca="1" si="90"/>
        <v>6.7756134868239837E-2</v>
      </c>
      <c r="F1456" s="21">
        <f t="shared" ca="1" si="91"/>
        <v>1</v>
      </c>
      <c r="H1456" s="21">
        <v>1441</v>
      </c>
      <c r="I1456" s="102">
        <v>0.66773509351256677</v>
      </c>
      <c r="J1456" s="103">
        <v>1.3556926971612273E-3</v>
      </c>
      <c r="K1456" s="103"/>
      <c r="L1456" s="103">
        <v>4.4999999999999998E-2</v>
      </c>
      <c r="O1456" s="100"/>
    </row>
    <row r="1457" spans="2:15" x14ac:dyDescent="0.2">
      <c r="B1457" s="1">
        <v>1442</v>
      </c>
      <c r="C1457" s="101">
        <f t="shared" ca="1" si="88"/>
        <v>-1.0128487759568772</v>
      </c>
      <c r="D1457" s="101">
        <f t="shared" ca="1" si="89"/>
        <v>0.60132129359695463</v>
      </c>
      <c r="E1457" s="101">
        <f t="shared" ca="1" si="90"/>
        <v>0</v>
      </c>
      <c r="F1457" s="21">
        <f t="shared" ca="1" si="91"/>
        <v>0</v>
      </c>
      <c r="H1457" s="21">
        <v>1442</v>
      </c>
      <c r="I1457" s="102">
        <v>0.66760643877024706</v>
      </c>
      <c r="J1457" s="103">
        <v>1.2513131747664467E-3</v>
      </c>
      <c r="K1457" s="103"/>
      <c r="L1457" s="103">
        <v>3.5999999999999997E-2</v>
      </c>
      <c r="O1457" s="100"/>
    </row>
    <row r="1458" spans="2:15" x14ac:dyDescent="0.2">
      <c r="B1458" s="1">
        <v>1443</v>
      </c>
      <c r="C1458" s="101">
        <f t="shared" ca="1" si="88"/>
        <v>-1.2883910701469836</v>
      </c>
      <c r="D1458" s="101">
        <f t="shared" ca="1" si="89"/>
        <v>0.58519757942464312</v>
      </c>
      <c r="E1458" s="101">
        <f t="shared" ca="1" si="90"/>
        <v>0</v>
      </c>
      <c r="F1458" s="21">
        <f t="shared" ca="1" si="91"/>
        <v>0</v>
      </c>
      <c r="H1458" s="21">
        <v>1443</v>
      </c>
      <c r="I1458" s="102">
        <v>0.66763728025649527</v>
      </c>
      <c r="J1458" s="103">
        <v>1.2924777872462784E-3</v>
      </c>
      <c r="K1458" s="103"/>
      <c r="L1458" s="103">
        <v>4.02E-2</v>
      </c>
      <c r="O1458" s="100"/>
    </row>
    <row r="1459" spans="2:15" x14ac:dyDescent="0.2">
      <c r="B1459" s="1">
        <v>1444</v>
      </c>
      <c r="C1459" s="101">
        <f t="shared" ca="1" si="88"/>
        <v>-0.79562312463713836</v>
      </c>
      <c r="D1459" s="101">
        <f t="shared" ca="1" si="89"/>
        <v>0.61434509624254396</v>
      </c>
      <c r="E1459" s="101">
        <f t="shared" ca="1" si="90"/>
        <v>0</v>
      </c>
      <c r="F1459" s="21">
        <f t="shared" ca="1" si="91"/>
        <v>0</v>
      </c>
      <c r="H1459" s="21">
        <v>1444</v>
      </c>
      <c r="I1459" s="102">
        <v>0.66785288332479908</v>
      </c>
      <c r="J1459" s="103">
        <v>1.5373201793157357E-3</v>
      </c>
      <c r="K1459" s="103"/>
      <c r="L1459" s="103">
        <v>4.1799999999999997E-2</v>
      </c>
      <c r="O1459" s="100"/>
    </row>
    <row r="1460" spans="2:15" x14ac:dyDescent="0.2">
      <c r="B1460" s="1">
        <v>1445</v>
      </c>
      <c r="C1460" s="101">
        <f t="shared" ca="1" si="88"/>
        <v>0.74376964685917624</v>
      </c>
      <c r="D1460" s="101">
        <f t="shared" ca="1" si="89"/>
        <v>0.71508724777620936</v>
      </c>
      <c r="E1460" s="101">
        <f t="shared" ca="1" si="90"/>
        <v>0</v>
      </c>
      <c r="F1460" s="21">
        <f t="shared" ca="1" si="91"/>
        <v>0</v>
      </c>
      <c r="H1460" s="21">
        <v>1445</v>
      </c>
      <c r="I1460" s="102">
        <v>0.66768581633330326</v>
      </c>
      <c r="J1460" s="103">
        <v>1.3645383901539883E-3</v>
      </c>
      <c r="K1460" s="103"/>
      <c r="L1460" s="103">
        <v>3.8399999999999997E-2</v>
      </c>
      <c r="O1460" s="100"/>
    </row>
    <row r="1461" spans="2:15" x14ac:dyDescent="0.2">
      <c r="B1461" s="1">
        <v>1446</v>
      </c>
      <c r="C1461" s="101">
        <f t="shared" ca="1" si="88"/>
        <v>-1.3698209673194075</v>
      </c>
      <c r="D1461" s="101">
        <f t="shared" ca="1" si="89"/>
        <v>0.58051589353193445</v>
      </c>
      <c r="E1461" s="101">
        <f t="shared" ca="1" si="90"/>
        <v>0</v>
      </c>
      <c r="F1461" s="21">
        <f t="shared" ca="1" si="91"/>
        <v>0</v>
      </c>
      <c r="H1461" s="21">
        <v>1446</v>
      </c>
      <c r="I1461" s="102">
        <v>0.66767998927275585</v>
      </c>
      <c r="J1461" s="103">
        <v>1.3865393060011322E-3</v>
      </c>
      <c r="K1461" s="103"/>
      <c r="L1461" s="103">
        <v>4.1200000000000001E-2</v>
      </c>
      <c r="O1461" s="100"/>
    </row>
    <row r="1462" spans="2:15" x14ac:dyDescent="0.2">
      <c r="B1462" s="1">
        <v>1447</v>
      </c>
      <c r="C1462" s="101">
        <f t="shared" ca="1" si="88"/>
        <v>1.5574536033750588</v>
      </c>
      <c r="D1462" s="101">
        <f t="shared" ca="1" si="89"/>
        <v>0.77484842093750439</v>
      </c>
      <c r="E1462" s="101">
        <f t="shared" ca="1" si="90"/>
        <v>0</v>
      </c>
      <c r="F1462" s="21">
        <f t="shared" ca="1" si="91"/>
        <v>0</v>
      </c>
      <c r="H1462" s="21">
        <v>1447</v>
      </c>
      <c r="I1462" s="102">
        <v>0.66769336330971396</v>
      </c>
      <c r="J1462" s="103">
        <v>1.2153753487555961E-3</v>
      </c>
      <c r="K1462" s="103"/>
      <c r="L1462" s="103">
        <v>4.1000000000000002E-2</v>
      </c>
      <c r="O1462" s="100"/>
    </row>
    <row r="1463" spans="2:15" x14ac:dyDescent="0.2">
      <c r="B1463" s="1">
        <v>1448</v>
      </c>
      <c r="C1463" s="101">
        <f t="shared" ca="1" si="88"/>
        <v>-0.60020661240083728</v>
      </c>
      <c r="D1463" s="101">
        <f t="shared" ca="1" si="89"/>
        <v>0.62630217362070417</v>
      </c>
      <c r="E1463" s="101">
        <f t="shared" ca="1" si="90"/>
        <v>0</v>
      </c>
      <c r="F1463" s="21">
        <f t="shared" ca="1" si="91"/>
        <v>0</v>
      </c>
      <c r="H1463" s="21">
        <v>1448</v>
      </c>
      <c r="I1463" s="102">
        <v>0.66758862213598691</v>
      </c>
      <c r="J1463" s="103">
        <v>1.250044312776759E-3</v>
      </c>
      <c r="K1463" s="103"/>
      <c r="L1463" s="103">
        <v>3.7400000000000003E-2</v>
      </c>
      <c r="O1463" s="100"/>
    </row>
    <row r="1464" spans="2:15" x14ac:dyDescent="0.2">
      <c r="B1464" s="1">
        <v>1449</v>
      </c>
      <c r="C1464" s="101">
        <f t="shared" ca="1" si="88"/>
        <v>2.5886522007483141</v>
      </c>
      <c r="D1464" s="101">
        <f t="shared" ca="1" si="89"/>
        <v>0.8578130807152895</v>
      </c>
      <c r="E1464" s="101">
        <f t="shared" ca="1" si="90"/>
        <v>6.9613080715289488E-2</v>
      </c>
      <c r="F1464" s="21">
        <f t="shared" ca="1" si="91"/>
        <v>1</v>
      </c>
      <c r="H1464" s="21">
        <v>1449</v>
      </c>
      <c r="I1464" s="102">
        <v>0.66775542164010859</v>
      </c>
      <c r="J1464" s="103">
        <v>1.4866334201916963E-3</v>
      </c>
      <c r="K1464" s="103"/>
      <c r="L1464" s="103">
        <v>4.02E-2</v>
      </c>
      <c r="O1464" s="100"/>
    </row>
    <row r="1465" spans="2:15" x14ac:dyDescent="0.2">
      <c r="B1465" s="1">
        <v>1450</v>
      </c>
      <c r="C1465" s="101">
        <f t="shared" ca="1" si="88"/>
        <v>0.3167078390200857</v>
      </c>
      <c r="D1465" s="101">
        <f t="shared" ca="1" si="89"/>
        <v>0.68558920182914196</v>
      </c>
      <c r="E1465" s="101">
        <f t="shared" ca="1" si="90"/>
        <v>0</v>
      </c>
      <c r="F1465" s="21">
        <f t="shared" ca="1" si="91"/>
        <v>0</v>
      </c>
      <c r="H1465" s="21">
        <v>1450</v>
      </c>
      <c r="I1465" s="102">
        <v>0.66768491010549802</v>
      </c>
      <c r="J1465" s="103">
        <v>1.3556930891668888E-3</v>
      </c>
      <c r="K1465" s="103"/>
      <c r="L1465" s="103">
        <v>4.24E-2</v>
      </c>
      <c r="O1465" s="100"/>
    </row>
    <row r="1466" spans="2:15" x14ac:dyDescent="0.2">
      <c r="B1466" s="1">
        <v>1451</v>
      </c>
      <c r="C1466" s="101">
        <f t="shared" ca="1" si="88"/>
        <v>-1.7229933144860008</v>
      </c>
      <c r="D1466" s="101">
        <f t="shared" ca="1" si="89"/>
        <v>0.56064045016345687</v>
      </c>
      <c r="E1466" s="101">
        <f t="shared" ca="1" si="90"/>
        <v>0</v>
      </c>
      <c r="F1466" s="21">
        <f t="shared" ca="1" si="91"/>
        <v>0</v>
      </c>
      <c r="H1466" s="21">
        <v>1451</v>
      </c>
      <c r="I1466" s="102">
        <v>0.66784634698412404</v>
      </c>
      <c r="J1466" s="103">
        <v>1.3254385377263868E-3</v>
      </c>
      <c r="K1466" s="103"/>
      <c r="L1466" s="103">
        <v>4.3799999999999999E-2</v>
      </c>
      <c r="O1466" s="100"/>
    </row>
    <row r="1467" spans="2:15" x14ac:dyDescent="0.2">
      <c r="B1467" s="1">
        <v>1452</v>
      </c>
      <c r="C1467" s="101">
        <f t="shared" ca="1" si="88"/>
        <v>0.26791170816093768</v>
      </c>
      <c r="D1467" s="101">
        <f t="shared" ca="1" si="89"/>
        <v>0.68229717415154612</v>
      </c>
      <c r="E1467" s="101">
        <f t="shared" ca="1" si="90"/>
        <v>0</v>
      </c>
      <c r="F1467" s="21">
        <f t="shared" ca="1" si="91"/>
        <v>0</v>
      </c>
      <c r="H1467" s="21">
        <v>1452</v>
      </c>
      <c r="I1467" s="102">
        <v>0.66781740951195856</v>
      </c>
      <c r="J1467" s="103">
        <v>1.5328276112775213E-3</v>
      </c>
      <c r="K1467" s="103"/>
      <c r="L1467" s="103">
        <v>4.7E-2</v>
      </c>
      <c r="O1467" s="100"/>
    </row>
    <row r="1468" spans="2:15" x14ac:dyDescent="0.2">
      <c r="B1468" s="1">
        <v>1453</v>
      </c>
      <c r="C1468" s="101">
        <f t="shared" ca="1" si="88"/>
        <v>0.29097630710464339</v>
      </c>
      <c r="D1468" s="101">
        <f t="shared" ca="1" si="89"/>
        <v>0.68385125107213318</v>
      </c>
      <c r="E1468" s="101">
        <f t="shared" ca="1" si="90"/>
        <v>0</v>
      </c>
      <c r="F1468" s="21">
        <f t="shared" ca="1" si="91"/>
        <v>0</v>
      </c>
      <c r="H1468" s="21">
        <v>1453</v>
      </c>
      <c r="I1468" s="102">
        <v>0.66774672626016474</v>
      </c>
      <c r="J1468" s="103">
        <v>1.2187409388110895E-3</v>
      </c>
      <c r="K1468" s="103"/>
      <c r="L1468" s="103">
        <v>4.4200000000000003E-2</v>
      </c>
      <c r="O1468" s="100"/>
    </row>
    <row r="1469" spans="2:15" x14ac:dyDescent="0.2">
      <c r="B1469" s="1">
        <v>1454</v>
      </c>
      <c r="C1469" s="101">
        <f t="shared" ca="1" si="88"/>
        <v>0.66436299430643986</v>
      </c>
      <c r="D1469" s="101">
        <f t="shared" ca="1" si="89"/>
        <v>0.70950800748265819</v>
      </c>
      <c r="E1469" s="101">
        <f t="shared" ca="1" si="90"/>
        <v>0</v>
      </c>
      <c r="F1469" s="21">
        <f t="shared" ca="1" si="91"/>
        <v>0</v>
      </c>
      <c r="H1469" s="21">
        <v>1454</v>
      </c>
      <c r="I1469" s="102">
        <v>0.6676984637941068</v>
      </c>
      <c r="J1469" s="103">
        <v>1.2744431911541375E-3</v>
      </c>
      <c r="K1469" s="103"/>
      <c r="L1469" s="103">
        <v>3.8800000000000001E-2</v>
      </c>
      <c r="O1469" s="100"/>
    </row>
    <row r="1470" spans="2:15" x14ac:dyDescent="0.2">
      <c r="B1470" s="1">
        <v>1455</v>
      </c>
      <c r="C1470" s="101">
        <f t="shared" ca="1" si="88"/>
        <v>-0.83974145801885569</v>
      </c>
      <c r="D1470" s="101">
        <f t="shared" ca="1" si="89"/>
        <v>0.61167734250855554</v>
      </c>
      <c r="E1470" s="101">
        <f t="shared" ca="1" si="90"/>
        <v>0</v>
      </c>
      <c r="F1470" s="21">
        <f t="shared" ca="1" si="91"/>
        <v>0</v>
      </c>
      <c r="H1470" s="21">
        <v>1455</v>
      </c>
      <c r="I1470" s="102">
        <v>0.66778648310739541</v>
      </c>
      <c r="J1470" s="103">
        <v>1.3574588803378243E-3</v>
      </c>
      <c r="K1470" s="103"/>
      <c r="L1470" s="103">
        <v>4.1399999999999999E-2</v>
      </c>
      <c r="O1470" s="100"/>
    </row>
    <row r="1471" spans="2:15" x14ac:dyDescent="0.2">
      <c r="B1471" s="1">
        <v>1456</v>
      </c>
      <c r="C1471" s="101">
        <f t="shared" ca="1" si="88"/>
        <v>1.3073080176407581</v>
      </c>
      <c r="D1471" s="101">
        <f t="shared" ca="1" si="89"/>
        <v>0.75596322598953336</v>
      </c>
      <c r="E1471" s="101">
        <f t="shared" ca="1" si="90"/>
        <v>0</v>
      </c>
      <c r="F1471" s="21">
        <f t="shared" ca="1" si="91"/>
        <v>0</v>
      </c>
      <c r="H1471" s="21">
        <v>1456</v>
      </c>
      <c r="I1471" s="102">
        <v>0.66775788811516723</v>
      </c>
      <c r="J1471" s="103">
        <v>1.3970226427984763E-3</v>
      </c>
      <c r="K1471" s="103"/>
      <c r="L1471" s="103">
        <v>4.2599999999999999E-2</v>
      </c>
      <c r="O1471" s="100"/>
    </row>
    <row r="1472" spans="2:15" x14ac:dyDescent="0.2">
      <c r="B1472" s="1">
        <v>1457</v>
      </c>
      <c r="C1472" s="101">
        <f t="shared" ca="1" si="88"/>
        <v>3.0257316837546271</v>
      </c>
      <c r="D1472" s="101">
        <f t="shared" ca="1" si="89"/>
        <v>0.89560576414883841</v>
      </c>
      <c r="E1472" s="101">
        <f t="shared" ca="1" si="90"/>
        <v>0.1074057641488384</v>
      </c>
      <c r="F1472" s="21">
        <f t="shared" ca="1" si="91"/>
        <v>1</v>
      </c>
      <c r="H1472" s="21">
        <v>1457</v>
      </c>
      <c r="I1472" s="102">
        <v>0.66761655176924517</v>
      </c>
      <c r="J1472" s="103">
        <v>1.1992292817276492E-3</v>
      </c>
      <c r="K1472" s="103"/>
      <c r="L1472" s="103">
        <v>0.04</v>
      </c>
      <c r="O1472" s="100"/>
    </row>
    <row r="1473" spans="2:15" x14ac:dyDescent="0.2">
      <c r="B1473" s="1">
        <v>1458</v>
      </c>
      <c r="C1473" s="101">
        <f t="shared" ca="1" si="88"/>
        <v>1.6936002728434474</v>
      </c>
      <c r="D1473" s="101">
        <f t="shared" ca="1" si="89"/>
        <v>0.78532458179116493</v>
      </c>
      <c r="E1473" s="101">
        <f t="shared" ca="1" si="90"/>
        <v>0</v>
      </c>
      <c r="F1473" s="21">
        <f t="shared" ca="1" si="91"/>
        <v>0</v>
      </c>
      <c r="H1473" s="21">
        <v>1458</v>
      </c>
      <c r="I1473" s="102">
        <v>0.66765035809068707</v>
      </c>
      <c r="J1473" s="103">
        <v>1.244562981082451E-3</v>
      </c>
      <c r="K1473" s="103"/>
      <c r="L1473" s="103">
        <v>4.1799999999999997E-2</v>
      </c>
      <c r="O1473" s="100"/>
    </row>
    <row r="1474" spans="2:15" x14ac:dyDescent="0.2">
      <c r="B1474" s="1">
        <v>1459</v>
      </c>
      <c r="C1474" s="101">
        <f t="shared" ca="1" si="88"/>
        <v>0.51134144970164541</v>
      </c>
      <c r="D1474" s="101">
        <f t="shared" ca="1" si="89"/>
        <v>0.69887893834750991</v>
      </c>
      <c r="E1474" s="101">
        <f t="shared" ca="1" si="90"/>
        <v>0</v>
      </c>
      <c r="F1474" s="21">
        <f t="shared" ca="1" si="91"/>
        <v>0</v>
      </c>
      <c r="H1474" s="21">
        <v>1459</v>
      </c>
      <c r="I1474" s="102">
        <v>0.66761434094918881</v>
      </c>
      <c r="J1474" s="103">
        <v>1.2127263063549387E-3</v>
      </c>
      <c r="K1474" s="103"/>
      <c r="L1474" s="103">
        <v>3.9E-2</v>
      </c>
      <c r="O1474" s="100"/>
    </row>
    <row r="1475" spans="2:15" x14ac:dyDescent="0.2">
      <c r="B1475" s="1">
        <v>1460</v>
      </c>
      <c r="C1475" s="101">
        <f t="shared" ca="1" si="88"/>
        <v>7.1676602992558541E-2</v>
      </c>
      <c r="D1475" s="101">
        <f t="shared" ca="1" si="89"/>
        <v>0.6692170260789323</v>
      </c>
      <c r="E1475" s="101">
        <f t="shared" ca="1" si="90"/>
        <v>0</v>
      </c>
      <c r="F1475" s="21">
        <f t="shared" ca="1" si="91"/>
        <v>0</v>
      </c>
      <c r="H1475" s="21">
        <v>1460</v>
      </c>
      <c r="I1475" s="102">
        <v>0.66764315264490859</v>
      </c>
      <c r="J1475" s="103">
        <v>1.2450961938830665E-3</v>
      </c>
      <c r="K1475" s="103"/>
      <c r="L1475" s="103">
        <v>0.04</v>
      </c>
      <c r="O1475" s="100"/>
    </row>
    <row r="1476" spans="2:15" x14ac:dyDescent="0.2">
      <c r="B1476" s="1">
        <v>1461</v>
      </c>
      <c r="C1476" s="101">
        <f t="shared" ca="1" si="88"/>
        <v>0.91000477022552473</v>
      </c>
      <c r="D1476" s="101">
        <f t="shared" ca="1" si="89"/>
        <v>0.72690966534723434</v>
      </c>
      <c r="E1476" s="101">
        <f t="shared" ca="1" si="90"/>
        <v>0</v>
      </c>
      <c r="F1476" s="21">
        <f t="shared" ca="1" si="91"/>
        <v>0</v>
      </c>
      <c r="H1476" s="21">
        <v>1461</v>
      </c>
      <c r="I1476" s="102">
        <v>0.66784771407305299</v>
      </c>
      <c r="J1476" s="103">
        <v>1.509981152840161E-3</v>
      </c>
      <c r="K1476" s="103"/>
      <c r="L1476" s="103">
        <v>4.1799999999999997E-2</v>
      </c>
      <c r="O1476" s="100"/>
    </row>
    <row r="1477" spans="2:15" x14ac:dyDescent="0.2">
      <c r="B1477" s="1">
        <v>1462</v>
      </c>
      <c r="C1477" s="101">
        <f t="shared" ca="1" si="88"/>
        <v>0.48264741913549974</v>
      </c>
      <c r="D1477" s="101">
        <f t="shared" ca="1" si="89"/>
        <v>0.69690361617974828</v>
      </c>
      <c r="E1477" s="101">
        <f t="shared" ca="1" si="90"/>
        <v>0</v>
      </c>
      <c r="F1477" s="21">
        <f t="shared" ca="1" si="91"/>
        <v>0</v>
      </c>
      <c r="H1477" s="21">
        <v>1462</v>
      </c>
      <c r="I1477" s="102">
        <v>0.66783022313173945</v>
      </c>
      <c r="J1477" s="103">
        <v>1.6118874689564117E-3</v>
      </c>
      <c r="K1477" s="103"/>
      <c r="L1477" s="103">
        <v>4.5999999999999999E-2</v>
      </c>
      <c r="O1477" s="100"/>
    </row>
    <row r="1478" spans="2:15" x14ac:dyDescent="0.2">
      <c r="B1478" s="1">
        <v>1463</v>
      </c>
      <c r="C1478" s="101">
        <f t="shared" ca="1" si="88"/>
        <v>-9.9400090807308508E-2</v>
      </c>
      <c r="D1478" s="101">
        <f t="shared" ca="1" si="89"/>
        <v>0.65801858745752662</v>
      </c>
      <c r="E1478" s="101">
        <f t="shared" ca="1" si="90"/>
        <v>0</v>
      </c>
      <c r="F1478" s="21">
        <f t="shared" ca="1" si="91"/>
        <v>0</v>
      </c>
      <c r="H1478" s="21">
        <v>1463</v>
      </c>
      <c r="I1478" s="102">
        <v>0.66771508952030989</v>
      </c>
      <c r="J1478" s="103">
        <v>1.3377607535704748E-3</v>
      </c>
      <c r="K1478" s="103"/>
      <c r="L1478" s="103">
        <v>4.0800000000000003E-2</v>
      </c>
      <c r="O1478" s="100"/>
    </row>
    <row r="1479" spans="2:15" x14ac:dyDescent="0.2">
      <c r="B1479" s="1">
        <v>1464</v>
      </c>
      <c r="C1479" s="101">
        <f t="shared" ca="1" si="88"/>
        <v>0.92118378308761151</v>
      </c>
      <c r="D1479" s="101">
        <f t="shared" ca="1" si="89"/>
        <v>0.72771167994478936</v>
      </c>
      <c r="E1479" s="101">
        <f t="shared" ca="1" si="90"/>
        <v>0</v>
      </c>
      <c r="F1479" s="21">
        <f t="shared" ca="1" si="91"/>
        <v>0</v>
      </c>
      <c r="H1479" s="21">
        <v>1464</v>
      </c>
      <c r="I1479" s="102">
        <v>0.66773502373292115</v>
      </c>
      <c r="J1479" s="103">
        <v>1.508473632736833E-3</v>
      </c>
      <c r="K1479" s="103"/>
      <c r="L1479" s="103">
        <v>0.04</v>
      </c>
      <c r="O1479" s="100"/>
    </row>
    <row r="1480" spans="2:15" x14ac:dyDescent="0.2">
      <c r="B1480" s="1">
        <v>1465</v>
      </c>
      <c r="C1480" s="101">
        <f t="shared" ca="1" si="88"/>
        <v>0.45984508613979935</v>
      </c>
      <c r="D1480" s="101">
        <f t="shared" ca="1" si="89"/>
        <v>0.69533786562245192</v>
      </c>
      <c r="E1480" s="101">
        <f t="shared" ca="1" si="90"/>
        <v>0</v>
      </c>
      <c r="F1480" s="21">
        <f t="shared" ca="1" si="91"/>
        <v>0</v>
      </c>
      <c r="H1480" s="21">
        <v>1465</v>
      </c>
      <c r="I1480" s="102">
        <v>0.6676136788304653</v>
      </c>
      <c r="J1480" s="103">
        <v>1.3632452783651718E-3</v>
      </c>
      <c r="K1480" s="103"/>
      <c r="L1480" s="103">
        <v>3.8199999999999998E-2</v>
      </c>
      <c r="O1480" s="100"/>
    </row>
    <row r="1481" spans="2:15" x14ac:dyDescent="0.2">
      <c r="B1481" s="1">
        <v>1466</v>
      </c>
      <c r="C1481" s="101">
        <f t="shared" ca="1" si="88"/>
        <v>-3.8624522494495363E-2</v>
      </c>
      <c r="D1481" s="101">
        <f t="shared" ca="1" si="89"/>
        <v>0.66197524565972243</v>
      </c>
      <c r="E1481" s="101">
        <f t="shared" ca="1" si="90"/>
        <v>0</v>
      </c>
      <c r="F1481" s="21">
        <f t="shared" ca="1" si="91"/>
        <v>0</v>
      </c>
      <c r="H1481" s="21">
        <v>1466</v>
      </c>
      <c r="I1481" s="102">
        <v>0.6678006413813159</v>
      </c>
      <c r="J1481" s="103">
        <v>1.3158753012570855E-3</v>
      </c>
      <c r="K1481" s="103"/>
      <c r="L1481" s="103">
        <v>4.4200000000000003E-2</v>
      </c>
      <c r="O1481" s="100"/>
    </row>
    <row r="1482" spans="2:15" x14ac:dyDescent="0.2">
      <c r="B1482" s="1">
        <v>1467</v>
      </c>
      <c r="C1482" s="101">
        <f t="shared" ca="1" si="88"/>
        <v>-0.90984848161484233</v>
      </c>
      <c r="D1482" s="101">
        <f t="shared" ca="1" si="89"/>
        <v>0.60746191118282056</v>
      </c>
      <c r="E1482" s="101">
        <f t="shared" ca="1" si="90"/>
        <v>0</v>
      </c>
      <c r="F1482" s="21">
        <f t="shared" ca="1" si="91"/>
        <v>0</v>
      </c>
      <c r="H1482" s="21">
        <v>1467</v>
      </c>
      <c r="I1482" s="102">
        <v>0.66762780114243159</v>
      </c>
      <c r="J1482" s="103">
        <v>1.1561615893430513E-3</v>
      </c>
      <c r="K1482" s="103"/>
      <c r="L1482" s="103">
        <v>3.9800000000000002E-2</v>
      </c>
      <c r="O1482" s="100"/>
    </row>
    <row r="1483" spans="2:15" x14ac:dyDescent="0.2">
      <c r="B1483" s="1">
        <v>1468</v>
      </c>
      <c r="C1483" s="101">
        <f t="shared" ca="1" si="88"/>
        <v>-1.4788610847103346E-2</v>
      </c>
      <c r="D1483" s="101">
        <f t="shared" ca="1" si="89"/>
        <v>0.66353351697051866</v>
      </c>
      <c r="E1483" s="101">
        <f t="shared" ca="1" si="90"/>
        <v>0</v>
      </c>
      <c r="F1483" s="21">
        <f t="shared" ca="1" si="91"/>
        <v>0</v>
      </c>
      <c r="H1483" s="21">
        <v>1468</v>
      </c>
      <c r="I1483" s="102">
        <v>0.66771173645718895</v>
      </c>
      <c r="J1483" s="103">
        <v>1.3395545360693688E-3</v>
      </c>
      <c r="K1483" s="103"/>
      <c r="L1483" s="103">
        <v>4.0399999999999998E-2</v>
      </c>
      <c r="O1483" s="100"/>
    </row>
    <row r="1484" spans="2:15" x14ac:dyDescent="0.2">
      <c r="B1484" s="1">
        <v>1469</v>
      </c>
      <c r="C1484" s="101">
        <f t="shared" ca="1" si="88"/>
        <v>-0.16372500545837831</v>
      </c>
      <c r="D1484" s="101">
        <f t="shared" ca="1" si="89"/>
        <v>0.65385661511795901</v>
      </c>
      <c r="E1484" s="101">
        <f t="shared" ca="1" si="90"/>
        <v>0</v>
      </c>
      <c r="F1484" s="21">
        <f t="shared" ca="1" si="91"/>
        <v>0</v>
      </c>
      <c r="H1484" s="21">
        <v>1469</v>
      </c>
      <c r="I1484" s="102">
        <v>0.66782305466042069</v>
      </c>
      <c r="J1484" s="103">
        <v>1.3543066365392638E-3</v>
      </c>
      <c r="K1484" s="103"/>
      <c r="L1484" s="103">
        <v>4.5400000000000003E-2</v>
      </c>
      <c r="O1484" s="100"/>
    </row>
    <row r="1485" spans="2:15" x14ac:dyDescent="0.2">
      <c r="B1485" s="1">
        <v>1470</v>
      </c>
      <c r="C1485" s="101">
        <f t="shared" ca="1" si="88"/>
        <v>1.1447154288236856</v>
      </c>
      <c r="D1485" s="101">
        <f t="shared" ca="1" si="89"/>
        <v>0.74393553427918169</v>
      </c>
      <c r="E1485" s="101">
        <f t="shared" ca="1" si="90"/>
        <v>0</v>
      </c>
      <c r="F1485" s="21">
        <f t="shared" ca="1" si="91"/>
        <v>0</v>
      </c>
      <c r="H1485" s="21">
        <v>1470</v>
      </c>
      <c r="I1485" s="102">
        <v>0.6677630184972897</v>
      </c>
      <c r="J1485" s="103">
        <v>1.3288050104587189E-3</v>
      </c>
      <c r="K1485" s="103"/>
      <c r="L1485" s="103">
        <v>4.2200000000000001E-2</v>
      </c>
      <c r="O1485" s="100"/>
    </row>
    <row r="1486" spans="2:15" x14ac:dyDescent="0.2">
      <c r="B1486" s="1">
        <v>1471</v>
      </c>
      <c r="C1486" s="101">
        <f t="shared" ca="1" si="88"/>
        <v>1.94941324055776</v>
      </c>
      <c r="D1486" s="101">
        <f t="shared" ca="1" si="89"/>
        <v>0.80539339105810681</v>
      </c>
      <c r="E1486" s="101">
        <f t="shared" ca="1" si="90"/>
        <v>1.7193391058106799E-2</v>
      </c>
      <c r="F1486" s="21">
        <f t="shared" ca="1" si="91"/>
        <v>1</v>
      </c>
      <c r="H1486" s="21">
        <v>1471</v>
      </c>
      <c r="I1486" s="102">
        <v>0.66767822389813081</v>
      </c>
      <c r="J1486" s="103">
        <v>1.280521320644976E-3</v>
      </c>
      <c r="K1486" s="103"/>
      <c r="L1486" s="103">
        <v>4.1799999999999997E-2</v>
      </c>
      <c r="O1486" s="100"/>
    </row>
    <row r="1487" spans="2:15" x14ac:dyDescent="0.2">
      <c r="B1487" s="1">
        <v>1472</v>
      </c>
      <c r="C1487" s="101">
        <f t="shared" ca="1" si="88"/>
        <v>-1.0540674466301765</v>
      </c>
      <c r="D1487" s="101">
        <f t="shared" ca="1" si="89"/>
        <v>0.59888136637131961</v>
      </c>
      <c r="E1487" s="101">
        <f t="shared" ca="1" si="90"/>
        <v>0</v>
      </c>
      <c r="F1487" s="21">
        <f t="shared" ca="1" si="91"/>
        <v>0</v>
      </c>
      <c r="H1487" s="21">
        <v>1472</v>
      </c>
      <c r="I1487" s="102">
        <v>0.66772723041147497</v>
      </c>
      <c r="J1487" s="103">
        <v>1.4691106952311327E-3</v>
      </c>
      <c r="K1487" s="103"/>
      <c r="L1487" s="103">
        <v>4.0599999999999997E-2</v>
      </c>
      <c r="O1487" s="100"/>
    </row>
    <row r="1488" spans="2:15" x14ac:dyDescent="0.2">
      <c r="B1488" s="1">
        <v>1473</v>
      </c>
      <c r="C1488" s="101">
        <f t="shared" ref="C1488:C1551" ca="1" si="92">_xlfn.NORM.S.INV(RAND())</f>
        <v>-0.86156053868017546</v>
      </c>
      <c r="D1488" s="101">
        <f t="shared" ref="D1488:D1551" ca="1" si="93">S0*EXP((μ-0.5*σ*σ)*T+σ*SQRT(T)*$C1488)</f>
        <v>0.61036226767090018</v>
      </c>
      <c r="E1488" s="101">
        <f t="shared" ref="E1488:E1551" ca="1" si="94">MAX(0,CP*(D1488-K))</f>
        <v>0</v>
      </c>
      <c r="F1488" s="21">
        <f t="shared" ref="F1488:F1551" ca="1" si="95">(CP*(D1488-K)&gt;0)*1</f>
        <v>0</v>
      </c>
      <c r="H1488" s="21">
        <v>1473</v>
      </c>
      <c r="I1488" s="102">
        <v>0.66772954313205368</v>
      </c>
      <c r="J1488" s="103">
        <v>1.3755187121812973E-3</v>
      </c>
      <c r="K1488" s="103"/>
      <c r="L1488" s="103">
        <v>3.9800000000000002E-2</v>
      </c>
      <c r="O1488" s="100"/>
    </row>
    <row r="1489" spans="2:15" x14ac:dyDescent="0.2">
      <c r="B1489" s="1">
        <v>1474</v>
      </c>
      <c r="C1489" s="101">
        <f t="shared" ca="1" si="92"/>
        <v>9.795484527306754E-2</v>
      </c>
      <c r="D1489" s="101">
        <f t="shared" ca="1" si="93"/>
        <v>0.67095396756488324</v>
      </c>
      <c r="E1489" s="101">
        <f t="shared" ca="1" si="94"/>
        <v>0</v>
      </c>
      <c r="F1489" s="21">
        <f t="shared" ca="1" si="95"/>
        <v>0</v>
      </c>
      <c r="H1489" s="21">
        <v>1474</v>
      </c>
      <c r="I1489" s="102">
        <v>0.66800516204627847</v>
      </c>
      <c r="J1489" s="103">
        <v>1.5348035531099506E-3</v>
      </c>
      <c r="K1489" s="103"/>
      <c r="L1489" s="103">
        <v>4.5199999999999997E-2</v>
      </c>
      <c r="O1489" s="100"/>
    </row>
    <row r="1490" spans="2:15" x14ac:dyDescent="0.2">
      <c r="B1490" s="1">
        <v>1475</v>
      </c>
      <c r="C1490" s="101">
        <f t="shared" ca="1" si="92"/>
        <v>-0.2606247843135937</v>
      </c>
      <c r="D1490" s="101">
        <f t="shared" ca="1" si="93"/>
        <v>0.64763661635522107</v>
      </c>
      <c r="E1490" s="101">
        <f t="shared" ca="1" si="94"/>
        <v>0</v>
      </c>
      <c r="F1490" s="21">
        <f t="shared" ca="1" si="95"/>
        <v>0</v>
      </c>
      <c r="H1490" s="21">
        <v>1475</v>
      </c>
      <c r="I1490" s="102">
        <v>0.66759301161567142</v>
      </c>
      <c r="J1490" s="103">
        <v>1.2754094726340783E-3</v>
      </c>
      <c r="K1490" s="103"/>
      <c r="L1490" s="103">
        <v>3.8800000000000001E-2</v>
      </c>
      <c r="O1490" s="100"/>
    </row>
    <row r="1491" spans="2:15" x14ac:dyDescent="0.2">
      <c r="B1491" s="1">
        <v>1476</v>
      </c>
      <c r="C1491" s="101">
        <f t="shared" ca="1" si="92"/>
        <v>1.1183895587126123</v>
      </c>
      <c r="D1491" s="101">
        <f t="shared" ca="1" si="93"/>
        <v>0.74200617473278951</v>
      </c>
      <c r="E1491" s="101">
        <f t="shared" ca="1" si="94"/>
        <v>0</v>
      </c>
      <c r="F1491" s="21">
        <f t="shared" ca="1" si="95"/>
        <v>0</v>
      </c>
      <c r="H1491" s="21">
        <v>1476</v>
      </c>
      <c r="I1491" s="102">
        <v>0.66777002355222392</v>
      </c>
      <c r="J1491" s="103">
        <v>1.3815534459370464E-3</v>
      </c>
      <c r="K1491" s="103"/>
      <c r="L1491" s="103">
        <v>4.58E-2</v>
      </c>
      <c r="O1491" s="100"/>
    </row>
    <row r="1492" spans="2:15" x14ac:dyDescent="0.2">
      <c r="B1492" s="1">
        <v>1477</v>
      </c>
      <c r="C1492" s="101">
        <f t="shared" ca="1" si="92"/>
        <v>0.46997187559349884</v>
      </c>
      <c r="D1492" s="101">
        <f t="shared" ca="1" si="93"/>
        <v>0.69603279951357222</v>
      </c>
      <c r="E1492" s="101">
        <f t="shared" ca="1" si="94"/>
        <v>0</v>
      </c>
      <c r="F1492" s="21">
        <f t="shared" ca="1" si="95"/>
        <v>0</v>
      </c>
      <c r="H1492" s="21">
        <v>1477</v>
      </c>
      <c r="I1492" s="102">
        <v>0.6676929841679311</v>
      </c>
      <c r="J1492" s="103">
        <v>1.2968034322365307E-3</v>
      </c>
      <c r="K1492" s="103"/>
      <c r="L1492" s="103">
        <v>3.8600000000000002E-2</v>
      </c>
      <c r="O1492" s="100"/>
    </row>
    <row r="1493" spans="2:15" x14ac:dyDescent="0.2">
      <c r="B1493" s="1">
        <v>1478</v>
      </c>
      <c r="C1493" s="101">
        <f t="shared" ca="1" si="92"/>
        <v>-0.49031272225710082</v>
      </c>
      <c r="D1493" s="101">
        <f t="shared" ca="1" si="93"/>
        <v>0.6331282695381909</v>
      </c>
      <c r="E1493" s="101">
        <f t="shared" ca="1" si="94"/>
        <v>0</v>
      </c>
      <c r="F1493" s="21">
        <f t="shared" ca="1" si="95"/>
        <v>0</v>
      </c>
      <c r="H1493" s="21">
        <v>1478</v>
      </c>
      <c r="I1493" s="102">
        <v>0.66773278712895257</v>
      </c>
      <c r="J1493" s="103">
        <v>1.2329375273347979E-3</v>
      </c>
      <c r="K1493" s="103"/>
      <c r="L1493" s="103">
        <v>3.8600000000000002E-2</v>
      </c>
      <c r="O1493" s="100"/>
    </row>
    <row r="1494" spans="2:15" x14ac:dyDescent="0.2">
      <c r="B1494" s="1">
        <v>1479</v>
      </c>
      <c r="C1494" s="101">
        <f t="shared" ca="1" si="92"/>
        <v>0.18114114690664937</v>
      </c>
      <c r="D1494" s="101">
        <f t="shared" ca="1" si="93"/>
        <v>0.6764822024333319</v>
      </c>
      <c r="E1494" s="101">
        <f t="shared" ca="1" si="94"/>
        <v>0</v>
      </c>
      <c r="F1494" s="21">
        <f t="shared" ca="1" si="95"/>
        <v>0</v>
      </c>
      <c r="H1494" s="21">
        <v>1479</v>
      </c>
      <c r="I1494" s="102">
        <v>0.66770379845205674</v>
      </c>
      <c r="J1494" s="103">
        <v>1.3035317856068091E-3</v>
      </c>
      <c r="K1494" s="103"/>
      <c r="L1494" s="103">
        <v>3.9800000000000002E-2</v>
      </c>
      <c r="O1494" s="100"/>
    </row>
    <row r="1495" spans="2:15" x14ac:dyDescent="0.2">
      <c r="B1495" s="1">
        <v>1480</v>
      </c>
      <c r="C1495" s="101">
        <f t="shared" ca="1" si="92"/>
        <v>0.3676461144445598</v>
      </c>
      <c r="D1495" s="101">
        <f t="shared" ca="1" si="93"/>
        <v>0.68904269535145624</v>
      </c>
      <c r="E1495" s="101">
        <f t="shared" ca="1" si="94"/>
        <v>0</v>
      </c>
      <c r="F1495" s="21">
        <f t="shared" ca="1" si="95"/>
        <v>0</v>
      </c>
      <c r="H1495" s="21">
        <v>1480</v>
      </c>
      <c r="I1495" s="102">
        <v>0.66773738527173232</v>
      </c>
      <c r="J1495" s="103">
        <v>1.4515078681772108E-3</v>
      </c>
      <c r="K1495" s="103"/>
      <c r="L1495" s="103">
        <v>4.3799999999999999E-2</v>
      </c>
      <c r="O1495" s="100"/>
    </row>
    <row r="1496" spans="2:15" x14ac:dyDescent="0.2">
      <c r="B1496" s="1">
        <v>1481</v>
      </c>
      <c r="C1496" s="101">
        <f t="shared" ca="1" si="92"/>
        <v>-1.0291185774713072</v>
      </c>
      <c r="D1496" s="101">
        <f t="shared" ca="1" si="93"/>
        <v>0.60035702218577347</v>
      </c>
      <c r="E1496" s="101">
        <f t="shared" ca="1" si="94"/>
        <v>0</v>
      </c>
      <c r="F1496" s="21">
        <f t="shared" ca="1" si="95"/>
        <v>0</v>
      </c>
      <c r="H1496" s="21">
        <v>1481</v>
      </c>
      <c r="I1496" s="102">
        <v>0.66772017238104608</v>
      </c>
      <c r="J1496" s="103">
        <v>1.3356669921943717E-3</v>
      </c>
      <c r="K1496" s="103"/>
      <c r="L1496" s="103">
        <v>4.2200000000000001E-2</v>
      </c>
      <c r="O1496" s="100"/>
    </row>
    <row r="1497" spans="2:15" x14ac:dyDescent="0.2">
      <c r="B1497" s="1">
        <v>1482</v>
      </c>
      <c r="C1497" s="101">
        <f t="shared" ca="1" si="92"/>
        <v>-0.44641057887807334</v>
      </c>
      <c r="D1497" s="101">
        <f t="shared" ca="1" si="93"/>
        <v>0.63587601841886365</v>
      </c>
      <c r="E1497" s="101">
        <f t="shared" ca="1" si="94"/>
        <v>0</v>
      </c>
      <c r="F1497" s="21">
        <f t="shared" ca="1" si="95"/>
        <v>0</v>
      </c>
      <c r="H1497" s="21">
        <v>1482</v>
      </c>
      <c r="I1497" s="102">
        <v>0.66767134774836867</v>
      </c>
      <c r="J1497" s="103">
        <v>1.2791133124235817E-3</v>
      </c>
      <c r="K1497" s="103"/>
      <c r="L1497" s="103">
        <v>4.2000000000000003E-2</v>
      </c>
      <c r="O1497" s="100"/>
    </row>
    <row r="1498" spans="2:15" x14ac:dyDescent="0.2">
      <c r="B1498" s="1">
        <v>1483</v>
      </c>
      <c r="C1498" s="101">
        <f t="shared" ca="1" si="92"/>
        <v>-0.11398393938763167</v>
      </c>
      <c r="D1498" s="101">
        <f t="shared" ca="1" si="93"/>
        <v>0.65707266210683846</v>
      </c>
      <c r="E1498" s="101">
        <f t="shared" ca="1" si="94"/>
        <v>0</v>
      </c>
      <c r="F1498" s="21">
        <f t="shared" ca="1" si="95"/>
        <v>0</v>
      </c>
      <c r="H1498" s="21">
        <v>1483</v>
      </c>
      <c r="I1498" s="102">
        <v>0.66781138974178844</v>
      </c>
      <c r="J1498" s="103">
        <v>1.4652950757121652E-3</v>
      </c>
      <c r="K1498" s="103"/>
      <c r="L1498" s="103">
        <v>4.1200000000000001E-2</v>
      </c>
      <c r="O1498" s="100"/>
    </row>
    <row r="1499" spans="2:15" x14ac:dyDescent="0.2">
      <c r="B1499" s="1">
        <v>1484</v>
      </c>
      <c r="C1499" s="101">
        <f t="shared" ca="1" si="92"/>
        <v>-0.66171299423895891</v>
      </c>
      <c r="D1499" s="101">
        <f t="shared" ca="1" si="93"/>
        <v>0.62251385744821619</v>
      </c>
      <c r="E1499" s="101">
        <f t="shared" ca="1" si="94"/>
        <v>0</v>
      </c>
      <c r="F1499" s="21">
        <f t="shared" ca="1" si="95"/>
        <v>0</v>
      </c>
      <c r="H1499" s="21">
        <v>1484</v>
      </c>
      <c r="I1499" s="102">
        <v>0.66803663438595873</v>
      </c>
      <c r="J1499" s="103">
        <v>1.7077642492558138E-3</v>
      </c>
      <c r="K1499" s="103"/>
      <c r="L1499" s="103">
        <v>4.7800000000000002E-2</v>
      </c>
      <c r="O1499" s="100"/>
    </row>
    <row r="1500" spans="2:15" x14ac:dyDescent="0.2">
      <c r="B1500" s="1">
        <v>1485</v>
      </c>
      <c r="C1500" s="101">
        <f t="shared" ca="1" si="92"/>
        <v>0.87625905569706408</v>
      </c>
      <c r="D1500" s="101">
        <f t="shared" ca="1" si="93"/>
        <v>0.72449400789424412</v>
      </c>
      <c r="E1500" s="101">
        <f t="shared" ca="1" si="94"/>
        <v>0</v>
      </c>
      <c r="F1500" s="21">
        <f t="shared" ca="1" si="95"/>
        <v>0</v>
      </c>
      <c r="H1500" s="21">
        <v>1485</v>
      </c>
      <c r="I1500" s="102">
        <v>0.66800156737249505</v>
      </c>
      <c r="J1500" s="103">
        <v>1.6824762777200338E-3</v>
      </c>
      <c r="K1500" s="103"/>
      <c r="L1500" s="103">
        <v>0.05</v>
      </c>
      <c r="O1500" s="100"/>
    </row>
    <row r="1501" spans="2:15" x14ac:dyDescent="0.2">
      <c r="B1501" s="1">
        <v>1486</v>
      </c>
      <c r="C1501" s="101">
        <f t="shared" ca="1" si="92"/>
        <v>0.11030072167482381</v>
      </c>
      <c r="D1501" s="101">
        <f t="shared" ca="1" si="93"/>
        <v>0.67177156218018474</v>
      </c>
      <c r="E1501" s="101">
        <f t="shared" ca="1" si="94"/>
        <v>0</v>
      </c>
      <c r="F1501" s="21">
        <f t="shared" ca="1" si="95"/>
        <v>0</v>
      </c>
      <c r="H1501" s="21">
        <v>1486</v>
      </c>
      <c r="I1501" s="102">
        <v>0.66782597223296047</v>
      </c>
      <c r="J1501" s="103">
        <v>1.5141345383116798E-3</v>
      </c>
      <c r="K1501" s="103"/>
      <c r="L1501" s="103">
        <v>4.4600000000000001E-2</v>
      </c>
      <c r="O1501" s="100"/>
    </row>
    <row r="1502" spans="2:15" x14ac:dyDescent="0.2">
      <c r="B1502" s="1">
        <v>1487</v>
      </c>
      <c r="C1502" s="101">
        <f t="shared" ca="1" si="92"/>
        <v>2.6561315826765082</v>
      </c>
      <c r="D1502" s="101">
        <f t="shared" ca="1" si="93"/>
        <v>0.86354194917414429</v>
      </c>
      <c r="E1502" s="101">
        <f t="shared" ca="1" si="94"/>
        <v>7.5341949174144274E-2</v>
      </c>
      <c r="F1502" s="21">
        <f t="shared" ca="1" si="95"/>
        <v>1</v>
      </c>
      <c r="H1502" s="21">
        <v>1487</v>
      </c>
      <c r="I1502" s="102">
        <v>0.66756981954950156</v>
      </c>
      <c r="J1502" s="103">
        <v>1.2061203870423161E-3</v>
      </c>
      <c r="K1502" s="103"/>
      <c r="L1502" s="103">
        <v>3.8199999999999998E-2</v>
      </c>
      <c r="O1502" s="100"/>
    </row>
    <row r="1503" spans="2:15" x14ac:dyDescent="0.2">
      <c r="B1503" s="1">
        <v>1488</v>
      </c>
      <c r="C1503" s="101">
        <f t="shared" ca="1" si="92"/>
        <v>-1.535590965805727</v>
      </c>
      <c r="D1503" s="101">
        <f t="shared" ca="1" si="93"/>
        <v>0.5711006177637854</v>
      </c>
      <c r="E1503" s="101">
        <f t="shared" ca="1" si="94"/>
        <v>0</v>
      </c>
      <c r="F1503" s="21">
        <f t="shared" ca="1" si="95"/>
        <v>0</v>
      </c>
      <c r="H1503" s="21">
        <v>1488</v>
      </c>
      <c r="I1503" s="102">
        <v>0.66773936638339593</v>
      </c>
      <c r="J1503" s="103">
        <v>1.4295066720916574E-3</v>
      </c>
      <c r="K1503" s="103"/>
      <c r="L1503" s="103">
        <v>4.4400000000000002E-2</v>
      </c>
      <c r="O1503" s="100"/>
    </row>
    <row r="1504" spans="2:15" x14ac:dyDescent="0.2">
      <c r="B1504" s="1">
        <v>1489</v>
      </c>
      <c r="C1504" s="101">
        <f t="shared" ca="1" si="92"/>
        <v>-0.92639815611575616</v>
      </c>
      <c r="D1504" s="101">
        <f t="shared" ca="1" si="93"/>
        <v>0.60647104964988741</v>
      </c>
      <c r="E1504" s="101">
        <f t="shared" ca="1" si="94"/>
        <v>0</v>
      </c>
      <c r="F1504" s="21">
        <f t="shared" ca="1" si="95"/>
        <v>0</v>
      </c>
      <c r="H1504" s="21">
        <v>1489</v>
      </c>
      <c r="I1504" s="102">
        <v>0.6677523365728929</v>
      </c>
      <c r="J1504" s="103">
        <v>1.4577616122617616E-3</v>
      </c>
      <c r="K1504" s="103"/>
      <c r="L1504" s="103">
        <v>4.1000000000000002E-2</v>
      </c>
      <c r="O1504" s="100"/>
    </row>
    <row r="1505" spans="2:15" x14ac:dyDescent="0.2">
      <c r="B1505" s="1">
        <v>1490</v>
      </c>
      <c r="C1505" s="101">
        <f t="shared" ca="1" si="92"/>
        <v>0.81706913478501653</v>
      </c>
      <c r="D1505" s="101">
        <f t="shared" ca="1" si="93"/>
        <v>0.72027632188307422</v>
      </c>
      <c r="E1505" s="101">
        <f t="shared" ca="1" si="94"/>
        <v>0</v>
      </c>
      <c r="F1505" s="21">
        <f t="shared" ca="1" si="95"/>
        <v>0</v>
      </c>
      <c r="H1505" s="21">
        <v>1490</v>
      </c>
      <c r="I1505" s="102">
        <v>0.66776085789229422</v>
      </c>
      <c r="J1505" s="103">
        <v>1.330688292371499E-3</v>
      </c>
      <c r="K1505" s="103"/>
      <c r="L1505" s="103">
        <v>4.1399999999999999E-2</v>
      </c>
      <c r="O1505" s="100"/>
    </row>
    <row r="1506" spans="2:15" x14ac:dyDescent="0.2">
      <c r="B1506" s="1">
        <v>1491</v>
      </c>
      <c r="C1506" s="101">
        <f t="shared" ca="1" si="92"/>
        <v>0.84059210116644745</v>
      </c>
      <c r="D1506" s="101">
        <f t="shared" ca="1" si="93"/>
        <v>0.72194954585821114</v>
      </c>
      <c r="E1506" s="101">
        <f t="shared" ca="1" si="94"/>
        <v>0</v>
      </c>
      <c r="F1506" s="21">
        <f t="shared" ca="1" si="95"/>
        <v>0</v>
      </c>
      <c r="H1506" s="21">
        <v>1491</v>
      </c>
      <c r="I1506" s="102">
        <v>0.66772555442436665</v>
      </c>
      <c r="J1506" s="103">
        <v>1.4393223345941311E-3</v>
      </c>
      <c r="K1506" s="103"/>
      <c r="L1506" s="103">
        <v>4.1200000000000001E-2</v>
      </c>
      <c r="O1506" s="100"/>
    </row>
    <row r="1507" spans="2:15" x14ac:dyDescent="0.2">
      <c r="B1507" s="1">
        <v>1492</v>
      </c>
      <c r="C1507" s="101">
        <f t="shared" ca="1" si="92"/>
        <v>0.95595044099441906</v>
      </c>
      <c r="D1507" s="101">
        <f t="shared" ca="1" si="93"/>
        <v>0.73021159984889916</v>
      </c>
      <c r="E1507" s="101">
        <f t="shared" ca="1" si="94"/>
        <v>0</v>
      </c>
      <c r="F1507" s="21">
        <f t="shared" ca="1" si="95"/>
        <v>0</v>
      </c>
      <c r="H1507" s="21">
        <v>1492</v>
      </c>
      <c r="I1507" s="102">
        <v>0.6677142755961073</v>
      </c>
      <c r="J1507" s="103">
        <v>1.3531903834606246E-3</v>
      </c>
      <c r="K1507" s="103"/>
      <c r="L1507" s="103">
        <v>4.4400000000000002E-2</v>
      </c>
      <c r="O1507" s="100"/>
    </row>
    <row r="1508" spans="2:15" x14ac:dyDescent="0.2">
      <c r="B1508" s="1">
        <v>1493</v>
      </c>
      <c r="C1508" s="101">
        <f t="shared" ca="1" si="92"/>
        <v>-2.308245464577344</v>
      </c>
      <c r="D1508" s="101">
        <f t="shared" ca="1" si="93"/>
        <v>0.52919116826546519</v>
      </c>
      <c r="E1508" s="101">
        <f t="shared" ca="1" si="94"/>
        <v>0</v>
      </c>
      <c r="F1508" s="21">
        <f t="shared" ca="1" si="95"/>
        <v>0</v>
      </c>
      <c r="H1508" s="21">
        <v>1493</v>
      </c>
      <c r="I1508" s="102">
        <v>0.66762476181651176</v>
      </c>
      <c r="J1508" s="103">
        <v>1.3105988694189019E-3</v>
      </c>
      <c r="K1508" s="103"/>
      <c r="L1508" s="103">
        <v>3.78E-2</v>
      </c>
      <c r="O1508" s="100"/>
    </row>
    <row r="1509" spans="2:15" x14ac:dyDescent="0.2">
      <c r="B1509" s="1">
        <v>1494</v>
      </c>
      <c r="C1509" s="101">
        <f t="shared" ca="1" si="92"/>
        <v>-0.39441502779377124</v>
      </c>
      <c r="D1509" s="101">
        <f t="shared" ca="1" si="93"/>
        <v>0.63914574725246287</v>
      </c>
      <c r="E1509" s="101">
        <f t="shared" ca="1" si="94"/>
        <v>0</v>
      </c>
      <c r="F1509" s="21">
        <f t="shared" ca="1" si="95"/>
        <v>0</v>
      </c>
      <c r="H1509" s="21">
        <v>1494</v>
      </c>
      <c r="I1509" s="102">
        <v>0.66779946795020351</v>
      </c>
      <c r="J1509" s="103">
        <v>1.4213766371955546E-3</v>
      </c>
      <c r="K1509" s="103"/>
      <c r="L1509" s="103">
        <v>4.5999999999999999E-2</v>
      </c>
      <c r="O1509" s="100"/>
    </row>
    <row r="1510" spans="2:15" x14ac:dyDescent="0.2">
      <c r="B1510" s="1">
        <v>1495</v>
      </c>
      <c r="C1510" s="101">
        <f t="shared" ca="1" si="92"/>
        <v>0.13456371290744099</v>
      </c>
      <c r="D1510" s="101">
        <f t="shared" ca="1" si="93"/>
        <v>0.67338126115138075</v>
      </c>
      <c r="E1510" s="101">
        <f t="shared" ca="1" si="94"/>
        <v>0</v>
      </c>
      <c r="F1510" s="21">
        <f t="shared" ca="1" si="95"/>
        <v>0</v>
      </c>
      <c r="H1510" s="21">
        <v>1495</v>
      </c>
      <c r="I1510" s="102">
        <v>0.66783716142527927</v>
      </c>
      <c r="J1510" s="103">
        <v>1.5538722402723875E-3</v>
      </c>
      <c r="K1510" s="103"/>
      <c r="L1510" s="103">
        <v>4.3799999999999999E-2</v>
      </c>
      <c r="O1510" s="100"/>
    </row>
    <row r="1511" spans="2:15" x14ac:dyDescent="0.2">
      <c r="B1511" s="1">
        <v>1496</v>
      </c>
      <c r="C1511" s="101">
        <f t="shared" ca="1" si="92"/>
        <v>-2.7819689424808055E-2</v>
      </c>
      <c r="D1511" s="101">
        <f t="shared" ca="1" si="93"/>
        <v>0.66268115701573349</v>
      </c>
      <c r="E1511" s="101">
        <f t="shared" ca="1" si="94"/>
        <v>0</v>
      </c>
      <c r="F1511" s="21">
        <f t="shared" ca="1" si="95"/>
        <v>0</v>
      </c>
      <c r="H1511" s="21">
        <v>1496</v>
      </c>
      <c r="I1511" s="102">
        <v>0.66778467514001205</v>
      </c>
      <c r="J1511" s="103">
        <v>1.4106583719821902E-3</v>
      </c>
      <c r="K1511" s="103"/>
      <c r="L1511" s="103">
        <v>4.3400000000000001E-2</v>
      </c>
      <c r="O1511" s="100"/>
    </row>
    <row r="1512" spans="2:15" x14ac:dyDescent="0.2">
      <c r="B1512" s="1">
        <v>1497</v>
      </c>
      <c r="C1512" s="101">
        <f t="shared" ca="1" si="92"/>
        <v>-1.0881989942201507</v>
      </c>
      <c r="D1512" s="101">
        <f t="shared" ca="1" si="93"/>
        <v>0.59686845432157321</v>
      </c>
      <c r="E1512" s="101">
        <f t="shared" ca="1" si="94"/>
        <v>0</v>
      </c>
      <c r="F1512" s="21">
        <f t="shared" ca="1" si="95"/>
        <v>0</v>
      </c>
      <c r="H1512" s="21">
        <v>1497</v>
      </c>
      <c r="I1512" s="102">
        <v>0.66757980418428797</v>
      </c>
      <c r="J1512" s="103">
        <v>1.2598221920247302E-3</v>
      </c>
      <c r="K1512" s="103"/>
      <c r="L1512" s="103">
        <v>3.6799999999999999E-2</v>
      </c>
      <c r="O1512" s="100"/>
    </row>
    <row r="1513" spans="2:15" x14ac:dyDescent="0.2">
      <c r="B1513" s="1">
        <v>1498</v>
      </c>
      <c r="C1513" s="101">
        <f t="shared" ca="1" si="92"/>
        <v>-0.36159576059216664</v>
      </c>
      <c r="D1513" s="101">
        <f t="shared" ca="1" si="93"/>
        <v>0.64121822965778097</v>
      </c>
      <c r="E1513" s="101">
        <f t="shared" ca="1" si="94"/>
        <v>0</v>
      </c>
      <c r="F1513" s="21">
        <f t="shared" ca="1" si="95"/>
        <v>0</v>
      </c>
      <c r="H1513" s="21">
        <v>1498</v>
      </c>
      <c r="I1513" s="102">
        <v>0.66773759398627164</v>
      </c>
      <c r="J1513" s="103">
        <v>1.3505164327007504E-3</v>
      </c>
      <c r="K1513" s="103"/>
      <c r="L1513" s="103">
        <v>4.1599999999999998E-2</v>
      </c>
      <c r="O1513" s="100"/>
    </row>
    <row r="1514" spans="2:15" x14ac:dyDescent="0.2">
      <c r="B1514" s="1">
        <v>1499</v>
      </c>
      <c r="C1514" s="101">
        <f t="shared" ca="1" si="92"/>
        <v>-0.19897737463494339</v>
      </c>
      <c r="D1514" s="101">
        <f t="shared" ca="1" si="93"/>
        <v>0.65158688167853795</v>
      </c>
      <c r="E1514" s="101">
        <f t="shared" ca="1" si="94"/>
        <v>0</v>
      </c>
      <c r="F1514" s="21">
        <f t="shared" ca="1" si="95"/>
        <v>0</v>
      </c>
      <c r="H1514" s="21">
        <v>1499</v>
      </c>
      <c r="I1514" s="102">
        <v>0.66790574830808869</v>
      </c>
      <c r="J1514" s="103">
        <v>1.5667087711145201E-3</v>
      </c>
      <c r="K1514" s="103"/>
      <c r="L1514" s="103">
        <v>4.4400000000000002E-2</v>
      </c>
      <c r="O1514" s="100"/>
    </row>
    <row r="1515" spans="2:15" x14ac:dyDescent="0.2">
      <c r="B1515" s="1">
        <v>1500</v>
      </c>
      <c r="C1515" s="101">
        <f t="shared" ca="1" si="92"/>
        <v>-0.6828710348664212</v>
      </c>
      <c r="D1515" s="101">
        <f t="shared" ca="1" si="93"/>
        <v>0.62121599026617114</v>
      </c>
      <c r="E1515" s="101">
        <f t="shared" ca="1" si="94"/>
        <v>0</v>
      </c>
      <c r="F1515" s="21">
        <f t="shared" ca="1" si="95"/>
        <v>0</v>
      </c>
      <c r="H1515" s="21">
        <v>1500</v>
      </c>
      <c r="I1515" s="102">
        <v>0.66773429474911405</v>
      </c>
      <c r="J1515" s="103">
        <v>1.2649819138489909E-3</v>
      </c>
      <c r="K1515" s="103"/>
      <c r="L1515" s="103">
        <v>3.9600000000000003E-2</v>
      </c>
      <c r="O1515" s="100"/>
    </row>
    <row r="1516" spans="2:15" x14ac:dyDescent="0.2">
      <c r="B1516" s="1">
        <v>1501</v>
      </c>
      <c r="C1516" s="101">
        <f t="shared" ca="1" si="92"/>
        <v>0.18027427574080743</v>
      </c>
      <c r="D1516" s="101">
        <f t="shared" ca="1" si="93"/>
        <v>0.67642435937258349</v>
      </c>
      <c r="E1516" s="101">
        <f t="shared" ca="1" si="94"/>
        <v>0</v>
      </c>
      <c r="F1516" s="21">
        <f t="shared" ca="1" si="95"/>
        <v>0</v>
      </c>
      <c r="H1516" s="21">
        <v>1501</v>
      </c>
      <c r="I1516" s="102">
        <v>0.66769529765389424</v>
      </c>
      <c r="J1516" s="103">
        <v>1.2854435470303364E-3</v>
      </c>
      <c r="K1516" s="103"/>
      <c r="L1516" s="103">
        <v>4.0599999999999997E-2</v>
      </c>
      <c r="O1516" s="100"/>
    </row>
    <row r="1517" spans="2:15" x14ac:dyDescent="0.2">
      <c r="B1517" s="1">
        <v>1502</v>
      </c>
      <c r="C1517" s="101">
        <f t="shared" ca="1" si="92"/>
        <v>0.11088107937652542</v>
      </c>
      <c r="D1517" s="101">
        <f t="shared" ca="1" si="93"/>
        <v>0.67181002035764192</v>
      </c>
      <c r="E1517" s="101">
        <f t="shared" ca="1" si="94"/>
        <v>0</v>
      </c>
      <c r="F1517" s="21">
        <f t="shared" ca="1" si="95"/>
        <v>0</v>
      </c>
      <c r="H1517" s="21">
        <v>1502</v>
      </c>
      <c r="I1517" s="102">
        <v>0.66754064518602796</v>
      </c>
      <c r="J1517" s="103">
        <v>1.1176661321469681E-3</v>
      </c>
      <c r="K1517" s="103"/>
      <c r="L1517" s="103">
        <v>3.7999999999999999E-2</v>
      </c>
      <c r="O1517" s="100"/>
    </row>
    <row r="1518" spans="2:15" x14ac:dyDescent="0.2">
      <c r="B1518" s="1">
        <v>1503</v>
      </c>
      <c r="C1518" s="101">
        <f t="shared" ca="1" si="92"/>
        <v>-1.2541922568355812</v>
      </c>
      <c r="D1518" s="101">
        <f t="shared" ca="1" si="93"/>
        <v>0.58717502797211907</v>
      </c>
      <c r="E1518" s="101">
        <f t="shared" ca="1" si="94"/>
        <v>0</v>
      </c>
      <c r="F1518" s="21">
        <f t="shared" ca="1" si="95"/>
        <v>0</v>
      </c>
      <c r="H1518" s="21">
        <v>1503</v>
      </c>
      <c r="I1518" s="102">
        <v>0.66764563706604529</v>
      </c>
      <c r="J1518" s="103">
        <v>1.2310057367448102E-3</v>
      </c>
      <c r="K1518" s="103"/>
      <c r="L1518" s="103">
        <v>4.0599999999999997E-2</v>
      </c>
      <c r="O1518" s="100"/>
    </row>
    <row r="1519" spans="2:15" x14ac:dyDescent="0.2">
      <c r="B1519" s="1">
        <v>1504</v>
      </c>
      <c r="C1519" s="101">
        <f t="shared" ca="1" si="92"/>
        <v>0.40977168915841727</v>
      </c>
      <c r="D1519" s="101">
        <f t="shared" ca="1" si="93"/>
        <v>0.69191184699023378</v>
      </c>
      <c r="E1519" s="101">
        <f t="shared" ca="1" si="94"/>
        <v>0</v>
      </c>
      <c r="F1519" s="21">
        <f t="shared" ca="1" si="95"/>
        <v>0</v>
      </c>
      <c r="H1519" s="21">
        <v>1504</v>
      </c>
      <c r="I1519" s="102">
        <v>0.66786893789212542</v>
      </c>
      <c r="J1519" s="103">
        <v>1.4996382139168245E-3</v>
      </c>
      <c r="K1519" s="103"/>
      <c r="L1519" s="103">
        <v>4.7E-2</v>
      </c>
      <c r="O1519" s="100"/>
    </row>
    <row r="1520" spans="2:15" x14ac:dyDescent="0.2">
      <c r="B1520" s="1">
        <v>1505</v>
      </c>
      <c r="C1520" s="101">
        <f t="shared" ca="1" si="92"/>
        <v>-0.86451795451770952</v>
      </c>
      <c r="D1520" s="101">
        <f t="shared" ca="1" si="93"/>
        <v>0.61018423667248056</v>
      </c>
      <c r="E1520" s="101">
        <f t="shared" ca="1" si="94"/>
        <v>0</v>
      </c>
      <c r="F1520" s="21">
        <f t="shared" ca="1" si="95"/>
        <v>0</v>
      </c>
      <c r="H1520" s="21">
        <v>1505</v>
      </c>
      <c r="I1520" s="102">
        <v>0.66769975981112673</v>
      </c>
      <c r="J1520" s="103">
        <v>1.2656679694569059E-3</v>
      </c>
      <c r="K1520" s="103"/>
      <c r="L1520" s="103">
        <v>3.8399999999999997E-2</v>
      </c>
      <c r="O1520" s="100"/>
    </row>
    <row r="1521" spans="2:15" x14ac:dyDescent="0.2">
      <c r="B1521" s="1">
        <v>1506</v>
      </c>
      <c r="C1521" s="101">
        <f t="shared" ca="1" si="92"/>
        <v>-1.0475322170735148</v>
      </c>
      <c r="D1521" s="101">
        <f t="shared" ca="1" si="93"/>
        <v>0.59926755593974679</v>
      </c>
      <c r="E1521" s="101">
        <f t="shared" ca="1" si="94"/>
        <v>0</v>
      </c>
      <c r="F1521" s="21">
        <f t="shared" ca="1" si="95"/>
        <v>0</v>
      </c>
      <c r="H1521" s="21">
        <v>1506</v>
      </c>
      <c r="I1521" s="102">
        <v>0.66770874600148944</v>
      </c>
      <c r="J1521" s="103">
        <v>1.3260814527931079E-3</v>
      </c>
      <c r="K1521" s="103"/>
      <c r="L1521" s="103">
        <v>4.3200000000000002E-2</v>
      </c>
      <c r="O1521" s="100"/>
    </row>
    <row r="1522" spans="2:15" x14ac:dyDescent="0.2">
      <c r="B1522" s="1">
        <v>1507</v>
      </c>
      <c r="C1522" s="101">
        <f t="shared" ca="1" si="92"/>
        <v>0.689261843332589</v>
      </c>
      <c r="D1522" s="101">
        <f t="shared" ca="1" si="93"/>
        <v>0.71125274021425777</v>
      </c>
      <c r="E1522" s="101">
        <f t="shared" ca="1" si="94"/>
        <v>0</v>
      </c>
      <c r="F1522" s="21">
        <f t="shared" ca="1" si="95"/>
        <v>0</v>
      </c>
      <c r="H1522" s="21">
        <v>1507</v>
      </c>
      <c r="I1522" s="102">
        <v>0.66778596488870234</v>
      </c>
      <c r="J1522" s="103">
        <v>1.439184539517009E-3</v>
      </c>
      <c r="K1522" s="103"/>
      <c r="L1522" s="103">
        <v>4.1799999999999997E-2</v>
      </c>
      <c r="O1522" s="100"/>
    </row>
    <row r="1523" spans="2:15" x14ac:dyDescent="0.2">
      <c r="B1523" s="1">
        <v>1508</v>
      </c>
      <c r="C1523" s="101">
        <f t="shared" ca="1" si="92"/>
        <v>-0.35598619316488056</v>
      </c>
      <c r="D1523" s="101">
        <f t="shared" ca="1" si="93"/>
        <v>0.64157313643676062</v>
      </c>
      <c r="E1523" s="101">
        <f t="shared" ca="1" si="94"/>
        <v>0</v>
      </c>
      <c r="F1523" s="21">
        <f t="shared" ca="1" si="95"/>
        <v>0</v>
      </c>
      <c r="H1523" s="21">
        <v>1508</v>
      </c>
      <c r="I1523" s="102">
        <v>0.66763840939546604</v>
      </c>
      <c r="J1523" s="103">
        <v>1.2274086572379153E-3</v>
      </c>
      <c r="K1523" s="103"/>
      <c r="L1523" s="103">
        <v>3.8600000000000002E-2</v>
      </c>
      <c r="O1523" s="100"/>
    </row>
    <row r="1524" spans="2:15" x14ac:dyDescent="0.2">
      <c r="B1524" s="1">
        <v>1509</v>
      </c>
      <c r="C1524" s="101">
        <f t="shared" ca="1" si="92"/>
        <v>-0.88074200727263519</v>
      </c>
      <c r="D1524" s="101">
        <f t="shared" ca="1" si="93"/>
        <v>0.60920850193522325</v>
      </c>
      <c r="E1524" s="101">
        <f t="shared" ca="1" si="94"/>
        <v>0</v>
      </c>
      <c r="F1524" s="21">
        <f t="shared" ca="1" si="95"/>
        <v>0</v>
      </c>
      <c r="H1524" s="21">
        <v>1509</v>
      </c>
      <c r="I1524" s="102">
        <v>0.66764904223518928</v>
      </c>
      <c r="J1524" s="103">
        <v>1.2343376462059666E-3</v>
      </c>
      <c r="K1524" s="103"/>
      <c r="L1524" s="103">
        <v>4.1399999999999999E-2</v>
      </c>
      <c r="O1524" s="100"/>
    </row>
    <row r="1525" spans="2:15" x14ac:dyDescent="0.2">
      <c r="B1525" s="1">
        <v>1510</v>
      </c>
      <c r="C1525" s="101">
        <f t="shared" ca="1" si="92"/>
        <v>-1.5383286875570625</v>
      </c>
      <c r="D1525" s="101">
        <f t="shared" ca="1" si="93"/>
        <v>0.57094641143525837</v>
      </c>
      <c r="E1525" s="101">
        <f t="shared" ca="1" si="94"/>
        <v>0</v>
      </c>
      <c r="F1525" s="21">
        <f t="shared" ca="1" si="95"/>
        <v>0</v>
      </c>
      <c r="H1525" s="21">
        <v>1510</v>
      </c>
      <c r="I1525" s="102">
        <v>0.66762370013221839</v>
      </c>
      <c r="J1525" s="103">
        <v>1.3423158537816413E-3</v>
      </c>
      <c r="K1525" s="103"/>
      <c r="L1525" s="103">
        <v>0.04</v>
      </c>
      <c r="O1525" s="100"/>
    </row>
    <row r="1526" spans="2:15" x14ac:dyDescent="0.2">
      <c r="B1526" s="1">
        <v>1511</v>
      </c>
      <c r="C1526" s="101">
        <f t="shared" ca="1" si="92"/>
        <v>0.16670271989074556</v>
      </c>
      <c r="D1526" s="101">
        <f t="shared" ca="1" si="93"/>
        <v>0.67551942494320771</v>
      </c>
      <c r="E1526" s="101">
        <f t="shared" ca="1" si="94"/>
        <v>0</v>
      </c>
      <c r="F1526" s="21">
        <f t="shared" ca="1" si="95"/>
        <v>0</v>
      </c>
      <c r="H1526" s="21">
        <v>1511</v>
      </c>
      <c r="I1526" s="102">
        <v>0.66769801166147391</v>
      </c>
      <c r="J1526" s="103">
        <v>1.2614735983671596E-3</v>
      </c>
      <c r="K1526" s="103"/>
      <c r="L1526" s="103">
        <v>4.1200000000000001E-2</v>
      </c>
      <c r="O1526" s="100"/>
    </row>
    <row r="1527" spans="2:15" x14ac:dyDescent="0.2">
      <c r="B1527" s="1">
        <v>1512</v>
      </c>
      <c r="C1527" s="101">
        <f t="shared" ca="1" si="92"/>
        <v>1.1617684458050401</v>
      </c>
      <c r="D1527" s="101">
        <f t="shared" ca="1" si="93"/>
        <v>0.74518798529738339</v>
      </c>
      <c r="E1527" s="101">
        <f t="shared" ca="1" si="94"/>
        <v>0</v>
      </c>
      <c r="F1527" s="21">
        <f t="shared" ca="1" si="95"/>
        <v>0</v>
      </c>
      <c r="H1527" s="21">
        <v>1512</v>
      </c>
      <c r="I1527" s="102">
        <v>0.66766381957040033</v>
      </c>
      <c r="J1527" s="103">
        <v>1.2503749648532577E-3</v>
      </c>
      <c r="K1527" s="103"/>
      <c r="L1527" s="103">
        <v>4.0599999999999997E-2</v>
      </c>
      <c r="O1527" s="100"/>
    </row>
    <row r="1528" spans="2:15" x14ac:dyDescent="0.2">
      <c r="B1528" s="1">
        <v>1513</v>
      </c>
      <c r="C1528" s="101">
        <f t="shared" ca="1" si="92"/>
        <v>0.74960350474227844</v>
      </c>
      <c r="D1528" s="101">
        <f t="shared" ca="1" si="93"/>
        <v>0.71549886993362866</v>
      </c>
      <c r="E1528" s="101">
        <f t="shared" ca="1" si="94"/>
        <v>0</v>
      </c>
      <c r="F1528" s="21">
        <f t="shared" ca="1" si="95"/>
        <v>0</v>
      </c>
      <c r="H1528" s="21">
        <v>1513</v>
      </c>
      <c r="I1528" s="102">
        <v>0.66789654457556469</v>
      </c>
      <c r="J1528" s="103">
        <v>1.6165934878103324E-3</v>
      </c>
      <c r="K1528" s="103"/>
      <c r="L1528" s="103">
        <v>4.7E-2</v>
      </c>
      <c r="O1528" s="100"/>
    </row>
    <row r="1529" spans="2:15" x14ac:dyDescent="0.2">
      <c r="B1529" s="1">
        <v>1514</v>
      </c>
      <c r="C1529" s="101">
        <f t="shared" ca="1" si="92"/>
        <v>0.16721349688192488</v>
      </c>
      <c r="D1529" s="101">
        <f t="shared" ca="1" si="93"/>
        <v>0.67555346098190927</v>
      </c>
      <c r="E1529" s="101">
        <f t="shared" ca="1" si="94"/>
        <v>0</v>
      </c>
      <c r="F1529" s="21">
        <f t="shared" ca="1" si="95"/>
        <v>0</v>
      </c>
      <c r="H1529" s="21">
        <v>1514</v>
      </c>
      <c r="I1529" s="102">
        <v>0.66784561786822472</v>
      </c>
      <c r="J1529" s="103">
        <v>1.323739095302911E-3</v>
      </c>
      <c r="K1529" s="103"/>
      <c r="L1529" s="103">
        <v>4.2999999999999997E-2</v>
      </c>
      <c r="O1529" s="100"/>
    </row>
    <row r="1530" spans="2:15" x14ac:dyDescent="0.2">
      <c r="B1530" s="1">
        <v>1515</v>
      </c>
      <c r="C1530" s="101">
        <f t="shared" ca="1" si="92"/>
        <v>1.5626588942348634</v>
      </c>
      <c r="D1530" s="101">
        <f t="shared" ca="1" si="93"/>
        <v>0.77524637427872789</v>
      </c>
      <c r="E1530" s="101">
        <f t="shared" ca="1" si="94"/>
        <v>0</v>
      </c>
      <c r="F1530" s="21">
        <f t="shared" ca="1" si="95"/>
        <v>0</v>
      </c>
      <c r="H1530" s="21">
        <v>1515</v>
      </c>
      <c r="I1530" s="102">
        <v>0.66780983490053236</v>
      </c>
      <c r="J1530" s="103">
        <v>1.4715472512026458E-3</v>
      </c>
      <c r="K1530" s="103"/>
      <c r="L1530" s="103">
        <v>4.2999999999999997E-2</v>
      </c>
      <c r="O1530" s="100"/>
    </row>
    <row r="1531" spans="2:15" x14ac:dyDescent="0.2">
      <c r="B1531" s="1">
        <v>1516</v>
      </c>
      <c r="C1531" s="101">
        <f t="shared" ca="1" si="92"/>
        <v>0.58340505659466968</v>
      </c>
      <c r="D1531" s="101">
        <f t="shared" ca="1" si="93"/>
        <v>0.70386458325286128</v>
      </c>
      <c r="E1531" s="101">
        <f t="shared" ca="1" si="94"/>
        <v>0</v>
      </c>
      <c r="F1531" s="21">
        <f t="shared" ca="1" si="95"/>
        <v>0</v>
      </c>
      <c r="H1531" s="21">
        <v>1516</v>
      </c>
      <c r="I1531" s="102">
        <v>0.66761573253600481</v>
      </c>
      <c r="J1531" s="103">
        <v>1.2577139488655408E-3</v>
      </c>
      <c r="K1531" s="103"/>
      <c r="L1531" s="103">
        <v>4.1399999999999999E-2</v>
      </c>
      <c r="O1531" s="100"/>
    </row>
    <row r="1532" spans="2:15" x14ac:dyDescent="0.2">
      <c r="B1532" s="1">
        <v>1517</v>
      </c>
      <c r="C1532" s="101">
        <f t="shared" ca="1" si="92"/>
        <v>0.22121531752498602</v>
      </c>
      <c r="D1532" s="101">
        <f t="shared" ca="1" si="93"/>
        <v>0.67916160813949789</v>
      </c>
      <c r="E1532" s="101">
        <f t="shared" ca="1" si="94"/>
        <v>0</v>
      </c>
      <c r="F1532" s="21">
        <f t="shared" ca="1" si="95"/>
        <v>0</v>
      </c>
      <c r="H1532" s="21">
        <v>1517</v>
      </c>
      <c r="I1532" s="102">
        <v>0.66778129867592939</v>
      </c>
      <c r="J1532" s="103">
        <v>1.4164036426117417E-3</v>
      </c>
      <c r="K1532" s="103"/>
      <c r="L1532" s="103">
        <v>4.3999999999999997E-2</v>
      </c>
      <c r="O1532" s="100"/>
    </row>
    <row r="1533" spans="2:15" x14ac:dyDescent="0.2">
      <c r="B1533" s="1">
        <v>1518</v>
      </c>
      <c r="C1533" s="101">
        <f t="shared" ca="1" si="92"/>
        <v>-0.96854279312146652</v>
      </c>
      <c r="D1533" s="101">
        <f t="shared" ca="1" si="93"/>
        <v>0.60395505982638431</v>
      </c>
      <c r="E1533" s="101">
        <f t="shared" ca="1" si="94"/>
        <v>0</v>
      </c>
      <c r="F1533" s="21">
        <f t="shared" ca="1" si="95"/>
        <v>0</v>
      </c>
      <c r="H1533" s="21">
        <v>1518</v>
      </c>
      <c r="I1533" s="102">
        <v>0.66782177473276416</v>
      </c>
      <c r="J1533" s="103">
        <v>1.4955852106826319E-3</v>
      </c>
      <c r="K1533" s="103"/>
      <c r="L1533" s="103">
        <v>4.2799999999999998E-2</v>
      </c>
      <c r="O1533" s="100"/>
    </row>
    <row r="1534" spans="2:15" x14ac:dyDescent="0.2">
      <c r="B1534" s="1">
        <v>1519</v>
      </c>
      <c r="C1534" s="101">
        <f t="shared" ca="1" si="92"/>
        <v>-1.4863793374784351</v>
      </c>
      <c r="D1534" s="101">
        <f t="shared" ca="1" si="93"/>
        <v>0.57387965131633856</v>
      </c>
      <c r="E1534" s="101">
        <f t="shared" ca="1" si="94"/>
        <v>0</v>
      </c>
      <c r="F1534" s="21">
        <f t="shared" ca="1" si="95"/>
        <v>0</v>
      </c>
      <c r="H1534" s="21">
        <v>1519</v>
      </c>
      <c r="I1534" s="102">
        <v>0.66778374128108153</v>
      </c>
      <c r="J1534" s="103">
        <v>1.4226210162764431E-3</v>
      </c>
      <c r="K1534" s="103"/>
      <c r="L1534" s="103">
        <v>4.2000000000000003E-2</v>
      </c>
      <c r="O1534" s="100"/>
    </row>
    <row r="1535" spans="2:15" x14ac:dyDescent="0.2">
      <c r="B1535" s="1">
        <v>1520</v>
      </c>
      <c r="C1535" s="101">
        <f t="shared" ca="1" si="92"/>
        <v>1.2911744579294837</v>
      </c>
      <c r="D1535" s="101">
        <f t="shared" ca="1" si="93"/>
        <v>0.75476111590343198</v>
      </c>
      <c r="E1535" s="101">
        <f t="shared" ca="1" si="94"/>
        <v>0</v>
      </c>
      <c r="F1535" s="21">
        <f t="shared" ca="1" si="95"/>
        <v>0</v>
      </c>
      <c r="H1535" s="21">
        <v>1520</v>
      </c>
      <c r="I1535" s="102">
        <v>0.66765287713986865</v>
      </c>
      <c r="J1535" s="103">
        <v>1.2741292354498774E-3</v>
      </c>
      <c r="K1535" s="103"/>
      <c r="L1535" s="103">
        <v>4.0399999999999998E-2</v>
      </c>
      <c r="O1535" s="100"/>
    </row>
    <row r="1536" spans="2:15" x14ac:dyDescent="0.2">
      <c r="B1536" s="1">
        <v>1521</v>
      </c>
      <c r="C1536" s="101">
        <f t="shared" ca="1" si="92"/>
        <v>-1.2182740620299535</v>
      </c>
      <c r="D1536" s="101">
        <f t="shared" ca="1" si="93"/>
        <v>0.58925908962793039</v>
      </c>
      <c r="E1536" s="101">
        <f t="shared" ca="1" si="94"/>
        <v>0</v>
      </c>
      <c r="F1536" s="21">
        <f t="shared" ca="1" si="95"/>
        <v>0</v>
      </c>
      <c r="H1536" s="21">
        <v>1521</v>
      </c>
      <c r="I1536" s="102">
        <v>0.66767991016817163</v>
      </c>
      <c r="J1536" s="103">
        <v>1.3937871172008678E-3</v>
      </c>
      <c r="K1536" s="103"/>
      <c r="L1536" s="103">
        <v>4.1599999999999998E-2</v>
      </c>
      <c r="O1536" s="100"/>
    </row>
    <row r="1537" spans="2:15" x14ac:dyDescent="0.2">
      <c r="B1537" s="1">
        <v>1522</v>
      </c>
      <c r="C1537" s="101">
        <f t="shared" ca="1" si="92"/>
        <v>1.0860548372994292</v>
      </c>
      <c r="D1537" s="101">
        <f t="shared" ca="1" si="93"/>
        <v>0.73964328678092239</v>
      </c>
      <c r="E1537" s="101">
        <f t="shared" ca="1" si="94"/>
        <v>0</v>
      </c>
      <c r="F1537" s="21">
        <f t="shared" ca="1" si="95"/>
        <v>0</v>
      </c>
      <c r="H1537" s="21">
        <v>1522</v>
      </c>
      <c r="I1537" s="102">
        <v>0.6677112090801941</v>
      </c>
      <c r="J1537" s="103">
        <v>1.3909321965571641E-3</v>
      </c>
      <c r="K1537" s="103"/>
      <c r="L1537" s="103">
        <v>4.24E-2</v>
      </c>
      <c r="O1537" s="100"/>
    </row>
    <row r="1538" spans="2:15" x14ac:dyDescent="0.2">
      <c r="B1538" s="1">
        <v>1523</v>
      </c>
      <c r="C1538" s="101">
        <f t="shared" ca="1" si="92"/>
        <v>-1.008396757550478</v>
      </c>
      <c r="D1538" s="101">
        <f t="shared" ca="1" si="93"/>
        <v>0.60158542363826928</v>
      </c>
      <c r="E1538" s="101">
        <f t="shared" ca="1" si="94"/>
        <v>0</v>
      </c>
      <c r="F1538" s="21">
        <f t="shared" ca="1" si="95"/>
        <v>0</v>
      </c>
      <c r="H1538" s="21">
        <v>1523</v>
      </c>
      <c r="I1538" s="102">
        <v>0.66776207319678105</v>
      </c>
      <c r="J1538" s="103">
        <v>1.3093356673512088E-3</v>
      </c>
      <c r="K1538" s="103"/>
      <c r="L1538" s="103">
        <v>4.2599999999999999E-2</v>
      </c>
      <c r="O1538" s="100"/>
    </row>
    <row r="1539" spans="2:15" x14ac:dyDescent="0.2">
      <c r="B1539" s="1">
        <v>1524</v>
      </c>
      <c r="C1539" s="101">
        <f t="shared" ca="1" si="92"/>
        <v>0.89233809836305034</v>
      </c>
      <c r="D1539" s="101">
        <f t="shared" ca="1" si="93"/>
        <v>0.72564400921682271</v>
      </c>
      <c r="E1539" s="101">
        <f t="shared" ca="1" si="94"/>
        <v>0</v>
      </c>
      <c r="F1539" s="21">
        <f t="shared" ca="1" si="95"/>
        <v>0</v>
      </c>
      <c r="H1539" s="21">
        <v>1524</v>
      </c>
      <c r="I1539" s="102">
        <v>0.66765015031495634</v>
      </c>
      <c r="J1539" s="103">
        <v>1.187826062786334E-3</v>
      </c>
      <c r="K1539" s="103"/>
      <c r="L1539" s="103">
        <v>3.6999999999999998E-2</v>
      </c>
      <c r="O1539" s="100"/>
    </row>
    <row r="1540" spans="2:15" x14ac:dyDescent="0.2">
      <c r="B1540" s="1">
        <v>1525</v>
      </c>
      <c r="C1540" s="101">
        <f t="shared" ca="1" si="92"/>
        <v>-0.88291741902664223</v>
      </c>
      <c r="D1540" s="101">
        <f t="shared" ca="1" si="93"/>
        <v>0.60907778864962359</v>
      </c>
      <c r="E1540" s="101">
        <f t="shared" ca="1" si="94"/>
        <v>0</v>
      </c>
      <c r="F1540" s="21">
        <f t="shared" ca="1" si="95"/>
        <v>0</v>
      </c>
      <c r="H1540" s="21">
        <v>1525</v>
      </c>
      <c r="I1540" s="102">
        <v>0.66777232602388015</v>
      </c>
      <c r="J1540" s="103">
        <v>1.3573797731121478E-3</v>
      </c>
      <c r="K1540" s="103"/>
      <c r="L1540" s="103">
        <v>4.2999999999999997E-2</v>
      </c>
      <c r="O1540" s="100"/>
    </row>
    <row r="1541" spans="2:15" x14ac:dyDescent="0.2">
      <c r="B1541" s="1">
        <v>1526</v>
      </c>
      <c r="C1541" s="101">
        <f t="shared" ca="1" si="92"/>
        <v>0.50680388216828542</v>
      </c>
      <c r="D1541" s="101">
        <f t="shared" ca="1" si="93"/>
        <v>0.69856619594697311</v>
      </c>
      <c r="E1541" s="101">
        <f t="shared" ca="1" si="94"/>
        <v>0</v>
      </c>
      <c r="F1541" s="21">
        <f t="shared" ca="1" si="95"/>
        <v>0</v>
      </c>
      <c r="H1541" s="21">
        <v>1526</v>
      </c>
      <c r="I1541" s="102">
        <v>0.66775433785211613</v>
      </c>
      <c r="J1541" s="103">
        <v>1.3725969175363559E-3</v>
      </c>
      <c r="K1541" s="103"/>
      <c r="L1541" s="103">
        <v>4.24E-2</v>
      </c>
      <c r="O1541" s="100"/>
    </row>
    <row r="1542" spans="2:15" x14ac:dyDescent="0.2">
      <c r="B1542" s="1">
        <v>1527</v>
      </c>
      <c r="C1542" s="101">
        <f t="shared" ca="1" si="92"/>
        <v>-1.1109995592292998</v>
      </c>
      <c r="D1542" s="101">
        <f t="shared" ca="1" si="93"/>
        <v>0.59552755908969202</v>
      </c>
      <c r="E1542" s="101">
        <f t="shared" ca="1" si="94"/>
        <v>0</v>
      </c>
      <c r="F1542" s="21">
        <f t="shared" ca="1" si="95"/>
        <v>0</v>
      </c>
      <c r="H1542" s="21">
        <v>1527</v>
      </c>
      <c r="I1542" s="102">
        <v>0.6676823928060579</v>
      </c>
      <c r="J1542" s="103">
        <v>1.2685094651307023E-3</v>
      </c>
      <c r="K1542" s="103"/>
      <c r="L1542" s="103">
        <v>4.3400000000000001E-2</v>
      </c>
      <c r="O1542" s="100"/>
    </row>
    <row r="1543" spans="2:15" x14ac:dyDescent="0.2">
      <c r="B1543" s="1">
        <v>1528</v>
      </c>
      <c r="C1543" s="101">
        <f t="shared" ca="1" si="92"/>
        <v>0.66332240248039165</v>
      </c>
      <c r="D1543" s="101">
        <f t="shared" ca="1" si="93"/>
        <v>0.70943518351730583</v>
      </c>
      <c r="E1543" s="101">
        <f t="shared" ca="1" si="94"/>
        <v>0</v>
      </c>
      <c r="F1543" s="21">
        <f t="shared" ca="1" si="95"/>
        <v>0</v>
      </c>
      <c r="H1543" s="21">
        <v>1528</v>
      </c>
      <c r="I1543" s="102">
        <v>0.6677207479507129</v>
      </c>
      <c r="J1543" s="103">
        <v>1.3528611938578986E-3</v>
      </c>
      <c r="K1543" s="103"/>
      <c r="L1543" s="103">
        <v>4.1799999999999997E-2</v>
      </c>
      <c r="O1543" s="100"/>
    </row>
    <row r="1544" spans="2:15" x14ac:dyDescent="0.2">
      <c r="B1544" s="1">
        <v>1529</v>
      </c>
      <c r="C1544" s="101">
        <f t="shared" ca="1" si="92"/>
        <v>-0.1733460840641935</v>
      </c>
      <c r="D1544" s="101">
        <f t="shared" ca="1" si="93"/>
        <v>0.65323637604587526</v>
      </c>
      <c r="E1544" s="101">
        <f t="shared" ca="1" si="94"/>
        <v>0</v>
      </c>
      <c r="F1544" s="21">
        <f t="shared" ca="1" si="95"/>
        <v>0</v>
      </c>
      <c r="H1544" s="21">
        <v>1529</v>
      </c>
      <c r="I1544" s="102">
        <v>0.66786274933275425</v>
      </c>
      <c r="J1544" s="103">
        <v>1.4554719879748812E-3</v>
      </c>
      <c r="K1544" s="103"/>
      <c r="L1544" s="103">
        <v>4.4400000000000002E-2</v>
      </c>
      <c r="O1544" s="100"/>
    </row>
    <row r="1545" spans="2:15" x14ac:dyDescent="0.2">
      <c r="B1545" s="1">
        <v>1530</v>
      </c>
      <c r="C1545" s="101">
        <f t="shared" ca="1" si="92"/>
        <v>0.39071164254341328</v>
      </c>
      <c r="D1545" s="101">
        <f t="shared" ca="1" si="93"/>
        <v>0.69061219992791212</v>
      </c>
      <c r="E1545" s="101">
        <f t="shared" ca="1" si="94"/>
        <v>0</v>
      </c>
      <c r="F1545" s="21">
        <f t="shared" ca="1" si="95"/>
        <v>0</v>
      </c>
      <c r="H1545" s="21">
        <v>1530</v>
      </c>
      <c r="I1545" s="102">
        <v>0.66768625712636032</v>
      </c>
      <c r="J1545" s="103">
        <v>1.2554157065402577E-3</v>
      </c>
      <c r="K1545" s="103"/>
      <c r="L1545" s="103">
        <v>3.9800000000000002E-2</v>
      </c>
      <c r="O1545" s="100"/>
    </row>
    <row r="1546" spans="2:15" x14ac:dyDescent="0.2">
      <c r="B1546" s="1">
        <v>1531</v>
      </c>
      <c r="C1546" s="101">
        <f t="shared" ca="1" si="92"/>
        <v>-1.655059482044732</v>
      </c>
      <c r="D1546" s="101">
        <f t="shared" ca="1" si="93"/>
        <v>0.5644099643278534</v>
      </c>
      <c r="E1546" s="101">
        <f t="shared" ca="1" si="94"/>
        <v>0</v>
      </c>
      <c r="F1546" s="21">
        <f t="shared" ca="1" si="95"/>
        <v>0</v>
      </c>
      <c r="H1546" s="21">
        <v>1531</v>
      </c>
      <c r="I1546" s="102">
        <v>0.66775315680360259</v>
      </c>
      <c r="J1546" s="103">
        <v>1.2956968730592851E-3</v>
      </c>
      <c r="K1546" s="103"/>
      <c r="L1546" s="103">
        <v>4.0399999999999998E-2</v>
      </c>
      <c r="O1546" s="100"/>
    </row>
    <row r="1547" spans="2:15" x14ac:dyDescent="0.2">
      <c r="B1547" s="1">
        <v>1532</v>
      </c>
      <c r="C1547" s="101">
        <f t="shared" ca="1" si="92"/>
        <v>0.98144197538536537</v>
      </c>
      <c r="D1547" s="101">
        <f t="shared" ca="1" si="93"/>
        <v>0.73205004103556759</v>
      </c>
      <c r="E1547" s="101">
        <f t="shared" ca="1" si="94"/>
        <v>0</v>
      </c>
      <c r="F1547" s="21">
        <f t="shared" ca="1" si="95"/>
        <v>0</v>
      </c>
      <c r="H1547" s="21">
        <v>1532</v>
      </c>
      <c r="I1547" s="102">
        <v>0.66776061216659655</v>
      </c>
      <c r="J1547" s="103">
        <v>1.3780277523579053E-3</v>
      </c>
      <c r="K1547" s="103"/>
      <c r="L1547" s="103">
        <v>4.3999999999999997E-2</v>
      </c>
      <c r="O1547" s="100"/>
    </row>
    <row r="1548" spans="2:15" x14ac:dyDescent="0.2">
      <c r="B1548" s="1">
        <v>1533</v>
      </c>
      <c r="C1548" s="101">
        <f t="shared" ca="1" si="92"/>
        <v>-1.4221036332206964</v>
      </c>
      <c r="D1548" s="101">
        <f t="shared" ca="1" si="93"/>
        <v>0.57752974543872471</v>
      </c>
      <c r="E1548" s="101">
        <f t="shared" ca="1" si="94"/>
        <v>0</v>
      </c>
      <c r="F1548" s="21">
        <f t="shared" ca="1" si="95"/>
        <v>0</v>
      </c>
      <c r="H1548" s="21">
        <v>1533</v>
      </c>
      <c r="I1548" s="102">
        <v>0.66768116710585224</v>
      </c>
      <c r="J1548" s="103">
        <v>1.3771661850488243E-3</v>
      </c>
      <c r="K1548" s="103"/>
      <c r="L1548" s="103">
        <v>4.1399999999999999E-2</v>
      </c>
      <c r="O1548" s="100"/>
    </row>
    <row r="1549" spans="2:15" x14ac:dyDescent="0.2">
      <c r="B1549" s="1">
        <v>1534</v>
      </c>
      <c r="C1549" s="101">
        <f t="shared" ca="1" si="92"/>
        <v>-1.4795482252387897</v>
      </c>
      <c r="D1549" s="101">
        <f t="shared" ca="1" si="93"/>
        <v>0.57426647893667759</v>
      </c>
      <c r="E1549" s="101">
        <f t="shared" ca="1" si="94"/>
        <v>0</v>
      </c>
      <c r="F1549" s="21">
        <f t="shared" ca="1" si="95"/>
        <v>0</v>
      </c>
      <c r="H1549" s="21">
        <v>1534</v>
      </c>
      <c r="I1549" s="102">
        <v>0.66763956507766598</v>
      </c>
      <c r="J1549" s="103">
        <v>1.2262768971547473E-3</v>
      </c>
      <c r="K1549" s="103"/>
      <c r="L1549" s="103">
        <v>3.8399999999999997E-2</v>
      </c>
      <c r="O1549" s="100"/>
    </row>
    <row r="1550" spans="2:15" x14ac:dyDescent="0.2">
      <c r="B1550" s="1">
        <v>1535</v>
      </c>
      <c r="C1550" s="101">
        <f t="shared" ca="1" si="92"/>
        <v>-1.0290501796272329</v>
      </c>
      <c r="D1550" s="101">
        <f t="shared" ca="1" si="93"/>
        <v>0.60036107272062555</v>
      </c>
      <c r="E1550" s="101">
        <f t="shared" ca="1" si="94"/>
        <v>0</v>
      </c>
      <c r="F1550" s="21">
        <f t="shared" ca="1" si="95"/>
        <v>0</v>
      </c>
      <c r="H1550" s="21">
        <v>1535</v>
      </c>
      <c r="I1550" s="102">
        <v>0.6676948475299731</v>
      </c>
      <c r="J1550" s="103">
        <v>1.2803606329589341E-3</v>
      </c>
      <c r="K1550" s="103"/>
      <c r="L1550" s="103">
        <v>4.0800000000000003E-2</v>
      </c>
      <c r="O1550" s="100"/>
    </row>
    <row r="1551" spans="2:15" x14ac:dyDescent="0.2">
      <c r="B1551" s="1">
        <v>1536</v>
      </c>
      <c r="C1551" s="101">
        <f t="shared" ca="1" si="92"/>
        <v>-1.374635818942928</v>
      </c>
      <c r="D1551" s="101">
        <f t="shared" ca="1" si="93"/>
        <v>0.58024024683364106</v>
      </c>
      <c r="E1551" s="101">
        <f t="shared" ca="1" si="94"/>
        <v>0</v>
      </c>
      <c r="F1551" s="21">
        <f t="shared" ca="1" si="95"/>
        <v>0</v>
      </c>
      <c r="H1551" s="21">
        <v>1536</v>
      </c>
      <c r="I1551" s="102">
        <v>0.66765348486564291</v>
      </c>
      <c r="J1551" s="103">
        <v>1.2873427776212765E-3</v>
      </c>
      <c r="K1551" s="103"/>
      <c r="L1551" s="103">
        <v>3.9199999999999999E-2</v>
      </c>
      <c r="O1551" s="100"/>
    </row>
    <row r="1552" spans="2:15" x14ac:dyDescent="0.2">
      <c r="B1552" s="1">
        <v>1537</v>
      </c>
      <c r="C1552" s="101">
        <f t="shared" ref="C1552:C1615" ca="1" si="96">_xlfn.NORM.S.INV(RAND())</f>
        <v>-0.2161280914379721</v>
      </c>
      <c r="D1552" s="101">
        <f t="shared" ref="D1552:D1615" ca="1" si="97">S0*EXP((μ-0.5*σ*σ)*T+σ*SQRT(T)*$C1552)</f>
        <v>0.65048547882500296</v>
      </c>
      <c r="E1552" s="101">
        <f t="shared" ref="E1552:E1615" ca="1" si="98">MAX(0,CP*(D1552-K))</f>
        <v>0</v>
      </c>
      <c r="F1552" s="21">
        <f t="shared" ref="F1552:F1615" ca="1" si="99">(CP*(D1552-K)&gt;0)*1</f>
        <v>0</v>
      </c>
      <c r="H1552" s="21">
        <v>1537</v>
      </c>
      <c r="I1552" s="102">
        <v>0.66764967398461317</v>
      </c>
      <c r="J1552" s="103">
        <v>1.3504979121533285E-3</v>
      </c>
      <c r="K1552" s="103"/>
      <c r="L1552" s="103">
        <v>3.7999999999999999E-2</v>
      </c>
      <c r="O1552" s="100"/>
    </row>
    <row r="1553" spans="2:15" x14ac:dyDescent="0.2">
      <c r="B1553" s="1">
        <v>1538</v>
      </c>
      <c r="C1553" s="101">
        <f t="shared" ca="1" si="96"/>
        <v>-1.8299439510476161</v>
      </c>
      <c r="D1553" s="101">
        <f t="shared" ca="1" si="97"/>
        <v>0.55475692158050516</v>
      </c>
      <c r="E1553" s="101">
        <f t="shared" ca="1" si="98"/>
        <v>0</v>
      </c>
      <c r="F1553" s="21">
        <f t="shared" ca="1" si="99"/>
        <v>0</v>
      </c>
      <c r="H1553" s="21">
        <v>1538</v>
      </c>
      <c r="I1553" s="102">
        <v>0.66775559758384018</v>
      </c>
      <c r="J1553" s="103">
        <v>1.3471741590191074E-3</v>
      </c>
      <c r="K1553" s="103"/>
      <c r="L1553" s="103">
        <v>3.8800000000000001E-2</v>
      </c>
      <c r="O1553" s="100"/>
    </row>
    <row r="1554" spans="2:15" x14ac:dyDescent="0.2">
      <c r="B1554" s="1">
        <v>1539</v>
      </c>
      <c r="C1554" s="101">
        <f t="shared" ca="1" si="96"/>
        <v>-0.54804218055014287</v>
      </c>
      <c r="D1554" s="101">
        <f t="shared" ca="1" si="97"/>
        <v>0.62953315999413129</v>
      </c>
      <c r="E1554" s="101">
        <f t="shared" ca="1" si="98"/>
        <v>0</v>
      </c>
      <c r="F1554" s="21">
        <f t="shared" ca="1" si="99"/>
        <v>0</v>
      </c>
      <c r="H1554" s="21">
        <v>1539</v>
      </c>
      <c r="I1554" s="102">
        <v>0.66792362802112015</v>
      </c>
      <c r="J1554" s="103">
        <v>1.6288715034961643E-3</v>
      </c>
      <c r="K1554" s="103"/>
      <c r="L1554" s="103">
        <v>4.58E-2</v>
      </c>
      <c r="O1554" s="100"/>
    </row>
    <row r="1555" spans="2:15" x14ac:dyDescent="0.2">
      <c r="B1555" s="1">
        <v>1540</v>
      </c>
      <c r="C1555" s="101">
        <f t="shared" ca="1" si="96"/>
        <v>-0.59373662941004168</v>
      </c>
      <c r="D1555" s="101">
        <f t="shared" ca="1" si="97"/>
        <v>0.62670201206678711</v>
      </c>
      <c r="E1555" s="101">
        <f t="shared" ca="1" si="98"/>
        <v>0</v>
      </c>
      <c r="F1555" s="21">
        <f t="shared" ca="1" si="99"/>
        <v>0</v>
      </c>
      <c r="H1555" s="21">
        <v>1540</v>
      </c>
      <c r="I1555" s="102">
        <v>0.66761087861226165</v>
      </c>
      <c r="J1555" s="103">
        <v>1.1682702059029658E-3</v>
      </c>
      <c r="K1555" s="103"/>
      <c r="L1555" s="103">
        <v>0.04</v>
      </c>
      <c r="O1555" s="100"/>
    </row>
    <row r="1556" spans="2:15" x14ac:dyDescent="0.2">
      <c r="B1556" s="1">
        <v>1541</v>
      </c>
      <c r="C1556" s="101">
        <f t="shared" ca="1" si="96"/>
        <v>1.478912049385398</v>
      </c>
      <c r="D1556" s="101">
        <f t="shared" ca="1" si="97"/>
        <v>0.76886852132894923</v>
      </c>
      <c r="E1556" s="101">
        <f t="shared" ca="1" si="98"/>
        <v>0</v>
      </c>
      <c r="F1556" s="21">
        <f t="shared" ca="1" si="99"/>
        <v>0</v>
      </c>
      <c r="H1556" s="21">
        <v>1541</v>
      </c>
      <c r="I1556" s="102">
        <v>0.66770167223367571</v>
      </c>
      <c r="J1556" s="103">
        <v>1.3284108761795585E-3</v>
      </c>
      <c r="K1556" s="103"/>
      <c r="L1556" s="103">
        <v>4.02E-2</v>
      </c>
      <c r="O1556" s="100"/>
    </row>
    <row r="1557" spans="2:15" x14ac:dyDescent="0.2">
      <c r="B1557" s="1">
        <v>1542</v>
      </c>
      <c r="C1557" s="101">
        <f t="shared" ca="1" si="96"/>
        <v>-0.28721152107539288</v>
      </c>
      <c r="D1557" s="101">
        <f t="shared" ca="1" si="97"/>
        <v>0.64594038152731725</v>
      </c>
      <c r="E1557" s="101">
        <f t="shared" ca="1" si="98"/>
        <v>0</v>
      </c>
      <c r="F1557" s="21">
        <f t="shared" ca="1" si="99"/>
        <v>0</v>
      </c>
      <c r="H1557" s="21">
        <v>1542</v>
      </c>
      <c r="I1557" s="102">
        <v>0.66780501878714016</v>
      </c>
      <c r="J1557" s="103">
        <v>1.4914804850398732E-3</v>
      </c>
      <c r="K1557" s="103"/>
      <c r="L1557" s="103">
        <v>4.2999999999999997E-2</v>
      </c>
      <c r="O1557" s="100"/>
    </row>
    <row r="1558" spans="2:15" x14ac:dyDescent="0.2">
      <c r="B1558" s="1">
        <v>1543</v>
      </c>
      <c r="C1558" s="101">
        <f t="shared" ca="1" si="96"/>
        <v>1.0878496019513324</v>
      </c>
      <c r="D1558" s="101">
        <f t="shared" ca="1" si="97"/>
        <v>0.73977424331481678</v>
      </c>
      <c r="E1558" s="101">
        <f t="shared" ca="1" si="98"/>
        <v>0</v>
      </c>
      <c r="F1558" s="21">
        <f t="shared" ca="1" si="99"/>
        <v>0</v>
      </c>
      <c r="H1558" s="21">
        <v>1543</v>
      </c>
      <c r="I1558" s="102">
        <v>0.6677550872781709</v>
      </c>
      <c r="J1558" s="103">
        <v>1.4424959048944534E-3</v>
      </c>
      <c r="K1558" s="103"/>
      <c r="L1558" s="103">
        <v>4.0399999999999998E-2</v>
      </c>
      <c r="O1558" s="100"/>
    </row>
    <row r="1559" spans="2:15" x14ac:dyDescent="0.2">
      <c r="B1559" s="1">
        <v>1544</v>
      </c>
      <c r="C1559" s="101">
        <f t="shared" ca="1" si="96"/>
        <v>-0.36832475396507247</v>
      </c>
      <c r="D1559" s="101">
        <f t="shared" ca="1" si="97"/>
        <v>0.64079275790052093</v>
      </c>
      <c r="E1559" s="101">
        <f t="shared" ca="1" si="98"/>
        <v>0</v>
      </c>
      <c r="F1559" s="21">
        <f t="shared" ca="1" si="99"/>
        <v>0</v>
      </c>
      <c r="H1559" s="21">
        <v>1544</v>
      </c>
      <c r="I1559" s="102">
        <v>0.66764825696325203</v>
      </c>
      <c r="J1559" s="103">
        <v>1.2333617670902972E-3</v>
      </c>
      <c r="K1559" s="103"/>
      <c r="L1559" s="103">
        <v>3.9199999999999999E-2</v>
      </c>
      <c r="O1559" s="100"/>
    </row>
    <row r="1560" spans="2:15" x14ac:dyDescent="0.2">
      <c r="B1560" s="1">
        <v>1545</v>
      </c>
      <c r="C1560" s="101">
        <f t="shared" ca="1" si="96"/>
        <v>2.0979973364012587</v>
      </c>
      <c r="D1560" s="101">
        <f t="shared" ca="1" si="97"/>
        <v>0.81728459426502398</v>
      </c>
      <c r="E1560" s="101">
        <f t="shared" ca="1" si="98"/>
        <v>2.9084594265023966E-2</v>
      </c>
      <c r="F1560" s="21">
        <f t="shared" ca="1" si="99"/>
        <v>1</v>
      </c>
      <c r="H1560" s="21">
        <v>1545</v>
      </c>
      <c r="I1560" s="102">
        <v>0.66766508135324154</v>
      </c>
      <c r="J1560" s="103">
        <v>1.1742058506475335E-3</v>
      </c>
      <c r="K1560" s="103"/>
      <c r="L1560" s="103">
        <v>3.9E-2</v>
      </c>
      <c r="O1560" s="100"/>
    </row>
    <row r="1561" spans="2:15" x14ac:dyDescent="0.2">
      <c r="B1561" s="1">
        <v>1546</v>
      </c>
      <c r="C1561" s="101">
        <f t="shared" ca="1" si="96"/>
        <v>0.14749301802367543</v>
      </c>
      <c r="D1561" s="101">
        <f t="shared" ca="1" si="97"/>
        <v>0.67424061511202171</v>
      </c>
      <c r="E1561" s="101">
        <f t="shared" ca="1" si="98"/>
        <v>0</v>
      </c>
      <c r="F1561" s="21">
        <f t="shared" ca="1" si="99"/>
        <v>0</v>
      </c>
      <c r="H1561" s="21">
        <v>1546</v>
      </c>
      <c r="I1561" s="102">
        <v>0.66773838952298625</v>
      </c>
      <c r="J1561" s="103">
        <v>1.3673568309909511E-3</v>
      </c>
      <c r="K1561" s="103"/>
      <c r="L1561" s="103">
        <v>4.3999999999999997E-2</v>
      </c>
      <c r="O1561" s="100"/>
    </row>
    <row r="1562" spans="2:15" x14ac:dyDescent="0.2">
      <c r="B1562" s="1">
        <v>1547</v>
      </c>
      <c r="C1562" s="101">
        <f t="shared" ca="1" si="96"/>
        <v>3.5407115650285363</v>
      </c>
      <c r="D1562" s="101">
        <f t="shared" ca="1" si="97"/>
        <v>0.94227637099116068</v>
      </c>
      <c r="E1562" s="101">
        <f t="shared" ca="1" si="98"/>
        <v>0.15407637099116067</v>
      </c>
      <c r="F1562" s="21">
        <f t="shared" ca="1" si="99"/>
        <v>1</v>
      </c>
      <c r="H1562" s="21">
        <v>1547</v>
      </c>
      <c r="I1562" s="102">
        <v>0.66752225971587531</v>
      </c>
      <c r="J1562" s="103">
        <v>1.0951058779953816E-3</v>
      </c>
      <c r="K1562" s="103"/>
      <c r="L1562" s="103">
        <v>3.5400000000000001E-2</v>
      </c>
      <c r="O1562" s="100"/>
    </row>
    <row r="1563" spans="2:15" x14ac:dyDescent="0.2">
      <c r="B1563" s="1">
        <v>1548</v>
      </c>
      <c r="C1563" s="101">
        <f t="shared" ca="1" si="96"/>
        <v>0.6194625856328293</v>
      </c>
      <c r="D1563" s="101">
        <f t="shared" ca="1" si="97"/>
        <v>0.70637251980866245</v>
      </c>
      <c r="E1563" s="101">
        <f t="shared" ca="1" si="98"/>
        <v>0</v>
      </c>
      <c r="F1563" s="21">
        <f t="shared" ca="1" si="99"/>
        <v>0</v>
      </c>
      <c r="H1563" s="21">
        <v>1548</v>
      </c>
      <c r="I1563" s="102">
        <v>0.66776006281776368</v>
      </c>
      <c r="J1563" s="103">
        <v>1.3659858390411179E-3</v>
      </c>
      <c r="K1563" s="103"/>
      <c r="L1563" s="103">
        <v>3.8800000000000001E-2</v>
      </c>
      <c r="O1563" s="100"/>
    </row>
    <row r="1564" spans="2:15" x14ac:dyDescent="0.2">
      <c r="B1564" s="1">
        <v>1549</v>
      </c>
      <c r="C1564" s="101">
        <f t="shared" ca="1" si="96"/>
        <v>-0.52583753174548598</v>
      </c>
      <c r="D1564" s="101">
        <f t="shared" ca="1" si="97"/>
        <v>0.6309135351171844</v>
      </c>
      <c r="E1564" s="101">
        <f t="shared" ca="1" si="98"/>
        <v>0</v>
      </c>
      <c r="F1564" s="21">
        <f t="shared" ca="1" si="99"/>
        <v>0</v>
      </c>
      <c r="H1564" s="21">
        <v>1549</v>
      </c>
      <c r="I1564" s="102">
        <v>0.66775195002999965</v>
      </c>
      <c r="J1564" s="103">
        <v>1.3316406333924503E-3</v>
      </c>
      <c r="K1564" s="103"/>
      <c r="L1564" s="103">
        <v>4.0599999999999997E-2</v>
      </c>
      <c r="O1564" s="100"/>
    </row>
    <row r="1565" spans="2:15" x14ac:dyDescent="0.2">
      <c r="B1565" s="1">
        <v>1550</v>
      </c>
      <c r="C1565" s="101">
        <f t="shared" ca="1" si="96"/>
        <v>1.5313481752023597</v>
      </c>
      <c r="D1565" s="101">
        <f t="shared" ca="1" si="97"/>
        <v>0.7728556956888909</v>
      </c>
      <c r="E1565" s="101">
        <f t="shared" ca="1" si="98"/>
        <v>0</v>
      </c>
      <c r="F1565" s="21">
        <f t="shared" ca="1" si="99"/>
        <v>0</v>
      </c>
      <c r="H1565" s="21">
        <v>1550</v>
      </c>
      <c r="I1565" s="102">
        <v>0.66800653552563916</v>
      </c>
      <c r="J1565" s="103">
        <v>1.6662320604860692E-3</v>
      </c>
      <c r="K1565" s="103"/>
      <c r="L1565" s="103">
        <v>4.7E-2</v>
      </c>
      <c r="O1565" s="100"/>
    </row>
    <row r="1566" spans="2:15" x14ac:dyDescent="0.2">
      <c r="B1566" s="1">
        <v>1551</v>
      </c>
      <c r="C1566" s="101">
        <f t="shared" ca="1" si="96"/>
        <v>-1.1819003479299606</v>
      </c>
      <c r="D1566" s="101">
        <f t="shared" ca="1" si="97"/>
        <v>0.59137712001567921</v>
      </c>
      <c r="E1566" s="101">
        <f t="shared" ca="1" si="98"/>
        <v>0</v>
      </c>
      <c r="F1566" s="21">
        <f t="shared" ca="1" si="99"/>
        <v>0</v>
      </c>
      <c r="H1566" s="21">
        <v>1551</v>
      </c>
      <c r="I1566" s="102">
        <v>0.66780103410281566</v>
      </c>
      <c r="J1566" s="103">
        <v>1.4932605752696975E-3</v>
      </c>
      <c r="K1566" s="103"/>
      <c r="L1566" s="103">
        <v>4.2999999999999997E-2</v>
      </c>
      <c r="O1566" s="100"/>
    </row>
    <row r="1567" spans="2:15" x14ac:dyDescent="0.2">
      <c r="B1567" s="1">
        <v>1552</v>
      </c>
      <c r="C1567" s="101">
        <f t="shared" ca="1" si="96"/>
        <v>-0.45604740322358156</v>
      </c>
      <c r="D1567" s="101">
        <f t="shared" ca="1" si="97"/>
        <v>0.63527184879200538</v>
      </c>
      <c r="E1567" s="101">
        <f t="shared" ca="1" si="98"/>
        <v>0</v>
      </c>
      <c r="F1567" s="21">
        <f t="shared" ca="1" si="99"/>
        <v>0</v>
      </c>
      <c r="H1567" s="21">
        <v>1552</v>
      </c>
      <c r="I1567" s="102">
        <v>0.66774437473655246</v>
      </c>
      <c r="J1567" s="103">
        <v>1.341416113089909E-3</v>
      </c>
      <c r="K1567" s="103"/>
      <c r="L1567" s="103">
        <v>4.24E-2</v>
      </c>
      <c r="O1567" s="100"/>
    </row>
    <row r="1568" spans="2:15" x14ac:dyDescent="0.2">
      <c r="B1568" s="1">
        <v>1553</v>
      </c>
      <c r="C1568" s="101">
        <f t="shared" ca="1" si="96"/>
        <v>-0.40532417287938899</v>
      </c>
      <c r="D1568" s="101">
        <f t="shared" ca="1" si="97"/>
        <v>0.63845833721030598</v>
      </c>
      <c r="E1568" s="101">
        <f t="shared" ca="1" si="98"/>
        <v>0</v>
      </c>
      <c r="F1568" s="21">
        <f t="shared" ca="1" si="99"/>
        <v>0</v>
      </c>
      <c r="H1568" s="21">
        <v>1553</v>
      </c>
      <c r="I1568" s="102">
        <v>0.6677020293622401</v>
      </c>
      <c r="J1568" s="103">
        <v>1.3281506233275692E-3</v>
      </c>
      <c r="K1568" s="103"/>
      <c r="L1568" s="103">
        <v>4.0599999999999997E-2</v>
      </c>
      <c r="O1568" s="100"/>
    </row>
    <row r="1569" spans="2:15" x14ac:dyDescent="0.2">
      <c r="B1569" s="1">
        <v>1554</v>
      </c>
      <c r="C1569" s="101">
        <f t="shared" ca="1" si="96"/>
        <v>-0.98558793529394673</v>
      </c>
      <c r="D1569" s="101">
        <f t="shared" ca="1" si="97"/>
        <v>0.60294044991100415</v>
      </c>
      <c r="E1569" s="101">
        <f t="shared" ca="1" si="98"/>
        <v>0</v>
      </c>
      <c r="F1569" s="21">
        <f t="shared" ca="1" si="99"/>
        <v>0</v>
      </c>
      <c r="H1569" s="21">
        <v>1554</v>
      </c>
      <c r="I1569" s="102">
        <v>0.66772106283114385</v>
      </c>
      <c r="J1569" s="103">
        <v>1.331972532368123E-3</v>
      </c>
      <c r="K1569" s="103"/>
      <c r="L1569" s="103">
        <v>3.78E-2</v>
      </c>
      <c r="O1569" s="100"/>
    </row>
    <row r="1570" spans="2:15" x14ac:dyDescent="0.2">
      <c r="B1570" s="1">
        <v>1555</v>
      </c>
      <c r="C1570" s="101">
        <f t="shared" ca="1" si="96"/>
        <v>0.17179581473604244</v>
      </c>
      <c r="D1570" s="101">
        <f t="shared" ca="1" si="97"/>
        <v>0.6758588841589267</v>
      </c>
      <c r="E1570" s="101">
        <f t="shared" ca="1" si="98"/>
        <v>0</v>
      </c>
      <c r="F1570" s="21">
        <f t="shared" ca="1" si="99"/>
        <v>0</v>
      </c>
      <c r="H1570" s="21">
        <v>1555</v>
      </c>
      <c r="I1570" s="102">
        <v>0.66769336189133921</v>
      </c>
      <c r="J1570" s="103">
        <v>1.1323751415665039E-3</v>
      </c>
      <c r="K1570" s="103"/>
      <c r="L1570" s="103">
        <v>3.9399999999999998E-2</v>
      </c>
      <c r="O1570" s="100"/>
    </row>
    <row r="1571" spans="2:15" x14ac:dyDescent="0.2">
      <c r="B1571" s="1">
        <v>1556</v>
      </c>
      <c r="C1571" s="101">
        <f t="shared" ca="1" si="96"/>
        <v>-0.59928487300936406</v>
      </c>
      <c r="D1571" s="101">
        <f t="shared" ca="1" si="97"/>
        <v>0.62635912060246468</v>
      </c>
      <c r="E1571" s="101">
        <f t="shared" ca="1" si="98"/>
        <v>0</v>
      </c>
      <c r="F1571" s="21">
        <f t="shared" ca="1" si="99"/>
        <v>0</v>
      </c>
      <c r="H1571" s="21">
        <v>1556</v>
      </c>
      <c r="I1571" s="102">
        <v>0.66762969602815492</v>
      </c>
      <c r="J1571" s="103">
        <v>1.1916009198348553E-3</v>
      </c>
      <c r="K1571" s="103"/>
      <c r="L1571" s="103">
        <v>3.6400000000000002E-2</v>
      </c>
      <c r="O1571" s="100"/>
    </row>
    <row r="1572" spans="2:15" x14ac:dyDescent="0.2">
      <c r="B1572" s="1">
        <v>1557</v>
      </c>
      <c r="C1572" s="101">
        <f t="shared" ca="1" si="96"/>
        <v>1.4087841981890454</v>
      </c>
      <c r="D1572" s="101">
        <f t="shared" ca="1" si="97"/>
        <v>0.76356822364329902</v>
      </c>
      <c r="E1572" s="101">
        <f t="shared" ca="1" si="98"/>
        <v>0</v>
      </c>
      <c r="F1572" s="21">
        <f t="shared" ca="1" si="99"/>
        <v>0</v>
      </c>
      <c r="H1572" s="21">
        <v>1557</v>
      </c>
      <c r="I1572" s="102">
        <v>0.66761773400696089</v>
      </c>
      <c r="J1572" s="103">
        <v>1.2656830158870522E-3</v>
      </c>
      <c r="K1572" s="103"/>
      <c r="L1572" s="103">
        <v>4.0399999999999998E-2</v>
      </c>
      <c r="O1572" s="100"/>
    </row>
    <row r="1573" spans="2:15" x14ac:dyDescent="0.2">
      <c r="B1573" s="1">
        <v>1558</v>
      </c>
      <c r="C1573" s="101">
        <f t="shared" ca="1" si="96"/>
        <v>-0.36337803357179993</v>
      </c>
      <c r="D1573" s="101">
        <f t="shared" ca="1" si="97"/>
        <v>0.64110550970214164</v>
      </c>
      <c r="E1573" s="101">
        <f t="shared" ca="1" si="98"/>
        <v>0</v>
      </c>
      <c r="F1573" s="21">
        <f t="shared" ca="1" si="99"/>
        <v>0</v>
      </c>
      <c r="H1573" s="21">
        <v>1558</v>
      </c>
      <c r="I1573" s="102">
        <v>0.66779959392751098</v>
      </c>
      <c r="J1573" s="103">
        <v>1.3892608496872713E-3</v>
      </c>
      <c r="K1573" s="103"/>
      <c r="L1573" s="103">
        <v>4.0599999999999997E-2</v>
      </c>
      <c r="O1573" s="100"/>
    </row>
    <row r="1574" spans="2:15" x14ac:dyDescent="0.2">
      <c r="B1574" s="1">
        <v>1559</v>
      </c>
      <c r="C1574" s="101">
        <f t="shared" ca="1" si="96"/>
        <v>-1.6691800361502822</v>
      </c>
      <c r="D1574" s="101">
        <f t="shared" ca="1" si="97"/>
        <v>0.56362436176884256</v>
      </c>
      <c r="E1574" s="101">
        <f t="shared" ca="1" si="98"/>
        <v>0</v>
      </c>
      <c r="F1574" s="21">
        <f t="shared" ca="1" si="99"/>
        <v>0</v>
      </c>
      <c r="H1574" s="21">
        <v>1559</v>
      </c>
      <c r="I1574" s="102">
        <v>0.66775537903590443</v>
      </c>
      <c r="J1574" s="103">
        <v>1.2769508485681305E-3</v>
      </c>
      <c r="K1574" s="103"/>
      <c r="L1574" s="103">
        <v>4.2599999999999999E-2</v>
      </c>
      <c r="O1574" s="100"/>
    </row>
    <row r="1575" spans="2:15" x14ac:dyDescent="0.2">
      <c r="B1575" s="1">
        <v>1560</v>
      </c>
      <c r="C1575" s="101">
        <f t="shared" ca="1" si="96"/>
        <v>-0.60242781128022027</v>
      </c>
      <c r="D1575" s="101">
        <f t="shared" ca="1" si="97"/>
        <v>0.62616496459238391</v>
      </c>
      <c r="E1575" s="101">
        <f t="shared" ca="1" si="98"/>
        <v>0</v>
      </c>
      <c r="F1575" s="21">
        <f t="shared" ca="1" si="99"/>
        <v>0</v>
      </c>
      <c r="H1575" s="21">
        <v>1560</v>
      </c>
      <c r="I1575" s="102">
        <v>0.66782639915746511</v>
      </c>
      <c r="J1575" s="103">
        <v>1.5786949789340979E-3</v>
      </c>
      <c r="K1575" s="103"/>
      <c r="L1575" s="103">
        <v>4.2799999999999998E-2</v>
      </c>
      <c r="O1575" s="100"/>
    </row>
    <row r="1576" spans="2:15" x14ac:dyDescent="0.2">
      <c r="B1576" s="1">
        <v>1561</v>
      </c>
      <c r="C1576" s="101">
        <f t="shared" ca="1" si="96"/>
        <v>-0.88491595543243318</v>
      </c>
      <c r="D1576" s="101">
        <f t="shared" ca="1" si="97"/>
        <v>0.60895772793625158</v>
      </c>
      <c r="E1576" s="101">
        <f t="shared" ca="1" si="98"/>
        <v>0</v>
      </c>
      <c r="F1576" s="21">
        <f t="shared" ca="1" si="99"/>
        <v>0</v>
      </c>
      <c r="H1576" s="21">
        <v>1561</v>
      </c>
      <c r="I1576" s="102">
        <v>0.66769698650602538</v>
      </c>
      <c r="J1576" s="103">
        <v>1.3153731548815938E-3</v>
      </c>
      <c r="K1576" s="103"/>
      <c r="L1576" s="103">
        <v>0.04</v>
      </c>
      <c r="O1576" s="100"/>
    </row>
    <row r="1577" spans="2:15" x14ac:dyDescent="0.2">
      <c r="B1577" s="1">
        <v>1562</v>
      </c>
      <c r="C1577" s="101">
        <f t="shared" ca="1" si="96"/>
        <v>1.8017145423226972</v>
      </c>
      <c r="D1577" s="101">
        <f t="shared" ca="1" si="97"/>
        <v>0.79374452074729274</v>
      </c>
      <c r="E1577" s="101">
        <f t="shared" ca="1" si="98"/>
        <v>5.5445207472927249E-3</v>
      </c>
      <c r="F1577" s="21">
        <f t="shared" ca="1" si="99"/>
        <v>1</v>
      </c>
      <c r="H1577" s="21">
        <v>1562</v>
      </c>
      <c r="I1577" s="102">
        <v>0.66771520452519528</v>
      </c>
      <c r="J1577" s="103">
        <v>1.3004539730438005E-3</v>
      </c>
      <c r="K1577" s="103"/>
      <c r="L1577" s="103">
        <v>4.2200000000000001E-2</v>
      </c>
      <c r="O1577" s="100"/>
    </row>
    <row r="1578" spans="2:15" x14ac:dyDescent="0.2">
      <c r="B1578" s="1">
        <v>1563</v>
      </c>
      <c r="C1578" s="101">
        <f t="shared" ca="1" si="96"/>
        <v>0.4044034956570558</v>
      </c>
      <c r="D1578" s="101">
        <f t="shared" ca="1" si="97"/>
        <v>0.6915455588566044</v>
      </c>
      <c r="E1578" s="101">
        <f t="shared" ca="1" si="98"/>
        <v>0</v>
      </c>
      <c r="F1578" s="21">
        <f t="shared" ca="1" si="99"/>
        <v>0</v>
      </c>
      <c r="H1578" s="21">
        <v>1563</v>
      </c>
      <c r="I1578" s="102">
        <v>0.66773958490470053</v>
      </c>
      <c r="J1578" s="103">
        <v>1.3508210444615888E-3</v>
      </c>
      <c r="K1578" s="103"/>
      <c r="L1578" s="103">
        <v>4.2999999999999997E-2</v>
      </c>
      <c r="O1578" s="100"/>
    </row>
    <row r="1579" spans="2:15" x14ac:dyDescent="0.2">
      <c r="B1579" s="1">
        <v>1564</v>
      </c>
      <c r="C1579" s="101">
        <f t="shared" ca="1" si="96"/>
        <v>1.6196270095466163E-3</v>
      </c>
      <c r="D1579" s="101">
        <f t="shared" ca="1" si="97"/>
        <v>0.66460833567517041</v>
      </c>
      <c r="E1579" s="101">
        <f t="shared" ca="1" si="98"/>
        <v>0</v>
      </c>
      <c r="F1579" s="21">
        <f t="shared" ca="1" si="99"/>
        <v>0</v>
      </c>
      <c r="H1579" s="21">
        <v>1564</v>
      </c>
      <c r="I1579" s="102">
        <v>0.66757400472309003</v>
      </c>
      <c r="J1579" s="103">
        <v>1.269813205874235E-3</v>
      </c>
      <c r="K1579" s="103"/>
      <c r="L1579" s="103">
        <v>3.6999999999999998E-2</v>
      </c>
      <c r="O1579" s="100"/>
    </row>
    <row r="1580" spans="2:15" x14ac:dyDescent="0.2">
      <c r="B1580" s="1">
        <v>1565</v>
      </c>
      <c r="C1580" s="101">
        <f t="shared" ca="1" si="96"/>
        <v>2.6253207730875219E-2</v>
      </c>
      <c r="D1580" s="101">
        <f t="shared" ca="1" si="97"/>
        <v>0.6662252238335582</v>
      </c>
      <c r="E1580" s="101">
        <f t="shared" ca="1" si="98"/>
        <v>0</v>
      </c>
      <c r="F1580" s="21">
        <f t="shared" ca="1" si="99"/>
        <v>0</v>
      </c>
      <c r="H1580" s="21">
        <v>1565</v>
      </c>
      <c r="I1580" s="102">
        <v>0.66770048645888946</v>
      </c>
      <c r="J1580" s="103">
        <v>1.3485896491944045E-3</v>
      </c>
      <c r="K1580" s="103"/>
      <c r="L1580" s="103">
        <v>4.0599999999999997E-2</v>
      </c>
      <c r="O1580" s="100"/>
    </row>
    <row r="1581" spans="2:15" x14ac:dyDescent="0.2">
      <c r="B1581" s="1">
        <v>1566</v>
      </c>
      <c r="C1581" s="101">
        <f t="shared" ca="1" si="96"/>
        <v>-0.29957810585266614</v>
      </c>
      <c r="D1581" s="101">
        <f t="shared" ca="1" si="97"/>
        <v>0.64515290747234899</v>
      </c>
      <c r="E1581" s="101">
        <f t="shared" ca="1" si="98"/>
        <v>0</v>
      </c>
      <c r="F1581" s="21">
        <f t="shared" ca="1" si="99"/>
        <v>0</v>
      </c>
      <c r="H1581" s="21">
        <v>1566</v>
      </c>
      <c r="I1581" s="102">
        <v>0.66779366434304344</v>
      </c>
      <c r="J1581" s="103">
        <v>1.4014235897426748E-3</v>
      </c>
      <c r="K1581" s="103"/>
      <c r="L1581" s="103">
        <v>4.2599999999999999E-2</v>
      </c>
      <c r="O1581" s="100"/>
    </row>
    <row r="1582" spans="2:15" x14ac:dyDescent="0.2">
      <c r="B1582" s="1">
        <v>1567</v>
      </c>
      <c r="C1582" s="101">
        <f t="shared" ca="1" si="96"/>
        <v>1.3378478923697918</v>
      </c>
      <c r="D1582" s="101">
        <f t="shared" ca="1" si="97"/>
        <v>0.75824399414448629</v>
      </c>
      <c r="E1582" s="101">
        <f t="shared" ca="1" si="98"/>
        <v>0</v>
      </c>
      <c r="F1582" s="21">
        <f t="shared" ca="1" si="99"/>
        <v>0</v>
      </c>
      <c r="H1582" s="21">
        <v>1567</v>
      </c>
      <c r="I1582" s="102">
        <v>0.66775822316443367</v>
      </c>
      <c r="J1582" s="103">
        <v>1.4371791009087213E-3</v>
      </c>
      <c r="K1582" s="103"/>
      <c r="L1582" s="103">
        <v>4.3200000000000002E-2</v>
      </c>
      <c r="O1582" s="100"/>
    </row>
    <row r="1583" spans="2:15" x14ac:dyDescent="0.2">
      <c r="B1583" s="1">
        <v>1568</v>
      </c>
      <c r="C1583" s="101">
        <f t="shared" ca="1" si="96"/>
        <v>-0.1799754566291904</v>
      </c>
      <c r="D1583" s="101">
        <f t="shared" ca="1" si="97"/>
        <v>0.65280934475746533</v>
      </c>
      <c r="E1583" s="101">
        <f t="shared" ca="1" si="98"/>
        <v>0</v>
      </c>
      <c r="F1583" s="21">
        <f t="shared" ca="1" si="99"/>
        <v>0</v>
      </c>
      <c r="H1583" s="21">
        <v>1568</v>
      </c>
      <c r="I1583" s="102">
        <v>0.667770940135475</v>
      </c>
      <c r="J1583" s="103">
        <v>1.5308327367500915E-3</v>
      </c>
      <c r="K1583" s="103"/>
      <c r="L1583" s="103">
        <v>4.24E-2</v>
      </c>
      <c r="O1583" s="100"/>
    </row>
    <row r="1584" spans="2:15" x14ac:dyDescent="0.2">
      <c r="B1584" s="1">
        <v>1569</v>
      </c>
      <c r="C1584" s="101">
        <f t="shared" ca="1" si="96"/>
        <v>0.30230822855792788</v>
      </c>
      <c r="D1584" s="101">
        <f t="shared" ca="1" si="97"/>
        <v>0.68461608448219791</v>
      </c>
      <c r="E1584" s="101">
        <f t="shared" ca="1" si="98"/>
        <v>0</v>
      </c>
      <c r="F1584" s="21">
        <f t="shared" ca="1" si="99"/>
        <v>0</v>
      </c>
      <c r="H1584" s="21">
        <v>1569</v>
      </c>
      <c r="I1584" s="102">
        <v>0.6677626547254959</v>
      </c>
      <c r="J1584" s="103">
        <v>1.4606733413669117E-3</v>
      </c>
      <c r="K1584" s="103"/>
      <c r="L1584" s="103">
        <v>4.1399999999999999E-2</v>
      </c>
      <c r="O1584" s="100"/>
    </row>
    <row r="1585" spans="2:15" x14ac:dyDescent="0.2">
      <c r="B1585" s="1">
        <v>1570</v>
      </c>
      <c r="C1585" s="101">
        <f t="shared" ca="1" si="96"/>
        <v>0.35696997807120001</v>
      </c>
      <c r="D1585" s="101">
        <f t="shared" ca="1" si="97"/>
        <v>0.68831744076000756</v>
      </c>
      <c r="E1585" s="101">
        <f t="shared" ca="1" si="98"/>
        <v>0</v>
      </c>
      <c r="F1585" s="21">
        <f t="shared" ca="1" si="99"/>
        <v>0</v>
      </c>
      <c r="H1585" s="21">
        <v>1570</v>
      </c>
      <c r="I1585" s="102">
        <v>0.66785199968940001</v>
      </c>
      <c r="J1585" s="103">
        <v>1.3960565420932558E-3</v>
      </c>
      <c r="K1585" s="103"/>
      <c r="L1585" s="103">
        <v>4.36E-2</v>
      </c>
      <c r="O1585" s="100"/>
    </row>
    <row r="1586" spans="2:15" x14ac:dyDescent="0.2">
      <c r="B1586" s="1">
        <v>1571</v>
      </c>
      <c r="C1586" s="101">
        <f t="shared" ca="1" si="96"/>
        <v>-1.2607926749652432</v>
      </c>
      <c r="D1586" s="101">
        <f t="shared" ca="1" si="97"/>
        <v>0.586792858004903</v>
      </c>
      <c r="E1586" s="101">
        <f t="shared" ca="1" si="98"/>
        <v>0</v>
      </c>
      <c r="F1586" s="21">
        <f t="shared" ca="1" si="99"/>
        <v>0</v>
      </c>
      <c r="H1586" s="21">
        <v>1571</v>
      </c>
      <c r="I1586" s="102">
        <v>0.66752647018592692</v>
      </c>
      <c r="J1586" s="103">
        <v>1.1578626956707297E-3</v>
      </c>
      <c r="K1586" s="103"/>
      <c r="L1586" s="103">
        <v>3.7999999999999999E-2</v>
      </c>
      <c r="O1586" s="100"/>
    </row>
    <row r="1587" spans="2:15" x14ac:dyDescent="0.2">
      <c r="B1587" s="1">
        <v>1572</v>
      </c>
      <c r="C1587" s="101">
        <f t="shared" ca="1" si="96"/>
        <v>1.4931494131118532</v>
      </c>
      <c r="D1587" s="101">
        <f t="shared" ca="1" si="97"/>
        <v>0.76994907304430515</v>
      </c>
      <c r="E1587" s="101">
        <f t="shared" ca="1" si="98"/>
        <v>0</v>
      </c>
      <c r="F1587" s="21">
        <f t="shared" ca="1" si="99"/>
        <v>0</v>
      </c>
      <c r="H1587" s="21">
        <v>1572</v>
      </c>
      <c r="I1587" s="102">
        <v>0.66793267939008416</v>
      </c>
      <c r="J1587" s="103">
        <v>1.6185610195642206E-3</v>
      </c>
      <c r="K1587" s="103"/>
      <c r="L1587" s="103">
        <v>4.7399999999999998E-2</v>
      </c>
      <c r="O1587" s="100"/>
    </row>
    <row r="1588" spans="2:15" x14ac:dyDescent="0.2">
      <c r="B1588" s="1">
        <v>1573</v>
      </c>
      <c r="C1588" s="101">
        <f t="shared" ca="1" si="96"/>
        <v>0.68662900386366832</v>
      </c>
      <c r="D1588" s="101">
        <f t="shared" ca="1" si="97"/>
        <v>0.71106804704242987</v>
      </c>
      <c r="E1588" s="101">
        <f t="shared" ca="1" si="98"/>
        <v>0</v>
      </c>
      <c r="F1588" s="21">
        <f t="shared" ca="1" si="99"/>
        <v>0</v>
      </c>
      <c r="H1588" s="21">
        <v>1573</v>
      </c>
      <c r="I1588" s="102">
        <v>0.66771316939517744</v>
      </c>
      <c r="J1588" s="103">
        <v>1.2666509838495875E-3</v>
      </c>
      <c r="K1588" s="103"/>
      <c r="L1588" s="103">
        <v>4.3200000000000002E-2</v>
      </c>
      <c r="O1588" s="100"/>
    </row>
    <row r="1589" spans="2:15" x14ac:dyDescent="0.2">
      <c r="B1589" s="1">
        <v>1574</v>
      </c>
      <c r="C1589" s="101">
        <f t="shared" ca="1" si="96"/>
        <v>-0.23591927780471142</v>
      </c>
      <c r="D1589" s="101">
        <f t="shared" ca="1" si="97"/>
        <v>0.64921682105720335</v>
      </c>
      <c r="E1589" s="101">
        <f t="shared" ca="1" si="98"/>
        <v>0</v>
      </c>
      <c r="F1589" s="21">
        <f t="shared" ca="1" si="99"/>
        <v>0</v>
      </c>
      <c r="H1589" s="21">
        <v>1574</v>
      </c>
      <c r="I1589" s="102">
        <v>0.66789660160921227</v>
      </c>
      <c r="J1589" s="103">
        <v>1.5433044775174994E-3</v>
      </c>
      <c r="K1589" s="103"/>
      <c r="L1589" s="103">
        <v>4.7199999999999999E-2</v>
      </c>
      <c r="O1589" s="100"/>
    </row>
    <row r="1590" spans="2:15" x14ac:dyDescent="0.2">
      <c r="B1590" s="1">
        <v>1575</v>
      </c>
      <c r="C1590" s="101">
        <f t="shared" ca="1" si="96"/>
        <v>-0.23458138727008013</v>
      </c>
      <c r="D1590" s="101">
        <f t="shared" ca="1" si="97"/>
        <v>0.64930250469627238</v>
      </c>
      <c r="E1590" s="101">
        <f t="shared" ca="1" si="98"/>
        <v>0</v>
      </c>
      <c r="F1590" s="21">
        <f t="shared" ca="1" si="99"/>
        <v>0</v>
      </c>
      <c r="H1590" s="21">
        <v>1575</v>
      </c>
      <c r="I1590" s="102">
        <v>0.66771577629145995</v>
      </c>
      <c r="J1590" s="103">
        <v>1.2638217072404843E-3</v>
      </c>
      <c r="K1590" s="103"/>
      <c r="L1590" s="103">
        <v>4.1000000000000002E-2</v>
      </c>
      <c r="O1590" s="100"/>
    </row>
    <row r="1591" spans="2:15" x14ac:dyDescent="0.2">
      <c r="B1591" s="1">
        <v>1576</v>
      </c>
      <c r="C1591" s="101">
        <f t="shared" ca="1" si="96"/>
        <v>1.6845245962429079E-3</v>
      </c>
      <c r="D1591" s="101">
        <f t="shared" ca="1" si="97"/>
        <v>0.66461259023487018</v>
      </c>
      <c r="E1591" s="101">
        <f t="shared" ca="1" si="98"/>
        <v>0</v>
      </c>
      <c r="F1591" s="21">
        <f t="shared" ca="1" si="99"/>
        <v>0</v>
      </c>
      <c r="H1591" s="21">
        <v>1576</v>
      </c>
      <c r="I1591" s="102">
        <v>0.66767989321741239</v>
      </c>
      <c r="J1591" s="103">
        <v>1.2937419324934485E-3</v>
      </c>
      <c r="K1591" s="103"/>
      <c r="L1591" s="103">
        <v>4.02E-2</v>
      </c>
      <c r="O1591" s="100"/>
    </row>
    <row r="1592" spans="2:15" x14ac:dyDescent="0.2">
      <c r="B1592" s="1">
        <v>1577</v>
      </c>
      <c r="C1592" s="101">
        <f t="shared" ca="1" si="96"/>
        <v>-0.24840560419417362</v>
      </c>
      <c r="D1592" s="101">
        <f t="shared" ca="1" si="97"/>
        <v>0.64841769384127512</v>
      </c>
      <c r="E1592" s="101">
        <f t="shared" ca="1" si="98"/>
        <v>0</v>
      </c>
      <c r="F1592" s="21">
        <f t="shared" ca="1" si="99"/>
        <v>0</v>
      </c>
      <c r="H1592" s="21">
        <v>1577</v>
      </c>
      <c r="I1592" s="102">
        <v>0.66778063061259663</v>
      </c>
      <c r="J1592" s="103">
        <v>1.344865497132587E-3</v>
      </c>
      <c r="K1592" s="103"/>
      <c r="L1592" s="103">
        <v>4.2599999999999999E-2</v>
      </c>
      <c r="O1592" s="100"/>
    </row>
    <row r="1593" spans="2:15" x14ac:dyDescent="0.2">
      <c r="B1593" s="1">
        <v>1578</v>
      </c>
      <c r="C1593" s="101">
        <f t="shared" ca="1" si="96"/>
        <v>-6.7843586458059529E-4</v>
      </c>
      <c r="D1593" s="101">
        <f t="shared" ca="1" si="97"/>
        <v>0.66445769669444232</v>
      </c>
      <c r="E1593" s="101">
        <f t="shared" ca="1" si="98"/>
        <v>0</v>
      </c>
      <c r="F1593" s="21">
        <f t="shared" ca="1" si="99"/>
        <v>0</v>
      </c>
      <c r="H1593" s="21">
        <v>1578</v>
      </c>
      <c r="I1593" s="102">
        <v>0.66774079005195841</v>
      </c>
      <c r="J1593" s="103">
        <v>1.3134463806090957E-3</v>
      </c>
      <c r="K1593" s="103"/>
      <c r="L1593" s="103">
        <v>4.2200000000000001E-2</v>
      </c>
      <c r="O1593" s="100"/>
    </row>
    <row r="1594" spans="2:15" x14ac:dyDescent="0.2">
      <c r="B1594" s="1">
        <v>1579</v>
      </c>
      <c r="C1594" s="101">
        <f t="shared" ca="1" si="96"/>
        <v>-0.63700151313760822</v>
      </c>
      <c r="D1594" s="101">
        <f t="shared" ca="1" si="97"/>
        <v>0.62403313149817885</v>
      </c>
      <c r="E1594" s="101">
        <f t="shared" ca="1" si="98"/>
        <v>0</v>
      </c>
      <c r="F1594" s="21">
        <f t="shared" ca="1" si="99"/>
        <v>0</v>
      </c>
      <c r="H1594" s="21">
        <v>1579</v>
      </c>
      <c r="I1594" s="102">
        <v>0.66777765548972834</v>
      </c>
      <c r="J1594" s="103">
        <v>1.3290040176492024E-3</v>
      </c>
      <c r="K1594" s="103"/>
      <c r="L1594" s="103">
        <v>4.3799999999999999E-2</v>
      </c>
      <c r="O1594" s="100"/>
    </row>
    <row r="1595" spans="2:15" x14ac:dyDescent="0.2">
      <c r="B1595" s="1">
        <v>1580</v>
      </c>
      <c r="C1595" s="101">
        <f t="shared" ca="1" si="96"/>
        <v>-0.17371746331101795</v>
      </c>
      <c r="D1595" s="101">
        <f t="shared" ca="1" si="97"/>
        <v>0.65321244625309915</v>
      </c>
      <c r="E1595" s="101">
        <f t="shared" ca="1" si="98"/>
        <v>0</v>
      </c>
      <c r="F1595" s="21">
        <f t="shared" ca="1" si="99"/>
        <v>0</v>
      </c>
      <c r="H1595" s="21">
        <v>1580</v>
      </c>
      <c r="I1595" s="102">
        <v>0.66788607688413282</v>
      </c>
      <c r="J1595" s="103">
        <v>1.4086402373126481E-3</v>
      </c>
      <c r="K1595" s="103"/>
      <c r="L1595" s="103">
        <v>4.3799999999999999E-2</v>
      </c>
      <c r="O1595" s="100"/>
    </row>
    <row r="1596" spans="2:15" x14ac:dyDescent="0.2">
      <c r="B1596" s="1">
        <v>1581</v>
      </c>
      <c r="C1596" s="101">
        <f t="shared" ca="1" si="96"/>
        <v>5.9004120379436219E-2</v>
      </c>
      <c r="D1596" s="101">
        <f t="shared" ca="1" si="97"/>
        <v>0.66838100702829084</v>
      </c>
      <c r="E1596" s="101">
        <f t="shared" ca="1" si="98"/>
        <v>0</v>
      </c>
      <c r="F1596" s="21">
        <f t="shared" ca="1" si="99"/>
        <v>0</v>
      </c>
      <c r="H1596" s="21">
        <v>1581</v>
      </c>
      <c r="I1596" s="102">
        <v>0.66770666124656208</v>
      </c>
      <c r="J1596" s="103">
        <v>1.2436714012811884E-3</v>
      </c>
      <c r="K1596" s="103"/>
      <c r="L1596" s="103">
        <v>3.8800000000000001E-2</v>
      </c>
      <c r="O1596" s="100"/>
    </row>
    <row r="1597" spans="2:15" x14ac:dyDescent="0.2">
      <c r="B1597" s="1">
        <v>1582</v>
      </c>
      <c r="C1597" s="101">
        <f t="shared" ca="1" si="96"/>
        <v>-0.98932236254630557</v>
      </c>
      <c r="D1597" s="101">
        <f t="shared" ca="1" si="97"/>
        <v>0.60271838633091113</v>
      </c>
      <c r="E1597" s="101">
        <f t="shared" ca="1" si="98"/>
        <v>0</v>
      </c>
      <c r="F1597" s="21">
        <f t="shared" ca="1" si="99"/>
        <v>0</v>
      </c>
      <c r="H1597" s="21">
        <v>1582</v>
      </c>
      <c r="I1597" s="102">
        <v>0.6677235478252509</v>
      </c>
      <c r="J1597" s="103">
        <v>1.3384806870611768E-3</v>
      </c>
      <c r="K1597" s="103"/>
      <c r="L1597" s="103">
        <v>4.2799999999999998E-2</v>
      </c>
      <c r="O1597" s="100"/>
    </row>
    <row r="1598" spans="2:15" x14ac:dyDescent="0.2">
      <c r="B1598" s="1">
        <v>1583</v>
      </c>
      <c r="C1598" s="101">
        <f t="shared" ca="1" si="96"/>
        <v>-0.16286884072820657</v>
      </c>
      <c r="D1598" s="101">
        <f t="shared" ca="1" si="97"/>
        <v>0.65391183774900941</v>
      </c>
      <c r="E1598" s="101">
        <f t="shared" ca="1" si="98"/>
        <v>0</v>
      </c>
      <c r="F1598" s="21">
        <f t="shared" ca="1" si="99"/>
        <v>0</v>
      </c>
      <c r="H1598" s="21">
        <v>1583</v>
      </c>
      <c r="I1598" s="102">
        <v>0.66762295488027845</v>
      </c>
      <c r="J1598" s="103">
        <v>1.2868396915151163E-3</v>
      </c>
      <c r="K1598" s="103"/>
      <c r="L1598" s="103">
        <v>3.7199999999999997E-2</v>
      </c>
      <c r="O1598" s="100"/>
    </row>
    <row r="1599" spans="2:15" x14ac:dyDescent="0.2">
      <c r="B1599" s="1">
        <v>1584</v>
      </c>
      <c r="C1599" s="101">
        <f t="shared" ca="1" si="96"/>
        <v>-0.25935221812450321</v>
      </c>
      <c r="D1599" s="101">
        <f t="shared" ca="1" si="97"/>
        <v>0.64771791773839515</v>
      </c>
      <c r="E1599" s="101">
        <f t="shared" ca="1" si="98"/>
        <v>0</v>
      </c>
      <c r="F1599" s="21">
        <f t="shared" ca="1" si="99"/>
        <v>0</v>
      </c>
      <c r="H1599" s="21">
        <v>1584</v>
      </c>
      <c r="I1599" s="102">
        <v>0.66768985807241688</v>
      </c>
      <c r="J1599" s="103">
        <v>1.3815595282317809E-3</v>
      </c>
      <c r="K1599" s="103"/>
      <c r="L1599" s="103">
        <v>4.0599999999999997E-2</v>
      </c>
      <c r="O1599" s="100"/>
    </row>
    <row r="1600" spans="2:15" x14ac:dyDescent="0.2">
      <c r="B1600" s="1">
        <v>1585</v>
      </c>
      <c r="C1600" s="101">
        <f t="shared" ca="1" si="96"/>
        <v>-0.20740580428536889</v>
      </c>
      <c r="D1600" s="101">
        <f t="shared" ca="1" si="97"/>
        <v>0.65104538302986026</v>
      </c>
      <c r="E1600" s="101">
        <f t="shared" ca="1" si="98"/>
        <v>0</v>
      </c>
      <c r="F1600" s="21">
        <f t="shared" ca="1" si="99"/>
        <v>0</v>
      </c>
      <c r="H1600" s="21">
        <v>1585</v>
      </c>
      <c r="I1600" s="102">
        <v>0.66775421591967188</v>
      </c>
      <c r="J1600" s="103">
        <v>1.4094732023564394E-3</v>
      </c>
      <c r="K1600" s="103"/>
      <c r="L1600" s="103">
        <v>4.3400000000000001E-2</v>
      </c>
      <c r="O1600" s="100"/>
    </row>
    <row r="1601" spans="2:15" x14ac:dyDescent="0.2">
      <c r="B1601" s="1">
        <v>1586</v>
      </c>
      <c r="C1601" s="101">
        <f t="shared" ca="1" si="96"/>
        <v>1.6521931052049419</v>
      </c>
      <c r="D1601" s="101">
        <f t="shared" ca="1" si="97"/>
        <v>0.78212349838498552</v>
      </c>
      <c r="E1601" s="101">
        <f t="shared" ca="1" si="98"/>
        <v>0</v>
      </c>
      <c r="F1601" s="21">
        <f t="shared" ca="1" si="99"/>
        <v>0</v>
      </c>
      <c r="H1601" s="21">
        <v>1586</v>
      </c>
      <c r="I1601" s="102">
        <v>0.66777686474139142</v>
      </c>
      <c r="J1601" s="103">
        <v>1.4126320637612947E-3</v>
      </c>
      <c r="K1601" s="103"/>
      <c r="L1601" s="103">
        <v>4.1399999999999999E-2</v>
      </c>
      <c r="O1601" s="100"/>
    </row>
    <row r="1602" spans="2:15" x14ac:dyDescent="0.2">
      <c r="B1602" s="1">
        <v>1587</v>
      </c>
      <c r="C1602" s="101">
        <f t="shared" ca="1" si="96"/>
        <v>9.640157009480417E-2</v>
      </c>
      <c r="D1602" s="101">
        <f t="shared" ca="1" si="97"/>
        <v>0.67085117380348225</v>
      </c>
      <c r="E1602" s="101">
        <f t="shared" ca="1" si="98"/>
        <v>0</v>
      </c>
      <c r="F1602" s="21">
        <f t="shared" ca="1" si="99"/>
        <v>0</v>
      </c>
      <c r="H1602" s="21">
        <v>1587</v>
      </c>
      <c r="I1602" s="102">
        <v>0.66778961264019476</v>
      </c>
      <c r="J1602" s="103">
        <v>1.5518376188853695E-3</v>
      </c>
      <c r="K1602" s="103"/>
      <c r="L1602" s="103">
        <v>4.2599999999999999E-2</v>
      </c>
      <c r="O1602" s="100"/>
    </row>
    <row r="1603" spans="2:15" x14ac:dyDescent="0.2">
      <c r="B1603" s="1">
        <v>1588</v>
      </c>
      <c r="C1603" s="101">
        <f t="shared" ca="1" si="96"/>
        <v>-0.31801026688855111</v>
      </c>
      <c r="D1603" s="101">
        <f t="shared" ca="1" si="97"/>
        <v>0.64398097371517726</v>
      </c>
      <c r="E1603" s="101">
        <f t="shared" ca="1" si="98"/>
        <v>0</v>
      </c>
      <c r="F1603" s="21">
        <f t="shared" ca="1" si="99"/>
        <v>0</v>
      </c>
      <c r="H1603" s="21">
        <v>1588</v>
      </c>
      <c r="I1603" s="102">
        <v>0.66786350356793489</v>
      </c>
      <c r="J1603" s="103">
        <v>1.396984565814981E-3</v>
      </c>
      <c r="K1603" s="103"/>
      <c r="L1603" s="103">
        <v>4.4999999999999998E-2</v>
      </c>
      <c r="O1603" s="100"/>
    </row>
    <row r="1604" spans="2:15" x14ac:dyDescent="0.2">
      <c r="B1604" s="1">
        <v>1589</v>
      </c>
      <c r="C1604" s="101">
        <f t="shared" ca="1" si="96"/>
        <v>-0.78094962810752311</v>
      </c>
      <c r="D1604" s="101">
        <f t="shared" ca="1" si="97"/>
        <v>0.61523495125285477</v>
      </c>
      <c r="E1604" s="101">
        <f t="shared" ca="1" si="98"/>
        <v>0</v>
      </c>
      <c r="F1604" s="21">
        <f t="shared" ca="1" si="99"/>
        <v>0</v>
      </c>
      <c r="H1604" s="21">
        <v>1589</v>
      </c>
      <c r="I1604" s="102">
        <v>0.66785140419704003</v>
      </c>
      <c r="J1604" s="103">
        <v>1.4075917942576344E-3</v>
      </c>
      <c r="K1604" s="103"/>
      <c r="L1604" s="103">
        <v>4.6199999999999998E-2</v>
      </c>
      <c r="O1604" s="100"/>
    </row>
    <row r="1605" spans="2:15" x14ac:dyDescent="0.2">
      <c r="B1605" s="1">
        <v>1590</v>
      </c>
      <c r="C1605" s="101">
        <f t="shared" ca="1" si="96"/>
        <v>0.52016788556178017</v>
      </c>
      <c r="D1605" s="101">
        <f t="shared" ca="1" si="97"/>
        <v>0.69948768319201127</v>
      </c>
      <c r="E1605" s="101">
        <f t="shared" ca="1" si="98"/>
        <v>0</v>
      </c>
      <c r="F1605" s="21">
        <f t="shared" ca="1" si="99"/>
        <v>0</v>
      </c>
      <c r="H1605" s="21">
        <v>1590</v>
      </c>
      <c r="I1605" s="102">
        <v>0.66762999589289762</v>
      </c>
      <c r="J1605" s="103">
        <v>1.0440508658742873E-3</v>
      </c>
      <c r="K1605" s="103"/>
      <c r="L1605" s="103">
        <v>3.4599999999999999E-2</v>
      </c>
      <c r="O1605" s="100"/>
    </row>
    <row r="1606" spans="2:15" x14ac:dyDescent="0.2">
      <c r="B1606" s="1">
        <v>1591</v>
      </c>
      <c r="C1606" s="101">
        <f t="shared" ca="1" si="96"/>
        <v>0.57150428249419094</v>
      </c>
      <c r="D1606" s="101">
        <f t="shared" ca="1" si="97"/>
        <v>0.70303879568690453</v>
      </c>
      <c r="E1606" s="101">
        <f t="shared" ca="1" si="98"/>
        <v>0</v>
      </c>
      <c r="F1606" s="21">
        <f t="shared" ca="1" si="99"/>
        <v>0</v>
      </c>
      <c r="H1606" s="21">
        <v>1591</v>
      </c>
      <c r="I1606" s="102">
        <v>0.66773263360479573</v>
      </c>
      <c r="J1606" s="103">
        <v>1.2938135560696851E-3</v>
      </c>
      <c r="K1606" s="103"/>
      <c r="L1606" s="103">
        <v>4.1799999999999997E-2</v>
      </c>
      <c r="O1606" s="100"/>
    </row>
    <row r="1607" spans="2:15" x14ac:dyDescent="0.2">
      <c r="B1607" s="1">
        <v>1592</v>
      </c>
      <c r="C1607" s="101">
        <f t="shared" ca="1" si="96"/>
        <v>-1.0727237473008577</v>
      </c>
      <c r="D1607" s="101">
        <f t="shared" ca="1" si="97"/>
        <v>0.59778026910929616</v>
      </c>
      <c r="E1607" s="101">
        <f t="shared" ca="1" si="98"/>
        <v>0</v>
      </c>
      <c r="F1607" s="21">
        <f t="shared" ca="1" si="99"/>
        <v>0</v>
      </c>
      <c r="H1607" s="21">
        <v>1592</v>
      </c>
      <c r="I1607" s="102">
        <v>0.66761351194775032</v>
      </c>
      <c r="J1607" s="103">
        <v>1.1787557439850509E-3</v>
      </c>
      <c r="K1607" s="103"/>
      <c r="L1607" s="103">
        <v>3.9600000000000003E-2</v>
      </c>
      <c r="O1607" s="100"/>
    </row>
    <row r="1608" spans="2:15" x14ac:dyDescent="0.2">
      <c r="B1608" s="1">
        <v>1593</v>
      </c>
      <c r="C1608" s="101">
        <f t="shared" ca="1" si="96"/>
        <v>0.73948165568422997</v>
      </c>
      <c r="D1608" s="101">
        <f t="shared" ca="1" si="97"/>
        <v>0.71478484903944817</v>
      </c>
      <c r="E1608" s="101">
        <f t="shared" ca="1" si="98"/>
        <v>0</v>
      </c>
      <c r="F1608" s="21">
        <f t="shared" ca="1" si="99"/>
        <v>0</v>
      </c>
      <c r="H1608" s="21">
        <v>1593</v>
      </c>
      <c r="I1608" s="102">
        <v>0.66787839440976282</v>
      </c>
      <c r="J1608" s="103">
        <v>1.6616584288088564E-3</v>
      </c>
      <c r="K1608" s="103"/>
      <c r="L1608" s="103">
        <v>4.2000000000000003E-2</v>
      </c>
      <c r="O1608" s="100"/>
    </row>
    <row r="1609" spans="2:15" x14ac:dyDescent="0.2">
      <c r="B1609" s="1">
        <v>1594</v>
      </c>
      <c r="C1609" s="101">
        <f t="shared" ca="1" si="96"/>
        <v>0.83828448711772618</v>
      </c>
      <c r="D1609" s="101">
        <f t="shared" ca="1" si="97"/>
        <v>0.72178522999410455</v>
      </c>
      <c r="E1609" s="101">
        <f t="shared" ca="1" si="98"/>
        <v>0</v>
      </c>
      <c r="F1609" s="21">
        <f t="shared" ca="1" si="99"/>
        <v>0</v>
      </c>
      <c r="H1609" s="21">
        <v>1594</v>
      </c>
      <c r="I1609" s="102">
        <v>0.66773270380453764</v>
      </c>
      <c r="J1609" s="103">
        <v>1.4198429530029799E-3</v>
      </c>
      <c r="K1609" s="103"/>
      <c r="L1609" s="103">
        <v>4.1399999999999999E-2</v>
      </c>
      <c r="O1609" s="100"/>
    </row>
    <row r="1610" spans="2:15" x14ac:dyDescent="0.2">
      <c r="B1610" s="1">
        <v>1595</v>
      </c>
      <c r="C1610" s="101">
        <f t="shared" ca="1" si="96"/>
        <v>-0.95805888489516189</v>
      </c>
      <c r="D1610" s="101">
        <f t="shared" ca="1" si="97"/>
        <v>0.60457996096607969</v>
      </c>
      <c r="E1610" s="101">
        <f t="shared" ca="1" si="98"/>
        <v>0</v>
      </c>
      <c r="F1610" s="21">
        <f t="shared" ca="1" si="99"/>
        <v>0</v>
      </c>
      <c r="H1610" s="21">
        <v>1595</v>
      </c>
      <c r="I1610" s="102">
        <v>0.66774129319500042</v>
      </c>
      <c r="J1610" s="103">
        <v>1.3235296478857049E-3</v>
      </c>
      <c r="K1610" s="103"/>
      <c r="L1610" s="103">
        <v>4.2000000000000003E-2</v>
      </c>
      <c r="O1610" s="100"/>
    </row>
    <row r="1611" spans="2:15" x14ac:dyDescent="0.2">
      <c r="B1611" s="1">
        <v>1596</v>
      </c>
      <c r="C1611" s="101">
        <f t="shared" ca="1" si="96"/>
        <v>1.0729743039867432</v>
      </c>
      <c r="D1611" s="101">
        <f t="shared" ca="1" si="97"/>
        <v>0.73868955441573336</v>
      </c>
      <c r="E1611" s="101">
        <f t="shared" ca="1" si="98"/>
        <v>0</v>
      </c>
      <c r="F1611" s="21">
        <f t="shared" ca="1" si="99"/>
        <v>0</v>
      </c>
      <c r="H1611" s="21">
        <v>1596</v>
      </c>
      <c r="I1611" s="102">
        <v>0.66768295373388908</v>
      </c>
      <c r="J1611" s="103">
        <v>1.2181347658093433E-3</v>
      </c>
      <c r="K1611" s="103"/>
      <c r="L1611" s="103">
        <v>4.2000000000000003E-2</v>
      </c>
      <c r="O1611" s="100"/>
    </row>
    <row r="1612" spans="2:15" x14ac:dyDescent="0.2">
      <c r="B1612" s="1">
        <v>1597</v>
      </c>
      <c r="C1612" s="101">
        <f t="shared" ca="1" si="96"/>
        <v>0.38942196796270229</v>
      </c>
      <c r="D1612" s="101">
        <f t="shared" ca="1" si="97"/>
        <v>0.69052434913965688</v>
      </c>
      <c r="E1612" s="101">
        <f t="shared" ca="1" si="98"/>
        <v>0</v>
      </c>
      <c r="F1612" s="21">
        <f t="shared" ca="1" si="99"/>
        <v>0</v>
      </c>
      <c r="H1612" s="21">
        <v>1597</v>
      </c>
      <c r="I1612" s="102">
        <v>0.66791277409737615</v>
      </c>
      <c r="J1612" s="103">
        <v>1.5351867923249572E-3</v>
      </c>
      <c r="K1612" s="103"/>
      <c r="L1612" s="103">
        <v>4.7399999999999998E-2</v>
      </c>
      <c r="O1612" s="100"/>
    </row>
    <row r="1613" spans="2:15" x14ac:dyDescent="0.2">
      <c r="B1613" s="1">
        <v>1598</v>
      </c>
      <c r="C1613" s="101">
        <f t="shared" ca="1" si="96"/>
        <v>9.9382433694243863E-2</v>
      </c>
      <c r="D1613" s="101">
        <f t="shared" ca="1" si="97"/>
        <v>0.67104845742840835</v>
      </c>
      <c r="E1613" s="101">
        <f t="shared" ca="1" si="98"/>
        <v>0</v>
      </c>
      <c r="F1613" s="21">
        <f t="shared" ca="1" si="99"/>
        <v>0</v>
      </c>
      <c r="H1613" s="21">
        <v>1598</v>
      </c>
      <c r="I1613" s="102">
        <v>0.6679073948776445</v>
      </c>
      <c r="J1613" s="103">
        <v>1.5855882766462124E-3</v>
      </c>
      <c r="K1613" s="103"/>
      <c r="L1613" s="103">
        <v>4.6800000000000001E-2</v>
      </c>
      <c r="O1613" s="100"/>
    </row>
    <row r="1614" spans="2:15" x14ac:dyDescent="0.2">
      <c r="B1614" s="1">
        <v>1599</v>
      </c>
      <c r="C1614" s="101">
        <f t="shared" ca="1" si="96"/>
        <v>-2.3279565368082347</v>
      </c>
      <c r="D1614" s="101">
        <f t="shared" ca="1" si="97"/>
        <v>0.52816324759122713</v>
      </c>
      <c r="E1614" s="101">
        <f t="shared" ca="1" si="98"/>
        <v>0</v>
      </c>
      <c r="F1614" s="21">
        <f t="shared" ca="1" si="99"/>
        <v>0</v>
      </c>
      <c r="H1614" s="21">
        <v>1599</v>
      </c>
      <c r="I1614" s="102">
        <v>0.66795288110191109</v>
      </c>
      <c r="J1614" s="103">
        <v>1.6678507146530564E-3</v>
      </c>
      <c r="K1614" s="103"/>
      <c r="L1614" s="103">
        <v>4.6199999999999998E-2</v>
      </c>
      <c r="O1614" s="100"/>
    </row>
    <row r="1615" spans="2:15" x14ac:dyDescent="0.2">
      <c r="B1615" s="1">
        <v>1600</v>
      </c>
      <c r="C1615" s="101">
        <f t="shared" ca="1" si="96"/>
        <v>0.39953246853006585</v>
      </c>
      <c r="D1615" s="101">
        <f t="shared" ca="1" si="97"/>
        <v>0.69121336169779413</v>
      </c>
      <c r="E1615" s="101">
        <f t="shared" ca="1" si="98"/>
        <v>0</v>
      </c>
      <c r="F1615" s="21">
        <f t="shared" ca="1" si="99"/>
        <v>0</v>
      </c>
      <c r="H1615" s="21">
        <v>1600</v>
      </c>
      <c r="I1615" s="102">
        <v>0.66752187321743373</v>
      </c>
      <c r="J1615" s="103">
        <v>1.0297707900748505E-3</v>
      </c>
      <c r="K1615" s="103"/>
      <c r="L1615" s="103">
        <v>3.4000000000000002E-2</v>
      </c>
      <c r="O1615" s="100"/>
    </row>
    <row r="1616" spans="2:15" x14ac:dyDescent="0.2">
      <c r="B1616" s="1">
        <v>1601</v>
      </c>
      <c r="C1616" s="101">
        <f t="shared" ref="C1616:C1679" ca="1" si="100">_xlfn.NORM.S.INV(RAND())</f>
        <v>0.89876677877519351</v>
      </c>
      <c r="D1616" s="101">
        <f t="shared" ref="D1616:D1679" ca="1" si="101">S0*EXP((μ-0.5*σ*σ)*T+σ*SQRT(T)*$C1616)</f>
        <v>0.72610431036557355</v>
      </c>
      <c r="E1616" s="101">
        <f t="shared" ref="E1616:E1679" ca="1" si="102">MAX(0,CP*(D1616-K))</f>
        <v>0</v>
      </c>
      <c r="F1616" s="21">
        <f t="shared" ref="F1616:F1679" ca="1" si="103">(CP*(D1616-K)&gt;0)*1</f>
        <v>0</v>
      </c>
      <c r="H1616" s="21">
        <v>1601</v>
      </c>
      <c r="I1616" s="102">
        <v>0.6677901470253983</v>
      </c>
      <c r="J1616" s="103">
        <v>1.4839761178132072E-3</v>
      </c>
      <c r="K1616" s="103"/>
      <c r="L1616" s="103">
        <v>4.48E-2</v>
      </c>
      <c r="O1616" s="100"/>
    </row>
    <row r="1617" spans="2:15" x14ac:dyDescent="0.2">
      <c r="B1617" s="1">
        <v>1602</v>
      </c>
      <c r="C1617" s="101">
        <f t="shared" ca="1" si="100"/>
        <v>0.26394085537926099</v>
      </c>
      <c r="D1617" s="101">
        <f t="shared" ca="1" si="101"/>
        <v>0.68202997737926629</v>
      </c>
      <c r="E1617" s="101">
        <f t="shared" ca="1" si="102"/>
        <v>0</v>
      </c>
      <c r="F1617" s="21">
        <f t="shared" ca="1" si="103"/>
        <v>0</v>
      </c>
      <c r="H1617" s="21">
        <v>1602</v>
      </c>
      <c r="I1617" s="102">
        <v>0.66775476832610414</v>
      </c>
      <c r="J1617" s="103">
        <v>1.46617181092181E-3</v>
      </c>
      <c r="K1617" s="103"/>
      <c r="L1617" s="103">
        <v>4.5199999999999997E-2</v>
      </c>
      <c r="O1617" s="100"/>
    </row>
    <row r="1618" spans="2:15" x14ac:dyDescent="0.2">
      <c r="B1618" s="1">
        <v>1603</v>
      </c>
      <c r="C1618" s="101">
        <f t="shared" ca="1" si="100"/>
        <v>1.4300866635603438</v>
      </c>
      <c r="D1618" s="101">
        <f t="shared" ca="1" si="101"/>
        <v>0.76517439910786611</v>
      </c>
      <c r="E1618" s="101">
        <f t="shared" ca="1" si="102"/>
        <v>0</v>
      </c>
      <c r="F1618" s="21">
        <f t="shared" ca="1" si="103"/>
        <v>0</v>
      </c>
      <c r="H1618" s="21">
        <v>1603</v>
      </c>
      <c r="I1618" s="102">
        <v>0.66769681578521456</v>
      </c>
      <c r="J1618" s="103">
        <v>1.4547913585423958E-3</v>
      </c>
      <c r="K1618" s="103"/>
      <c r="L1618" s="103">
        <v>4.2999999999999997E-2</v>
      </c>
      <c r="O1618" s="100"/>
    </row>
    <row r="1619" spans="2:15" x14ac:dyDescent="0.2">
      <c r="B1619" s="1">
        <v>1604</v>
      </c>
      <c r="C1619" s="101">
        <f t="shared" ca="1" si="100"/>
        <v>-1.0187861597711652</v>
      </c>
      <c r="D1619" s="101">
        <f t="shared" ca="1" si="101"/>
        <v>0.60096922001623387</v>
      </c>
      <c r="E1619" s="101">
        <f t="shared" ca="1" si="102"/>
        <v>0</v>
      </c>
      <c r="F1619" s="21">
        <f t="shared" ca="1" si="103"/>
        <v>0</v>
      </c>
      <c r="H1619" s="21">
        <v>1604</v>
      </c>
      <c r="I1619" s="102">
        <v>0.6677852206825502</v>
      </c>
      <c r="J1619" s="103">
        <v>1.3910866539928359E-3</v>
      </c>
      <c r="K1619" s="103"/>
      <c r="L1619" s="103">
        <v>4.2999999999999997E-2</v>
      </c>
      <c r="O1619" s="100"/>
    </row>
    <row r="1620" spans="2:15" x14ac:dyDescent="0.2">
      <c r="B1620" s="1">
        <v>1605</v>
      </c>
      <c r="C1620" s="101">
        <f t="shared" ca="1" si="100"/>
        <v>-0.5071468772291936</v>
      </c>
      <c r="D1620" s="101">
        <f t="shared" ca="1" si="101"/>
        <v>0.63207780500360378</v>
      </c>
      <c r="E1620" s="101">
        <f t="shared" ca="1" si="102"/>
        <v>0</v>
      </c>
      <c r="F1620" s="21">
        <f t="shared" ca="1" si="103"/>
        <v>0</v>
      </c>
      <c r="H1620" s="21">
        <v>1605</v>
      </c>
      <c r="I1620" s="102">
        <v>0.6676452072155572</v>
      </c>
      <c r="J1620" s="103">
        <v>1.2269955537294376E-3</v>
      </c>
      <c r="K1620" s="103"/>
      <c r="L1620" s="103">
        <v>3.56E-2</v>
      </c>
      <c r="O1620" s="100"/>
    </row>
    <row r="1621" spans="2:15" x14ac:dyDescent="0.2">
      <c r="B1621" s="1">
        <v>1606</v>
      </c>
      <c r="C1621" s="101">
        <f t="shared" ca="1" si="100"/>
        <v>-0.46088893372512429</v>
      </c>
      <c r="D1621" s="101">
        <f t="shared" ca="1" si="101"/>
        <v>0.63496853128101005</v>
      </c>
      <c r="E1621" s="101">
        <f t="shared" ca="1" si="102"/>
        <v>0</v>
      </c>
      <c r="F1621" s="21">
        <f t="shared" ca="1" si="103"/>
        <v>0</v>
      </c>
      <c r="H1621" s="21">
        <v>1606</v>
      </c>
      <c r="I1621" s="102">
        <v>0.66767298254015373</v>
      </c>
      <c r="J1621" s="103">
        <v>1.3462895837001686E-3</v>
      </c>
      <c r="K1621" s="103"/>
      <c r="L1621" s="103">
        <v>4.1000000000000002E-2</v>
      </c>
      <c r="O1621" s="100"/>
    </row>
    <row r="1622" spans="2:15" x14ac:dyDescent="0.2">
      <c r="B1622" s="1">
        <v>1607</v>
      </c>
      <c r="C1622" s="101">
        <f t="shared" ca="1" si="100"/>
        <v>0.1493192495948531</v>
      </c>
      <c r="D1622" s="101">
        <f t="shared" ca="1" si="101"/>
        <v>0.6743620850403188</v>
      </c>
      <c r="E1622" s="101">
        <f t="shared" ca="1" si="102"/>
        <v>0</v>
      </c>
      <c r="F1622" s="21">
        <f t="shared" ca="1" si="103"/>
        <v>0</v>
      </c>
      <c r="H1622" s="21">
        <v>1607</v>
      </c>
      <c r="I1622" s="102">
        <v>0.66772396856991145</v>
      </c>
      <c r="J1622" s="103">
        <v>1.3618508488315577E-3</v>
      </c>
      <c r="K1622" s="103"/>
      <c r="L1622" s="103">
        <v>4.1200000000000001E-2</v>
      </c>
      <c r="O1622" s="100"/>
    </row>
    <row r="1623" spans="2:15" x14ac:dyDescent="0.2">
      <c r="B1623" s="1">
        <v>1608</v>
      </c>
      <c r="C1623" s="101">
        <f t="shared" ca="1" si="100"/>
        <v>1.1484494070224376</v>
      </c>
      <c r="D1623" s="101">
        <f t="shared" ca="1" si="101"/>
        <v>0.74420959447589663</v>
      </c>
      <c r="E1623" s="101">
        <f t="shared" ca="1" si="102"/>
        <v>0</v>
      </c>
      <c r="F1623" s="21">
        <f t="shared" ca="1" si="103"/>
        <v>0</v>
      </c>
      <c r="H1623" s="21">
        <v>1608</v>
      </c>
      <c r="I1623" s="102">
        <v>0.66760187455634923</v>
      </c>
      <c r="J1623" s="103">
        <v>1.1818435715878052E-3</v>
      </c>
      <c r="K1623" s="103"/>
      <c r="L1623" s="103">
        <v>3.8800000000000001E-2</v>
      </c>
      <c r="O1623" s="100"/>
    </row>
    <row r="1624" spans="2:15" x14ac:dyDescent="0.2">
      <c r="B1624" s="1">
        <v>1609</v>
      </c>
      <c r="C1624" s="101">
        <f t="shared" ca="1" si="100"/>
        <v>0.91592388718808593</v>
      </c>
      <c r="D1624" s="101">
        <f t="shared" ca="1" si="101"/>
        <v>0.72733420968966656</v>
      </c>
      <c r="E1624" s="101">
        <f t="shared" ca="1" si="102"/>
        <v>0</v>
      </c>
      <c r="F1624" s="21">
        <f t="shared" ca="1" si="103"/>
        <v>0</v>
      </c>
      <c r="H1624" s="21">
        <v>1609</v>
      </c>
      <c r="I1624" s="102">
        <v>0.66768413212499966</v>
      </c>
      <c r="J1624" s="103">
        <v>1.3695930554685845E-3</v>
      </c>
      <c r="K1624" s="103"/>
      <c r="L1624" s="103">
        <v>4.2200000000000001E-2</v>
      </c>
      <c r="O1624" s="100"/>
    </row>
    <row r="1625" spans="2:15" x14ac:dyDescent="0.2">
      <c r="B1625" s="1">
        <v>1610</v>
      </c>
      <c r="C1625" s="101">
        <f t="shared" ca="1" si="100"/>
        <v>1.3176248052330239</v>
      </c>
      <c r="D1625" s="101">
        <f t="shared" ca="1" si="101"/>
        <v>0.75673293232384564</v>
      </c>
      <c r="E1625" s="101">
        <f t="shared" ca="1" si="102"/>
        <v>0</v>
      </c>
      <c r="F1625" s="21">
        <f t="shared" ca="1" si="103"/>
        <v>0</v>
      </c>
      <c r="H1625" s="21">
        <v>1610</v>
      </c>
      <c r="I1625" s="102">
        <v>0.66777794587729999</v>
      </c>
      <c r="J1625" s="103">
        <v>1.4020037449333663E-3</v>
      </c>
      <c r="K1625" s="103"/>
      <c r="L1625" s="103">
        <v>4.2000000000000003E-2</v>
      </c>
      <c r="O1625" s="100"/>
    </row>
    <row r="1626" spans="2:15" x14ac:dyDescent="0.2">
      <c r="B1626" s="1">
        <v>1611</v>
      </c>
      <c r="C1626" s="101">
        <f t="shared" ca="1" si="100"/>
        <v>0.65724550031481954</v>
      </c>
      <c r="D1626" s="101">
        <f t="shared" ca="1" si="101"/>
        <v>0.70901005160208119</v>
      </c>
      <c r="E1626" s="101">
        <f t="shared" ca="1" si="102"/>
        <v>0</v>
      </c>
      <c r="F1626" s="21">
        <f t="shared" ca="1" si="103"/>
        <v>0</v>
      </c>
      <c r="H1626" s="21">
        <v>1611</v>
      </c>
      <c r="I1626" s="102">
        <v>0.6677833586150822</v>
      </c>
      <c r="J1626" s="103">
        <v>1.3208997333911776E-3</v>
      </c>
      <c r="K1626" s="103"/>
      <c r="L1626" s="103">
        <v>4.1399999999999999E-2</v>
      </c>
      <c r="O1626" s="100"/>
    </row>
    <row r="1627" spans="2:15" x14ac:dyDescent="0.2">
      <c r="B1627" s="1">
        <v>1612</v>
      </c>
      <c r="C1627" s="101">
        <f t="shared" ca="1" si="100"/>
        <v>-0.94832751499293111</v>
      </c>
      <c r="D1627" s="101">
        <f t="shared" ca="1" si="101"/>
        <v>0.60516058510795823</v>
      </c>
      <c r="E1627" s="101">
        <f t="shared" ca="1" si="102"/>
        <v>0</v>
      </c>
      <c r="F1627" s="21">
        <f t="shared" ca="1" si="103"/>
        <v>0</v>
      </c>
      <c r="H1627" s="21">
        <v>1612</v>
      </c>
      <c r="I1627" s="102">
        <v>0.66787783006537815</v>
      </c>
      <c r="J1627" s="103">
        <v>1.521974013936048E-3</v>
      </c>
      <c r="K1627" s="103"/>
      <c r="L1627" s="103">
        <v>4.7399999999999998E-2</v>
      </c>
      <c r="O1627" s="100"/>
    </row>
    <row r="1628" spans="2:15" x14ac:dyDescent="0.2">
      <c r="B1628" s="1">
        <v>1613</v>
      </c>
      <c r="C1628" s="101">
        <f t="shared" ca="1" si="100"/>
        <v>1.026243625800261</v>
      </c>
      <c r="D1628" s="101">
        <f t="shared" ca="1" si="101"/>
        <v>0.73529234460099269</v>
      </c>
      <c r="E1628" s="101">
        <f t="shared" ca="1" si="102"/>
        <v>0</v>
      </c>
      <c r="F1628" s="21">
        <f t="shared" ca="1" si="103"/>
        <v>0</v>
      </c>
      <c r="H1628" s="21">
        <v>1613</v>
      </c>
      <c r="I1628" s="102">
        <v>0.66773700988544571</v>
      </c>
      <c r="J1628" s="103">
        <v>1.5102792736374057E-3</v>
      </c>
      <c r="K1628" s="103"/>
      <c r="L1628" s="103">
        <v>4.3400000000000001E-2</v>
      </c>
      <c r="O1628" s="100"/>
    </row>
    <row r="1629" spans="2:15" x14ac:dyDescent="0.2">
      <c r="B1629" s="1">
        <v>1614</v>
      </c>
      <c r="C1629" s="101">
        <f t="shared" ca="1" si="100"/>
        <v>0.24954035973946767</v>
      </c>
      <c r="D1629" s="101">
        <f t="shared" ca="1" si="101"/>
        <v>0.68106185248716711</v>
      </c>
      <c r="E1629" s="101">
        <f t="shared" ca="1" si="102"/>
        <v>0</v>
      </c>
      <c r="F1629" s="21">
        <f t="shared" ca="1" si="103"/>
        <v>0</v>
      </c>
      <c r="H1629" s="21">
        <v>1614</v>
      </c>
      <c r="I1629" s="102">
        <v>0.66783553460697664</v>
      </c>
      <c r="J1629" s="103">
        <v>1.3575164955446663E-3</v>
      </c>
      <c r="K1629" s="103"/>
      <c r="L1629" s="103">
        <v>4.4600000000000001E-2</v>
      </c>
      <c r="O1629" s="100"/>
    </row>
    <row r="1630" spans="2:15" x14ac:dyDescent="0.2">
      <c r="B1630" s="1">
        <v>1615</v>
      </c>
      <c r="C1630" s="101">
        <f t="shared" ca="1" si="100"/>
        <v>0.41965878571390675</v>
      </c>
      <c r="D1630" s="101">
        <f t="shared" ca="1" si="101"/>
        <v>0.69258698139252373</v>
      </c>
      <c r="E1630" s="101">
        <f t="shared" ca="1" si="102"/>
        <v>0</v>
      </c>
      <c r="F1630" s="21">
        <f t="shared" ca="1" si="103"/>
        <v>0</v>
      </c>
      <c r="H1630" s="21">
        <v>1615</v>
      </c>
      <c r="I1630" s="102">
        <v>0.66767551717159035</v>
      </c>
      <c r="J1630" s="103">
        <v>1.1778904635619837E-3</v>
      </c>
      <c r="K1630" s="103"/>
      <c r="L1630" s="103">
        <v>3.9800000000000002E-2</v>
      </c>
      <c r="O1630" s="100"/>
    </row>
    <row r="1631" spans="2:15" x14ac:dyDescent="0.2">
      <c r="B1631" s="1">
        <v>1616</v>
      </c>
      <c r="C1631" s="101">
        <f t="shared" ca="1" si="100"/>
        <v>0.98263698683173406</v>
      </c>
      <c r="D1631" s="101">
        <f t="shared" ca="1" si="101"/>
        <v>0.7321363383602284</v>
      </c>
      <c r="E1631" s="101">
        <f t="shared" ca="1" si="102"/>
        <v>0</v>
      </c>
      <c r="F1631" s="21">
        <f t="shared" ca="1" si="103"/>
        <v>0</v>
      </c>
      <c r="H1631" s="21">
        <v>1616</v>
      </c>
      <c r="I1631" s="102">
        <v>0.66780751349100476</v>
      </c>
      <c r="J1631" s="103">
        <v>1.5351493874649323E-3</v>
      </c>
      <c r="K1631" s="103"/>
      <c r="L1631" s="103">
        <v>4.5400000000000003E-2</v>
      </c>
      <c r="O1631" s="100"/>
    </row>
    <row r="1632" spans="2:15" x14ac:dyDescent="0.2">
      <c r="B1632" s="1">
        <v>1617</v>
      </c>
      <c r="C1632" s="101">
        <f t="shared" ca="1" si="100"/>
        <v>-0.72094767240085122</v>
      </c>
      <c r="D1632" s="101">
        <f t="shared" ca="1" si="101"/>
        <v>0.61888712275688962</v>
      </c>
      <c r="E1632" s="101">
        <f t="shared" ca="1" si="102"/>
        <v>0</v>
      </c>
      <c r="F1632" s="21">
        <f t="shared" ca="1" si="103"/>
        <v>0</v>
      </c>
      <c r="H1632" s="21">
        <v>1617</v>
      </c>
      <c r="I1632" s="102">
        <v>0.667660553451765</v>
      </c>
      <c r="J1632" s="103">
        <v>1.2677267190779943E-3</v>
      </c>
      <c r="K1632" s="103"/>
      <c r="L1632" s="103">
        <v>3.5999999999999997E-2</v>
      </c>
      <c r="O1632" s="100"/>
    </row>
    <row r="1633" spans="2:15" x14ac:dyDescent="0.2">
      <c r="B1633" s="1">
        <v>1618</v>
      </c>
      <c r="C1633" s="101">
        <f t="shared" ca="1" si="100"/>
        <v>1.6930466891376008</v>
      </c>
      <c r="D1633" s="101">
        <f t="shared" ca="1" si="101"/>
        <v>0.78528169934673786</v>
      </c>
      <c r="E1633" s="101">
        <f t="shared" ca="1" si="102"/>
        <v>0</v>
      </c>
      <c r="F1633" s="21">
        <f t="shared" ca="1" si="103"/>
        <v>0</v>
      </c>
      <c r="H1633" s="21">
        <v>1618</v>
      </c>
      <c r="I1633" s="102">
        <v>0.66780027087965754</v>
      </c>
      <c r="J1633" s="103">
        <v>1.43267360155494E-3</v>
      </c>
      <c r="K1633" s="103"/>
      <c r="L1633" s="103">
        <v>4.3999999999999997E-2</v>
      </c>
      <c r="O1633" s="100"/>
    </row>
    <row r="1634" spans="2:15" x14ac:dyDescent="0.2">
      <c r="B1634" s="1">
        <v>1619</v>
      </c>
      <c r="C1634" s="101">
        <f t="shared" ca="1" si="100"/>
        <v>2.1144144421080896E-2</v>
      </c>
      <c r="D1634" s="101">
        <f t="shared" ca="1" si="101"/>
        <v>0.66588955437622621</v>
      </c>
      <c r="E1634" s="101">
        <f t="shared" ca="1" si="102"/>
        <v>0</v>
      </c>
      <c r="F1634" s="21">
        <f t="shared" ca="1" si="103"/>
        <v>0</v>
      </c>
      <c r="H1634" s="21">
        <v>1619</v>
      </c>
      <c r="I1634" s="102">
        <v>0.66775664859678086</v>
      </c>
      <c r="J1634" s="103">
        <v>1.3855627520715506E-3</v>
      </c>
      <c r="K1634" s="103"/>
      <c r="L1634" s="103">
        <v>4.2599999999999999E-2</v>
      </c>
      <c r="O1634" s="100"/>
    </row>
    <row r="1635" spans="2:15" x14ac:dyDescent="0.2">
      <c r="B1635" s="1">
        <v>1620</v>
      </c>
      <c r="C1635" s="101">
        <f t="shared" ca="1" si="100"/>
        <v>-0.5521776399038465</v>
      </c>
      <c r="D1635" s="101">
        <f t="shared" ca="1" si="101"/>
        <v>0.62927640867056833</v>
      </c>
      <c r="E1635" s="101">
        <f t="shared" ca="1" si="102"/>
        <v>0</v>
      </c>
      <c r="F1635" s="21">
        <f t="shared" ca="1" si="103"/>
        <v>0</v>
      </c>
      <c r="H1635" s="21">
        <v>1620</v>
      </c>
      <c r="I1635" s="102">
        <v>0.66769161172965719</v>
      </c>
      <c r="J1635" s="103">
        <v>1.2399229483157517E-3</v>
      </c>
      <c r="K1635" s="103"/>
      <c r="L1635" s="103">
        <v>3.9199999999999999E-2</v>
      </c>
      <c r="O1635" s="100"/>
    </row>
    <row r="1636" spans="2:15" x14ac:dyDescent="0.2">
      <c r="B1636" s="1">
        <v>1621</v>
      </c>
      <c r="C1636" s="101">
        <f t="shared" ca="1" si="100"/>
        <v>-0.72708688720011594</v>
      </c>
      <c r="D1636" s="101">
        <f t="shared" ca="1" si="101"/>
        <v>0.61851245037404756</v>
      </c>
      <c r="E1636" s="101">
        <f t="shared" ca="1" si="102"/>
        <v>0</v>
      </c>
      <c r="F1636" s="21">
        <f t="shared" ca="1" si="103"/>
        <v>0</v>
      </c>
      <c r="H1636" s="21">
        <v>1621</v>
      </c>
      <c r="I1636" s="102">
        <v>0.66776332248644643</v>
      </c>
      <c r="J1636" s="103">
        <v>1.4178393135125362E-3</v>
      </c>
      <c r="K1636" s="103"/>
      <c r="L1636" s="103">
        <v>4.24E-2</v>
      </c>
      <c r="O1636" s="100"/>
    </row>
    <row r="1637" spans="2:15" x14ac:dyDescent="0.2">
      <c r="B1637" s="1">
        <v>1622</v>
      </c>
      <c r="C1637" s="101">
        <f t="shared" ca="1" si="100"/>
        <v>-0.52216703202485304</v>
      </c>
      <c r="D1637" s="101">
        <f t="shared" ca="1" si="101"/>
        <v>0.63114200689646083</v>
      </c>
      <c r="E1637" s="101">
        <f t="shared" ca="1" si="102"/>
        <v>0</v>
      </c>
      <c r="F1637" s="21">
        <f t="shared" ca="1" si="103"/>
        <v>0</v>
      </c>
      <c r="H1637" s="21">
        <v>1622</v>
      </c>
      <c r="I1637" s="102">
        <v>0.66774635210183908</v>
      </c>
      <c r="J1637" s="103">
        <v>1.3433233260223088E-3</v>
      </c>
      <c r="K1637" s="103"/>
      <c r="L1637" s="103">
        <v>3.9800000000000002E-2</v>
      </c>
      <c r="O1637" s="100"/>
    </row>
    <row r="1638" spans="2:15" x14ac:dyDescent="0.2">
      <c r="B1638" s="1">
        <v>1623</v>
      </c>
      <c r="C1638" s="101">
        <f t="shared" ca="1" si="100"/>
        <v>1.8605781531562573</v>
      </c>
      <c r="D1638" s="101">
        <f t="shared" ca="1" si="101"/>
        <v>0.79836671284488037</v>
      </c>
      <c r="E1638" s="101">
        <f t="shared" ca="1" si="102"/>
        <v>1.0166712844880355E-2</v>
      </c>
      <c r="F1638" s="21">
        <f t="shared" ca="1" si="103"/>
        <v>1</v>
      </c>
      <c r="H1638" s="21">
        <v>1623</v>
      </c>
      <c r="I1638" s="102">
        <v>0.66798586945944594</v>
      </c>
      <c r="J1638" s="103">
        <v>1.6847740868805993E-3</v>
      </c>
      <c r="K1638" s="103"/>
      <c r="L1638" s="103">
        <v>4.7600000000000003E-2</v>
      </c>
      <c r="O1638" s="100"/>
    </row>
    <row r="1639" spans="2:15" x14ac:dyDescent="0.2">
      <c r="B1639" s="1">
        <v>1624</v>
      </c>
      <c r="C1639" s="101">
        <f t="shared" ca="1" si="100"/>
        <v>-1.1594130108576104</v>
      </c>
      <c r="D1639" s="101">
        <f t="shared" ca="1" si="101"/>
        <v>0.5926903573148008</v>
      </c>
      <c r="E1639" s="101">
        <f t="shared" ca="1" si="102"/>
        <v>0</v>
      </c>
      <c r="F1639" s="21">
        <f t="shared" ca="1" si="103"/>
        <v>0</v>
      </c>
      <c r="H1639" s="21">
        <v>1624</v>
      </c>
      <c r="I1639" s="102">
        <v>0.6675747763603983</v>
      </c>
      <c r="J1639" s="103">
        <v>1.2450207019052758E-3</v>
      </c>
      <c r="K1639" s="103"/>
      <c r="L1639" s="103">
        <v>3.8399999999999997E-2</v>
      </c>
      <c r="O1639" s="100"/>
    </row>
    <row r="1640" spans="2:15" x14ac:dyDescent="0.2">
      <c r="B1640" s="1">
        <v>1625</v>
      </c>
      <c r="C1640" s="101">
        <f t="shared" ca="1" si="100"/>
        <v>-0.96833032944987452</v>
      </c>
      <c r="D1640" s="101">
        <f t="shared" ca="1" si="101"/>
        <v>0.60396771746691746</v>
      </c>
      <c r="E1640" s="101">
        <f t="shared" ca="1" si="102"/>
        <v>0</v>
      </c>
      <c r="F1640" s="21">
        <f t="shared" ca="1" si="103"/>
        <v>0</v>
      </c>
      <c r="H1640" s="21">
        <v>1625</v>
      </c>
      <c r="I1640" s="102">
        <v>0.66774009773538989</v>
      </c>
      <c r="J1640" s="103">
        <v>1.3887789992508479E-3</v>
      </c>
      <c r="K1640" s="103"/>
      <c r="L1640" s="103">
        <v>4.1399999999999999E-2</v>
      </c>
      <c r="O1640" s="100"/>
    </row>
    <row r="1641" spans="2:15" x14ac:dyDescent="0.2">
      <c r="B1641" s="1">
        <v>1626</v>
      </c>
      <c r="C1641" s="101">
        <f t="shared" ca="1" si="100"/>
        <v>-1.5492660675280214</v>
      </c>
      <c r="D1641" s="101">
        <f t="shared" ca="1" si="101"/>
        <v>0.57033076227126045</v>
      </c>
      <c r="E1641" s="101">
        <f t="shared" ca="1" si="102"/>
        <v>0</v>
      </c>
      <c r="F1641" s="21">
        <f t="shared" ca="1" si="103"/>
        <v>0</v>
      </c>
      <c r="H1641" s="21">
        <v>1626</v>
      </c>
      <c r="I1641" s="102">
        <v>0.6676573239014244</v>
      </c>
      <c r="J1641" s="103">
        <v>1.2326394412886207E-3</v>
      </c>
      <c r="K1641" s="103"/>
      <c r="L1641" s="103">
        <v>4.0800000000000003E-2</v>
      </c>
      <c r="O1641" s="100"/>
    </row>
    <row r="1642" spans="2:15" x14ac:dyDescent="0.2">
      <c r="B1642" s="1">
        <v>1627</v>
      </c>
      <c r="C1642" s="101">
        <f t="shared" ca="1" si="100"/>
        <v>-0.88538159501370095</v>
      </c>
      <c r="D1642" s="101">
        <f t="shared" ca="1" si="101"/>
        <v>0.60892975835508134</v>
      </c>
      <c r="E1642" s="101">
        <f t="shared" ca="1" si="102"/>
        <v>0</v>
      </c>
      <c r="F1642" s="21">
        <f t="shared" ca="1" si="103"/>
        <v>0</v>
      </c>
      <c r="H1642" s="21">
        <v>1627</v>
      </c>
      <c r="I1642" s="102">
        <v>0.66764762813619272</v>
      </c>
      <c r="J1642" s="103">
        <v>1.2432955682155707E-3</v>
      </c>
      <c r="K1642" s="103"/>
      <c r="L1642" s="103">
        <v>3.9800000000000002E-2</v>
      </c>
      <c r="O1642" s="100"/>
    </row>
    <row r="1643" spans="2:15" x14ac:dyDescent="0.2">
      <c r="B1643" s="1">
        <v>1628</v>
      </c>
      <c r="C1643" s="101">
        <f t="shared" ca="1" si="100"/>
        <v>-0.1846984746512077</v>
      </c>
      <c r="D1643" s="101">
        <f t="shared" ca="1" si="101"/>
        <v>0.6525052816676874</v>
      </c>
      <c r="E1643" s="101">
        <f t="shared" ca="1" si="102"/>
        <v>0</v>
      </c>
      <c r="F1643" s="21">
        <f t="shared" ca="1" si="103"/>
        <v>0</v>
      </c>
      <c r="H1643" s="21">
        <v>1628</v>
      </c>
      <c r="I1643" s="102">
        <v>0.66775382760577584</v>
      </c>
      <c r="J1643" s="103">
        <v>1.4089707385684192E-3</v>
      </c>
      <c r="K1643" s="103"/>
      <c r="L1643" s="103">
        <v>4.3400000000000001E-2</v>
      </c>
      <c r="O1643" s="100"/>
    </row>
    <row r="1644" spans="2:15" x14ac:dyDescent="0.2">
      <c r="B1644" s="1">
        <v>1629</v>
      </c>
      <c r="C1644" s="101">
        <f t="shared" ca="1" si="100"/>
        <v>0.54904105765216094</v>
      </c>
      <c r="D1644" s="101">
        <f t="shared" ca="1" si="101"/>
        <v>0.7014827253296988</v>
      </c>
      <c r="E1644" s="101">
        <f t="shared" ca="1" si="102"/>
        <v>0</v>
      </c>
      <c r="F1644" s="21">
        <f t="shared" ca="1" si="103"/>
        <v>0</v>
      </c>
      <c r="H1644" s="21">
        <v>1629</v>
      </c>
      <c r="I1644" s="102">
        <v>0.66765959450662937</v>
      </c>
      <c r="J1644" s="103">
        <v>1.1734123685345655E-3</v>
      </c>
      <c r="K1644" s="103"/>
      <c r="L1644" s="103">
        <v>4.0399999999999998E-2</v>
      </c>
      <c r="O1644" s="100"/>
    </row>
    <row r="1645" spans="2:15" x14ac:dyDescent="0.2">
      <c r="B1645" s="1">
        <v>1630</v>
      </c>
      <c r="C1645" s="101">
        <f t="shared" ca="1" si="100"/>
        <v>-0.42001095287190854</v>
      </c>
      <c r="D1645" s="101">
        <f t="shared" ca="1" si="101"/>
        <v>0.63753405732016555</v>
      </c>
      <c r="E1645" s="101">
        <f t="shared" ca="1" si="102"/>
        <v>0</v>
      </c>
      <c r="F1645" s="21">
        <f t="shared" ca="1" si="103"/>
        <v>0</v>
      </c>
      <c r="H1645" s="21">
        <v>1630</v>
      </c>
      <c r="I1645" s="102">
        <v>0.66775223083037261</v>
      </c>
      <c r="J1645" s="103">
        <v>1.3976773384835731E-3</v>
      </c>
      <c r="K1645" s="103"/>
      <c r="L1645" s="103">
        <v>4.2599999999999999E-2</v>
      </c>
      <c r="O1645" s="100"/>
    </row>
    <row r="1646" spans="2:15" x14ac:dyDescent="0.2">
      <c r="B1646" s="1">
        <v>1631</v>
      </c>
      <c r="C1646" s="101">
        <f t="shared" ca="1" si="100"/>
        <v>-1.1500127400394218</v>
      </c>
      <c r="D1646" s="101">
        <f t="shared" ca="1" si="101"/>
        <v>0.59324018739342399</v>
      </c>
      <c r="E1646" s="101">
        <f t="shared" ca="1" si="102"/>
        <v>0</v>
      </c>
      <c r="F1646" s="21">
        <f t="shared" ca="1" si="103"/>
        <v>0</v>
      </c>
      <c r="H1646" s="21">
        <v>1631</v>
      </c>
      <c r="I1646" s="102">
        <v>0.66774600846001297</v>
      </c>
      <c r="J1646" s="103">
        <v>1.4692664983089467E-3</v>
      </c>
      <c r="K1646" s="103"/>
      <c r="L1646" s="103">
        <v>4.2799999999999998E-2</v>
      </c>
      <c r="O1646" s="100"/>
    </row>
    <row r="1647" spans="2:15" x14ac:dyDescent="0.2">
      <c r="B1647" s="1">
        <v>1632</v>
      </c>
      <c r="C1647" s="101">
        <f t="shared" ca="1" si="100"/>
        <v>1.0638299017707391</v>
      </c>
      <c r="D1647" s="101">
        <f t="shared" ca="1" si="101"/>
        <v>0.73802354507038315</v>
      </c>
      <c r="E1647" s="101">
        <f t="shared" ca="1" si="102"/>
        <v>0</v>
      </c>
      <c r="F1647" s="21">
        <f t="shared" ca="1" si="103"/>
        <v>0</v>
      </c>
      <c r="H1647" s="21">
        <v>1632</v>
      </c>
      <c r="I1647" s="102">
        <v>0.66761487067847358</v>
      </c>
      <c r="J1647" s="103">
        <v>1.2531625333307411E-3</v>
      </c>
      <c r="K1647" s="103"/>
      <c r="L1647" s="103">
        <v>3.9600000000000003E-2</v>
      </c>
      <c r="O1647" s="100"/>
    </row>
    <row r="1648" spans="2:15" x14ac:dyDescent="0.2">
      <c r="B1648" s="1">
        <v>1633</v>
      </c>
      <c r="C1648" s="101">
        <f t="shared" ca="1" si="100"/>
        <v>-0.46499280919390118</v>
      </c>
      <c r="D1648" s="101">
        <f t="shared" ca="1" si="101"/>
        <v>0.63471154059953772</v>
      </c>
      <c r="E1648" s="101">
        <f t="shared" ca="1" si="102"/>
        <v>0</v>
      </c>
      <c r="F1648" s="21">
        <f t="shared" ca="1" si="103"/>
        <v>0</v>
      </c>
      <c r="H1648" s="21">
        <v>1633</v>
      </c>
      <c r="I1648" s="102">
        <v>0.66771219582085639</v>
      </c>
      <c r="J1648" s="103">
        <v>1.320549243773686E-3</v>
      </c>
      <c r="K1648" s="103"/>
      <c r="L1648" s="103">
        <v>4.2200000000000001E-2</v>
      </c>
      <c r="O1648" s="100"/>
    </row>
    <row r="1649" spans="2:15" x14ac:dyDescent="0.2">
      <c r="B1649" s="1">
        <v>1634</v>
      </c>
      <c r="C1649" s="101">
        <f t="shared" ca="1" si="100"/>
        <v>1.73262866603961</v>
      </c>
      <c r="D1649" s="101">
        <f t="shared" ca="1" si="101"/>
        <v>0.78835376128655066</v>
      </c>
      <c r="E1649" s="101">
        <f t="shared" ca="1" si="102"/>
        <v>1.5376128655064658E-4</v>
      </c>
      <c r="F1649" s="21">
        <f t="shared" ca="1" si="103"/>
        <v>1</v>
      </c>
      <c r="H1649" s="21">
        <v>1634</v>
      </c>
      <c r="I1649" s="102">
        <v>0.66776260863076109</v>
      </c>
      <c r="J1649" s="103">
        <v>1.4020234149004309E-3</v>
      </c>
      <c r="K1649" s="103"/>
      <c r="L1649" s="103">
        <v>4.2599999999999999E-2</v>
      </c>
      <c r="O1649" s="100"/>
    </row>
    <row r="1650" spans="2:15" x14ac:dyDescent="0.2">
      <c r="B1650" s="1">
        <v>1635</v>
      </c>
      <c r="C1650" s="101">
        <f t="shared" ca="1" si="100"/>
        <v>0.26688029981849876</v>
      </c>
      <c r="D1650" s="101">
        <f t="shared" ca="1" si="101"/>
        <v>0.68222776111862393</v>
      </c>
      <c r="E1650" s="101">
        <f t="shared" ca="1" si="102"/>
        <v>0</v>
      </c>
      <c r="F1650" s="21">
        <f t="shared" ca="1" si="103"/>
        <v>0</v>
      </c>
      <c r="H1650" s="21">
        <v>1635</v>
      </c>
      <c r="I1650" s="102">
        <v>0.6674785165131657</v>
      </c>
      <c r="J1650" s="103">
        <v>1.0284578849229374E-3</v>
      </c>
      <c r="K1650" s="103"/>
      <c r="L1650" s="103">
        <v>3.6400000000000002E-2</v>
      </c>
      <c r="O1650" s="100"/>
    </row>
    <row r="1651" spans="2:15" x14ac:dyDescent="0.2">
      <c r="B1651" s="1">
        <v>1636</v>
      </c>
      <c r="C1651" s="101">
        <f t="shared" ca="1" si="100"/>
        <v>0.86433002923251234</v>
      </c>
      <c r="D1651" s="101">
        <f t="shared" ca="1" si="101"/>
        <v>0.72364200080262853</v>
      </c>
      <c r="E1651" s="101">
        <f t="shared" ca="1" si="102"/>
        <v>0</v>
      </c>
      <c r="F1651" s="21">
        <f t="shared" ca="1" si="103"/>
        <v>0</v>
      </c>
      <c r="H1651" s="21">
        <v>1636</v>
      </c>
      <c r="I1651" s="102">
        <v>0.66773001183862479</v>
      </c>
      <c r="J1651" s="103">
        <v>1.4177492626889639E-3</v>
      </c>
      <c r="K1651" s="103"/>
      <c r="L1651" s="103">
        <v>3.7999999999999999E-2</v>
      </c>
      <c r="O1651" s="100"/>
    </row>
    <row r="1652" spans="2:15" x14ac:dyDescent="0.2">
      <c r="B1652" s="1">
        <v>1637</v>
      </c>
      <c r="C1652" s="101">
        <f t="shared" ca="1" si="100"/>
        <v>0.48972638342877312</v>
      </c>
      <c r="D1652" s="101">
        <f t="shared" ca="1" si="101"/>
        <v>0.69739041887992637</v>
      </c>
      <c r="E1652" s="101">
        <f t="shared" ca="1" si="102"/>
        <v>0</v>
      </c>
      <c r="F1652" s="21">
        <f t="shared" ca="1" si="103"/>
        <v>0</v>
      </c>
      <c r="H1652" s="21">
        <v>1637</v>
      </c>
      <c r="I1652" s="102">
        <v>0.66770381675135282</v>
      </c>
      <c r="J1652" s="103">
        <v>1.3919945320253855E-3</v>
      </c>
      <c r="K1652" s="103"/>
      <c r="L1652" s="103">
        <v>3.9800000000000002E-2</v>
      </c>
      <c r="O1652" s="100"/>
    </row>
    <row r="1653" spans="2:15" x14ac:dyDescent="0.2">
      <c r="B1653" s="1">
        <v>1638</v>
      </c>
      <c r="C1653" s="101">
        <f t="shared" ca="1" si="100"/>
        <v>-0.44385235355545682</v>
      </c>
      <c r="D1653" s="101">
        <f t="shared" ca="1" si="101"/>
        <v>0.63603649990516087</v>
      </c>
      <c r="E1653" s="101">
        <f t="shared" ca="1" si="102"/>
        <v>0</v>
      </c>
      <c r="F1653" s="21">
        <f t="shared" ca="1" si="103"/>
        <v>0</v>
      </c>
      <c r="H1653" s="21">
        <v>1638</v>
      </c>
      <c r="I1653" s="102">
        <v>0.66771627298066694</v>
      </c>
      <c r="J1653" s="103">
        <v>1.397610085945593E-3</v>
      </c>
      <c r="K1653" s="103"/>
      <c r="L1653" s="103">
        <v>4.1200000000000001E-2</v>
      </c>
      <c r="O1653" s="100"/>
    </row>
    <row r="1654" spans="2:15" x14ac:dyDescent="0.2">
      <c r="B1654" s="1">
        <v>1639</v>
      </c>
      <c r="C1654" s="101">
        <f t="shared" ca="1" si="100"/>
        <v>0.8639367766407724</v>
      </c>
      <c r="D1654" s="101">
        <f t="shared" ca="1" si="101"/>
        <v>0.72361393058132351</v>
      </c>
      <c r="E1654" s="101">
        <f t="shared" ca="1" si="102"/>
        <v>0</v>
      </c>
      <c r="F1654" s="21">
        <f t="shared" ca="1" si="103"/>
        <v>0</v>
      </c>
      <c r="H1654" s="21">
        <v>1639</v>
      </c>
      <c r="I1654" s="102">
        <v>0.66775890391480641</v>
      </c>
      <c r="J1654" s="103">
        <v>1.4183379854525052E-3</v>
      </c>
      <c r="K1654" s="103"/>
      <c r="L1654" s="103">
        <v>3.9E-2</v>
      </c>
      <c r="O1654" s="100"/>
    </row>
    <row r="1655" spans="2:15" x14ac:dyDescent="0.2">
      <c r="B1655" s="1">
        <v>1640</v>
      </c>
      <c r="C1655" s="101">
        <f t="shared" ca="1" si="100"/>
        <v>0.75099358456724175</v>
      </c>
      <c r="D1655" s="101">
        <f t="shared" ca="1" si="101"/>
        <v>0.71559698537649219</v>
      </c>
      <c r="E1655" s="101">
        <f t="shared" ca="1" si="102"/>
        <v>0</v>
      </c>
      <c r="F1655" s="21">
        <f t="shared" ca="1" si="103"/>
        <v>0</v>
      </c>
      <c r="H1655" s="21">
        <v>1640</v>
      </c>
      <c r="I1655" s="102">
        <v>0.66779291266382024</v>
      </c>
      <c r="J1655" s="103">
        <v>1.4007099923035434E-3</v>
      </c>
      <c r="K1655" s="103"/>
      <c r="L1655" s="103">
        <v>4.3400000000000001E-2</v>
      </c>
      <c r="O1655" s="100"/>
    </row>
    <row r="1656" spans="2:15" x14ac:dyDescent="0.2">
      <c r="B1656" s="1">
        <v>1641</v>
      </c>
      <c r="C1656" s="101">
        <f t="shared" ca="1" si="100"/>
        <v>0.6456486602231607</v>
      </c>
      <c r="D1656" s="101">
        <f t="shared" ca="1" si="101"/>
        <v>0.70819945909570159</v>
      </c>
      <c r="E1656" s="101">
        <f t="shared" ca="1" si="102"/>
        <v>0</v>
      </c>
      <c r="F1656" s="21">
        <f t="shared" ca="1" si="103"/>
        <v>0</v>
      </c>
      <c r="H1656" s="21">
        <v>1641</v>
      </c>
      <c r="I1656" s="102">
        <v>0.6677089032270378</v>
      </c>
      <c r="J1656" s="103">
        <v>1.2265075882849897E-3</v>
      </c>
      <c r="K1656" s="103"/>
      <c r="L1656" s="103">
        <v>4.02E-2</v>
      </c>
      <c r="O1656" s="100"/>
    </row>
    <row r="1657" spans="2:15" x14ac:dyDescent="0.2">
      <c r="B1657" s="1">
        <v>1642</v>
      </c>
      <c r="C1657" s="101">
        <f t="shared" ca="1" si="100"/>
        <v>0.2130818237960484</v>
      </c>
      <c r="D1657" s="101">
        <f t="shared" ca="1" si="101"/>
        <v>0.67861693625299835</v>
      </c>
      <c r="E1657" s="101">
        <f t="shared" ca="1" si="102"/>
        <v>0</v>
      </c>
      <c r="F1657" s="21">
        <f t="shared" ca="1" si="103"/>
        <v>0</v>
      </c>
      <c r="H1657" s="21">
        <v>1642</v>
      </c>
      <c r="I1657" s="102">
        <v>0.66792364963893924</v>
      </c>
      <c r="J1657" s="103">
        <v>1.5570542537220822E-3</v>
      </c>
      <c r="K1657" s="103"/>
      <c r="L1657" s="103">
        <v>4.8599999999999997E-2</v>
      </c>
      <c r="O1657" s="100"/>
    </row>
    <row r="1658" spans="2:15" x14ac:dyDescent="0.2">
      <c r="B1658" s="1">
        <v>1643</v>
      </c>
      <c r="C1658" s="101">
        <f t="shared" ca="1" si="100"/>
        <v>1.1723794497831517</v>
      </c>
      <c r="D1658" s="101">
        <f t="shared" ca="1" si="101"/>
        <v>0.74596836960251778</v>
      </c>
      <c r="E1658" s="101">
        <f t="shared" ca="1" si="102"/>
        <v>0</v>
      </c>
      <c r="F1658" s="21">
        <f t="shared" ca="1" si="103"/>
        <v>0</v>
      </c>
      <c r="H1658" s="21">
        <v>1643</v>
      </c>
      <c r="I1658" s="102">
        <v>0.66778735159867764</v>
      </c>
      <c r="J1658" s="103">
        <v>1.3215560117727087E-3</v>
      </c>
      <c r="K1658" s="103"/>
      <c r="L1658" s="103">
        <v>4.0399999999999998E-2</v>
      </c>
      <c r="O1658" s="100"/>
    </row>
    <row r="1659" spans="2:15" x14ac:dyDescent="0.2">
      <c r="B1659" s="1">
        <v>1644</v>
      </c>
      <c r="C1659" s="101">
        <f t="shared" ca="1" si="100"/>
        <v>-0.37151130449370456</v>
      </c>
      <c r="D1659" s="101">
        <f t="shared" ca="1" si="101"/>
        <v>0.64059137200445937</v>
      </c>
      <c r="E1659" s="101">
        <f t="shared" ca="1" si="102"/>
        <v>0</v>
      </c>
      <c r="F1659" s="21">
        <f t="shared" ca="1" si="103"/>
        <v>0</v>
      </c>
      <c r="H1659" s="21">
        <v>1644</v>
      </c>
      <c r="I1659" s="102">
        <v>0.66773266711816959</v>
      </c>
      <c r="J1659" s="103">
        <v>1.3469146042937173E-3</v>
      </c>
      <c r="K1659" s="103"/>
      <c r="L1659" s="103">
        <v>4.1599999999999998E-2</v>
      </c>
      <c r="O1659" s="100"/>
    </row>
    <row r="1660" spans="2:15" x14ac:dyDescent="0.2">
      <c r="B1660" s="1">
        <v>1645</v>
      </c>
      <c r="C1660" s="101">
        <f t="shared" ca="1" si="100"/>
        <v>-0.77398446466699944</v>
      </c>
      <c r="D1660" s="101">
        <f t="shared" ca="1" si="101"/>
        <v>0.61565779548627475</v>
      </c>
      <c r="E1660" s="101">
        <f t="shared" ca="1" si="102"/>
        <v>0</v>
      </c>
      <c r="F1660" s="21">
        <f t="shared" ca="1" si="103"/>
        <v>0</v>
      </c>
      <c r="H1660" s="21">
        <v>1645</v>
      </c>
      <c r="I1660" s="102">
        <v>0.66788372261448481</v>
      </c>
      <c r="J1660" s="103">
        <v>1.5693809135793823E-3</v>
      </c>
      <c r="K1660" s="103"/>
      <c r="L1660" s="103">
        <v>4.3799999999999999E-2</v>
      </c>
      <c r="O1660" s="100"/>
    </row>
    <row r="1661" spans="2:15" x14ac:dyDescent="0.2">
      <c r="B1661" s="1">
        <v>1646</v>
      </c>
      <c r="C1661" s="101">
        <f t="shared" ca="1" si="100"/>
        <v>1.310606160035229</v>
      </c>
      <c r="D1661" s="101">
        <f t="shared" ca="1" si="101"/>
        <v>0.75620920588886331</v>
      </c>
      <c r="E1661" s="101">
        <f t="shared" ca="1" si="102"/>
        <v>0</v>
      </c>
      <c r="F1661" s="21">
        <f t="shared" ca="1" si="103"/>
        <v>0</v>
      </c>
      <c r="H1661" s="21">
        <v>1646</v>
      </c>
      <c r="I1661" s="102">
        <v>0.6676752893551019</v>
      </c>
      <c r="J1661" s="103">
        <v>1.2405409781120228E-3</v>
      </c>
      <c r="K1661" s="103"/>
      <c r="L1661" s="103">
        <v>4.0399999999999998E-2</v>
      </c>
      <c r="O1661" s="100"/>
    </row>
    <row r="1662" spans="2:15" x14ac:dyDescent="0.2">
      <c r="B1662" s="1">
        <v>1647</v>
      </c>
      <c r="C1662" s="101">
        <f t="shared" ca="1" si="100"/>
        <v>1.2477093762726077</v>
      </c>
      <c r="D1662" s="101">
        <f t="shared" ca="1" si="101"/>
        <v>0.75153204008438868</v>
      </c>
      <c r="E1662" s="101">
        <f t="shared" ca="1" si="102"/>
        <v>0</v>
      </c>
      <c r="F1662" s="21">
        <f t="shared" ca="1" si="103"/>
        <v>0</v>
      </c>
      <c r="H1662" s="21">
        <v>1647</v>
      </c>
      <c r="I1662" s="102">
        <v>0.66783105282193356</v>
      </c>
      <c r="J1662" s="103">
        <v>1.4949825348062062E-3</v>
      </c>
      <c r="K1662" s="103"/>
      <c r="L1662" s="103">
        <v>4.4200000000000003E-2</v>
      </c>
      <c r="O1662" s="100"/>
    </row>
    <row r="1663" spans="2:15" x14ac:dyDescent="0.2">
      <c r="B1663" s="1">
        <v>1648</v>
      </c>
      <c r="C1663" s="101">
        <f t="shared" ca="1" si="100"/>
        <v>1.1187015555410325</v>
      </c>
      <c r="D1663" s="101">
        <f t="shared" ca="1" si="101"/>
        <v>0.74202901090356677</v>
      </c>
      <c r="E1663" s="101">
        <f t="shared" ca="1" si="102"/>
        <v>0</v>
      </c>
      <c r="F1663" s="21">
        <f t="shared" ca="1" si="103"/>
        <v>0</v>
      </c>
      <c r="H1663" s="21">
        <v>1648</v>
      </c>
      <c r="I1663" s="102">
        <v>0.66779007401904178</v>
      </c>
      <c r="J1663" s="103">
        <v>1.3937188760437551E-3</v>
      </c>
      <c r="K1663" s="103"/>
      <c r="L1663" s="103">
        <v>4.24E-2</v>
      </c>
      <c r="O1663" s="100"/>
    </row>
    <row r="1664" spans="2:15" x14ac:dyDescent="0.2">
      <c r="B1664" s="1">
        <v>1649</v>
      </c>
      <c r="C1664" s="101">
        <f t="shared" ca="1" si="100"/>
        <v>-0.94991280681254697</v>
      </c>
      <c r="D1664" s="101">
        <f t="shared" ca="1" si="101"/>
        <v>0.60506596034657389</v>
      </c>
      <c r="E1664" s="101">
        <f t="shared" ca="1" si="102"/>
        <v>0</v>
      </c>
      <c r="F1664" s="21">
        <f t="shared" ca="1" si="103"/>
        <v>0</v>
      </c>
      <c r="H1664" s="21">
        <v>1649</v>
      </c>
      <c r="I1664" s="102">
        <v>0.66771171771070881</v>
      </c>
      <c r="J1664" s="103">
        <v>1.265747083469389E-3</v>
      </c>
      <c r="K1664" s="103"/>
      <c r="L1664" s="103">
        <v>3.9600000000000003E-2</v>
      </c>
      <c r="O1664" s="100"/>
    </row>
    <row r="1665" spans="2:15" x14ac:dyDescent="0.2">
      <c r="B1665" s="1">
        <v>1650</v>
      </c>
      <c r="C1665" s="101">
        <f t="shared" ca="1" si="100"/>
        <v>0.80221485082068444</v>
      </c>
      <c r="D1665" s="101">
        <f t="shared" ca="1" si="101"/>
        <v>0.71922171251361322</v>
      </c>
      <c r="E1665" s="101">
        <f t="shared" ca="1" si="102"/>
        <v>0</v>
      </c>
      <c r="F1665" s="21">
        <f t="shared" ca="1" si="103"/>
        <v>0</v>
      </c>
      <c r="H1665" s="21">
        <v>1650</v>
      </c>
      <c r="I1665" s="102">
        <v>0.66768875249492698</v>
      </c>
      <c r="J1665" s="103">
        <v>1.261826770401068E-3</v>
      </c>
      <c r="K1665" s="103"/>
      <c r="L1665" s="103">
        <v>4.1799999999999997E-2</v>
      </c>
      <c r="O1665" s="100"/>
    </row>
    <row r="1666" spans="2:15" x14ac:dyDescent="0.2">
      <c r="B1666" s="1">
        <v>1651</v>
      </c>
      <c r="C1666" s="101">
        <f t="shared" ca="1" si="100"/>
        <v>0.29036070272252285</v>
      </c>
      <c r="D1666" s="101">
        <f t="shared" ca="1" si="101"/>
        <v>0.6838097261274001</v>
      </c>
      <c r="E1666" s="101">
        <f t="shared" ca="1" si="102"/>
        <v>0</v>
      </c>
      <c r="F1666" s="21">
        <f t="shared" ca="1" si="103"/>
        <v>0</v>
      </c>
      <c r="H1666" s="21">
        <v>1651</v>
      </c>
      <c r="I1666" s="102">
        <v>0.66781466906886489</v>
      </c>
      <c r="J1666" s="103">
        <v>1.579621536270536E-3</v>
      </c>
      <c r="K1666" s="103"/>
      <c r="L1666" s="103">
        <v>4.6600000000000003E-2</v>
      </c>
      <c r="O1666" s="100"/>
    </row>
    <row r="1667" spans="2:15" x14ac:dyDescent="0.2">
      <c r="B1667" s="1">
        <v>1652</v>
      </c>
      <c r="C1667" s="101">
        <f t="shared" ca="1" si="100"/>
        <v>0.42424782580227788</v>
      </c>
      <c r="D1667" s="101">
        <f t="shared" ca="1" si="101"/>
        <v>0.69290056501707209</v>
      </c>
      <c r="E1667" s="101">
        <f t="shared" ca="1" si="102"/>
        <v>0</v>
      </c>
      <c r="F1667" s="21">
        <f t="shared" ca="1" si="103"/>
        <v>0</v>
      </c>
      <c r="H1667" s="21">
        <v>1652</v>
      </c>
      <c r="I1667" s="102">
        <v>0.66769498748740952</v>
      </c>
      <c r="J1667" s="103">
        <v>1.3306801819927508E-3</v>
      </c>
      <c r="K1667" s="103"/>
      <c r="L1667" s="103">
        <v>4.0599999999999997E-2</v>
      </c>
      <c r="O1667" s="100"/>
    </row>
    <row r="1668" spans="2:15" x14ac:dyDescent="0.2">
      <c r="B1668" s="1">
        <v>1653</v>
      </c>
      <c r="C1668" s="101">
        <f t="shared" ca="1" si="100"/>
        <v>-0.65971230463708896</v>
      </c>
      <c r="D1668" s="101">
        <f t="shared" ca="1" si="101"/>
        <v>0.62263672310145146</v>
      </c>
      <c r="E1668" s="101">
        <f t="shared" ca="1" si="102"/>
        <v>0</v>
      </c>
      <c r="F1668" s="21">
        <f t="shared" ca="1" si="103"/>
        <v>0</v>
      </c>
      <c r="H1668" s="21">
        <v>1653</v>
      </c>
      <c r="I1668" s="102">
        <v>0.6677209991203974</v>
      </c>
      <c r="J1668" s="103">
        <v>1.3365438915506067E-3</v>
      </c>
      <c r="K1668" s="103"/>
      <c r="L1668" s="103">
        <v>4.0599999999999997E-2</v>
      </c>
      <c r="O1668" s="100"/>
    </row>
    <row r="1669" spans="2:15" x14ac:dyDescent="0.2">
      <c r="B1669" s="1">
        <v>1654</v>
      </c>
      <c r="C1669" s="101">
        <f t="shared" ca="1" si="100"/>
        <v>0.39236771050513702</v>
      </c>
      <c r="D1669" s="101">
        <f t="shared" ca="1" si="101"/>
        <v>0.690725025300157</v>
      </c>
      <c r="E1669" s="101">
        <f t="shared" ca="1" si="102"/>
        <v>0</v>
      </c>
      <c r="F1669" s="21">
        <f t="shared" ca="1" si="103"/>
        <v>0</v>
      </c>
      <c r="H1669" s="21">
        <v>1654</v>
      </c>
      <c r="I1669" s="102">
        <v>0.66769644535423001</v>
      </c>
      <c r="J1669" s="103">
        <v>1.272558111879167E-3</v>
      </c>
      <c r="K1669" s="103"/>
      <c r="L1669" s="103">
        <v>4.2000000000000003E-2</v>
      </c>
      <c r="O1669" s="100"/>
    </row>
    <row r="1670" spans="2:15" x14ac:dyDescent="0.2">
      <c r="B1670" s="1">
        <v>1655</v>
      </c>
      <c r="C1670" s="101">
        <f t="shared" ca="1" si="100"/>
        <v>0.25183584944001158</v>
      </c>
      <c r="D1670" s="101">
        <f t="shared" ca="1" si="101"/>
        <v>0.68121608288332314</v>
      </c>
      <c r="E1670" s="101">
        <f t="shared" ca="1" si="102"/>
        <v>0</v>
      </c>
      <c r="F1670" s="21">
        <f t="shared" ca="1" si="103"/>
        <v>0</v>
      </c>
      <c r="H1670" s="21">
        <v>1655</v>
      </c>
      <c r="I1670" s="102">
        <v>0.66783841630226448</v>
      </c>
      <c r="J1670" s="103">
        <v>1.5655434081922335E-3</v>
      </c>
      <c r="K1670" s="103"/>
      <c r="L1670" s="103">
        <v>4.2799999999999998E-2</v>
      </c>
      <c r="O1670" s="100"/>
    </row>
    <row r="1671" spans="2:15" x14ac:dyDescent="0.2">
      <c r="B1671" s="1">
        <v>1656</v>
      </c>
      <c r="C1671" s="101">
        <f t="shared" ca="1" si="100"/>
        <v>0.24939020376289436</v>
      </c>
      <c r="D1671" s="101">
        <f t="shared" ca="1" si="101"/>
        <v>0.68105176495662689</v>
      </c>
      <c r="E1671" s="101">
        <f t="shared" ca="1" si="102"/>
        <v>0</v>
      </c>
      <c r="F1671" s="21">
        <f t="shared" ca="1" si="103"/>
        <v>0</v>
      </c>
      <c r="H1671" s="21">
        <v>1656</v>
      </c>
      <c r="I1671" s="102">
        <v>0.66751447698644251</v>
      </c>
      <c r="J1671" s="103">
        <v>1.107319328142402E-3</v>
      </c>
      <c r="K1671" s="103"/>
      <c r="L1671" s="103">
        <v>3.6200000000000003E-2</v>
      </c>
      <c r="O1671" s="100"/>
    </row>
    <row r="1672" spans="2:15" x14ac:dyDescent="0.2">
      <c r="B1672" s="1">
        <v>1657</v>
      </c>
      <c r="C1672" s="101">
        <f t="shared" ca="1" si="100"/>
        <v>-0.26163732245909227</v>
      </c>
      <c r="D1672" s="101">
        <f t="shared" ca="1" si="101"/>
        <v>0.6475719348673975</v>
      </c>
      <c r="E1672" s="101">
        <f t="shared" ca="1" si="102"/>
        <v>0</v>
      </c>
      <c r="F1672" s="21">
        <f t="shared" ca="1" si="103"/>
        <v>0</v>
      </c>
      <c r="H1672" s="21">
        <v>1657</v>
      </c>
      <c r="I1672" s="102">
        <v>0.66774579504198517</v>
      </c>
      <c r="J1672" s="103">
        <v>1.5256034577324309E-3</v>
      </c>
      <c r="K1672" s="103"/>
      <c r="L1672" s="103">
        <v>4.3400000000000001E-2</v>
      </c>
      <c r="O1672" s="100"/>
    </row>
    <row r="1673" spans="2:15" x14ac:dyDescent="0.2">
      <c r="B1673" s="1">
        <v>1658</v>
      </c>
      <c r="C1673" s="101">
        <f t="shared" ca="1" si="100"/>
        <v>4.3173006514473679E-2</v>
      </c>
      <c r="D1673" s="101">
        <f t="shared" ca="1" si="101"/>
        <v>0.66733807640409992</v>
      </c>
      <c r="E1673" s="101">
        <f t="shared" ca="1" si="102"/>
        <v>0</v>
      </c>
      <c r="F1673" s="21">
        <f t="shared" ca="1" si="103"/>
        <v>0</v>
      </c>
      <c r="H1673" s="21">
        <v>1658</v>
      </c>
      <c r="I1673" s="102">
        <v>0.66771428253147014</v>
      </c>
      <c r="J1673" s="103">
        <v>1.2409232932574232E-3</v>
      </c>
      <c r="K1673" s="103"/>
      <c r="L1673" s="103">
        <v>4.0599999999999997E-2</v>
      </c>
      <c r="O1673" s="100"/>
    </row>
    <row r="1674" spans="2:15" x14ac:dyDescent="0.2">
      <c r="B1674" s="1">
        <v>1659</v>
      </c>
      <c r="C1674" s="101">
        <f t="shared" ca="1" si="100"/>
        <v>1.5037527537793791</v>
      </c>
      <c r="D1674" s="101">
        <f t="shared" ca="1" si="101"/>
        <v>0.77075480531111107</v>
      </c>
      <c r="E1674" s="101">
        <f t="shared" ca="1" si="102"/>
        <v>0</v>
      </c>
      <c r="F1674" s="21">
        <f t="shared" ca="1" si="103"/>
        <v>0</v>
      </c>
      <c r="H1674" s="21">
        <v>1659</v>
      </c>
      <c r="I1674" s="102">
        <v>0.66767050514513404</v>
      </c>
      <c r="J1674" s="103">
        <v>1.1777723877423694E-3</v>
      </c>
      <c r="K1674" s="103"/>
      <c r="L1674" s="103">
        <v>3.9399999999999998E-2</v>
      </c>
      <c r="O1674" s="100"/>
    </row>
    <row r="1675" spans="2:15" x14ac:dyDescent="0.2">
      <c r="B1675" s="1">
        <v>1660</v>
      </c>
      <c r="C1675" s="101">
        <f t="shared" ca="1" si="100"/>
        <v>-0.21922343260035895</v>
      </c>
      <c r="D1675" s="101">
        <f t="shared" ca="1" si="101"/>
        <v>0.6502868973509226</v>
      </c>
      <c r="E1675" s="101">
        <f t="shared" ca="1" si="102"/>
        <v>0</v>
      </c>
      <c r="F1675" s="21">
        <f t="shared" ca="1" si="103"/>
        <v>0</v>
      </c>
      <c r="H1675" s="21">
        <v>1660</v>
      </c>
      <c r="I1675" s="102">
        <v>0.66757616475177839</v>
      </c>
      <c r="J1675" s="103">
        <v>1.2383959841016673E-3</v>
      </c>
      <c r="K1675" s="103"/>
      <c r="L1675" s="103">
        <v>3.8199999999999998E-2</v>
      </c>
      <c r="O1675" s="100"/>
    </row>
    <row r="1676" spans="2:15" x14ac:dyDescent="0.2">
      <c r="B1676" s="1">
        <v>1661</v>
      </c>
      <c r="C1676" s="101">
        <f t="shared" ca="1" si="100"/>
        <v>0.17303336702417663</v>
      </c>
      <c r="D1676" s="101">
        <f t="shared" ca="1" si="101"/>
        <v>0.67594139385613639</v>
      </c>
      <c r="E1676" s="101">
        <f t="shared" ca="1" si="102"/>
        <v>0</v>
      </c>
      <c r="F1676" s="21">
        <f t="shared" ca="1" si="103"/>
        <v>0</v>
      </c>
      <c r="H1676" s="21">
        <v>1661</v>
      </c>
      <c r="I1676" s="102">
        <v>0.66778876184773917</v>
      </c>
      <c r="J1676" s="103">
        <v>1.5446469200388791E-3</v>
      </c>
      <c r="K1676" s="103"/>
      <c r="L1676" s="103">
        <v>4.24E-2</v>
      </c>
      <c r="O1676" s="100"/>
    </row>
    <row r="1677" spans="2:15" x14ac:dyDescent="0.2">
      <c r="B1677" s="1">
        <v>1662</v>
      </c>
      <c r="C1677" s="101">
        <f t="shared" ca="1" si="100"/>
        <v>-0.75652337877797349</v>
      </c>
      <c r="D1677" s="101">
        <f t="shared" ca="1" si="101"/>
        <v>0.61671910876237734</v>
      </c>
      <c r="E1677" s="101">
        <f t="shared" ca="1" si="102"/>
        <v>0</v>
      </c>
      <c r="F1677" s="21">
        <f t="shared" ca="1" si="103"/>
        <v>0</v>
      </c>
      <c r="H1677" s="21">
        <v>1662</v>
      </c>
      <c r="I1677" s="102">
        <v>0.6677279781816059</v>
      </c>
      <c r="J1677" s="103">
        <v>1.3453547625309878E-3</v>
      </c>
      <c r="K1677" s="103"/>
      <c r="L1677" s="103">
        <v>0.04</v>
      </c>
      <c r="O1677" s="100"/>
    </row>
    <row r="1678" spans="2:15" x14ac:dyDescent="0.2">
      <c r="B1678" s="1">
        <v>1663</v>
      </c>
      <c r="C1678" s="101">
        <f t="shared" ca="1" si="100"/>
        <v>0.39658060508932802</v>
      </c>
      <c r="D1678" s="101">
        <f t="shared" ca="1" si="101"/>
        <v>0.691012126446096</v>
      </c>
      <c r="E1678" s="101">
        <f t="shared" ca="1" si="102"/>
        <v>0</v>
      </c>
      <c r="F1678" s="21">
        <f t="shared" ca="1" si="103"/>
        <v>0</v>
      </c>
      <c r="H1678" s="21">
        <v>1663</v>
      </c>
      <c r="I1678" s="102">
        <v>0.66779707843786873</v>
      </c>
      <c r="J1678" s="103">
        <v>1.3939295150834606E-3</v>
      </c>
      <c r="K1678" s="103"/>
      <c r="L1678" s="103">
        <v>4.3799999999999999E-2</v>
      </c>
      <c r="O1678" s="100"/>
    </row>
    <row r="1679" spans="2:15" x14ac:dyDescent="0.2">
      <c r="B1679" s="1">
        <v>1664</v>
      </c>
      <c r="C1679" s="101">
        <f t="shared" ca="1" si="100"/>
        <v>1.2478745076547628</v>
      </c>
      <c r="D1679" s="101">
        <f t="shared" ca="1" si="101"/>
        <v>0.75154428172299659</v>
      </c>
      <c r="E1679" s="101">
        <f t="shared" ca="1" si="102"/>
        <v>0</v>
      </c>
      <c r="F1679" s="21">
        <f t="shared" ca="1" si="103"/>
        <v>0</v>
      </c>
      <c r="H1679" s="21">
        <v>1664</v>
      </c>
      <c r="I1679" s="102">
        <v>0.66763866889420309</v>
      </c>
      <c r="J1679" s="103">
        <v>1.2834174418612275E-3</v>
      </c>
      <c r="K1679" s="103"/>
      <c r="L1679" s="103">
        <v>3.9199999999999999E-2</v>
      </c>
      <c r="O1679" s="100"/>
    </row>
    <row r="1680" spans="2:15" x14ac:dyDescent="0.2">
      <c r="B1680" s="1">
        <v>1665</v>
      </c>
      <c r="C1680" s="101">
        <f t="shared" ref="C1680:C1743" ca="1" si="104">_xlfn.NORM.S.INV(RAND())</f>
        <v>-1.1082916726840917</v>
      </c>
      <c r="D1680" s="101">
        <f t="shared" ref="D1680:D1743" ca="1" si="105">S0*EXP((μ-0.5*σ*σ)*T+σ*SQRT(T)*$C1680)</f>
        <v>0.59568665141605026</v>
      </c>
      <c r="E1680" s="101">
        <f t="shared" ref="E1680:E1743" ca="1" si="106">MAX(0,CP*(D1680-K))</f>
        <v>0</v>
      </c>
      <c r="F1680" s="21">
        <f t="shared" ref="F1680:F1743" ca="1" si="107">(CP*(D1680-K)&gt;0)*1</f>
        <v>0</v>
      </c>
      <c r="H1680" s="21">
        <v>1665</v>
      </c>
      <c r="I1680" s="102">
        <v>0.66789788904339864</v>
      </c>
      <c r="J1680" s="103">
        <v>1.4253021366756524E-3</v>
      </c>
      <c r="K1680" s="103"/>
      <c r="L1680" s="103">
        <v>4.2799999999999998E-2</v>
      </c>
      <c r="O1680" s="100"/>
    </row>
    <row r="1681" spans="2:15" x14ac:dyDescent="0.2">
      <c r="B1681" s="1">
        <v>1666</v>
      </c>
      <c r="C1681" s="101">
        <f t="shared" ca="1" si="104"/>
        <v>0.39416961549040597</v>
      </c>
      <c r="D1681" s="101">
        <f t="shared" ca="1" si="105"/>
        <v>0.69084780726395956</v>
      </c>
      <c r="E1681" s="101">
        <f t="shared" ca="1" si="106"/>
        <v>0</v>
      </c>
      <c r="F1681" s="21">
        <f t="shared" ca="1" si="107"/>
        <v>0</v>
      </c>
      <c r="H1681" s="21">
        <v>1666</v>
      </c>
      <c r="I1681" s="102">
        <v>0.66789627371784432</v>
      </c>
      <c r="J1681" s="103">
        <v>1.6080588583708047E-3</v>
      </c>
      <c r="K1681" s="103"/>
      <c r="L1681" s="103">
        <v>4.7399999999999998E-2</v>
      </c>
      <c r="O1681" s="100"/>
    </row>
    <row r="1682" spans="2:15" x14ac:dyDescent="0.2">
      <c r="B1682" s="1">
        <v>1667</v>
      </c>
      <c r="C1682" s="101">
        <f t="shared" ca="1" si="104"/>
        <v>1.5821601442973148</v>
      </c>
      <c r="D1682" s="101">
        <f t="shared" ca="1" si="105"/>
        <v>0.7767390960719609</v>
      </c>
      <c r="E1682" s="101">
        <f t="shared" ca="1" si="106"/>
        <v>0</v>
      </c>
      <c r="F1682" s="21">
        <f t="shared" ca="1" si="107"/>
        <v>0</v>
      </c>
      <c r="H1682" s="21">
        <v>1667</v>
      </c>
      <c r="I1682" s="102">
        <v>0.66773135276703277</v>
      </c>
      <c r="J1682" s="103">
        <v>1.4534212713531527E-3</v>
      </c>
      <c r="K1682" s="103"/>
      <c r="L1682" s="103">
        <v>4.2000000000000003E-2</v>
      </c>
      <c r="O1682" s="100"/>
    </row>
    <row r="1683" spans="2:15" x14ac:dyDescent="0.2">
      <c r="B1683" s="1">
        <v>1668</v>
      </c>
      <c r="C1683" s="101">
        <f t="shared" ca="1" si="104"/>
        <v>2.1692559229703212</v>
      </c>
      <c r="D1683" s="101">
        <f t="shared" ca="1" si="105"/>
        <v>0.82304955890743692</v>
      </c>
      <c r="E1683" s="101">
        <f t="shared" ca="1" si="106"/>
        <v>3.4849558907436906E-2</v>
      </c>
      <c r="F1683" s="21">
        <f t="shared" ca="1" si="107"/>
        <v>1</v>
      </c>
      <c r="H1683" s="21">
        <v>1668</v>
      </c>
      <c r="I1683" s="102">
        <v>0.66763249816676307</v>
      </c>
      <c r="J1683" s="103">
        <v>1.2151270011681707E-3</v>
      </c>
      <c r="K1683" s="103"/>
      <c r="L1683" s="103">
        <v>4.2000000000000003E-2</v>
      </c>
      <c r="O1683" s="100"/>
    </row>
    <row r="1684" spans="2:15" x14ac:dyDescent="0.2">
      <c r="B1684" s="1">
        <v>1669</v>
      </c>
      <c r="C1684" s="101">
        <f t="shared" ca="1" si="104"/>
        <v>0.3197288026963187</v>
      </c>
      <c r="D1684" s="101">
        <f t="shared" ca="1" si="105"/>
        <v>0.68579353227493411</v>
      </c>
      <c r="E1684" s="101">
        <f t="shared" ca="1" si="106"/>
        <v>0</v>
      </c>
      <c r="F1684" s="21">
        <f t="shared" ca="1" si="107"/>
        <v>0</v>
      </c>
      <c r="H1684" s="21">
        <v>1669</v>
      </c>
      <c r="I1684" s="102">
        <v>0.66767678722021806</v>
      </c>
      <c r="J1684" s="103">
        <v>1.276667320895335E-3</v>
      </c>
      <c r="K1684" s="103"/>
      <c r="L1684" s="103">
        <v>4.24E-2</v>
      </c>
      <c r="O1684" s="100"/>
    </row>
    <row r="1685" spans="2:15" x14ac:dyDescent="0.2">
      <c r="B1685" s="1">
        <v>1670</v>
      </c>
      <c r="C1685" s="101">
        <f t="shared" ca="1" si="104"/>
        <v>5.590699436195639E-2</v>
      </c>
      <c r="D1685" s="101">
        <f t="shared" ca="1" si="105"/>
        <v>0.6681768447329598</v>
      </c>
      <c r="E1685" s="101">
        <f t="shared" ca="1" si="106"/>
        <v>0</v>
      </c>
      <c r="F1685" s="21">
        <f t="shared" ca="1" si="107"/>
        <v>0</v>
      </c>
      <c r="H1685" s="21">
        <v>1670</v>
      </c>
      <c r="I1685" s="102">
        <v>0.66779743940980862</v>
      </c>
      <c r="J1685" s="103">
        <v>1.2686965217335285E-3</v>
      </c>
      <c r="K1685" s="103"/>
      <c r="L1685" s="103">
        <v>4.0599999999999997E-2</v>
      </c>
      <c r="O1685" s="100"/>
    </row>
    <row r="1686" spans="2:15" x14ac:dyDescent="0.2">
      <c r="B1686" s="1">
        <v>1671</v>
      </c>
      <c r="C1686" s="101">
        <f t="shared" ca="1" si="104"/>
        <v>-0.79811251263965843</v>
      </c>
      <c r="D1686" s="101">
        <f t="shared" ca="1" si="105"/>
        <v>0.61419425831107499</v>
      </c>
      <c r="E1686" s="101">
        <f t="shared" ca="1" si="106"/>
        <v>0</v>
      </c>
      <c r="F1686" s="21">
        <f t="shared" ca="1" si="107"/>
        <v>0</v>
      </c>
      <c r="H1686" s="21">
        <v>1671</v>
      </c>
      <c r="I1686" s="102">
        <v>0.66767691878912405</v>
      </c>
      <c r="J1686" s="103">
        <v>1.3917216651788858E-3</v>
      </c>
      <c r="K1686" s="103"/>
      <c r="L1686" s="103">
        <v>4.2200000000000001E-2</v>
      </c>
      <c r="O1686" s="100"/>
    </row>
    <row r="1687" spans="2:15" x14ac:dyDescent="0.2">
      <c r="B1687" s="1">
        <v>1672</v>
      </c>
      <c r="C1687" s="101">
        <f t="shared" ca="1" si="104"/>
        <v>6.7094057459005124E-2</v>
      </c>
      <c r="D1687" s="101">
        <f t="shared" ca="1" si="105"/>
        <v>0.6689145893597277</v>
      </c>
      <c r="E1687" s="101">
        <f t="shared" ca="1" si="106"/>
        <v>0</v>
      </c>
      <c r="F1687" s="21">
        <f t="shared" ca="1" si="107"/>
        <v>0</v>
      </c>
      <c r="H1687" s="21">
        <v>1672</v>
      </c>
      <c r="I1687" s="102">
        <v>0.66771832376746199</v>
      </c>
      <c r="J1687" s="103">
        <v>1.3894995287662187E-3</v>
      </c>
      <c r="K1687" s="103"/>
      <c r="L1687" s="103">
        <v>4.02E-2</v>
      </c>
      <c r="O1687" s="100"/>
    </row>
    <row r="1688" spans="2:15" x14ac:dyDescent="0.2">
      <c r="B1688" s="1">
        <v>1673</v>
      </c>
      <c r="C1688" s="101">
        <f t="shared" ca="1" si="104"/>
        <v>0.99105516313148634</v>
      </c>
      <c r="D1688" s="101">
        <f t="shared" ca="1" si="105"/>
        <v>0.73274454226992303</v>
      </c>
      <c r="E1688" s="101">
        <f t="shared" ca="1" si="106"/>
        <v>0</v>
      </c>
      <c r="F1688" s="21">
        <f t="shared" ca="1" si="107"/>
        <v>0</v>
      </c>
      <c r="H1688" s="21">
        <v>1673</v>
      </c>
      <c r="I1688" s="102">
        <v>0.66766410035772583</v>
      </c>
      <c r="J1688" s="103">
        <v>1.183821600853515E-3</v>
      </c>
      <c r="K1688" s="103"/>
      <c r="L1688" s="103">
        <v>3.6799999999999999E-2</v>
      </c>
      <c r="O1688" s="100"/>
    </row>
    <row r="1689" spans="2:15" x14ac:dyDescent="0.2">
      <c r="B1689" s="1">
        <v>1674</v>
      </c>
      <c r="C1689" s="101">
        <f t="shared" ca="1" si="104"/>
        <v>-0.27512681299429703</v>
      </c>
      <c r="D1689" s="101">
        <f t="shared" ca="1" si="105"/>
        <v>0.64671083492869608</v>
      </c>
      <c r="E1689" s="101">
        <f t="shared" ca="1" si="106"/>
        <v>0</v>
      </c>
      <c r="F1689" s="21">
        <f t="shared" ca="1" si="107"/>
        <v>0</v>
      </c>
      <c r="H1689" s="21">
        <v>1674</v>
      </c>
      <c r="I1689" s="102">
        <v>0.66769808382110796</v>
      </c>
      <c r="J1689" s="103">
        <v>1.3215121480695234E-3</v>
      </c>
      <c r="K1689" s="103"/>
      <c r="L1689" s="103">
        <v>3.9399999999999998E-2</v>
      </c>
      <c r="O1689" s="100"/>
    </row>
    <row r="1690" spans="2:15" x14ac:dyDescent="0.2">
      <c r="B1690" s="1">
        <v>1675</v>
      </c>
      <c r="C1690" s="101">
        <f t="shared" ca="1" si="104"/>
        <v>0.5287769800250216</v>
      </c>
      <c r="D1690" s="101">
        <f t="shared" ca="1" si="105"/>
        <v>0.70008194916355837</v>
      </c>
      <c r="E1690" s="101">
        <f t="shared" ca="1" si="106"/>
        <v>0</v>
      </c>
      <c r="F1690" s="21">
        <f t="shared" ca="1" si="107"/>
        <v>0</v>
      </c>
      <c r="H1690" s="21">
        <v>1675</v>
      </c>
      <c r="I1690" s="102">
        <v>0.66799689451388189</v>
      </c>
      <c r="J1690" s="103">
        <v>1.6013947396472162E-3</v>
      </c>
      <c r="K1690" s="103"/>
      <c r="L1690" s="103">
        <v>4.8000000000000001E-2</v>
      </c>
      <c r="O1690" s="100"/>
    </row>
    <row r="1691" spans="2:15" x14ac:dyDescent="0.2">
      <c r="B1691" s="1">
        <v>1676</v>
      </c>
      <c r="C1691" s="101">
        <f t="shared" ca="1" si="104"/>
        <v>-0.17560458626984374</v>
      </c>
      <c r="D1691" s="101">
        <f t="shared" ca="1" si="105"/>
        <v>0.6530908631763972</v>
      </c>
      <c r="E1691" s="101">
        <f t="shared" ca="1" si="106"/>
        <v>0</v>
      </c>
      <c r="F1691" s="21">
        <f t="shared" ca="1" si="107"/>
        <v>0</v>
      </c>
      <c r="H1691" s="21">
        <v>1676</v>
      </c>
      <c r="I1691" s="102">
        <v>0.667772929778774</v>
      </c>
      <c r="J1691" s="103">
        <v>1.4899909370827634E-3</v>
      </c>
      <c r="K1691" s="103"/>
      <c r="L1691" s="103">
        <v>4.3799999999999999E-2</v>
      </c>
      <c r="O1691" s="100"/>
    </row>
    <row r="1692" spans="2:15" x14ac:dyDescent="0.2">
      <c r="B1692" s="1">
        <v>1677</v>
      </c>
      <c r="C1692" s="101">
        <f t="shared" ca="1" si="104"/>
        <v>1.4226545845505774</v>
      </c>
      <c r="D1692" s="101">
        <f t="shared" ca="1" si="105"/>
        <v>0.76461364757859829</v>
      </c>
      <c r="E1692" s="101">
        <f t="shared" ca="1" si="106"/>
        <v>0</v>
      </c>
      <c r="F1692" s="21">
        <f t="shared" ca="1" si="107"/>
        <v>0</v>
      </c>
      <c r="H1692" s="21">
        <v>1677</v>
      </c>
      <c r="I1692" s="102">
        <v>0.66772772997157892</v>
      </c>
      <c r="J1692" s="103">
        <v>1.4415729997679261E-3</v>
      </c>
      <c r="K1692" s="103"/>
      <c r="L1692" s="103">
        <v>4.1200000000000001E-2</v>
      </c>
      <c r="O1692" s="100"/>
    </row>
    <row r="1693" spans="2:15" x14ac:dyDescent="0.2">
      <c r="B1693" s="1">
        <v>1678</v>
      </c>
      <c r="C1693" s="101">
        <f t="shared" ca="1" si="104"/>
        <v>-1.2888651743587671</v>
      </c>
      <c r="D1693" s="101">
        <f t="shared" ca="1" si="105"/>
        <v>0.58517021255773793</v>
      </c>
      <c r="E1693" s="101">
        <f t="shared" ca="1" si="106"/>
        <v>0</v>
      </c>
      <c r="F1693" s="21">
        <f t="shared" ca="1" si="107"/>
        <v>0</v>
      </c>
      <c r="H1693" s="21">
        <v>1678</v>
      </c>
      <c r="I1693" s="102">
        <v>0.667809886695648</v>
      </c>
      <c r="J1693" s="103">
        <v>1.3892715005017586E-3</v>
      </c>
      <c r="K1693" s="103"/>
      <c r="L1693" s="103">
        <v>4.7199999999999999E-2</v>
      </c>
      <c r="O1693" s="100"/>
    </row>
    <row r="1694" spans="2:15" x14ac:dyDescent="0.2">
      <c r="B1694" s="1">
        <v>1679</v>
      </c>
      <c r="C1694" s="101">
        <f t="shared" ca="1" si="104"/>
        <v>-0.48847033684442198</v>
      </c>
      <c r="D1694" s="101">
        <f t="shared" ca="1" si="105"/>
        <v>0.63324334177534514</v>
      </c>
      <c r="E1694" s="101">
        <f t="shared" ca="1" si="106"/>
        <v>0</v>
      </c>
      <c r="F1694" s="21">
        <f t="shared" ca="1" si="107"/>
        <v>0</v>
      </c>
      <c r="H1694" s="21">
        <v>1679</v>
      </c>
      <c r="I1694" s="102">
        <v>0.66768497611535294</v>
      </c>
      <c r="J1694" s="103">
        <v>1.3703508657552429E-3</v>
      </c>
      <c r="K1694" s="103"/>
      <c r="L1694" s="103">
        <v>3.9800000000000002E-2</v>
      </c>
      <c r="O1694" s="100"/>
    </row>
    <row r="1695" spans="2:15" x14ac:dyDescent="0.2">
      <c r="B1695" s="1">
        <v>1680</v>
      </c>
      <c r="C1695" s="101">
        <f t="shared" ca="1" si="104"/>
        <v>-0.96671191099264708</v>
      </c>
      <c r="D1695" s="101">
        <f t="shared" ca="1" si="105"/>
        <v>0.60406414434709788</v>
      </c>
      <c r="E1695" s="101">
        <f t="shared" ca="1" si="106"/>
        <v>0</v>
      </c>
      <c r="F1695" s="21">
        <f t="shared" ca="1" si="107"/>
        <v>0</v>
      </c>
      <c r="H1695" s="21">
        <v>1680</v>
      </c>
      <c r="I1695" s="102">
        <v>0.66792325449043621</v>
      </c>
      <c r="J1695" s="103">
        <v>1.7710129478553636E-3</v>
      </c>
      <c r="K1695" s="103"/>
      <c r="L1695" s="103">
        <v>4.8399999999999999E-2</v>
      </c>
      <c r="O1695" s="100"/>
    </row>
    <row r="1696" spans="2:15" x14ac:dyDescent="0.2">
      <c r="B1696" s="1">
        <v>1681</v>
      </c>
      <c r="C1696" s="101">
        <f t="shared" ca="1" si="104"/>
        <v>-0.98139524880345996</v>
      </c>
      <c r="D1696" s="101">
        <f t="shared" ca="1" si="105"/>
        <v>0.60318986086273085</v>
      </c>
      <c r="E1696" s="101">
        <f t="shared" ca="1" si="106"/>
        <v>0</v>
      </c>
      <c r="F1696" s="21">
        <f t="shared" ca="1" si="107"/>
        <v>0</v>
      </c>
      <c r="H1696" s="21">
        <v>1681</v>
      </c>
      <c r="I1696" s="102">
        <v>0.66782409790441333</v>
      </c>
      <c r="J1696" s="103">
        <v>1.4306391028032809E-3</v>
      </c>
      <c r="K1696" s="103"/>
      <c r="L1696" s="103">
        <v>4.7E-2</v>
      </c>
      <c r="O1696" s="100"/>
    </row>
    <row r="1697" spans="2:15" x14ac:dyDescent="0.2">
      <c r="B1697" s="1">
        <v>1682</v>
      </c>
      <c r="C1697" s="101">
        <f t="shared" ca="1" si="104"/>
        <v>-1.2011441528881261</v>
      </c>
      <c r="D1697" s="101">
        <f t="shared" ca="1" si="105"/>
        <v>0.59025561238203261</v>
      </c>
      <c r="E1697" s="101">
        <f t="shared" ca="1" si="106"/>
        <v>0</v>
      </c>
      <c r="F1697" s="21">
        <f t="shared" ca="1" si="107"/>
        <v>0</v>
      </c>
      <c r="H1697" s="21">
        <v>1682</v>
      </c>
      <c r="I1697" s="102">
        <v>0.66774062051423277</v>
      </c>
      <c r="J1697" s="103">
        <v>1.354959785272541E-3</v>
      </c>
      <c r="K1697" s="103"/>
      <c r="L1697" s="103">
        <v>3.8800000000000001E-2</v>
      </c>
      <c r="O1697" s="100"/>
    </row>
    <row r="1698" spans="2:15" x14ac:dyDescent="0.2">
      <c r="B1698" s="1">
        <v>1683</v>
      </c>
      <c r="C1698" s="101">
        <f t="shared" ca="1" si="104"/>
        <v>-0.34473177426617607</v>
      </c>
      <c r="D1698" s="101">
        <f t="shared" ca="1" si="105"/>
        <v>0.64228577486287941</v>
      </c>
      <c r="E1698" s="101">
        <f t="shared" ca="1" si="106"/>
        <v>0</v>
      </c>
      <c r="F1698" s="21">
        <f t="shared" ca="1" si="107"/>
        <v>0</v>
      </c>
      <c r="H1698" s="21">
        <v>1683</v>
      </c>
      <c r="I1698" s="102">
        <v>0.66764892656356456</v>
      </c>
      <c r="J1698" s="103">
        <v>1.259610083953264E-3</v>
      </c>
      <c r="K1698" s="103"/>
      <c r="L1698" s="103">
        <v>3.8399999999999997E-2</v>
      </c>
      <c r="O1698" s="100"/>
    </row>
    <row r="1699" spans="2:15" x14ac:dyDescent="0.2">
      <c r="B1699" s="1">
        <v>1684</v>
      </c>
      <c r="C1699" s="101">
        <f t="shared" ca="1" si="104"/>
        <v>0.14432864778393772</v>
      </c>
      <c r="D1699" s="101">
        <f t="shared" ca="1" si="105"/>
        <v>0.6740301920557733</v>
      </c>
      <c r="E1699" s="101">
        <f t="shared" ca="1" si="106"/>
        <v>0</v>
      </c>
      <c r="F1699" s="21">
        <f t="shared" ca="1" si="107"/>
        <v>0</v>
      </c>
      <c r="H1699" s="21">
        <v>1684</v>
      </c>
      <c r="I1699" s="102">
        <v>0.66793147279480258</v>
      </c>
      <c r="J1699" s="103">
        <v>1.6276493553704485E-3</v>
      </c>
      <c r="K1699" s="103"/>
      <c r="L1699" s="103">
        <v>5.0200000000000002E-2</v>
      </c>
      <c r="O1699" s="100"/>
    </row>
    <row r="1700" spans="2:15" x14ac:dyDescent="0.2">
      <c r="B1700" s="1">
        <v>1685</v>
      </c>
      <c r="C1700" s="101">
        <f t="shared" ca="1" si="104"/>
        <v>-1.275443767350581</v>
      </c>
      <c r="D1700" s="101">
        <f t="shared" ca="1" si="105"/>
        <v>0.58594543559865464</v>
      </c>
      <c r="E1700" s="101">
        <f t="shared" ca="1" si="106"/>
        <v>0</v>
      </c>
      <c r="F1700" s="21">
        <f t="shared" ca="1" si="107"/>
        <v>0</v>
      </c>
      <c r="H1700" s="21">
        <v>1685</v>
      </c>
      <c r="I1700" s="102">
        <v>0.6678497301225701</v>
      </c>
      <c r="J1700" s="103">
        <v>1.5420278734431306E-3</v>
      </c>
      <c r="K1700" s="103"/>
      <c r="L1700" s="103">
        <v>4.2999999999999997E-2</v>
      </c>
      <c r="O1700" s="100"/>
    </row>
    <row r="1701" spans="2:15" x14ac:dyDescent="0.2">
      <c r="B1701" s="1">
        <v>1686</v>
      </c>
      <c r="C1701" s="101">
        <f t="shared" ca="1" si="104"/>
        <v>0.8004127116409695</v>
      </c>
      <c r="D1701" s="101">
        <f t="shared" ca="1" si="105"/>
        <v>0.719093871142931</v>
      </c>
      <c r="E1701" s="101">
        <f t="shared" ca="1" si="106"/>
        <v>0</v>
      </c>
      <c r="F1701" s="21">
        <f t="shared" ca="1" si="107"/>
        <v>0</v>
      </c>
      <c r="H1701" s="21">
        <v>1686</v>
      </c>
      <c r="I1701" s="102">
        <v>0.66784726425531027</v>
      </c>
      <c r="J1701" s="103">
        <v>1.4509024325916027E-3</v>
      </c>
      <c r="K1701" s="103"/>
      <c r="L1701" s="103">
        <v>4.4999999999999998E-2</v>
      </c>
      <c r="O1701" s="100"/>
    </row>
    <row r="1702" spans="2:15" x14ac:dyDescent="0.2">
      <c r="B1702" s="1">
        <v>1687</v>
      </c>
      <c r="C1702" s="101">
        <f t="shared" ca="1" si="104"/>
        <v>1.1120955307051592</v>
      </c>
      <c r="D1702" s="101">
        <f t="shared" ca="1" si="105"/>
        <v>0.74154564223492192</v>
      </c>
      <c r="E1702" s="101">
        <f t="shared" ca="1" si="106"/>
        <v>0</v>
      </c>
      <c r="F1702" s="21">
        <f t="shared" ca="1" si="107"/>
        <v>0</v>
      </c>
      <c r="H1702" s="21">
        <v>1687</v>
      </c>
      <c r="I1702" s="102">
        <v>0.66783356404026573</v>
      </c>
      <c r="J1702" s="103">
        <v>1.6302834940662215E-3</v>
      </c>
      <c r="K1702" s="103"/>
      <c r="L1702" s="103">
        <v>4.8599999999999997E-2</v>
      </c>
      <c r="O1702" s="100"/>
    </row>
    <row r="1703" spans="2:15" x14ac:dyDescent="0.2">
      <c r="B1703" s="1">
        <v>1688</v>
      </c>
      <c r="C1703" s="101">
        <f t="shared" ca="1" si="104"/>
        <v>-1.7127844030975981</v>
      </c>
      <c r="D1703" s="101">
        <f t="shared" ca="1" si="105"/>
        <v>0.56120531098565918</v>
      </c>
      <c r="E1703" s="101">
        <f t="shared" ca="1" si="106"/>
        <v>0</v>
      </c>
      <c r="F1703" s="21">
        <f t="shared" ca="1" si="107"/>
        <v>0</v>
      </c>
      <c r="H1703" s="21">
        <v>1688</v>
      </c>
      <c r="I1703" s="102">
        <v>0.66782876793181389</v>
      </c>
      <c r="J1703" s="103">
        <v>1.546473577342304E-3</v>
      </c>
      <c r="K1703" s="103"/>
      <c r="L1703" s="103">
        <v>4.3999999999999997E-2</v>
      </c>
      <c r="O1703" s="100"/>
    </row>
    <row r="1704" spans="2:15" x14ac:dyDescent="0.2">
      <c r="B1704" s="1">
        <v>1689</v>
      </c>
      <c r="C1704" s="101">
        <f t="shared" ca="1" si="104"/>
        <v>-0.45803363123038576</v>
      </c>
      <c r="D1704" s="101">
        <f t="shared" ca="1" si="105"/>
        <v>0.63514739587826829</v>
      </c>
      <c r="E1704" s="101">
        <f t="shared" ca="1" si="106"/>
        <v>0</v>
      </c>
      <c r="F1704" s="21">
        <f t="shared" ca="1" si="107"/>
        <v>0</v>
      </c>
      <c r="H1704" s="21">
        <v>1689</v>
      </c>
      <c r="I1704" s="102">
        <v>0.6676901511413873</v>
      </c>
      <c r="J1704" s="103">
        <v>1.2680196299564028E-3</v>
      </c>
      <c r="K1704" s="103"/>
      <c r="L1704" s="103">
        <v>3.9800000000000002E-2</v>
      </c>
      <c r="O1704" s="100"/>
    </row>
    <row r="1705" spans="2:15" x14ac:dyDescent="0.2">
      <c r="B1705" s="1">
        <v>1690</v>
      </c>
      <c r="C1705" s="101">
        <f t="shared" ca="1" si="104"/>
        <v>0.7425539949704123</v>
      </c>
      <c r="D1705" s="101">
        <f t="shared" ca="1" si="105"/>
        <v>0.71500150429253162</v>
      </c>
      <c r="E1705" s="101">
        <f t="shared" ca="1" si="106"/>
        <v>0</v>
      </c>
      <c r="F1705" s="21">
        <f t="shared" ca="1" si="107"/>
        <v>0</v>
      </c>
      <c r="H1705" s="21">
        <v>1690</v>
      </c>
      <c r="I1705" s="102">
        <v>0.66774279397565051</v>
      </c>
      <c r="J1705" s="103">
        <v>1.2855226140899585E-3</v>
      </c>
      <c r="K1705" s="103"/>
      <c r="L1705" s="103">
        <v>4.3999999999999997E-2</v>
      </c>
      <c r="O1705" s="100"/>
    </row>
    <row r="1706" spans="2:15" x14ac:dyDescent="0.2">
      <c r="B1706" s="1">
        <v>1691</v>
      </c>
      <c r="C1706" s="101">
        <f t="shared" ca="1" si="104"/>
        <v>-0.53919517769065683</v>
      </c>
      <c r="D1706" s="101">
        <f t="shared" ca="1" si="105"/>
        <v>0.63008278083625835</v>
      </c>
      <c r="E1706" s="101">
        <f t="shared" ca="1" si="106"/>
        <v>0</v>
      </c>
      <c r="F1706" s="21">
        <f t="shared" ca="1" si="107"/>
        <v>0</v>
      </c>
      <c r="H1706" s="21">
        <v>1691</v>
      </c>
      <c r="I1706" s="102">
        <v>0.66781584641310388</v>
      </c>
      <c r="J1706" s="103">
        <v>1.5158515415454445E-3</v>
      </c>
      <c r="K1706" s="103"/>
      <c r="L1706" s="103">
        <v>4.1799999999999997E-2</v>
      </c>
      <c r="O1706" s="100"/>
    </row>
    <row r="1707" spans="2:15" x14ac:dyDescent="0.2">
      <c r="B1707" s="1">
        <v>1692</v>
      </c>
      <c r="C1707" s="101">
        <f t="shared" ca="1" si="104"/>
        <v>0.43303540309824812</v>
      </c>
      <c r="D1707" s="101">
        <f t="shared" ca="1" si="105"/>
        <v>0.69350144427835037</v>
      </c>
      <c r="E1707" s="101">
        <f t="shared" ca="1" si="106"/>
        <v>0</v>
      </c>
      <c r="F1707" s="21">
        <f t="shared" ca="1" si="107"/>
        <v>0</v>
      </c>
      <c r="H1707" s="21">
        <v>1692</v>
      </c>
      <c r="I1707" s="102">
        <v>0.6676912951937426</v>
      </c>
      <c r="J1707" s="103">
        <v>1.2457260166712765E-3</v>
      </c>
      <c r="K1707" s="103"/>
      <c r="L1707" s="103">
        <v>3.9399999999999998E-2</v>
      </c>
      <c r="O1707" s="100"/>
    </row>
    <row r="1708" spans="2:15" x14ac:dyDescent="0.2">
      <c r="B1708" s="1">
        <v>1693</v>
      </c>
      <c r="C1708" s="101">
        <f t="shared" ca="1" si="104"/>
        <v>2.7930579321636522</v>
      </c>
      <c r="D1708" s="101">
        <f t="shared" ca="1" si="105"/>
        <v>0.87528458497591177</v>
      </c>
      <c r="E1708" s="101">
        <f t="shared" ca="1" si="106"/>
        <v>8.7084584975911761E-2</v>
      </c>
      <c r="F1708" s="21">
        <f t="shared" ca="1" si="107"/>
        <v>1</v>
      </c>
      <c r="H1708" s="21">
        <v>1693</v>
      </c>
      <c r="I1708" s="102">
        <v>0.66769339406138994</v>
      </c>
      <c r="J1708" s="103">
        <v>1.2509954025885174E-3</v>
      </c>
      <c r="K1708" s="103"/>
      <c r="L1708" s="103">
        <v>4.0399999999999998E-2</v>
      </c>
      <c r="O1708" s="100"/>
    </row>
    <row r="1709" spans="2:15" x14ac:dyDescent="0.2">
      <c r="B1709" s="1">
        <v>1694</v>
      </c>
      <c r="C1709" s="101">
        <f t="shared" ca="1" si="104"/>
        <v>5.2648462029448399E-3</v>
      </c>
      <c r="D1709" s="101">
        <f t="shared" ca="1" si="105"/>
        <v>0.66484735136736683</v>
      </c>
      <c r="E1709" s="101">
        <f t="shared" ca="1" si="106"/>
        <v>0</v>
      </c>
      <c r="F1709" s="21">
        <f t="shared" ca="1" si="107"/>
        <v>0</v>
      </c>
      <c r="H1709" s="21">
        <v>1694</v>
      </c>
      <c r="I1709" s="102">
        <v>0.66760960902758937</v>
      </c>
      <c r="J1709" s="103">
        <v>1.2610775706979607E-3</v>
      </c>
      <c r="K1709" s="103"/>
      <c r="L1709" s="103">
        <v>3.9800000000000002E-2</v>
      </c>
      <c r="O1709" s="100"/>
    </row>
    <row r="1710" spans="2:15" x14ac:dyDescent="0.2">
      <c r="B1710" s="1">
        <v>1695</v>
      </c>
      <c r="C1710" s="101">
        <f t="shared" ca="1" si="104"/>
        <v>1.6395826574136887</v>
      </c>
      <c r="D1710" s="101">
        <f t="shared" ca="1" si="105"/>
        <v>0.78115121098124607</v>
      </c>
      <c r="E1710" s="101">
        <f t="shared" ca="1" si="106"/>
        <v>0</v>
      </c>
      <c r="F1710" s="21">
        <f t="shared" ca="1" si="107"/>
        <v>0</v>
      </c>
      <c r="H1710" s="21">
        <v>1695</v>
      </c>
      <c r="I1710" s="102">
        <v>0.66763262049197092</v>
      </c>
      <c r="J1710" s="103">
        <v>1.3461845620143897E-3</v>
      </c>
      <c r="K1710" s="103"/>
      <c r="L1710" s="103">
        <v>3.9E-2</v>
      </c>
      <c r="O1710" s="100"/>
    </row>
    <row r="1711" spans="2:15" x14ac:dyDescent="0.2">
      <c r="B1711" s="1">
        <v>1696</v>
      </c>
      <c r="C1711" s="101">
        <f t="shared" ca="1" si="104"/>
        <v>-0.21998641808724767</v>
      </c>
      <c r="D1711" s="101">
        <f t="shared" ca="1" si="105"/>
        <v>0.65023795736518553</v>
      </c>
      <c r="E1711" s="101">
        <f t="shared" ca="1" si="106"/>
        <v>0</v>
      </c>
      <c r="F1711" s="21">
        <f t="shared" ca="1" si="107"/>
        <v>0</v>
      </c>
      <c r="H1711" s="21">
        <v>1696</v>
      </c>
      <c r="I1711" s="102">
        <v>0.66771288738156986</v>
      </c>
      <c r="J1711" s="103">
        <v>1.3185333936109791E-3</v>
      </c>
      <c r="K1711" s="103"/>
      <c r="L1711" s="103">
        <v>4.1000000000000002E-2</v>
      </c>
      <c r="O1711" s="100"/>
    </row>
    <row r="1712" spans="2:15" x14ac:dyDescent="0.2">
      <c r="B1712" s="1">
        <v>1697</v>
      </c>
      <c r="C1712" s="101">
        <f t="shared" ca="1" si="104"/>
        <v>0.99198742335253454</v>
      </c>
      <c r="D1712" s="101">
        <f t="shared" ca="1" si="105"/>
        <v>0.73281192810511175</v>
      </c>
      <c r="E1712" s="101">
        <f t="shared" ca="1" si="106"/>
        <v>0</v>
      </c>
      <c r="F1712" s="21">
        <f t="shared" ca="1" si="107"/>
        <v>0</v>
      </c>
      <c r="H1712" s="21">
        <v>1697</v>
      </c>
      <c r="I1712" s="102">
        <v>0.66776161134945211</v>
      </c>
      <c r="J1712" s="103">
        <v>1.469649168908268E-3</v>
      </c>
      <c r="K1712" s="103"/>
      <c r="L1712" s="103">
        <v>4.4600000000000001E-2</v>
      </c>
      <c r="O1712" s="100"/>
    </row>
    <row r="1713" spans="2:15" x14ac:dyDescent="0.2">
      <c r="B1713" s="1">
        <v>1698</v>
      </c>
      <c r="C1713" s="101">
        <f t="shared" ca="1" si="104"/>
        <v>0.61638961510741763</v>
      </c>
      <c r="D1713" s="101">
        <f t="shared" ca="1" si="105"/>
        <v>0.70615843528625977</v>
      </c>
      <c r="E1713" s="101">
        <f t="shared" ca="1" si="106"/>
        <v>0</v>
      </c>
      <c r="F1713" s="21">
        <f t="shared" ca="1" si="107"/>
        <v>0</v>
      </c>
      <c r="H1713" s="21">
        <v>1698</v>
      </c>
      <c r="I1713" s="102">
        <v>0.66773150095817779</v>
      </c>
      <c r="J1713" s="103">
        <v>1.2217150270213599E-3</v>
      </c>
      <c r="K1713" s="103"/>
      <c r="L1713" s="103">
        <v>4.2000000000000003E-2</v>
      </c>
      <c r="O1713" s="100"/>
    </row>
    <row r="1714" spans="2:15" x14ac:dyDescent="0.2">
      <c r="B1714" s="1">
        <v>1699</v>
      </c>
      <c r="C1714" s="101">
        <f t="shared" ca="1" si="104"/>
        <v>1.1160488384260205</v>
      </c>
      <c r="D1714" s="101">
        <f t="shared" ca="1" si="105"/>
        <v>0.74183487140389903</v>
      </c>
      <c r="E1714" s="101">
        <f t="shared" ca="1" si="106"/>
        <v>0</v>
      </c>
      <c r="F1714" s="21">
        <f t="shared" ca="1" si="107"/>
        <v>0</v>
      </c>
      <c r="H1714" s="21">
        <v>1699</v>
      </c>
      <c r="I1714" s="102">
        <v>0.66766562180064071</v>
      </c>
      <c r="J1714" s="103">
        <v>1.2446301780583843E-3</v>
      </c>
      <c r="K1714" s="103"/>
      <c r="L1714" s="103">
        <v>3.9600000000000003E-2</v>
      </c>
      <c r="O1714" s="100"/>
    </row>
    <row r="1715" spans="2:15" x14ac:dyDescent="0.2">
      <c r="B1715" s="1">
        <v>1700</v>
      </c>
      <c r="C1715" s="101">
        <f t="shared" ca="1" si="104"/>
        <v>-0.13199720879660254</v>
      </c>
      <c r="D1715" s="101">
        <f t="shared" ca="1" si="105"/>
        <v>0.65590617736594337</v>
      </c>
      <c r="E1715" s="101">
        <f t="shared" ca="1" si="106"/>
        <v>0</v>
      </c>
      <c r="F1715" s="21">
        <f t="shared" ca="1" si="107"/>
        <v>0</v>
      </c>
      <c r="H1715" s="21">
        <v>1700</v>
      </c>
      <c r="I1715" s="102">
        <v>0.66780201466892009</v>
      </c>
      <c r="J1715" s="103">
        <v>1.522359586006275E-3</v>
      </c>
      <c r="K1715" s="103"/>
      <c r="L1715" s="103">
        <v>4.3799999999999999E-2</v>
      </c>
      <c r="O1715" s="100"/>
    </row>
    <row r="1716" spans="2:15" x14ac:dyDescent="0.2">
      <c r="B1716" s="1">
        <v>1701</v>
      </c>
      <c r="C1716" s="101">
        <f t="shared" ca="1" si="104"/>
        <v>-0.41014433822088947</v>
      </c>
      <c r="D1716" s="101">
        <f t="shared" ca="1" si="105"/>
        <v>0.63815484317754323</v>
      </c>
      <c r="E1716" s="101">
        <f t="shared" ca="1" si="106"/>
        <v>0</v>
      </c>
      <c r="F1716" s="21">
        <f t="shared" ca="1" si="107"/>
        <v>0</v>
      </c>
      <c r="H1716" s="21">
        <v>1701</v>
      </c>
      <c r="I1716" s="102">
        <v>0.66775218319446827</v>
      </c>
      <c r="J1716" s="103">
        <v>1.3832360964497554E-3</v>
      </c>
      <c r="K1716" s="103"/>
      <c r="L1716" s="103">
        <v>4.3999999999999997E-2</v>
      </c>
      <c r="O1716" s="100"/>
    </row>
    <row r="1717" spans="2:15" x14ac:dyDescent="0.2">
      <c r="B1717" s="1">
        <v>1702</v>
      </c>
      <c r="C1717" s="101">
        <f t="shared" ca="1" si="104"/>
        <v>0.29774102352431986</v>
      </c>
      <c r="D1717" s="101">
        <f t="shared" ca="1" si="105"/>
        <v>0.68430772402340534</v>
      </c>
      <c r="E1717" s="101">
        <f t="shared" ca="1" si="106"/>
        <v>0</v>
      </c>
      <c r="F1717" s="21">
        <f t="shared" ca="1" si="107"/>
        <v>0</v>
      </c>
      <c r="H1717" s="21">
        <v>1702</v>
      </c>
      <c r="I1717" s="102">
        <v>0.66773484569468344</v>
      </c>
      <c r="J1717" s="103">
        <v>1.242959712027598E-3</v>
      </c>
      <c r="K1717" s="103"/>
      <c r="L1717" s="103">
        <v>4.0800000000000003E-2</v>
      </c>
      <c r="O1717" s="100"/>
    </row>
    <row r="1718" spans="2:15" x14ac:dyDescent="0.2">
      <c r="B1718" s="1">
        <v>1703</v>
      </c>
      <c r="C1718" s="101">
        <f t="shared" ca="1" si="104"/>
        <v>-0.23667944582624345</v>
      </c>
      <c r="D1718" s="101">
        <f t="shared" ca="1" si="105"/>
        <v>0.64916814202023365</v>
      </c>
      <c r="E1718" s="101">
        <f t="shared" ca="1" si="106"/>
        <v>0</v>
      </c>
      <c r="F1718" s="21">
        <f t="shared" ca="1" si="107"/>
        <v>0</v>
      </c>
      <c r="H1718" s="21">
        <v>1703</v>
      </c>
      <c r="I1718" s="102">
        <v>0.66764614962183655</v>
      </c>
      <c r="J1718" s="103">
        <v>1.1883011580622062E-3</v>
      </c>
      <c r="K1718" s="103"/>
      <c r="L1718" s="103">
        <v>3.8199999999999998E-2</v>
      </c>
      <c r="O1718" s="100"/>
    </row>
    <row r="1719" spans="2:15" x14ac:dyDescent="0.2">
      <c r="B1719" s="1">
        <v>1704</v>
      </c>
      <c r="C1719" s="101">
        <f t="shared" ca="1" si="104"/>
        <v>1.6392840872535401</v>
      </c>
      <c r="D1719" s="101">
        <f t="shared" ca="1" si="105"/>
        <v>0.78112820535727978</v>
      </c>
      <c r="E1719" s="101">
        <f t="shared" ca="1" si="106"/>
        <v>0</v>
      </c>
      <c r="F1719" s="21">
        <f t="shared" ca="1" si="107"/>
        <v>0</v>
      </c>
      <c r="H1719" s="21">
        <v>1704</v>
      </c>
      <c r="I1719" s="102">
        <v>0.66796868404402909</v>
      </c>
      <c r="J1719" s="103">
        <v>1.6169679026410574E-3</v>
      </c>
      <c r="K1719" s="103"/>
      <c r="L1719" s="103">
        <v>4.7800000000000002E-2</v>
      </c>
      <c r="O1719" s="100"/>
    </row>
    <row r="1720" spans="2:15" x14ac:dyDescent="0.2">
      <c r="B1720" s="1">
        <v>1705</v>
      </c>
      <c r="C1720" s="101">
        <f t="shared" ca="1" si="104"/>
        <v>-1.6401887769890087</v>
      </c>
      <c r="D1720" s="101">
        <f t="shared" ca="1" si="105"/>
        <v>0.56523848566580914</v>
      </c>
      <c r="E1720" s="101">
        <f t="shared" ca="1" si="106"/>
        <v>0</v>
      </c>
      <c r="F1720" s="21">
        <f t="shared" ca="1" si="107"/>
        <v>0</v>
      </c>
      <c r="H1720" s="21">
        <v>1705</v>
      </c>
      <c r="I1720" s="102">
        <v>0.66772173796871104</v>
      </c>
      <c r="J1720" s="103">
        <v>1.26047573707203E-3</v>
      </c>
      <c r="K1720" s="103"/>
      <c r="L1720" s="103">
        <v>4.1000000000000002E-2</v>
      </c>
      <c r="O1720" s="100"/>
    </row>
    <row r="1721" spans="2:15" x14ac:dyDescent="0.2">
      <c r="B1721" s="1">
        <v>1706</v>
      </c>
      <c r="C1721" s="101">
        <f t="shared" ca="1" si="104"/>
        <v>-2.145554986355156</v>
      </c>
      <c r="D1721" s="101">
        <f t="shared" ca="1" si="105"/>
        <v>0.53775214002034299</v>
      </c>
      <c r="E1721" s="101">
        <f t="shared" ca="1" si="106"/>
        <v>0</v>
      </c>
      <c r="F1721" s="21">
        <f t="shared" ca="1" si="107"/>
        <v>0</v>
      </c>
      <c r="H1721" s="21">
        <v>1706</v>
      </c>
      <c r="I1721" s="102">
        <v>0.66776342626727569</v>
      </c>
      <c r="J1721" s="103">
        <v>1.275064812693475E-3</v>
      </c>
      <c r="K1721" s="103"/>
      <c r="L1721" s="103">
        <v>4.1599999999999998E-2</v>
      </c>
      <c r="O1721" s="100"/>
    </row>
    <row r="1722" spans="2:15" x14ac:dyDescent="0.2">
      <c r="B1722" s="1">
        <v>1707</v>
      </c>
      <c r="C1722" s="101">
        <f t="shared" ca="1" si="104"/>
        <v>0.4766759558663356</v>
      </c>
      <c r="D1722" s="101">
        <f t="shared" ca="1" si="105"/>
        <v>0.69649323778970451</v>
      </c>
      <c r="E1722" s="101">
        <f t="shared" ca="1" si="106"/>
        <v>0</v>
      </c>
      <c r="F1722" s="21">
        <f t="shared" ca="1" si="107"/>
        <v>0</v>
      </c>
      <c r="H1722" s="21">
        <v>1707</v>
      </c>
      <c r="I1722" s="102">
        <v>0.66771665050284346</v>
      </c>
      <c r="J1722" s="103">
        <v>1.3450406330556106E-3</v>
      </c>
      <c r="K1722" s="103"/>
      <c r="L1722" s="103">
        <v>4.02E-2</v>
      </c>
      <c r="O1722" s="100"/>
    </row>
    <row r="1723" spans="2:15" x14ac:dyDescent="0.2">
      <c r="B1723" s="1">
        <v>1708</v>
      </c>
      <c r="C1723" s="101">
        <f t="shared" ca="1" si="104"/>
        <v>-0.16305898907269903</v>
      </c>
      <c r="D1723" s="101">
        <f t="shared" ca="1" si="105"/>
        <v>0.65389957277659294</v>
      </c>
      <c r="E1723" s="101">
        <f t="shared" ca="1" si="106"/>
        <v>0</v>
      </c>
      <c r="F1723" s="21">
        <f t="shared" ca="1" si="107"/>
        <v>0</v>
      </c>
      <c r="H1723" s="21">
        <v>1708</v>
      </c>
      <c r="I1723" s="102">
        <v>0.66763882633535876</v>
      </c>
      <c r="J1723" s="103">
        <v>1.1657250256135977E-3</v>
      </c>
      <c r="K1723" s="103"/>
      <c r="L1723" s="103">
        <v>3.6999999999999998E-2</v>
      </c>
      <c r="O1723" s="100"/>
    </row>
    <row r="1724" spans="2:15" x14ac:dyDescent="0.2">
      <c r="B1724" s="1">
        <v>1709</v>
      </c>
      <c r="C1724" s="101">
        <f t="shared" ca="1" si="104"/>
        <v>-0.43882428613538926</v>
      </c>
      <c r="D1724" s="101">
        <f t="shared" ca="1" si="105"/>
        <v>0.63635203650123384</v>
      </c>
      <c r="E1724" s="101">
        <f t="shared" ca="1" si="106"/>
        <v>0</v>
      </c>
      <c r="F1724" s="21">
        <f t="shared" ca="1" si="107"/>
        <v>0</v>
      </c>
      <c r="H1724" s="21">
        <v>1709</v>
      </c>
      <c r="I1724" s="102">
        <v>0.66774721606804333</v>
      </c>
      <c r="J1724" s="103">
        <v>1.5103232015180235E-3</v>
      </c>
      <c r="K1724" s="103"/>
      <c r="L1724" s="103">
        <v>3.9399999999999998E-2</v>
      </c>
      <c r="O1724" s="100"/>
    </row>
    <row r="1725" spans="2:15" x14ac:dyDescent="0.2">
      <c r="B1725" s="1">
        <v>1710</v>
      </c>
      <c r="C1725" s="101">
        <f t="shared" ca="1" si="104"/>
        <v>0.38878144923618885</v>
      </c>
      <c r="D1725" s="101">
        <f t="shared" ca="1" si="105"/>
        <v>0.69048072207337008</v>
      </c>
      <c r="E1725" s="101">
        <f t="shared" ca="1" si="106"/>
        <v>0</v>
      </c>
      <c r="F1725" s="21">
        <f t="shared" ca="1" si="107"/>
        <v>0</v>
      </c>
      <c r="H1725" s="21">
        <v>1710</v>
      </c>
      <c r="I1725" s="102">
        <v>0.66770790697941773</v>
      </c>
      <c r="J1725" s="103">
        <v>1.3457896625788056E-3</v>
      </c>
      <c r="K1725" s="103"/>
      <c r="L1725" s="103">
        <v>4.1799999999999997E-2</v>
      </c>
      <c r="O1725" s="100"/>
    </row>
    <row r="1726" spans="2:15" x14ac:dyDescent="0.2">
      <c r="B1726" s="1">
        <v>1711</v>
      </c>
      <c r="C1726" s="101">
        <f t="shared" ca="1" si="104"/>
        <v>-0.35087046675164613</v>
      </c>
      <c r="D1726" s="101">
        <f t="shared" ca="1" si="105"/>
        <v>0.6418969700788173</v>
      </c>
      <c r="E1726" s="101">
        <f t="shared" ca="1" si="106"/>
        <v>0</v>
      </c>
      <c r="F1726" s="21">
        <f t="shared" ca="1" si="107"/>
        <v>0</v>
      </c>
      <c r="H1726" s="21">
        <v>1711</v>
      </c>
      <c r="I1726" s="102">
        <v>0.66770682074604226</v>
      </c>
      <c r="J1726" s="103">
        <v>1.2115201559737014E-3</v>
      </c>
      <c r="K1726" s="103"/>
      <c r="L1726" s="103">
        <v>3.9399999999999998E-2</v>
      </c>
      <c r="O1726" s="100"/>
    </row>
    <row r="1727" spans="2:15" x14ac:dyDescent="0.2">
      <c r="B1727" s="1">
        <v>1712</v>
      </c>
      <c r="C1727" s="101">
        <f t="shared" ca="1" si="104"/>
        <v>-0.48138877093904453</v>
      </c>
      <c r="D1727" s="101">
        <f t="shared" ca="1" si="105"/>
        <v>0.63368583897628805</v>
      </c>
      <c r="E1727" s="101">
        <f t="shared" ca="1" si="106"/>
        <v>0</v>
      </c>
      <c r="F1727" s="21">
        <f t="shared" ca="1" si="107"/>
        <v>0</v>
      </c>
      <c r="H1727" s="21">
        <v>1712</v>
      </c>
      <c r="I1727" s="102">
        <v>0.66796364274644082</v>
      </c>
      <c r="J1727" s="103">
        <v>1.5775510929783212E-3</v>
      </c>
      <c r="K1727" s="103"/>
      <c r="L1727" s="103">
        <v>4.82E-2</v>
      </c>
      <c r="O1727" s="100"/>
    </row>
    <row r="1728" spans="2:15" x14ac:dyDescent="0.2">
      <c r="B1728" s="1">
        <v>1713</v>
      </c>
      <c r="C1728" s="101">
        <f t="shared" ca="1" si="104"/>
        <v>0.35290233895461759</v>
      </c>
      <c r="D1728" s="101">
        <f t="shared" ca="1" si="105"/>
        <v>0.68804131751725162</v>
      </c>
      <c r="E1728" s="101">
        <f t="shared" ca="1" si="106"/>
        <v>0</v>
      </c>
      <c r="F1728" s="21">
        <f t="shared" ca="1" si="107"/>
        <v>0</v>
      </c>
      <c r="H1728" s="21">
        <v>1713</v>
      </c>
      <c r="I1728" s="102">
        <v>0.66789529721388485</v>
      </c>
      <c r="J1728" s="103">
        <v>1.4661988921673152E-3</v>
      </c>
      <c r="K1728" s="103"/>
      <c r="L1728" s="103">
        <v>4.5400000000000003E-2</v>
      </c>
      <c r="O1728" s="100"/>
    </row>
    <row r="1729" spans="2:15" x14ac:dyDescent="0.2">
      <c r="B1729" s="1">
        <v>1714</v>
      </c>
      <c r="C1729" s="101">
        <f t="shared" ca="1" si="104"/>
        <v>-0.87980923840377834</v>
      </c>
      <c r="D1729" s="101">
        <f t="shared" ca="1" si="105"/>
        <v>0.60926455751891451</v>
      </c>
      <c r="E1729" s="101">
        <f t="shared" ca="1" si="106"/>
        <v>0</v>
      </c>
      <c r="F1729" s="21">
        <f t="shared" ca="1" si="107"/>
        <v>0</v>
      </c>
      <c r="H1729" s="21">
        <v>1714</v>
      </c>
      <c r="I1729" s="102">
        <v>0.6675553155304782</v>
      </c>
      <c r="J1729" s="103">
        <v>1.1850418185960225E-3</v>
      </c>
      <c r="K1729" s="103"/>
      <c r="L1729" s="103">
        <v>3.7199999999999997E-2</v>
      </c>
      <c r="O1729" s="100"/>
    </row>
    <row r="1730" spans="2:15" x14ac:dyDescent="0.2">
      <c r="B1730" s="1">
        <v>1715</v>
      </c>
      <c r="C1730" s="101">
        <f t="shared" ca="1" si="104"/>
        <v>0.98231895361628052</v>
      </c>
      <c r="D1730" s="101">
        <f t="shared" ca="1" si="105"/>
        <v>0.73211337071180815</v>
      </c>
      <c r="E1730" s="101">
        <f t="shared" ca="1" si="106"/>
        <v>0</v>
      </c>
      <c r="F1730" s="21">
        <f t="shared" ca="1" si="107"/>
        <v>0</v>
      </c>
      <c r="H1730" s="21">
        <v>1715</v>
      </c>
      <c r="I1730" s="102">
        <v>0.66772992877587256</v>
      </c>
      <c r="J1730" s="103">
        <v>1.4450992416833665E-3</v>
      </c>
      <c r="K1730" s="103"/>
      <c r="L1730" s="103">
        <v>3.9600000000000003E-2</v>
      </c>
      <c r="O1730" s="100"/>
    </row>
    <row r="1731" spans="2:15" x14ac:dyDescent="0.2">
      <c r="B1731" s="1">
        <v>1716</v>
      </c>
      <c r="C1731" s="101">
        <f t="shared" ca="1" si="104"/>
        <v>1.4006310155349089</v>
      </c>
      <c r="D1731" s="101">
        <f t="shared" ca="1" si="105"/>
        <v>0.7629543778383181</v>
      </c>
      <c r="E1731" s="101">
        <f t="shared" ca="1" si="106"/>
        <v>0</v>
      </c>
      <c r="F1731" s="21">
        <f t="shared" ca="1" si="107"/>
        <v>0</v>
      </c>
      <c r="H1731" s="21">
        <v>1716</v>
      </c>
      <c r="I1731" s="102">
        <v>0.66762797566287935</v>
      </c>
      <c r="J1731" s="103">
        <v>1.2198227649016741E-3</v>
      </c>
      <c r="K1731" s="103"/>
      <c r="L1731" s="103">
        <v>3.9800000000000002E-2</v>
      </c>
      <c r="O1731" s="100"/>
    </row>
    <row r="1732" spans="2:15" x14ac:dyDescent="0.2">
      <c r="B1732" s="1">
        <v>1717</v>
      </c>
      <c r="C1732" s="101">
        <f t="shared" ca="1" si="104"/>
        <v>0.66707083247572463</v>
      </c>
      <c r="D1732" s="101">
        <f t="shared" ca="1" si="105"/>
        <v>0.70969754575163491</v>
      </c>
      <c r="E1732" s="101">
        <f t="shared" ca="1" si="106"/>
        <v>0</v>
      </c>
      <c r="F1732" s="21">
        <f t="shared" ca="1" si="107"/>
        <v>0</v>
      </c>
      <c r="H1732" s="21">
        <v>1717</v>
      </c>
      <c r="I1732" s="102">
        <v>0.66778643254509584</v>
      </c>
      <c r="J1732" s="103">
        <v>1.5122973048278608E-3</v>
      </c>
      <c r="K1732" s="103"/>
      <c r="L1732" s="103">
        <v>4.3400000000000001E-2</v>
      </c>
      <c r="O1732" s="100"/>
    </row>
    <row r="1733" spans="2:15" x14ac:dyDescent="0.2">
      <c r="B1733" s="1">
        <v>1718</v>
      </c>
      <c r="C1733" s="101">
        <f t="shared" ca="1" si="104"/>
        <v>-0.42623666849914288</v>
      </c>
      <c r="D1733" s="101">
        <f t="shared" ca="1" si="105"/>
        <v>0.63714265966098071</v>
      </c>
      <c r="E1733" s="101">
        <f t="shared" ca="1" si="106"/>
        <v>0</v>
      </c>
      <c r="F1733" s="21">
        <f t="shared" ca="1" si="107"/>
        <v>0</v>
      </c>
      <c r="H1733" s="21">
        <v>1718</v>
      </c>
      <c r="I1733" s="102">
        <v>0.66762828105567329</v>
      </c>
      <c r="J1733" s="103">
        <v>1.1864067682144167E-3</v>
      </c>
      <c r="K1733" s="103"/>
      <c r="L1733" s="103">
        <v>3.9600000000000003E-2</v>
      </c>
      <c r="O1733" s="100"/>
    </row>
    <row r="1734" spans="2:15" x14ac:dyDescent="0.2">
      <c r="B1734" s="1">
        <v>1719</v>
      </c>
      <c r="C1734" s="101">
        <f t="shared" ca="1" si="104"/>
        <v>0.84990195776838395</v>
      </c>
      <c r="D1734" s="101">
        <f t="shared" ca="1" si="105"/>
        <v>0.72261284306645135</v>
      </c>
      <c r="E1734" s="101">
        <f t="shared" ca="1" si="106"/>
        <v>0</v>
      </c>
      <c r="F1734" s="21">
        <f t="shared" ca="1" si="107"/>
        <v>0</v>
      </c>
      <c r="H1734" s="21">
        <v>1719</v>
      </c>
      <c r="I1734" s="102">
        <v>0.66777083573959339</v>
      </c>
      <c r="J1734" s="103">
        <v>1.4658271559462182E-3</v>
      </c>
      <c r="K1734" s="103"/>
      <c r="L1734" s="103">
        <v>4.36E-2</v>
      </c>
      <c r="O1734" s="100"/>
    </row>
    <row r="1735" spans="2:15" x14ac:dyDescent="0.2">
      <c r="B1735" s="1">
        <v>1720</v>
      </c>
      <c r="C1735" s="101">
        <f t="shared" ca="1" si="104"/>
        <v>0.20810434454226823</v>
      </c>
      <c r="D1735" s="101">
        <f t="shared" ca="1" si="105"/>
        <v>0.67828382719551028</v>
      </c>
      <c r="E1735" s="101">
        <f t="shared" ca="1" si="106"/>
        <v>0</v>
      </c>
      <c r="F1735" s="21">
        <f t="shared" ca="1" si="107"/>
        <v>0</v>
      </c>
      <c r="H1735" s="21">
        <v>1720</v>
      </c>
      <c r="I1735" s="102">
        <v>0.66768951079198724</v>
      </c>
      <c r="J1735" s="103">
        <v>1.3534663226051266E-3</v>
      </c>
      <c r="K1735" s="103"/>
      <c r="L1735" s="103">
        <v>3.9199999999999999E-2</v>
      </c>
      <c r="O1735" s="100"/>
    </row>
    <row r="1736" spans="2:15" x14ac:dyDescent="0.2">
      <c r="B1736" s="1">
        <v>1721</v>
      </c>
      <c r="C1736" s="101">
        <f t="shared" ca="1" si="104"/>
        <v>1.7222376329017883</v>
      </c>
      <c r="D1736" s="101">
        <f t="shared" ca="1" si="105"/>
        <v>0.78754612426076054</v>
      </c>
      <c r="E1736" s="101">
        <f t="shared" ca="1" si="106"/>
        <v>0</v>
      </c>
      <c r="F1736" s="21">
        <f t="shared" ca="1" si="107"/>
        <v>0</v>
      </c>
      <c r="H1736" s="21">
        <v>1721</v>
      </c>
      <c r="I1736" s="102">
        <v>0.66772109580846561</v>
      </c>
      <c r="J1736" s="103">
        <v>1.4132642809613369E-3</v>
      </c>
      <c r="K1736" s="103"/>
      <c r="L1736" s="103">
        <v>4.0599999999999997E-2</v>
      </c>
      <c r="O1736" s="100"/>
    </row>
    <row r="1737" spans="2:15" x14ac:dyDescent="0.2">
      <c r="B1737" s="1">
        <v>1722</v>
      </c>
      <c r="C1737" s="101">
        <f t="shared" ca="1" si="104"/>
        <v>-1.5482401530642491</v>
      </c>
      <c r="D1737" s="101">
        <f t="shared" ca="1" si="105"/>
        <v>0.57038848127487085</v>
      </c>
      <c r="E1737" s="101">
        <f t="shared" ca="1" si="106"/>
        <v>0</v>
      </c>
      <c r="F1737" s="21">
        <f t="shared" ca="1" si="107"/>
        <v>0</v>
      </c>
      <c r="H1737" s="21">
        <v>1722</v>
      </c>
      <c r="I1737" s="102">
        <v>0.66785686281215995</v>
      </c>
      <c r="J1737" s="103">
        <v>1.4322390812267611E-3</v>
      </c>
      <c r="K1737" s="103"/>
      <c r="L1737" s="103">
        <v>4.2200000000000001E-2</v>
      </c>
      <c r="O1737" s="100"/>
    </row>
    <row r="1738" spans="2:15" x14ac:dyDescent="0.2">
      <c r="B1738" s="1">
        <v>1723</v>
      </c>
      <c r="C1738" s="101">
        <f t="shared" ca="1" si="104"/>
        <v>-0.63356445811588913</v>
      </c>
      <c r="D1738" s="101">
        <f t="shared" ca="1" si="105"/>
        <v>0.62424473685417481</v>
      </c>
      <c r="E1738" s="101">
        <f t="shared" ca="1" si="106"/>
        <v>0</v>
      </c>
      <c r="F1738" s="21">
        <f t="shared" ca="1" si="107"/>
        <v>0</v>
      </c>
      <c r="H1738" s="21">
        <v>1723</v>
      </c>
      <c r="I1738" s="102">
        <v>0.66779490040510503</v>
      </c>
      <c r="J1738" s="103">
        <v>1.3138861000828717E-3</v>
      </c>
      <c r="K1738" s="103"/>
      <c r="L1738" s="103">
        <v>4.3999999999999997E-2</v>
      </c>
      <c r="O1738" s="100"/>
    </row>
    <row r="1739" spans="2:15" x14ac:dyDescent="0.2">
      <c r="B1739" s="1">
        <v>1724</v>
      </c>
      <c r="C1739" s="101">
        <f t="shared" ca="1" si="104"/>
        <v>-6.4747492747535745E-2</v>
      </c>
      <c r="D1739" s="101">
        <f t="shared" ca="1" si="105"/>
        <v>0.66027166076680766</v>
      </c>
      <c r="E1739" s="101">
        <f t="shared" ca="1" si="106"/>
        <v>0</v>
      </c>
      <c r="F1739" s="21">
        <f t="shared" ca="1" si="107"/>
        <v>0</v>
      </c>
      <c r="H1739" s="21">
        <v>1724</v>
      </c>
      <c r="I1739" s="102">
        <v>0.66777502115527243</v>
      </c>
      <c r="J1739" s="103">
        <v>1.4210860746951169E-3</v>
      </c>
      <c r="K1739" s="103"/>
      <c r="L1739" s="103">
        <v>4.1200000000000001E-2</v>
      </c>
      <c r="O1739" s="100"/>
    </row>
    <row r="1740" spans="2:15" x14ac:dyDescent="0.2">
      <c r="B1740" s="1">
        <v>1725</v>
      </c>
      <c r="C1740" s="101">
        <f t="shared" ca="1" si="104"/>
        <v>0.35620950365881587</v>
      </c>
      <c r="D1740" s="101">
        <f t="shared" ca="1" si="105"/>
        <v>0.68826580911149615</v>
      </c>
      <c r="E1740" s="101">
        <f t="shared" ca="1" si="106"/>
        <v>0</v>
      </c>
      <c r="F1740" s="21">
        <f t="shared" ca="1" si="107"/>
        <v>0</v>
      </c>
      <c r="H1740" s="21">
        <v>1725</v>
      </c>
      <c r="I1740" s="102">
        <v>0.66773752269728304</v>
      </c>
      <c r="J1740" s="103">
        <v>1.406377208127825E-3</v>
      </c>
      <c r="K1740" s="103"/>
      <c r="L1740" s="103">
        <v>4.1200000000000001E-2</v>
      </c>
      <c r="O1740" s="100"/>
    </row>
    <row r="1741" spans="2:15" x14ac:dyDescent="0.2">
      <c r="B1741" s="1">
        <v>1726</v>
      </c>
      <c r="C1741" s="101">
        <f t="shared" ca="1" si="104"/>
        <v>-0.2381406536138079</v>
      </c>
      <c r="D1741" s="101">
        <f t="shared" ca="1" si="105"/>
        <v>0.64907458060569834</v>
      </c>
      <c r="E1741" s="101">
        <f t="shared" ca="1" si="106"/>
        <v>0</v>
      </c>
      <c r="F1741" s="21">
        <f t="shared" ca="1" si="107"/>
        <v>0</v>
      </c>
      <c r="H1741" s="21">
        <v>1726</v>
      </c>
      <c r="I1741" s="102">
        <v>0.66761755174599036</v>
      </c>
      <c r="J1741" s="103">
        <v>1.1757618701151622E-3</v>
      </c>
      <c r="K1741" s="103"/>
      <c r="L1741" s="103">
        <v>3.8399999999999997E-2</v>
      </c>
      <c r="O1741" s="100"/>
    </row>
    <row r="1742" spans="2:15" x14ac:dyDescent="0.2">
      <c r="B1742" s="1">
        <v>1727</v>
      </c>
      <c r="C1742" s="101">
        <f t="shared" ca="1" si="104"/>
        <v>-0.23327910513320382</v>
      </c>
      <c r="D1742" s="101">
        <f t="shared" ca="1" si="105"/>
        <v>0.64938591869808227</v>
      </c>
      <c r="E1742" s="101">
        <f t="shared" ca="1" si="106"/>
        <v>0</v>
      </c>
      <c r="F1742" s="21">
        <f t="shared" ca="1" si="107"/>
        <v>0</v>
      </c>
      <c r="H1742" s="21">
        <v>1727</v>
      </c>
      <c r="I1742" s="102">
        <v>0.66761145149841572</v>
      </c>
      <c r="J1742" s="103">
        <v>1.2997861004514831E-3</v>
      </c>
      <c r="K1742" s="103"/>
      <c r="L1742" s="103">
        <v>3.9E-2</v>
      </c>
      <c r="O1742" s="100"/>
    </row>
    <row r="1743" spans="2:15" x14ac:dyDescent="0.2">
      <c r="B1743" s="1">
        <v>1728</v>
      </c>
      <c r="C1743" s="101">
        <f t="shared" ca="1" si="104"/>
        <v>-0.45472901895461953</v>
      </c>
      <c r="D1743" s="101">
        <f t="shared" ca="1" si="105"/>
        <v>0.63535446947166985</v>
      </c>
      <c r="E1743" s="101">
        <f t="shared" ca="1" si="106"/>
        <v>0</v>
      </c>
      <c r="F1743" s="21">
        <f t="shared" ca="1" si="107"/>
        <v>0</v>
      </c>
      <c r="H1743" s="21">
        <v>1728</v>
      </c>
      <c r="I1743" s="102">
        <v>0.667573470552276</v>
      </c>
      <c r="J1743" s="103">
        <v>1.0167996393935829E-3</v>
      </c>
      <c r="K1743" s="103"/>
      <c r="L1743" s="103">
        <v>3.7600000000000001E-2</v>
      </c>
      <c r="O1743" s="100"/>
    </row>
    <row r="1744" spans="2:15" x14ac:dyDescent="0.2">
      <c r="B1744" s="1">
        <v>1729</v>
      </c>
      <c r="C1744" s="101">
        <f t="shared" ref="C1744:C1807" ca="1" si="108">_xlfn.NORM.S.INV(RAND())</f>
        <v>-0.43134661065172042</v>
      </c>
      <c r="D1744" s="101">
        <f t="shared" ref="D1744:D1807" ca="1" si="109">S0*EXP((μ-0.5*σ*σ)*T+σ*SQRT(T)*$C1744)</f>
        <v>0.63682158789286847</v>
      </c>
      <c r="E1744" s="101">
        <f t="shared" ref="E1744:E1807" ca="1" si="110">MAX(0,CP*(D1744-K))</f>
        <v>0</v>
      </c>
      <c r="F1744" s="21">
        <f t="shared" ref="F1744:F1807" ca="1" si="111">(CP*(D1744-K)&gt;0)*1</f>
        <v>0</v>
      </c>
      <c r="H1744" s="21">
        <v>1729</v>
      </c>
      <c r="I1744" s="102">
        <v>0.66774593703540808</v>
      </c>
      <c r="J1744" s="103">
        <v>1.3523514489910374E-3</v>
      </c>
      <c r="K1744" s="103"/>
      <c r="L1744" s="103">
        <v>4.4600000000000001E-2</v>
      </c>
      <c r="O1744" s="100"/>
    </row>
    <row r="1745" spans="2:15" x14ac:dyDescent="0.2">
      <c r="B1745" s="1">
        <v>1730</v>
      </c>
      <c r="C1745" s="101">
        <f t="shared" ca="1" si="108"/>
        <v>0.44357523672980015</v>
      </c>
      <c r="D1745" s="101">
        <f t="shared" ca="1" si="109"/>
        <v>0.69422282711589822</v>
      </c>
      <c r="E1745" s="101">
        <f t="shared" ca="1" si="110"/>
        <v>0</v>
      </c>
      <c r="F1745" s="21">
        <f t="shared" ca="1" si="111"/>
        <v>0</v>
      </c>
      <c r="H1745" s="21">
        <v>1730</v>
      </c>
      <c r="I1745" s="102">
        <v>0.66773367825318652</v>
      </c>
      <c r="J1745" s="103">
        <v>1.3667128018311381E-3</v>
      </c>
      <c r="K1745" s="103"/>
      <c r="L1745" s="103">
        <v>4.1200000000000001E-2</v>
      </c>
      <c r="O1745" s="100"/>
    </row>
    <row r="1746" spans="2:15" x14ac:dyDescent="0.2">
      <c r="B1746" s="1">
        <v>1731</v>
      </c>
      <c r="C1746" s="101">
        <f t="shared" ca="1" si="108"/>
        <v>-1.336311960668207</v>
      </c>
      <c r="D1746" s="101">
        <f t="shared" ca="1" si="109"/>
        <v>0.58243788970737453</v>
      </c>
      <c r="E1746" s="101">
        <f t="shared" ca="1" si="110"/>
        <v>0</v>
      </c>
      <c r="F1746" s="21">
        <f t="shared" ca="1" si="111"/>
        <v>0</v>
      </c>
      <c r="H1746" s="21">
        <v>1731</v>
      </c>
      <c r="I1746" s="102">
        <v>0.66772598977680964</v>
      </c>
      <c r="J1746" s="103">
        <v>1.4131246779528926E-3</v>
      </c>
      <c r="K1746" s="103"/>
      <c r="L1746" s="103">
        <v>4.0599999999999997E-2</v>
      </c>
      <c r="O1746" s="100"/>
    </row>
    <row r="1747" spans="2:15" x14ac:dyDescent="0.2">
      <c r="B1747" s="1">
        <v>1732</v>
      </c>
      <c r="C1747" s="101">
        <f t="shared" ca="1" si="108"/>
        <v>-1.923564029540392</v>
      </c>
      <c r="D1747" s="101">
        <f t="shared" ca="1" si="109"/>
        <v>0.54965743021100366</v>
      </c>
      <c r="E1747" s="101">
        <f t="shared" ca="1" si="110"/>
        <v>0</v>
      </c>
      <c r="F1747" s="21">
        <f t="shared" ca="1" si="111"/>
        <v>0</v>
      </c>
      <c r="H1747" s="21">
        <v>1732</v>
      </c>
      <c r="I1747" s="102">
        <v>0.66784376701375292</v>
      </c>
      <c r="J1747" s="103">
        <v>1.5121523834560548E-3</v>
      </c>
      <c r="K1747" s="103"/>
      <c r="L1747" s="103">
        <v>4.4200000000000003E-2</v>
      </c>
      <c r="O1747" s="100"/>
    </row>
    <row r="1748" spans="2:15" x14ac:dyDescent="0.2">
      <c r="B1748" s="1">
        <v>1733</v>
      </c>
      <c r="C1748" s="101">
        <f t="shared" ca="1" si="108"/>
        <v>-0.36051590913116977</v>
      </c>
      <c r="D1748" s="101">
        <f t="shared" ca="1" si="109"/>
        <v>0.64128653456596463</v>
      </c>
      <c r="E1748" s="101">
        <f t="shared" ca="1" si="110"/>
        <v>0</v>
      </c>
      <c r="F1748" s="21">
        <f t="shared" ca="1" si="111"/>
        <v>0</v>
      </c>
      <c r="H1748" s="21">
        <v>1733</v>
      </c>
      <c r="I1748" s="102">
        <v>0.66760086003903674</v>
      </c>
      <c r="J1748" s="103">
        <v>1.1537355232471291E-3</v>
      </c>
      <c r="K1748" s="103"/>
      <c r="L1748" s="103">
        <v>4.1000000000000002E-2</v>
      </c>
      <c r="O1748" s="100"/>
    </row>
    <row r="1749" spans="2:15" x14ac:dyDescent="0.2">
      <c r="B1749" s="1">
        <v>1734</v>
      </c>
      <c r="C1749" s="101">
        <f t="shared" ca="1" si="108"/>
        <v>-1.2872186857117942</v>
      </c>
      <c r="D1749" s="101">
        <f t="shared" ca="1" si="109"/>
        <v>0.58526525883683345</v>
      </c>
      <c r="E1749" s="101">
        <f t="shared" ca="1" si="110"/>
        <v>0</v>
      </c>
      <c r="F1749" s="21">
        <f t="shared" ca="1" si="111"/>
        <v>0</v>
      </c>
      <c r="H1749" s="21">
        <v>1734</v>
      </c>
      <c r="I1749" s="102">
        <v>0.66778224821500498</v>
      </c>
      <c r="J1749" s="103">
        <v>1.3236983376679467E-3</v>
      </c>
      <c r="K1749" s="103"/>
      <c r="L1749" s="103">
        <v>4.1000000000000002E-2</v>
      </c>
      <c r="O1749" s="100"/>
    </row>
    <row r="1750" spans="2:15" x14ac:dyDescent="0.2">
      <c r="B1750" s="1">
        <v>1735</v>
      </c>
      <c r="C1750" s="101">
        <f t="shared" ca="1" si="108"/>
        <v>0.61419879779885889</v>
      </c>
      <c r="D1750" s="101">
        <f t="shared" ca="1" si="109"/>
        <v>0.70600584731827476</v>
      </c>
      <c r="E1750" s="101">
        <f t="shared" ca="1" si="110"/>
        <v>0</v>
      </c>
      <c r="F1750" s="21">
        <f t="shared" ca="1" si="111"/>
        <v>0</v>
      </c>
      <c r="H1750" s="21">
        <v>1735</v>
      </c>
      <c r="I1750" s="102">
        <v>0.66783747177516439</v>
      </c>
      <c r="J1750" s="103">
        <v>1.490622324369213E-3</v>
      </c>
      <c r="K1750" s="103"/>
      <c r="L1750" s="103">
        <v>4.5199999999999997E-2</v>
      </c>
      <c r="O1750" s="100"/>
    </row>
    <row r="1751" spans="2:15" x14ac:dyDescent="0.2">
      <c r="B1751" s="1">
        <v>1736</v>
      </c>
      <c r="C1751" s="101">
        <f t="shared" ca="1" si="108"/>
        <v>0.79136492283895266</v>
      </c>
      <c r="D1751" s="101">
        <f t="shared" ca="1" si="109"/>
        <v>0.71845237631972925</v>
      </c>
      <c r="E1751" s="101">
        <f t="shared" ca="1" si="110"/>
        <v>0</v>
      </c>
      <c r="F1751" s="21">
        <f t="shared" ca="1" si="111"/>
        <v>0</v>
      </c>
      <c r="H1751" s="21">
        <v>1736</v>
      </c>
      <c r="I1751" s="102">
        <v>0.66769492759938098</v>
      </c>
      <c r="J1751" s="103">
        <v>1.3250312779159415E-3</v>
      </c>
      <c r="K1751" s="103"/>
      <c r="L1751" s="103">
        <v>3.7199999999999997E-2</v>
      </c>
      <c r="O1751" s="100"/>
    </row>
    <row r="1752" spans="2:15" x14ac:dyDescent="0.2">
      <c r="B1752" s="1">
        <v>1737</v>
      </c>
      <c r="C1752" s="101">
        <f t="shared" ca="1" si="108"/>
        <v>1.354381645474527</v>
      </c>
      <c r="D1752" s="101">
        <f t="shared" ca="1" si="109"/>
        <v>0.75948163182684314</v>
      </c>
      <c r="E1752" s="101">
        <f t="shared" ca="1" si="110"/>
        <v>0</v>
      </c>
      <c r="F1752" s="21">
        <f t="shared" ca="1" si="111"/>
        <v>0</v>
      </c>
      <c r="H1752" s="21">
        <v>1737</v>
      </c>
      <c r="I1752" s="102">
        <v>0.66766064716829954</v>
      </c>
      <c r="J1752" s="103">
        <v>1.2189193195239047E-3</v>
      </c>
      <c r="K1752" s="103"/>
      <c r="L1752" s="103">
        <v>3.9399999999999998E-2</v>
      </c>
      <c r="O1752" s="100"/>
    </row>
    <row r="1753" spans="2:15" x14ac:dyDescent="0.2">
      <c r="B1753" s="1">
        <v>1738</v>
      </c>
      <c r="C1753" s="101">
        <f t="shared" ca="1" si="108"/>
        <v>2.1000875986005463</v>
      </c>
      <c r="D1753" s="101">
        <f t="shared" ca="1" si="109"/>
        <v>0.81745312447176766</v>
      </c>
      <c r="E1753" s="101">
        <f t="shared" ca="1" si="110"/>
        <v>2.9253124471767644E-2</v>
      </c>
      <c r="F1753" s="21">
        <f t="shared" ca="1" si="111"/>
        <v>1</v>
      </c>
      <c r="H1753" s="21">
        <v>1738</v>
      </c>
      <c r="I1753" s="102">
        <v>0.66765088262268546</v>
      </c>
      <c r="J1753" s="103">
        <v>1.265363774567255E-3</v>
      </c>
      <c r="K1753" s="103"/>
      <c r="L1753" s="103">
        <v>4.0599999999999997E-2</v>
      </c>
      <c r="O1753" s="100"/>
    </row>
    <row r="1754" spans="2:15" x14ac:dyDescent="0.2">
      <c r="B1754" s="1">
        <v>1739</v>
      </c>
      <c r="C1754" s="101">
        <f t="shared" ca="1" si="108"/>
        <v>1.6325396633121596</v>
      </c>
      <c r="D1754" s="101">
        <f t="shared" ca="1" si="109"/>
        <v>0.78060871005293331</v>
      </c>
      <c r="E1754" s="101">
        <f t="shared" ca="1" si="110"/>
        <v>0</v>
      </c>
      <c r="F1754" s="21">
        <f t="shared" ca="1" si="111"/>
        <v>0</v>
      </c>
      <c r="H1754" s="21">
        <v>1739</v>
      </c>
      <c r="I1754" s="102">
        <v>0.66767288298553262</v>
      </c>
      <c r="J1754" s="103">
        <v>1.2632598529830916E-3</v>
      </c>
      <c r="K1754" s="103"/>
      <c r="L1754" s="103">
        <v>0.04</v>
      </c>
      <c r="O1754" s="100"/>
    </row>
    <row r="1755" spans="2:15" x14ac:dyDescent="0.2">
      <c r="B1755" s="1">
        <v>1740</v>
      </c>
      <c r="C1755" s="101">
        <f t="shared" ca="1" si="108"/>
        <v>7.8978511699346166E-2</v>
      </c>
      <c r="D1755" s="101">
        <f t="shared" ca="1" si="109"/>
        <v>0.66969921662933707</v>
      </c>
      <c r="E1755" s="101">
        <f t="shared" ca="1" si="110"/>
        <v>0</v>
      </c>
      <c r="F1755" s="21">
        <f t="shared" ca="1" si="111"/>
        <v>0</v>
      </c>
      <c r="H1755" s="21">
        <v>1740</v>
      </c>
      <c r="I1755" s="102">
        <v>0.66756031977156494</v>
      </c>
      <c r="J1755" s="103">
        <v>1.1654451296087521E-3</v>
      </c>
      <c r="K1755" s="103"/>
      <c r="L1755" s="103">
        <v>4.0800000000000003E-2</v>
      </c>
      <c r="O1755" s="100"/>
    </row>
    <row r="1756" spans="2:15" x14ac:dyDescent="0.2">
      <c r="B1756" s="1">
        <v>1741</v>
      </c>
      <c r="C1756" s="101">
        <f t="shared" ca="1" si="108"/>
        <v>0.73952560861343619</v>
      </c>
      <c r="D1756" s="101">
        <f t="shared" ca="1" si="109"/>
        <v>0.71478794804963686</v>
      </c>
      <c r="E1756" s="101">
        <f t="shared" ca="1" si="110"/>
        <v>0</v>
      </c>
      <c r="F1756" s="21">
        <f t="shared" ca="1" si="111"/>
        <v>0</v>
      </c>
      <c r="H1756" s="21">
        <v>1741</v>
      </c>
      <c r="I1756" s="102">
        <v>0.66771080565452079</v>
      </c>
      <c r="J1756" s="103">
        <v>1.4577476605852329E-3</v>
      </c>
      <c r="K1756" s="103"/>
      <c r="L1756" s="103">
        <v>3.9E-2</v>
      </c>
      <c r="O1756" s="100"/>
    </row>
    <row r="1757" spans="2:15" x14ac:dyDescent="0.2">
      <c r="B1757" s="1">
        <v>1742</v>
      </c>
      <c r="C1757" s="101">
        <f t="shared" ca="1" si="108"/>
        <v>0.46704636237910357</v>
      </c>
      <c r="D1757" s="101">
        <f t="shared" ca="1" si="109"/>
        <v>0.69583196978176565</v>
      </c>
      <c r="E1757" s="101">
        <f t="shared" ca="1" si="110"/>
        <v>0</v>
      </c>
      <c r="F1757" s="21">
        <f t="shared" ca="1" si="111"/>
        <v>0</v>
      </c>
      <c r="H1757" s="21">
        <v>1742</v>
      </c>
      <c r="I1757" s="102">
        <v>0.66790288686101817</v>
      </c>
      <c r="J1757" s="103">
        <v>1.5012076405893102E-3</v>
      </c>
      <c r="K1757" s="103"/>
      <c r="L1757" s="103">
        <v>4.3400000000000001E-2</v>
      </c>
      <c r="O1757" s="100"/>
    </row>
    <row r="1758" spans="2:15" x14ac:dyDescent="0.2">
      <c r="B1758" s="1">
        <v>1743</v>
      </c>
      <c r="C1758" s="101">
        <f t="shared" ca="1" si="108"/>
        <v>-3.53409308997894E-3</v>
      </c>
      <c r="D1758" s="101">
        <f t="shared" ca="1" si="109"/>
        <v>0.66427055474570385</v>
      </c>
      <c r="E1758" s="101">
        <f t="shared" ca="1" si="110"/>
        <v>0</v>
      </c>
      <c r="F1758" s="21">
        <f t="shared" ca="1" si="111"/>
        <v>0</v>
      </c>
      <c r="H1758" s="21">
        <v>1743</v>
      </c>
      <c r="I1758" s="102">
        <v>0.66775864421544895</v>
      </c>
      <c r="J1758" s="103">
        <v>1.4624449967805089E-3</v>
      </c>
      <c r="K1758" s="103"/>
      <c r="L1758" s="103">
        <v>4.1399999999999999E-2</v>
      </c>
      <c r="O1758" s="100"/>
    </row>
    <row r="1759" spans="2:15" x14ac:dyDescent="0.2">
      <c r="B1759" s="1">
        <v>1744</v>
      </c>
      <c r="C1759" s="101">
        <f t="shared" ca="1" si="108"/>
        <v>1.1489233063790876</v>
      </c>
      <c r="D1759" s="101">
        <f t="shared" ca="1" si="109"/>
        <v>0.74424438415599659</v>
      </c>
      <c r="E1759" s="101">
        <f t="shared" ca="1" si="110"/>
        <v>0</v>
      </c>
      <c r="F1759" s="21">
        <f t="shared" ca="1" si="111"/>
        <v>0</v>
      </c>
      <c r="H1759" s="21">
        <v>1744</v>
      </c>
      <c r="I1759" s="102">
        <v>0.66778752033334732</v>
      </c>
      <c r="J1759" s="103">
        <v>1.3954895966160001E-3</v>
      </c>
      <c r="K1759" s="103"/>
      <c r="L1759" s="103">
        <v>4.3200000000000002E-2</v>
      </c>
      <c r="O1759" s="100"/>
    </row>
    <row r="1760" spans="2:15" x14ac:dyDescent="0.2">
      <c r="B1760" s="1">
        <v>1745</v>
      </c>
      <c r="C1760" s="101">
        <f t="shared" ca="1" si="108"/>
        <v>0.2794691119332891</v>
      </c>
      <c r="D1760" s="101">
        <f t="shared" ca="1" si="109"/>
        <v>0.68307546215979076</v>
      </c>
      <c r="E1760" s="101">
        <f t="shared" ca="1" si="110"/>
        <v>0</v>
      </c>
      <c r="F1760" s="21">
        <f t="shared" ca="1" si="111"/>
        <v>0</v>
      </c>
      <c r="H1760" s="21">
        <v>1745</v>
      </c>
      <c r="I1760" s="102">
        <v>0.66775170147261553</v>
      </c>
      <c r="J1760" s="103">
        <v>1.3624812450939948E-3</v>
      </c>
      <c r="K1760" s="103"/>
      <c r="L1760" s="103">
        <v>4.0599999999999997E-2</v>
      </c>
      <c r="O1760" s="100"/>
    </row>
    <row r="1761" spans="2:15" x14ac:dyDescent="0.2">
      <c r="B1761" s="1">
        <v>1746</v>
      </c>
      <c r="C1761" s="101">
        <f t="shared" ca="1" si="108"/>
        <v>-1.5780088474077996</v>
      </c>
      <c r="D1761" s="101">
        <f t="shared" ca="1" si="109"/>
        <v>0.56871603585353248</v>
      </c>
      <c r="E1761" s="101">
        <f t="shared" ca="1" si="110"/>
        <v>0</v>
      </c>
      <c r="F1761" s="21">
        <f t="shared" ca="1" si="111"/>
        <v>0</v>
      </c>
      <c r="H1761" s="21">
        <v>1746</v>
      </c>
      <c r="I1761" s="102">
        <v>0.66778786097475984</v>
      </c>
      <c r="J1761" s="103">
        <v>1.4236036625848247E-3</v>
      </c>
      <c r="K1761" s="103"/>
      <c r="L1761" s="103">
        <v>4.3400000000000001E-2</v>
      </c>
      <c r="O1761" s="100"/>
    </row>
    <row r="1762" spans="2:15" x14ac:dyDescent="0.2">
      <c r="B1762" s="1">
        <v>1747</v>
      </c>
      <c r="C1762" s="101">
        <f t="shared" ca="1" si="108"/>
        <v>1.4333364846718373</v>
      </c>
      <c r="D1762" s="101">
        <f t="shared" ca="1" si="109"/>
        <v>0.76541972783156009</v>
      </c>
      <c r="E1762" s="101">
        <f t="shared" ca="1" si="110"/>
        <v>0</v>
      </c>
      <c r="F1762" s="21">
        <f t="shared" ca="1" si="111"/>
        <v>0</v>
      </c>
      <c r="H1762" s="21">
        <v>1747</v>
      </c>
      <c r="I1762" s="102">
        <v>0.66775690763831796</v>
      </c>
      <c r="J1762" s="103">
        <v>1.3171633892779904E-3</v>
      </c>
      <c r="K1762" s="103"/>
      <c r="L1762" s="103">
        <v>4.4200000000000003E-2</v>
      </c>
      <c r="O1762" s="100"/>
    </row>
    <row r="1763" spans="2:15" x14ac:dyDescent="0.2">
      <c r="B1763" s="1">
        <v>1748</v>
      </c>
      <c r="C1763" s="101">
        <f t="shared" ca="1" si="108"/>
        <v>0.51842616519492601</v>
      </c>
      <c r="D1763" s="101">
        <f t="shared" ca="1" si="109"/>
        <v>0.69936751760949645</v>
      </c>
      <c r="E1763" s="101">
        <f t="shared" ca="1" si="110"/>
        <v>0</v>
      </c>
      <c r="F1763" s="21">
        <f t="shared" ca="1" si="111"/>
        <v>0</v>
      </c>
      <c r="H1763" s="21">
        <v>1748</v>
      </c>
      <c r="I1763" s="102">
        <v>0.66777663017690769</v>
      </c>
      <c r="J1763" s="103">
        <v>1.4521274997765159E-3</v>
      </c>
      <c r="K1763" s="103"/>
      <c r="L1763" s="103">
        <v>4.24E-2</v>
      </c>
      <c r="O1763" s="100"/>
    </row>
    <row r="1764" spans="2:15" x14ac:dyDescent="0.2">
      <c r="B1764" s="1">
        <v>1749</v>
      </c>
      <c r="C1764" s="101">
        <f t="shared" ca="1" si="108"/>
        <v>0.87905273031168585</v>
      </c>
      <c r="D1764" s="101">
        <f t="shared" ca="1" si="109"/>
        <v>0.72469368550021274</v>
      </c>
      <c r="E1764" s="101">
        <f t="shared" ca="1" si="110"/>
        <v>0</v>
      </c>
      <c r="F1764" s="21">
        <f t="shared" ca="1" si="111"/>
        <v>0</v>
      </c>
      <c r="H1764" s="21">
        <v>1749</v>
      </c>
      <c r="I1764" s="102">
        <v>0.6676394474263454</v>
      </c>
      <c r="J1764" s="103">
        <v>1.2191001944608264E-3</v>
      </c>
      <c r="K1764" s="103"/>
      <c r="L1764" s="103">
        <v>3.9600000000000003E-2</v>
      </c>
      <c r="O1764" s="100"/>
    </row>
    <row r="1765" spans="2:15" x14ac:dyDescent="0.2">
      <c r="B1765" s="1">
        <v>1750</v>
      </c>
      <c r="C1765" s="101">
        <f t="shared" ca="1" si="108"/>
        <v>-0.47496813793698051</v>
      </c>
      <c r="D1765" s="101">
        <f t="shared" ca="1" si="109"/>
        <v>0.63408730452675266</v>
      </c>
      <c r="E1765" s="101">
        <f t="shared" ca="1" si="110"/>
        <v>0</v>
      </c>
      <c r="F1765" s="21">
        <f t="shared" ca="1" si="111"/>
        <v>0</v>
      </c>
      <c r="H1765" s="21">
        <v>1750</v>
      </c>
      <c r="I1765" s="102">
        <v>0.66763147056633565</v>
      </c>
      <c r="J1765" s="103">
        <v>1.2336551874529316E-3</v>
      </c>
      <c r="K1765" s="103"/>
      <c r="L1765" s="103">
        <v>3.8199999999999998E-2</v>
      </c>
      <c r="O1765" s="100"/>
    </row>
    <row r="1766" spans="2:15" x14ac:dyDescent="0.2">
      <c r="B1766" s="1">
        <v>1751</v>
      </c>
      <c r="C1766" s="101">
        <f t="shared" ca="1" si="108"/>
        <v>1.1953546934456953</v>
      </c>
      <c r="D1766" s="101">
        <f t="shared" ca="1" si="109"/>
        <v>0.74766088120760443</v>
      </c>
      <c r="E1766" s="101">
        <f t="shared" ca="1" si="110"/>
        <v>0</v>
      </c>
      <c r="F1766" s="21">
        <f t="shared" ca="1" si="111"/>
        <v>0</v>
      </c>
      <c r="H1766" s="21">
        <v>1751</v>
      </c>
      <c r="I1766" s="102">
        <v>0.66773310237830696</v>
      </c>
      <c r="J1766" s="103">
        <v>1.370796680787356E-3</v>
      </c>
      <c r="K1766" s="103"/>
      <c r="L1766" s="103">
        <v>4.1000000000000002E-2</v>
      </c>
      <c r="O1766" s="100"/>
    </row>
    <row r="1767" spans="2:15" x14ac:dyDescent="0.2">
      <c r="B1767" s="1">
        <v>1752</v>
      </c>
      <c r="C1767" s="101">
        <f t="shared" ca="1" si="108"/>
        <v>0.41766274434289274</v>
      </c>
      <c r="D1767" s="101">
        <f t="shared" ca="1" si="109"/>
        <v>0.69245062986455208</v>
      </c>
      <c r="E1767" s="101">
        <f t="shared" ca="1" si="110"/>
        <v>0</v>
      </c>
      <c r="F1767" s="21">
        <f t="shared" ca="1" si="111"/>
        <v>0</v>
      </c>
      <c r="H1767" s="21">
        <v>1752</v>
      </c>
      <c r="I1767" s="102">
        <v>0.66774584069522558</v>
      </c>
      <c r="J1767" s="103">
        <v>1.419777961823105E-3</v>
      </c>
      <c r="K1767" s="103"/>
      <c r="L1767" s="103">
        <v>4.3400000000000001E-2</v>
      </c>
      <c r="O1767" s="100"/>
    </row>
    <row r="1768" spans="2:15" x14ac:dyDescent="0.2">
      <c r="B1768" s="1">
        <v>1753</v>
      </c>
      <c r="C1768" s="101">
        <f t="shared" ca="1" si="108"/>
        <v>-1.1685705778803355</v>
      </c>
      <c r="D1768" s="101">
        <f t="shared" ca="1" si="109"/>
        <v>0.59215521322836795</v>
      </c>
      <c r="E1768" s="101">
        <f t="shared" ca="1" si="110"/>
        <v>0</v>
      </c>
      <c r="F1768" s="21">
        <f t="shared" ca="1" si="111"/>
        <v>0</v>
      </c>
      <c r="H1768" s="21">
        <v>1753</v>
      </c>
      <c r="I1768" s="102">
        <v>0.66785612240394143</v>
      </c>
      <c r="J1768" s="103">
        <v>1.4580947618370301E-3</v>
      </c>
      <c r="K1768" s="103"/>
      <c r="L1768" s="103">
        <v>4.58E-2</v>
      </c>
      <c r="O1768" s="100"/>
    </row>
    <row r="1769" spans="2:15" x14ac:dyDescent="0.2">
      <c r="B1769" s="1">
        <v>1754</v>
      </c>
      <c r="C1769" s="101">
        <f t="shared" ca="1" si="108"/>
        <v>-1.4398192637658858</v>
      </c>
      <c r="D1769" s="101">
        <f t="shared" ca="1" si="109"/>
        <v>0.57652139738472585</v>
      </c>
      <c r="E1769" s="101">
        <f t="shared" ca="1" si="110"/>
        <v>0</v>
      </c>
      <c r="F1769" s="21">
        <f t="shared" ca="1" si="111"/>
        <v>0</v>
      </c>
      <c r="H1769" s="21">
        <v>1754</v>
      </c>
      <c r="I1769" s="102">
        <v>0.66767604167937467</v>
      </c>
      <c r="J1769" s="103">
        <v>1.2272788641153921E-3</v>
      </c>
      <c r="K1769" s="103"/>
      <c r="L1769" s="103">
        <v>4.0800000000000003E-2</v>
      </c>
      <c r="O1769" s="100"/>
    </row>
    <row r="1770" spans="2:15" x14ac:dyDescent="0.2">
      <c r="B1770" s="1">
        <v>1755</v>
      </c>
      <c r="C1770" s="101">
        <f t="shared" ca="1" si="108"/>
        <v>-0.61387835580682271</v>
      </c>
      <c r="D1770" s="101">
        <f t="shared" ca="1" si="109"/>
        <v>0.62545811247924654</v>
      </c>
      <c r="E1770" s="101">
        <f t="shared" ca="1" si="110"/>
        <v>0</v>
      </c>
      <c r="F1770" s="21">
        <f t="shared" ca="1" si="111"/>
        <v>0</v>
      </c>
      <c r="H1770" s="21">
        <v>1755</v>
      </c>
      <c r="I1770" s="102">
        <v>0.66769160530852634</v>
      </c>
      <c r="J1770" s="103">
        <v>1.3773595259591843E-3</v>
      </c>
      <c r="K1770" s="103"/>
      <c r="L1770" s="103">
        <v>4.2799999999999998E-2</v>
      </c>
      <c r="O1770" s="100"/>
    </row>
    <row r="1771" spans="2:15" x14ac:dyDescent="0.2">
      <c r="B1771" s="1">
        <v>1756</v>
      </c>
      <c r="C1771" s="101">
        <f t="shared" ca="1" si="108"/>
        <v>0.87910251641838832</v>
      </c>
      <c r="D1771" s="101">
        <f t="shared" ca="1" si="109"/>
        <v>0.72469724445613926</v>
      </c>
      <c r="E1771" s="101">
        <f t="shared" ca="1" si="110"/>
        <v>0</v>
      </c>
      <c r="F1771" s="21">
        <f t="shared" ca="1" si="111"/>
        <v>0</v>
      </c>
      <c r="H1771" s="21">
        <v>1756</v>
      </c>
      <c r="I1771" s="102">
        <v>0.66775563921325864</v>
      </c>
      <c r="J1771" s="103">
        <v>1.3940868372584203E-3</v>
      </c>
      <c r="K1771" s="103"/>
      <c r="L1771" s="103">
        <v>4.2200000000000001E-2</v>
      </c>
      <c r="O1771" s="100"/>
    </row>
    <row r="1772" spans="2:15" x14ac:dyDescent="0.2">
      <c r="B1772" s="1">
        <v>1757</v>
      </c>
      <c r="C1772" s="101">
        <f t="shared" ca="1" si="108"/>
        <v>0.41065422732481255</v>
      </c>
      <c r="D1772" s="101">
        <f t="shared" ca="1" si="109"/>
        <v>0.69197208381447195</v>
      </c>
      <c r="E1772" s="101">
        <f t="shared" ca="1" si="110"/>
        <v>0</v>
      </c>
      <c r="F1772" s="21">
        <f t="shared" ca="1" si="111"/>
        <v>0</v>
      </c>
      <c r="H1772" s="21">
        <v>1757</v>
      </c>
      <c r="I1772" s="102">
        <v>0.66790964915519468</v>
      </c>
      <c r="J1772" s="103">
        <v>1.6809182107755634E-3</v>
      </c>
      <c r="K1772" s="103"/>
      <c r="L1772" s="103">
        <v>4.5400000000000003E-2</v>
      </c>
      <c r="O1772" s="100"/>
    </row>
    <row r="1773" spans="2:15" x14ac:dyDescent="0.2">
      <c r="B1773" s="1">
        <v>1758</v>
      </c>
      <c r="C1773" s="101">
        <f t="shared" ca="1" si="108"/>
        <v>-0.21327977997912426</v>
      </c>
      <c r="D1773" s="101">
        <f t="shared" ca="1" si="109"/>
        <v>0.65066826569455583</v>
      </c>
      <c r="E1773" s="101">
        <f t="shared" ca="1" si="110"/>
        <v>0</v>
      </c>
      <c r="F1773" s="21">
        <f t="shared" ca="1" si="111"/>
        <v>0</v>
      </c>
      <c r="H1773" s="21">
        <v>1758</v>
      </c>
      <c r="I1773" s="102">
        <v>0.66773162892379911</v>
      </c>
      <c r="J1773" s="103">
        <v>1.3543811215679965E-3</v>
      </c>
      <c r="K1773" s="103"/>
      <c r="L1773" s="103">
        <v>4.1399999999999999E-2</v>
      </c>
      <c r="O1773" s="100"/>
    </row>
    <row r="1774" spans="2:15" x14ac:dyDescent="0.2">
      <c r="B1774" s="1">
        <v>1759</v>
      </c>
      <c r="C1774" s="101">
        <f t="shared" ca="1" si="108"/>
        <v>-1.1299312266061983</v>
      </c>
      <c r="D1774" s="101">
        <f t="shared" ca="1" si="109"/>
        <v>0.59441648202508035</v>
      </c>
      <c r="E1774" s="101">
        <f t="shared" ca="1" si="110"/>
        <v>0</v>
      </c>
      <c r="F1774" s="21">
        <f t="shared" ca="1" si="111"/>
        <v>0</v>
      </c>
      <c r="H1774" s="21">
        <v>1759</v>
      </c>
      <c r="I1774" s="102">
        <v>0.66772594915762595</v>
      </c>
      <c r="J1774" s="103">
        <v>1.3020971587657578E-3</v>
      </c>
      <c r="K1774" s="103"/>
      <c r="L1774" s="103">
        <v>3.9199999999999999E-2</v>
      </c>
      <c r="O1774" s="100"/>
    </row>
    <row r="1775" spans="2:15" x14ac:dyDescent="0.2">
      <c r="B1775" s="1">
        <v>1760</v>
      </c>
      <c r="C1775" s="101">
        <f t="shared" ca="1" si="108"/>
        <v>0.52350612066229285</v>
      </c>
      <c r="D1775" s="101">
        <f t="shared" ca="1" si="109"/>
        <v>0.69971805397456877</v>
      </c>
      <c r="E1775" s="101">
        <f t="shared" ca="1" si="110"/>
        <v>0</v>
      </c>
      <c r="F1775" s="21">
        <f t="shared" ca="1" si="111"/>
        <v>0</v>
      </c>
      <c r="H1775" s="21">
        <v>1760</v>
      </c>
      <c r="I1775" s="102">
        <v>0.66795338928162051</v>
      </c>
      <c r="J1775" s="103">
        <v>1.4680854988109737E-3</v>
      </c>
      <c r="K1775" s="103"/>
      <c r="L1775" s="103">
        <v>4.5400000000000003E-2</v>
      </c>
      <c r="O1775" s="100"/>
    </row>
    <row r="1776" spans="2:15" x14ac:dyDescent="0.2">
      <c r="B1776" s="1">
        <v>1761</v>
      </c>
      <c r="C1776" s="101">
        <f t="shared" ca="1" si="108"/>
        <v>-0.31642510224327008</v>
      </c>
      <c r="D1776" s="101">
        <f t="shared" ca="1" si="109"/>
        <v>0.64408167621898627</v>
      </c>
      <c r="E1776" s="101">
        <f t="shared" ca="1" si="110"/>
        <v>0</v>
      </c>
      <c r="F1776" s="21">
        <f t="shared" ca="1" si="111"/>
        <v>0</v>
      </c>
      <c r="H1776" s="21">
        <v>1761</v>
      </c>
      <c r="I1776" s="102">
        <v>0.66770488166283093</v>
      </c>
      <c r="J1776" s="103">
        <v>1.3288233478060019E-3</v>
      </c>
      <c r="K1776" s="103"/>
      <c r="L1776" s="103">
        <v>3.7999999999999999E-2</v>
      </c>
      <c r="O1776" s="100"/>
    </row>
    <row r="1777" spans="2:15" x14ac:dyDescent="0.2">
      <c r="B1777" s="1">
        <v>1762</v>
      </c>
      <c r="C1777" s="101">
        <f t="shared" ca="1" si="108"/>
        <v>0.24325947108441312</v>
      </c>
      <c r="D1777" s="101">
        <f t="shared" ca="1" si="109"/>
        <v>0.68064002777122312</v>
      </c>
      <c r="E1777" s="101">
        <f t="shared" ca="1" si="110"/>
        <v>0</v>
      </c>
      <c r="F1777" s="21">
        <f t="shared" ca="1" si="111"/>
        <v>0</v>
      </c>
      <c r="H1777" s="21">
        <v>1762</v>
      </c>
      <c r="I1777" s="102">
        <v>0.66768230496245651</v>
      </c>
      <c r="J1777" s="103">
        <v>1.2726041703888316E-3</v>
      </c>
      <c r="K1777" s="103"/>
      <c r="L1777" s="103">
        <v>3.9399999999999998E-2</v>
      </c>
      <c r="O1777" s="100"/>
    </row>
    <row r="1778" spans="2:15" x14ac:dyDescent="0.2">
      <c r="B1778" s="1">
        <v>1763</v>
      </c>
      <c r="C1778" s="101">
        <f t="shared" ca="1" si="108"/>
        <v>1.0812043556589863</v>
      </c>
      <c r="D1778" s="101">
        <f t="shared" ca="1" si="109"/>
        <v>0.73928948322468657</v>
      </c>
      <c r="E1778" s="101">
        <f t="shared" ca="1" si="110"/>
        <v>0</v>
      </c>
      <c r="F1778" s="21">
        <f t="shared" ca="1" si="111"/>
        <v>0</v>
      </c>
      <c r="H1778" s="21">
        <v>1763</v>
      </c>
      <c r="I1778" s="102">
        <v>0.66766495472283793</v>
      </c>
      <c r="J1778" s="103">
        <v>1.4758508629654343E-3</v>
      </c>
      <c r="K1778" s="103"/>
      <c r="L1778" s="103">
        <v>4.1599999999999998E-2</v>
      </c>
      <c r="O1778" s="100"/>
    </row>
    <row r="1779" spans="2:15" x14ac:dyDescent="0.2">
      <c r="B1779" s="1">
        <v>1764</v>
      </c>
      <c r="C1779" s="101">
        <f t="shared" ca="1" si="108"/>
        <v>-1.1755446803134906</v>
      </c>
      <c r="D1779" s="101">
        <f t="shared" ca="1" si="109"/>
        <v>0.59174798919129445</v>
      </c>
      <c r="E1779" s="101">
        <f t="shared" ca="1" si="110"/>
        <v>0</v>
      </c>
      <c r="F1779" s="21">
        <f t="shared" ca="1" si="111"/>
        <v>0</v>
      </c>
      <c r="H1779" s="21">
        <v>1764</v>
      </c>
      <c r="I1779" s="102">
        <v>0.66767507172608209</v>
      </c>
      <c r="J1779" s="103">
        <v>1.3088058520090145E-3</v>
      </c>
      <c r="K1779" s="103"/>
      <c r="L1779" s="103">
        <v>4.0399999999999998E-2</v>
      </c>
      <c r="O1779" s="100"/>
    </row>
    <row r="1780" spans="2:15" x14ac:dyDescent="0.2">
      <c r="B1780" s="1">
        <v>1765</v>
      </c>
      <c r="C1780" s="101">
        <f t="shared" ca="1" si="108"/>
        <v>-0.46460683941131287</v>
      </c>
      <c r="D1780" s="101">
        <f t="shared" ca="1" si="109"/>
        <v>0.63473570615978947</v>
      </c>
      <c r="E1780" s="101">
        <f t="shared" ca="1" si="110"/>
        <v>0</v>
      </c>
      <c r="F1780" s="21">
        <f t="shared" ca="1" si="111"/>
        <v>0</v>
      </c>
      <c r="H1780" s="21">
        <v>1765</v>
      </c>
      <c r="I1780" s="102">
        <v>0.66780198912984345</v>
      </c>
      <c r="J1780" s="103">
        <v>1.426051977142385E-3</v>
      </c>
      <c r="K1780" s="103"/>
      <c r="L1780" s="103">
        <v>4.4999999999999998E-2</v>
      </c>
      <c r="O1780" s="100"/>
    </row>
    <row r="1781" spans="2:15" x14ac:dyDescent="0.2">
      <c r="B1781" s="1">
        <v>1766</v>
      </c>
      <c r="C1781" s="101">
        <f t="shared" ca="1" si="108"/>
        <v>0.22566321143688464</v>
      </c>
      <c r="D1781" s="101">
        <f t="shared" ca="1" si="109"/>
        <v>0.67945965306013423</v>
      </c>
      <c r="E1781" s="101">
        <f t="shared" ca="1" si="110"/>
        <v>0</v>
      </c>
      <c r="F1781" s="21">
        <f t="shared" ca="1" si="111"/>
        <v>0</v>
      </c>
      <c r="H1781" s="21">
        <v>1766</v>
      </c>
      <c r="I1781" s="102">
        <v>0.66773946314375909</v>
      </c>
      <c r="J1781" s="103">
        <v>1.3503653122749263E-3</v>
      </c>
      <c r="K1781" s="103"/>
      <c r="L1781" s="103">
        <v>4.3400000000000001E-2</v>
      </c>
      <c r="O1781" s="100"/>
    </row>
    <row r="1782" spans="2:15" x14ac:dyDescent="0.2">
      <c r="B1782" s="1">
        <v>1767</v>
      </c>
      <c r="C1782" s="101">
        <f t="shared" ca="1" si="108"/>
        <v>1.8007546561086085</v>
      </c>
      <c r="D1782" s="101">
        <f t="shared" ca="1" si="109"/>
        <v>0.79366936904280849</v>
      </c>
      <c r="E1782" s="101">
        <f t="shared" ca="1" si="110"/>
        <v>5.4693690428084807E-3</v>
      </c>
      <c r="F1782" s="21">
        <f t="shared" ca="1" si="111"/>
        <v>1</v>
      </c>
      <c r="H1782" s="21">
        <v>1767</v>
      </c>
      <c r="I1782" s="102">
        <v>0.66790669423082694</v>
      </c>
      <c r="J1782" s="103">
        <v>1.5452486171573551E-3</v>
      </c>
      <c r="K1782" s="103"/>
      <c r="L1782" s="103">
        <v>4.2999999999999997E-2</v>
      </c>
      <c r="O1782" s="100"/>
    </row>
    <row r="1783" spans="2:15" x14ac:dyDescent="0.2">
      <c r="B1783" s="1">
        <v>1768</v>
      </c>
      <c r="C1783" s="101">
        <f t="shared" ca="1" si="108"/>
        <v>-0.59319559570508429</v>
      </c>
      <c r="D1783" s="101">
        <f t="shared" ca="1" si="109"/>
        <v>0.62673545896895422</v>
      </c>
      <c r="E1783" s="101">
        <f t="shared" ca="1" si="110"/>
        <v>0</v>
      </c>
      <c r="F1783" s="21">
        <f t="shared" ca="1" si="111"/>
        <v>0</v>
      </c>
      <c r="H1783" s="21">
        <v>1768</v>
      </c>
      <c r="I1783" s="102">
        <v>0.66783626163944287</v>
      </c>
      <c r="J1783" s="103">
        <v>1.6678701734049489E-3</v>
      </c>
      <c r="K1783" s="103"/>
      <c r="L1783" s="103">
        <v>4.6600000000000003E-2</v>
      </c>
      <c r="O1783" s="100"/>
    </row>
    <row r="1784" spans="2:15" x14ac:dyDescent="0.2">
      <c r="B1784" s="1">
        <v>1769</v>
      </c>
      <c r="C1784" s="101">
        <f t="shared" ca="1" si="108"/>
        <v>-0.96826159175481941</v>
      </c>
      <c r="D1784" s="101">
        <f t="shared" ca="1" si="109"/>
        <v>0.60397181260984478</v>
      </c>
      <c r="E1784" s="101">
        <f t="shared" ca="1" si="110"/>
        <v>0</v>
      </c>
      <c r="F1784" s="21">
        <f t="shared" ca="1" si="111"/>
        <v>0</v>
      </c>
      <c r="H1784" s="21">
        <v>1769</v>
      </c>
      <c r="I1784" s="102">
        <v>0.66774513689324577</v>
      </c>
      <c r="J1784" s="103">
        <v>1.3259904812730045E-3</v>
      </c>
      <c r="K1784" s="103"/>
      <c r="L1784" s="103">
        <v>4.2799999999999998E-2</v>
      </c>
      <c r="O1784" s="100"/>
    </row>
    <row r="1785" spans="2:15" x14ac:dyDescent="0.2">
      <c r="B1785" s="1">
        <v>1770</v>
      </c>
      <c r="C1785" s="101">
        <f t="shared" ca="1" si="108"/>
        <v>-0.17484075716197101</v>
      </c>
      <c r="D1785" s="101">
        <f t="shared" ca="1" si="109"/>
        <v>0.6531400722369578</v>
      </c>
      <c r="E1785" s="101">
        <f t="shared" ca="1" si="110"/>
        <v>0</v>
      </c>
      <c r="F1785" s="21">
        <f t="shared" ca="1" si="111"/>
        <v>0</v>
      </c>
      <c r="H1785" s="21">
        <v>1770</v>
      </c>
      <c r="I1785" s="102">
        <v>0.66778925344657669</v>
      </c>
      <c r="J1785" s="103">
        <v>1.4531611360878228E-3</v>
      </c>
      <c r="K1785" s="103"/>
      <c r="L1785" s="103">
        <v>4.4200000000000003E-2</v>
      </c>
      <c r="O1785" s="100"/>
    </row>
    <row r="1786" spans="2:15" x14ac:dyDescent="0.2">
      <c r="B1786" s="1">
        <v>1771</v>
      </c>
      <c r="C1786" s="101">
        <f t="shared" ca="1" si="108"/>
        <v>0.37903808951552803</v>
      </c>
      <c r="D1786" s="101">
        <f t="shared" ca="1" si="109"/>
        <v>0.68981742128696477</v>
      </c>
      <c r="E1786" s="101">
        <f t="shared" ca="1" si="110"/>
        <v>0</v>
      </c>
      <c r="F1786" s="21">
        <f t="shared" ca="1" si="111"/>
        <v>0</v>
      </c>
      <c r="H1786" s="21">
        <v>1771</v>
      </c>
      <c r="I1786" s="102">
        <v>0.66781674373450728</v>
      </c>
      <c r="J1786" s="103">
        <v>1.4730858814268851E-3</v>
      </c>
      <c r="K1786" s="103"/>
      <c r="L1786" s="103">
        <v>4.3200000000000002E-2</v>
      </c>
      <c r="O1786" s="100"/>
    </row>
    <row r="1787" spans="2:15" x14ac:dyDescent="0.2">
      <c r="B1787" s="1">
        <v>1772</v>
      </c>
      <c r="C1787" s="101">
        <f t="shared" ca="1" si="108"/>
        <v>-0.88462535795183195</v>
      </c>
      <c r="D1787" s="101">
        <f t="shared" ca="1" si="109"/>
        <v>0.60897518391144934</v>
      </c>
      <c r="E1787" s="101">
        <f t="shared" ca="1" si="110"/>
        <v>0</v>
      </c>
      <c r="F1787" s="21">
        <f t="shared" ca="1" si="111"/>
        <v>0</v>
      </c>
      <c r="H1787" s="21">
        <v>1772</v>
      </c>
      <c r="I1787" s="102">
        <v>0.66768372316648894</v>
      </c>
      <c r="J1787" s="103">
        <v>1.1883761773173354E-3</v>
      </c>
      <c r="K1787" s="103"/>
      <c r="L1787" s="103">
        <v>3.9800000000000002E-2</v>
      </c>
      <c r="O1787" s="100"/>
    </row>
    <row r="1788" spans="2:15" x14ac:dyDescent="0.2">
      <c r="B1788" s="1">
        <v>1773</v>
      </c>
      <c r="C1788" s="101">
        <f t="shared" ca="1" si="108"/>
        <v>0.81208191250826223</v>
      </c>
      <c r="D1788" s="101">
        <f t="shared" ca="1" si="109"/>
        <v>0.7199220718142697</v>
      </c>
      <c r="E1788" s="101">
        <f t="shared" ca="1" si="110"/>
        <v>0</v>
      </c>
      <c r="F1788" s="21">
        <f t="shared" ca="1" si="111"/>
        <v>0</v>
      </c>
      <c r="H1788" s="21">
        <v>1773</v>
      </c>
      <c r="I1788" s="102">
        <v>0.66778359471315041</v>
      </c>
      <c r="J1788" s="103">
        <v>1.4143760781274827E-3</v>
      </c>
      <c r="K1788" s="103"/>
      <c r="L1788" s="103">
        <v>4.1200000000000001E-2</v>
      </c>
      <c r="O1788" s="100"/>
    </row>
    <row r="1789" spans="2:15" x14ac:dyDescent="0.2">
      <c r="B1789" s="1">
        <v>1774</v>
      </c>
      <c r="C1789" s="101">
        <f t="shared" ca="1" si="108"/>
        <v>-1.4635690886096289</v>
      </c>
      <c r="D1789" s="101">
        <f t="shared" ca="1" si="109"/>
        <v>0.5751723533444244</v>
      </c>
      <c r="E1789" s="101">
        <f t="shared" ca="1" si="110"/>
        <v>0</v>
      </c>
      <c r="F1789" s="21">
        <f t="shared" ca="1" si="111"/>
        <v>0</v>
      </c>
      <c r="H1789" s="21">
        <v>1774</v>
      </c>
      <c r="I1789" s="102">
        <v>0.66759575727644027</v>
      </c>
      <c r="J1789" s="103">
        <v>1.2015551085380906E-3</v>
      </c>
      <c r="K1789" s="103"/>
      <c r="L1789" s="103">
        <v>4.02E-2</v>
      </c>
      <c r="O1789" s="100"/>
    </row>
    <row r="1790" spans="2:15" x14ac:dyDescent="0.2">
      <c r="B1790" s="1">
        <v>1775</v>
      </c>
      <c r="C1790" s="101">
        <f t="shared" ca="1" si="108"/>
        <v>-1.01324914331291</v>
      </c>
      <c r="D1790" s="101">
        <f t="shared" ca="1" si="109"/>
        <v>0.6012975462242669</v>
      </c>
      <c r="E1790" s="101">
        <f t="shared" ca="1" si="110"/>
        <v>0</v>
      </c>
      <c r="F1790" s="21">
        <f t="shared" ca="1" si="111"/>
        <v>0</v>
      </c>
      <c r="H1790" s="21">
        <v>1775</v>
      </c>
      <c r="I1790" s="102">
        <v>0.66778167493752683</v>
      </c>
      <c r="J1790" s="103">
        <v>1.4937528465189037E-3</v>
      </c>
      <c r="K1790" s="103"/>
      <c r="L1790" s="103">
        <v>4.4400000000000002E-2</v>
      </c>
      <c r="O1790" s="100"/>
    </row>
    <row r="1791" spans="2:15" x14ac:dyDescent="0.2">
      <c r="B1791" s="1">
        <v>1776</v>
      </c>
      <c r="C1791" s="101">
        <f t="shared" ca="1" si="108"/>
        <v>-1.4299078901071043</v>
      </c>
      <c r="D1791" s="101">
        <f t="shared" ca="1" si="109"/>
        <v>0.57708532127877021</v>
      </c>
      <c r="E1791" s="101">
        <f t="shared" ca="1" si="110"/>
        <v>0</v>
      </c>
      <c r="F1791" s="21">
        <f t="shared" ca="1" si="111"/>
        <v>0</v>
      </c>
      <c r="H1791" s="21">
        <v>1776</v>
      </c>
      <c r="I1791" s="102">
        <v>0.66774313528413276</v>
      </c>
      <c r="J1791" s="103">
        <v>1.3715515558473251E-3</v>
      </c>
      <c r="K1791" s="103"/>
      <c r="L1791" s="103">
        <v>4.3400000000000001E-2</v>
      </c>
      <c r="O1791" s="100"/>
    </row>
    <row r="1792" spans="2:15" x14ac:dyDescent="0.2">
      <c r="B1792" s="1">
        <v>1777</v>
      </c>
      <c r="C1792" s="101">
        <f t="shared" ca="1" si="108"/>
        <v>-1.1775689117833259</v>
      </c>
      <c r="D1792" s="101">
        <f t="shared" ca="1" si="109"/>
        <v>0.59162984496401005</v>
      </c>
      <c r="E1792" s="101">
        <f t="shared" ca="1" si="110"/>
        <v>0</v>
      </c>
      <c r="F1792" s="21">
        <f t="shared" ca="1" si="111"/>
        <v>0</v>
      </c>
      <c r="H1792" s="21">
        <v>1777</v>
      </c>
      <c r="I1792" s="102">
        <v>0.66762245485838234</v>
      </c>
      <c r="J1792" s="103">
        <v>1.2605011387039167E-3</v>
      </c>
      <c r="K1792" s="103"/>
      <c r="L1792" s="103">
        <v>3.7999999999999999E-2</v>
      </c>
      <c r="O1792" s="100"/>
    </row>
    <row r="1793" spans="2:15" x14ac:dyDescent="0.2">
      <c r="B1793" s="1">
        <v>1778</v>
      </c>
      <c r="C1793" s="101">
        <f t="shared" ca="1" si="108"/>
        <v>0.70602855519759844</v>
      </c>
      <c r="D1793" s="101">
        <f t="shared" ca="1" si="109"/>
        <v>0.71243004779813746</v>
      </c>
      <c r="E1793" s="101">
        <f t="shared" ca="1" si="110"/>
        <v>0</v>
      </c>
      <c r="F1793" s="21">
        <f t="shared" ca="1" si="111"/>
        <v>0</v>
      </c>
      <c r="H1793" s="21">
        <v>1778</v>
      </c>
      <c r="I1793" s="102">
        <v>0.66780685435711429</v>
      </c>
      <c r="J1793" s="103">
        <v>1.3771235824769973E-3</v>
      </c>
      <c r="K1793" s="103"/>
      <c r="L1793" s="103">
        <v>4.58E-2</v>
      </c>
      <c r="O1793" s="100"/>
    </row>
    <row r="1794" spans="2:15" x14ac:dyDescent="0.2">
      <c r="B1794" s="1">
        <v>1779</v>
      </c>
      <c r="C1794" s="101">
        <f t="shared" ca="1" si="108"/>
        <v>-0.51968373629579401</v>
      </c>
      <c r="D1794" s="101">
        <f t="shared" ca="1" si="109"/>
        <v>0.63129662759153393</v>
      </c>
      <c r="E1794" s="101">
        <f t="shared" ca="1" si="110"/>
        <v>0</v>
      </c>
      <c r="F1794" s="21">
        <f t="shared" ca="1" si="111"/>
        <v>0</v>
      </c>
      <c r="H1794" s="21">
        <v>1779</v>
      </c>
      <c r="I1794" s="102">
        <v>0.66773330322683466</v>
      </c>
      <c r="J1794" s="103">
        <v>1.4809084955418126E-3</v>
      </c>
      <c r="K1794" s="103"/>
      <c r="L1794" s="103">
        <v>4.4600000000000001E-2</v>
      </c>
      <c r="O1794" s="100"/>
    </row>
    <row r="1795" spans="2:15" x14ac:dyDescent="0.2">
      <c r="B1795" s="1">
        <v>1780</v>
      </c>
      <c r="C1795" s="101">
        <f t="shared" ca="1" si="108"/>
        <v>0.67715541746913044</v>
      </c>
      <c r="D1795" s="101">
        <f t="shared" ca="1" si="109"/>
        <v>0.71040387348895306</v>
      </c>
      <c r="E1795" s="101">
        <f t="shared" ca="1" si="110"/>
        <v>0</v>
      </c>
      <c r="F1795" s="21">
        <f t="shared" ca="1" si="111"/>
        <v>0</v>
      </c>
      <c r="H1795" s="21">
        <v>1780</v>
      </c>
      <c r="I1795" s="102">
        <v>0.66781067043650943</v>
      </c>
      <c r="J1795" s="103">
        <v>1.5203630182874901E-3</v>
      </c>
      <c r="K1795" s="103"/>
      <c r="L1795" s="103">
        <v>4.6800000000000001E-2</v>
      </c>
      <c r="O1795" s="100"/>
    </row>
    <row r="1796" spans="2:15" x14ac:dyDescent="0.2">
      <c r="B1796" s="1">
        <v>1781</v>
      </c>
      <c r="C1796" s="101">
        <f t="shared" ca="1" si="108"/>
        <v>-0.64743774142209221</v>
      </c>
      <c r="D1796" s="101">
        <f t="shared" ca="1" si="109"/>
        <v>0.62339105526060734</v>
      </c>
      <c r="E1796" s="101">
        <f t="shared" ca="1" si="110"/>
        <v>0</v>
      </c>
      <c r="F1796" s="21">
        <f t="shared" ca="1" si="111"/>
        <v>0</v>
      </c>
      <c r="H1796" s="21">
        <v>1781</v>
      </c>
      <c r="I1796" s="102">
        <v>0.66782404757010727</v>
      </c>
      <c r="J1796" s="103">
        <v>1.4276734257925017E-3</v>
      </c>
      <c r="K1796" s="103"/>
      <c r="L1796" s="103">
        <v>4.2799999999999998E-2</v>
      </c>
      <c r="O1796" s="100"/>
    </row>
    <row r="1797" spans="2:15" x14ac:dyDescent="0.2">
      <c r="B1797" s="1">
        <v>1782</v>
      </c>
      <c r="C1797" s="101">
        <f t="shared" ca="1" si="108"/>
        <v>5.722172011660432E-2</v>
      </c>
      <c r="D1797" s="101">
        <f t="shared" ca="1" si="109"/>
        <v>0.66826350372911147</v>
      </c>
      <c r="E1797" s="101">
        <f t="shared" ca="1" si="110"/>
        <v>0</v>
      </c>
      <c r="F1797" s="21">
        <f t="shared" ca="1" si="111"/>
        <v>0</v>
      </c>
      <c r="H1797" s="21">
        <v>1782</v>
      </c>
      <c r="I1797" s="102">
        <v>0.66772379493243572</v>
      </c>
      <c r="J1797" s="103">
        <v>1.3641512286066198E-3</v>
      </c>
      <c r="K1797" s="103"/>
      <c r="L1797" s="103">
        <v>4.36E-2</v>
      </c>
      <c r="O1797" s="100"/>
    </row>
    <row r="1798" spans="2:15" x14ac:dyDescent="0.2">
      <c r="B1798" s="1">
        <v>1783</v>
      </c>
      <c r="C1798" s="101">
        <f t="shared" ca="1" si="108"/>
        <v>-1.1090748472244962</v>
      </c>
      <c r="D1798" s="101">
        <f t="shared" ca="1" si="109"/>
        <v>0.59564063438931092</v>
      </c>
      <c r="E1798" s="101">
        <f t="shared" ca="1" si="110"/>
        <v>0</v>
      </c>
      <c r="F1798" s="21">
        <f t="shared" ca="1" si="111"/>
        <v>0</v>
      </c>
      <c r="H1798" s="21">
        <v>1783</v>
      </c>
      <c r="I1798" s="102">
        <v>0.66770978031913297</v>
      </c>
      <c r="J1798" s="103">
        <v>1.273672984462575E-3</v>
      </c>
      <c r="K1798" s="103"/>
      <c r="L1798" s="103">
        <v>3.8199999999999998E-2</v>
      </c>
      <c r="O1798" s="100"/>
    </row>
    <row r="1799" spans="2:15" x14ac:dyDescent="0.2">
      <c r="B1799" s="1">
        <v>1784</v>
      </c>
      <c r="C1799" s="101">
        <f t="shared" ca="1" si="108"/>
        <v>-0.45960856152024826</v>
      </c>
      <c r="D1799" s="101">
        <f t="shared" ca="1" si="109"/>
        <v>0.63504873135448781</v>
      </c>
      <c r="E1799" s="101">
        <f t="shared" ca="1" si="110"/>
        <v>0</v>
      </c>
      <c r="F1799" s="21">
        <f t="shared" ca="1" si="111"/>
        <v>0</v>
      </c>
      <c r="H1799" s="21">
        <v>1784</v>
      </c>
      <c r="I1799" s="102">
        <v>0.66771262156354783</v>
      </c>
      <c r="J1799" s="103">
        <v>1.2307510926372969E-3</v>
      </c>
      <c r="K1799" s="103"/>
      <c r="L1799" s="103">
        <v>3.9600000000000003E-2</v>
      </c>
      <c r="O1799" s="100"/>
    </row>
    <row r="1800" spans="2:15" x14ac:dyDescent="0.2">
      <c r="B1800" s="1">
        <v>1785</v>
      </c>
      <c r="C1800" s="101">
        <f t="shared" ca="1" si="108"/>
        <v>1.3615073572272114</v>
      </c>
      <c r="D1800" s="101">
        <f t="shared" ca="1" si="109"/>
        <v>0.7600156512648778</v>
      </c>
      <c r="E1800" s="101">
        <f t="shared" ca="1" si="110"/>
        <v>0</v>
      </c>
      <c r="F1800" s="21">
        <f t="shared" ca="1" si="111"/>
        <v>0</v>
      </c>
      <c r="H1800" s="21">
        <v>1785</v>
      </c>
      <c r="I1800" s="102">
        <v>0.66782249489209167</v>
      </c>
      <c r="J1800" s="103">
        <v>1.4869779803146613E-3</v>
      </c>
      <c r="K1800" s="103"/>
      <c r="L1800" s="103">
        <v>4.1799999999999997E-2</v>
      </c>
      <c r="O1800" s="100"/>
    </row>
    <row r="1801" spans="2:15" x14ac:dyDescent="0.2">
      <c r="B1801" s="1">
        <v>1786</v>
      </c>
      <c r="C1801" s="101">
        <f t="shared" ca="1" si="108"/>
        <v>9.6334067482651414E-2</v>
      </c>
      <c r="D1801" s="101">
        <f t="shared" ca="1" si="109"/>
        <v>0.67084670692417869</v>
      </c>
      <c r="E1801" s="101">
        <f t="shared" ca="1" si="110"/>
        <v>0</v>
      </c>
      <c r="F1801" s="21">
        <f t="shared" ca="1" si="111"/>
        <v>0</v>
      </c>
      <c r="H1801" s="21">
        <v>1786</v>
      </c>
      <c r="I1801" s="102">
        <v>0.66771280553837953</v>
      </c>
      <c r="J1801" s="103">
        <v>1.4131062314599891E-3</v>
      </c>
      <c r="K1801" s="103"/>
      <c r="L1801" s="103">
        <v>4.1799999999999997E-2</v>
      </c>
      <c r="O1801" s="100"/>
    </row>
    <row r="1802" spans="2:15" x14ac:dyDescent="0.2">
      <c r="B1802" s="1">
        <v>1787</v>
      </c>
      <c r="C1802" s="101">
        <f t="shared" ca="1" si="108"/>
        <v>-0.14746337715688318</v>
      </c>
      <c r="D1802" s="101">
        <f t="shared" ca="1" si="109"/>
        <v>0.65490628761494241</v>
      </c>
      <c r="E1802" s="101">
        <f t="shared" ca="1" si="110"/>
        <v>0</v>
      </c>
      <c r="F1802" s="21">
        <f t="shared" ca="1" si="111"/>
        <v>0</v>
      </c>
      <c r="H1802" s="21">
        <v>1787</v>
      </c>
      <c r="I1802" s="102">
        <v>0.66767855529219877</v>
      </c>
      <c r="J1802" s="103">
        <v>1.2259234775166584E-3</v>
      </c>
      <c r="K1802" s="103"/>
      <c r="L1802" s="103">
        <v>4.1000000000000002E-2</v>
      </c>
      <c r="O1802" s="100"/>
    </row>
    <row r="1803" spans="2:15" x14ac:dyDescent="0.2">
      <c r="B1803" s="1">
        <v>1788</v>
      </c>
      <c r="C1803" s="101">
        <f t="shared" ca="1" si="108"/>
        <v>-1.2160724526043993</v>
      </c>
      <c r="D1803" s="101">
        <f t="shared" ca="1" si="109"/>
        <v>0.58938707272799651</v>
      </c>
      <c r="E1803" s="101">
        <f t="shared" ca="1" si="110"/>
        <v>0</v>
      </c>
      <c r="F1803" s="21">
        <f t="shared" ca="1" si="111"/>
        <v>0</v>
      </c>
      <c r="H1803" s="21">
        <v>1788</v>
      </c>
      <c r="I1803" s="102">
        <v>0.66763321387953545</v>
      </c>
      <c r="J1803" s="103">
        <v>1.1795675997228487E-3</v>
      </c>
      <c r="K1803" s="103"/>
      <c r="L1803" s="103">
        <v>3.7600000000000001E-2</v>
      </c>
      <c r="O1803" s="100"/>
    </row>
    <row r="1804" spans="2:15" x14ac:dyDescent="0.2">
      <c r="B1804" s="1">
        <v>1789</v>
      </c>
      <c r="C1804" s="101">
        <f t="shared" ca="1" si="108"/>
        <v>0.17742433456623483</v>
      </c>
      <c r="D1804" s="101">
        <f t="shared" ca="1" si="109"/>
        <v>0.67623422834644387</v>
      </c>
      <c r="E1804" s="101">
        <f t="shared" ca="1" si="110"/>
        <v>0</v>
      </c>
      <c r="F1804" s="21">
        <f t="shared" ca="1" si="111"/>
        <v>0</v>
      </c>
      <c r="H1804" s="21">
        <v>1789</v>
      </c>
      <c r="I1804" s="102">
        <v>0.66782287074174551</v>
      </c>
      <c r="J1804" s="103">
        <v>1.3592100896775967E-3</v>
      </c>
      <c r="K1804" s="103"/>
      <c r="L1804" s="103">
        <v>4.9399999999999999E-2</v>
      </c>
      <c r="O1804" s="100"/>
    </row>
    <row r="1805" spans="2:15" x14ac:dyDescent="0.2">
      <c r="B1805" s="1">
        <v>1790</v>
      </c>
      <c r="C1805" s="101">
        <f t="shared" ca="1" si="108"/>
        <v>-8.6611207094077602E-2</v>
      </c>
      <c r="D1805" s="101">
        <f t="shared" ca="1" si="109"/>
        <v>0.65884920990446638</v>
      </c>
      <c r="E1805" s="101">
        <f t="shared" ca="1" si="110"/>
        <v>0</v>
      </c>
      <c r="F1805" s="21">
        <f t="shared" ca="1" si="111"/>
        <v>0</v>
      </c>
      <c r="H1805" s="21">
        <v>1790</v>
      </c>
      <c r="I1805" s="102">
        <v>0.66771689323034966</v>
      </c>
      <c r="J1805" s="103">
        <v>1.3784163996903582E-3</v>
      </c>
      <c r="K1805" s="103"/>
      <c r="L1805" s="103">
        <v>3.8399999999999997E-2</v>
      </c>
      <c r="O1805" s="100"/>
    </row>
    <row r="1806" spans="2:15" x14ac:dyDescent="0.2">
      <c r="B1806" s="1">
        <v>1791</v>
      </c>
      <c r="C1806" s="101">
        <f t="shared" ca="1" si="108"/>
        <v>1.2221540383346188</v>
      </c>
      <c r="D1806" s="101">
        <f t="shared" ca="1" si="109"/>
        <v>0.74963995458601307</v>
      </c>
      <c r="E1806" s="101">
        <f t="shared" ca="1" si="110"/>
        <v>0</v>
      </c>
      <c r="F1806" s="21">
        <f t="shared" ca="1" si="111"/>
        <v>0</v>
      </c>
      <c r="H1806" s="21">
        <v>1791</v>
      </c>
      <c r="I1806" s="102">
        <v>0.66777369111341744</v>
      </c>
      <c r="J1806" s="103">
        <v>1.352679039473067E-3</v>
      </c>
      <c r="K1806" s="103"/>
      <c r="L1806" s="103">
        <v>4.3999999999999997E-2</v>
      </c>
      <c r="O1806" s="100"/>
    </row>
    <row r="1807" spans="2:15" x14ac:dyDescent="0.2">
      <c r="B1807" s="1">
        <v>1792</v>
      </c>
      <c r="C1807" s="101">
        <f t="shared" ca="1" si="108"/>
        <v>0.28284469875453416</v>
      </c>
      <c r="D1807" s="101">
        <f t="shared" ca="1" si="109"/>
        <v>0.68330294527869062</v>
      </c>
      <c r="E1807" s="101">
        <f t="shared" ca="1" si="110"/>
        <v>0</v>
      </c>
      <c r="F1807" s="21">
        <f t="shared" ca="1" si="111"/>
        <v>0</v>
      </c>
      <c r="H1807" s="21">
        <v>1792</v>
      </c>
      <c r="I1807" s="102">
        <v>0.66788166567336837</v>
      </c>
      <c r="J1807" s="103">
        <v>1.5776995292421216E-3</v>
      </c>
      <c r="K1807" s="103"/>
      <c r="L1807" s="103">
        <v>4.6600000000000003E-2</v>
      </c>
      <c r="O1807" s="100"/>
    </row>
    <row r="1808" spans="2:15" x14ac:dyDescent="0.2">
      <c r="B1808" s="1">
        <v>1793</v>
      </c>
      <c r="C1808" s="101">
        <f t="shared" ref="C1808:C1871" ca="1" si="112">_xlfn.NORM.S.INV(RAND())</f>
        <v>1.4032844582501582</v>
      </c>
      <c r="D1808" s="101">
        <f t="shared" ref="D1808:D1871" ca="1" si="113">S0*EXP((μ-0.5*σ*σ)*T+σ*SQRT(T)*$C1808)</f>
        <v>0.76315409897234199</v>
      </c>
      <c r="E1808" s="101">
        <f t="shared" ref="E1808:E1871" ca="1" si="114">MAX(0,CP*(D1808-K))</f>
        <v>0</v>
      </c>
      <c r="F1808" s="21">
        <f t="shared" ref="F1808:F1871" ca="1" si="115">(CP*(D1808-K)&gt;0)*1</f>
        <v>0</v>
      </c>
      <c r="H1808" s="21">
        <v>1793</v>
      </c>
      <c r="I1808" s="102">
        <v>0.66778334347417889</v>
      </c>
      <c r="J1808" s="103">
        <v>1.4437127847724987E-3</v>
      </c>
      <c r="K1808" s="103"/>
      <c r="L1808" s="103">
        <v>3.9E-2</v>
      </c>
      <c r="O1808" s="100"/>
    </row>
    <row r="1809" spans="2:15" x14ac:dyDescent="0.2">
      <c r="B1809" s="1">
        <v>1794</v>
      </c>
      <c r="C1809" s="101">
        <f t="shared" ca="1" si="112"/>
        <v>-0.21308781442016556</v>
      </c>
      <c r="D1809" s="101">
        <f t="shared" ca="1" si="113"/>
        <v>0.65068058669451678</v>
      </c>
      <c r="E1809" s="101">
        <f t="shared" ca="1" si="114"/>
        <v>0</v>
      </c>
      <c r="F1809" s="21">
        <f t="shared" ca="1" si="115"/>
        <v>0</v>
      </c>
      <c r="H1809" s="21">
        <v>1794</v>
      </c>
      <c r="I1809" s="102">
        <v>0.66778905388262455</v>
      </c>
      <c r="J1809" s="103">
        <v>1.4356351002323892E-3</v>
      </c>
      <c r="K1809" s="103"/>
      <c r="L1809" s="103">
        <v>4.3200000000000002E-2</v>
      </c>
      <c r="O1809" s="100"/>
    </row>
    <row r="1810" spans="2:15" x14ac:dyDescent="0.2">
      <c r="B1810" s="1">
        <v>1795</v>
      </c>
      <c r="C1810" s="101">
        <f t="shared" ca="1" si="112"/>
        <v>-1.7437034140984817</v>
      </c>
      <c r="D1810" s="101">
        <f t="shared" ca="1" si="113"/>
        <v>0.55949630273483897</v>
      </c>
      <c r="E1810" s="101">
        <f t="shared" ca="1" si="114"/>
        <v>0</v>
      </c>
      <c r="F1810" s="21">
        <f t="shared" ca="1" si="115"/>
        <v>0</v>
      </c>
      <c r="H1810" s="21">
        <v>1795</v>
      </c>
      <c r="I1810" s="102">
        <v>0.6676541638170197</v>
      </c>
      <c r="J1810" s="103">
        <v>1.2546432882903239E-3</v>
      </c>
      <c r="K1810" s="103"/>
      <c r="L1810" s="103">
        <v>3.9399999999999998E-2</v>
      </c>
      <c r="O1810" s="100"/>
    </row>
    <row r="1811" spans="2:15" x14ac:dyDescent="0.2">
      <c r="B1811" s="1">
        <v>1796</v>
      </c>
      <c r="C1811" s="101">
        <f t="shared" ca="1" si="112"/>
        <v>-0.10912542950452896</v>
      </c>
      <c r="D1811" s="101">
        <f t="shared" ca="1" si="113"/>
        <v>0.65738763955603174</v>
      </c>
      <c r="E1811" s="101">
        <f t="shared" ca="1" si="114"/>
        <v>0</v>
      </c>
      <c r="F1811" s="21">
        <f t="shared" ca="1" si="115"/>
        <v>0</v>
      </c>
      <c r="H1811" s="21">
        <v>1796</v>
      </c>
      <c r="I1811" s="102">
        <v>0.66760601501398309</v>
      </c>
      <c r="J1811" s="103">
        <v>1.1060233923646968E-3</v>
      </c>
      <c r="K1811" s="103"/>
      <c r="L1811" s="103">
        <v>3.6799999999999999E-2</v>
      </c>
      <c r="O1811" s="100"/>
    </row>
    <row r="1812" spans="2:15" x14ac:dyDescent="0.2">
      <c r="B1812" s="1">
        <v>1797</v>
      </c>
      <c r="C1812" s="101">
        <f t="shared" ca="1" si="112"/>
        <v>1.1377702675603587</v>
      </c>
      <c r="D1812" s="101">
        <f t="shared" ca="1" si="113"/>
        <v>0.7434260535242766</v>
      </c>
      <c r="E1812" s="101">
        <f t="shared" ca="1" si="114"/>
        <v>0</v>
      </c>
      <c r="F1812" s="21">
        <f t="shared" ca="1" si="115"/>
        <v>0</v>
      </c>
      <c r="H1812" s="21">
        <v>1797</v>
      </c>
      <c r="I1812" s="102">
        <v>0.66773533494540693</v>
      </c>
      <c r="J1812" s="103">
        <v>1.4153415516015143E-3</v>
      </c>
      <c r="K1812" s="103"/>
      <c r="L1812" s="103">
        <v>4.0800000000000003E-2</v>
      </c>
      <c r="O1812" s="100"/>
    </row>
    <row r="1813" spans="2:15" x14ac:dyDescent="0.2">
      <c r="B1813" s="1">
        <v>1798</v>
      </c>
      <c r="C1813" s="101">
        <f t="shared" ca="1" si="112"/>
        <v>-0.51306690252447817</v>
      </c>
      <c r="D1813" s="101">
        <f t="shared" ca="1" si="113"/>
        <v>0.63170880514075223</v>
      </c>
      <c r="E1813" s="101">
        <f t="shared" ca="1" si="114"/>
        <v>0</v>
      </c>
      <c r="F1813" s="21">
        <f t="shared" ca="1" si="115"/>
        <v>0</v>
      </c>
      <c r="H1813" s="21">
        <v>1798</v>
      </c>
      <c r="I1813" s="102">
        <v>0.66767947706403685</v>
      </c>
      <c r="J1813" s="103">
        <v>1.3279690608365433E-3</v>
      </c>
      <c r="K1813" s="103"/>
      <c r="L1813" s="103">
        <v>4.0399999999999998E-2</v>
      </c>
      <c r="O1813" s="100"/>
    </row>
    <row r="1814" spans="2:15" x14ac:dyDescent="0.2">
      <c r="B1814" s="1">
        <v>1799</v>
      </c>
      <c r="C1814" s="101">
        <f t="shared" ca="1" si="112"/>
        <v>0.76367188568455624</v>
      </c>
      <c r="D1814" s="101">
        <f t="shared" ca="1" si="113"/>
        <v>0.71649247397127114</v>
      </c>
      <c r="E1814" s="101">
        <f t="shared" ca="1" si="114"/>
        <v>0</v>
      </c>
      <c r="F1814" s="21">
        <f t="shared" ca="1" si="115"/>
        <v>0</v>
      </c>
      <c r="H1814" s="21">
        <v>1799</v>
      </c>
      <c r="I1814" s="102">
        <v>0.66768533676999164</v>
      </c>
      <c r="J1814" s="103">
        <v>1.3223168702295761E-3</v>
      </c>
      <c r="K1814" s="103"/>
      <c r="L1814" s="103">
        <v>3.7600000000000001E-2</v>
      </c>
      <c r="O1814" s="100"/>
    </row>
    <row r="1815" spans="2:15" x14ac:dyDescent="0.2">
      <c r="B1815" s="1">
        <v>1800</v>
      </c>
      <c r="C1815" s="101">
        <f t="shared" ca="1" si="112"/>
        <v>0.56204350176201978</v>
      </c>
      <c r="D1815" s="101">
        <f t="shared" ca="1" si="113"/>
        <v>0.70238300908750995</v>
      </c>
      <c r="E1815" s="101">
        <f t="shared" ca="1" si="114"/>
        <v>0</v>
      </c>
      <c r="F1815" s="21">
        <f t="shared" ca="1" si="115"/>
        <v>0</v>
      </c>
      <c r="H1815" s="21">
        <v>1800</v>
      </c>
      <c r="I1815" s="102">
        <v>0.66791661418180404</v>
      </c>
      <c r="J1815" s="103">
        <v>1.6836880307308985E-3</v>
      </c>
      <c r="K1815" s="103"/>
      <c r="L1815" s="103">
        <v>4.7199999999999999E-2</v>
      </c>
      <c r="O1815" s="100"/>
    </row>
    <row r="1816" spans="2:15" x14ac:dyDescent="0.2">
      <c r="B1816" s="1">
        <v>1801</v>
      </c>
      <c r="C1816" s="101">
        <f t="shared" ca="1" si="112"/>
        <v>2.0865830806193437</v>
      </c>
      <c r="D1816" s="101">
        <f t="shared" ca="1" si="113"/>
        <v>0.81636491721986415</v>
      </c>
      <c r="E1816" s="101">
        <f t="shared" ca="1" si="114"/>
        <v>2.8164917219864138E-2</v>
      </c>
      <c r="F1816" s="21">
        <f t="shared" ca="1" si="115"/>
        <v>1</v>
      </c>
      <c r="H1816" s="21">
        <v>1801</v>
      </c>
      <c r="I1816" s="102">
        <v>0.66790622561565116</v>
      </c>
      <c r="J1816" s="103">
        <v>1.63486877191067E-3</v>
      </c>
      <c r="K1816" s="103"/>
      <c r="L1816" s="103">
        <v>4.48E-2</v>
      </c>
      <c r="O1816" s="100"/>
    </row>
    <row r="1817" spans="2:15" x14ac:dyDescent="0.2">
      <c r="B1817" s="1">
        <v>1802</v>
      </c>
      <c r="C1817" s="101">
        <f t="shared" ca="1" si="112"/>
        <v>-0.32105708834292435</v>
      </c>
      <c r="D1817" s="101">
        <f t="shared" ca="1" si="113"/>
        <v>0.643787459139604</v>
      </c>
      <c r="E1817" s="101">
        <f t="shared" ca="1" si="114"/>
        <v>0</v>
      </c>
      <c r="F1817" s="21">
        <f t="shared" ca="1" si="115"/>
        <v>0</v>
      </c>
      <c r="H1817" s="21">
        <v>1802</v>
      </c>
      <c r="I1817" s="102">
        <v>0.66775538334499029</v>
      </c>
      <c r="J1817" s="103">
        <v>1.4018046240462524E-3</v>
      </c>
      <c r="K1817" s="103"/>
      <c r="L1817" s="103">
        <v>4.1799999999999997E-2</v>
      </c>
      <c r="O1817" s="100"/>
    </row>
    <row r="1818" spans="2:15" x14ac:dyDescent="0.2">
      <c r="B1818" s="1">
        <v>1803</v>
      </c>
      <c r="C1818" s="101">
        <f t="shared" ca="1" si="112"/>
        <v>-0.72912533595259565</v>
      </c>
      <c r="D1818" s="101">
        <f t="shared" ca="1" si="113"/>
        <v>0.61838809530808081</v>
      </c>
      <c r="E1818" s="101">
        <f t="shared" ca="1" si="114"/>
        <v>0</v>
      </c>
      <c r="F1818" s="21">
        <f t="shared" ca="1" si="115"/>
        <v>0</v>
      </c>
      <c r="H1818" s="21">
        <v>1803</v>
      </c>
      <c r="I1818" s="102">
        <v>0.66773273327884897</v>
      </c>
      <c r="J1818" s="103">
        <v>1.3511780304327696E-3</v>
      </c>
      <c r="K1818" s="103"/>
      <c r="L1818" s="103">
        <v>4.1200000000000001E-2</v>
      </c>
      <c r="O1818" s="100"/>
    </row>
    <row r="1819" spans="2:15" x14ac:dyDescent="0.2">
      <c r="B1819" s="1">
        <v>1804</v>
      </c>
      <c r="C1819" s="101">
        <f t="shared" ca="1" si="112"/>
        <v>-0.91818834601370658</v>
      </c>
      <c r="D1819" s="101">
        <f t="shared" ca="1" si="113"/>
        <v>0.6069623849306971</v>
      </c>
      <c r="E1819" s="101">
        <f t="shared" ca="1" si="114"/>
        <v>0</v>
      </c>
      <c r="F1819" s="21">
        <f t="shared" ca="1" si="115"/>
        <v>0</v>
      </c>
      <c r="H1819" s="21">
        <v>1804</v>
      </c>
      <c r="I1819" s="102">
        <v>0.66773933993279011</v>
      </c>
      <c r="J1819" s="103">
        <v>1.4029578655000742E-3</v>
      </c>
      <c r="K1819" s="103"/>
      <c r="L1819" s="103">
        <v>4.2200000000000001E-2</v>
      </c>
      <c r="O1819" s="100"/>
    </row>
    <row r="1820" spans="2:15" x14ac:dyDescent="0.2">
      <c r="B1820" s="1">
        <v>1805</v>
      </c>
      <c r="C1820" s="101">
        <f t="shared" ca="1" si="112"/>
        <v>-0.58986789101481507</v>
      </c>
      <c r="D1820" s="101">
        <f t="shared" ca="1" si="113"/>
        <v>0.62694121815177695</v>
      </c>
      <c r="E1820" s="101">
        <f t="shared" ca="1" si="114"/>
        <v>0</v>
      </c>
      <c r="F1820" s="21">
        <f t="shared" ca="1" si="115"/>
        <v>0</v>
      </c>
      <c r="H1820" s="21">
        <v>1805</v>
      </c>
      <c r="I1820" s="102">
        <v>0.66767005832091808</v>
      </c>
      <c r="J1820" s="103">
        <v>1.2512178136200073E-3</v>
      </c>
      <c r="K1820" s="103"/>
      <c r="L1820" s="103">
        <v>3.9199999999999999E-2</v>
      </c>
      <c r="O1820" s="100"/>
    </row>
    <row r="1821" spans="2:15" x14ac:dyDescent="0.2">
      <c r="B1821" s="1">
        <v>1806</v>
      </c>
      <c r="C1821" s="101">
        <f t="shared" ca="1" si="112"/>
        <v>-0.63557696442417488</v>
      </c>
      <c r="D1821" s="101">
        <f t="shared" ca="1" si="113"/>
        <v>0.62412082640426469</v>
      </c>
      <c r="E1821" s="101">
        <f t="shared" ca="1" si="114"/>
        <v>0</v>
      </c>
      <c r="F1821" s="21">
        <f t="shared" ca="1" si="115"/>
        <v>0</v>
      </c>
      <c r="H1821" s="21">
        <v>1806</v>
      </c>
      <c r="I1821" s="102">
        <v>0.66773414621608895</v>
      </c>
      <c r="J1821" s="103">
        <v>1.3930787549183866E-3</v>
      </c>
      <c r="K1821" s="103"/>
      <c r="L1821" s="103">
        <v>4.3400000000000001E-2</v>
      </c>
      <c r="O1821" s="100"/>
    </row>
    <row r="1822" spans="2:15" x14ac:dyDescent="0.2">
      <c r="B1822" s="1">
        <v>1807</v>
      </c>
      <c r="C1822" s="101">
        <f t="shared" ca="1" si="112"/>
        <v>-1.5423525086246432</v>
      </c>
      <c r="D1822" s="101">
        <f t="shared" ca="1" si="113"/>
        <v>0.57071983918275482</v>
      </c>
      <c r="E1822" s="101">
        <f t="shared" ca="1" si="114"/>
        <v>0</v>
      </c>
      <c r="F1822" s="21">
        <f t="shared" ca="1" si="115"/>
        <v>0</v>
      </c>
      <c r="H1822" s="21">
        <v>1807</v>
      </c>
      <c r="I1822" s="102">
        <v>0.66774040901321174</v>
      </c>
      <c r="J1822" s="103">
        <v>1.3392880790864855E-3</v>
      </c>
      <c r="K1822" s="103"/>
      <c r="L1822" s="103">
        <v>4.2000000000000003E-2</v>
      </c>
      <c r="O1822" s="100"/>
    </row>
    <row r="1823" spans="2:15" x14ac:dyDescent="0.2">
      <c r="B1823" s="1">
        <v>1808</v>
      </c>
      <c r="C1823" s="101">
        <f t="shared" ca="1" si="112"/>
        <v>-2.4275154551780028E-3</v>
      </c>
      <c r="D1823" s="101">
        <f t="shared" ca="1" si="113"/>
        <v>0.66434306668054932</v>
      </c>
      <c r="E1823" s="101">
        <f t="shared" ca="1" si="114"/>
        <v>0</v>
      </c>
      <c r="F1823" s="21">
        <f t="shared" ca="1" si="115"/>
        <v>0</v>
      </c>
      <c r="H1823" s="21">
        <v>1808</v>
      </c>
      <c r="I1823" s="102">
        <v>0.66771496304299205</v>
      </c>
      <c r="J1823" s="103">
        <v>1.3553144796048524E-3</v>
      </c>
      <c r="K1823" s="103"/>
      <c r="L1823" s="103">
        <v>4.4200000000000003E-2</v>
      </c>
      <c r="O1823" s="100"/>
    </row>
    <row r="1824" spans="2:15" x14ac:dyDescent="0.2">
      <c r="B1824" s="1">
        <v>1809</v>
      </c>
      <c r="C1824" s="101">
        <f t="shared" ca="1" si="112"/>
        <v>-0.66830152672556342</v>
      </c>
      <c r="D1824" s="101">
        <f t="shared" ca="1" si="113"/>
        <v>0.62210941614685988</v>
      </c>
      <c r="E1824" s="101">
        <f t="shared" ca="1" si="114"/>
        <v>0</v>
      </c>
      <c r="F1824" s="21">
        <f t="shared" ca="1" si="115"/>
        <v>0</v>
      </c>
      <c r="H1824" s="21">
        <v>1809</v>
      </c>
      <c r="I1824" s="102">
        <v>0.66775952153217133</v>
      </c>
      <c r="J1824" s="103">
        <v>1.3904584122624609E-3</v>
      </c>
      <c r="K1824" s="103"/>
      <c r="L1824" s="103">
        <v>4.3999999999999997E-2</v>
      </c>
      <c r="O1824" s="100"/>
    </row>
    <row r="1825" spans="2:15" x14ac:dyDescent="0.2">
      <c r="B1825" s="1">
        <v>1810</v>
      </c>
      <c r="C1825" s="101">
        <f t="shared" ca="1" si="112"/>
        <v>0.92003419435393297</v>
      </c>
      <c r="D1825" s="101">
        <f t="shared" ca="1" si="113"/>
        <v>0.72762916433347136</v>
      </c>
      <c r="E1825" s="101">
        <f t="shared" ca="1" si="114"/>
        <v>0</v>
      </c>
      <c r="F1825" s="21">
        <f t="shared" ca="1" si="115"/>
        <v>0</v>
      </c>
      <c r="H1825" s="21">
        <v>1810</v>
      </c>
      <c r="I1825" s="102">
        <v>0.66768343368857008</v>
      </c>
      <c r="J1825" s="103">
        <v>1.2367615489368357E-3</v>
      </c>
      <c r="K1825" s="103"/>
      <c r="L1825" s="103">
        <v>4.2000000000000003E-2</v>
      </c>
      <c r="O1825" s="100"/>
    </row>
    <row r="1826" spans="2:15" x14ac:dyDescent="0.2">
      <c r="B1826" s="1">
        <v>1811</v>
      </c>
      <c r="C1826" s="101">
        <f t="shared" ca="1" si="112"/>
        <v>-1.0402622763417029</v>
      </c>
      <c r="D1826" s="101">
        <f t="shared" ca="1" si="113"/>
        <v>0.59969745477254499</v>
      </c>
      <c r="E1826" s="101">
        <f t="shared" ca="1" si="114"/>
        <v>0</v>
      </c>
      <c r="F1826" s="21">
        <f t="shared" ca="1" si="115"/>
        <v>0</v>
      </c>
      <c r="H1826" s="21">
        <v>1811</v>
      </c>
      <c r="I1826" s="102">
        <v>0.66779295821968832</v>
      </c>
      <c r="J1826" s="103">
        <v>1.389988701014913E-3</v>
      </c>
      <c r="K1826" s="103"/>
      <c r="L1826" s="103">
        <v>4.0800000000000003E-2</v>
      </c>
      <c r="O1826" s="100"/>
    </row>
    <row r="1827" spans="2:15" x14ac:dyDescent="0.2">
      <c r="B1827" s="1">
        <v>1812</v>
      </c>
      <c r="C1827" s="101">
        <f t="shared" ca="1" si="112"/>
        <v>-0.5777228486985051</v>
      </c>
      <c r="D1827" s="101">
        <f t="shared" ca="1" si="113"/>
        <v>0.62769274573561795</v>
      </c>
      <c r="E1827" s="101">
        <f t="shared" ca="1" si="114"/>
        <v>0</v>
      </c>
      <c r="F1827" s="21">
        <f t="shared" ca="1" si="115"/>
        <v>0</v>
      </c>
      <c r="H1827" s="21">
        <v>1812</v>
      </c>
      <c r="I1827" s="102">
        <v>0.6677791611198074</v>
      </c>
      <c r="J1827" s="103">
        <v>1.3394149344636117E-3</v>
      </c>
      <c r="K1827" s="103"/>
      <c r="L1827" s="103">
        <v>4.1399999999999999E-2</v>
      </c>
      <c r="O1827" s="100"/>
    </row>
    <row r="1828" spans="2:15" x14ac:dyDescent="0.2">
      <c r="B1828" s="1">
        <v>1813</v>
      </c>
      <c r="C1828" s="101">
        <f t="shared" ca="1" si="112"/>
        <v>3.1374847218905412E-2</v>
      </c>
      <c r="D1828" s="101">
        <f t="shared" ca="1" si="113"/>
        <v>0.66656188938921157</v>
      </c>
      <c r="E1828" s="101">
        <f t="shared" ca="1" si="114"/>
        <v>0</v>
      </c>
      <c r="F1828" s="21">
        <f t="shared" ca="1" si="115"/>
        <v>0</v>
      </c>
      <c r="H1828" s="21">
        <v>1813</v>
      </c>
      <c r="I1828" s="102">
        <v>0.66788148684985149</v>
      </c>
      <c r="J1828" s="103">
        <v>1.5051426869578247E-3</v>
      </c>
      <c r="K1828" s="103"/>
      <c r="L1828" s="103">
        <v>4.7800000000000002E-2</v>
      </c>
      <c r="O1828" s="100"/>
    </row>
    <row r="1829" spans="2:15" x14ac:dyDescent="0.2">
      <c r="B1829" s="1">
        <v>1814</v>
      </c>
      <c r="C1829" s="101">
        <f t="shared" ca="1" si="112"/>
        <v>-1.6821841175377177</v>
      </c>
      <c r="D1829" s="101">
        <f t="shared" ca="1" si="113"/>
        <v>0.56290184185333614</v>
      </c>
      <c r="E1829" s="101">
        <f t="shared" ca="1" si="114"/>
        <v>0</v>
      </c>
      <c r="F1829" s="21">
        <f t="shared" ca="1" si="115"/>
        <v>0</v>
      </c>
      <c r="H1829" s="21">
        <v>1814</v>
      </c>
      <c r="I1829" s="102">
        <v>0.66777637448903804</v>
      </c>
      <c r="J1829" s="103">
        <v>1.3948115969809396E-3</v>
      </c>
      <c r="K1829" s="103"/>
      <c r="L1829" s="103">
        <v>4.3999999999999997E-2</v>
      </c>
      <c r="O1829" s="100"/>
    </row>
    <row r="1830" spans="2:15" x14ac:dyDescent="0.2">
      <c r="B1830" s="1">
        <v>1815</v>
      </c>
      <c r="C1830" s="101">
        <f t="shared" ca="1" si="112"/>
        <v>6.5008007232997544E-2</v>
      </c>
      <c r="D1830" s="101">
        <f t="shared" ca="1" si="113"/>
        <v>0.66877696045684898</v>
      </c>
      <c r="E1830" s="101">
        <f t="shared" ca="1" si="114"/>
        <v>0</v>
      </c>
      <c r="F1830" s="21">
        <f t="shared" ca="1" si="115"/>
        <v>0</v>
      </c>
      <c r="H1830" s="21">
        <v>1815</v>
      </c>
      <c r="I1830" s="102">
        <v>0.6676853872649029</v>
      </c>
      <c r="J1830" s="103">
        <v>1.3599403772870601E-3</v>
      </c>
      <c r="K1830" s="103"/>
      <c r="L1830" s="103">
        <v>0.04</v>
      </c>
      <c r="O1830" s="100"/>
    </row>
    <row r="1831" spans="2:15" x14ac:dyDescent="0.2">
      <c r="B1831" s="1">
        <v>1816</v>
      </c>
      <c r="C1831" s="101">
        <f t="shared" ca="1" si="112"/>
        <v>-0.26798358465217342</v>
      </c>
      <c r="D1831" s="101">
        <f t="shared" ca="1" si="113"/>
        <v>0.64716667928852711</v>
      </c>
      <c r="E1831" s="101">
        <f t="shared" ca="1" si="114"/>
        <v>0</v>
      </c>
      <c r="F1831" s="21">
        <f t="shared" ca="1" si="115"/>
        <v>0</v>
      </c>
      <c r="H1831" s="21">
        <v>1816</v>
      </c>
      <c r="I1831" s="102">
        <v>0.66758032482100238</v>
      </c>
      <c r="J1831" s="103">
        <v>1.0688376848231899E-3</v>
      </c>
      <c r="K1831" s="103"/>
      <c r="L1831" s="103">
        <v>3.5000000000000003E-2</v>
      </c>
      <c r="O1831" s="100"/>
    </row>
    <row r="1832" spans="2:15" x14ac:dyDescent="0.2">
      <c r="B1832" s="1">
        <v>1817</v>
      </c>
      <c r="C1832" s="101">
        <f t="shared" ca="1" si="112"/>
        <v>1.1696910721689644</v>
      </c>
      <c r="D1832" s="101">
        <f t="shared" ca="1" si="113"/>
        <v>0.74577057610904529</v>
      </c>
      <c r="E1832" s="101">
        <f t="shared" ca="1" si="114"/>
        <v>0</v>
      </c>
      <c r="F1832" s="21">
        <f t="shared" ca="1" si="115"/>
        <v>0</v>
      </c>
      <c r="H1832" s="21">
        <v>1817</v>
      </c>
      <c r="I1832" s="102">
        <v>0.66758981860983835</v>
      </c>
      <c r="J1832" s="103">
        <v>1.2337874855679722E-3</v>
      </c>
      <c r="K1832" s="103"/>
      <c r="L1832" s="103">
        <v>4.1200000000000001E-2</v>
      </c>
      <c r="O1832" s="100"/>
    </row>
    <row r="1833" spans="2:15" x14ac:dyDescent="0.2">
      <c r="B1833" s="1">
        <v>1818</v>
      </c>
      <c r="C1833" s="101">
        <f t="shared" ca="1" si="112"/>
        <v>1.6168013524419282</v>
      </c>
      <c r="D1833" s="101">
        <f t="shared" ca="1" si="113"/>
        <v>0.7793977959233831</v>
      </c>
      <c r="E1833" s="101">
        <f t="shared" ca="1" si="114"/>
        <v>0</v>
      </c>
      <c r="F1833" s="21">
        <f t="shared" ca="1" si="115"/>
        <v>0</v>
      </c>
      <c r="H1833" s="21">
        <v>1818</v>
      </c>
      <c r="I1833" s="102">
        <v>0.66776361142146856</v>
      </c>
      <c r="J1833" s="103">
        <v>1.4304948205565474E-3</v>
      </c>
      <c r="K1833" s="103"/>
      <c r="L1833" s="103">
        <v>4.48E-2</v>
      </c>
      <c r="O1833" s="100"/>
    </row>
    <row r="1834" spans="2:15" x14ac:dyDescent="0.2">
      <c r="B1834" s="1">
        <v>1819</v>
      </c>
      <c r="C1834" s="101">
        <f t="shared" ca="1" si="112"/>
        <v>-2.7258276385311411</v>
      </c>
      <c r="D1834" s="101">
        <f t="shared" ca="1" si="113"/>
        <v>0.50783616413015276</v>
      </c>
      <c r="E1834" s="101">
        <f t="shared" ca="1" si="114"/>
        <v>0</v>
      </c>
      <c r="F1834" s="21">
        <f t="shared" ca="1" si="115"/>
        <v>0</v>
      </c>
      <c r="H1834" s="21">
        <v>1819</v>
      </c>
      <c r="I1834" s="102">
        <v>0.66758524559644206</v>
      </c>
      <c r="J1834" s="103">
        <v>1.1937848176745735E-3</v>
      </c>
      <c r="K1834" s="103"/>
      <c r="L1834" s="103">
        <v>3.7600000000000001E-2</v>
      </c>
      <c r="O1834" s="100"/>
    </row>
    <row r="1835" spans="2:15" x14ac:dyDescent="0.2">
      <c r="B1835" s="1">
        <v>1820</v>
      </c>
      <c r="C1835" s="101">
        <f t="shared" ca="1" si="112"/>
        <v>-0.84646237663103441</v>
      </c>
      <c r="D1835" s="101">
        <f t="shared" ca="1" si="113"/>
        <v>0.61127195909184751</v>
      </c>
      <c r="E1835" s="101">
        <f t="shared" ca="1" si="114"/>
        <v>0</v>
      </c>
      <c r="F1835" s="21">
        <f t="shared" ca="1" si="115"/>
        <v>0</v>
      </c>
      <c r="H1835" s="21">
        <v>1820</v>
      </c>
      <c r="I1835" s="102">
        <v>0.66784346591017607</v>
      </c>
      <c r="J1835" s="103">
        <v>1.5036472539658294E-3</v>
      </c>
      <c r="K1835" s="103"/>
      <c r="L1835" s="103">
        <v>4.4600000000000001E-2</v>
      </c>
      <c r="O1835" s="100"/>
    </row>
    <row r="1836" spans="2:15" x14ac:dyDescent="0.2">
      <c r="B1836" s="1">
        <v>1821</v>
      </c>
      <c r="C1836" s="101">
        <f t="shared" ca="1" si="112"/>
        <v>-0.85379331099660405</v>
      </c>
      <c r="D1836" s="101">
        <f t="shared" ca="1" si="113"/>
        <v>0.61083008789943583</v>
      </c>
      <c r="E1836" s="101">
        <f t="shared" ca="1" si="114"/>
        <v>0</v>
      </c>
      <c r="F1836" s="21">
        <f t="shared" ca="1" si="115"/>
        <v>0</v>
      </c>
      <c r="H1836" s="21">
        <v>1821</v>
      </c>
      <c r="I1836" s="102">
        <v>0.66787343519732312</v>
      </c>
      <c r="J1836" s="103">
        <v>1.480791805181788E-3</v>
      </c>
      <c r="K1836" s="103"/>
      <c r="L1836" s="103">
        <v>4.4200000000000003E-2</v>
      </c>
      <c r="O1836" s="100"/>
    </row>
    <row r="1837" spans="2:15" x14ac:dyDescent="0.2">
      <c r="B1837" s="1">
        <v>1822</v>
      </c>
      <c r="C1837" s="101">
        <f t="shared" ca="1" si="112"/>
        <v>-7.0210971882045271E-3</v>
      </c>
      <c r="D1837" s="101">
        <f t="shared" ca="1" si="113"/>
        <v>0.66404210973791344</v>
      </c>
      <c r="E1837" s="101">
        <f t="shared" ca="1" si="114"/>
        <v>0</v>
      </c>
      <c r="F1837" s="21">
        <f t="shared" ca="1" si="115"/>
        <v>0</v>
      </c>
      <c r="H1837" s="21">
        <v>1822</v>
      </c>
      <c r="I1837" s="102">
        <v>0.66790972691946804</v>
      </c>
      <c r="J1837" s="103">
        <v>1.5467726298460647E-3</v>
      </c>
      <c r="K1837" s="103"/>
      <c r="L1837" s="103">
        <v>4.5400000000000003E-2</v>
      </c>
      <c r="O1837" s="100"/>
    </row>
    <row r="1838" spans="2:15" x14ac:dyDescent="0.2">
      <c r="B1838" s="1">
        <v>1823</v>
      </c>
      <c r="C1838" s="101">
        <f t="shared" ca="1" si="112"/>
        <v>-0.83854905896243048</v>
      </c>
      <c r="D1838" s="101">
        <f t="shared" ca="1" si="113"/>
        <v>0.61174929212105178</v>
      </c>
      <c r="E1838" s="101">
        <f t="shared" ca="1" si="114"/>
        <v>0</v>
      </c>
      <c r="F1838" s="21">
        <f t="shared" ca="1" si="115"/>
        <v>0</v>
      </c>
      <c r="H1838" s="21">
        <v>1823</v>
      </c>
      <c r="I1838" s="102">
        <v>0.66789982344626719</v>
      </c>
      <c r="J1838" s="103">
        <v>1.4297765150302229E-3</v>
      </c>
      <c r="K1838" s="103"/>
      <c r="L1838" s="103">
        <v>4.4600000000000001E-2</v>
      </c>
      <c r="O1838" s="100"/>
    </row>
    <row r="1839" spans="2:15" x14ac:dyDescent="0.2">
      <c r="B1839" s="1">
        <v>1824</v>
      </c>
      <c r="C1839" s="101">
        <f t="shared" ca="1" si="112"/>
        <v>0.51789956052969177</v>
      </c>
      <c r="D1839" s="101">
        <f t="shared" ca="1" si="113"/>
        <v>0.69933118991967835</v>
      </c>
      <c r="E1839" s="101">
        <f t="shared" ca="1" si="114"/>
        <v>0</v>
      </c>
      <c r="F1839" s="21">
        <f t="shared" ca="1" si="115"/>
        <v>0</v>
      </c>
      <c r="H1839" s="21">
        <v>1824</v>
      </c>
      <c r="I1839" s="102">
        <v>0.66771652968035056</v>
      </c>
      <c r="J1839" s="103">
        <v>1.2589470024738903E-3</v>
      </c>
      <c r="K1839" s="103"/>
      <c r="L1839" s="103">
        <v>4.1399999999999999E-2</v>
      </c>
      <c r="O1839" s="100"/>
    </row>
    <row r="1840" spans="2:15" x14ac:dyDescent="0.2">
      <c r="B1840" s="1">
        <v>1825</v>
      </c>
      <c r="C1840" s="101">
        <f t="shared" ca="1" si="112"/>
        <v>0.69800028848474338</v>
      </c>
      <c r="D1840" s="101">
        <f t="shared" ca="1" si="113"/>
        <v>0.7118660843343203</v>
      </c>
      <c r="E1840" s="101">
        <f t="shared" ca="1" si="114"/>
        <v>0</v>
      </c>
      <c r="F1840" s="21">
        <f t="shared" ca="1" si="115"/>
        <v>0</v>
      </c>
      <c r="H1840" s="21">
        <v>1825</v>
      </c>
      <c r="I1840" s="102">
        <v>0.66776528483352682</v>
      </c>
      <c r="J1840" s="103">
        <v>1.3191183125393373E-3</v>
      </c>
      <c r="K1840" s="103"/>
      <c r="L1840" s="103">
        <v>4.0599999999999997E-2</v>
      </c>
      <c r="O1840" s="100"/>
    </row>
    <row r="1841" spans="2:15" x14ac:dyDescent="0.2">
      <c r="B1841" s="1">
        <v>1826</v>
      </c>
      <c r="C1841" s="101">
        <f t="shared" ca="1" si="112"/>
        <v>-0.99077892467374284</v>
      </c>
      <c r="D1841" s="101">
        <f t="shared" ca="1" si="113"/>
        <v>0.60263179564983838</v>
      </c>
      <c r="E1841" s="101">
        <f t="shared" ca="1" si="114"/>
        <v>0</v>
      </c>
      <c r="F1841" s="21">
        <f t="shared" ca="1" si="115"/>
        <v>0</v>
      </c>
      <c r="H1841" s="21">
        <v>1826</v>
      </c>
      <c r="I1841" s="102">
        <v>0.66778095336846277</v>
      </c>
      <c r="J1841" s="103">
        <v>1.3551461022693124E-3</v>
      </c>
      <c r="K1841" s="103"/>
      <c r="L1841" s="103">
        <v>4.1000000000000002E-2</v>
      </c>
      <c r="O1841" s="100"/>
    </row>
    <row r="1842" spans="2:15" x14ac:dyDescent="0.2">
      <c r="B1842" s="1">
        <v>1827</v>
      </c>
      <c r="C1842" s="101">
        <f t="shared" ca="1" si="112"/>
        <v>2.0727158176913965</v>
      </c>
      <c r="D1842" s="101">
        <f t="shared" ca="1" si="113"/>
        <v>0.81524898713795524</v>
      </c>
      <c r="E1842" s="101">
        <f t="shared" ca="1" si="114"/>
        <v>2.7048987137955227E-2</v>
      </c>
      <c r="F1842" s="21">
        <f t="shared" ca="1" si="115"/>
        <v>1</v>
      </c>
      <c r="H1842" s="21">
        <v>1827</v>
      </c>
      <c r="I1842" s="102">
        <v>0.6677365365648833</v>
      </c>
      <c r="J1842" s="103">
        <v>1.4149549306162873E-3</v>
      </c>
      <c r="K1842" s="103"/>
      <c r="L1842" s="103">
        <v>4.4400000000000002E-2</v>
      </c>
      <c r="O1842" s="100"/>
    </row>
    <row r="1843" spans="2:15" x14ac:dyDescent="0.2">
      <c r="B1843" s="1">
        <v>1828</v>
      </c>
      <c r="C1843" s="101">
        <f t="shared" ca="1" si="112"/>
        <v>-1.4866493982311366</v>
      </c>
      <c r="D1843" s="101">
        <f t="shared" ca="1" si="113"/>
        <v>0.57386436385345618</v>
      </c>
      <c r="E1843" s="101">
        <f t="shared" ca="1" si="114"/>
        <v>0</v>
      </c>
      <c r="F1843" s="21">
        <f t="shared" ca="1" si="115"/>
        <v>0</v>
      </c>
      <c r="H1843" s="21">
        <v>1828</v>
      </c>
      <c r="I1843" s="102">
        <v>0.66773216372266997</v>
      </c>
      <c r="J1843" s="103">
        <v>1.3608847751709543E-3</v>
      </c>
      <c r="K1843" s="103"/>
      <c r="L1843" s="103">
        <v>4.36E-2</v>
      </c>
      <c r="O1843" s="100"/>
    </row>
    <row r="1844" spans="2:15" x14ac:dyDescent="0.2">
      <c r="B1844" s="1">
        <v>1829</v>
      </c>
      <c r="C1844" s="101">
        <f t="shared" ca="1" si="112"/>
        <v>-1.6976680881842174</v>
      </c>
      <c r="D1844" s="101">
        <f t="shared" ca="1" si="113"/>
        <v>0.5620427446800943</v>
      </c>
      <c r="E1844" s="101">
        <f t="shared" ca="1" si="114"/>
        <v>0</v>
      </c>
      <c r="F1844" s="21">
        <f t="shared" ca="1" si="115"/>
        <v>0</v>
      </c>
      <c r="H1844" s="21">
        <v>1829</v>
      </c>
      <c r="I1844" s="102">
        <v>0.66764944016218886</v>
      </c>
      <c r="J1844" s="103">
        <v>1.3276122490522792E-3</v>
      </c>
      <c r="K1844" s="103"/>
      <c r="L1844" s="103">
        <v>4.02E-2</v>
      </c>
      <c r="O1844" s="100"/>
    </row>
    <row r="1845" spans="2:15" x14ac:dyDescent="0.2">
      <c r="B1845" s="1">
        <v>1830</v>
      </c>
      <c r="C1845" s="101">
        <f t="shared" ca="1" si="112"/>
        <v>0.33176731021433231</v>
      </c>
      <c r="D1845" s="101">
        <f t="shared" ca="1" si="113"/>
        <v>0.68660839193903433</v>
      </c>
      <c r="E1845" s="101">
        <f t="shared" ca="1" si="114"/>
        <v>0</v>
      </c>
      <c r="F1845" s="21">
        <f t="shared" ca="1" si="115"/>
        <v>0</v>
      </c>
      <c r="H1845" s="21">
        <v>1830</v>
      </c>
      <c r="I1845" s="102">
        <v>0.66783044493344323</v>
      </c>
      <c r="J1845" s="103">
        <v>1.3982388230013001E-3</v>
      </c>
      <c r="K1845" s="103"/>
      <c r="L1845" s="103">
        <v>4.3999999999999997E-2</v>
      </c>
      <c r="O1845" s="100"/>
    </row>
    <row r="1846" spans="2:15" x14ac:dyDescent="0.2">
      <c r="B1846" s="1">
        <v>1831</v>
      </c>
      <c r="C1846" s="101">
        <f t="shared" ca="1" si="112"/>
        <v>-0.1496043719710464</v>
      </c>
      <c r="D1846" s="101">
        <f t="shared" ca="1" si="113"/>
        <v>0.65476799218863535</v>
      </c>
      <c r="E1846" s="101">
        <f t="shared" ca="1" si="114"/>
        <v>0</v>
      </c>
      <c r="F1846" s="21">
        <f t="shared" ca="1" si="115"/>
        <v>0</v>
      </c>
      <c r="H1846" s="21">
        <v>1831</v>
      </c>
      <c r="I1846" s="102">
        <v>0.66780024968194207</v>
      </c>
      <c r="J1846" s="103">
        <v>1.4721471583419182E-3</v>
      </c>
      <c r="K1846" s="103"/>
      <c r="L1846" s="103">
        <v>4.2599999999999999E-2</v>
      </c>
      <c r="O1846" s="100"/>
    </row>
    <row r="1847" spans="2:15" x14ac:dyDescent="0.2">
      <c r="B1847" s="1">
        <v>1832</v>
      </c>
      <c r="C1847" s="101">
        <f t="shared" ca="1" si="112"/>
        <v>0.14812436932702525</v>
      </c>
      <c r="D1847" s="101">
        <f t="shared" ca="1" si="113"/>
        <v>0.67428260632456638</v>
      </c>
      <c r="E1847" s="101">
        <f t="shared" ca="1" si="114"/>
        <v>0</v>
      </c>
      <c r="F1847" s="21">
        <f t="shared" ca="1" si="115"/>
        <v>0</v>
      </c>
      <c r="H1847" s="21">
        <v>1832</v>
      </c>
      <c r="I1847" s="102">
        <v>0.66781990974082206</v>
      </c>
      <c r="J1847" s="103">
        <v>1.4717771596976718E-3</v>
      </c>
      <c r="K1847" s="103"/>
      <c r="L1847" s="103">
        <v>4.2000000000000003E-2</v>
      </c>
      <c r="O1847" s="100"/>
    </row>
    <row r="1848" spans="2:15" x14ac:dyDescent="0.2">
      <c r="B1848" s="1">
        <v>1833</v>
      </c>
      <c r="C1848" s="101">
        <f t="shared" ca="1" si="112"/>
        <v>0.24079146719679614</v>
      </c>
      <c r="D1848" s="101">
        <f t="shared" ca="1" si="113"/>
        <v>0.68047434804689866</v>
      </c>
      <c r="E1848" s="101">
        <f t="shared" ca="1" si="114"/>
        <v>0</v>
      </c>
      <c r="F1848" s="21">
        <f t="shared" ca="1" si="115"/>
        <v>0</v>
      </c>
      <c r="H1848" s="21">
        <v>1833</v>
      </c>
      <c r="I1848" s="102">
        <v>0.66757509532968895</v>
      </c>
      <c r="J1848" s="103">
        <v>1.3193842820935816E-3</v>
      </c>
      <c r="K1848" s="103"/>
      <c r="L1848" s="103">
        <v>4.1200000000000001E-2</v>
      </c>
      <c r="O1848" s="100"/>
    </row>
    <row r="1849" spans="2:15" x14ac:dyDescent="0.2">
      <c r="B1849" s="1">
        <v>1834</v>
      </c>
      <c r="C1849" s="101">
        <f t="shared" ca="1" si="112"/>
        <v>1.2313783615955136</v>
      </c>
      <c r="D1849" s="101">
        <f t="shared" ca="1" si="113"/>
        <v>0.75032236200168634</v>
      </c>
      <c r="E1849" s="101">
        <f t="shared" ca="1" si="114"/>
        <v>0</v>
      </c>
      <c r="F1849" s="21">
        <f t="shared" ca="1" si="115"/>
        <v>0</v>
      </c>
      <c r="H1849" s="21">
        <v>1834</v>
      </c>
      <c r="I1849" s="102">
        <v>0.66755677225840515</v>
      </c>
      <c r="J1849" s="103">
        <v>1.249755204164189E-3</v>
      </c>
      <c r="K1849" s="103"/>
      <c r="L1849" s="103">
        <v>3.6600000000000001E-2</v>
      </c>
      <c r="O1849" s="100"/>
    </row>
    <row r="1850" spans="2:15" x14ac:dyDescent="0.2">
      <c r="B1850" s="1">
        <v>1835</v>
      </c>
      <c r="C1850" s="101">
        <f t="shared" ca="1" si="112"/>
        <v>-0.50719140387040773</v>
      </c>
      <c r="D1850" s="101">
        <f t="shared" ca="1" si="113"/>
        <v>0.63207502881847366</v>
      </c>
      <c r="E1850" s="101">
        <f t="shared" ca="1" si="114"/>
        <v>0</v>
      </c>
      <c r="F1850" s="21">
        <f t="shared" ca="1" si="115"/>
        <v>0</v>
      </c>
      <c r="H1850" s="21">
        <v>1835</v>
      </c>
      <c r="I1850" s="102">
        <v>0.66761070871067085</v>
      </c>
      <c r="J1850" s="103">
        <v>1.2058541552545546E-3</v>
      </c>
      <c r="K1850" s="103"/>
      <c r="L1850" s="103">
        <v>3.6799999999999999E-2</v>
      </c>
      <c r="O1850" s="100"/>
    </row>
    <row r="1851" spans="2:15" x14ac:dyDescent="0.2">
      <c r="B1851" s="1">
        <v>1836</v>
      </c>
      <c r="C1851" s="101">
        <f t="shared" ca="1" si="112"/>
        <v>0.70448594208535287</v>
      </c>
      <c r="D1851" s="101">
        <f t="shared" ca="1" si="113"/>
        <v>0.71232164884062998</v>
      </c>
      <c r="E1851" s="101">
        <f t="shared" ca="1" si="114"/>
        <v>0</v>
      </c>
      <c r="F1851" s="21">
        <f t="shared" ca="1" si="115"/>
        <v>0</v>
      </c>
      <c r="H1851" s="21">
        <v>1836</v>
      </c>
      <c r="I1851" s="102">
        <v>0.66783148628680133</v>
      </c>
      <c r="J1851" s="103">
        <v>1.5089782943155093E-3</v>
      </c>
      <c r="K1851" s="103"/>
      <c r="L1851" s="103">
        <v>4.36E-2</v>
      </c>
      <c r="O1851" s="100"/>
    </row>
    <row r="1852" spans="2:15" x14ac:dyDescent="0.2">
      <c r="B1852" s="1">
        <v>1837</v>
      </c>
      <c r="C1852" s="101">
        <f t="shared" ca="1" si="112"/>
        <v>1.5222619438786311</v>
      </c>
      <c r="D1852" s="101">
        <f t="shared" ca="1" si="113"/>
        <v>0.77216331253608184</v>
      </c>
      <c r="E1852" s="101">
        <f t="shared" ca="1" si="114"/>
        <v>0</v>
      </c>
      <c r="F1852" s="21">
        <f t="shared" ca="1" si="115"/>
        <v>0</v>
      </c>
      <c r="H1852" s="21">
        <v>1837</v>
      </c>
      <c r="I1852" s="102">
        <v>0.66764349353284913</v>
      </c>
      <c r="J1852" s="103">
        <v>1.0892736371878849E-3</v>
      </c>
      <c r="K1852" s="103"/>
      <c r="L1852" s="103">
        <v>4.02E-2</v>
      </c>
      <c r="O1852" s="100"/>
    </row>
    <row r="1853" spans="2:15" x14ac:dyDescent="0.2">
      <c r="B1853" s="1">
        <v>1838</v>
      </c>
      <c r="C1853" s="101">
        <f t="shared" ca="1" si="112"/>
        <v>0.67928610786976884</v>
      </c>
      <c r="D1853" s="101">
        <f t="shared" ca="1" si="113"/>
        <v>0.71055319769360359</v>
      </c>
      <c r="E1853" s="101">
        <f t="shared" ca="1" si="114"/>
        <v>0</v>
      </c>
      <c r="F1853" s="21">
        <f t="shared" ca="1" si="115"/>
        <v>0</v>
      </c>
      <c r="H1853" s="21">
        <v>1838</v>
      </c>
      <c r="I1853" s="102">
        <v>0.66762383276023307</v>
      </c>
      <c r="J1853" s="103">
        <v>1.2167996635858802E-3</v>
      </c>
      <c r="K1853" s="103"/>
      <c r="L1853" s="103">
        <v>4.2000000000000003E-2</v>
      </c>
      <c r="O1853" s="100"/>
    </row>
    <row r="1854" spans="2:15" x14ac:dyDescent="0.2">
      <c r="B1854" s="1">
        <v>1839</v>
      </c>
      <c r="C1854" s="101">
        <f t="shared" ca="1" si="112"/>
        <v>-0.45122199120770212</v>
      </c>
      <c r="D1854" s="101">
        <f t="shared" ca="1" si="113"/>
        <v>0.63557430066305587</v>
      </c>
      <c r="E1854" s="101">
        <f t="shared" ca="1" si="114"/>
        <v>0</v>
      </c>
      <c r="F1854" s="21">
        <f t="shared" ca="1" si="115"/>
        <v>0</v>
      </c>
      <c r="H1854" s="21">
        <v>1839</v>
      </c>
      <c r="I1854" s="102">
        <v>0.66768565633821286</v>
      </c>
      <c r="J1854" s="103">
        <v>1.3123728174378774E-3</v>
      </c>
      <c r="K1854" s="103"/>
      <c r="L1854" s="103">
        <v>4.1200000000000001E-2</v>
      </c>
      <c r="O1854" s="100"/>
    </row>
    <row r="1855" spans="2:15" x14ac:dyDescent="0.2">
      <c r="B1855" s="1">
        <v>1840</v>
      </c>
      <c r="C1855" s="101">
        <f t="shared" ca="1" si="112"/>
        <v>0.54007984389507091</v>
      </c>
      <c r="D1855" s="101">
        <f t="shared" ca="1" si="113"/>
        <v>0.7008629264514632</v>
      </c>
      <c r="E1855" s="101">
        <f t="shared" ca="1" si="114"/>
        <v>0</v>
      </c>
      <c r="F1855" s="21">
        <f t="shared" ca="1" si="115"/>
        <v>0</v>
      </c>
      <c r="H1855" s="21">
        <v>1840</v>
      </c>
      <c r="I1855" s="102">
        <v>0.66763350830199608</v>
      </c>
      <c r="J1855" s="103">
        <v>1.1751404369992199E-3</v>
      </c>
      <c r="K1855" s="103"/>
      <c r="L1855" s="103">
        <v>3.7199999999999997E-2</v>
      </c>
      <c r="O1855" s="100"/>
    </row>
    <row r="1856" spans="2:15" x14ac:dyDescent="0.2">
      <c r="B1856" s="1">
        <v>1841</v>
      </c>
      <c r="C1856" s="101">
        <f t="shared" ca="1" si="112"/>
        <v>1.8209705360911035</v>
      </c>
      <c r="D1856" s="101">
        <f t="shared" ca="1" si="113"/>
        <v>0.79525362103004693</v>
      </c>
      <c r="E1856" s="101">
        <f t="shared" ca="1" si="114"/>
        <v>7.0536210300469193E-3</v>
      </c>
      <c r="F1856" s="21">
        <f t="shared" ca="1" si="115"/>
        <v>1</v>
      </c>
      <c r="H1856" s="21">
        <v>1841</v>
      </c>
      <c r="I1856" s="102">
        <v>0.66782704218320099</v>
      </c>
      <c r="J1856" s="103">
        <v>1.5308522666722141E-3</v>
      </c>
      <c r="K1856" s="103"/>
      <c r="L1856" s="103">
        <v>4.2799999999999998E-2</v>
      </c>
      <c r="O1856" s="100"/>
    </row>
    <row r="1857" spans="2:15" x14ac:dyDescent="0.2">
      <c r="B1857" s="1">
        <v>1842</v>
      </c>
      <c r="C1857" s="101">
        <f t="shared" ca="1" si="112"/>
        <v>-0.91597586710147394</v>
      </c>
      <c r="D1857" s="101">
        <f t="shared" ca="1" si="113"/>
        <v>0.60709486398207713</v>
      </c>
      <c r="E1857" s="101">
        <f t="shared" ca="1" si="114"/>
        <v>0</v>
      </c>
      <c r="F1857" s="21">
        <f t="shared" ca="1" si="115"/>
        <v>0</v>
      </c>
      <c r="H1857" s="21">
        <v>1842</v>
      </c>
      <c r="I1857" s="102">
        <v>0.66784099840793232</v>
      </c>
      <c r="J1857" s="103">
        <v>1.5418304800957072E-3</v>
      </c>
      <c r="K1857" s="103"/>
      <c r="L1857" s="103">
        <v>4.6600000000000003E-2</v>
      </c>
      <c r="O1857" s="100"/>
    </row>
    <row r="1858" spans="2:15" x14ac:dyDescent="0.2">
      <c r="B1858" s="1">
        <v>1843</v>
      </c>
      <c r="C1858" s="101">
        <f t="shared" ca="1" si="112"/>
        <v>1.2235169519732969</v>
      </c>
      <c r="D1858" s="101">
        <f t="shared" ca="1" si="113"/>
        <v>0.74974074266261981</v>
      </c>
      <c r="E1858" s="101">
        <f t="shared" ca="1" si="114"/>
        <v>0</v>
      </c>
      <c r="F1858" s="21">
        <f t="shared" ca="1" si="115"/>
        <v>0</v>
      </c>
      <c r="H1858" s="21">
        <v>1843</v>
      </c>
      <c r="I1858" s="102">
        <v>0.66795137628432144</v>
      </c>
      <c r="J1858" s="103">
        <v>1.5208928249763319E-3</v>
      </c>
      <c r="K1858" s="103"/>
      <c r="L1858" s="103">
        <v>4.8399999999999999E-2</v>
      </c>
      <c r="O1858" s="100"/>
    </row>
    <row r="1859" spans="2:15" x14ac:dyDescent="0.2">
      <c r="B1859" s="1">
        <v>1844</v>
      </c>
      <c r="C1859" s="101">
        <f t="shared" ca="1" si="112"/>
        <v>1.1932393640494152</v>
      </c>
      <c r="D1859" s="101">
        <f t="shared" ca="1" si="113"/>
        <v>0.74750489138838616</v>
      </c>
      <c r="E1859" s="101">
        <f t="shared" ca="1" si="114"/>
        <v>0</v>
      </c>
      <c r="F1859" s="21">
        <f t="shared" ca="1" si="115"/>
        <v>0</v>
      </c>
      <c r="H1859" s="21">
        <v>1844</v>
      </c>
      <c r="I1859" s="102">
        <v>0.66766384615882768</v>
      </c>
      <c r="J1859" s="103">
        <v>1.2301786076322368E-3</v>
      </c>
      <c r="K1859" s="103"/>
      <c r="L1859" s="103">
        <v>3.9800000000000002E-2</v>
      </c>
      <c r="O1859" s="100"/>
    </row>
    <row r="1860" spans="2:15" x14ac:dyDescent="0.2">
      <c r="B1860" s="1">
        <v>1845</v>
      </c>
      <c r="C1860" s="101">
        <f t="shared" ca="1" si="112"/>
        <v>-0.66318733711525968</v>
      </c>
      <c r="D1860" s="101">
        <f t="shared" ca="1" si="113"/>
        <v>0.62242333113361337</v>
      </c>
      <c r="E1860" s="101">
        <f t="shared" ca="1" si="114"/>
        <v>0</v>
      </c>
      <c r="F1860" s="21">
        <f t="shared" ca="1" si="115"/>
        <v>0</v>
      </c>
      <c r="H1860" s="21">
        <v>1845</v>
      </c>
      <c r="I1860" s="102">
        <v>0.66784343534443624</v>
      </c>
      <c r="J1860" s="103">
        <v>1.4353949154096142E-3</v>
      </c>
      <c r="K1860" s="103"/>
      <c r="L1860" s="103">
        <v>4.7199999999999999E-2</v>
      </c>
      <c r="O1860" s="100"/>
    </row>
    <row r="1861" spans="2:15" x14ac:dyDescent="0.2">
      <c r="B1861" s="1">
        <v>1846</v>
      </c>
      <c r="C1861" s="101">
        <f t="shared" ca="1" si="112"/>
        <v>0.24928167476120339</v>
      </c>
      <c r="D1861" s="101">
        <f t="shared" ca="1" si="113"/>
        <v>0.68104447403370627</v>
      </c>
      <c r="E1861" s="101">
        <f t="shared" ca="1" si="114"/>
        <v>0</v>
      </c>
      <c r="F1861" s="21">
        <f t="shared" ca="1" si="115"/>
        <v>0</v>
      </c>
      <c r="H1861" s="21">
        <v>1846</v>
      </c>
      <c r="I1861" s="102">
        <v>0.66769161804465482</v>
      </c>
      <c r="J1861" s="103">
        <v>1.3516344969919678E-3</v>
      </c>
      <c r="K1861" s="103"/>
      <c r="L1861" s="103">
        <v>3.8399999999999997E-2</v>
      </c>
      <c r="O1861" s="100"/>
    </row>
    <row r="1862" spans="2:15" x14ac:dyDescent="0.2">
      <c r="B1862" s="1">
        <v>1847</v>
      </c>
      <c r="C1862" s="101">
        <f t="shared" ca="1" si="112"/>
        <v>0.85628737807708466</v>
      </c>
      <c r="D1862" s="101">
        <f t="shared" ca="1" si="113"/>
        <v>0.72306813593395503</v>
      </c>
      <c r="E1862" s="101">
        <f t="shared" ca="1" si="114"/>
        <v>0</v>
      </c>
      <c r="F1862" s="21">
        <f t="shared" ca="1" si="115"/>
        <v>0</v>
      </c>
      <c r="H1862" s="21">
        <v>1847</v>
      </c>
      <c r="I1862" s="102">
        <v>0.66763802670571526</v>
      </c>
      <c r="J1862" s="103">
        <v>1.2631808789351621E-3</v>
      </c>
      <c r="K1862" s="103"/>
      <c r="L1862" s="103">
        <v>3.7400000000000003E-2</v>
      </c>
      <c r="O1862" s="100"/>
    </row>
    <row r="1863" spans="2:15" x14ac:dyDescent="0.2">
      <c r="B1863" s="1">
        <v>1848</v>
      </c>
      <c r="C1863" s="101">
        <f t="shared" ca="1" si="112"/>
        <v>1.4748382298373568</v>
      </c>
      <c r="D1863" s="101">
        <f t="shared" ca="1" si="113"/>
        <v>0.76855961592063504</v>
      </c>
      <c r="E1863" s="101">
        <f t="shared" ca="1" si="114"/>
        <v>0</v>
      </c>
      <c r="F1863" s="21">
        <f t="shared" ca="1" si="115"/>
        <v>0</v>
      </c>
      <c r="H1863" s="21">
        <v>1848</v>
      </c>
      <c r="I1863" s="102">
        <v>0.66774470546622311</v>
      </c>
      <c r="J1863" s="103">
        <v>1.3544662299095262E-3</v>
      </c>
      <c r="K1863" s="103"/>
      <c r="L1863" s="103">
        <v>4.1200000000000001E-2</v>
      </c>
      <c r="O1863" s="100"/>
    </row>
    <row r="1864" spans="2:15" x14ac:dyDescent="0.2">
      <c r="B1864" s="1">
        <v>1849</v>
      </c>
      <c r="C1864" s="101">
        <f t="shared" ca="1" si="112"/>
        <v>-0.64550708239457011</v>
      </c>
      <c r="D1864" s="101">
        <f t="shared" ca="1" si="113"/>
        <v>0.62350978688294956</v>
      </c>
      <c r="E1864" s="101">
        <f t="shared" ca="1" si="114"/>
        <v>0</v>
      </c>
      <c r="F1864" s="21">
        <f t="shared" ca="1" si="115"/>
        <v>0</v>
      </c>
      <c r="H1864" s="21">
        <v>1849</v>
      </c>
      <c r="I1864" s="102">
        <v>0.6677656277231605</v>
      </c>
      <c r="J1864" s="103">
        <v>1.484324913387009E-3</v>
      </c>
      <c r="K1864" s="103"/>
      <c r="L1864" s="103">
        <v>3.9199999999999999E-2</v>
      </c>
      <c r="O1864" s="100"/>
    </row>
    <row r="1865" spans="2:15" x14ac:dyDescent="0.2">
      <c r="B1865" s="1">
        <v>1850</v>
      </c>
      <c r="C1865" s="101">
        <f t="shared" ca="1" si="112"/>
        <v>1.4479866082238295</v>
      </c>
      <c r="D1865" s="101">
        <f t="shared" ca="1" si="113"/>
        <v>0.76652664131686288</v>
      </c>
      <c r="E1865" s="101">
        <f t="shared" ca="1" si="114"/>
        <v>0</v>
      </c>
      <c r="F1865" s="21">
        <f t="shared" ca="1" si="115"/>
        <v>0</v>
      </c>
      <c r="H1865" s="21">
        <v>1850</v>
      </c>
      <c r="I1865" s="102">
        <v>0.66779774669054659</v>
      </c>
      <c r="J1865" s="103">
        <v>1.5879878641439217E-3</v>
      </c>
      <c r="K1865" s="103"/>
      <c r="L1865" s="103">
        <v>4.2799999999999998E-2</v>
      </c>
      <c r="O1865" s="100"/>
    </row>
    <row r="1866" spans="2:15" x14ac:dyDescent="0.2">
      <c r="B1866" s="1">
        <v>1851</v>
      </c>
      <c r="C1866" s="101">
        <f t="shared" ca="1" si="112"/>
        <v>0.3955618252873509</v>
      </c>
      <c r="D1866" s="101">
        <f t="shared" ca="1" si="113"/>
        <v>0.69094268750749444</v>
      </c>
      <c r="E1866" s="101">
        <f t="shared" ca="1" si="114"/>
        <v>0</v>
      </c>
      <c r="F1866" s="21">
        <f t="shared" ca="1" si="115"/>
        <v>0</v>
      </c>
      <c r="H1866" s="21">
        <v>1851</v>
      </c>
      <c r="I1866" s="102">
        <v>0.66771629960388956</v>
      </c>
      <c r="J1866" s="103">
        <v>1.2729459554363832E-3</v>
      </c>
      <c r="K1866" s="103"/>
      <c r="L1866" s="103">
        <v>3.7999999999999999E-2</v>
      </c>
      <c r="O1866" s="100"/>
    </row>
    <row r="1867" spans="2:15" x14ac:dyDescent="0.2">
      <c r="B1867" s="1">
        <v>1852</v>
      </c>
      <c r="C1867" s="101">
        <f t="shared" ca="1" si="112"/>
        <v>0.37160107749492993</v>
      </c>
      <c r="D1867" s="101">
        <f t="shared" ca="1" si="113"/>
        <v>0.6893115590576735</v>
      </c>
      <c r="E1867" s="101">
        <f t="shared" ca="1" si="114"/>
        <v>0</v>
      </c>
      <c r="F1867" s="21">
        <f t="shared" ca="1" si="115"/>
        <v>0</v>
      </c>
      <c r="H1867" s="21">
        <v>1852</v>
      </c>
      <c r="I1867" s="102">
        <v>0.6676979959682281</v>
      </c>
      <c r="J1867" s="103">
        <v>1.2404702996816591E-3</v>
      </c>
      <c r="K1867" s="103"/>
      <c r="L1867" s="103">
        <v>4.1799999999999997E-2</v>
      </c>
      <c r="O1867" s="100"/>
    </row>
    <row r="1868" spans="2:15" x14ac:dyDescent="0.2">
      <c r="B1868" s="1">
        <v>1853</v>
      </c>
      <c r="C1868" s="101">
        <f t="shared" ca="1" si="112"/>
        <v>-0.67124236770261925</v>
      </c>
      <c r="D1868" s="101">
        <f t="shared" ca="1" si="113"/>
        <v>0.62192897556196036</v>
      </c>
      <c r="E1868" s="101">
        <f t="shared" ca="1" si="114"/>
        <v>0</v>
      </c>
      <c r="F1868" s="21">
        <f t="shared" ca="1" si="115"/>
        <v>0</v>
      </c>
      <c r="H1868" s="21">
        <v>1853</v>
      </c>
      <c r="I1868" s="102">
        <v>0.66779700392149954</v>
      </c>
      <c r="J1868" s="103">
        <v>1.2948172082664201E-3</v>
      </c>
      <c r="K1868" s="103"/>
      <c r="L1868" s="103">
        <v>4.3200000000000002E-2</v>
      </c>
      <c r="O1868" s="100"/>
    </row>
    <row r="1869" spans="2:15" x14ac:dyDescent="0.2">
      <c r="B1869" s="1">
        <v>1854</v>
      </c>
      <c r="C1869" s="101">
        <f t="shared" ca="1" si="112"/>
        <v>-0.9386557258317858</v>
      </c>
      <c r="D1869" s="101">
        <f t="shared" ca="1" si="113"/>
        <v>0.60573820685879765</v>
      </c>
      <c r="E1869" s="101">
        <f t="shared" ca="1" si="114"/>
        <v>0</v>
      </c>
      <c r="F1869" s="21">
        <f t="shared" ca="1" si="115"/>
        <v>0</v>
      </c>
      <c r="H1869" s="21">
        <v>1854</v>
      </c>
      <c r="I1869" s="102">
        <v>0.66774925960899445</v>
      </c>
      <c r="J1869" s="103">
        <v>1.3272130703552566E-3</v>
      </c>
      <c r="K1869" s="103"/>
      <c r="L1869" s="103">
        <v>4.2000000000000003E-2</v>
      </c>
      <c r="O1869" s="100"/>
    </row>
    <row r="1870" spans="2:15" x14ac:dyDescent="0.2">
      <c r="B1870" s="1">
        <v>1855</v>
      </c>
      <c r="C1870" s="101">
        <f t="shared" ca="1" si="112"/>
        <v>0.81476595749768332</v>
      </c>
      <c r="D1870" s="101">
        <f t="shared" ca="1" si="113"/>
        <v>0.72011270200091915</v>
      </c>
      <c r="E1870" s="101">
        <f t="shared" ca="1" si="114"/>
        <v>0</v>
      </c>
      <c r="F1870" s="21">
        <f t="shared" ca="1" si="115"/>
        <v>0</v>
      </c>
      <c r="H1870" s="21">
        <v>1855</v>
      </c>
      <c r="I1870" s="102">
        <v>0.66770578799258062</v>
      </c>
      <c r="J1870" s="103">
        <v>1.3579752280589584E-3</v>
      </c>
      <c r="K1870" s="103"/>
      <c r="L1870" s="103">
        <v>3.9199999999999999E-2</v>
      </c>
      <c r="O1870" s="100"/>
    </row>
    <row r="1871" spans="2:15" x14ac:dyDescent="0.2">
      <c r="B1871" s="1">
        <v>1856</v>
      </c>
      <c r="C1871" s="101">
        <f t="shared" ca="1" si="112"/>
        <v>-0.19767322349914487</v>
      </c>
      <c r="D1871" s="101">
        <f t="shared" ca="1" si="113"/>
        <v>0.6516707092899533</v>
      </c>
      <c r="E1871" s="101">
        <f t="shared" ca="1" si="114"/>
        <v>0</v>
      </c>
      <c r="F1871" s="21">
        <f t="shared" ca="1" si="115"/>
        <v>0</v>
      </c>
      <c r="H1871" s="21">
        <v>1856</v>
      </c>
      <c r="I1871" s="102">
        <v>0.66775206338679727</v>
      </c>
      <c r="J1871" s="103">
        <v>1.4305523951991458E-3</v>
      </c>
      <c r="K1871" s="103"/>
      <c r="L1871" s="103">
        <v>4.3799999999999999E-2</v>
      </c>
      <c r="O1871" s="100"/>
    </row>
    <row r="1872" spans="2:15" x14ac:dyDescent="0.2">
      <c r="B1872" s="1">
        <v>1857</v>
      </c>
      <c r="C1872" s="101">
        <f t="shared" ref="C1872:C1935" ca="1" si="116">_xlfn.NORM.S.INV(RAND())</f>
        <v>-1.7002737618026305</v>
      </c>
      <c r="D1872" s="101">
        <f t="shared" ref="D1872:D1935" ca="1" si="117">S0*EXP((μ-0.5*σ*σ)*T+σ*SQRT(T)*$C1872)</f>
        <v>0.56189830302672628</v>
      </c>
      <c r="E1872" s="101">
        <f t="shared" ref="E1872:E1935" ca="1" si="118">MAX(0,CP*(D1872-K))</f>
        <v>0</v>
      </c>
      <c r="F1872" s="21">
        <f t="shared" ref="F1872:F1935" ca="1" si="119">(CP*(D1872-K)&gt;0)*1</f>
        <v>0</v>
      </c>
      <c r="H1872" s="21">
        <v>1857</v>
      </c>
      <c r="I1872" s="102">
        <v>0.6677396465994283</v>
      </c>
      <c r="J1872" s="103">
        <v>1.2759486623428228E-3</v>
      </c>
      <c r="K1872" s="103"/>
      <c r="L1872" s="103">
        <v>4.0599999999999997E-2</v>
      </c>
      <c r="O1872" s="100"/>
    </row>
    <row r="1873" spans="2:15" x14ac:dyDescent="0.2">
      <c r="B1873" s="1">
        <v>1858</v>
      </c>
      <c r="C1873" s="101">
        <f t="shared" ca="1" si="116"/>
        <v>0.80104731207494206</v>
      </c>
      <c r="D1873" s="101">
        <f t="shared" ca="1" si="117"/>
        <v>0.71913888626640221</v>
      </c>
      <c r="E1873" s="101">
        <f t="shared" ca="1" si="118"/>
        <v>0</v>
      </c>
      <c r="F1873" s="21">
        <f t="shared" ca="1" si="119"/>
        <v>0</v>
      </c>
      <c r="H1873" s="21">
        <v>1858</v>
      </c>
      <c r="I1873" s="102">
        <v>0.66775881920709468</v>
      </c>
      <c r="J1873" s="103">
        <v>1.3697712058507333E-3</v>
      </c>
      <c r="K1873" s="103"/>
      <c r="L1873" s="103">
        <v>4.2799999999999998E-2</v>
      </c>
      <c r="O1873" s="100"/>
    </row>
    <row r="1874" spans="2:15" x14ac:dyDescent="0.2">
      <c r="B1874" s="1">
        <v>1859</v>
      </c>
      <c r="C1874" s="101">
        <f t="shared" ca="1" si="116"/>
        <v>1.0829391932279588</v>
      </c>
      <c r="D1874" s="101">
        <f t="shared" ca="1" si="117"/>
        <v>0.7394160062032975</v>
      </c>
      <c r="E1874" s="101">
        <f t="shared" ca="1" si="118"/>
        <v>0</v>
      </c>
      <c r="F1874" s="21">
        <f t="shared" ca="1" si="119"/>
        <v>0</v>
      </c>
      <c r="H1874" s="21">
        <v>1859</v>
      </c>
      <c r="I1874" s="102">
        <v>0.66772325611664907</v>
      </c>
      <c r="J1874" s="103">
        <v>1.2488368896509587E-3</v>
      </c>
      <c r="K1874" s="103"/>
      <c r="L1874" s="103">
        <v>4.2200000000000001E-2</v>
      </c>
      <c r="O1874" s="100"/>
    </row>
    <row r="1875" spans="2:15" x14ac:dyDescent="0.2">
      <c r="B1875" s="1">
        <v>1860</v>
      </c>
      <c r="C1875" s="101">
        <f t="shared" ca="1" si="116"/>
        <v>-0.18946402841472043</v>
      </c>
      <c r="D1875" s="101">
        <f t="shared" ca="1" si="117"/>
        <v>0.65219862371433246</v>
      </c>
      <c r="E1875" s="101">
        <f t="shared" ca="1" si="118"/>
        <v>0</v>
      </c>
      <c r="F1875" s="21">
        <f t="shared" ca="1" si="119"/>
        <v>0</v>
      </c>
      <c r="H1875" s="21">
        <v>1860</v>
      </c>
      <c r="I1875" s="102">
        <v>0.66771460273976024</v>
      </c>
      <c r="J1875" s="103">
        <v>1.2393557950054002E-3</v>
      </c>
      <c r="K1875" s="103"/>
      <c r="L1875" s="103">
        <v>4.3999999999999997E-2</v>
      </c>
      <c r="O1875" s="100"/>
    </row>
    <row r="1876" spans="2:15" x14ac:dyDescent="0.2">
      <c r="B1876" s="1">
        <v>1861</v>
      </c>
      <c r="C1876" s="101">
        <f t="shared" ca="1" si="116"/>
        <v>-0.41991113437273631</v>
      </c>
      <c r="D1876" s="101">
        <f t="shared" ca="1" si="117"/>
        <v>0.63754033465745341</v>
      </c>
      <c r="E1876" s="101">
        <f t="shared" ca="1" si="118"/>
        <v>0</v>
      </c>
      <c r="F1876" s="21">
        <f t="shared" ca="1" si="119"/>
        <v>0</v>
      </c>
      <c r="H1876" s="21">
        <v>1861</v>
      </c>
      <c r="I1876" s="102">
        <v>0.66780020174364429</v>
      </c>
      <c r="J1876" s="103">
        <v>1.4673500271428122E-3</v>
      </c>
      <c r="K1876" s="103"/>
      <c r="L1876" s="103">
        <v>4.02E-2</v>
      </c>
      <c r="O1876" s="100"/>
    </row>
    <row r="1877" spans="2:15" x14ac:dyDescent="0.2">
      <c r="B1877" s="1">
        <v>1862</v>
      </c>
      <c r="C1877" s="101">
        <f t="shared" ca="1" si="116"/>
        <v>-0.21327122035698542</v>
      </c>
      <c r="D1877" s="101">
        <f t="shared" ca="1" si="117"/>
        <v>0.65066881507513552</v>
      </c>
      <c r="E1877" s="101">
        <f t="shared" ca="1" si="118"/>
        <v>0</v>
      </c>
      <c r="F1877" s="21">
        <f t="shared" ca="1" si="119"/>
        <v>0</v>
      </c>
      <c r="H1877" s="21">
        <v>1862</v>
      </c>
      <c r="I1877" s="102">
        <v>0.66783428356221652</v>
      </c>
      <c r="J1877" s="103">
        <v>1.603541507506916E-3</v>
      </c>
      <c r="K1877" s="103"/>
      <c r="L1877" s="103">
        <v>4.2200000000000001E-2</v>
      </c>
      <c r="O1877" s="100"/>
    </row>
    <row r="1878" spans="2:15" x14ac:dyDescent="0.2">
      <c r="B1878" s="1">
        <v>1863</v>
      </c>
      <c r="C1878" s="101">
        <f t="shared" ca="1" si="116"/>
        <v>-3.8016751574906769E-2</v>
      </c>
      <c r="D1878" s="101">
        <f t="shared" ca="1" si="117"/>
        <v>0.6620149331452907</v>
      </c>
      <c r="E1878" s="101">
        <f t="shared" ca="1" si="118"/>
        <v>0</v>
      </c>
      <c r="F1878" s="21">
        <f t="shared" ca="1" si="119"/>
        <v>0</v>
      </c>
      <c r="H1878" s="21">
        <v>1863</v>
      </c>
      <c r="I1878" s="102">
        <v>0.66764539086733554</v>
      </c>
      <c r="J1878" s="103">
        <v>1.3221568666381032E-3</v>
      </c>
      <c r="K1878" s="103"/>
      <c r="L1878" s="103">
        <v>3.9800000000000002E-2</v>
      </c>
      <c r="O1878" s="100"/>
    </row>
    <row r="1879" spans="2:15" x14ac:dyDescent="0.2">
      <c r="B1879" s="1">
        <v>1864</v>
      </c>
      <c r="C1879" s="101">
        <f t="shared" ca="1" si="116"/>
        <v>-2.1627746714408675</v>
      </c>
      <c r="D1879" s="101">
        <f t="shared" ca="1" si="117"/>
        <v>0.53683950429635197</v>
      </c>
      <c r="E1879" s="101">
        <f t="shared" ca="1" si="118"/>
        <v>0</v>
      </c>
      <c r="F1879" s="21">
        <f t="shared" ca="1" si="119"/>
        <v>0</v>
      </c>
      <c r="H1879" s="21">
        <v>1864</v>
      </c>
      <c r="I1879" s="102">
        <v>0.66769891012069904</v>
      </c>
      <c r="J1879" s="103">
        <v>1.4070422897781026E-3</v>
      </c>
      <c r="K1879" s="103"/>
      <c r="L1879" s="103">
        <v>4.1399999999999999E-2</v>
      </c>
      <c r="O1879" s="100"/>
    </row>
    <row r="1880" spans="2:15" x14ac:dyDescent="0.2">
      <c r="B1880" s="1">
        <v>1865</v>
      </c>
      <c r="C1880" s="101">
        <f t="shared" ca="1" si="116"/>
        <v>-0.93497910074151602</v>
      </c>
      <c r="D1880" s="101">
        <f t="shared" ca="1" si="117"/>
        <v>0.60595792806243409</v>
      </c>
      <c r="E1880" s="101">
        <f t="shared" ca="1" si="118"/>
        <v>0</v>
      </c>
      <c r="F1880" s="21">
        <f t="shared" ca="1" si="119"/>
        <v>0</v>
      </c>
      <c r="H1880" s="21">
        <v>1865</v>
      </c>
      <c r="I1880" s="102">
        <v>0.66776221466694319</v>
      </c>
      <c r="J1880" s="103">
        <v>1.3553913512649172E-3</v>
      </c>
      <c r="K1880" s="103"/>
      <c r="L1880" s="103">
        <v>3.9600000000000003E-2</v>
      </c>
      <c r="O1880" s="100"/>
    </row>
    <row r="1881" spans="2:15" x14ac:dyDescent="0.2">
      <c r="B1881" s="1">
        <v>1866</v>
      </c>
      <c r="C1881" s="101">
        <f t="shared" ca="1" si="116"/>
        <v>0.27520050474939128</v>
      </c>
      <c r="D1881" s="101">
        <f t="shared" ca="1" si="117"/>
        <v>0.68278790621713215</v>
      </c>
      <c r="E1881" s="101">
        <f t="shared" ca="1" si="118"/>
        <v>0</v>
      </c>
      <c r="F1881" s="21">
        <f t="shared" ca="1" si="119"/>
        <v>0</v>
      </c>
      <c r="H1881" s="21">
        <v>1866</v>
      </c>
      <c r="I1881" s="102">
        <v>0.66768546207815327</v>
      </c>
      <c r="J1881" s="103">
        <v>1.3158551324362298E-3</v>
      </c>
      <c r="K1881" s="103"/>
      <c r="L1881" s="103">
        <v>0.04</v>
      </c>
      <c r="O1881" s="100"/>
    </row>
    <row r="1882" spans="2:15" x14ac:dyDescent="0.2">
      <c r="B1882" s="1">
        <v>1867</v>
      </c>
      <c r="C1882" s="101">
        <f t="shared" ca="1" si="116"/>
        <v>1.7033292200715422</v>
      </c>
      <c r="D1882" s="101">
        <f t="shared" ca="1" si="117"/>
        <v>0.78607860089236292</v>
      </c>
      <c r="E1882" s="101">
        <f t="shared" ca="1" si="118"/>
        <v>0</v>
      </c>
      <c r="F1882" s="21">
        <f t="shared" ca="1" si="119"/>
        <v>0</v>
      </c>
      <c r="H1882" s="21">
        <v>1867</v>
      </c>
      <c r="I1882" s="102">
        <v>0.66752274891151231</v>
      </c>
      <c r="J1882" s="103">
        <v>1.0986063094779151E-3</v>
      </c>
      <c r="K1882" s="103"/>
      <c r="L1882" s="103">
        <v>3.7199999999999997E-2</v>
      </c>
      <c r="O1882" s="100"/>
    </row>
    <row r="1883" spans="2:15" x14ac:dyDescent="0.2">
      <c r="B1883" s="1">
        <v>1868</v>
      </c>
      <c r="C1883" s="101">
        <f t="shared" ca="1" si="116"/>
        <v>-0.18122447059023117</v>
      </c>
      <c r="D1883" s="101">
        <f t="shared" ca="1" si="117"/>
        <v>0.65272892073278665</v>
      </c>
      <c r="E1883" s="101">
        <f t="shared" ca="1" si="118"/>
        <v>0</v>
      </c>
      <c r="F1883" s="21">
        <f t="shared" ca="1" si="119"/>
        <v>0</v>
      </c>
      <c r="H1883" s="21">
        <v>1868</v>
      </c>
      <c r="I1883" s="102">
        <v>0.66769378000085911</v>
      </c>
      <c r="J1883" s="103">
        <v>1.3081808437378677E-3</v>
      </c>
      <c r="K1883" s="103"/>
      <c r="L1883" s="103">
        <v>0.04</v>
      </c>
      <c r="O1883" s="100"/>
    </row>
    <row r="1884" spans="2:15" x14ac:dyDescent="0.2">
      <c r="B1884" s="1">
        <v>1869</v>
      </c>
      <c r="C1884" s="101">
        <f t="shared" ca="1" si="116"/>
        <v>-0.42941644638317888</v>
      </c>
      <c r="D1884" s="101">
        <f t="shared" ca="1" si="117"/>
        <v>0.63694284642140597</v>
      </c>
      <c r="E1884" s="101">
        <f t="shared" ca="1" si="118"/>
        <v>0</v>
      </c>
      <c r="F1884" s="21">
        <f t="shared" ca="1" si="119"/>
        <v>0</v>
      </c>
      <c r="H1884" s="21">
        <v>1869</v>
      </c>
      <c r="I1884" s="102">
        <v>0.66784064586725989</v>
      </c>
      <c r="J1884" s="103">
        <v>1.4691768779600577E-3</v>
      </c>
      <c r="K1884" s="103"/>
      <c r="L1884" s="103">
        <v>4.24E-2</v>
      </c>
      <c r="O1884" s="100"/>
    </row>
    <row r="1885" spans="2:15" x14ac:dyDescent="0.2">
      <c r="B1885" s="1">
        <v>1870</v>
      </c>
      <c r="C1885" s="101">
        <f t="shared" ca="1" si="116"/>
        <v>-1.1728100770462146</v>
      </c>
      <c r="D1885" s="101">
        <f t="shared" ca="1" si="117"/>
        <v>0.59190763171897975</v>
      </c>
      <c r="E1885" s="101">
        <f t="shared" ca="1" si="118"/>
        <v>0</v>
      </c>
      <c r="F1885" s="21">
        <f t="shared" ca="1" si="119"/>
        <v>0</v>
      </c>
      <c r="H1885" s="21">
        <v>1870</v>
      </c>
      <c r="I1885" s="102">
        <v>0.66770005088659223</v>
      </c>
      <c r="J1885" s="103">
        <v>1.286098146976479E-3</v>
      </c>
      <c r="K1885" s="103"/>
      <c r="L1885" s="103">
        <v>4.02E-2</v>
      </c>
      <c r="O1885" s="100"/>
    </row>
    <row r="1886" spans="2:15" x14ac:dyDescent="0.2">
      <c r="B1886" s="1">
        <v>1871</v>
      </c>
      <c r="C1886" s="101">
        <f t="shared" ca="1" si="116"/>
        <v>-0.26937172768485701</v>
      </c>
      <c r="D1886" s="101">
        <f t="shared" ca="1" si="117"/>
        <v>0.64707806994201544</v>
      </c>
      <c r="E1886" s="101">
        <f t="shared" ca="1" si="118"/>
        <v>0</v>
      </c>
      <c r="F1886" s="21">
        <f t="shared" ca="1" si="119"/>
        <v>0</v>
      </c>
      <c r="H1886" s="21">
        <v>1871</v>
      </c>
      <c r="I1886" s="102">
        <v>0.66775951142536238</v>
      </c>
      <c r="J1886" s="103">
        <v>1.4136216122123762E-3</v>
      </c>
      <c r="K1886" s="103"/>
      <c r="L1886" s="103">
        <v>4.2999999999999997E-2</v>
      </c>
      <c r="O1886" s="100"/>
    </row>
    <row r="1887" spans="2:15" x14ac:dyDescent="0.2">
      <c r="B1887" s="1">
        <v>1872</v>
      </c>
      <c r="C1887" s="101">
        <f t="shared" ca="1" si="116"/>
        <v>-0.44403104717549435</v>
      </c>
      <c r="D1887" s="101">
        <f t="shared" ca="1" si="117"/>
        <v>0.63602528885852594</v>
      </c>
      <c r="E1887" s="101">
        <f t="shared" ca="1" si="118"/>
        <v>0</v>
      </c>
      <c r="F1887" s="21">
        <f t="shared" ca="1" si="119"/>
        <v>0</v>
      </c>
      <c r="H1887" s="21">
        <v>1872</v>
      </c>
      <c r="I1887" s="102">
        <v>0.6676605309730641</v>
      </c>
      <c r="J1887" s="103">
        <v>1.3171028584923301E-3</v>
      </c>
      <c r="K1887" s="103"/>
      <c r="L1887" s="103">
        <v>4.0800000000000003E-2</v>
      </c>
      <c r="O1887" s="100"/>
    </row>
    <row r="1888" spans="2:15" x14ac:dyDescent="0.2">
      <c r="B1888" s="1">
        <v>1873</v>
      </c>
      <c r="C1888" s="101">
        <f t="shared" ca="1" si="116"/>
        <v>-1.1062395777291858</v>
      </c>
      <c r="D1888" s="101">
        <f t="shared" ca="1" si="117"/>
        <v>0.59580724332708179</v>
      </c>
      <c r="E1888" s="101">
        <f t="shared" ca="1" si="118"/>
        <v>0</v>
      </c>
      <c r="F1888" s="21">
        <f t="shared" ca="1" si="119"/>
        <v>0</v>
      </c>
      <c r="H1888" s="21">
        <v>1873</v>
      </c>
      <c r="I1888" s="102">
        <v>0.66791728179559773</v>
      </c>
      <c r="J1888" s="103">
        <v>1.5913653503593383E-3</v>
      </c>
      <c r="K1888" s="103"/>
      <c r="L1888" s="103">
        <v>4.7E-2</v>
      </c>
      <c r="O1888" s="100"/>
    </row>
    <row r="1889" spans="2:15" x14ac:dyDescent="0.2">
      <c r="B1889" s="1">
        <v>1874</v>
      </c>
      <c r="C1889" s="101">
        <f t="shared" ca="1" si="116"/>
        <v>-0.48911975366233368</v>
      </c>
      <c r="D1889" s="101">
        <f t="shared" ca="1" si="117"/>
        <v>0.63320277792667234</v>
      </c>
      <c r="E1889" s="101">
        <f t="shared" ca="1" si="118"/>
        <v>0</v>
      </c>
      <c r="F1889" s="21">
        <f t="shared" ca="1" si="119"/>
        <v>0</v>
      </c>
      <c r="H1889" s="21">
        <v>1874</v>
      </c>
      <c r="I1889" s="102">
        <v>0.66789012300713324</v>
      </c>
      <c r="J1889" s="103">
        <v>1.5417663394789913E-3</v>
      </c>
      <c r="K1889" s="103"/>
      <c r="L1889" s="103">
        <v>4.6199999999999998E-2</v>
      </c>
      <c r="O1889" s="100"/>
    </row>
    <row r="1890" spans="2:15" x14ac:dyDescent="0.2">
      <c r="B1890" s="1">
        <v>1875</v>
      </c>
      <c r="C1890" s="101">
        <f t="shared" ca="1" si="116"/>
        <v>-0.77665720795031623</v>
      </c>
      <c r="D1890" s="101">
        <f t="shared" ca="1" si="117"/>
        <v>0.61549550304905298</v>
      </c>
      <c r="E1890" s="101">
        <f t="shared" ca="1" si="118"/>
        <v>0</v>
      </c>
      <c r="F1890" s="21">
        <f t="shared" ca="1" si="119"/>
        <v>0</v>
      </c>
      <c r="H1890" s="21">
        <v>1875</v>
      </c>
      <c r="I1890" s="102">
        <v>0.66767832205149258</v>
      </c>
      <c r="J1890" s="103">
        <v>1.287197431177005E-3</v>
      </c>
      <c r="K1890" s="103"/>
      <c r="L1890" s="103">
        <v>4.5600000000000002E-2</v>
      </c>
      <c r="O1890" s="100"/>
    </row>
    <row r="1891" spans="2:15" x14ac:dyDescent="0.2">
      <c r="B1891" s="1">
        <v>1876</v>
      </c>
      <c r="C1891" s="101">
        <f t="shared" ca="1" si="116"/>
        <v>0.78705106748052722</v>
      </c>
      <c r="D1891" s="101">
        <f t="shared" ca="1" si="117"/>
        <v>0.71814672233117671</v>
      </c>
      <c r="E1891" s="101">
        <f t="shared" ca="1" si="118"/>
        <v>0</v>
      </c>
      <c r="F1891" s="21">
        <f t="shared" ca="1" si="119"/>
        <v>0</v>
      </c>
      <c r="H1891" s="21">
        <v>1876</v>
      </c>
      <c r="I1891" s="102">
        <v>0.66789815103791639</v>
      </c>
      <c r="J1891" s="103">
        <v>1.419520099368033E-3</v>
      </c>
      <c r="K1891" s="103"/>
      <c r="L1891" s="103">
        <v>4.4999999999999998E-2</v>
      </c>
      <c r="O1891" s="100"/>
    </row>
    <row r="1892" spans="2:15" x14ac:dyDescent="0.2">
      <c r="B1892" s="1">
        <v>1877</v>
      </c>
      <c r="C1892" s="101">
        <f t="shared" ca="1" si="116"/>
        <v>-0.29709106017605036</v>
      </c>
      <c r="D1892" s="101">
        <f t="shared" ca="1" si="117"/>
        <v>0.64531119933656322</v>
      </c>
      <c r="E1892" s="101">
        <f t="shared" ca="1" si="118"/>
        <v>0</v>
      </c>
      <c r="F1892" s="21">
        <f t="shared" ca="1" si="119"/>
        <v>0</v>
      </c>
      <c r="H1892" s="21">
        <v>1877</v>
      </c>
      <c r="I1892" s="102">
        <v>0.66776364630801965</v>
      </c>
      <c r="J1892" s="103">
        <v>1.3539666061230492E-3</v>
      </c>
      <c r="K1892" s="103"/>
      <c r="L1892" s="103">
        <v>4.2000000000000003E-2</v>
      </c>
      <c r="O1892" s="100"/>
    </row>
    <row r="1893" spans="2:15" x14ac:dyDescent="0.2">
      <c r="B1893" s="1">
        <v>1878</v>
      </c>
      <c r="C1893" s="101">
        <f t="shared" ca="1" si="116"/>
        <v>0.55812600905608301</v>
      </c>
      <c r="D1893" s="101">
        <f t="shared" ca="1" si="117"/>
        <v>0.70211164199241738</v>
      </c>
      <c r="E1893" s="101">
        <f t="shared" ca="1" si="118"/>
        <v>0</v>
      </c>
      <c r="F1893" s="21">
        <f t="shared" ca="1" si="119"/>
        <v>0</v>
      </c>
      <c r="H1893" s="21">
        <v>1878</v>
      </c>
      <c r="I1893" s="102">
        <v>0.66778260681286672</v>
      </c>
      <c r="J1893" s="103">
        <v>1.4561762354582963E-3</v>
      </c>
      <c r="K1893" s="103"/>
      <c r="L1893" s="103">
        <v>4.4600000000000001E-2</v>
      </c>
      <c r="O1893" s="100"/>
    </row>
    <row r="1894" spans="2:15" x14ac:dyDescent="0.2">
      <c r="B1894" s="1">
        <v>1879</v>
      </c>
      <c r="C1894" s="101">
        <f t="shared" ca="1" si="116"/>
        <v>-1.153774703328498</v>
      </c>
      <c r="D1894" s="101">
        <f t="shared" ca="1" si="117"/>
        <v>0.59302008567176179</v>
      </c>
      <c r="E1894" s="101">
        <f t="shared" ca="1" si="118"/>
        <v>0</v>
      </c>
      <c r="F1894" s="21">
        <f t="shared" ca="1" si="119"/>
        <v>0</v>
      </c>
      <c r="H1894" s="21">
        <v>1879</v>
      </c>
      <c r="I1894" s="102">
        <v>0.66770408473739518</v>
      </c>
      <c r="J1894" s="103">
        <v>1.4055860908150824E-3</v>
      </c>
      <c r="K1894" s="103"/>
      <c r="L1894" s="103">
        <v>3.9199999999999999E-2</v>
      </c>
      <c r="O1894" s="100"/>
    </row>
    <row r="1895" spans="2:15" x14ac:dyDescent="0.2">
      <c r="B1895" s="1">
        <v>1880</v>
      </c>
      <c r="C1895" s="101">
        <f t="shared" ca="1" si="116"/>
        <v>-0.5700864138793762</v>
      </c>
      <c r="D1895" s="101">
        <f t="shared" ca="1" si="117"/>
        <v>0.62816574475429876</v>
      </c>
      <c r="E1895" s="101">
        <f t="shared" ca="1" si="118"/>
        <v>0</v>
      </c>
      <c r="F1895" s="21">
        <f t="shared" ca="1" si="119"/>
        <v>0</v>
      </c>
      <c r="H1895" s="21">
        <v>1880</v>
      </c>
      <c r="I1895" s="102">
        <v>0.6677615247702654</v>
      </c>
      <c r="J1895" s="103">
        <v>1.3843026601990779E-3</v>
      </c>
      <c r="K1895" s="103"/>
      <c r="L1895" s="103">
        <v>4.2000000000000003E-2</v>
      </c>
      <c r="O1895" s="100"/>
    </row>
    <row r="1896" spans="2:15" x14ac:dyDescent="0.2">
      <c r="B1896" s="1">
        <v>1881</v>
      </c>
      <c r="C1896" s="101">
        <f t="shared" ca="1" si="116"/>
        <v>1.7480950180805885</v>
      </c>
      <c r="D1896" s="101">
        <f t="shared" ca="1" si="117"/>
        <v>0.78955740863245227</v>
      </c>
      <c r="E1896" s="101">
        <f t="shared" ca="1" si="118"/>
        <v>1.3574086324522616E-3</v>
      </c>
      <c r="F1896" s="21">
        <f t="shared" ca="1" si="119"/>
        <v>1</v>
      </c>
      <c r="H1896" s="21">
        <v>1881</v>
      </c>
      <c r="I1896" s="102">
        <v>0.66767476753219712</v>
      </c>
      <c r="J1896" s="103">
        <v>1.2520989882300491E-3</v>
      </c>
      <c r="K1896" s="103"/>
      <c r="L1896" s="103">
        <v>4.3799999999999999E-2</v>
      </c>
      <c r="O1896" s="100"/>
    </row>
    <row r="1897" spans="2:15" x14ac:dyDescent="0.2">
      <c r="B1897" s="1">
        <v>1882</v>
      </c>
      <c r="C1897" s="101">
        <f t="shared" ca="1" si="116"/>
        <v>1.6627996146453874</v>
      </c>
      <c r="D1897" s="101">
        <f t="shared" ca="1" si="117"/>
        <v>0.78294221560630095</v>
      </c>
      <c r="E1897" s="101">
        <f t="shared" ca="1" si="118"/>
        <v>0</v>
      </c>
      <c r="F1897" s="21">
        <f t="shared" ca="1" si="119"/>
        <v>0</v>
      </c>
      <c r="H1897" s="21">
        <v>1882</v>
      </c>
      <c r="I1897" s="102">
        <v>0.66770941634216874</v>
      </c>
      <c r="J1897" s="103">
        <v>1.367114732488536E-3</v>
      </c>
      <c r="K1897" s="103"/>
      <c r="L1897" s="103">
        <v>3.9E-2</v>
      </c>
      <c r="O1897" s="100"/>
    </row>
    <row r="1898" spans="2:15" x14ac:dyDescent="0.2">
      <c r="B1898" s="1">
        <v>1883</v>
      </c>
      <c r="C1898" s="101">
        <f t="shared" ca="1" si="116"/>
        <v>-1.6750489086850704</v>
      </c>
      <c r="D1898" s="101">
        <f t="shared" ca="1" si="117"/>
        <v>0.56329816652002329</v>
      </c>
      <c r="E1898" s="101">
        <f t="shared" ca="1" si="118"/>
        <v>0</v>
      </c>
      <c r="F1898" s="21">
        <f t="shared" ca="1" si="119"/>
        <v>0</v>
      </c>
      <c r="H1898" s="21">
        <v>1883</v>
      </c>
      <c r="I1898" s="102">
        <v>0.66785141517422508</v>
      </c>
      <c r="J1898" s="103">
        <v>1.6459420919691531E-3</v>
      </c>
      <c r="K1898" s="103"/>
      <c r="L1898" s="103">
        <v>4.7E-2</v>
      </c>
      <c r="O1898" s="100"/>
    </row>
    <row r="1899" spans="2:15" x14ac:dyDescent="0.2">
      <c r="B1899" s="1">
        <v>1884</v>
      </c>
      <c r="C1899" s="101">
        <f t="shared" ca="1" si="116"/>
        <v>-2.0649065810501002</v>
      </c>
      <c r="D1899" s="101">
        <f t="shared" ca="1" si="117"/>
        <v>0.5420471625030967</v>
      </c>
      <c r="E1899" s="101">
        <f t="shared" ca="1" si="118"/>
        <v>0</v>
      </c>
      <c r="F1899" s="21">
        <f t="shared" ca="1" si="119"/>
        <v>0</v>
      </c>
      <c r="H1899" s="21">
        <v>1884</v>
      </c>
      <c r="I1899" s="102">
        <v>0.66777915455793002</v>
      </c>
      <c r="J1899" s="103">
        <v>1.4126713631129461E-3</v>
      </c>
      <c r="K1899" s="103"/>
      <c r="L1899" s="103">
        <v>4.1599999999999998E-2</v>
      </c>
      <c r="O1899" s="100"/>
    </row>
    <row r="1900" spans="2:15" x14ac:dyDescent="0.2">
      <c r="B1900" s="1">
        <v>1885</v>
      </c>
      <c r="C1900" s="101">
        <f t="shared" ca="1" si="116"/>
        <v>-0.3891610721160087</v>
      </c>
      <c r="D1900" s="101">
        <f t="shared" ca="1" si="117"/>
        <v>0.63947707495721184</v>
      </c>
      <c r="E1900" s="101">
        <f t="shared" ca="1" si="118"/>
        <v>0</v>
      </c>
      <c r="F1900" s="21">
        <f t="shared" ca="1" si="119"/>
        <v>0</v>
      </c>
      <c r="H1900" s="21">
        <v>1885</v>
      </c>
      <c r="I1900" s="102">
        <v>0.66775522486929895</v>
      </c>
      <c r="J1900" s="103">
        <v>1.3227022395290173E-3</v>
      </c>
      <c r="K1900" s="103"/>
      <c r="L1900" s="103">
        <v>4.02E-2</v>
      </c>
      <c r="O1900" s="100"/>
    </row>
    <row r="1901" spans="2:15" x14ac:dyDescent="0.2">
      <c r="B1901" s="1">
        <v>1886</v>
      </c>
      <c r="C1901" s="101">
        <f t="shared" ca="1" si="116"/>
        <v>1.352348092062029</v>
      </c>
      <c r="D1901" s="101">
        <f t="shared" ca="1" si="117"/>
        <v>0.7593293008587747</v>
      </c>
      <c r="E1901" s="101">
        <f t="shared" ca="1" si="118"/>
        <v>0</v>
      </c>
      <c r="F1901" s="21">
        <f t="shared" ca="1" si="119"/>
        <v>0</v>
      </c>
      <c r="H1901" s="21">
        <v>1886</v>
      </c>
      <c r="I1901" s="102">
        <v>0.6678242647635908</v>
      </c>
      <c r="J1901" s="103">
        <v>1.5300826689228721E-3</v>
      </c>
      <c r="K1901" s="103"/>
      <c r="L1901" s="103">
        <v>4.6800000000000001E-2</v>
      </c>
      <c r="O1901" s="100"/>
    </row>
    <row r="1902" spans="2:15" x14ac:dyDescent="0.2">
      <c r="B1902" s="1">
        <v>1887</v>
      </c>
      <c r="C1902" s="101">
        <f t="shared" ca="1" si="116"/>
        <v>0.77818499542049135</v>
      </c>
      <c r="D1902" s="101">
        <f t="shared" ca="1" si="117"/>
        <v>0.71751893370182418</v>
      </c>
      <c r="E1902" s="101">
        <f t="shared" ca="1" si="118"/>
        <v>0</v>
      </c>
      <c r="F1902" s="21">
        <f t="shared" ca="1" si="119"/>
        <v>0</v>
      </c>
      <c r="H1902" s="21">
        <v>1887</v>
      </c>
      <c r="I1902" s="102">
        <v>0.6677945920205931</v>
      </c>
      <c r="J1902" s="103">
        <v>1.3623078707917515E-3</v>
      </c>
      <c r="K1902" s="103"/>
      <c r="L1902" s="103">
        <v>4.4600000000000001E-2</v>
      </c>
      <c r="O1902" s="100"/>
    </row>
    <row r="1903" spans="2:15" x14ac:dyDescent="0.2">
      <c r="B1903" s="1">
        <v>1888</v>
      </c>
      <c r="C1903" s="101">
        <f t="shared" ca="1" si="116"/>
        <v>1.1248299099383896</v>
      </c>
      <c r="D1903" s="101">
        <f t="shared" ca="1" si="117"/>
        <v>0.7424777097283648</v>
      </c>
      <c r="E1903" s="101">
        <f t="shared" ca="1" si="118"/>
        <v>0</v>
      </c>
      <c r="F1903" s="21">
        <f t="shared" ca="1" si="119"/>
        <v>0</v>
      </c>
      <c r="H1903" s="21">
        <v>1888</v>
      </c>
      <c r="I1903" s="102">
        <v>0.66763899813179972</v>
      </c>
      <c r="J1903" s="103">
        <v>1.3159435231469504E-3</v>
      </c>
      <c r="K1903" s="103"/>
      <c r="L1903" s="103">
        <v>3.8800000000000001E-2</v>
      </c>
      <c r="O1903" s="100"/>
    </row>
    <row r="1904" spans="2:15" x14ac:dyDescent="0.2">
      <c r="B1904" s="1">
        <v>1889</v>
      </c>
      <c r="C1904" s="101">
        <f t="shared" ca="1" si="116"/>
        <v>0.3453028041185901</v>
      </c>
      <c r="D1904" s="101">
        <f t="shared" ca="1" si="117"/>
        <v>0.68752573562027697</v>
      </c>
      <c r="E1904" s="101">
        <f t="shared" ca="1" si="118"/>
        <v>0</v>
      </c>
      <c r="F1904" s="21">
        <f t="shared" ca="1" si="119"/>
        <v>0</v>
      </c>
      <c r="H1904" s="21">
        <v>1889</v>
      </c>
      <c r="I1904" s="102">
        <v>0.66763522922338348</v>
      </c>
      <c r="J1904" s="103">
        <v>1.1474217854663918E-3</v>
      </c>
      <c r="K1904" s="103"/>
      <c r="L1904" s="103">
        <v>3.6400000000000002E-2</v>
      </c>
      <c r="O1904" s="100"/>
    </row>
    <row r="1905" spans="2:15" x14ac:dyDescent="0.2">
      <c r="B1905" s="1">
        <v>1890</v>
      </c>
      <c r="C1905" s="101">
        <f t="shared" ca="1" si="116"/>
        <v>-0.79127269092241237</v>
      </c>
      <c r="D1905" s="101">
        <f t="shared" ca="1" si="117"/>
        <v>0.61460878829520604</v>
      </c>
      <c r="E1905" s="101">
        <f t="shared" ca="1" si="118"/>
        <v>0</v>
      </c>
      <c r="F1905" s="21">
        <f t="shared" ca="1" si="119"/>
        <v>0</v>
      </c>
      <c r="H1905" s="21">
        <v>1890</v>
      </c>
      <c r="I1905" s="102">
        <v>0.66785990341862711</v>
      </c>
      <c r="J1905" s="103">
        <v>1.5876737585147503E-3</v>
      </c>
      <c r="K1905" s="103"/>
      <c r="L1905" s="103">
        <v>4.3400000000000001E-2</v>
      </c>
      <c r="O1905" s="100"/>
    </row>
    <row r="1906" spans="2:15" x14ac:dyDescent="0.2">
      <c r="B1906" s="1">
        <v>1891</v>
      </c>
      <c r="C1906" s="101">
        <f t="shared" ca="1" si="116"/>
        <v>0.98886824037585541</v>
      </c>
      <c r="D1906" s="101">
        <f t="shared" ca="1" si="117"/>
        <v>0.73258649096195938</v>
      </c>
      <c r="E1906" s="101">
        <f t="shared" ca="1" si="118"/>
        <v>0</v>
      </c>
      <c r="F1906" s="21">
        <f t="shared" ca="1" si="119"/>
        <v>0</v>
      </c>
      <c r="H1906" s="21">
        <v>1891</v>
      </c>
      <c r="I1906" s="102">
        <v>0.66772883590887155</v>
      </c>
      <c r="J1906" s="103">
        <v>1.2582965073630627E-3</v>
      </c>
      <c r="K1906" s="103"/>
      <c r="L1906" s="103">
        <v>3.9600000000000003E-2</v>
      </c>
      <c r="O1906" s="100"/>
    </row>
    <row r="1907" spans="2:15" x14ac:dyDescent="0.2">
      <c r="B1907" s="1">
        <v>1892</v>
      </c>
      <c r="C1907" s="101">
        <f t="shared" ca="1" si="116"/>
        <v>0.67195645649826408</v>
      </c>
      <c r="D1907" s="101">
        <f t="shared" ca="1" si="117"/>
        <v>0.71003964876467496</v>
      </c>
      <c r="E1907" s="101">
        <f t="shared" ca="1" si="118"/>
        <v>0</v>
      </c>
      <c r="F1907" s="21">
        <f t="shared" ca="1" si="119"/>
        <v>0</v>
      </c>
      <c r="H1907" s="21">
        <v>1892</v>
      </c>
      <c r="I1907" s="102">
        <v>0.66764842424694781</v>
      </c>
      <c r="J1907" s="103">
        <v>1.1606364175611086E-3</v>
      </c>
      <c r="K1907" s="103"/>
      <c r="L1907" s="103">
        <v>4.1799999999999997E-2</v>
      </c>
      <c r="O1907" s="100"/>
    </row>
    <row r="1908" spans="2:15" x14ac:dyDescent="0.2">
      <c r="B1908" s="1">
        <v>1893</v>
      </c>
      <c r="C1908" s="101">
        <f t="shared" ca="1" si="116"/>
        <v>-0.12685323296527687</v>
      </c>
      <c r="D1908" s="101">
        <f t="shared" ca="1" si="117"/>
        <v>0.65623907424854644</v>
      </c>
      <c r="E1908" s="101">
        <f t="shared" ca="1" si="118"/>
        <v>0</v>
      </c>
      <c r="F1908" s="21">
        <f t="shared" ca="1" si="119"/>
        <v>0</v>
      </c>
      <c r="H1908" s="21">
        <v>1893</v>
      </c>
      <c r="I1908" s="102">
        <v>0.66774131983038632</v>
      </c>
      <c r="J1908" s="103">
        <v>1.3171460599306168E-3</v>
      </c>
      <c r="K1908" s="103"/>
      <c r="L1908" s="103">
        <v>4.02E-2</v>
      </c>
      <c r="O1908" s="100"/>
    </row>
    <row r="1909" spans="2:15" x14ac:dyDescent="0.2">
      <c r="B1909" s="1">
        <v>1894</v>
      </c>
      <c r="C1909" s="101">
        <f t="shared" ca="1" si="116"/>
        <v>0.92044415480784725</v>
      </c>
      <c r="D1909" s="101">
        <f t="shared" ca="1" si="117"/>
        <v>0.72765858955526708</v>
      </c>
      <c r="E1909" s="101">
        <f t="shared" ca="1" si="118"/>
        <v>0</v>
      </c>
      <c r="F1909" s="21">
        <f t="shared" ca="1" si="119"/>
        <v>0</v>
      </c>
      <c r="H1909" s="21">
        <v>1894</v>
      </c>
      <c r="I1909" s="102">
        <v>0.66779886874438121</v>
      </c>
      <c r="J1909" s="103">
        <v>1.287950641266388E-3</v>
      </c>
      <c r="K1909" s="103"/>
      <c r="L1909" s="103">
        <v>4.2000000000000003E-2</v>
      </c>
      <c r="O1909" s="100"/>
    </row>
    <row r="1910" spans="2:15" x14ac:dyDescent="0.2">
      <c r="B1910" s="1">
        <v>1895</v>
      </c>
      <c r="C1910" s="101">
        <f t="shared" ca="1" si="116"/>
        <v>0.99886896588280438</v>
      </c>
      <c r="D1910" s="101">
        <f t="shared" ca="1" si="117"/>
        <v>0.73330953299291568</v>
      </c>
      <c r="E1910" s="101">
        <f t="shared" ca="1" si="118"/>
        <v>0</v>
      </c>
      <c r="F1910" s="21">
        <f t="shared" ca="1" si="119"/>
        <v>0</v>
      </c>
      <c r="H1910" s="21">
        <v>1895</v>
      </c>
      <c r="I1910" s="102">
        <v>0.66785242636167552</v>
      </c>
      <c r="J1910" s="103">
        <v>1.6114269903370144E-3</v>
      </c>
      <c r="K1910" s="103"/>
      <c r="L1910" s="103">
        <v>4.7800000000000002E-2</v>
      </c>
      <c r="O1910" s="100"/>
    </row>
    <row r="1911" spans="2:15" x14ac:dyDescent="0.2">
      <c r="B1911" s="1">
        <v>1896</v>
      </c>
      <c r="C1911" s="101">
        <f t="shared" ca="1" si="116"/>
        <v>0.58451161694081077</v>
      </c>
      <c r="D1911" s="101">
        <f t="shared" ca="1" si="117"/>
        <v>0.70394141608097538</v>
      </c>
      <c r="E1911" s="101">
        <f t="shared" ca="1" si="118"/>
        <v>0</v>
      </c>
      <c r="F1911" s="21">
        <f t="shared" ca="1" si="119"/>
        <v>0</v>
      </c>
      <c r="H1911" s="21">
        <v>1896</v>
      </c>
      <c r="I1911" s="102">
        <v>0.66775350662243593</v>
      </c>
      <c r="J1911" s="103">
        <v>1.3327158304084921E-3</v>
      </c>
      <c r="K1911" s="103"/>
      <c r="L1911" s="103">
        <v>4.2200000000000001E-2</v>
      </c>
      <c r="O1911" s="100"/>
    </row>
    <row r="1912" spans="2:15" x14ac:dyDescent="0.2">
      <c r="B1912" s="1">
        <v>1897</v>
      </c>
      <c r="C1912" s="101">
        <f t="shared" ca="1" si="116"/>
        <v>-0.61269649560688277</v>
      </c>
      <c r="D1912" s="101">
        <f t="shared" ca="1" si="117"/>
        <v>0.62553103279718947</v>
      </c>
      <c r="E1912" s="101">
        <f t="shared" ca="1" si="118"/>
        <v>0</v>
      </c>
      <c r="F1912" s="21">
        <f t="shared" ca="1" si="119"/>
        <v>0</v>
      </c>
      <c r="H1912" s="21">
        <v>1897</v>
      </c>
      <c r="I1912" s="102">
        <v>0.66781298950900136</v>
      </c>
      <c r="J1912" s="103">
        <v>1.3558118492076052E-3</v>
      </c>
      <c r="K1912" s="103"/>
      <c r="L1912" s="103">
        <v>4.4600000000000001E-2</v>
      </c>
      <c r="O1912" s="100"/>
    </row>
    <row r="1913" spans="2:15" x14ac:dyDescent="0.2">
      <c r="B1913" s="1">
        <v>1898</v>
      </c>
      <c r="C1913" s="101">
        <f t="shared" ca="1" si="116"/>
        <v>3.2137542336433529</v>
      </c>
      <c r="D1913" s="101">
        <f t="shared" ca="1" si="117"/>
        <v>0.91237137295358484</v>
      </c>
      <c r="E1913" s="101">
        <f t="shared" ca="1" si="118"/>
        <v>0.12417137295358482</v>
      </c>
      <c r="F1913" s="21">
        <f t="shared" ca="1" si="119"/>
        <v>1</v>
      </c>
      <c r="H1913" s="21">
        <v>1898</v>
      </c>
      <c r="I1913" s="102">
        <v>0.66759992711184446</v>
      </c>
      <c r="J1913" s="103">
        <v>1.3964286535119389E-3</v>
      </c>
      <c r="K1913" s="103"/>
      <c r="L1913" s="103">
        <v>3.8399999999999997E-2</v>
      </c>
      <c r="O1913" s="100"/>
    </row>
    <row r="1914" spans="2:15" x14ac:dyDescent="0.2">
      <c r="B1914" s="1">
        <v>1899</v>
      </c>
      <c r="C1914" s="101">
        <f t="shared" ca="1" si="116"/>
        <v>-0.84175331543565479</v>
      </c>
      <c r="D1914" s="101">
        <f t="shared" ca="1" si="117"/>
        <v>0.61155596578771176</v>
      </c>
      <c r="E1914" s="101">
        <f t="shared" ca="1" si="118"/>
        <v>0</v>
      </c>
      <c r="F1914" s="21">
        <f t="shared" ca="1" si="119"/>
        <v>0</v>
      </c>
      <c r="H1914" s="21">
        <v>1899</v>
      </c>
      <c r="I1914" s="102">
        <v>0.66770765003118571</v>
      </c>
      <c r="J1914" s="103">
        <v>1.360043805794218E-3</v>
      </c>
      <c r="K1914" s="103"/>
      <c r="L1914" s="103">
        <v>4.0599999999999997E-2</v>
      </c>
      <c r="O1914" s="100"/>
    </row>
    <row r="1915" spans="2:15" x14ac:dyDescent="0.2">
      <c r="B1915" s="1">
        <v>1900</v>
      </c>
      <c r="C1915" s="101">
        <f t="shared" ca="1" si="116"/>
        <v>0.90236541903241818</v>
      </c>
      <c r="D1915" s="101">
        <f t="shared" ca="1" si="117"/>
        <v>0.72636210473857887</v>
      </c>
      <c r="E1915" s="101">
        <f t="shared" ca="1" si="118"/>
        <v>0</v>
      </c>
      <c r="F1915" s="21">
        <f t="shared" ca="1" si="119"/>
        <v>0</v>
      </c>
      <c r="H1915" s="21">
        <v>1900</v>
      </c>
      <c r="I1915" s="102">
        <v>0.66769641220952225</v>
      </c>
      <c r="J1915" s="103">
        <v>1.4134851650490954E-3</v>
      </c>
      <c r="K1915" s="103"/>
      <c r="L1915" s="103">
        <v>4.0599999999999997E-2</v>
      </c>
      <c r="O1915" s="100"/>
    </row>
    <row r="1916" spans="2:15" x14ac:dyDescent="0.2">
      <c r="B1916" s="1">
        <v>1901</v>
      </c>
      <c r="C1916" s="101">
        <f t="shared" ca="1" si="116"/>
        <v>1.2148140675161425</v>
      </c>
      <c r="D1916" s="101">
        <f t="shared" ca="1" si="117"/>
        <v>0.74909739336572867</v>
      </c>
      <c r="E1916" s="101">
        <f t="shared" ca="1" si="118"/>
        <v>0</v>
      </c>
      <c r="F1916" s="21">
        <f t="shared" ca="1" si="119"/>
        <v>0</v>
      </c>
      <c r="H1916" s="21">
        <v>1901</v>
      </c>
      <c r="I1916" s="102">
        <v>0.66787628528093601</v>
      </c>
      <c r="J1916" s="103">
        <v>1.5266007778584668E-3</v>
      </c>
      <c r="K1916" s="103"/>
      <c r="L1916" s="103">
        <v>4.7E-2</v>
      </c>
      <c r="O1916" s="100"/>
    </row>
    <row r="1917" spans="2:15" x14ac:dyDescent="0.2">
      <c r="B1917" s="1">
        <v>1902</v>
      </c>
      <c r="C1917" s="101">
        <f t="shared" ca="1" si="116"/>
        <v>-0.79819541552955575</v>
      </c>
      <c r="D1917" s="101">
        <f t="shared" ca="1" si="117"/>
        <v>0.61418923566533989</v>
      </c>
      <c r="E1917" s="101">
        <f t="shared" ca="1" si="118"/>
        <v>0</v>
      </c>
      <c r="F1917" s="21">
        <f t="shared" ca="1" si="119"/>
        <v>0</v>
      </c>
      <c r="H1917" s="21">
        <v>1902</v>
      </c>
      <c r="I1917" s="102">
        <v>0.66769423734254896</v>
      </c>
      <c r="J1917" s="103">
        <v>1.3609917680711427E-3</v>
      </c>
      <c r="K1917" s="103"/>
      <c r="L1917" s="103">
        <v>4.2999999999999997E-2</v>
      </c>
      <c r="O1917" s="100"/>
    </row>
    <row r="1918" spans="2:15" x14ac:dyDescent="0.2">
      <c r="B1918" s="1">
        <v>1903</v>
      </c>
      <c r="C1918" s="101">
        <f t="shared" ca="1" si="116"/>
        <v>0.5742316646454434</v>
      </c>
      <c r="D1918" s="101">
        <f t="shared" ca="1" si="117"/>
        <v>0.70322796148061295</v>
      </c>
      <c r="E1918" s="101">
        <f t="shared" ca="1" si="118"/>
        <v>0</v>
      </c>
      <c r="F1918" s="21">
        <f t="shared" ca="1" si="119"/>
        <v>0</v>
      </c>
      <c r="H1918" s="21">
        <v>1903</v>
      </c>
      <c r="I1918" s="102">
        <v>0.6677337089195301</v>
      </c>
      <c r="J1918" s="103">
        <v>1.3522680890098674E-3</v>
      </c>
      <c r="K1918" s="103"/>
      <c r="L1918" s="103">
        <v>4.3200000000000002E-2</v>
      </c>
      <c r="O1918" s="100"/>
    </row>
    <row r="1919" spans="2:15" x14ac:dyDescent="0.2">
      <c r="B1919" s="1">
        <v>1904</v>
      </c>
      <c r="C1919" s="101">
        <f t="shared" ca="1" si="116"/>
        <v>1.1824170891877006</v>
      </c>
      <c r="D1919" s="101">
        <f t="shared" ca="1" si="117"/>
        <v>0.74670733809963641</v>
      </c>
      <c r="E1919" s="101">
        <f t="shared" ca="1" si="118"/>
        <v>0</v>
      </c>
      <c r="F1919" s="21">
        <f t="shared" ca="1" si="119"/>
        <v>0</v>
      </c>
      <c r="H1919" s="21">
        <v>1904</v>
      </c>
      <c r="I1919" s="102">
        <v>0.66776349873568452</v>
      </c>
      <c r="J1919" s="103">
        <v>1.3508669051638532E-3</v>
      </c>
      <c r="K1919" s="103"/>
      <c r="L1919" s="103">
        <v>4.3400000000000001E-2</v>
      </c>
      <c r="O1919" s="100"/>
    </row>
    <row r="1920" spans="2:15" x14ac:dyDescent="0.2">
      <c r="B1920" s="1">
        <v>1905</v>
      </c>
      <c r="C1920" s="101">
        <f t="shared" ca="1" si="116"/>
        <v>0.23579896271593292</v>
      </c>
      <c r="D1920" s="101">
        <f t="shared" ca="1" si="117"/>
        <v>0.68013931921075033</v>
      </c>
      <c r="E1920" s="101">
        <f t="shared" ca="1" si="118"/>
        <v>0</v>
      </c>
      <c r="F1920" s="21">
        <f t="shared" ca="1" si="119"/>
        <v>0</v>
      </c>
      <c r="H1920" s="21">
        <v>1905</v>
      </c>
      <c r="I1920" s="102">
        <v>0.66763142396601727</v>
      </c>
      <c r="J1920" s="103">
        <v>1.3275438612042341E-3</v>
      </c>
      <c r="K1920" s="103"/>
      <c r="L1920" s="103">
        <v>3.9600000000000003E-2</v>
      </c>
      <c r="O1920" s="100"/>
    </row>
    <row r="1921" spans="2:15" x14ac:dyDescent="0.2">
      <c r="B1921" s="1">
        <v>1906</v>
      </c>
      <c r="C1921" s="101">
        <f t="shared" ca="1" si="116"/>
        <v>0.6987913621144084</v>
      </c>
      <c r="D1921" s="101">
        <f t="shared" ca="1" si="117"/>
        <v>0.71192163522864549</v>
      </c>
      <c r="E1921" s="101">
        <f t="shared" ca="1" si="118"/>
        <v>0</v>
      </c>
      <c r="F1921" s="21">
        <f t="shared" ca="1" si="119"/>
        <v>0</v>
      </c>
      <c r="H1921" s="21">
        <v>1906</v>
      </c>
      <c r="I1921" s="102">
        <v>0.66764683869170272</v>
      </c>
      <c r="J1921" s="103">
        <v>1.2586018351894801E-3</v>
      </c>
      <c r="K1921" s="103"/>
      <c r="L1921" s="103">
        <v>0.04</v>
      </c>
      <c r="O1921" s="100"/>
    </row>
    <row r="1922" spans="2:15" x14ac:dyDescent="0.2">
      <c r="B1922" s="1">
        <v>1907</v>
      </c>
      <c r="C1922" s="101">
        <f t="shared" ca="1" si="116"/>
        <v>-0.17078630656017957</v>
      </c>
      <c r="D1922" s="101">
        <f t="shared" ca="1" si="117"/>
        <v>0.65340133895633956</v>
      </c>
      <c r="E1922" s="101">
        <f t="shared" ca="1" si="118"/>
        <v>0</v>
      </c>
      <c r="F1922" s="21">
        <f t="shared" ca="1" si="119"/>
        <v>0</v>
      </c>
      <c r="H1922" s="21">
        <v>1907</v>
      </c>
      <c r="I1922" s="102">
        <v>0.66778740637873735</v>
      </c>
      <c r="J1922" s="103">
        <v>1.331104836242822E-3</v>
      </c>
      <c r="K1922" s="103"/>
      <c r="L1922" s="103">
        <v>4.1599999999999998E-2</v>
      </c>
      <c r="O1922" s="100"/>
    </row>
    <row r="1923" spans="2:15" x14ac:dyDescent="0.2">
      <c r="B1923" s="1">
        <v>1908</v>
      </c>
      <c r="C1923" s="101">
        <f t="shared" ca="1" si="116"/>
        <v>-0.26445289640439129</v>
      </c>
      <c r="D1923" s="101">
        <f t="shared" ca="1" si="117"/>
        <v>0.6473921084261911</v>
      </c>
      <c r="E1923" s="101">
        <f t="shared" ca="1" si="118"/>
        <v>0</v>
      </c>
      <c r="F1923" s="21">
        <f t="shared" ca="1" si="119"/>
        <v>0</v>
      </c>
      <c r="H1923" s="21">
        <v>1908</v>
      </c>
      <c r="I1923" s="102">
        <v>0.66782620763751943</v>
      </c>
      <c r="J1923" s="103">
        <v>1.3984994771744608E-3</v>
      </c>
      <c r="K1923" s="103"/>
      <c r="L1923" s="103">
        <v>4.24E-2</v>
      </c>
      <c r="O1923" s="100"/>
    </row>
    <row r="1924" spans="2:15" x14ac:dyDescent="0.2">
      <c r="B1924" s="1">
        <v>1909</v>
      </c>
      <c r="C1924" s="101">
        <f t="shared" ca="1" si="116"/>
        <v>-1.11932590808971</v>
      </c>
      <c r="D1924" s="101">
        <f t="shared" ca="1" si="117"/>
        <v>0.59503863995750594</v>
      </c>
      <c r="E1924" s="101">
        <f t="shared" ca="1" si="118"/>
        <v>0</v>
      </c>
      <c r="F1924" s="21">
        <f t="shared" ca="1" si="119"/>
        <v>0</v>
      </c>
      <c r="H1924" s="21">
        <v>1909</v>
      </c>
      <c r="I1924" s="102">
        <v>0.66757846374271035</v>
      </c>
      <c r="J1924" s="103">
        <v>1.1464066044329861E-3</v>
      </c>
      <c r="K1924" s="103"/>
      <c r="L1924" s="103">
        <v>3.8600000000000002E-2</v>
      </c>
      <c r="O1924" s="100"/>
    </row>
    <row r="1925" spans="2:15" x14ac:dyDescent="0.2">
      <c r="B1925" s="1">
        <v>1910</v>
      </c>
      <c r="C1925" s="101">
        <f t="shared" ca="1" si="116"/>
        <v>-0.47271271850041474</v>
      </c>
      <c r="D1925" s="101">
        <f t="shared" ca="1" si="117"/>
        <v>0.63422839041887591</v>
      </c>
      <c r="E1925" s="101">
        <f t="shared" ca="1" si="118"/>
        <v>0</v>
      </c>
      <c r="F1925" s="21">
        <f t="shared" ca="1" si="119"/>
        <v>0</v>
      </c>
      <c r="H1925" s="21">
        <v>1910</v>
      </c>
      <c r="I1925" s="102">
        <v>0.66774389686727631</v>
      </c>
      <c r="J1925" s="103">
        <v>1.3045617020787607E-3</v>
      </c>
      <c r="K1925" s="103"/>
      <c r="L1925" s="103">
        <v>4.3799999999999999E-2</v>
      </c>
      <c r="O1925" s="100"/>
    </row>
    <row r="1926" spans="2:15" x14ac:dyDescent="0.2">
      <c r="B1926" s="1">
        <v>1911</v>
      </c>
      <c r="C1926" s="101">
        <f t="shared" ca="1" si="116"/>
        <v>8.4725387039856187E-2</v>
      </c>
      <c r="D1926" s="101">
        <f t="shared" ca="1" si="117"/>
        <v>0.67007896294619562</v>
      </c>
      <c r="E1926" s="101">
        <f t="shared" ca="1" si="118"/>
        <v>0</v>
      </c>
      <c r="F1926" s="21">
        <f t="shared" ca="1" si="119"/>
        <v>0</v>
      </c>
      <c r="H1926" s="21">
        <v>1911</v>
      </c>
      <c r="I1926" s="102">
        <v>0.66777016112080811</v>
      </c>
      <c r="J1926" s="103">
        <v>1.4303652961807675E-3</v>
      </c>
      <c r="K1926" s="103"/>
      <c r="L1926" s="103">
        <v>4.3400000000000001E-2</v>
      </c>
      <c r="O1926" s="100"/>
    </row>
    <row r="1927" spans="2:15" x14ac:dyDescent="0.2">
      <c r="B1927" s="1">
        <v>1912</v>
      </c>
      <c r="C1927" s="101">
        <f t="shared" ca="1" si="116"/>
        <v>1.5526780481606901</v>
      </c>
      <c r="D1927" s="101">
        <f t="shared" ca="1" si="117"/>
        <v>0.77448350129832733</v>
      </c>
      <c r="E1927" s="101">
        <f t="shared" ca="1" si="118"/>
        <v>0</v>
      </c>
      <c r="F1927" s="21">
        <f t="shared" ca="1" si="119"/>
        <v>0</v>
      </c>
      <c r="H1927" s="21">
        <v>1912</v>
      </c>
      <c r="I1927" s="102">
        <v>0.66774415037098755</v>
      </c>
      <c r="J1927" s="103">
        <v>1.4477455506015985E-3</v>
      </c>
      <c r="K1927" s="103"/>
      <c r="L1927" s="103">
        <v>0.04</v>
      </c>
      <c r="O1927" s="100"/>
    </row>
    <row r="1928" spans="2:15" x14ac:dyDescent="0.2">
      <c r="B1928" s="1">
        <v>1913</v>
      </c>
      <c r="C1928" s="101">
        <f t="shared" ca="1" si="116"/>
        <v>1.2629883809255829</v>
      </c>
      <c r="D1928" s="101">
        <f t="shared" ca="1" si="117"/>
        <v>0.75266555901377286</v>
      </c>
      <c r="E1928" s="101">
        <f t="shared" ca="1" si="118"/>
        <v>0</v>
      </c>
      <c r="F1928" s="21">
        <f t="shared" ca="1" si="119"/>
        <v>0</v>
      </c>
      <c r="H1928" s="21">
        <v>1913</v>
      </c>
      <c r="I1928" s="102">
        <v>0.66768362072424547</v>
      </c>
      <c r="J1928" s="103">
        <v>1.3891109043276022E-3</v>
      </c>
      <c r="K1928" s="103"/>
      <c r="L1928" s="103">
        <v>4.0599999999999997E-2</v>
      </c>
      <c r="O1928" s="100"/>
    </row>
    <row r="1929" spans="2:15" x14ac:dyDescent="0.2">
      <c r="B1929" s="1">
        <v>1914</v>
      </c>
      <c r="C1929" s="101">
        <f t="shared" ca="1" si="116"/>
        <v>0.84805851859752579</v>
      </c>
      <c r="D1929" s="101">
        <f t="shared" ca="1" si="117"/>
        <v>0.72248145561067834</v>
      </c>
      <c r="E1929" s="101">
        <f t="shared" ca="1" si="118"/>
        <v>0</v>
      </c>
      <c r="F1929" s="21">
        <f t="shared" ca="1" si="119"/>
        <v>0</v>
      </c>
      <c r="H1929" s="21">
        <v>1914</v>
      </c>
      <c r="I1929" s="102">
        <v>0.66786737564130016</v>
      </c>
      <c r="J1929" s="103">
        <v>1.4101743303701118E-3</v>
      </c>
      <c r="K1929" s="103"/>
      <c r="L1929" s="103">
        <v>4.58E-2</v>
      </c>
      <c r="O1929" s="100"/>
    </row>
    <row r="1930" spans="2:15" x14ac:dyDescent="0.2">
      <c r="B1930" s="1">
        <v>1915</v>
      </c>
      <c r="C1930" s="101">
        <f t="shared" ca="1" si="116"/>
        <v>-1.0125155388104019</v>
      </c>
      <c r="D1930" s="101">
        <f t="shared" ca="1" si="117"/>
        <v>0.60134105992635645</v>
      </c>
      <c r="E1930" s="101">
        <f t="shared" ca="1" si="118"/>
        <v>0</v>
      </c>
      <c r="F1930" s="21">
        <f t="shared" ca="1" si="119"/>
        <v>0</v>
      </c>
      <c r="H1930" s="21">
        <v>1915</v>
      </c>
      <c r="I1930" s="102">
        <v>0.66777190432228761</v>
      </c>
      <c r="J1930" s="103">
        <v>1.5591227286772223E-3</v>
      </c>
      <c r="K1930" s="103"/>
      <c r="L1930" s="103">
        <v>4.2799999999999998E-2</v>
      </c>
      <c r="O1930" s="100"/>
    </row>
    <row r="1931" spans="2:15" x14ac:dyDescent="0.2">
      <c r="B1931" s="1">
        <v>1916</v>
      </c>
      <c r="C1931" s="101">
        <f t="shared" ca="1" si="116"/>
        <v>0.82438091458293372</v>
      </c>
      <c r="D1931" s="101">
        <f t="shared" ca="1" si="117"/>
        <v>0.72079600399480648</v>
      </c>
      <c r="E1931" s="101">
        <f t="shared" ca="1" si="118"/>
        <v>0</v>
      </c>
      <c r="F1931" s="21">
        <f t="shared" ca="1" si="119"/>
        <v>0</v>
      </c>
      <c r="H1931" s="21">
        <v>1916</v>
      </c>
      <c r="I1931" s="102">
        <v>0.66784966788905575</v>
      </c>
      <c r="J1931" s="103">
        <v>1.4273275633382408E-3</v>
      </c>
      <c r="K1931" s="103"/>
      <c r="L1931" s="103">
        <v>4.48E-2</v>
      </c>
      <c r="O1931" s="100"/>
    </row>
    <row r="1932" spans="2:15" x14ac:dyDescent="0.2">
      <c r="B1932" s="1">
        <v>1917</v>
      </c>
      <c r="C1932" s="101">
        <f t="shared" ca="1" si="116"/>
        <v>-1.0139668235543586</v>
      </c>
      <c r="D1932" s="101">
        <f t="shared" ca="1" si="117"/>
        <v>0.60125498011557921</v>
      </c>
      <c r="E1932" s="101">
        <f t="shared" ca="1" si="118"/>
        <v>0</v>
      </c>
      <c r="F1932" s="21">
        <f t="shared" ca="1" si="119"/>
        <v>0</v>
      </c>
      <c r="H1932" s="21">
        <v>1917</v>
      </c>
      <c r="I1932" s="102">
        <v>0.66770666339961104</v>
      </c>
      <c r="J1932" s="103">
        <v>1.4460940920177838E-3</v>
      </c>
      <c r="K1932" s="103"/>
      <c r="L1932" s="103">
        <v>4.1200000000000001E-2</v>
      </c>
      <c r="O1932" s="100"/>
    </row>
    <row r="1933" spans="2:15" x14ac:dyDescent="0.2">
      <c r="B1933" s="1">
        <v>1918</v>
      </c>
      <c r="C1933" s="101">
        <f t="shared" ca="1" si="116"/>
        <v>-0.8357661217767014</v>
      </c>
      <c r="D1933" s="101">
        <f t="shared" ca="1" si="117"/>
        <v>0.61191724807001213</v>
      </c>
      <c r="E1933" s="101">
        <f t="shared" ca="1" si="118"/>
        <v>0</v>
      </c>
      <c r="F1933" s="21">
        <f t="shared" ca="1" si="119"/>
        <v>0</v>
      </c>
      <c r="H1933" s="21">
        <v>1918</v>
      </c>
      <c r="I1933" s="102">
        <v>0.66778753663910573</v>
      </c>
      <c r="J1933" s="103">
        <v>1.5270211844175324E-3</v>
      </c>
      <c r="K1933" s="103"/>
      <c r="L1933" s="103">
        <v>4.0800000000000003E-2</v>
      </c>
      <c r="O1933" s="100"/>
    </row>
    <row r="1934" spans="2:15" x14ac:dyDescent="0.2">
      <c r="B1934" s="1">
        <v>1919</v>
      </c>
      <c r="C1934" s="101">
        <f t="shared" ca="1" si="116"/>
        <v>0.44045191223536351</v>
      </c>
      <c r="D1934" s="101">
        <f t="shared" ca="1" si="117"/>
        <v>0.6940089777343057</v>
      </c>
      <c r="E1934" s="101">
        <f t="shared" ca="1" si="118"/>
        <v>0</v>
      </c>
      <c r="F1934" s="21">
        <f t="shared" ca="1" si="119"/>
        <v>0</v>
      </c>
      <c r="H1934" s="21">
        <v>1919</v>
      </c>
      <c r="I1934" s="102">
        <v>0.66767723124232103</v>
      </c>
      <c r="J1934" s="103">
        <v>1.251865825220531E-3</v>
      </c>
      <c r="K1934" s="103"/>
      <c r="L1934" s="103">
        <v>4.5600000000000002E-2</v>
      </c>
      <c r="O1934" s="100"/>
    </row>
    <row r="1935" spans="2:15" x14ac:dyDescent="0.2">
      <c r="B1935" s="1">
        <v>1920</v>
      </c>
      <c r="C1935" s="101">
        <f t="shared" ca="1" si="116"/>
        <v>1.6570401974805429E-4</v>
      </c>
      <c r="D1935" s="101">
        <f t="shared" ca="1" si="117"/>
        <v>0.66451302644839183</v>
      </c>
      <c r="E1935" s="101">
        <f t="shared" ca="1" si="118"/>
        <v>0</v>
      </c>
      <c r="F1935" s="21">
        <f t="shared" ca="1" si="119"/>
        <v>0</v>
      </c>
      <c r="H1935" s="21">
        <v>1920</v>
      </c>
      <c r="I1935" s="102">
        <v>0.6677710998034373</v>
      </c>
      <c r="J1935" s="103">
        <v>1.2657293828707238E-3</v>
      </c>
      <c r="K1935" s="103"/>
      <c r="L1935" s="103">
        <v>4.36E-2</v>
      </c>
      <c r="O1935" s="100"/>
    </row>
    <row r="1936" spans="2:15" x14ac:dyDescent="0.2">
      <c r="B1936" s="1">
        <v>1921</v>
      </c>
      <c r="C1936" s="101">
        <f t="shared" ref="C1936:C1999" ca="1" si="120">_xlfn.NORM.S.INV(RAND())</f>
        <v>-0.1506255717533721</v>
      </c>
      <c r="D1936" s="101">
        <f t="shared" ref="D1936:D1999" ca="1" si="121">S0*EXP((μ-0.5*σ*σ)*T+σ*SQRT(T)*$C1936)</f>
        <v>0.65470203909346558</v>
      </c>
      <c r="E1936" s="101">
        <f t="shared" ref="E1936:E1999" ca="1" si="122">MAX(0,CP*(D1936-K))</f>
        <v>0</v>
      </c>
      <c r="F1936" s="21">
        <f t="shared" ref="F1936:F1999" ca="1" si="123">(CP*(D1936-K)&gt;0)*1</f>
        <v>0</v>
      </c>
      <c r="H1936" s="21">
        <v>1921</v>
      </c>
      <c r="I1936" s="102">
        <v>0.6677233319032021</v>
      </c>
      <c r="J1936" s="103">
        <v>1.3921817052208651E-3</v>
      </c>
      <c r="K1936" s="103"/>
      <c r="L1936" s="103">
        <v>4.1200000000000001E-2</v>
      </c>
      <c r="O1936" s="100"/>
    </row>
    <row r="1937" spans="2:15" x14ac:dyDescent="0.2">
      <c r="B1937" s="1">
        <v>1922</v>
      </c>
      <c r="C1937" s="101">
        <f t="shared" ca="1" si="120"/>
        <v>0.19903675808409477</v>
      </c>
      <c r="D1937" s="101">
        <f t="shared" ca="1" si="121"/>
        <v>0.67767741509681689</v>
      </c>
      <c r="E1937" s="101">
        <f t="shared" ca="1" si="122"/>
        <v>0</v>
      </c>
      <c r="F1937" s="21">
        <f t="shared" ca="1" si="123"/>
        <v>0</v>
      </c>
      <c r="H1937" s="21">
        <v>1922</v>
      </c>
      <c r="I1937" s="102">
        <v>0.66785797040575301</v>
      </c>
      <c r="J1937" s="103">
        <v>1.5976298167102458E-3</v>
      </c>
      <c r="K1937" s="103"/>
      <c r="L1937" s="103">
        <v>4.36E-2</v>
      </c>
      <c r="O1937" s="100"/>
    </row>
    <row r="1938" spans="2:15" x14ac:dyDescent="0.2">
      <c r="B1938" s="1">
        <v>1923</v>
      </c>
      <c r="C1938" s="101">
        <f t="shared" ca="1" si="120"/>
        <v>-0.62078868018254951</v>
      </c>
      <c r="D1938" s="101">
        <f t="shared" ca="1" si="121"/>
        <v>0.62503191825891558</v>
      </c>
      <c r="E1938" s="101">
        <f t="shared" ca="1" si="122"/>
        <v>0</v>
      </c>
      <c r="F1938" s="21">
        <f t="shared" ca="1" si="123"/>
        <v>0</v>
      </c>
      <c r="H1938" s="21">
        <v>1923</v>
      </c>
      <c r="I1938" s="102">
        <v>0.66786790035075116</v>
      </c>
      <c r="J1938" s="103">
        <v>1.5568298379608895E-3</v>
      </c>
      <c r="K1938" s="103"/>
      <c r="L1938" s="103">
        <v>4.7399999999999998E-2</v>
      </c>
      <c r="O1938" s="100"/>
    </row>
    <row r="1939" spans="2:15" x14ac:dyDescent="0.2">
      <c r="B1939" s="1">
        <v>1924</v>
      </c>
      <c r="C1939" s="101">
        <f t="shared" ca="1" si="120"/>
        <v>0.45153425791262614</v>
      </c>
      <c r="D1939" s="101">
        <f t="shared" ca="1" si="121"/>
        <v>0.69476806740827668</v>
      </c>
      <c r="E1939" s="101">
        <f t="shared" ca="1" si="122"/>
        <v>0</v>
      </c>
      <c r="F1939" s="21">
        <f t="shared" ca="1" si="123"/>
        <v>0</v>
      </c>
      <c r="H1939" s="21">
        <v>1924</v>
      </c>
      <c r="I1939" s="102">
        <v>0.66761623440647933</v>
      </c>
      <c r="J1939" s="103">
        <v>1.204715732661898E-3</v>
      </c>
      <c r="K1939" s="103"/>
      <c r="L1939" s="103">
        <v>3.7999999999999999E-2</v>
      </c>
      <c r="O1939" s="100"/>
    </row>
    <row r="1940" spans="2:15" x14ac:dyDescent="0.2">
      <c r="B1940" s="1">
        <v>1925</v>
      </c>
      <c r="C1940" s="101">
        <f t="shared" ca="1" si="120"/>
        <v>-1.2009754212801727</v>
      </c>
      <c r="D1940" s="101">
        <f t="shared" ca="1" si="121"/>
        <v>0.59026543662478792</v>
      </c>
      <c r="E1940" s="101">
        <f t="shared" ca="1" si="122"/>
        <v>0</v>
      </c>
      <c r="F1940" s="21">
        <f t="shared" ca="1" si="123"/>
        <v>0</v>
      </c>
      <c r="H1940" s="21">
        <v>1925</v>
      </c>
      <c r="I1940" s="102">
        <v>0.66769375282868504</v>
      </c>
      <c r="J1940" s="103">
        <v>1.3626863563028578E-3</v>
      </c>
      <c r="K1940" s="103"/>
      <c r="L1940" s="103">
        <v>0.04</v>
      </c>
      <c r="O1940" s="100"/>
    </row>
    <row r="1941" spans="2:15" x14ac:dyDescent="0.2">
      <c r="B1941" s="1">
        <v>1926</v>
      </c>
      <c r="C1941" s="101">
        <f t="shared" ca="1" si="120"/>
        <v>0.90114876233217633</v>
      </c>
      <c r="D1941" s="101">
        <f t="shared" ca="1" si="121"/>
        <v>0.72627493734281789</v>
      </c>
      <c r="E1941" s="101">
        <f t="shared" ca="1" si="122"/>
        <v>0</v>
      </c>
      <c r="F1941" s="21">
        <f t="shared" ca="1" si="123"/>
        <v>0</v>
      </c>
      <c r="H1941" s="21">
        <v>1926</v>
      </c>
      <c r="I1941" s="102">
        <v>0.66783963842447236</v>
      </c>
      <c r="J1941" s="103">
        <v>1.5476571294536659E-3</v>
      </c>
      <c r="K1941" s="103"/>
      <c r="L1941" s="103">
        <v>4.5999999999999999E-2</v>
      </c>
      <c r="O1941" s="100"/>
    </row>
    <row r="1942" spans="2:15" x14ac:dyDescent="0.2">
      <c r="B1942" s="1">
        <v>1927</v>
      </c>
      <c r="C1942" s="101">
        <f t="shared" ca="1" si="120"/>
        <v>-0.34022412150618858</v>
      </c>
      <c r="D1942" s="101">
        <f t="shared" ca="1" si="121"/>
        <v>0.64257142485324159</v>
      </c>
      <c r="E1942" s="101">
        <f t="shared" ca="1" si="122"/>
        <v>0</v>
      </c>
      <c r="F1942" s="21">
        <f t="shared" ca="1" si="123"/>
        <v>0</v>
      </c>
      <c r="H1942" s="21">
        <v>1927</v>
      </c>
      <c r="I1942" s="102">
        <v>0.66772898917144063</v>
      </c>
      <c r="J1942" s="103">
        <v>1.2911514331258624E-3</v>
      </c>
      <c r="K1942" s="103"/>
      <c r="L1942" s="103">
        <v>0.04</v>
      </c>
      <c r="O1942" s="100"/>
    </row>
    <row r="1943" spans="2:15" x14ac:dyDescent="0.2">
      <c r="B1943" s="1">
        <v>1928</v>
      </c>
      <c r="C1943" s="101">
        <f t="shared" ca="1" si="120"/>
        <v>0.81270644549528337</v>
      </c>
      <c r="D1943" s="101">
        <f t="shared" ca="1" si="121"/>
        <v>0.719966423808169</v>
      </c>
      <c r="E1943" s="101">
        <f t="shared" ca="1" si="122"/>
        <v>0</v>
      </c>
      <c r="F1943" s="21">
        <f t="shared" ca="1" si="123"/>
        <v>0</v>
      </c>
      <c r="H1943" s="21">
        <v>1928</v>
      </c>
      <c r="I1943" s="102">
        <v>0.66782009892239291</v>
      </c>
      <c r="J1943" s="103">
        <v>1.5834320954717324E-3</v>
      </c>
      <c r="K1943" s="103"/>
      <c r="L1943" s="103">
        <v>4.6399999999999997E-2</v>
      </c>
      <c r="O1943" s="100"/>
    </row>
    <row r="1944" spans="2:15" x14ac:dyDescent="0.2">
      <c r="B1944" s="1">
        <v>1929</v>
      </c>
      <c r="C1944" s="101">
        <f t="shared" ca="1" si="120"/>
        <v>0.13930446843167363</v>
      </c>
      <c r="D1944" s="101">
        <f t="shared" ca="1" si="121"/>
        <v>0.67369623103981291</v>
      </c>
      <c r="E1944" s="101">
        <f t="shared" ca="1" si="122"/>
        <v>0</v>
      </c>
      <c r="F1944" s="21">
        <f t="shared" ca="1" si="123"/>
        <v>0</v>
      </c>
      <c r="H1944" s="21">
        <v>1929</v>
      </c>
      <c r="I1944" s="102">
        <v>0.667617319316126</v>
      </c>
      <c r="J1944" s="103">
        <v>1.3037997124509524E-3</v>
      </c>
      <c r="K1944" s="103"/>
      <c r="L1944" s="103">
        <v>3.6999999999999998E-2</v>
      </c>
      <c r="O1944" s="100"/>
    </row>
    <row r="1945" spans="2:15" x14ac:dyDescent="0.2">
      <c r="B1945" s="1">
        <v>1930</v>
      </c>
      <c r="C1945" s="101">
        <f t="shared" ca="1" si="120"/>
        <v>-0.92328565955255559</v>
      </c>
      <c r="D1945" s="101">
        <f t="shared" ca="1" si="121"/>
        <v>0.60665727745554943</v>
      </c>
      <c r="E1945" s="101">
        <f t="shared" ca="1" si="122"/>
        <v>0</v>
      </c>
      <c r="F1945" s="21">
        <f t="shared" ca="1" si="123"/>
        <v>0</v>
      </c>
      <c r="H1945" s="21">
        <v>1930</v>
      </c>
      <c r="I1945" s="102">
        <v>0.66776306696718501</v>
      </c>
      <c r="J1945" s="103">
        <v>1.3629410620658894E-3</v>
      </c>
      <c r="K1945" s="103"/>
      <c r="L1945" s="103">
        <v>4.1799999999999997E-2</v>
      </c>
      <c r="O1945" s="100"/>
    </row>
    <row r="1946" spans="2:15" x14ac:dyDescent="0.2">
      <c r="B1946" s="1">
        <v>1931</v>
      </c>
      <c r="C1946" s="101">
        <f t="shared" ca="1" si="120"/>
        <v>1.437453005447457</v>
      </c>
      <c r="D1946" s="101">
        <f t="shared" ca="1" si="121"/>
        <v>0.76573059656325515</v>
      </c>
      <c r="E1946" s="101">
        <f t="shared" ca="1" si="122"/>
        <v>0</v>
      </c>
      <c r="F1946" s="21">
        <f t="shared" ca="1" si="123"/>
        <v>0</v>
      </c>
      <c r="H1946" s="21">
        <v>1931</v>
      </c>
      <c r="I1946" s="102">
        <v>0.66767976213799407</v>
      </c>
      <c r="J1946" s="103">
        <v>1.2493493579059146E-3</v>
      </c>
      <c r="K1946" s="103"/>
      <c r="L1946" s="103">
        <v>3.7400000000000003E-2</v>
      </c>
      <c r="O1946" s="100"/>
    </row>
    <row r="1947" spans="2:15" x14ac:dyDescent="0.2">
      <c r="B1947" s="1">
        <v>1932</v>
      </c>
      <c r="C1947" s="101">
        <f t="shared" ca="1" si="120"/>
        <v>-0.24134678499257498</v>
      </c>
      <c r="D1947" s="101">
        <f t="shared" ca="1" si="121"/>
        <v>0.64886933865006557</v>
      </c>
      <c r="E1947" s="101">
        <f t="shared" ca="1" si="122"/>
        <v>0</v>
      </c>
      <c r="F1947" s="21">
        <f t="shared" ca="1" si="123"/>
        <v>0</v>
      </c>
      <c r="H1947" s="21">
        <v>1932</v>
      </c>
      <c r="I1947" s="102">
        <v>0.66778042393062986</v>
      </c>
      <c r="J1947" s="103">
        <v>1.4199825195335438E-3</v>
      </c>
      <c r="K1947" s="103"/>
      <c r="L1947" s="103">
        <v>4.3200000000000002E-2</v>
      </c>
      <c r="O1947" s="100"/>
    </row>
    <row r="1948" spans="2:15" x14ac:dyDescent="0.2">
      <c r="B1948" s="1">
        <v>1933</v>
      </c>
      <c r="C1948" s="101">
        <f t="shared" ca="1" si="120"/>
        <v>1.5639743575862067E-2</v>
      </c>
      <c r="D1948" s="101">
        <f t="shared" ca="1" si="121"/>
        <v>0.66552810019030184</v>
      </c>
      <c r="E1948" s="101">
        <f t="shared" ca="1" si="122"/>
        <v>0</v>
      </c>
      <c r="F1948" s="21">
        <f t="shared" ca="1" si="123"/>
        <v>0</v>
      </c>
      <c r="H1948" s="21">
        <v>1933</v>
      </c>
      <c r="I1948" s="102">
        <v>0.66768717864510585</v>
      </c>
      <c r="J1948" s="103">
        <v>1.3696348167677591E-3</v>
      </c>
      <c r="K1948" s="103"/>
      <c r="L1948" s="103">
        <v>0.04</v>
      </c>
      <c r="O1948" s="100"/>
    </row>
    <row r="1949" spans="2:15" x14ac:dyDescent="0.2">
      <c r="B1949" s="1">
        <v>1934</v>
      </c>
      <c r="C1949" s="101">
        <f t="shared" ca="1" si="120"/>
        <v>0.38549531322301445</v>
      </c>
      <c r="D1949" s="101">
        <f t="shared" ca="1" si="121"/>
        <v>0.69025693983825154</v>
      </c>
      <c r="E1949" s="101">
        <f t="shared" ca="1" si="122"/>
        <v>0</v>
      </c>
      <c r="F1949" s="21">
        <f t="shared" ca="1" si="123"/>
        <v>0</v>
      </c>
      <c r="H1949" s="21">
        <v>1934</v>
      </c>
      <c r="I1949" s="102">
        <v>0.6677450309768701</v>
      </c>
      <c r="J1949" s="103">
        <v>1.4630583154936619E-3</v>
      </c>
      <c r="K1949" s="103"/>
      <c r="L1949" s="103">
        <v>4.2200000000000001E-2</v>
      </c>
      <c r="O1949" s="100"/>
    </row>
    <row r="1950" spans="2:15" x14ac:dyDescent="0.2">
      <c r="B1950" s="1">
        <v>1935</v>
      </c>
      <c r="C1950" s="101">
        <f t="shared" ca="1" si="120"/>
        <v>-0.68345953864220632</v>
      </c>
      <c r="D1950" s="101">
        <f t="shared" ca="1" si="121"/>
        <v>0.62117992923221788</v>
      </c>
      <c r="E1950" s="101">
        <f t="shared" ca="1" si="122"/>
        <v>0</v>
      </c>
      <c r="F1950" s="21">
        <f t="shared" ca="1" si="123"/>
        <v>0</v>
      </c>
      <c r="H1950" s="21">
        <v>1935</v>
      </c>
      <c r="I1950" s="102">
        <v>0.66756504163226527</v>
      </c>
      <c r="J1950" s="103">
        <v>1.1608707745203793E-3</v>
      </c>
      <c r="K1950" s="103"/>
      <c r="L1950" s="103">
        <v>3.6400000000000002E-2</v>
      </c>
      <c r="O1950" s="100"/>
    </row>
    <row r="1951" spans="2:15" x14ac:dyDescent="0.2">
      <c r="B1951" s="1">
        <v>1936</v>
      </c>
      <c r="C1951" s="101">
        <f t="shared" ca="1" si="120"/>
        <v>1.0089016470288876</v>
      </c>
      <c r="D1951" s="101">
        <f t="shared" ca="1" si="121"/>
        <v>0.73403560242998156</v>
      </c>
      <c r="E1951" s="101">
        <f t="shared" ca="1" si="122"/>
        <v>0</v>
      </c>
      <c r="F1951" s="21">
        <f t="shared" ca="1" si="123"/>
        <v>0</v>
      </c>
      <c r="H1951" s="21">
        <v>1936</v>
      </c>
      <c r="I1951" s="102">
        <v>0.66774089858802477</v>
      </c>
      <c r="J1951" s="103">
        <v>1.4079664331619857E-3</v>
      </c>
      <c r="K1951" s="103"/>
      <c r="L1951" s="103">
        <v>4.2799999999999998E-2</v>
      </c>
      <c r="O1951" s="100"/>
    </row>
    <row r="1952" spans="2:15" x14ac:dyDescent="0.2">
      <c r="B1952" s="1">
        <v>1937</v>
      </c>
      <c r="C1952" s="101">
        <f t="shared" ca="1" si="120"/>
        <v>0.60904169539015773</v>
      </c>
      <c r="D1952" s="101">
        <f t="shared" ca="1" si="121"/>
        <v>0.70564679106443218</v>
      </c>
      <c r="E1952" s="101">
        <f t="shared" ca="1" si="122"/>
        <v>0</v>
      </c>
      <c r="F1952" s="21">
        <f t="shared" ca="1" si="123"/>
        <v>0</v>
      </c>
      <c r="H1952" s="21">
        <v>1937</v>
      </c>
      <c r="I1952" s="102">
        <v>0.66772797652271543</v>
      </c>
      <c r="J1952" s="103">
        <v>1.4216332161505034E-3</v>
      </c>
      <c r="K1952" s="103"/>
      <c r="L1952" s="103">
        <v>3.8600000000000002E-2</v>
      </c>
      <c r="O1952" s="100"/>
    </row>
    <row r="1953" spans="2:15" x14ac:dyDescent="0.2">
      <c r="B1953" s="1">
        <v>1938</v>
      </c>
      <c r="C1953" s="101">
        <f t="shared" ca="1" si="120"/>
        <v>-0.46865864334567031</v>
      </c>
      <c r="D1953" s="101">
        <f t="shared" ca="1" si="121"/>
        <v>0.63448206865820067</v>
      </c>
      <c r="E1953" s="101">
        <f t="shared" ca="1" si="122"/>
        <v>0</v>
      </c>
      <c r="F1953" s="21">
        <f t="shared" ca="1" si="123"/>
        <v>0</v>
      </c>
      <c r="H1953" s="21">
        <v>1938</v>
      </c>
      <c r="I1953" s="102">
        <v>0.66763590973900266</v>
      </c>
      <c r="J1953" s="103">
        <v>1.3368607217337349E-3</v>
      </c>
      <c r="K1953" s="103"/>
      <c r="L1953" s="103">
        <v>4.0599999999999997E-2</v>
      </c>
      <c r="O1953" s="100"/>
    </row>
    <row r="1954" spans="2:15" x14ac:dyDescent="0.2">
      <c r="B1954" s="1">
        <v>1939</v>
      </c>
      <c r="C1954" s="101">
        <f t="shared" ca="1" si="120"/>
        <v>1.5656460683436337</v>
      </c>
      <c r="D1954" s="101">
        <f t="shared" ca="1" si="121"/>
        <v>0.77547484111445852</v>
      </c>
      <c r="E1954" s="101">
        <f t="shared" ca="1" si="122"/>
        <v>0</v>
      </c>
      <c r="F1954" s="21">
        <f t="shared" ca="1" si="123"/>
        <v>0</v>
      </c>
      <c r="H1954" s="21">
        <v>1939</v>
      </c>
      <c r="I1954" s="102">
        <v>0.66778910392793533</v>
      </c>
      <c r="J1954" s="103">
        <v>1.4787324640939869E-3</v>
      </c>
      <c r="K1954" s="103"/>
      <c r="L1954" s="103">
        <v>4.6399999999999997E-2</v>
      </c>
      <c r="O1954" s="100"/>
    </row>
    <row r="1955" spans="2:15" x14ac:dyDescent="0.2">
      <c r="B1955" s="1">
        <v>1940</v>
      </c>
      <c r="C1955" s="101">
        <f t="shared" ca="1" si="120"/>
        <v>-1.4504818573097147</v>
      </c>
      <c r="D1955" s="101">
        <f t="shared" ca="1" si="121"/>
        <v>0.57591534688157697</v>
      </c>
      <c r="E1955" s="101">
        <f t="shared" ca="1" si="122"/>
        <v>0</v>
      </c>
      <c r="F1955" s="21">
        <f t="shared" ca="1" si="123"/>
        <v>0</v>
      </c>
      <c r="H1955" s="21">
        <v>1940</v>
      </c>
      <c r="I1955" s="102">
        <v>0.66786204674396299</v>
      </c>
      <c r="J1955" s="103">
        <v>1.4524123874173026E-3</v>
      </c>
      <c r="K1955" s="103"/>
      <c r="L1955" s="103">
        <v>4.3200000000000002E-2</v>
      </c>
      <c r="O1955" s="100"/>
    </row>
    <row r="1956" spans="2:15" x14ac:dyDescent="0.2">
      <c r="B1956" s="1">
        <v>1941</v>
      </c>
      <c r="C1956" s="101">
        <f t="shared" ca="1" si="120"/>
        <v>-0.1341328328603818</v>
      </c>
      <c r="D1956" s="101">
        <f t="shared" ca="1" si="121"/>
        <v>0.65576801820598607</v>
      </c>
      <c r="E1956" s="101">
        <f t="shared" ca="1" si="122"/>
        <v>0</v>
      </c>
      <c r="F1956" s="21">
        <f t="shared" ca="1" si="123"/>
        <v>0</v>
      </c>
      <c r="H1956" s="21">
        <v>1941</v>
      </c>
      <c r="I1956" s="102">
        <v>0.66783477229722077</v>
      </c>
      <c r="J1956" s="103">
        <v>1.5513784887967912E-3</v>
      </c>
      <c r="K1956" s="103"/>
      <c r="L1956" s="103">
        <v>4.6399999999999997E-2</v>
      </c>
      <c r="O1956" s="100"/>
    </row>
    <row r="1957" spans="2:15" x14ac:dyDescent="0.2">
      <c r="B1957" s="1">
        <v>1942</v>
      </c>
      <c r="C1957" s="101">
        <f t="shared" ca="1" si="120"/>
        <v>-9.6501572844593653E-2</v>
      </c>
      <c r="D1957" s="101">
        <f t="shared" ca="1" si="121"/>
        <v>0.65820675085462133</v>
      </c>
      <c r="E1957" s="101">
        <f t="shared" ca="1" si="122"/>
        <v>0</v>
      </c>
      <c r="F1957" s="21">
        <f t="shared" ca="1" si="123"/>
        <v>0</v>
      </c>
      <c r="H1957" s="21">
        <v>1942</v>
      </c>
      <c r="I1957" s="102">
        <v>0.66774044186272086</v>
      </c>
      <c r="J1957" s="103">
        <v>1.3208756366060248E-3</v>
      </c>
      <c r="K1957" s="103"/>
      <c r="L1957" s="103">
        <v>3.8800000000000001E-2</v>
      </c>
      <c r="O1957" s="100"/>
    </row>
    <row r="1958" spans="2:15" x14ac:dyDescent="0.2">
      <c r="B1958" s="1">
        <v>1943</v>
      </c>
      <c r="C1958" s="101">
        <f t="shared" ca="1" si="120"/>
        <v>0.22389004191677464</v>
      </c>
      <c r="D1958" s="101">
        <f t="shared" ca="1" si="121"/>
        <v>0.67934082066493851</v>
      </c>
      <c r="E1958" s="101">
        <f t="shared" ca="1" si="122"/>
        <v>0</v>
      </c>
      <c r="F1958" s="21">
        <f t="shared" ca="1" si="123"/>
        <v>0</v>
      </c>
      <c r="H1958" s="21">
        <v>1943</v>
      </c>
      <c r="I1958" s="102">
        <v>0.66776201760750786</v>
      </c>
      <c r="J1958" s="103">
        <v>1.4133615622950704E-3</v>
      </c>
      <c r="K1958" s="103"/>
      <c r="L1958" s="103">
        <v>4.2999999999999997E-2</v>
      </c>
      <c r="O1958" s="100"/>
    </row>
    <row r="1959" spans="2:15" x14ac:dyDescent="0.2">
      <c r="B1959" s="1">
        <v>1944</v>
      </c>
      <c r="C1959" s="101">
        <f t="shared" ca="1" si="120"/>
        <v>0.24674445405157691</v>
      </c>
      <c r="D1959" s="101">
        <f t="shared" ca="1" si="121"/>
        <v>0.68087404708193744</v>
      </c>
      <c r="E1959" s="101">
        <f t="shared" ca="1" si="122"/>
        <v>0</v>
      </c>
      <c r="F1959" s="21">
        <f t="shared" ca="1" si="123"/>
        <v>0</v>
      </c>
      <c r="H1959" s="21">
        <v>1944</v>
      </c>
      <c r="I1959" s="102">
        <v>0.66770025793706167</v>
      </c>
      <c r="J1959" s="103">
        <v>1.4591650924943743E-3</v>
      </c>
      <c r="K1959" s="103"/>
      <c r="L1959" s="103">
        <v>4.24E-2</v>
      </c>
      <c r="O1959" s="100"/>
    </row>
    <row r="1960" spans="2:15" x14ac:dyDescent="0.2">
      <c r="B1960" s="1">
        <v>1945</v>
      </c>
      <c r="C1960" s="101">
        <f t="shared" ca="1" si="120"/>
        <v>-1.8232354933849291</v>
      </c>
      <c r="D1960" s="101">
        <f t="shared" ca="1" si="121"/>
        <v>0.5551241430079914</v>
      </c>
      <c r="E1960" s="101">
        <f t="shared" ca="1" si="122"/>
        <v>0</v>
      </c>
      <c r="F1960" s="21">
        <f t="shared" ca="1" si="123"/>
        <v>0</v>
      </c>
      <c r="H1960" s="21">
        <v>1945</v>
      </c>
      <c r="I1960" s="102">
        <v>0.66783356984653919</v>
      </c>
      <c r="J1960" s="103">
        <v>1.5671218295378714E-3</v>
      </c>
      <c r="K1960" s="103"/>
      <c r="L1960" s="103">
        <v>4.5199999999999997E-2</v>
      </c>
      <c r="O1960" s="100"/>
    </row>
    <row r="1961" spans="2:15" x14ac:dyDescent="0.2">
      <c r="B1961" s="1">
        <v>1946</v>
      </c>
      <c r="C1961" s="101">
        <f t="shared" ca="1" si="120"/>
        <v>-1.9425275855205111</v>
      </c>
      <c r="D1961" s="101">
        <f t="shared" ca="1" si="121"/>
        <v>0.54863020740805002</v>
      </c>
      <c r="E1961" s="101">
        <f t="shared" ca="1" si="122"/>
        <v>0</v>
      </c>
      <c r="F1961" s="21">
        <f t="shared" ca="1" si="123"/>
        <v>0</v>
      </c>
      <c r="H1961" s="21">
        <v>1946</v>
      </c>
      <c r="I1961" s="102">
        <v>0.66765524566426893</v>
      </c>
      <c r="J1961" s="103">
        <v>1.2636911574351525E-3</v>
      </c>
      <c r="K1961" s="103"/>
      <c r="L1961" s="103">
        <v>3.9600000000000003E-2</v>
      </c>
      <c r="O1961" s="100"/>
    </row>
    <row r="1962" spans="2:15" x14ac:dyDescent="0.2">
      <c r="B1962" s="1">
        <v>1947</v>
      </c>
      <c r="C1962" s="101">
        <f t="shared" ca="1" si="120"/>
        <v>-0.62370525793589149</v>
      </c>
      <c r="D1962" s="101">
        <f t="shared" ca="1" si="121"/>
        <v>0.62485212550499469</v>
      </c>
      <c r="E1962" s="101">
        <f t="shared" ca="1" si="122"/>
        <v>0</v>
      </c>
      <c r="F1962" s="21">
        <f t="shared" ca="1" si="123"/>
        <v>0</v>
      </c>
      <c r="H1962" s="21">
        <v>1947</v>
      </c>
      <c r="I1962" s="102">
        <v>0.66772329234446237</v>
      </c>
      <c r="J1962" s="103">
        <v>1.4402357136265042E-3</v>
      </c>
      <c r="K1962" s="103"/>
      <c r="L1962" s="103">
        <v>3.9600000000000003E-2</v>
      </c>
      <c r="O1962" s="100"/>
    </row>
    <row r="1963" spans="2:15" x14ac:dyDescent="0.2">
      <c r="B1963" s="1">
        <v>1948</v>
      </c>
      <c r="C1963" s="101">
        <f t="shared" ca="1" si="120"/>
        <v>-9.1391297452315917E-2</v>
      </c>
      <c r="D1963" s="101">
        <f t="shared" ca="1" si="121"/>
        <v>0.65853862620958536</v>
      </c>
      <c r="E1963" s="101">
        <f t="shared" ca="1" si="122"/>
        <v>0</v>
      </c>
      <c r="F1963" s="21">
        <f t="shared" ca="1" si="123"/>
        <v>0</v>
      </c>
      <c r="H1963" s="21">
        <v>1948</v>
      </c>
      <c r="I1963" s="102">
        <v>0.66777196377242554</v>
      </c>
      <c r="J1963" s="103">
        <v>1.4669763285615784E-3</v>
      </c>
      <c r="K1963" s="103"/>
      <c r="L1963" s="103">
        <v>4.5400000000000003E-2</v>
      </c>
      <c r="O1963" s="100"/>
    </row>
    <row r="1964" spans="2:15" x14ac:dyDescent="0.2">
      <c r="B1964" s="1">
        <v>1949</v>
      </c>
      <c r="C1964" s="101">
        <f t="shared" ca="1" si="120"/>
        <v>-6.9732701834934491E-2</v>
      </c>
      <c r="D1964" s="101">
        <f t="shared" ca="1" si="121"/>
        <v>0.65994705355904493</v>
      </c>
      <c r="E1964" s="101">
        <f t="shared" ca="1" si="122"/>
        <v>0</v>
      </c>
      <c r="F1964" s="21">
        <f t="shared" ca="1" si="123"/>
        <v>0</v>
      </c>
      <c r="H1964" s="21">
        <v>1949</v>
      </c>
      <c r="I1964" s="102">
        <v>0.66774972021114498</v>
      </c>
      <c r="J1964" s="103">
        <v>1.3724247950119726E-3</v>
      </c>
      <c r="K1964" s="103"/>
      <c r="L1964" s="103">
        <v>4.0800000000000003E-2</v>
      </c>
      <c r="O1964" s="100"/>
    </row>
    <row r="1965" spans="2:15" x14ac:dyDescent="0.2">
      <c r="B1965" s="1">
        <v>1950</v>
      </c>
      <c r="C1965" s="101">
        <f t="shared" ca="1" si="120"/>
        <v>-1.0479561836087645</v>
      </c>
      <c r="D1965" s="101">
        <f t="shared" ca="1" si="121"/>
        <v>0.59924249472238333</v>
      </c>
      <c r="E1965" s="101">
        <f t="shared" ca="1" si="122"/>
        <v>0</v>
      </c>
      <c r="F1965" s="21">
        <f t="shared" ca="1" si="123"/>
        <v>0</v>
      </c>
      <c r="H1965" s="21">
        <v>1950</v>
      </c>
      <c r="I1965" s="102">
        <v>0.66756107180565671</v>
      </c>
      <c r="J1965" s="103">
        <v>1.139064619663457E-3</v>
      </c>
      <c r="K1965" s="103"/>
      <c r="L1965" s="103">
        <v>3.6200000000000003E-2</v>
      </c>
      <c r="O1965" s="100"/>
    </row>
    <row r="1966" spans="2:15" x14ac:dyDescent="0.2">
      <c r="B1966" s="1">
        <v>1951</v>
      </c>
      <c r="C1966" s="101">
        <f t="shared" ca="1" si="120"/>
        <v>0.9314301281062265</v>
      </c>
      <c r="D1966" s="101">
        <f t="shared" ca="1" si="121"/>
        <v>0.72844755946023709</v>
      </c>
      <c r="E1966" s="101">
        <f t="shared" ca="1" si="122"/>
        <v>0</v>
      </c>
      <c r="F1966" s="21">
        <f t="shared" ca="1" si="123"/>
        <v>0</v>
      </c>
      <c r="H1966" s="21">
        <v>1951</v>
      </c>
      <c r="I1966" s="102">
        <v>0.66779982285367701</v>
      </c>
      <c r="J1966" s="103">
        <v>1.4157100943215121E-3</v>
      </c>
      <c r="K1966" s="103"/>
      <c r="L1966" s="103">
        <v>4.1399999999999999E-2</v>
      </c>
      <c r="O1966" s="100"/>
    </row>
    <row r="1967" spans="2:15" x14ac:dyDescent="0.2">
      <c r="B1967" s="1">
        <v>1952</v>
      </c>
      <c r="C1967" s="101">
        <f t="shared" ca="1" si="120"/>
        <v>0.78028741847667515</v>
      </c>
      <c r="D1967" s="101">
        <f t="shared" ca="1" si="121"/>
        <v>0.71766775236907676</v>
      </c>
      <c r="E1967" s="101">
        <f t="shared" ca="1" si="122"/>
        <v>0</v>
      </c>
      <c r="F1967" s="21">
        <f t="shared" ca="1" si="123"/>
        <v>0</v>
      </c>
      <c r="H1967" s="21">
        <v>1952</v>
      </c>
      <c r="I1967" s="102">
        <v>0.66770493669681219</v>
      </c>
      <c r="J1967" s="103">
        <v>1.2990233075264312E-3</v>
      </c>
      <c r="K1967" s="103"/>
      <c r="L1967" s="103">
        <v>4.1599999999999998E-2</v>
      </c>
      <c r="O1967" s="100"/>
    </row>
    <row r="1968" spans="2:15" x14ac:dyDescent="0.2">
      <c r="B1968" s="1">
        <v>1953</v>
      </c>
      <c r="C1968" s="101">
        <f t="shared" ca="1" si="120"/>
        <v>-0.5691539989212161</v>
      </c>
      <c r="D1968" s="101">
        <f t="shared" ca="1" si="121"/>
        <v>0.62822352273434423</v>
      </c>
      <c r="E1968" s="101">
        <f t="shared" ca="1" si="122"/>
        <v>0</v>
      </c>
      <c r="F1968" s="21">
        <f t="shared" ca="1" si="123"/>
        <v>0</v>
      </c>
      <c r="H1968" s="21">
        <v>1953</v>
      </c>
      <c r="I1968" s="102">
        <v>0.66777000513249241</v>
      </c>
      <c r="J1968" s="103">
        <v>1.4024567245720944E-3</v>
      </c>
      <c r="K1968" s="103"/>
      <c r="L1968" s="103">
        <v>4.3200000000000002E-2</v>
      </c>
      <c r="O1968" s="100"/>
    </row>
    <row r="1969" spans="2:15" x14ac:dyDescent="0.2">
      <c r="B1969" s="1">
        <v>1954</v>
      </c>
      <c r="C1969" s="101">
        <f t="shared" ca="1" si="120"/>
        <v>-0.33050414453175297</v>
      </c>
      <c r="D1969" s="101">
        <f t="shared" ca="1" si="121"/>
        <v>0.64318781226528798</v>
      </c>
      <c r="E1969" s="101">
        <f t="shared" ca="1" si="122"/>
        <v>0</v>
      </c>
      <c r="F1969" s="21">
        <f t="shared" ca="1" si="123"/>
        <v>0</v>
      </c>
      <c r="H1969" s="21">
        <v>1954</v>
      </c>
      <c r="I1969" s="102">
        <v>0.66772156984225184</v>
      </c>
      <c r="J1969" s="103">
        <v>1.3743761703579717E-3</v>
      </c>
      <c r="K1969" s="103"/>
      <c r="L1969" s="103">
        <v>4.0599999999999997E-2</v>
      </c>
      <c r="O1969" s="100"/>
    </row>
    <row r="1970" spans="2:15" x14ac:dyDescent="0.2">
      <c r="B1970" s="1">
        <v>1955</v>
      </c>
      <c r="C1970" s="101">
        <f t="shared" ca="1" si="120"/>
        <v>0.77724562358014215</v>
      </c>
      <c r="D1970" s="101">
        <f t="shared" ca="1" si="121"/>
        <v>0.71745245084356968</v>
      </c>
      <c r="E1970" s="101">
        <f t="shared" ca="1" si="122"/>
        <v>0</v>
      </c>
      <c r="F1970" s="21">
        <f t="shared" ca="1" si="123"/>
        <v>0</v>
      </c>
      <c r="H1970" s="21">
        <v>1955</v>
      </c>
      <c r="I1970" s="102">
        <v>0.66785916355938058</v>
      </c>
      <c r="J1970" s="103">
        <v>1.3628922986541525E-3</v>
      </c>
      <c r="K1970" s="103"/>
      <c r="L1970" s="103">
        <v>4.3200000000000002E-2</v>
      </c>
      <c r="O1970" s="100"/>
    </row>
    <row r="1971" spans="2:15" x14ac:dyDescent="0.2">
      <c r="B1971" s="1">
        <v>1956</v>
      </c>
      <c r="C1971" s="101">
        <f t="shared" ca="1" si="120"/>
        <v>0.94295431823635845</v>
      </c>
      <c r="D1971" s="101">
        <f t="shared" ca="1" si="121"/>
        <v>0.72927610136052445</v>
      </c>
      <c r="E1971" s="101">
        <f t="shared" ca="1" si="122"/>
        <v>0</v>
      </c>
      <c r="F1971" s="21">
        <f t="shared" ca="1" si="123"/>
        <v>0</v>
      </c>
      <c r="H1971" s="21">
        <v>1956</v>
      </c>
      <c r="I1971" s="102">
        <v>0.66754561112340127</v>
      </c>
      <c r="J1971" s="103">
        <v>1.3123292279249704E-3</v>
      </c>
      <c r="K1971" s="103"/>
      <c r="L1971" s="103">
        <v>3.9E-2</v>
      </c>
      <c r="O1971" s="100"/>
    </row>
    <row r="1972" spans="2:15" x14ac:dyDescent="0.2">
      <c r="B1972" s="1">
        <v>1957</v>
      </c>
      <c r="C1972" s="101">
        <f t="shared" ca="1" si="120"/>
        <v>-1.7286169459421128</v>
      </c>
      <c r="D1972" s="101">
        <f t="shared" ca="1" si="121"/>
        <v>0.56032953655574613</v>
      </c>
      <c r="E1972" s="101">
        <f t="shared" ca="1" si="122"/>
        <v>0</v>
      </c>
      <c r="F1972" s="21">
        <f t="shared" ca="1" si="123"/>
        <v>0</v>
      </c>
      <c r="H1972" s="21">
        <v>1957</v>
      </c>
      <c r="I1972" s="102">
        <v>0.66795220700863001</v>
      </c>
      <c r="J1972" s="103">
        <v>1.6774245880113699E-3</v>
      </c>
      <c r="K1972" s="103"/>
      <c r="L1972" s="103">
        <v>4.7199999999999999E-2</v>
      </c>
      <c r="O1972" s="100"/>
    </row>
    <row r="1973" spans="2:15" x14ac:dyDescent="0.2">
      <c r="B1973" s="1">
        <v>1958</v>
      </c>
      <c r="C1973" s="101">
        <f t="shared" ca="1" si="120"/>
        <v>-1.0681297083546426</v>
      </c>
      <c r="D1973" s="101">
        <f t="shared" ca="1" si="121"/>
        <v>0.59805122185488702</v>
      </c>
      <c r="E1973" s="101">
        <f t="shared" ca="1" si="122"/>
        <v>0</v>
      </c>
      <c r="F1973" s="21">
        <f t="shared" ca="1" si="123"/>
        <v>0</v>
      </c>
      <c r="H1973" s="21">
        <v>1958</v>
      </c>
      <c r="I1973" s="102">
        <v>0.66771994774832699</v>
      </c>
      <c r="J1973" s="103">
        <v>1.3731052741834389E-3</v>
      </c>
      <c r="K1973" s="103"/>
      <c r="L1973" s="103">
        <v>4.2599999999999999E-2</v>
      </c>
      <c r="O1973" s="100"/>
    </row>
    <row r="1974" spans="2:15" x14ac:dyDescent="0.2">
      <c r="B1974" s="1">
        <v>1959</v>
      </c>
      <c r="C1974" s="101">
        <f t="shared" ca="1" si="120"/>
        <v>-1.5612832757643156</v>
      </c>
      <c r="D1974" s="101">
        <f t="shared" ca="1" si="121"/>
        <v>0.56965509652093649</v>
      </c>
      <c r="E1974" s="101">
        <f t="shared" ca="1" si="122"/>
        <v>0</v>
      </c>
      <c r="F1974" s="21">
        <f t="shared" ca="1" si="123"/>
        <v>0</v>
      </c>
      <c r="H1974" s="21">
        <v>1959</v>
      </c>
      <c r="I1974" s="102">
        <v>0.66791023061923593</v>
      </c>
      <c r="J1974" s="103">
        <v>1.714187506068586E-3</v>
      </c>
      <c r="K1974" s="103"/>
      <c r="L1974" s="103">
        <v>4.7399999999999998E-2</v>
      </c>
      <c r="O1974" s="100"/>
    </row>
    <row r="1975" spans="2:15" x14ac:dyDescent="0.2">
      <c r="B1975" s="1">
        <v>1960</v>
      </c>
      <c r="C1975" s="101">
        <f t="shared" ca="1" si="120"/>
        <v>0.13652378415612343</v>
      </c>
      <c r="D1975" s="101">
        <f t="shared" ca="1" si="121"/>
        <v>0.67351146798277695</v>
      </c>
      <c r="E1975" s="101">
        <f t="shared" ca="1" si="122"/>
        <v>0</v>
      </c>
      <c r="F1975" s="21">
        <f t="shared" ca="1" si="123"/>
        <v>0</v>
      </c>
      <c r="H1975" s="21">
        <v>1960</v>
      </c>
      <c r="I1975" s="102">
        <v>0.66769231412103947</v>
      </c>
      <c r="J1975" s="103">
        <v>1.3228366544787351E-3</v>
      </c>
      <c r="K1975" s="103"/>
      <c r="L1975" s="103">
        <v>4.3200000000000002E-2</v>
      </c>
      <c r="O1975" s="100"/>
    </row>
    <row r="1976" spans="2:15" x14ac:dyDescent="0.2">
      <c r="B1976" s="1">
        <v>1961</v>
      </c>
      <c r="C1976" s="101">
        <f t="shared" ca="1" si="120"/>
        <v>-0.54089573469281527</v>
      </c>
      <c r="D1976" s="101">
        <f t="shared" ca="1" si="121"/>
        <v>0.62997709634019439</v>
      </c>
      <c r="E1976" s="101">
        <f t="shared" ca="1" si="122"/>
        <v>0</v>
      </c>
      <c r="F1976" s="21">
        <f t="shared" ca="1" si="123"/>
        <v>0</v>
      </c>
      <c r="H1976" s="21">
        <v>1961</v>
      </c>
      <c r="I1976" s="102">
        <v>0.66773901586159246</v>
      </c>
      <c r="J1976" s="103">
        <v>1.243391668503429E-3</v>
      </c>
      <c r="K1976" s="103"/>
      <c r="L1976" s="103">
        <v>3.9800000000000002E-2</v>
      </c>
      <c r="O1976" s="100"/>
    </row>
    <row r="1977" spans="2:15" x14ac:dyDescent="0.2">
      <c r="B1977" s="1">
        <v>1962</v>
      </c>
      <c r="C1977" s="101">
        <f t="shared" ca="1" si="120"/>
        <v>-0.9453971969506817</v>
      </c>
      <c r="D1977" s="101">
        <f t="shared" ca="1" si="121"/>
        <v>0.60533553233447235</v>
      </c>
      <c r="E1977" s="101">
        <f t="shared" ca="1" si="122"/>
        <v>0</v>
      </c>
      <c r="F1977" s="21">
        <f t="shared" ca="1" si="123"/>
        <v>0</v>
      </c>
      <c r="H1977" s="21">
        <v>1962</v>
      </c>
      <c r="I1977" s="102">
        <v>0.66777180905413802</v>
      </c>
      <c r="J1977" s="103">
        <v>1.3897236091713835E-3</v>
      </c>
      <c r="K1977" s="103"/>
      <c r="L1977" s="103">
        <v>4.2000000000000003E-2</v>
      </c>
      <c r="O1977" s="100"/>
    </row>
    <row r="1978" spans="2:15" x14ac:dyDescent="0.2">
      <c r="B1978" s="1">
        <v>1963</v>
      </c>
      <c r="C1978" s="101">
        <f t="shared" ca="1" si="120"/>
        <v>-1.6577110130162211</v>
      </c>
      <c r="D1978" s="101">
        <f t="shared" ca="1" si="121"/>
        <v>0.56426236190594281</v>
      </c>
      <c r="E1978" s="101">
        <f t="shared" ca="1" si="122"/>
        <v>0</v>
      </c>
      <c r="F1978" s="21">
        <f t="shared" ca="1" si="123"/>
        <v>0</v>
      </c>
      <c r="H1978" s="21">
        <v>1963</v>
      </c>
      <c r="I1978" s="102">
        <v>0.66781573771207836</v>
      </c>
      <c r="J1978" s="103">
        <v>1.4607046392572601E-3</v>
      </c>
      <c r="K1978" s="103"/>
      <c r="L1978" s="103">
        <v>4.4999999999999998E-2</v>
      </c>
      <c r="O1978" s="100"/>
    </row>
    <row r="1979" spans="2:15" x14ac:dyDescent="0.2">
      <c r="B1979" s="1">
        <v>1964</v>
      </c>
      <c r="C1979" s="101">
        <f t="shared" ca="1" si="120"/>
        <v>-1.3211549062975054</v>
      </c>
      <c r="D1979" s="101">
        <f t="shared" ca="1" si="121"/>
        <v>0.58330935085296975</v>
      </c>
      <c r="E1979" s="101">
        <f t="shared" ca="1" si="122"/>
        <v>0</v>
      </c>
      <c r="F1979" s="21">
        <f t="shared" ca="1" si="123"/>
        <v>0</v>
      </c>
      <c r="H1979" s="21">
        <v>1964</v>
      </c>
      <c r="I1979" s="102">
        <v>0.6678467217004832</v>
      </c>
      <c r="J1979" s="103">
        <v>1.4270172754463845E-3</v>
      </c>
      <c r="K1979" s="103"/>
      <c r="L1979" s="103">
        <v>4.3799999999999999E-2</v>
      </c>
      <c r="O1979" s="100"/>
    </row>
    <row r="1980" spans="2:15" x14ac:dyDescent="0.2">
      <c r="B1980" s="1">
        <v>1965</v>
      </c>
      <c r="C1980" s="101">
        <f t="shared" ca="1" si="120"/>
        <v>6.7271593399015006E-2</v>
      </c>
      <c r="D1980" s="101">
        <f t="shared" ca="1" si="121"/>
        <v>0.66892630374910744</v>
      </c>
      <c r="E1980" s="101">
        <f t="shared" ca="1" si="122"/>
        <v>0</v>
      </c>
      <c r="F1980" s="21">
        <f t="shared" ca="1" si="123"/>
        <v>0</v>
      </c>
      <c r="H1980" s="21">
        <v>1965</v>
      </c>
      <c r="I1980" s="102">
        <v>0.66774210214945628</v>
      </c>
      <c r="J1980" s="103">
        <v>1.2883023618586126E-3</v>
      </c>
      <c r="K1980" s="103"/>
      <c r="L1980" s="103">
        <v>0.04</v>
      </c>
      <c r="O1980" s="100"/>
    </row>
    <row r="1981" spans="2:15" x14ac:dyDescent="0.2">
      <c r="B1981" s="1">
        <v>1966</v>
      </c>
      <c r="C1981" s="101">
        <f t="shared" ca="1" si="120"/>
        <v>-6.5898080404894852E-2</v>
      </c>
      <c r="D1981" s="101">
        <f t="shared" ca="1" si="121"/>
        <v>0.66019672716225375</v>
      </c>
      <c r="E1981" s="101">
        <f t="shared" ca="1" si="122"/>
        <v>0</v>
      </c>
      <c r="F1981" s="21">
        <f t="shared" ca="1" si="123"/>
        <v>0</v>
      </c>
      <c r="H1981" s="21">
        <v>1966</v>
      </c>
      <c r="I1981" s="102">
        <v>0.66781658234014918</v>
      </c>
      <c r="J1981" s="103">
        <v>1.5004315082169637E-3</v>
      </c>
      <c r="K1981" s="103"/>
      <c r="L1981" s="103">
        <v>4.2599999999999999E-2</v>
      </c>
      <c r="O1981" s="100"/>
    </row>
    <row r="1982" spans="2:15" x14ac:dyDescent="0.2">
      <c r="B1982" s="1">
        <v>1967</v>
      </c>
      <c r="C1982" s="101">
        <f t="shared" ca="1" si="120"/>
        <v>-0.35410224238027055</v>
      </c>
      <c r="D1982" s="101">
        <f t="shared" ca="1" si="121"/>
        <v>0.64169237451815597</v>
      </c>
      <c r="E1982" s="101">
        <f t="shared" ca="1" si="122"/>
        <v>0</v>
      </c>
      <c r="F1982" s="21">
        <f t="shared" ca="1" si="123"/>
        <v>0</v>
      </c>
      <c r="H1982" s="21">
        <v>1967</v>
      </c>
      <c r="I1982" s="102">
        <v>0.66782754862169003</v>
      </c>
      <c r="J1982" s="103">
        <v>1.5139935956648965E-3</v>
      </c>
      <c r="K1982" s="103"/>
      <c r="L1982" s="103">
        <v>4.4600000000000001E-2</v>
      </c>
      <c r="O1982" s="100"/>
    </row>
    <row r="1983" spans="2:15" x14ac:dyDescent="0.2">
      <c r="B1983" s="1">
        <v>1968</v>
      </c>
      <c r="C1983" s="101">
        <f t="shared" ca="1" si="120"/>
        <v>0.14117900076750745</v>
      </c>
      <c r="D1983" s="101">
        <f t="shared" ca="1" si="121"/>
        <v>0.6738208132718041</v>
      </c>
      <c r="E1983" s="101">
        <f t="shared" ca="1" si="122"/>
        <v>0</v>
      </c>
      <c r="F1983" s="21">
        <f t="shared" ca="1" si="123"/>
        <v>0</v>
      </c>
      <c r="H1983" s="21">
        <v>1968</v>
      </c>
      <c r="I1983" s="102">
        <v>0.6677273890498121</v>
      </c>
      <c r="J1983" s="103">
        <v>1.4692669557108949E-3</v>
      </c>
      <c r="K1983" s="103"/>
      <c r="L1983" s="103">
        <v>4.1599999999999998E-2</v>
      </c>
      <c r="O1983" s="100"/>
    </row>
    <row r="1984" spans="2:15" x14ac:dyDescent="0.2">
      <c r="B1984" s="1">
        <v>1969</v>
      </c>
      <c r="C1984" s="101">
        <f t="shared" ca="1" si="120"/>
        <v>-2.664100097742033E-2</v>
      </c>
      <c r="D1984" s="101">
        <f t="shared" ca="1" si="121"/>
        <v>0.66275820970427191</v>
      </c>
      <c r="E1984" s="101">
        <f t="shared" ca="1" si="122"/>
        <v>0</v>
      </c>
      <c r="F1984" s="21">
        <f t="shared" ca="1" si="123"/>
        <v>0</v>
      </c>
      <c r="H1984" s="21">
        <v>1969</v>
      </c>
      <c r="I1984" s="102">
        <v>0.66780399363619924</v>
      </c>
      <c r="J1984" s="103">
        <v>1.5292595626544044E-3</v>
      </c>
      <c r="K1984" s="103"/>
      <c r="L1984" s="103">
        <v>4.4999999999999998E-2</v>
      </c>
      <c r="O1984" s="100"/>
    </row>
    <row r="1985" spans="2:15" x14ac:dyDescent="0.2">
      <c r="B1985" s="1">
        <v>1970</v>
      </c>
      <c r="C1985" s="101">
        <f t="shared" ca="1" si="120"/>
        <v>-0.85771276107262162</v>
      </c>
      <c r="D1985" s="101">
        <f t="shared" ca="1" si="121"/>
        <v>0.61059397456845654</v>
      </c>
      <c r="E1985" s="101">
        <f t="shared" ca="1" si="122"/>
        <v>0</v>
      </c>
      <c r="F1985" s="21">
        <f t="shared" ca="1" si="123"/>
        <v>0</v>
      </c>
      <c r="H1985" s="21">
        <v>1970</v>
      </c>
      <c r="I1985" s="102">
        <v>0.66768763287607458</v>
      </c>
      <c r="J1985" s="103">
        <v>1.2222409461101955E-3</v>
      </c>
      <c r="K1985" s="103"/>
      <c r="L1985" s="103">
        <v>3.9E-2</v>
      </c>
      <c r="O1985" s="100"/>
    </row>
    <row r="1986" spans="2:15" x14ac:dyDescent="0.2">
      <c r="B1986" s="1">
        <v>1971</v>
      </c>
      <c r="C1986" s="101">
        <f t="shared" ca="1" si="120"/>
        <v>-0.68865231881138156</v>
      </c>
      <c r="D1986" s="101">
        <f t="shared" ca="1" si="121"/>
        <v>0.62086182823530489</v>
      </c>
      <c r="E1986" s="101">
        <f t="shared" ca="1" si="122"/>
        <v>0</v>
      </c>
      <c r="F1986" s="21">
        <f t="shared" ca="1" si="123"/>
        <v>0</v>
      </c>
      <c r="H1986" s="21">
        <v>1971</v>
      </c>
      <c r="I1986" s="102">
        <v>0.66783303156432905</v>
      </c>
      <c r="J1986" s="103">
        <v>1.384691327015575E-3</v>
      </c>
      <c r="K1986" s="103"/>
      <c r="L1986" s="103">
        <v>4.2999999999999997E-2</v>
      </c>
      <c r="O1986" s="100"/>
    </row>
    <row r="1987" spans="2:15" x14ac:dyDescent="0.2">
      <c r="B1987" s="1">
        <v>1972</v>
      </c>
      <c r="C1987" s="101">
        <f t="shared" ca="1" si="120"/>
        <v>0.81941655343134567</v>
      </c>
      <c r="D1987" s="101">
        <f t="shared" ca="1" si="121"/>
        <v>0.72044312296788093</v>
      </c>
      <c r="E1987" s="101">
        <f t="shared" ca="1" si="122"/>
        <v>0</v>
      </c>
      <c r="F1987" s="21">
        <f t="shared" ca="1" si="123"/>
        <v>0</v>
      </c>
      <c r="H1987" s="21">
        <v>1972</v>
      </c>
      <c r="I1987" s="102">
        <v>0.66771350263502061</v>
      </c>
      <c r="J1987" s="103">
        <v>1.2712613156361475E-3</v>
      </c>
      <c r="K1987" s="103"/>
      <c r="L1987" s="103">
        <v>4.0599999999999997E-2</v>
      </c>
      <c r="O1987" s="100"/>
    </row>
    <row r="1988" spans="2:15" x14ac:dyDescent="0.2">
      <c r="B1988" s="1">
        <v>1973</v>
      </c>
      <c r="C1988" s="101">
        <f t="shared" ca="1" si="120"/>
        <v>-8.8180836911507909E-2</v>
      </c>
      <c r="D1988" s="101">
        <f t="shared" ca="1" si="121"/>
        <v>0.65874720793676167</v>
      </c>
      <c r="E1988" s="101">
        <f t="shared" ca="1" si="122"/>
        <v>0</v>
      </c>
      <c r="F1988" s="21">
        <f t="shared" ca="1" si="123"/>
        <v>0</v>
      </c>
      <c r="H1988" s="21">
        <v>1973</v>
      </c>
      <c r="I1988" s="102">
        <v>0.66778074197124337</v>
      </c>
      <c r="J1988" s="103">
        <v>1.4937789993208195E-3</v>
      </c>
      <c r="K1988" s="103"/>
      <c r="L1988" s="103">
        <v>4.2200000000000001E-2</v>
      </c>
      <c r="O1988" s="100"/>
    </row>
    <row r="1989" spans="2:15" x14ac:dyDescent="0.2">
      <c r="B1989" s="1">
        <v>1974</v>
      </c>
      <c r="C1989" s="101">
        <f t="shared" ca="1" si="120"/>
        <v>0.42421166525800996</v>
      </c>
      <c r="D1989" s="101">
        <f t="shared" ca="1" si="121"/>
        <v>0.69289809349780618</v>
      </c>
      <c r="E1989" s="101">
        <f t="shared" ca="1" si="122"/>
        <v>0</v>
      </c>
      <c r="F1989" s="21">
        <f t="shared" ca="1" si="123"/>
        <v>0</v>
      </c>
      <c r="H1989" s="21">
        <v>1974</v>
      </c>
      <c r="I1989" s="102">
        <v>0.66782189163633088</v>
      </c>
      <c r="J1989" s="103">
        <v>1.494679325241814E-3</v>
      </c>
      <c r="K1989" s="103"/>
      <c r="L1989" s="103">
        <v>4.2000000000000003E-2</v>
      </c>
      <c r="O1989" s="100"/>
    </row>
    <row r="1990" spans="2:15" x14ac:dyDescent="0.2">
      <c r="B1990" s="1">
        <v>1975</v>
      </c>
      <c r="C1990" s="101">
        <f t="shared" ca="1" si="120"/>
        <v>-0.7208059019098072</v>
      </c>
      <c r="D1990" s="101">
        <f t="shared" ca="1" si="121"/>
        <v>0.61889577760055148</v>
      </c>
      <c r="E1990" s="101">
        <f t="shared" ca="1" si="122"/>
        <v>0</v>
      </c>
      <c r="F1990" s="21">
        <f t="shared" ca="1" si="123"/>
        <v>0</v>
      </c>
      <c r="H1990" s="21">
        <v>1975</v>
      </c>
      <c r="I1990" s="102">
        <v>0.66785706588324589</v>
      </c>
      <c r="J1990" s="103">
        <v>1.5204549286436278E-3</v>
      </c>
      <c r="K1990" s="103"/>
      <c r="L1990" s="103">
        <v>4.4200000000000003E-2</v>
      </c>
      <c r="O1990" s="100"/>
    </row>
    <row r="1991" spans="2:15" x14ac:dyDescent="0.2">
      <c r="B1991" s="1">
        <v>1976</v>
      </c>
      <c r="C1991" s="101">
        <f t="shared" ca="1" si="120"/>
        <v>1.2313350676507144</v>
      </c>
      <c r="D1991" s="101">
        <f t="shared" ca="1" si="121"/>
        <v>0.75031915770277369</v>
      </c>
      <c r="E1991" s="101">
        <f t="shared" ca="1" si="122"/>
        <v>0</v>
      </c>
      <c r="F1991" s="21">
        <f t="shared" ca="1" si="123"/>
        <v>0</v>
      </c>
      <c r="H1991" s="21">
        <v>1976</v>
      </c>
      <c r="I1991" s="102">
        <v>0.66773096573714419</v>
      </c>
      <c r="J1991" s="103">
        <v>1.3733831339994786E-3</v>
      </c>
      <c r="K1991" s="103"/>
      <c r="L1991" s="103">
        <v>4.3400000000000001E-2</v>
      </c>
      <c r="O1991" s="100"/>
    </row>
    <row r="1992" spans="2:15" x14ac:dyDescent="0.2">
      <c r="B1992" s="1">
        <v>1977</v>
      </c>
      <c r="C1992" s="101">
        <f t="shared" ca="1" si="120"/>
        <v>6.8660287174252779E-2</v>
      </c>
      <c r="D1992" s="101">
        <f t="shared" ca="1" si="121"/>
        <v>0.66901794128633796</v>
      </c>
      <c r="E1992" s="101">
        <f t="shared" ca="1" si="122"/>
        <v>0</v>
      </c>
      <c r="F1992" s="21">
        <f t="shared" ca="1" si="123"/>
        <v>0</v>
      </c>
      <c r="H1992" s="21">
        <v>1977</v>
      </c>
      <c r="I1992" s="102">
        <v>0.66773219138254636</v>
      </c>
      <c r="J1992" s="103">
        <v>1.3378323905866773E-3</v>
      </c>
      <c r="K1992" s="103"/>
      <c r="L1992" s="103">
        <v>4.02E-2</v>
      </c>
      <c r="O1992" s="100"/>
    </row>
    <row r="1993" spans="2:15" x14ac:dyDescent="0.2">
      <c r="B1993" s="1">
        <v>1978</v>
      </c>
      <c r="C1993" s="101">
        <f t="shared" ca="1" si="120"/>
        <v>0.26271773313568547</v>
      </c>
      <c r="D1993" s="101">
        <f t="shared" ca="1" si="121"/>
        <v>0.68194769515369302</v>
      </c>
      <c r="E1993" s="101">
        <f t="shared" ca="1" si="122"/>
        <v>0</v>
      </c>
      <c r="F1993" s="21">
        <f t="shared" ca="1" si="123"/>
        <v>0</v>
      </c>
      <c r="H1993" s="21">
        <v>1978</v>
      </c>
      <c r="I1993" s="102">
        <v>0.66776318481294827</v>
      </c>
      <c r="J1993" s="103">
        <v>1.4098841342175341E-3</v>
      </c>
      <c r="K1993" s="103"/>
      <c r="L1993" s="103">
        <v>4.4200000000000003E-2</v>
      </c>
      <c r="O1993" s="100"/>
    </row>
    <row r="1994" spans="2:15" x14ac:dyDescent="0.2">
      <c r="B1994" s="1">
        <v>1979</v>
      </c>
      <c r="C1994" s="101">
        <f t="shared" ca="1" si="120"/>
        <v>-1.2962990483521357</v>
      </c>
      <c r="D1994" s="101">
        <f t="shared" ca="1" si="121"/>
        <v>0.58474127202659176</v>
      </c>
      <c r="E1994" s="101">
        <f t="shared" ca="1" si="122"/>
        <v>0</v>
      </c>
      <c r="F1994" s="21">
        <f t="shared" ca="1" si="123"/>
        <v>0</v>
      </c>
      <c r="H1994" s="21">
        <v>1979</v>
      </c>
      <c r="I1994" s="102">
        <v>0.66780957376661376</v>
      </c>
      <c r="J1994" s="103">
        <v>1.5472565148829964E-3</v>
      </c>
      <c r="K1994" s="103"/>
      <c r="L1994" s="103">
        <v>4.4400000000000002E-2</v>
      </c>
      <c r="O1994" s="100"/>
    </row>
    <row r="1995" spans="2:15" x14ac:dyDescent="0.2">
      <c r="B1995" s="1">
        <v>1980</v>
      </c>
      <c r="C1995" s="101">
        <f t="shared" ca="1" si="120"/>
        <v>-0.83970792092625857</v>
      </c>
      <c r="D1995" s="101">
        <f t="shared" ca="1" si="121"/>
        <v>0.6116793660281904</v>
      </c>
      <c r="E1995" s="101">
        <f t="shared" ca="1" si="122"/>
        <v>0</v>
      </c>
      <c r="F1995" s="21">
        <f t="shared" ca="1" si="123"/>
        <v>0</v>
      </c>
      <c r="H1995" s="21">
        <v>1980</v>
      </c>
      <c r="I1995" s="102">
        <v>0.66774369822270419</v>
      </c>
      <c r="J1995" s="103">
        <v>1.3466429904302885E-3</v>
      </c>
      <c r="K1995" s="103"/>
      <c r="L1995" s="103">
        <v>4.1399999999999999E-2</v>
      </c>
      <c r="O1995" s="100"/>
    </row>
    <row r="1996" spans="2:15" x14ac:dyDescent="0.2">
      <c r="B1996" s="1">
        <v>1981</v>
      </c>
      <c r="C1996" s="101">
        <f t="shared" ca="1" si="120"/>
        <v>1.1066226841869351</v>
      </c>
      <c r="D1996" s="101">
        <f t="shared" ca="1" si="121"/>
        <v>0.74114542772030823</v>
      </c>
      <c r="E1996" s="101">
        <f t="shared" ca="1" si="122"/>
        <v>0</v>
      </c>
      <c r="F1996" s="21">
        <f t="shared" ca="1" si="123"/>
        <v>0</v>
      </c>
      <c r="H1996" s="21">
        <v>1981</v>
      </c>
      <c r="I1996" s="102">
        <v>0.66772401631155798</v>
      </c>
      <c r="J1996" s="103">
        <v>1.4205631956637768E-3</v>
      </c>
      <c r="K1996" s="103"/>
      <c r="L1996" s="103">
        <v>4.3400000000000001E-2</v>
      </c>
      <c r="O1996" s="100"/>
    </row>
    <row r="1997" spans="2:15" x14ac:dyDescent="0.2">
      <c r="B1997" s="1">
        <v>1982</v>
      </c>
      <c r="C1997" s="101">
        <f t="shared" ca="1" si="120"/>
        <v>-0.56694025587743213</v>
      </c>
      <c r="D1997" s="101">
        <f t="shared" ca="1" si="121"/>
        <v>0.62836072071602356</v>
      </c>
      <c r="E1997" s="101">
        <f t="shared" ca="1" si="122"/>
        <v>0</v>
      </c>
      <c r="F1997" s="21">
        <f t="shared" ca="1" si="123"/>
        <v>0</v>
      </c>
      <c r="H1997" s="21">
        <v>1982</v>
      </c>
      <c r="I1997" s="102">
        <v>0.66774751261125864</v>
      </c>
      <c r="J1997" s="103">
        <v>1.3612579531273202E-3</v>
      </c>
      <c r="K1997" s="103"/>
      <c r="L1997" s="103">
        <v>4.1599999999999998E-2</v>
      </c>
      <c r="O1997" s="100"/>
    </row>
    <row r="1998" spans="2:15" x14ac:dyDescent="0.2">
      <c r="B1998" s="1">
        <v>1983</v>
      </c>
      <c r="C1998" s="101">
        <f t="shared" ca="1" si="120"/>
        <v>1.1347027401783127</v>
      </c>
      <c r="D1998" s="101">
        <f t="shared" ca="1" si="121"/>
        <v>0.74320113800556087</v>
      </c>
      <c r="E1998" s="101">
        <f t="shared" ca="1" si="122"/>
        <v>0</v>
      </c>
      <c r="F1998" s="21">
        <f t="shared" ca="1" si="123"/>
        <v>0</v>
      </c>
      <c r="H1998" s="21">
        <v>1983</v>
      </c>
      <c r="I1998" s="102">
        <v>0.66777210116646923</v>
      </c>
      <c r="J1998" s="103">
        <v>1.3939279143219186E-3</v>
      </c>
      <c r="K1998" s="103"/>
      <c r="L1998" s="103">
        <v>4.3799999999999999E-2</v>
      </c>
      <c r="O1998" s="100"/>
    </row>
    <row r="1999" spans="2:15" x14ac:dyDescent="0.2">
      <c r="B1999" s="1">
        <v>1984</v>
      </c>
      <c r="C1999" s="101">
        <f t="shared" ca="1" si="120"/>
        <v>0.4477932851144707</v>
      </c>
      <c r="D1999" s="101">
        <f t="shared" ca="1" si="121"/>
        <v>0.69451173520388743</v>
      </c>
      <c r="E1999" s="101">
        <f t="shared" ca="1" si="122"/>
        <v>0</v>
      </c>
      <c r="F1999" s="21">
        <f t="shared" ca="1" si="123"/>
        <v>0</v>
      </c>
      <c r="H1999" s="21">
        <v>1984</v>
      </c>
      <c r="I1999" s="102">
        <v>0.66768296825072782</v>
      </c>
      <c r="J1999" s="103">
        <v>1.2807998767784652E-3</v>
      </c>
      <c r="K1999" s="103"/>
      <c r="L1999" s="103">
        <v>3.9E-2</v>
      </c>
      <c r="O1999" s="100"/>
    </row>
    <row r="2000" spans="2:15" x14ac:dyDescent="0.2">
      <c r="B2000" s="1">
        <v>1985</v>
      </c>
      <c r="C2000" s="101">
        <f t="shared" ref="C2000:C2063" ca="1" si="124">_xlfn.NORM.S.INV(RAND())</f>
        <v>-0.63946051563806805</v>
      </c>
      <c r="D2000" s="101">
        <f t="shared" ref="D2000:D2063" ca="1" si="125">S0*EXP((μ-0.5*σ*σ)*T+σ*SQRT(T)*$C2000)</f>
        <v>0.62388178483541123</v>
      </c>
      <c r="E2000" s="101">
        <f t="shared" ref="E2000:E2063" ca="1" si="126">MAX(0,CP*(D2000-K))</f>
        <v>0</v>
      </c>
      <c r="F2000" s="21">
        <f t="shared" ref="F2000:F2063" ca="1" si="127">(CP*(D2000-K)&gt;0)*1</f>
        <v>0</v>
      </c>
      <c r="H2000" s="21">
        <v>1985</v>
      </c>
      <c r="I2000" s="102">
        <v>0.66767704085246837</v>
      </c>
      <c r="J2000" s="103">
        <v>1.2667385302711511E-3</v>
      </c>
      <c r="K2000" s="103"/>
      <c r="L2000" s="103">
        <v>4.2799999999999998E-2</v>
      </c>
      <c r="O2000" s="100"/>
    </row>
    <row r="2001" spans="2:15" x14ac:dyDescent="0.2">
      <c r="B2001" s="1">
        <v>1986</v>
      </c>
      <c r="C2001" s="101">
        <f t="shared" ca="1" si="124"/>
        <v>-1.9027854733033833</v>
      </c>
      <c r="D2001" s="101">
        <f t="shared" ca="1" si="125"/>
        <v>0.55078517678934102</v>
      </c>
      <c r="E2001" s="101">
        <f t="shared" ca="1" si="126"/>
        <v>0</v>
      </c>
      <c r="F2001" s="21">
        <f t="shared" ca="1" si="127"/>
        <v>0</v>
      </c>
      <c r="H2001" s="21">
        <v>1986</v>
      </c>
      <c r="I2001" s="102">
        <v>0.66790585141890157</v>
      </c>
      <c r="J2001" s="103">
        <v>1.5031819524477031E-3</v>
      </c>
      <c r="K2001" s="103"/>
      <c r="L2001" s="103">
        <v>4.7E-2</v>
      </c>
      <c r="O2001" s="100"/>
    </row>
    <row r="2002" spans="2:15" x14ac:dyDescent="0.2">
      <c r="B2002" s="1">
        <v>1987</v>
      </c>
      <c r="C2002" s="101">
        <f t="shared" ca="1" si="124"/>
        <v>0.8956808185677464</v>
      </c>
      <c r="D2002" s="101">
        <f t="shared" ca="1" si="125"/>
        <v>0.72588331552299334</v>
      </c>
      <c r="E2002" s="101">
        <f t="shared" ca="1" si="126"/>
        <v>0</v>
      </c>
      <c r="F2002" s="21">
        <f t="shared" ca="1" si="127"/>
        <v>0</v>
      </c>
      <c r="H2002" s="21">
        <v>1987</v>
      </c>
      <c r="I2002" s="102">
        <v>0.66761130900922738</v>
      </c>
      <c r="J2002" s="103">
        <v>1.2636403659443678E-3</v>
      </c>
      <c r="K2002" s="103"/>
      <c r="L2002" s="103">
        <v>4.0399999999999998E-2</v>
      </c>
      <c r="O2002" s="100"/>
    </row>
    <row r="2003" spans="2:15" x14ac:dyDescent="0.2">
      <c r="B2003" s="1">
        <v>1988</v>
      </c>
      <c r="C2003" s="101">
        <f t="shared" ca="1" si="124"/>
        <v>-0.18975275868952038</v>
      </c>
      <c r="D2003" s="101">
        <f t="shared" ca="1" si="125"/>
        <v>0.65218004888131031</v>
      </c>
      <c r="E2003" s="101">
        <f t="shared" ca="1" si="126"/>
        <v>0</v>
      </c>
      <c r="F2003" s="21">
        <f t="shared" ca="1" si="127"/>
        <v>0</v>
      </c>
      <c r="H2003" s="21">
        <v>1988</v>
      </c>
      <c r="I2003" s="102">
        <v>0.66783493624570855</v>
      </c>
      <c r="J2003" s="103">
        <v>1.451834990167054E-3</v>
      </c>
      <c r="K2003" s="103"/>
      <c r="L2003" s="103">
        <v>0.04</v>
      </c>
      <c r="O2003" s="100"/>
    </row>
    <row r="2004" spans="2:15" x14ac:dyDescent="0.2">
      <c r="B2004" s="1">
        <v>1989</v>
      </c>
      <c r="C2004" s="101">
        <f t="shared" ca="1" si="124"/>
        <v>0.97389278979127092</v>
      </c>
      <c r="D2004" s="101">
        <f t="shared" ca="1" si="125"/>
        <v>0.73150511434368459</v>
      </c>
      <c r="E2004" s="101">
        <f t="shared" ca="1" si="126"/>
        <v>0</v>
      </c>
      <c r="F2004" s="21">
        <f t="shared" ca="1" si="127"/>
        <v>0</v>
      </c>
      <c r="H2004" s="21">
        <v>1989</v>
      </c>
      <c r="I2004" s="102">
        <v>0.66784141521064144</v>
      </c>
      <c r="J2004" s="103">
        <v>1.3093205524755795E-3</v>
      </c>
      <c r="K2004" s="103"/>
      <c r="L2004" s="103">
        <v>4.2999999999999997E-2</v>
      </c>
      <c r="O2004" s="100"/>
    </row>
    <row r="2005" spans="2:15" x14ac:dyDescent="0.2">
      <c r="B2005" s="1">
        <v>1990</v>
      </c>
      <c r="C2005" s="101">
        <f t="shared" ca="1" si="124"/>
        <v>-2.400758146137945</v>
      </c>
      <c r="D2005" s="101">
        <f t="shared" ca="1" si="125"/>
        <v>0.52438396294578626</v>
      </c>
      <c r="E2005" s="101">
        <f t="shared" ca="1" si="126"/>
        <v>0</v>
      </c>
      <c r="F2005" s="21">
        <f t="shared" ca="1" si="127"/>
        <v>0</v>
      </c>
      <c r="H2005" s="21">
        <v>1990</v>
      </c>
      <c r="I2005" s="102">
        <v>0.66761089200444534</v>
      </c>
      <c r="J2005" s="103">
        <v>1.3561888623436005E-3</v>
      </c>
      <c r="K2005" s="103"/>
      <c r="L2005" s="103">
        <v>3.9199999999999999E-2</v>
      </c>
      <c r="O2005" s="100"/>
    </row>
    <row r="2006" spans="2:15" x14ac:dyDescent="0.2">
      <c r="B2006" s="1">
        <v>1991</v>
      </c>
      <c r="C2006" s="101">
        <f t="shared" ca="1" si="124"/>
        <v>-2.1351276790695999</v>
      </c>
      <c r="D2006" s="101">
        <f t="shared" ca="1" si="125"/>
        <v>0.53830553675083559</v>
      </c>
      <c r="E2006" s="101">
        <f t="shared" ca="1" si="126"/>
        <v>0</v>
      </c>
      <c r="F2006" s="21">
        <f t="shared" ca="1" si="127"/>
        <v>0</v>
      </c>
      <c r="H2006" s="21">
        <v>1991</v>
      </c>
      <c r="I2006" s="102">
        <v>0.66777377007341243</v>
      </c>
      <c r="J2006" s="103">
        <v>1.3923220458764549E-3</v>
      </c>
      <c r="K2006" s="103"/>
      <c r="L2006" s="103">
        <v>4.36E-2</v>
      </c>
      <c r="O2006" s="100"/>
    </row>
    <row r="2007" spans="2:15" x14ac:dyDescent="0.2">
      <c r="B2007" s="1">
        <v>1992</v>
      </c>
      <c r="C2007" s="101">
        <f t="shared" ca="1" si="124"/>
        <v>0.40332514511402739</v>
      </c>
      <c r="D2007" s="101">
        <f t="shared" ca="1" si="125"/>
        <v>0.69147200311797852</v>
      </c>
      <c r="E2007" s="101">
        <f t="shared" ca="1" si="126"/>
        <v>0</v>
      </c>
      <c r="F2007" s="21">
        <f t="shared" ca="1" si="127"/>
        <v>0</v>
      </c>
      <c r="H2007" s="21">
        <v>1992</v>
      </c>
      <c r="I2007" s="102">
        <v>0.66792051027663024</v>
      </c>
      <c r="J2007" s="103">
        <v>1.4725485853866501E-3</v>
      </c>
      <c r="K2007" s="103"/>
      <c r="L2007" s="103">
        <v>4.7800000000000002E-2</v>
      </c>
      <c r="O2007" s="100"/>
    </row>
    <row r="2008" spans="2:15" x14ac:dyDescent="0.2">
      <c r="B2008" s="1">
        <v>1993</v>
      </c>
      <c r="C2008" s="101">
        <f t="shared" ca="1" si="124"/>
        <v>-0.2590859535894422</v>
      </c>
      <c r="D2008" s="101">
        <f t="shared" ca="1" si="125"/>
        <v>0.64773493007001315</v>
      </c>
      <c r="E2008" s="101">
        <f t="shared" ca="1" si="126"/>
        <v>0</v>
      </c>
      <c r="F2008" s="21">
        <f t="shared" ca="1" si="127"/>
        <v>0</v>
      </c>
      <c r="H2008" s="21">
        <v>1993</v>
      </c>
      <c r="I2008" s="102">
        <v>0.66751755027704773</v>
      </c>
      <c r="J2008" s="103">
        <v>1.0870747909984542E-3</v>
      </c>
      <c r="K2008" s="103"/>
      <c r="L2008" s="103">
        <v>3.7999999999999999E-2</v>
      </c>
      <c r="O2008" s="100"/>
    </row>
    <row r="2009" spans="2:15" x14ac:dyDescent="0.2">
      <c r="B2009" s="1">
        <v>1994</v>
      </c>
      <c r="C2009" s="101">
        <f t="shared" ca="1" si="124"/>
        <v>-0.2281867912582547</v>
      </c>
      <c r="D2009" s="101">
        <f t="shared" ca="1" si="125"/>
        <v>0.64971219536158753</v>
      </c>
      <c r="E2009" s="101">
        <f t="shared" ca="1" si="126"/>
        <v>0</v>
      </c>
      <c r="F2009" s="21">
        <f t="shared" ca="1" si="127"/>
        <v>0</v>
      </c>
      <c r="H2009" s="21">
        <v>1994</v>
      </c>
      <c r="I2009" s="102">
        <v>0.66783092766483798</v>
      </c>
      <c r="J2009" s="103">
        <v>1.5445843388358933E-3</v>
      </c>
      <c r="K2009" s="103"/>
      <c r="L2009" s="103">
        <v>4.3999999999999997E-2</v>
      </c>
      <c r="O2009" s="100"/>
    </row>
    <row r="2010" spans="2:15" x14ac:dyDescent="0.2">
      <c r="B2010" s="1">
        <v>1995</v>
      </c>
      <c r="C2010" s="101">
        <f t="shared" ca="1" si="124"/>
        <v>0.22125405978206383</v>
      </c>
      <c r="D2010" s="101">
        <f t="shared" ca="1" si="125"/>
        <v>0.67916420362003838</v>
      </c>
      <c r="E2010" s="101">
        <f t="shared" ca="1" si="126"/>
        <v>0</v>
      </c>
      <c r="F2010" s="21">
        <f t="shared" ca="1" si="127"/>
        <v>0</v>
      </c>
      <c r="H2010" s="21">
        <v>1995</v>
      </c>
      <c r="I2010" s="102">
        <v>0.6676207388493306</v>
      </c>
      <c r="J2010" s="103">
        <v>1.3449831434522747E-3</v>
      </c>
      <c r="K2010" s="103"/>
      <c r="L2010" s="103">
        <v>3.78E-2</v>
      </c>
      <c r="O2010" s="100"/>
    </row>
    <row r="2011" spans="2:15" x14ac:dyDescent="0.2">
      <c r="B2011" s="1">
        <v>1996</v>
      </c>
      <c r="C2011" s="101">
        <f t="shared" ca="1" si="124"/>
        <v>0.77640260469781242</v>
      </c>
      <c r="D2011" s="101">
        <f t="shared" ca="1" si="125"/>
        <v>0.71739279248922272</v>
      </c>
      <c r="E2011" s="101">
        <f t="shared" ca="1" si="126"/>
        <v>0</v>
      </c>
      <c r="F2011" s="21">
        <f t="shared" ca="1" si="127"/>
        <v>0</v>
      </c>
      <c r="H2011" s="21">
        <v>1996</v>
      </c>
      <c r="I2011" s="102">
        <v>0.66782065453508643</v>
      </c>
      <c r="J2011" s="103">
        <v>1.4993032502389593E-3</v>
      </c>
      <c r="K2011" s="103"/>
      <c r="L2011" s="103">
        <v>4.3400000000000001E-2</v>
      </c>
      <c r="O2011" s="100"/>
    </row>
    <row r="2012" spans="2:15" x14ac:dyDescent="0.2">
      <c r="B2012" s="1">
        <v>1997</v>
      </c>
      <c r="C2012" s="101">
        <f t="shared" ca="1" si="124"/>
        <v>-0.34260970127831009</v>
      </c>
      <c r="D2012" s="101">
        <f t="shared" ca="1" si="125"/>
        <v>0.64242023482244603</v>
      </c>
      <c r="E2012" s="101">
        <f t="shared" ca="1" si="126"/>
        <v>0</v>
      </c>
      <c r="F2012" s="21">
        <f t="shared" ca="1" si="127"/>
        <v>0</v>
      </c>
      <c r="H2012" s="21">
        <v>1997</v>
      </c>
      <c r="I2012" s="102">
        <v>0.66777665931799035</v>
      </c>
      <c r="J2012" s="103">
        <v>1.3342688971069087E-3</v>
      </c>
      <c r="K2012" s="103"/>
      <c r="L2012" s="103">
        <v>3.9199999999999999E-2</v>
      </c>
      <c r="O2012" s="100"/>
    </row>
    <row r="2013" spans="2:15" x14ac:dyDescent="0.2">
      <c r="B2013" s="1">
        <v>1998</v>
      </c>
      <c r="C2013" s="101">
        <f t="shared" ca="1" si="124"/>
        <v>0.3803625341088277</v>
      </c>
      <c r="D2013" s="101">
        <f t="shared" ca="1" si="125"/>
        <v>0.68990754835087487</v>
      </c>
      <c r="E2013" s="101">
        <f t="shared" ca="1" si="126"/>
        <v>0</v>
      </c>
      <c r="F2013" s="21">
        <f t="shared" ca="1" si="127"/>
        <v>0</v>
      </c>
      <c r="H2013" s="21">
        <v>1998</v>
      </c>
      <c r="I2013" s="102">
        <v>0.66793360077315289</v>
      </c>
      <c r="J2013" s="103">
        <v>1.7309048361365991E-3</v>
      </c>
      <c r="K2013" s="103"/>
      <c r="L2013" s="103">
        <v>4.6800000000000001E-2</v>
      </c>
      <c r="O2013" s="100"/>
    </row>
    <row r="2014" spans="2:15" x14ac:dyDescent="0.2">
      <c r="B2014" s="1">
        <v>1999</v>
      </c>
      <c r="C2014" s="101">
        <f t="shared" ca="1" si="124"/>
        <v>-0.7821184084103675</v>
      </c>
      <c r="D2014" s="101">
        <f t="shared" ca="1" si="125"/>
        <v>0.61516402488020616</v>
      </c>
      <c r="E2014" s="101">
        <f t="shared" ca="1" si="126"/>
        <v>0</v>
      </c>
      <c r="F2014" s="21">
        <f t="shared" ca="1" si="127"/>
        <v>0</v>
      </c>
      <c r="H2014" s="21">
        <v>1999</v>
      </c>
      <c r="I2014" s="102">
        <v>0.6677623652019089</v>
      </c>
      <c r="J2014" s="103">
        <v>1.4364120473588083E-3</v>
      </c>
      <c r="K2014" s="103"/>
      <c r="L2014" s="103">
        <v>4.4400000000000002E-2</v>
      </c>
      <c r="O2014" s="100"/>
    </row>
    <row r="2015" spans="2:15" x14ac:dyDescent="0.2">
      <c r="B2015" s="1">
        <v>2000</v>
      </c>
      <c r="C2015" s="101">
        <f t="shared" ca="1" si="124"/>
        <v>-1.0835974266141382</v>
      </c>
      <c r="D2015" s="101">
        <f t="shared" ca="1" si="125"/>
        <v>0.59713943723129548</v>
      </c>
      <c r="E2015" s="101">
        <f t="shared" ca="1" si="126"/>
        <v>0</v>
      </c>
      <c r="F2015" s="21">
        <f t="shared" ca="1" si="127"/>
        <v>0</v>
      </c>
      <c r="H2015" s="21">
        <v>2000</v>
      </c>
      <c r="I2015" s="102">
        <v>0.66789448485668101</v>
      </c>
      <c r="J2015" s="103">
        <v>1.6580389770908916E-3</v>
      </c>
      <c r="K2015" s="103"/>
      <c r="L2015" s="103">
        <v>4.6199999999999998E-2</v>
      </c>
      <c r="O2015" s="100"/>
    </row>
    <row r="2016" spans="2:15" x14ac:dyDescent="0.2">
      <c r="B2016" s="1">
        <v>2001</v>
      </c>
      <c r="C2016" s="101">
        <f t="shared" ca="1" si="124"/>
        <v>-0.57047896172878831</v>
      </c>
      <c r="D2016" s="101">
        <f t="shared" ca="1" si="125"/>
        <v>0.62814142174283338</v>
      </c>
      <c r="E2016" s="101">
        <f t="shared" ca="1" si="126"/>
        <v>0</v>
      </c>
      <c r="F2016" s="21">
        <f t="shared" ca="1" si="127"/>
        <v>0</v>
      </c>
      <c r="H2016" s="21">
        <v>2001</v>
      </c>
      <c r="I2016" s="102">
        <v>0.66783695873893978</v>
      </c>
      <c r="J2016" s="103">
        <v>1.4060946949592962E-3</v>
      </c>
      <c r="K2016" s="103"/>
      <c r="L2016" s="103">
        <v>4.4200000000000003E-2</v>
      </c>
      <c r="O2016" s="100"/>
    </row>
    <row r="2017" spans="2:15" x14ac:dyDescent="0.2">
      <c r="B2017" s="1">
        <v>2002</v>
      </c>
      <c r="C2017" s="101">
        <f t="shared" ca="1" si="124"/>
        <v>9.6297198336982068E-2</v>
      </c>
      <c r="D2017" s="101">
        <f t="shared" ca="1" si="125"/>
        <v>0.6708442671789494</v>
      </c>
      <c r="E2017" s="101">
        <f t="shared" ca="1" si="126"/>
        <v>0</v>
      </c>
      <c r="F2017" s="21">
        <f t="shared" ca="1" si="127"/>
        <v>0</v>
      </c>
      <c r="H2017" s="21">
        <v>2002</v>
      </c>
      <c r="I2017" s="102">
        <v>0.66767099253659012</v>
      </c>
      <c r="J2017" s="103">
        <v>1.4050708105866423E-3</v>
      </c>
      <c r="K2017" s="103"/>
      <c r="L2017" s="103">
        <v>4.1799999999999997E-2</v>
      </c>
      <c r="O2017" s="100"/>
    </row>
    <row r="2018" spans="2:15" x14ac:dyDescent="0.2">
      <c r="B2018" s="1">
        <v>2003</v>
      </c>
      <c r="C2018" s="101">
        <f t="shared" ca="1" si="124"/>
        <v>1.1079173504126971</v>
      </c>
      <c r="D2018" s="101">
        <f t="shared" ca="1" si="125"/>
        <v>0.74124008366290894</v>
      </c>
      <c r="E2018" s="101">
        <f t="shared" ca="1" si="126"/>
        <v>0</v>
      </c>
      <c r="F2018" s="21">
        <f t="shared" ca="1" si="127"/>
        <v>0</v>
      </c>
      <c r="H2018" s="21">
        <v>2003</v>
      </c>
      <c r="I2018" s="102">
        <v>0.66775041340657648</v>
      </c>
      <c r="J2018" s="103">
        <v>1.3824615545423083E-3</v>
      </c>
      <c r="K2018" s="103"/>
      <c r="L2018" s="103">
        <v>4.2000000000000003E-2</v>
      </c>
      <c r="O2018" s="100"/>
    </row>
    <row r="2019" spans="2:15" x14ac:dyDescent="0.2">
      <c r="B2019" s="1">
        <v>2004</v>
      </c>
      <c r="C2019" s="101">
        <f t="shared" ca="1" si="124"/>
        <v>0.83038162661275039</v>
      </c>
      <c r="D2019" s="101">
        <f t="shared" ca="1" si="125"/>
        <v>0.72122278255750394</v>
      </c>
      <c r="E2019" s="101">
        <f t="shared" ca="1" si="126"/>
        <v>0</v>
      </c>
      <c r="F2019" s="21">
        <f t="shared" ca="1" si="127"/>
        <v>0</v>
      </c>
      <c r="H2019" s="21">
        <v>2004</v>
      </c>
      <c r="I2019" s="102">
        <v>0.66767549764106726</v>
      </c>
      <c r="J2019" s="103">
        <v>1.2974772231193214E-3</v>
      </c>
      <c r="K2019" s="103"/>
      <c r="L2019" s="103">
        <v>3.8600000000000002E-2</v>
      </c>
      <c r="O2019" s="100"/>
    </row>
    <row r="2020" spans="2:15" x14ac:dyDescent="0.2">
      <c r="B2020" s="1">
        <v>2005</v>
      </c>
      <c r="C2020" s="101">
        <f t="shared" ca="1" si="124"/>
        <v>7.2965768262262309E-2</v>
      </c>
      <c r="D2020" s="101">
        <f t="shared" ca="1" si="125"/>
        <v>0.66930213245403092</v>
      </c>
      <c r="E2020" s="101">
        <f t="shared" ca="1" si="126"/>
        <v>0</v>
      </c>
      <c r="F2020" s="21">
        <f t="shared" ca="1" si="127"/>
        <v>0</v>
      </c>
      <c r="H2020" s="21">
        <v>2005</v>
      </c>
      <c r="I2020" s="102">
        <v>0.66789908217970784</v>
      </c>
      <c r="J2020" s="103">
        <v>1.4970498290516137E-3</v>
      </c>
      <c r="K2020" s="103"/>
      <c r="L2020" s="103">
        <v>4.8599999999999997E-2</v>
      </c>
      <c r="O2020" s="100"/>
    </row>
    <row r="2021" spans="2:15" x14ac:dyDescent="0.2">
      <c r="B2021" s="1">
        <v>2006</v>
      </c>
      <c r="C2021" s="101">
        <f t="shared" ca="1" si="124"/>
        <v>-0.44948184276891756</v>
      </c>
      <c r="D2021" s="101">
        <f t="shared" ca="1" si="125"/>
        <v>0.63568340670450318</v>
      </c>
      <c r="E2021" s="101">
        <f t="shared" ca="1" si="126"/>
        <v>0</v>
      </c>
      <c r="F2021" s="21">
        <f t="shared" ca="1" si="127"/>
        <v>0</v>
      </c>
      <c r="H2021" s="21">
        <v>2006</v>
      </c>
      <c r="I2021" s="102">
        <v>0.66775911633784102</v>
      </c>
      <c r="J2021" s="103">
        <v>1.3972195159234816E-3</v>
      </c>
      <c r="K2021" s="103"/>
      <c r="L2021" s="103">
        <v>4.1200000000000001E-2</v>
      </c>
      <c r="O2021" s="100"/>
    </row>
    <row r="2022" spans="2:15" x14ac:dyDescent="0.2">
      <c r="B2022" s="1">
        <v>2007</v>
      </c>
      <c r="C2022" s="101">
        <f t="shared" ca="1" si="124"/>
        <v>0.76836456895761596</v>
      </c>
      <c r="D2022" s="101">
        <f t="shared" ca="1" si="125"/>
        <v>0.71682420973646421</v>
      </c>
      <c r="E2022" s="101">
        <f t="shared" ca="1" si="126"/>
        <v>0</v>
      </c>
      <c r="F2022" s="21">
        <f t="shared" ca="1" si="127"/>
        <v>0</v>
      </c>
      <c r="H2022" s="21">
        <v>2007</v>
      </c>
      <c r="I2022" s="102">
        <v>0.66756312790342631</v>
      </c>
      <c r="J2022" s="103">
        <v>1.1839652543171768E-3</v>
      </c>
      <c r="K2022" s="103"/>
      <c r="L2022" s="103">
        <v>3.9E-2</v>
      </c>
      <c r="O2022" s="100"/>
    </row>
    <row r="2023" spans="2:15" x14ac:dyDescent="0.2">
      <c r="B2023" s="1">
        <v>2008</v>
      </c>
      <c r="C2023" s="101">
        <f t="shared" ca="1" si="124"/>
        <v>-1.6085421480063982</v>
      </c>
      <c r="D2023" s="101">
        <f t="shared" ca="1" si="125"/>
        <v>0.56700572804584726</v>
      </c>
      <c r="E2023" s="101">
        <f t="shared" ca="1" si="126"/>
        <v>0</v>
      </c>
      <c r="F2023" s="21">
        <f t="shared" ca="1" si="127"/>
        <v>0</v>
      </c>
      <c r="H2023" s="21">
        <v>2008</v>
      </c>
      <c r="I2023" s="102">
        <v>0.66784364603620927</v>
      </c>
      <c r="J2023" s="103">
        <v>1.4535074853940901E-3</v>
      </c>
      <c r="K2023" s="103"/>
      <c r="L2023" s="103">
        <v>4.3999999999999997E-2</v>
      </c>
      <c r="O2023" s="100"/>
    </row>
    <row r="2024" spans="2:15" x14ac:dyDescent="0.2">
      <c r="B2024" s="1">
        <v>2009</v>
      </c>
      <c r="C2024" s="101">
        <f t="shared" ca="1" si="124"/>
        <v>4.528370129820266E-2</v>
      </c>
      <c r="D2024" s="101">
        <f t="shared" ca="1" si="125"/>
        <v>0.66747703181214957</v>
      </c>
      <c r="E2024" s="101">
        <f t="shared" ca="1" si="126"/>
        <v>0</v>
      </c>
      <c r="F2024" s="21">
        <f t="shared" ca="1" si="127"/>
        <v>0</v>
      </c>
      <c r="H2024" s="21">
        <v>2009</v>
      </c>
      <c r="I2024" s="102">
        <v>0.66764259540693716</v>
      </c>
      <c r="J2024" s="103">
        <v>1.2140271820452132E-3</v>
      </c>
      <c r="K2024" s="103"/>
      <c r="L2024" s="103">
        <v>3.7400000000000003E-2</v>
      </c>
      <c r="O2024" s="100"/>
    </row>
    <row r="2025" spans="2:15" x14ac:dyDescent="0.2">
      <c r="B2025" s="1">
        <v>2010</v>
      </c>
      <c r="C2025" s="101">
        <f t="shared" ca="1" si="124"/>
        <v>0.30600851038760962</v>
      </c>
      <c r="D2025" s="101">
        <f t="shared" ca="1" si="125"/>
        <v>0.68486601544566827</v>
      </c>
      <c r="E2025" s="101">
        <f t="shared" ca="1" si="126"/>
        <v>0</v>
      </c>
      <c r="F2025" s="21">
        <f t="shared" ca="1" si="127"/>
        <v>0</v>
      </c>
      <c r="H2025" s="21">
        <v>2010</v>
      </c>
      <c r="I2025" s="102">
        <v>0.66771016173611075</v>
      </c>
      <c r="J2025" s="103">
        <v>1.1942162628187773E-3</v>
      </c>
      <c r="K2025" s="103"/>
      <c r="L2025" s="103">
        <v>4.02E-2</v>
      </c>
      <c r="O2025" s="100"/>
    </row>
    <row r="2026" spans="2:15" x14ac:dyDescent="0.2">
      <c r="B2026" s="1">
        <v>2011</v>
      </c>
      <c r="C2026" s="101">
        <f t="shared" ca="1" si="124"/>
        <v>-1.2407058500626074</v>
      </c>
      <c r="D2026" s="101">
        <f t="shared" ca="1" si="125"/>
        <v>0.58795667672464036</v>
      </c>
      <c r="E2026" s="101">
        <f t="shared" ca="1" si="126"/>
        <v>0</v>
      </c>
      <c r="F2026" s="21">
        <f t="shared" ca="1" si="127"/>
        <v>0</v>
      </c>
      <c r="H2026" s="21">
        <v>2011</v>
      </c>
      <c r="I2026" s="102">
        <v>0.66766861870134897</v>
      </c>
      <c r="J2026" s="103">
        <v>1.2564928657756321E-3</v>
      </c>
      <c r="K2026" s="103"/>
      <c r="L2026" s="103">
        <v>4.0399999999999998E-2</v>
      </c>
      <c r="O2026" s="100"/>
    </row>
    <row r="2027" spans="2:15" x14ac:dyDescent="0.2">
      <c r="B2027" s="1">
        <v>2012</v>
      </c>
      <c r="C2027" s="101">
        <f t="shared" ca="1" si="124"/>
        <v>-0.47539154429597136</v>
      </c>
      <c r="D2027" s="101">
        <f t="shared" ca="1" si="125"/>
        <v>0.63406082219232396</v>
      </c>
      <c r="E2027" s="101">
        <f t="shared" ca="1" si="126"/>
        <v>0</v>
      </c>
      <c r="F2027" s="21">
        <f t="shared" ca="1" si="127"/>
        <v>0</v>
      </c>
      <c r="H2027" s="21">
        <v>2012</v>
      </c>
      <c r="I2027" s="102">
        <v>0.66769690688232985</v>
      </c>
      <c r="J2027" s="103">
        <v>1.2941663725442156E-3</v>
      </c>
      <c r="K2027" s="103"/>
      <c r="L2027" s="103">
        <v>3.9600000000000003E-2</v>
      </c>
      <c r="O2027" s="100"/>
    </row>
    <row r="2028" spans="2:15" x14ac:dyDescent="0.2">
      <c r="B2028" s="1">
        <v>2013</v>
      </c>
      <c r="C2028" s="101">
        <f t="shared" ca="1" si="124"/>
        <v>8.1829767872997075E-2</v>
      </c>
      <c r="D2028" s="101">
        <f t="shared" ca="1" si="125"/>
        <v>0.66988759715511026</v>
      </c>
      <c r="E2028" s="101">
        <f t="shared" ca="1" si="126"/>
        <v>0</v>
      </c>
      <c r="F2028" s="21">
        <f t="shared" ca="1" si="127"/>
        <v>0</v>
      </c>
      <c r="H2028" s="21">
        <v>2013</v>
      </c>
      <c r="I2028" s="102">
        <v>0.66767034449299711</v>
      </c>
      <c r="J2028" s="103">
        <v>1.3190191093809792E-3</v>
      </c>
      <c r="K2028" s="103"/>
      <c r="L2028" s="103">
        <v>3.9800000000000002E-2</v>
      </c>
      <c r="O2028" s="100"/>
    </row>
    <row r="2029" spans="2:15" x14ac:dyDescent="0.2">
      <c r="B2029" s="1">
        <v>2014</v>
      </c>
      <c r="C2029" s="101">
        <f t="shared" ca="1" si="124"/>
        <v>-1.4369513177270736</v>
      </c>
      <c r="D2029" s="101">
        <f t="shared" ca="1" si="125"/>
        <v>0.57668451720675951</v>
      </c>
      <c r="E2029" s="101">
        <f t="shared" ca="1" si="126"/>
        <v>0</v>
      </c>
      <c r="F2029" s="21">
        <f t="shared" ca="1" si="127"/>
        <v>0</v>
      </c>
      <c r="H2029" s="21">
        <v>2014</v>
      </c>
      <c r="I2029" s="102">
        <v>0.66777156187087261</v>
      </c>
      <c r="J2029" s="103">
        <v>1.4458692972672312E-3</v>
      </c>
      <c r="K2029" s="103"/>
      <c r="L2029" s="103">
        <v>4.4600000000000001E-2</v>
      </c>
      <c r="O2029" s="100"/>
    </row>
    <row r="2030" spans="2:15" x14ac:dyDescent="0.2">
      <c r="B2030" s="1">
        <v>2015</v>
      </c>
      <c r="C2030" s="101">
        <f t="shared" ca="1" si="124"/>
        <v>0.73234606840259275</v>
      </c>
      <c r="D2030" s="101">
        <f t="shared" ca="1" si="125"/>
        <v>0.7142819148862013</v>
      </c>
      <c r="E2030" s="101">
        <f t="shared" ca="1" si="126"/>
        <v>0</v>
      </c>
      <c r="F2030" s="21">
        <f t="shared" ca="1" si="127"/>
        <v>0</v>
      </c>
      <c r="H2030" s="21">
        <v>2015</v>
      </c>
      <c r="I2030" s="102">
        <v>0.6677216213114302</v>
      </c>
      <c r="J2030" s="103">
        <v>1.1803568706862393E-3</v>
      </c>
      <c r="K2030" s="103"/>
      <c r="L2030" s="103">
        <v>3.8600000000000002E-2</v>
      </c>
      <c r="O2030" s="100"/>
    </row>
    <row r="2031" spans="2:15" x14ac:dyDescent="0.2">
      <c r="B2031" s="1">
        <v>2016</v>
      </c>
      <c r="C2031" s="101">
        <f t="shared" ca="1" si="124"/>
        <v>-0.49011885094574681</v>
      </c>
      <c r="D2031" s="101">
        <f t="shared" ca="1" si="125"/>
        <v>0.63314037742372853</v>
      </c>
      <c r="E2031" s="101">
        <f t="shared" ca="1" si="126"/>
        <v>0</v>
      </c>
      <c r="F2031" s="21">
        <f t="shared" ca="1" si="127"/>
        <v>0</v>
      </c>
      <c r="H2031" s="21">
        <v>2016</v>
      </c>
      <c r="I2031" s="102">
        <v>0.66766550889153564</v>
      </c>
      <c r="J2031" s="103">
        <v>1.2508912166077492E-3</v>
      </c>
      <c r="K2031" s="103"/>
      <c r="L2031" s="103">
        <v>3.9399999999999998E-2</v>
      </c>
      <c r="O2031" s="100"/>
    </row>
    <row r="2032" spans="2:15" x14ac:dyDescent="0.2">
      <c r="B2032" s="1">
        <v>2017</v>
      </c>
      <c r="C2032" s="101">
        <f t="shared" ca="1" si="124"/>
        <v>1.1651169110157504</v>
      </c>
      <c r="D2032" s="101">
        <f t="shared" ca="1" si="125"/>
        <v>0.74543415934192558</v>
      </c>
      <c r="E2032" s="101">
        <f t="shared" ca="1" si="126"/>
        <v>0</v>
      </c>
      <c r="F2032" s="21">
        <f t="shared" ca="1" si="127"/>
        <v>0</v>
      </c>
      <c r="H2032" s="21">
        <v>2017</v>
      </c>
      <c r="I2032" s="102">
        <v>0.66779495956713864</v>
      </c>
      <c r="J2032" s="103">
        <v>1.5220144525652703E-3</v>
      </c>
      <c r="K2032" s="103"/>
      <c r="L2032" s="103">
        <v>4.4600000000000001E-2</v>
      </c>
      <c r="O2032" s="100"/>
    </row>
    <row r="2033" spans="2:15" x14ac:dyDescent="0.2">
      <c r="B2033" s="1">
        <v>2018</v>
      </c>
      <c r="C2033" s="101">
        <f t="shared" ca="1" si="124"/>
        <v>-1.2956093354346039</v>
      </c>
      <c r="D2033" s="101">
        <f t="shared" ca="1" si="125"/>
        <v>0.5847810557825559</v>
      </c>
      <c r="E2033" s="101">
        <f t="shared" ca="1" si="126"/>
        <v>0</v>
      </c>
      <c r="F2033" s="21">
        <f t="shared" ca="1" si="127"/>
        <v>0</v>
      </c>
      <c r="H2033" s="21">
        <v>2018</v>
      </c>
      <c r="I2033" s="102">
        <v>0.66787229596579345</v>
      </c>
      <c r="J2033" s="103">
        <v>1.4903211424288066E-3</v>
      </c>
      <c r="K2033" s="103"/>
      <c r="L2033" s="103">
        <v>4.36E-2</v>
      </c>
      <c r="O2033" s="100"/>
    </row>
    <row r="2034" spans="2:15" x14ac:dyDescent="0.2">
      <c r="B2034" s="1">
        <v>2019</v>
      </c>
      <c r="C2034" s="101">
        <f t="shared" ca="1" si="124"/>
        <v>0.61632397044030118</v>
      </c>
      <c r="D2034" s="101">
        <f t="shared" ca="1" si="125"/>
        <v>0.70615386272959402</v>
      </c>
      <c r="E2034" s="101">
        <f t="shared" ca="1" si="126"/>
        <v>0</v>
      </c>
      <c r="F2034" s="21">
        <f t="shared" ca="1" si="127"/>
        <v>0</v>
      </c>
      <c r="H2034" s="21">
        <v>2019</v>
      </c>
      <c r="I2034" s="102">
        <v>0.66781003897009428</v>
      </c>
      <c r="J2034" s="103">
        <v>1.4960783341951619E-3</v>
      </c>
      <c r="K2034" s="103"/>
      <c r="L2034" s="103">
        <v>4.1599999999999998E-2</v>
      </c>
      <c r="O2034" s="100"/>
    </row>
    <row r="2035" spans="2:15" x14ac:dyDescent="0.2">
      <c r="B2035" s="1">
        <v>2020</v>
      </c>
      <c r="C2035" s="101">
        <f t="shared" ca="1" si="124"/>
        <v>-0.99152296771735138</v>
      </c>
      <c r="D2035" s="101">
        <f t="shared" ca="1" si="125"/>
        <v>0.60258756808110425</v>
      </c>
      <c r="E2035" s="101">
        <f t="shared" ca="1" si="126"/>
        <v>0</v>
      </c>
      <c r="F2035" s="21">
        <f t="shared" ca="1" si="127"/>
        <v>0</v>
      </c>
      <c r="H2035" s="21">
        <v>2020</v>
      </c>
      <c r="I2035" s="102">
        <v>0.66780436786812158</v>
      </c>
      <c r="J2035" s="103">
        <v>1.3314460912369568E-3</v>
      </c>
      <c r="K2035" s="103"/>
      <c r="L2035" s="103">
        <v>4.0399999999999998E-2</v>
      </c>
      <c r="O2035" s="100"/>
    </row>
    <row r="2036" spans="2:15" x14ac:dyDescent="0.2">
      <c r="B2036" s="1">
        <v>2021</v>
      </c>
      <c r="C2036" s="101">
        <f t="shared" ca="1" si="124"/>
        <v>1.1648244373566949</v>
      </c>
      <c r="D2036" s="101">
        <f t="shared" ca="1" si="125"/>
        <v>0.74541265388448752</v>
      </c>
      <c r="E2036" s="101">
        <f t="shared" ca="1" si="126"/>
        <v>0</v>
      </c>
      <c r="F2036" s="21">
        <f t="shared" ca="1" si="127"/>
        <v>0</v>
      </c>
      <c r="H2036" s="21">
        <v>2021</v>
      </c>
      <c r="I2036" s="102">
        <v>0.66774253548132734</v>
      </c>
      <c r="J2036" s="103">
        <v>1.3588026770137247E-3</v>
      </c>
      <c r="K2036" s="103"/>
      <c r="L2036" s="103">
        <v>3.9E-2</v>
      </c>
      <c r="O2036" s="100"/>
    </row>
    <row r="2037" spans="2:15" x14ac:dyDescent="0.2">
      <c r="B2037" s="1">
        <v>2022</v>
      </c>
      <c r="C2037" s="101">
        <f t="shared" ca="1" si="124"/>
        <v>1.0120164825109179</v>
      </c>
      <c r="D2037" s="101">
        <f t="shared" ca="1" si="125"/>
        <v>0.73426117062228446</v>
      </c>
      <c r="E2037" s="101">
        <f t="shared" ca="1" si="126"/>
        <v>0</v>
      </c>
      <c r="F2037" s="21">
        <f t="shared" ca="1" si="127"/>
        <v>0</v>
      </c>
      <c r="H2037" s="21">
        <v>2022</v>
      </c>
      <c r="I2037" s="102">
        <v>0.66774469577078777</v>
      </c>
      <c r="J2037" s="103">
        <v>1.4459229233517808E-3</v>
      </c>
      <c r="K2037" s="103"/>
      <c r="L2037" s="103">
        <v>3.9399999999999998E-2</v>
      </c>
      <c r="O2037" s="100"/>
    </row>
    <row r="2038" spans="2:15" x14ac:dyDescent="0.2">
      <c r="B2038" s="1">
        <v>2023</v>
      </c>
      <c r="C2038" s="101">
        <f t="shared" ca="1" si="124"/>
        <v>2.0303827990725392</v>
      </c>
      <c r="D2038" s="101">
        <f t="shared" ca="1" si="125"/>
        <v>0.81185178051960516</v>
      </c>
      <c r="E2038" s="101">
        <f t="shared" ca="1" si="126"/>
        <v>2.3651780519605148E-2</v>
      </c>
      <c r="F2038" s="21">
        <f t="shared" ca="1" si="127"/>
        <v>1</v>
      </c>
      <c r="H2038" s="21">
        <v>2023</v>
      </c>
      <c r="I2038" s="102">
        <v>0.66765602499581556</v>
      </c>
      <c r="J2038" s="103">
        <v>1.2102311631344792E-3</v>
      </c>
      <c r="K2038" s="103"/>
      <c r="L2038" s="103">
        <v>3.8399999999999997E-2</v>
      </c>
      <c r="O2038" s="100"/>
    </row>
    <row r="2039" spans="2:15" x14ac:dyDescent="0.2">
      <c r="B2039" s="1">
        <v>2024</v>
      </c>
      <c r="C2039" s="101">
        <f t="shared" ca="1" si="124"/>
        <v>-0.22308020842941115</v>
      </c>
      <c r="D2039" s="101">
        <f t="shared" ca="1" si="125"/>
        <v>0.65003955089470722</v>
      </c>
      <c r="E2039" s="101">
        <f t="shared" ca="1" si="126"/>
        <v>0</v>
      </c>
      <c r="F2039" s="21">
        <f t="shared" ca="1" si="127"/>
        <v>0</v>
      </c>
      <c r="H2039" s="21">
        <v>2024</v>
      </c>
      <c r="I2039" s="102">
        <v>0.66771945353535289</v>
      </c>
      <c r="J2039" s="103">
        <v>1.2437445944803642E-3</v>
      </c>
      <c r="K2039" s="103"/>
      <c r="L2039" s="103">
        <v>3.9600000000000003E-2</v>
      </c>
      <c r="O2039" s="100"/>
    </row>
    <row r="2040" spans="2:15" x14ac:dyDescent="0.2">
      <c r="B2040" s="1">
        <v>2025</v>
      </c>
      <c r="C2040" s="101">
        <f t="shared" ca="1" si="124"/>
        <v>0.77921756479229443</v>
      </c>
      <c r="D2040" s="101">
        <f t="shared" ca="1" si="125"/>
        <v>0.71759201960573316</v>
      </c>
      <c r="E2040" s="101">
        <f t="shared" ca="1" si="126"/>
        <v>0</v>
      </c>
      <c r="F2040" s="21">
        <f t="shared" ca="1" si="127"/>
        <v>0</v>
      </c>
      <c r="H2040" s="21">
        <v>2025</v>
      </c>
      <c r="I2040" s="102">
        <v>0.66774476568825281</v>
      </c>
      <c r="J2040" s="103">
        <v>1.372483819530119E-3</v>
      </c>
      <c r="K2040" s="103"/>
      <c r="L2040" s="103">
        <v>3.8600000000000002E-2</v>
      </c>
      <c r="O2040" s="100"/>
    </row>
    <row r="2041" spans="2:15" x14ac:dyDescent="0.2">
      <c r="B2041" s="1">
        <v>2026</v>
      </c>
      <c r="C2041" s="101">
        <f t="shared" ca="1" si="124"/>
        <v>-1.0155579919490392</v>
      </c>
      <c r="D2041" s="101">
        <f t="shared" ca="1" si="125"/>
        <v>0.60116061756977279</v>
      </c>
      <c r="E2041" s="101">
        <f t="shared" ca="1" si="126"/>
        <v>0</v>
      </c>
      <c r="F2041" s="21">
        <f t="shared" ca="1" si="127"/>
        <v>0</v>
      </c>
      <c r="H2041" s="21">
        <v>2026</v>
      </c>
      <c r="I2041" s="102">
        <v>0.66773755087672049</v>
      </c>
      <c r="J2041" s="103">
        <v>1.4265373259551442E-3</v>
      </c>
      <c r="K2041" s="103"/>
      <c r="L2041" s="103">
        <v>4.02E-2</v>
      </c>
      <c r="O2041" s="100"/>
    </row>
    <row r="2042" spans="2:15" x14ac:dyDescent="0.2">
      <c r="B2042" s="1">
        <v>2027</v>
      </c>
      <c r="C2042" s="101">
        <f t="shared" ca="1" si="124"/>
        <v>0.59653290355348265</v>
      </c>
      <c r="D2042" s="101">
        <f t="shared" ca="1" si="125"/>
        <v>0.70477664185491329</v>
      </c>
      <c r="E2042" s="101">
        <f t="shared" ca="1" si="126"/>
        <v>0</v>
      </c>
      <c r="F2042" s="21">
        <f t="shared" ca="1" si="127"/>
        <v>0</v>
      </c>
      <c r="H2042" s="21">
        <v>2027</v>
      </c>
      <c r="I2042" s="102">
        <v>0.66772161362770999</v>
      </c>
      <c r="J2042" s="103">
        <v>1.2951249553985306E-3</v>
      </c>
      <c r="K2042" s="103"/>
      <c r="L2042" s="103">
        <v>4.2999999999999997E-2</v>
      </c>
      <c r="O2042" s="100"/>
    </row>
    <row r="2043" spans="2:15" x14ac:dyDescent="0.2">
      <c r="B2043" s="1">
        <v>2028</v>
      </c>
      <c r="C2043" s="101">
        <f t="shared" ca="1" si="124"/>
        <v>8.9268772493908785E-2</v>
      </c>
      <c r="D2043" s="101">
        <f t="shared" ca="1" si="125"/>
        <v>0.6703793365665166</v>
      </c>
      <c r="E2043" s="101">
        <f t="shared" ca="1" si="126"/>
        <v>0</v>
      </c>
      <c r="F2043" s="21">
        <f t="shared" ca="1" si="127"/>
        <v>0</v>
      </c>
      <c r="H2043" s="21">
        <v>2028</v>
      </c>
      <c r="I2043" s="102">
        <v>0.6676185846031073</v>
      </c>
      <c r="J2043" s="103">
        <v>1.3018129114774533E-3</v>
      </c>
      <c r="K2043" s="103"/>
      <c r="L2043" s="103">
        <v>4.02E-2</v>
      </c>
      <c r="O2043" s="100"/>
    </row>
    <row r="2044" spans="2:15" x14ac:dyDescent="0.2">
      <c r="B2044" s="1">
        <v>2029</v>
      </c>
      <c r="C2044" s="101">
        <f t="shared" ca="1" si="124"/>
        <v>0.93789585067187231</v>
      </c>
      <c r="D2044" s="101">
        <f t="shared" ca="1" si="125"/>
        <v>0.72891230235650462</v>
      </c>
      <c r="E2044" s="101">
        <f t="shared" ca="1" si="126"/>
        <v>0</v>
      </c>
      <c r="F2044" s="21">
        <f t="shared" ca="1" si="127"/>
        <v>0</v>
      </c>
      <c r="H2044" s="21">
        <v>2029</v>
      </c>
      <c r="I2044" s="102">
        <v>0.66759041871079317</v>
      </c>
      <c r="J2044" s="103">
        <v>1.2235489151084277E-3</v>
      </c>
      <c r="K2044" s="103"/>
      <c r="L2044" s="103">
        <v>3.6400000000000002E-2</v>
      </c>
      <c r="O2044" s="100"/>
    </row>
    <row r="2045" spans="2:15" x14ac:dyDescent="0.2">
      <c r="B2045" s="1">
        <v>2030</v>
      </c>
      <c r="C2045" s="101">
        <f t="shared" ca="1" si="124"/>
        <v>1.8478992191209789</v>
      </c>
      <c r="D2045" s="101">
        <f t="shared" ca="1" si="125"/>
        <v>0.79736884618242154</v>
      </c>
      <c r="E2045" s="101">
        <f t="shared" ca="1" si="126"/>
        <v>9.1688461824215306E-3</v>
      </c>
      <c r="F2045" s="21">
        <f t="shared" ca="1" si="127"/>
        <v>1</v>
      </c>
      <c r="H2045" s="21">
        <v>2030</v>
      </c>
      <c r="I2045" s="102">
        <v>0.66776779472147396</v>
      </c>
      <c r="J2045" s="103">
        <v>1.3000439903336869E-3</v>
      </c>
      <c r="K2045" s="103"/>
      <c r="L2045" s="103">
        <v>4.1799999999999997E-2</v>
      </c>
      <c r="O2045" s="100"/>
    </row>
    <row r="2046" spans="2:15" x14ac:dyDescent="0.2">
      <c r="B2046" s="1">
        <v>2031</v>
      </c>
      <c r="C2046" s="101">
        <f t="shared" ca="1" si="124"/>
        <v>-1.2969239690558569</v>
      </c>
      <c r="D2046" s="101">
        <f t="shared" ca="1" si="125"/>
        <v>0.58470522792737922</v>
      </c>
      <c r="E2046" s="101">
        <f t="shared" ca="1" si="126"/>
        <v>0</v>
      </c>
      <c r="F2046" s="21">
        <f t="shared" ca="1" si="127"/>
        <v>0</v>
      </c>
      <c r="H2046" s="21">
        <v>2031</v>
      </c>
      <c r="I2046" s="102">
        <v>0.66767796356817788</v>
      </c>
      <c r="J2046" s="103">
        <v>1.2071667200691792E-3</v>
      </c>
      <c r="K2046" s="103"/>
      <c r="L2046" s="103">
        <v>3.8600000000000002E-2</v>
      </c>
      <c r="O2046" s="100"/>
    </row>
    <row r="2047" spans="2:15" x14ac:dyDescent="0.2">
      <c r="B2047" s="1">
        <v>2032</v>
      </c>
      <c r="C2047" s="101">
        <f t="shared" ca="1" si="124"/>
        <v>0.90309646791097475</v>
      </c>
      <c r="D2047" s="101">
        <f t="shared" ca="1" si="125"/>
        <v>0.72641448578296208</v>
      </c>
      <c r="E2047" s="101">
        <f t="shared" ca="1" si="126"/>
        <v>0</v>
      </c>
      <c r="F2047" s="21">
        <f t="shared" ca="1" si="127"/>
        <v>0</v>
      </c>
      <c r="H2047" s="21">
        <v>2032</v>
      </c>
      <c r="I2047" s="102">
        <v>0.66783325034360319</v>
      </c>
      <c r="J2047" s="103">
        <v>1.4963626163229293E-3</v>
      </c>
      <c r="K2047" s="103"/>
      <c r="L2047" s="103">
        <v>4.6600000000000003E-2</v>
      </c>
      <c r="O2047" s="100"/>
    </row>
    <row r="2048" spans="2:15" x14ac:dyDescent="0.2">
      <c r="B2048" s="1">
        <v>2033</v>
      </c>
      <c r="C2048" s="101">
        <f t="shared" ca="1" si="124"/>
        <v>1.3590711592542575</v>
      </c>
      <c r="D2048" s="101">
        <f t="shared" ca="1" si="125"/>
        <v>0.75983303400057356</v>
      </c>
      <c r="E2048" s="101">
        <f t="shared" ca="1" si="126"/>
        <v>0</v>
      </c>
      <c r="F2048" s="21">
        <f t="shared" ca="1" si="127"/>
        <v>0</v>
      </c>
      <c r="H2048" s="21">
        <v>2033</v>
      </c>
      <c r="I2048" s="102">
        <v>0.66781525738320202</v>
      </c>
      <c r="J2048" s="103">
        <v>1.5249728067863132E-3</v>
      </c>
      <c r="K2048" s="103"/>
      <c r="L2048" s="103">
        <v>4.4200000000000003E-2</v>
      </c>
      <c r="O2048" s="100"/>
    </row>
    <row r="2049" spans="2:15" x14ac:dyDescent="0.2">
      <c r="B2049" s="1">
        <v>2034</v>
      </c>
      <c r="C2049" s="101">
        <f t="shared" ca="1" si="124"/>
        <v>0.54659363086877177</v>
      </c>
      <c r="D2049" s="101">
        <f t="shared" ca="1" si="125"/>
        <v>0.70131339561852435</v>
      </c>
      <c r="E2049" s="101">
        <f t="shared" ca="1" si="126"/>
        <v>0</v>
      </c>
      <c r="F2049" s="21">
        <f t="shared" ca="1" si="127"/>
        <v>0</v>
      </c>
      <c r="H2049" s="21">
        <v>2034</v>
      </c>
      <c r="I2049" s="102">
        <v>0.66780556113560274</v>
      </c>
      <c r="J2049" s="103">
        <v>1.4476418984313557E-3</v>
      </c>
      <c r="K2049" s="103"/>
      <c r="L2049" s="103">
        <v>4.2000000000000003E-2</v>
      </c>
      <c r="O2049" s="100"/>
    </row>
    <row r="2050" spans="2:15" x14ac:dyDescent="0.2">
      <c r="B2050" s="1">
        <v>2035</v>
      </c>
      <c r="C2050" s="101">
        <f t="shared" ca="1" si="124"/>
        <v>-1.778656262767896E-2</v>
      </c>
      <c r="D2050" s="101">
        <f t="shared" ca="1" si="125"/>
        <v>0.66333732456343586</v>
      </c>
      <c r="E2050" s="101">
        <f t="shared" ca="1" si="126"/>
        <v>0</v>
      </c>
      <c r="F2050" s="21">
        <f t="shared" ca="1" si="127"/>
        <v>0</v>
      </c>
      <c r="H2050" s="21">
        <v>2035</v>
      </c>
      <c r="I2050" s="102">
        <v>0.66754302557325074</v>
      </c>
      <c r="J2050" s="103">
        <v>1.1981657600680399E-3</v>
      </c>
      <c r="K2050" s="103"/>
      <c r="L2050" s="103">
        <v>3.7400000000000003E-2</v>
      </c>
      <c r="O2050" s="100"/>
    </row>
    <row r="2051" spans="2:15" x14ac:dyDescent="0.2">
      <c r="B2051" s="1">
        <v>2036</v>
      </c>
      <c r="C2051" s="101">
        <f t="shared" ca="1" si="124"/>
        <v>-0.83162080636260161</v>
      </c>
      <c r="D2051" s="101">
        <f t="shared" ca="1" si="125"/>
        <v>0.61216751183345985</v>
      </c>
      <c r="E2051" s="101">
        <f t="shared" ca="1" si="126"/>
        <v>0</v>
      </c>
      <c r="F2051" s="21">
        <f t="shared" ca="1" si="127"/>
        <v>0</v>
      </c>
      <c r="H2051" s="21">
        <v>2036</v>
      </c>
      <c r="I2051" s="102">
        <v>0.66779108235950446</v>
      </c>
      <c r="J2051" s="103">
        <v>1.3402340517679964E-3</v>
      </c>
      <c r="K2051" s="103"/>
      <c r="L2051" s="103">
        <v>4.5199999999999997E-2</v>
      </c>
      <c r="O2051" s="100"/>
    </row>
    <row r="2052" spans="2:15" x14ac:dyDescent="0.2">
      <c r="B2052" s="1">
        <v>2037</v>
      </c>
      <c r="C2052" s="101">
        <f t="shared" ca="1" si="124"/>
        <v>1.0289094257762759</v>
      </c>
      <c r="D2052" s="101">
        <f t="shared" ca="1" si="125"/>
        <v>0.73548572106142907</v>
      </c>
      <c r="E2052" s="101">
        <f t="shared" ca="1" si="126"/>
        <v>0</v>
      </c>
      <c r="F2052" s="21">
        <f t="shared" ca="1" si="127"/>
        <v>0</v>
      </c>
      <c r="H2052" s="21">
        <v>2037</v>
      </c>
      <c r="I2052" s="102">
        <v>0.66776953701361752</v>
      </c>
      <c r="J2052" s="103">
        <v>1.4575875017260429E-3</v>
      </c>
      <c r="K2052" s="103"/>
      <c r="L2052" s="103">
        <v>4.3999999999999997E-2</v>
      </c>
      <c r="O2052" s="100"/>
    </row>
    <row r="2053" spans="2:15" x14ac:dyDescent="0.2">
      <c r="B2053" s="1">
        <v>2038</v>
      </c>
      <c r="C2053" s="101">
        <f t="shared" ca="1" si="124"/>
        <v>1.6658276718354048</v>
      </c>
      <c r="D2053" s="101">
        <f t="shared" ca="1" si="125"/>
        <v>0.78317610877959887</v>
      </c>
      <c r="E2053" s="101">
        <f t="shared" ca="1" si="126"/>
        <v>0</v>
      </c>
      <c r="F2053" s="21">
        <f t="shared" ca="1" si="127"/>
        <v>0</v>
      </c>
      <c r="H2053" s="21">
        <v>2038</v>
      </c>
      <c r="I2053" s="102">
        <v>0.66774252854171046</v>
      </c>
      <c r="J2053" s="103">
        <v>1.3268338114859836E-3</v>
      </c>
      <c r="K2053" s="103"/>
      <c r="L2053" s="103">
        <v>4.58E-2</v>
      </c>
      <c r="O2053" s="100"/>
    </row>
    <row r="2054" spans="2:15" x14ac:dyDescent="0.2">
      <c r="B2054" s="1">
        <v>2039</v>
      </c>
      <c r="C2054" s="101">
        <f t="shared" ca="1" si="124"/>
        <v>-1.0517412420588765</v>
      </c>
      <c r="D2054" s="101">
        <f t="shared" ca="1" si="125"/>
        <v>0.59901880139881658</v>
      </c>
      <c r="E2054" s="101">
        <f t="shared" ca="1" si="126"/>
        <v>0</v>
      </c>
      <c r="F2054" s="21">
        <f t="shared" ca="1" si="127"/>
        <v>0</v>
      </c>
      <c r="H2054" s="21">
        <v>2039</v>
      </c>
      <c r="I2054" s="102">
        <v>0.66782926244186402</v>
      </c>
      <c r="J2054" s="103">
        <v>1.5117638175198736E-3</v>
      </c>
      <c r="K2054" s="103"/>
      <c r="L2054" s="103">
        <v>4.4400000000000002E-2</v>
      </c>
      <c r="O2054" s="100"/>
    </row>
    <row r="2055" spans="2:15" x14ac:dyDescent="0.2">
      <c r="B2055" s="1">
        <v>2040</v>
      </c>
      <c r="C2055" s="101">
        <f t="shared" ca="1" si="124"/>
        <v>0.90832789856969753</v>
      </c>
      <c r="D2055" s="101">
        <f t="shared" ca="1" si="125"/>
        <v>0.72678943800393414</v>
      </c>
      <c r="E2055" s="101">
        <f t="shared" ca="1" si="126"/>
        <v>0</v>
      </c>
      <c r="F2055" s="21">
        <f t="shared" ca="1" si="127"/>
        <v>0</v>
      </c>
      <c r="H2055" s="21">
        <v>2040</v>
      </c>
      <c r="I2055" s="102">
        <v>0.667691000472725</v>
      </c>
      <c r="J2055" s="103">
        <v>1.2258913721273697E-3</v>
      </c>
      <c r="K2055" s="103"/>
      <c r="L2055" s="103">
        <v>3.9800000000000002E-2</v>
      </c>
      <c r="O2055" s="100"/>
    </row>
    <row r="2056" spans="2:15" x14ac:dyDescent="0.2">
      <c r="B2056" s="1">
        <v>2041</v>
      </c>
      <c r="C2056" s="101">
        <f t="shared" ca="1" si="124"/>
        <v>0.15861485928060023</v>
      </c>
      <c r="D2056" s="101">
        <f t="shared" ca="1" si="125"/>
        <v>0.67498071229480561</v>
      </c>
      <c r="E2056" s="101">
        <f t="shared" ca="1" si="126"/>
        <v>0</v>
      </c>
      <c r="F2056" s="21">
        <f t="shared" ca="1" si="127"/>
        <v>0</v>
      </c>
      <c r="H2056" s="21">
        <v>2041</v>
      </c>
      <c r="I2056" s="102">
        <v>0.66777043146146076</v>
      </c>
      <c r="J2056" s="103">
        <v>1.3501633752983785E-3</v>
      </c>
      <c r="K2056" s="103"/>
      <c r="L2056" s="103">
        <v>4.0800000000000003E-2</v>
      </c>
      <c r="O2056" s="100"/>
    </row>
    <row r="2057" spans="2:15" x14ac:dyDescent="0.2">
      <c r="B2057" s="1">
        <v>2042</v>
      </c>
      <c r="C2057" s="101">
        <f t="shared" ca="1" si="124"/>
        <v>1.7231903026980326</v>
      </c>
      <c r="D2057" s="101">
        <f t="shared" ca="1" si="125"/>
        <v>0.78762013550436705</v>
      </c>
      <c r="E2057" s="101">
        <f t="shared" ca="1" si="126"/>
        <v>0</v>
      </c>
      <c r="F2057" s="21">
        <f t="shared" ca="1" si="127"/>
        <v>0</v>
      </c>
      <c r="H2057" s="21">
        <v>2042</v>
      </c>
      <c r="I2057" s="102">
        <v>0.66778930390412627</v>
      </c>
      <c r="J2057" s="103">
        <v>1.3667001204453668E-3</v>
      </c>
      <c r="K2057" s="103"/>
      <c r="L2057" s="103">
        <v>3.9E-2</v>
      </c>
      <c r="O2057" s="100"/>
    </row>
    <row r="2058" spans="2:15" x14ac:dyDescent="0.2">
      <c r="B2058" s="1">
        <v>2043</v>
      </c>
      <c r="C2058" s="101">
        <f t="shared" ca="1" si="124"/>
        <v>-1.581015336003162</v>
      </c>
      <c r="D2058" s="101">
        <f t="shared" ca="1" si="125"/>
        <v>0.56854740014603999</v>
      </c>
      <c r="E2058" s="101">
        <f t="shared" ca="1" si="126"/>
        <v>0</v>
      </c>
      <c r="F2058" s="21">
        <f t="shared" ca="1" si="127"/>
        <v>0</v>
      </c>
      <c r="H2058" s="21">
        <v>2043</v>
      </c>
      <c r="I2058" s="102">
        <v>0.66771618139280053</v>
      </c>
      <c r="J2058" s="103">
        <v>1.3654391943311518E-3</v>
      </c>
      <c r="K2058" s="103"/>
      <c r="L2058" s="103">
        <v>4.2000000000000003E-2</v>
      </c>
      <c r="O2058" s="100"/>
    </row>
    <row r="2059" spans="2:15" x14ac:dyDescent="0.2">
      <c r="B2059" s="1">
        <v>2044</v>
      </c>
      <c r="C2059" s="101">
        <f t="shared" ca="1" si="124"/>
        <v>-0.82367653171669808</v>
      </c>
      <c r="D2059" s="101">
        <f t="shared" ca="1" si="125"/>
        <v>0.61264741498638875</v>
      </c>
      <c r="E2059" s="101">
        <f t="shared" ca="1" si="126"/>
        <v>0</v>
      </c>
      <c r="F2059" s="21">
        <f t="shared" ca="1" si="127"/>
        <v>0</v>
      </c>
      <c r="H2059" s="21">
        <v>2044</v>
      </c>
      <c r="I2059" s="102">
        <v>0.66770535956789567</v>
      </c>
      <c r="J2059" s="103">
        <v>1.3786741286484871E-3</v>
      </c>
      <c r="K2059" s="103"/>
      <c r="L2059" s="103">
        <v>3.9800000000000002E-2</v>
      </c>
      <c r="O2059" s="100"/>
    </row>
    <row r="2060" spans="2:15" x14ac:dyDescent="0.2">
      <c r="B2060" s="1">
        <v>2045</v>
      </c>
      <c r="C2060" s="101">
        <f t="shared" ca="1" si="124"/>
        <v>0.8915617542751777</v>
      </c>
      <c r="D2060" s="101">
        <f t="shared" ca="1" si="125"/>
        <v>0.72558844180923354</v>
      </c>
      <c r="E2060" s="101">
        <f t="shared" ca="1" si="126"/>
        <v>0</v>
      </c>
      <c r="F2060" s="21">
        <f t="shared" ca="1" si="127"/>
        <v>0</v>
      </c>
      <c r="H2060" s="21">
        <v>2045</v>
      </c>
      <c r="I2060" s="102">
        <v>0.66761631701560842</v>
      </c>
      <c r="J2060" s="103">
        <v>1.08924753984194E-3</v>
      </c>
      <c r="K2060" s="103"/>
      <c r="L2060" s="103">
        <v>3.6799999999999999E-2</v>
      </c>
      <c r="O2060" s="100"/>
    </row>
    <row r="2061" spans="2:15" x14ac:dyDescent="0.2">
      <c r="B2061" s="1">
        <v>2046</v>
      </c>
      <c r="C2061" s="101">
        <f t="shared" ca="1" si="124"/>
        <v>0.49404588474015554</v>
      </c>
      <c r="D2061" s="101">
        <f t="shared" ca="1" si="125"/>
        <v>0.6976876272342889</v>
      </c>
      <c r="E2061" s="101">
        <f t="shared" ca="1" si="126"/>
        <v>0</v>
      </c>
      <c r="F2061" s="21">
        <f t="shared" ca="1" si="127"/>
        <v>0</v>
      </c>
      <c r="H2061" s="21">
        <v>2046</v>
      </c>
      <c r="I2061" s="102">
        <v>0.66787231324282881</v>
      </c>
      <c r="J2061" s="103">
        <v>1.5868551249272052E-3</v>
      </c>
      <c r="K2061" s="103"/>
      <c r="L2061" s="103">
        <v>4.36E-2</v>
      </c>
      <c r="O2061" s="100"/>
    </row>
    <row r="2062" spans="2:15" x14ac:dyDescent="0.2">
      <c r="B2062" s="1">
        <v>2047</v>
      </c>
      <c r="C2062" s="101">
        <f t="shared" ca="1" si="124"/>
        <v>0.82523973438702269</v>
      </c>
      <c r="D2062" s="101">
        <f t="shared" ca="1" si="125"/>
        <v>0.72085706890423795</v>
      </c>
      <c r="E2062" s="101">
        <f t="shared" ca="1" si="126"/>
        <v>0</v>
      </c>
      <c r="F2062" s="21">
        <f t="shared" ca="1" si="127"/>
        <v>0</v>
      </c>
      <c r="H2062" s="21">
        <v>2047</v>
      </c>
      <c r="I2062" s="102">
        <v>0.66775093645055117</v>
      </c>
      <c r="J2062" s="103">
        <v>1.3695631118547835E-3</v>
      </c>
      <c r="K2062" s="103"/>
      <c r="L2062" s="103">
        <v>4.2000000000000003E-2</v>
      </c>
      <c r="O2062" s="100"/>
    </row>
    <row r="2063" spans="2:15" x14ac:dyDescent="0.2">
      <c r="B2063" s="1">
        <v>2048</v>
      </c>
      <c r="C2063" s="101">
        <f t="shared" ca="1" si="124"/>
        <v>-0.45828929098268145</v>
      </c>
      <c r="D2063" s="101">
        <f t="shared" ca="1" si="125"/>
        <v>0.63513137854137769</v>
      </c>
      <c r="E2063" s="101">
        <f t="shared" ca="1" si="126"/>
        <v>0</v>
      </c>
      <c r="F2063" s="21">
        <f t="shared" ca="1" si="127"/>
        <v>0</v>
      </c>
      <c r="H2063" s="21">
        <v>2048</v>
      </c>
      <c r="I2063" s="102">
        <v>0.66759686773742222</v>
      </c>
      <c r="J2063" s="103">
        <v>1.2227297119848624E-3</v>
      </c>
      <c r="K2063" s="103"/>
      <c r="L2063" s="103">
        <v>3.6999999999999998E-2</v>
      </c>
      <c r="O2063" s="100"/>
    </row>
    <row r="2064" spans="2:15" x14ac:dyDescent="0.2">
      <c r="B2064" s="1">
        <v>2049</v>
      </c>
      <c r="C2064" s="101">
        <f t="shared" ref="C2064:C2127" ca="1" si="128">_xlfn.NORM.S.INV(RAND())</f>
        <v>0.74626590133935788</v>
      </c>
      <c r="D2064" s="101">
        <f t="shared" ref="D2064:D2127" ca="1" si="129">S0*EXP((μ-0.5*σ*σ)*T+σ*SQRT(T)*$C2064)</f>
        <v>0.71526334814334447</v>
      </c>
      <c r="E2064" s="101">
        <f t="shared" ref="E2064:E2127" ca="1" si="130">MAX(0,CP*(D2064-K))</f>
        <v>0</v>
      </c>
      <c r="F2064" s="21">
        <f t="shared" ref="F2064:F2127" ca="1" si="131">(CP*(D2064-K)&gt;0)*1</f>
        <v>0</v>
      </c>
      <c r="H2064" s="21">
        <v>2049</v>
      </c>
      <c r="I2064" s="102">
        <v>0.66756951605258563</v>
      </c>
      <c r="J2064" s="103">
        <v>1.0202698431676387E-3</v>
      </c>
      <c r="K2064" s="103"/>
      <c r="L2064" s="103">
        <v>3.7999999999999999E-2</v>
      </c>
      <c r="O2064" s="100"/>
    </row>
    <row r="2065" spans="2:15" x14ac:dyDescent="0.2">
      <c r="B2065" s="1">
        <v>2050</v>
      </c>
      <c r="C2065" s="101">
        <f t="shared" ca="1" si="128"/>
        <v>-0.29750650246013405</v>
      </c>
      <c r="D2065" s="101">
        <f t="shared" ca="1" si="129"/>
        <v>0.64528475516892092</v>
      </c>
      <c r="E2065" s="101">
        <f t="shared" ca="1" si="130"/>
        <v>0</v>
      </c>
      <c r="F2065" s="21">
        <f t="shared" ca="1" si="131"/>
        <v>0</v>
      </c>
      <c r="H2065" s="21">
        <v>2050</v>
      </c>
      <c r="I2065" s="102">
        <v>0.66775575443426682</v>
      </c>
      <c r="J2065" s="103">
        <v>1.1270551020705162E-3</v>
      </c>
      <c r="K2065" s="103"/>
      <c r="L2065" s="103">
        <v>4.1799999999999997E-2</v>
      </c>
      <c r="O2065" s="100"/>
    </row>
    <row r="2066" spans="2:15" x14ac:dyDescent="0.2">
      <c r="B2066" s="1">
        <v>2051</v>
      </c>
      <c r="C2066" s="101">
        <f t="shared" ca="1" si="128"/>
        <v>0.22568473514635964</v>
      </c>
      <c r="D2066" s="101">
        <f t="shared" ca="1" si="129"/>
        <v>0.67946109564096213</v>
      </c>
      <c r="E2066" s="101">
        <f t="shared" ca="1" si="130"/>
        <v>0</v>
      </c>
      <c r="F2066" s="21">
        <f t="shared" ca="1" si="131"/>
        <v>0</v>
      </c>
      <c r="H2066" s="21">
        <v>2051</v>
      </c>
      <c r="I2066" s="102">
        <v>0.6678334343538247</v>
      </c>
      <c r="J2066" s="103">
        <v>1.4252146843510944E-3</v>
      </c>
      <c r="K2066" s="103"/>
      <c r="L2066" s="103">
        <v>4.6199999999999998E-2</v>
      </c>
      <c r="O2066" s="100"/>
    </row>
    <row r="2067" spans="2:15" x14ac:dyDescent="0.2">
      <c r="B2067" s="1">
        <v>2052</v>
      </c>
      <c r="C2067" s="101">
        <f t="shared" ca="1" si="128"/>
        <v>-0.92701072063994416</v>
      </c>
      <c r="D2067" s="101">
        <f t="shared" ca="1" si="129"/>
        <v>0.60643440524308456</v>
      </c>
      <c r="E2067" s="101">
        <f t="shared" ca="1" si="130"/>
        <v>0</v>
      </c>
      <c r="F2067" s="21">
        <f t="shared" ca="1" si="131"/>
        <v>0</v>
      </c>
      <c r="H2067" s="21">
        <v>2052</v>
      </c>
      <c r="I2067" s="102">
        <v>0.66782546999968251</v>
      </c>
      <c r="J2067" s="103">
        <v>1.456214859960051E-3</v>
      </c>
      <c r="K2067" s="103"/>
      <c r="L2067" s="103">
        <v>4.36E-2</v>
      </c>
      <c r="O2067" s="100"/>
    </row>
    <row r="2068" spans="2:15" x14ac:dyDescent="0.2">
      <c r="B2068" s="1">
        <v>2053</v>
      </c>
      <c r="C2068" s="101">
        <f t="shared" ca="1" si="128"/>
        <v>-0.64137704947510343</v>
      </c>
      <c r="D2068" s="101">
        <f t="shared" ca="1" si="129"/>
        <v>0.62376385148222802</v>
      </c>
      <c r="E2068" s="101">
        <f t="shared" ca="1" si="130"/>
        <v>0</v>
      </c>
      <c r="F2068" s="21">
        <f t="shared" ca="1" si="131"/>
        <v>0</v>
      </c>
      <c r="H2068" s="21">
        <v>2053</v>
      </c>
      <c r="I2068" s="102">
        <v>0.66787291569986795</v>
      </c>
      <c r="J2068" s="103">
        <v>1.452551378252941E-3</v>
      </c>
      <c r="K2068" s="103"/>
      <c r="L2068" s="103">
        <v>4.3999999999999997E-2</v>
      </c>
      <c r="O2068" s="100"/>
    </row>
    <row r="2069" spans="2:15" x14ac:dyDescent="0.2">
      <c r="B2069" s="1">
        <v>2054</v>
      </c>
      <c r="C2069" s="101">
        <f t="shared" ca="1" si="128"/>
        <v>1.4594412245270407</v>
      </c>
      <c r="D2069" s="101">
        <f t="shared" ca="1" si="129"/>
        <v>0.76739322813384203</v>
      </c>
      <c r="E2069" s="101">
        <f t="shared" ca="1" si="130"/>
        <v>0</v>
      </c>
      <c r="F2069" s="21">
        <f t="shared" ca="1" si="131"/>
        <v>0</v>
      </c>
      <c r="H2069" s="21">
        <v>2054</v>
      </c>
      <c r="I2069" s="102">
        <v>0.66760781920624124</v>
      </c>
      <c r="J2069" s="103">
        <v>1.2516350372189906E-3</v>
      </c>
      <c r="K2069" s="103"/>
      <c r="L2069" s="103">
        <v>3.9399999999999998E-2</v>
      </c>
      <c r="O2069" s="100"/>
    </row>
    <row r="2070" spans="2:15" x14ac:dyDescent="0.2">
      <c r="B2070" s="1">
        <v>2055</v>
      </c>
      <c r="C2070" s="101">
        <f t="shared" ca="1" si="128"/>
        <v>-2.0270820898080442</v>
      </c>
      <c r="D2070" s="101">
        <f t="shared" ca="1" si="129"/>
        <v>0.54407334944478192</v>
      </c>
      <c r="E2070" s="101">
        <f t="shared" ca="1" si="130"/>
        <v>0</v>
      </c>
      <c r="F2070" s="21">
        <f t="shared" ca="1" si="131"/>
        <v>0</v>
      </c>
      <c r="H2070" s="21">
        <v>2055</v>
      </c>
      <c r="I2070" s="102">
        <v>0.66765881995651333</v>
      </c>
      <c r="J2070" s="103">
        <v>1.2533249151660533E-3</v>
      </c>
      <c r="K2070" s="103"/>
      <c r="L2070" s="103">
        <v>3.6999999999999998E-2</v>
      </c>
      <c r="O2070" s="100"/>
    </row>
    <row r="2071" spans="2:15" x14ac:dyDescent="0.2">
      <c r="B2071" s="1">
        <v>2056</v>
      </c>
      <c r="C2071" s="101">
        <f t="shared" ca="1" si="128"/>
        <v>-6.441380660310486E-3</v>
      </c>
      <c r="D2071" s="101">
        <f t="shared" ca="1" si="129"/>
        <v>0.66408008341221836</v>
      </c>
      <c r="E2071" s="101">
        <f t="shared" ca="1" si="130"/>
        <v>0</v>
      </c>
      <c r="F2071" s="21">
        <f t="shared" ca="1" si="131"/>
        <v>0</v>
      </c>
      <c r="H2071" s="21">
        <v>2056</v>
      </c>
      <c r="I2071" s="102">
        <v>0.66749472091671236</v>
      </c>
      <c r="J2071" s="103">
        <v>1.0842668078351271E-3</v>
      </c>
      <c r="K2071" s="103"/>
      <c r="L2071" s="103">
        <v>3.5000000000000003E-2</v>
      </c>
      <c r="O2071" s="100"/>
    </row>
    <row r="2072" spans="2:15" x14ac:dyDescent="0.2">
      <c r="B2072" s="1">
        <v>2057</v>
      </c>
      <c r="C2072" s="101">
        <f t="shared" ca="1" si="128"/>
        <v>1.679254174300818</v>
      </c>
      <c r="D2072" s="101">
        <f t="shared" ca="1" si="129"/>
        <v>0.78421404065721534</v>
      </c>
      <c r="E2072" s="101">
        <f t="shared" ca="1" si="130"/>
        <v>0</v>
      </c>
      <c r="F2072" s="21">
        <f t="shared" ca="1" si="131"/>
        <v>0</v>
      </c>
      <c r="H2072" s="21">
        <v>2057</v>
      </c>
      <c r="I2072" s="102">
        <v>0.66770219581174428</v>
      </c>
      <c r="J2072" s="103">
        <v>1.2998515028146615E-3</v>
      </c>
      <c r="K2072" s="103"/>
      <c r="L2072" s="103">
        <v>4.0800000000000003E-2</v>
      </c>
      <c r="O2072" s="100"/>
    </row>
    <row r="2073" spans="2:15" x14ac:dyDescent="0.2">
      <c r="B2073" s="1">
        <v>2058</v>
      </c>
      <c r="C2073" s="101">
        <f t="shared" ca="1" si="128"/>
        <v>0.37269777124767517</v>
      </c>
      <c r="D2073" s="101">
        <f t="shared" ca="1" si="129"/>
        <v>0.68938613235092194</v>
      </c>
      <c r="E2073" s="101">
        <f t="shared" ca="1" si="130"/>
        <v>0</v>
      </c>
      <c r="F2073" s="21">
        <f t="shared" ca="1" si="131"/>
        <v>0</v>
      </c>
      <c r="H2073" s="21">
        <v>2058</v>
      </c>
      <c r="I2073" s="102">
        <v>0.66785606411572085</v>
      </c>
      <c r="J2073" s="103">
        <v>1.4662729310115272E-3</v>
      </c>
      <c r="K2073" s="103"/>
      <c r="L2073" s="103">
        <v>4.82E-2</v>
      </c>
      <c r="O2073" s="100"/>
    </row>
    <row r="2074" spans="2:15" x14ac:dyDescent="0.2">
      <c r="B2074" s="1">
        <v>2059</v>
      </c>
      <c r="C2074" s="101">
        <f t="shared" ca="1" si="128"/>
        <v>-0.82902552265691787</v>
      </c>
      <c r="D2074" s="101">
        <f t="shared" ca="1" si="129"/>
        <v>0.61232424814041431</v>
      </c>
      <c r="E2074" s="101">
        <f t="shared" ca="1" si="130"/>
        <v>0</v>
      </c>
      <c r="F2074" s="21">
        <f t="shared" ca="1" si="131"/>
        <v>0</v>
      </c>
      <c r="H2074" s="21">
        <v>2059</v>
      </c>
      <c r="I2074" s="102">
        <v>0.66771492797060061</v>
      </c>
      <c r="J2074" s="103">
        <v>1.384908718680079E-3</v>
      </c>
      <c r="K2074" s="103"/>
      <c r="L2074" s="103">
        <v>4.3200000000000002E-2</v>
      </c>
      <c r="O2074" s="100"/>
    </row>
    <row r="2075" spans="2:15" x14ac:dyDescent="0.2">
      <c r="B2075" s="1">
        <v>2060</v>
      </c>
      <c r="C2075" s="101">
        <f t="shared" ca="1" si="128"/>
        <v>0.41357923311978367</v>
      </c>
      <c r="D2075" s="101">
        <f t="shared" ca="1" si="129"/>
        <v>0.69217176486820842</v>
      </c>
      <c r="E2075" s="101">
        <f t="shared" ca="1" si="130"/>
        <v>0</v>
      </c>
      <c r="F2075" s="21">
        <f t="shared" ca="1" si="131"/>
        <v>0</v>
      </c>
      <c r="H2075" s="21">
        <v>2060</v>
      </c>
      <c r="I2075" s="102">
        <v>0.6678074200409615</v>
      </c>
      <c r="J2075" s="103">
        <v>1.3659592305124541E-3</v>
      </c>
      <c r="K2075" s="103"/>
      <c r="L2075" s="103">
        <v>4.36E-2</v>
      </c>
      <c r="O2075" s="100"/>
    </row>
    <row r="2076" spans="2:15" x14ac:dyDescent="0.2">
      <c r="B2076" s="1">
        <v>2061</v>
      </c>
      <c r="C2076" s="101">
        <f t="shared" ca="1" si="128"/>
        <v>2.1677964687978268</v>
      </c>
      <c r="D2076" s="101">
        <f t="shared" ca="1" si="129"/>
        <v>0.82293107916838826</v>
      </c>
      <c r="E2076" s="101">
        <f t="shared" ca="1" si="130"/>
        <v>3.4731079168388246E-2</v>
      </c>
      <c r="F2076" s="21">
        <f t="shared" ca="1" si="131"/>
        <v>1</v>
      </c>
      <c r="H2076" s="21">
        <v>2061</v>
      </c>
      <c r="I2076" s="102">
        <v>0.66779983088687755</v>
      </c>
      <c r="J2076" s="103">
        <v>1.526048476960631E-3</v>
      </c>
      <c r="K2076" s="103"/>
      <c r="L2076" s="103">
        <v>4.3400000000000001E-2</v>
      </c>
      <c r="O2076" s="100"/>
    </row>
    <row r="2077" spans="2:15" x14ac:dyDescent="0.2">
      <c r="B2077" s="1">
        <v>2062</v>
      </c>
      <c r="C2077" s="101">
        <f t="shared" ca="1" si="128"/>
        <v>0.67167777140270779</v>
      </c>
      <c r="D2077" s="101">
        <f t="shared" ca="1" si="129"/>
        <v>0.71002013013723841</v>
      </c>
      <c r="E2077" s="101">
        <f t="shared" ca="1" si="130"/>
        <v>0</v>
      </c>
      <c r="F2077" s="21">
        <f t="shared" ca="1" si="131"/>
        <v>0</v>
      </c>
      <c r="H2077" s="21">
        <v>2062</v>
      </c>
      <c r="I2077" s="102">
        <v>0.66775382051356169</v>
      </c>
      <c r="J2077" s="103">
        <v>1.4421661931092011E-3</v>
      </c>
      <c r="K2077" s="103"/>
      <c r="L2077" s="103">
        <v>4.3200000000000002E-2</v>
      </c>
      <c r="O2077" s="100"/>
    </row>
    <row r="2078" spans="2:15" x14ac:dyDescent="0.2">
      <c r="B2078" s="1">
        <v>2063</v>
      </c>
      <c r="C2078" s="101">
        <f t="shared" ca="1" si="128"/>
        <v>2.166758641097458</v>
      </c>
      <c r="D2078" s="101">
        <f t="shared" ca="1" si="129"/>
        <v>0.8228468378037499</v>
      </c>
      <c r="E2078" s="101">
        <f t="shared" ca="1" si="130"/>
        <v>3.4646837803749886E-2</v>
      </c>
      <c r="F2078" s="21">
        <f t="shared" ca="1" si="131"/>
        <v>1</v>
      </c>
      <c r="H2078" s="21">
        <v>2063</v>
      </c>
      <c r="I2078" s="102">
        <v>0.66777151785344757</v>
      </c>
      <c r="J2078" s="103">
        <v>1.2786779891899944E-3</v>
      </c>
      <c r="K2078" s="103"/>
      <c r="L2078" s="103">
        <v>4.2000000000000003E-2</v>
      </c>
      <c r="O2078" s="100"/>
    </row>
    <row r="2079" spans="2:15" x14ac:dyDescent="0.2">
      <c r="B2079" s="1">
        <v>2064</v>
      </c>
      <c r="C2079" s="101">
        <f t="shared" ca="1" si="128"/>
        <v>-1.1655520112006674</v>
      </c>
      <c r="D2079" s="101">
        <f t="shared" ca="1" si="129"/>
        <v>0.59233155690445172</v>
      </c>
      <c r="E2079" s="101">
        <f t="shared" ca="1" si="130"/>
        <v>0</v>
      </c>
      <c r="F2079" s="21">
        <f t="shared" ca="1" si="131"/>
        <v>0</v>
      </c>
      <c r="H2079" s="21">
        <v>2064</v>
      </c>
      <c r="I2079" s="102">
        <v>0.66760931773794241</v>
      </c>
      <c r="J2079" s="103">
        <v>1.1363059945372982E-3</v>
      </c>
      <c r="K2079" s="103"/>
      <c r="L2079" s="103">
        <v>3.6799999999999999E-2</v>
      </c>
      <c r="O2079" s="100"/>
    </row>
    <row r="2080" spans="2:15" x14ac:dyDescent="0.2">
      <c r="B2080" s="1">
        <v>2065</v>
      </c>
      <c r="C2080" s="101">
        <f t="shared" ca="1" si="128"/>
        <v>0.32072457279431077</v>
      </c>
      <c r="D2080" s="101">
        <f t="shared" ca="1" si="129"/>
        <v>0.68586089702387776</v>
      </c>
      <c r="E2080" s="101">
        <f t="shared" ca="1" si="130"/>
        <v>0</v>
      </c>
      <c r="F2080" s="21">
        <f t="shared" ca="1" si="131"/>
        <v>0</v>
      </c>
      <c r="H2080" s="21">
        <v>2065</v>
      </c>
      <c r="I2080" s="102">
        <v>0.66776036232539226</v>
      </c>
      <c r="J2080" s="103">
        <v>1.3509136381637192E-3</v>
      </c>
      <c r="K2080" s="103"/>
      <c r="L2080" s="103">
        <v>4.3999999999999997E-2</v>
      </c>
      <c r="O2080" s="100"/>
    </row>
    <row r="2081" spans="2:15" x14ac:dyDescent="0.2">
      <c r="B2081" s="1">
        <v>2066</v>
      </c>
      <c r="C2081" s="101">
        <f t="shared" ca="1" si="128"/>
        <v>-5.122742724368555E-2</v>
      </c>
      <c r="D2081" s="101">
        <f t="shared" ca="1" si="129"/>
        <v>0.66115281104308765</v>
      </c>
      <c r="E2081" s="101">
        <f t="shared" ca="1" si="130"/>
        <v>0</v>
      </c>
      <c r="F2081" s="21">
        <f t="shared" ca="1" si="131"/>
        <v>0</v>
      </c>
      <c r="H2081" s="21">
        <v>2066</v>
      </c>
      <c r="I2081" s="102">
        <v>0.66766782045196649</v>
      </c>
      <c r="J2081" s="103">
        <v>1.3538618634823109E-3</v>
      </c>
      <c r="K2081" s="103"/>
      <c r="L2081" s="103">
        <v>3.8600000000000002E-2</v>
      </c>
      <c r="O2081" s="100"/>
    </row>
    <row r="2082" spans="2:15" x14ac:dyDescent="0.2">
      <c r="B2082" s="1">
        <v>2067</v>
      </c>
      <c r="C2082" s="101">
        <f t="shared" ca="1" si="128"/>
        <v>3.2373536256204566E-2</v>
      </c>
      <c r="D2082" s="101">
        <f t="shared" ca="1" si="129"/>
        <v>0.66662755697563947</v>
      </c>
      <c r="E2082" s="101">
        <f t="shared" ca="1" si="130"/>
        <v>0</v>
      </c>
      <c r="F2082" s="21">
        <f t="shared" ca="1" si="131"/>
        <v>0</v>
      </c>
      <c r="H2082" s="21">
        <v>2067</v>
      </c>
      <c r="I2082" s="102">
        <v>0.66770863224371779</v>
      </c>
      <c r="J2082" s="103">
        <v>1.2616585093688678E-3</v>
      </c>
      <c r="K2082" s="103"/>
      <c r="L2082" s="103">
        <v>0.04</v>
      </c>
      <c r="O2082" s="100"/>
    </row>
    <row r="2083" spans="2:15" x14ac:dyDescent="0.2">
      <c r="B2083" s="1">
        <v>2068</v>
      </c>
      <c r="C2083" s="101">
        <f t="shared" ca="1" si="128"/>
        <v>-1.7191586175158389</v>
      </c>
      <c r="D2083" s="101">
        <f t="shared" ca="1" si="129"/>
        <v>0.56085255790534727</v>
      </c>
      <c r="E2083" s="101">
        <f t="shared" ca="1" si="130"/>
        <v>0</v>
      </c>
      <c r="F2083" s="21">
        <f t="shared" ca="1" si="131"/>
        <v>0</v>
      </c>
      <c r="H2083" s="21">
        <v>2068</v>
      </c>
      <c r="I2083" s="102">
        <v>0.66776048152649059</v>
      </c>
      <c r="J2083" s="103">
        <v>1.4124560139266921E-3</v>
      </c>
      <c r="K2083" s="103"/>
      <c r="L2083" s="103">
        <v>4.1399999999999999E-2</v>
      </c>
      <c r="O2083" s="100"/>
    </row>
    <row r="2084" spans="2:15" x14ac:dyDescent="0.2">
      <c r="B2084" s="1">
        <v>2069</v>
      </c>
      <c r="C2084" s="101">
        <f t="shared" ca="1" si="128"/>
        <v>-0.419603581004661</v>
      </c>
      <c r="D2084" s="101">
        <f t="shared" ca="1" si="129"/>
        <v>0.63755967631287336</v>
      </c>
      <c r="E2084" s="101">
        <f t="shared" ca="1" si="130"/>
        <v>0</v>
      </c>
      <c r="F2084" s="21">
        <f t="shared" ca="1" si="131"/>
        <v>0</v>
      </c>
      <c r="H2084" s="21">
        <v>2069</v>
      </c>
      <c r="I2084" s="102">
        <v>0.66772118583450202</v>
      </c>
      <c r="J2084" s="103">
        <v>1.2705248902313802E-3</v>
      </c>
      <c r="K2084" s="103"/>
      <c r="L2084" s="103">
        <v>0.04</v>
      </c>
      <c r="O2084" s="100"/>
    </row>
    <row r="2085" spans="2:15" x14ac:dyDescent="0.2">
      <c r="B2085" s="1">
        <v>2070</v>
      </c>
      <c r="C2085" s="101">
        <f t="shared" ca="1" si="128"/>
        <v>1.3757949142602452</v>
      </c>
      <c r="D2085" s="101">
        <f t="shared" ca="1" si="129"/>
        <v>0.76108752957932424</v>
      </c>
      <c r="E2085" s="101">
        <f t="shared" ca="1" si="130"/>
        <v>0</v>
      </c>
      <c r="F2085" s="21">
        <f t="shared" ca="1" si="131"/>
        <v>0</v>
      </c>
      <c r="H2085" s="21">
        <v>2070</v>
      </c>
      <c r="I2085" s="102">
        <v>0.66767260253679073</v>
      </c>
      <c r="J2085" s="103">
        <v>1.2263677766540262E-3</v>
      </c>
      <c r="K2085" s="103"/>
      <c r="L2085" s="103">
        <v>3.78E-2</v>
      </c>
      <c r="O2085" s="100"/>
    </row>
    <row r="2086" spans="2:15" x14ac:dyDescent="0.2">
      <c r="B2086" s="1">
        <v>2071</v>
      </c>
      <c r="C2086" s="101">
        <f t="shared" ca="1" si="128"/>
        <v>-0.9083787692544355</v>
      </c>
      <c r="D2086" s="101">
        <f t="shared" ca="1" si="129"/>
        <v>0.60754998397816629</v>
      </c>
      <c r="E2086" s="101">
        <f t="shared" ca="1" si="130"/>
        <v>0</v>
      </c>
      <c r="F2086" s="21">
        <f t="shared" ca="1" si="131"/>
        <v>0</v>
      </c>
      <c r="H2086" s="21">
        <v>2071</v>
      </c>
      <c r="I2086" s="102">
        <v>0.66774062668452372</v>
      </c>
      <c r="J2086" s="103">
        <v>1.2702960925549795E-3</v>
      </c>
      <c r="K2086" s="103"/>
      <c r="L2086" s="103">
        <v>4.1399999999999999E-2</v>
      </c>
      <c r="O2086" s="100"/>
    </row>
    <row r="2087" spans="2:15" x14ac:dyDescent="0.2">
      <c r="B2087" s="1">
        <v>2072</v>
      </c>
      <c r="C2087" s="101">
        <f t="shared" ca="1" si="128"/>
        <v>0.74537219793235099</v>
      </c>
      <c r="D2087" s="101">
        <f t="shared" ca="1" si="129"/>
        <v>0.71520029610328362</v>
      </c>
      <c r="E2087" s="101">
        <f t="shared" ca="1" si="130"/>
        <v>0</v>
      </c>
      <c r="F2087" s="21">
        <f t="shared" ca="1" si="131"/>
        <v>0</v>
      </c>
      <c r="H2087" s="21">
        <v>2072</v>
      </c>
      <c r="I2087" s="102">
        <v>0.66776024563447167</v>
      </c>
      <c r="J2087" s="103">
        <v>1.4487305075724605E-3</v>
      </c>
      <c r="K2087" s="103"/>
      <c r="L2087" s="103">
        <v>4.2200000000000001E-2</v>
      </c>
      <c r="O2087" s="100"/>
    </row>
    <row r="2088" spans="2:15" x14ac:dyDescent="0.2">
      <c r="B2088" s="1">
        <v>2073</v>
      </c>
      <c r="C2088" s="101">
        <f t="shared" ca="1" si="128"/>
        <v>2.0841934284008219</v>
      </c>
      <c r="D2088" s="101">
        <f t="shared" ca="1" si="129"/>
        <v>0.81617250761450555</v>
      </c>
      <c r="E2088" s="101">
        <f t="shared" ca="1" si="130"/>
        <v>2.7972507614505537E-2</v>
      </c>
      <c r="F2088" s="21">
        <f t="shared" ca="1" si="131"/>
        <v>1</v>
      </c>
      <c r="H2088" s="21">
        <v>2073</v>
      </c>
      <c r="I2088" s="102">
        <v>0.6677406375338335</v>
      </c>
      <c r="J2088" s="103">
        <v>1.4329801869951248E-3</v>
      </c>
      <c r="K2088" s="103"/>
      <c r="L2088" s="103">
        <v>4.1599999999999998E-2</v>
      </c>
      <c r="O2088" s="100"/>
    </row>
    <row r="2089" spans="2:15" x14ac:dyDescent="0.2">
      <c r="B2089" s="1">
        <v>2074</v>
      </c>
      <c r="C2089" s="101">
        <f t="shared" ca="1" si="128"/>
        <v>-0.24200717425988569</v>
      </c>
      <c r="D2089" s="101">
        <f t="shared" ca="1" si="129"/>
        <v>0.64882707159257369</v>
      </c>
      <c r="E2089" s="101">
        <f t="shared" ca="1" si="130"/>
        <v>0</v>
      </c>
      <c r="F2089" s="21">
        <f t="shared" ca="1" si="131"/>
        <v>0</v>
      </c>
      <c r="H2089" s="21">
        <v>2074</v>
      </c>
      <c r="I2089" s="102">
        <v>0.66782109009786628</v>
      </c>
      <c r="J2089" s="103">
        <v>1.473579427765377E-3</v>
      </c>
      <c r="K2089" s="103"/>
      <c r="L2089" s="103">
        <v>4.36E-2</v>
      </c>
      <c r="O2089" s="100"/>
    </row>
    <row r="2090" spans="2:15" x14ac:dyDescent="0.2">
      <c r="B2090" s="1">
        <v>2075</v>
      </c>
      <c r="C2090" s="101">
        <f t="shared" ca="1" si="128"/>
        <v>-1.9359696846997725</v>
      </c>
      <c r="D2090" s="101">
        <f t="shared" ca="1" si="129"/>
        <v>0.54898522014668205</v>
      </c>
      <c r="E2090" s="101">
        <f t="shared" ca="1" si="130"/>
        <v>0</v>
      </c>
      <c r="F2090" s="21">
        <f t="shared" ca="1" si="131"/>
        <v>0</v>
      </c>
      <c r="H2090" s="21">
        <v>2075</v>
      </c>
      <c r="I2090" s="102">
        <v>0.6677469098337192</v>
      </c>
      <c r="J2090" s="103">
        <v>1.3842439794145239E-3</v>
      </c>
      <c r="K2090" s="103"/>
      <c r="L2090" s="103">
        <v>4.1799999999999997E-2</v>
      </c>
      <c r="O2090" s="100"/>
    </row>
    <row r="2091" spans="2:15" x14ac:dyDescent="0.2">
      <c r="B2091" s="1">
        <v>2076</v>
      </c>
      <c r="C2091" s="101">
        <f t="shared" ca="1" si="128"/>
        <v>1.8049142514452334</v>
      </c>
      <c r="D2091" s="101">
        <f t="shared" ca="1" si="129"/>
        <v>0.79399508475052527</v>
      </c>
      <c r="E2091" s="101">
        <f t="shared" ca="1" si="130"/>
        <v>5.795084750525259E-3</v>
      </c>
      <c r="F2091" s="21">
        <f t="shared" ca="1" si="131"/>
        <v>1</v>
      </c>
      <c r="H2091" s="21">
        <v>2076</v>
      </c>
      <c r="I2091" s="102">
        <v>0.66770767757407823</v>
      </c>
      <c r="J2091" s="103">
        <v>1.3050529178950192E-3</v>
      </c>
      <c r="K2091" s="103"/>
      <c r="L2091" s="103">
        <v>4.24E-2</v>
      </c>
      <c r="O2091" s="100"/>
    </row>
    <row r="2092" spans="2:15" x14ac:dyDescent="0.2">
      <c r="B2092" s="1">
        <v>2077</v>
      </c>
      <c r="C2092" s="101">
        <f t="shared" ca="1" si="128"/>
        <v>-1.839522974650923</v>
      </c>
      <c r="D2092" s="101">
        <f t="shared" ca="1" si="129"/>
        <v>0.55423298622006167</v>
      </c>
      <c r="E2092" s="101">
        <f t="shared" ca="1" si="130"/>
        <v>0</v>
      </c>
      <c r="F2092" s="21">
        <f t="shared" ca="1" si="131"/>
        <v>0</v>
      </c>
      <c r="H2092" s="21">
        <v>2077</v>
      </c>
      <c r="I2092" s="102">
        <v>0.66796726438575227</v>
      </c>
      <c r="J2092" s="103">
        <v>1.4960440461098592E-3</v>
      </c>
      <c r="K2092" s="103"/>
      <c r="L2092" s="103">
        <v>4.7199999999999999E-2</v>
      </c>
      <c r="O2092" s="100"/>
    </row>
    <row r="2093" spans="2:15" x14ac:dyDescent="0.2">
      <c r="B2093" s="1">
        <v>2078</v>
      </c>
      <c r="C2093" s="101">
        <f t="shared" ca="1" si="128"/>
        <v>-0.86574643086315672</v>
      </c>
      <c r="D2093" s="101">
        <f t="shared" ca="1" si="129"/>
        <v>0.61011029992022825</v>
      </c>
      <c r="E2093" s="101">
        <f t="shared" ca="1" si="130"/>
        <v>0</v>
      </c>
      <c r="F2093" s="21">
        <f t="shared" ca="1" si="131"/>
        <v>0</v>
      </c>
      <c r="H2093" s="21">
        <v>2078</v>
      </c>
      <c r="I2093" s="102">
        <v>0.66777876485618359</v>
      </c>
      <c r="J2093" s="103">
        <v>1.4429629925923322E-3</v>
      </c>
      <c r="K2093" s="103"/>
      <c r="L2093" s="103">
        <v>4.24E-2</v>
      </c>
      <c r="O2093" s="100"/>
    </row>
    <row r="2094" spans="2:15" x14ac:dyDescent="0.2">
      <c r="B2094" s="1">
        <v>2079</v>
      </c>
      <c r="C2094" s="101">
        <f t="shared" ca="1" si="128"/>
        <v>0.40591542770957006</v>
      </c>
      <c r="D2094" s="101">
        <f t="shared" ca="1" si="129"/>
        <v>0.69164870294855896</v>
      </c>
      <c r="E2094" s="101">
        <f t="shared" ca="1" si="130"/>
        <v>0</v>
      </c>
      <c r="F2094" s="21">
        <f t="shared" ca="1" si="131"/>
        <v>0</v>
      </c>
      <c r="H2094" s="21">
        <v>2079</v>
      </c>
      <c r="I2094" s="102">
        <v>0.66777348621977872</v>
      </c>
      <c r="J2094" s="103">
        <v>1.5032618298172903E-3</v>
      </c>
      <c r="K2094" s="103"/>
      <c r="L2094" s="103">
        <v>4.4200000000000003E-2</v>
      </c>
      <c r="O2094" s="100"/>
    </row>
    <row r="2095" spans="2:15" x14ac:dyDescent="0.2">
      <c r="B2095" s="1">
        <v>2080</v>
      </c>
      <c r="C2095" s="101">
        <f t="shared" ca="1" si="128"/>
        <v>-0.67366907397661357</v>
      </c>
      <c r="D2095" s="101">
        <f t="shared" ca="1" si="129"/>
        <v>0.62178012004807792</v>
      </c>
      <c r="E2095" s="101">
        <f t="shared" ca="1" si="130"/>
        <v>0</v>
      </c>
      <c r="F2095" s="21">
        <f t="shared" ca="1" si="131"/>
        <v>0</v>
      </c>
      <c r="H2095" s="21">
        <v>2080</v>
      </c>
      <c r="I2095" s="102">
        <v>0.66776369557751036</v>
      </c>
      <c r="J2095" s="103">
        <v>1.484879527557477E-3</v>
      </c>
      <c r="K2095" s="103"/>
      <c r="L2095" s="103">
        <v>4.48E-2</v>
      </c>
      <c r="O2095" s="100"/>
    </row>
    <row r="2096" spans="2:15" x14ac:dyDescent="0.2">
      <c r="B2096" s="1">
        <v>2081</v>
      </c>
      <c r="C2096" s="101">
        <f t="shared" ca="1" si="128"/>
        <v>1.0056440452033191</v>
      </c>
      <c r="D2096" s="101">
        <f t="shared" ca="1" si="129"/>
        <v>0.73379976960674209</v>
      </c>
      <c r="E2096" s="101">
        <f t="shared" ca="1" si="130"/>
        <v>0</v>
      </c>
      <c r="F2096" s="21">
        <f t="shared" ca="1" si="131"/>
        <v>0</v>
      </c>
      <c r="H2096" s="21">
        <v>2081</v>
      </c>
      <c r="I2096" s="102">
        <v>0.66777500337499462</v>
      </c>
      <c r="J2096" s="103">
        <v>1.4340125067894304E-3</v>
      </c>
      <c r="K2096" s="103"/>
      <c r="L2096" s="103">
        <v>4.3799999999999999E-2</v>
      </c>
      <c r="O2096" s="100"/>
    </row>
    <row r="2097" spans="2:15" x14ac:dyDescent="0.2">
      <c r="B2097" s="1">
        <v>2082</v>
      </c>
      <c r="C2097" s="101">
        <f t="shared" ca="1" si="128"/>
        <v>0.78655775368635727</v>
      </c>
      <c r="D2097" s="101">
        <f t="shared" ca="1" si="129"/>
        <v>0.71811177735278753</v>
      </c>
      <c r="E2097" s="101">
        <f t="shared" ca="1" si="130"/>
        <v>0</v>
      </c>
      <c r="F2097" s="21">
        <f t="shared" ca="1" si="131"/>
        <v>0</v>
      </c>
      <c r="H2097" s="21">
        <v>2082</v>
      </c>
      <c r="I2097" s="102">
        <v>0.66774631280029684</v>
      </c>
      <c r="J2097" s="103">
        <v>1.4257940764849093E-3</v>
      </c>
      <c r="K2097" s="103"/>
      <c r="L2097" s="103">
        <v>4.0599999999999997E-2</v>
      </c>
      <c r="O2097" s="100"/>
    </row>
    <row r="2098" spans="2:15" x14ac:dyDescent="0.2">
      <c r="B2098" s="1">
        <v>2083</v>
      </c>
      <c r="C2098" s="101">
        <f t="shared" ca="1" si="128"/>
        <v>1.0748185781214601</v>
      </c>
      <c r="D2098" s="101">
        <f t="shared" ca="1" si="129"/>
        <v>0.73882395025953851</v>
      </c>
      <c r="E2098" s="101">
        <f t="shared" ca="1" si="130"/>
        <v>0</v>
      </c>
      <c r="F2098" s="21">
        <f t="shared" ca="1" si="131"/>
        <v>0</v>
      </c>
      <c r="H2098" s="21">
        <v>2083</v>
      </c>
      <c r="I2098" s="102">
        <v>0.66792597924265851</v>
      </c>
      <c r="J2098" s="103">
        <v>1.578865664639846E-3</v>
      </c>
      <c r="K2098" s="103"/>
      <c r="L2098" s="103">
        <v>4.2599999999999999E-2</v>
      </c>
      <c r="O2098" s="100"/>
    </row>
    <row r="2099" spans="2:15" x14ac:dyDescent="0.2">
      <c r="B2099" s="1">
        <v>2084</v>
      </c>
      <c r="C2099" s="101">
        <f t="shared" ca="1" si="128"/>
        <v>0.47947525254317047</v>
      </c>
      <c r="D2099" s="101">
        <f t="shared" ca="1" si="129"/>
        <v>0.69668558446986717</v>
      </c>
      <c r="E2099" s="101">
        <f t="shared" ca="1" si="130"/>
        <v>0</v>
      </c>
      <c r="F2099" s="21">
        <f t="shared" ca="1" si="131"/>
        <v>0</v>
      </c>
      <c r="H2099" s="21">
        <v>2084</v>
      </c>
      <c r="I2099" s="102">
        <v>0.6677516210608444</v>
      </c>
      <c r="J2099" s="103">
        <v>1.2225923256248146E-3</v>
      </c>
      <c r="K2099" s="103"/>
      <c r="L2099" s="103">
        <v>4.1399999999999999E-2</v>
      </c>
      <c r="O2099" s="100"/>
    </row>
    <row r="2100" spans="2:15" x14ac:dyDescent="0.2">
      <c r="B2100" s="1">
        <v>2085</v>
      </c>
      <c r="C2100" s="101">
        <f t="shared" ca="1" si="128"/>
        <v>0.89947712896310228</v>
      </c>
      <c r="D2100" s="101">
        <f t="shared" ca="1" si="129"/>
        <v>0.7261551901931369</v>
      </c>
      <c r="E2100" s="101">
        <f t="shared" ca="1" si="130"/>
        <v>0</v>
      </c>
      <c r="F2100" s="21">
        <f t="shared" ca="1" si="131"/>
        <v>0</v>
      </c>
      <c r="H2100" s="21">
        <v>2085</v>
      </c>
      <c r="I2100" s="102">
        <v>0.6679086303448134</v>
      </c>
      <c r="J2100" s="103">
        <v>1.4601083170107804E-3</v>
      </c>
      <c r="K2100" s="103"/>
      <c r="L2100" s="103">
        <v>4.2999999999999997E-2</v>
      </c>
      <c r="O2100" s="100"/>
    </row>
    <row r="2101" spans="2:15" x14ac:dyDescent="0.2">
      <c r="B2101" s="1">
        <v>2086</v>
      </c>
      <c r="C2101" s="101">
        <f t="shared" ca="1" si="128"/>
        <v>-0.54494271135727579</v>
      </c>
      <c r="D2101" s="101">
        <f t="shared" ca="1" si="129"/>
        <v>0.62972566021277598</v>
      </c>
      <c r="E2101" s="101">
        <f t="shared" ca="1" si="130"/>
        <v>0</v>
      </c>
      <c r="F2101" s="21">
        <f t="shared" ca="1" si="131"/>
        <v>0</v>
      </c>
      <c r="H2101" s="21">
        <v>2086</v>
      </c>
      <c r="I2101" s="102">
        <v>0.66772463002017834</v>
      </c>
      <c r="J2101" s="103">
        <v>1.3726621269185156E-3</v>
      </c>
      <c r="K2101" s="103"/>
      <c r="L2101" s="103">
        <v>4.5600000000000002E-2</v>
      </c>
      <c r="O2101" s="100"/>
    </row>
    <row r="2102" spans="2:15" x14ac:dyDescent="0.2">
      <c r="B2102" s="1">
        <v>2087</v>
      </c>
      <c r="C2102" s="101">
        <f t="shared" ca="1" si="128"/>
        <v>-0.72304698868110207</v>
      </c>
      <c r="D2102" s="101">
        <f t="shared" ca="1" si="129"/>
        <v>0.61875897728789975</v>
      </c>
      <c r="E2102" s="101">
        <f t="shared" ca="1" si="130"/>
        <v>0</v>
      </c>
      <c r="F2102" s="21">
        <f t="shared" ca="1" si="131"/>
        <v>0</v>
      </c>
      <c r="H2102" s="21">
        <v>2087</v>
      </c>
      <c r="I2102" s="102">
        <v>0.66785730804030552</v>
      </c>
      <c r="J2102" s="103">
        <v>1.4776151060045708E-3</v>
      </c>
      <c r="K2102" s="103"/>
      <c r="L2102" s="103">
        <v>4.2799999999999998E-2</v>
      </c>
      <c r="O2102" s="100"/>
    </row>
    <row r="2103" spans="2:15" x14ac:dyDescent="0.2">
      <c r="B2103" s="1">
        <v>2088</v>
      </c>
      <c r="C2103" s="101">
        <f t="shared" ca="1" si="128"/>
        <v>-1.0335855292354887</v>
      </c>
      <c r="D2103" s="101">
        <f t="shared" ca="1" si="129"/>
        <v>0.60009254751750085</v>
      </c>
      <c r="E2103" s="101">
        <f t="shared" ca="1" si="130"/>
        <v>0</v>
      </c>
      <c r="F2103" s="21">
        <f t="shared" ca="1" si="131"/>
        <v>0</v>
      </c>
      <c r="H2103" s="21">
        <v>2088</v>
      </c>
      <c r="I2103" s="102">
        <v>0.66776113254552205</v>
      </c>
      <c r="J2103" s="103">
        <v>1.2692894793236936E-3</v>
      </c>
      <c r="K2103" s="103"/>
      <c r="L2103" s="103">
        <v>4.3400000000000001E-2</v>
      </c>
      <c r="O2103" s="100"/>
    </row>
    <row r="2104" spans="2:15" x14ac:dyDescent="0.2">
      <c r="B2104" s="1">
        <v>2089</v>
      </c>
      <c r="C2104" s="101">
        <f t="shared" ca="1" si="128"/>
        <v>-0.14361707315245978</v>
      </c>
      <c r="D2104" s="101">
        <f t="shared" ca="1" si="129"/>
        <v>0.65515480916688318</v>
      </c>
      <c r="E2104" s="101">
        <f t="shared" ca="1" si="130"/>
        <v>0</v>
      </c>
      <c r="F2104" s="21">
        <f t="shared" ca="1" si="131"/>
        <v>0</v>
      </c>
      <c r="H2104" s="21">
        <v>2089</v>
      </c>
      <c r="I2104" s="102">
        <v>0.66801620376037985</v>
      </c>
      <c r="J2104" s="103">
        <v>1.6351703574986711E-3</v>
      </c>
      <c r="K2104" s="103"/>
      <c r="L2104" s="103">
        <v>4.6399999999999997E-2</v>
      </c>
      <c r="O2104" s="100"/>
    </row>
    <row r="2105" spans="2:15" x14ac:dyDescent="0.2">
      <c r="B2105" s="1">
        <v>2090</v>
      </c>
      <c r="C2105" s="101">
        <f t="shared" ca="1" si="128"/>
        <v>1.1919675312421603</v>
      </c>
      <c r="D2105" s="101">
        <f t="shared" ca="1" si="129"/>
        <v>0.74741111883947919</v>
      </c>
      <c r="E2105" s="101">
        <f t="shared" ca="1" si="130"/>
        <v>0</v>
      </c>
      <c r="F2105" s="21">
        <f t="shared" ca="1" si="131"/>
        <v>0</v>
      </c>
      <c r="H2105" s="21">
        <v>2090</v>
      </c>
      <c r="I2105" s="102">
        <v>0.66772614510874306</v>
      </c>
      <c r="J2105" s="103">
        <v>1.3261703802852883E-3</v>
      </c>
      <c r="K2105" s="103"/>
      <c r="L2105" s="103">
        <v>4.0800000000000003E-2</v>
      </c>
      <c r="O2105" s="100"/>
    </row>
    <row r="2106" spans="2:15" x14ac:dyDescent="0.2">
      <c r="B2106" s="1">
        <v>2091</v>
      </c>
      <c r="C2106" s="101">
        <f t="shared" ca="1" si="128"/>
        <v>-1.7598471090174548</v>
      </c>
      <c r="D2106" s="101">
        <f t="shared" ca="1" si="129"/>
        <v>0.55860605000041363</v>
      </c>
      <c r="E2106" s="101">
        <f t="shared" ca="1" si="130"/>
        <v>0</v>
      </c>
      <c r="F2106" s="21">
        <f t="shared" ca="1" si="131"/>
        <v>0</v>
      </c>
      <c r="H2106" s="21">
        <v>2091</v>
      </c>
      <c r="I2106" s="102">
        <v>0.66766346055346038</v>
      </c>
      <c r="J2106" s="103">
        <v>1.3325478247940073E-3</v>
      </c>
      <c r="K2106" s="103"/>
      <c r="L2106" s="103">
        <v>4.2000000000000003E-2</v>
      </c>
      <c r="O2106" s="100"/>
    </row>
    <row r="2107" spans="2:15" x14ac:dyDescent="0.2">
      <c r="B2107" s="1">
        <v>2092</v>
      </c>
      <c r="C2107" s="101">
        <f t="shared" ca="1" si="128"/>
        <v>-1.0010811576226302</v>
      </c>
      <c r="D2107" s="101">
        <f t="shared" ca="1" si="129"/>
        <v>0.60201969666913457</v>
      </c>
      <c r="E2107" s="101">
        <f t="shared" ca="1" si="130"/>
        <v>0</v>
      </c>
      <c r="F2107" s="21">
        <f t="shared" ca="1" si="131"/>
        <v>0</v>
      </c>
      <c r="H2107" s="21">
        <v>2092</v>
      </c>
      <c r="I2107" s="102">
        <v>0.66777865292763006</v>
      </c>
      <c r="J2107" s="103">
        <v>1.3470529308109557E-3</v>
      </c>
      <c r="K2107" s="103"/>
      <c r="L2107" s="103">
        <v>4.4400000000000002E-2</v>
      </c>
      <c r="O2107" s="100"/>
    </row>
    <row r="2108" spans="2:15" x14ac:dyDescent="0.2">
      <c r="B2108" s="1">
        <v>2093</v>
      </c>
      <c r="C2108" s="101">
        <f t="shared" ca="1" si="128"/>
        <v>-3.4290093892405359E-3</v>
      </c>
      <c r="D2108" s="101">
        <f t="shared" ca="1" si="129"/>
        <v>0.66427744034130143</v>
      </c>
      <c r="E2108" s="101">
        <f t="shared" ca="1" si="130"/>
        <v>0</v>
      </c>
      <c r="F2108" s="21">
        <f t="shared" ca="1" si="131"/>
        <v>0</v>
      </c>
      <c r="H2108" s="21">
        <v>2093</v>
      </c>
      <c r="I2108" s="102">
        <v>0.6677065970506687</v>
      </c>
      <c r="J2108" s="103">
        <v>1.2233304881899229E-3</v>
      </c>
      <c r="K2108" s="103"/>
      <c r="L2108" s="103">
        <v>3.78E-2</v>
      </c>
      <c r="O2108" s="100"/>
    </row>
    <row r="2109" spans="2:15" x14ac:dyDescent="0.2">
      <c r="B2109" s="1">
        <v>2094</v>
      </c>
      <c r="C2109" s="101">
        <f t="shared" ca="1" si="128"/>
        <v>3.7612175045152421E-2</v>
      </c>
      <c r="D2109" s="101">
        <f t="shared" ca="1" si="129"/>
        <v>0.66697212330176925</v>
      </c>
      <c r="E2109" s="101">
        <f t="shared" ca="1" si="130"/>
        <v>0</v>
      </c>
      <c r="F2109" s="21">
        <f t="shared" ca="1" si="131"/>
        <v>0</v>
      </c>
      <c r="H2109" s="21">
        <v>2094</v>
      </c>
      <c r="I2109" s="102">
        <v>0.66786735885205994</v>
      </c>
      <c r="J2109" s="103">
        <v>1.5022046867757398E-3</v>
      </c>
      <c r="K2109" s="103"/>
      <c r="L2109" s="103">
        <v>4.36E-2</v>
      </c>
      <c r="O2109" s="100"/>
    </row>
    <row r="2110" spans="2:15" x14ac:dyDescent="0.2">
      <c r="B2110" s="1">
        <v>2095</v>
      </c>
      <c r="C2110" s="101">
        <f t="shared" ca="1" si="128"/>
        <v>1.8183487817171551</v>
      </c>
      <c r="D2110" s="101">
        <f t="shared" ca="1" si="129"/>
        <v>0.79504798443640912</v>
      </c>
      <c r="E2110" s="101">
        <f t="shared" ca="1" si="130"/>
        <v>6.8479844364091047E-3</v>
      </c>
      <c r="F2110" s="21">
        <f t="shared" ca="1" si="131"/>
        <v>1</v>
      </c>
      <c r="H2110" s="21">
        <v>2095</v>
      </c>
      <c r="I2110" s="102">
        <v>0.66757443549471673</v>
      </c>
      <c r="J2110" s="103">
        <v>1.193318106291129E-3</v>
      </c>
      <c r="K2110" s="103"/>
      <c r="L2110" s="103">
        <v>3.6799999999999999E-2</v>
      </c>
      <c r="O2110" s="100"/>
    </row>
    <row r="2111" spans="2:15" x14ac:dyDescent="0.2">
      <c r="B2111" s="1">
        <v>2096</v>
      </c>
      <c r="C2111" s="101">
        <f t="shared" ca="1" si="128"/>
        <v>1.0744764165703906</v>
      </c>
      <c r="D2111" s="101">
        <f t="shared" ca="1" si="129"/>
        <v>0.73879901443444218</v>
      </c>
      <c r="E2111" s="101">
        <f t="shared" ca="1" si="130"/>
        <v>0</v>
      </c>
      <c r="F2111" s="21">
        <f t="shared" ca="1" si="131"/>
        <v>0</v>
      </c>
      <c r="H2111" s="21">
        <v>2096</v>
      </c>
      <c r="I2111" s="102">
        <v>0.66767893805881362</v>
      </c>
      <c r="J2111" s="103">
        <v>1.2896960173919094E-3</v>
      </c>
      <c r="K2111" s="103"/>
      <c r="L2111" s="103">
        <v>4.1000000000000002E-2</v>
      </c>
      <c r="O2111" s="100"/>
    </row>
    <row r="2112" spans="2:15" x14ac:dyDescent="0.2">
      <c r="B2112" s="1">
        <v>2097</v>
      </c>
      <c r="C2112" s="101">
        <f t="shared" ca="1" si="128"/>
        <v>-0.74997793195474538</v>
      </c>
      <c r="D2112" s="101">
        <f t="shared" ca="1" si="129"/>
        <v>0.61711742298459038</v>
      </c>
      <c r="E2112" s="101">
        <f t="shared" ca="1" si="130"/>
        <v>0</v>
      </c>
      <c r="F2112" s="21">
        <f t="shared" ca="1" si="131"/>
        <v>0</v>
      </c>
      <c r="H2112" s="21">
        <v>2097</v>
      </c>
      <c r="I2112" s="102">
        <v>0.66763947904517396</v>
      </c>
      <c r="J2112" s="103">
        <v>1.1380509934675262E-3</v>
      </c>
      <c r="K2112" s="103"/>
      <c r="L2112" s="103">
        <v>3.7400000000000003E-2</v>
      </c>
      <c r="O2112" s="100"/>
    </row>
    <row r="2113" spans="2:15" x14ac:dyDescent="0.2">
      <c r="B2113" s="1">
        <v>2098</v>
      </c>
      <c r="C2113" s="101">
        <f t="shared" ca="1" si="128"/>
        <v>-0.39761009755755961</v>
      </c>
      <c r="D2113" s="101">
        <f t="shared" ca="1" si="129"/>
        <v>0.63894434203636474</v>
      </c>
      <c r="E2113" s="101">
        <f t="shared" ca="1" si="130"/>
        <v>0</v>
      </c>
      <c r="F2113" s="21">
        <f t="shared" ca="1" si="131"/>
        <v>0</v>
      </c>
      <c r="H2113" s="21">
        <v>2098</v>
      </c>
      <c r="I2113" s="102">
        <v>0.66766837780687394</v>
      </c>
      <c r="J2113" s="103">
        <v>1.2605794652183647E-3</v>
      </c>
      <c r="K2113" s="103"/>
      <c r="L2113" s="103">
        <v>3.78E-2</v>
      </c>
      <c r="O2113" s="100"/>
    </row>
    <row r="2114" spans="2:15" x14ac:dyDescent="0.2">
      <c r="B2114" s="1">
        <v>2099</v>
      </c>
      <c r="C2114" s="101">
        <f t="shared" ca="1" si="128"/>
        <v>1.2676157691996199</v>
      </c>
      <c r="D2114" s="101">
        <f t="shared" ca="1" si="129"/>
        <v>0.7530091929185696</v>
      </c>
      <c r="E2114" s="101">
        <f t="shared" ca="1" si="130"/>
        <v>0</v>
      </c>
      <c r="F2114" s="21">
        <f t="shared" ca="1" si="131"/>
        <v>0</v>
      </c>
      <c r="H2114" s="21">
        <v>2099</v>
      </c>
      <c r="I2114" s="102">
        <v>0.66778394577609801</v>
      </c>
      <c r="J2114" s="103">
        <v>1.4206662813944051E-3</v>
      </c>
      <c r="K2114" s="103"/>
      <c r="L2114" s="103">
        <v>3.8600000000000002E-2</v>
      </c>
      <c r="O2114" s="100"/>
    </row>
    <row r="2115" spans="2:15" x14ac:dyDescent="0.2">
      <c r="B2115" s="1">
        <v>2100</v>
      </c>
      <c r="C2115" s="101">
        <f t="shared" ca="1" si="128"/>
        <v>1.0597156198708673</v>
      </c>
      <c r="D2115" s="101">
        <f t="shared" ca="1" si="129"/>
        <v>0.73772408767740139</v>
      </c>
      <c r="E2115" s="101">
        <f t="shared" ca="1" si="130"/>
        <v>0</v>
      </c>
      <c r="F2115" s="21">
        <f t="shared" ca="1" si="131"/>
        <v>0</v>
      </c>
      <c r="H2115" s="21">
        <v>2100</v>
      </c>
      <c r="I2115" s="102">
        <v>0.66789124158701607</v>
      </c>
      <c r="J2115" s="103">
        <v>1.5816534336284766E-3</v>
      </c>
      <c r="K2115" s="103"/>
      <c r="L2115" s="103">
        <v>5.0200000000000002E-2</v>
      </c>
      <c r="O2115" s="100"/>
    </row>
    <row r="2116" spans="2:15" x14ac:dyDescent="0.2">
      <c r="B2116" s="1">
        <v>2101</v>
      </c>
      <c r="C2116" s="101">
        <f t="shared" ca="1" si="128"/>
        <v>0.66588777282235367</v>
      </c>
      <c r="D2116" s="101">
        <f t="shared" ca="1" si="129"/>
        <v>0.70961472989335928</v>
      </c>
      <c r="E2116" s="101">
        <f t="shared" ca="1" si="130"/>
        <v>0</v>
      </c>
      <c r="F2116" s="21">
        <f t="shared" ca="1" si="131"/>
        <v>0</v>
      </c>
      <c r="H2116" s="21">
        <v>2101</v>
      </c>
      <c r="I2116" s="102">
        <v>0.66778701187274336</v>
      </c>
      <c r="J2116" s="103">
        <v>1.4174480667799216E-3</v>
      </c>
      <c r="K2116" s="103"/>
      <c r="L2116" s="103">
        <v>4.1599999999999998E-2</v>
      </c>
      <c r="O2116" s="100"/>
    </row>
    <row r="2117" spans="2:15" x14ac:dyDescent="0.2">
      <c r="B2117" s="1">
        <v>2102</v>
      </c>
      <c r="C2117" s="101">
        <f t="shared" ca="1" si="128"/>
        <v>0.86792862869535259</v>
      </c>
      <c r="D2117" s="101">
        <f t="shared" ca="1" si="129"/>
        <v>0.72389891805003792</v>
      </c>
      <c r="E2117" s="101">
        <f t="shared" ca="1" si="130"/>
        <v>0</v>
      </c>
      <c r="F2117" s="21">
        <f t="shared" ca="1" si="131"/>
        <v>0</v>
      </c>
      <c r="H2117" s="21">
        <v>2102</v>
      </c>
      <c r="I2117" s="102">
        <v>0.66766658769407006</v>
      </c>
      <c r="J2117" s="103">
        <v>1.2423068109570241E-3</v>
      </c>
      <c r="K2117" s="103"/>
      <c r="L2117" s="103">
        <v>0.04</v>
      </c>
      <c r="O2117" s="100"/>
    </row>
    <row r="2118" spans="2:15" x14ac:dyDescent="0.2">
      <c r="B2118" s="1">
        <v>2103</v>
      </c>
      <c r="C2118" s="101">
        <f t="shared" ca="1" si="128"/>
        <v>-0.68224274759270642</v>
      </c>
      <c r="D2118" s="101">
        <f t="shared" ca="1" si="129"/>
        <v>0.62125449137589694</v>
      </c>
      <c r="E2118" s="101">
        <f t="shared" ca="1" si="130"/>
        <v>0</v>
      </c>
      <c r="F2118" s="21">
        <f t="shared" ca="1" si="131"/>
        <v>0</v>
      </c>
      <c r="H2118" s="21">
        <v>2103</v>
      </c>
      <c r="I2118" s="102">
        <v>0.66775015005567051</v>
      </c>
      <c r="J2118" s="103">
        <v>1.326176110555155E-3</v>
      </c>
      <c r="K2118" s="103"/>
      <c r="L2118" s="103">
        <v>4.1000000000000002E-2</v>
      </c>
      <c r="O2118" s="100"/>
    </row>
    <row r="2119" spans="2:15" x14ac:dyDescent="0.2">
      <c r="B2119" s="1">
        <v>2104</v>
      </c>
      <c r="C2119" s="101">
        <f t="shared" ca="1" si="128"/>
        <v>-0.13677683268870855</v>
      </c>
      <c r="D2119" s="101">
        <f t="shared" ca="1" si="129"/>
        <v>0.65559701119220515</v>
      </c>
      <c r="E2119" s="101">
        <f t="shared" ca="1" si="130"/>
        <v>0</v>
      </c>
      <c r="F2119" s="21">
        <f t="shared" ca="1" si="131"/>
        <v>0</v>
      </c>
      <c r="H2119" s="21">
        <v>2104</v>
      </c>
      <c r="I2119" s="102">
        <v>0.66773065910466345</v>
      </c>
      <c r="J2119" s="103">
        <v>1.2901874441502957E-3</v>
      </c>
      <c r="K2119" s="103"/>
      <c r="L2119" s="103">
        <v>3.9399999999999998E-2</v>
      </c>
      <c r="O2119" s="100"/>
    </row>
    <row r="2120" spans="2:15" x14ac:dyDescent="0.2">
      <c r="B2120" s="1">
        <v>2105</v>
      </c>
      <c r="C2120" s="101">
        <f t="shared" ca="1" si="128"/>
        <v>-0.69624224317758587</v>
      </c>
      <c r="D2120" s="101">
        <f t="shared" ca="1" si="129"/>
        <v>0.62039717523631455</v>
      </c>
      <c r="E2120" s="101">
        <f t="shared" ca="1" si="130"/>
        <v>0</v>
      </c>
      <c r="F2120" s="21">
        <f t="shared" ca="1" si="131"/>
        <v>0</v>
      </c>
      <c r="H2120" s="21">
        <v>2105</v>
      </c>
      <c r="I2120" s="102">
        <v>0.66795643183570019</v>
      </c>
      <c r="J2120" s="103">
        <v>1.6447499588519462E-3</v>
      </c>
      <c r="K2120" s="103"/>
      <c r="L2120" s="103">
        <v>4.9599999999999998E-2</v>
      </c>
      <c r="O2120" s="100"/>
    </row>
    <row r="2121" spans="2:15" x14ac:dyDescent="0.2">
      <c r="B2121" s="1">
        <v>2106</v>
      </c>
      <c r="C2121" s="101">
        <f t="shared" ca="1" si="128"/>
        <v>8.113186193240382E-2</v>
      </c>
      <c r="D2121" s="101">
        <f t="shared" ca="1" si="129"/>
        <v>0.66984148209449046</v>
      </c>
      <c r="E2121" s="101">
        <f t="shared" ca="1" si="130"/>
        <v>0</v>
      </c>
      <c r="F2121" s="21">
        <f t="shared" ca="1" si="131"/>
        <v>0</v>
      </c>
      <c r="H2121" s="21">
        <v>2106</v>
      </c>
      <c r="I2121" s="102">
        <v>0.66774981288407775</v>
      </c>
      <c r="J2121" s="103">
        <v>1.3793024891712259E-3</v>
      </c>
      <c r="K2121" s="103"/>
      <c r="L2121" s="103">
        <v>4.0800000000000003E-2</v>
      </c>
      <c r="O2121" s="100"/>
    </row>
    <row r="2122" spans="2:15" x14ac:dyDescent="0.2">
      <c r="B2122" s="1">
        <v>2107</v>
      </c>
      <c r="C2122" s="101">
        <f t="shared" ca="1" si="128"/>
        <v>-1.9041175118779561</v>
      </c>
      <c r="D2122" s="101">
        <f t="shared" ca="1" si="129"/>
        <v>0.55071281164802843</v>
      </c>
      <c r="E2122" s="101">
        <f t="shared" ca="1" si="130"/>
        <v>0</v>
      </c>
      <c r="F2122" s="21">
        <f t="shared" ca="1" si="131"/>
        <v>0</v>
      </c>
      <c r="H2122" s="21">
        <v>2107</v>
      </c>
      <c r="I2122" s="102">
        <v>0.66776221422765791</v>
      </c>
      <c r="J2122" s="103">
        <v>1.484222237533416E-3</v>
      </c>
      <c r="K2122" s="103"/>
      <c r="L2122" s="103">
        <v>4.4200000000000003E-2</v>
      </c>
      <c r="O2122" s="100"/>
    </row>
    <row r="2123" spans="2:15" x14ac:dyDescent="0.2">
      <c r="B2123" s="1">
        <v>2108</v>
      </c>
      <c r="C2123" s="101">
        <f t="shared" ca="1" si="128"/>
        <v>1.6333517113592049</v>
      </c>
      <c r="D2123" s="101">
        <f t="shared" ca="1" si="129"/>
        <v>0.78067124048271441</v>
      </c>
      <c r="E2123" s="101">
        <f t="shared" ca="1" si="130"/>
        <v>0</v>
      </c>
      <c r="F2123" s="21">
        <f t="shared" ca="1" si="131"/>
        <v>0</v>
      </c>
      <c r="H2123" s="21">
        <v>2108</v>
      </c>
      <c r="I2123" s="102">
        <v>0.66767822807395982</v>
      </c>
      <c r="J2123" s="103">
        <v>1.2412558110248535E-3</v>
      </c>
      <c r="K2123" s="103"/>
      <c r="L2123" s="103">
        <v>3.9199999999999999E-2</v>
      </c>
      <c r="O2123" s="100"/>
    </row>
    <row r="2124" spans="2:15" x14ac:dyDescent="0.2">
      <c r="B2124" s="1">
        <v>2109</v>
      </c>
      <c r="C2124" s="101">
        <f t="shared" ca="1" si="128"/>
        <v>-0.27868835833357336</v>
      </c>
      <c r="D2124" s="101">
        <f t="shared" ca="1" si="129"/>
        <v>0.64648367525811679</v>
      </c>
      <c r="E2124" s="101">
        <f t="shared" ca="1" si="130"/>
        <v>0</v>
      </c>
      <c r="F2124" s="21">
        <f t="shared" ca="1" si="131"/>
        <v>0</v>
      </c>
      <c r="H2124" s="21">
        <v>2109</v>
      </c>
      <c r="I2124" s="102">
        <v>0.66773514920377031</v>
      </c>
      <c r="J2124" s="103">
        <v>1.4001344323532115E-3</v>
      </c>
      <c r="K2124" s="103"/>
      <c r="L2124" s="103">
        <v>0.04</v>
      </c>
      <c r="O2124" s="100"/>
    </row>
    <row r="2125" spans="2:15" x14ac:dyDescent="0.2">
      <c r="B2125" s="1">
        <v>2110</v>
      </c>
      <c r="C2125" s="101">
        <f t="shared" ca="1" si="128"/>
        <v>-1.347439386150824</v>
      </c>
      <c r="D2125" s="101">
        <f t="shared" ca="1" si="129"/>
        <v>0.58179894262595022</v>
      </c>
      <c r="E2125" s="101">
        <f t="shared" ca="1" si="130"/>
        <v>0</v>
      </c>
      <c r="F2125" s="21">
        <f t="shared" ca="1" si="131"/>
        <v>0</v>
      </c>
      <c r="H2125" s="21">
        <v>2110</v>
      </c>
      <c r="I2125" s="102">
        <v>0.66779146632075792</v>
      </c>
      <c r="J2125" s="103">
        <v>1.4610707502907409E-3</v>
      </c>
      <c r="K2125" s="103"/>
      <c r="L2125" s="103">
        <v>4.2799999999999998E-2</v>
      </c>
      <c r="O2125" s="100"/>
    </row>
    <row r="2126" spans="2:15" x14ac:dyDescent="0.2">
      <c r="B2126" s="1">
        <v>2111</v>
      </c>
      <c r="C2126" s="101">
        <f t="shared" ca="1" si="128"/>
        <v>2.2027262847447</v>
      </c>
      <c r="D2126" s="101">
        <f t="shared" ca="1" si="129"/>
        <v>0.82577139780236453</v>
      </c>
      <c r="E2126" s="101">
        <f t="shared" ca="1" si="130"/>
        <v>3.7571397802364515E-2</v>
      </c>
      <c r="F2126" s="21">
        <f t="shared" ca="1" si="131"/>
        <v>1</v>
      </c>
      <c r="H2126" s="21">
        <v>2111</v>
      </c>
      <c r="I2126" s="102">
        <v>0.66770436904362096</v>
      </c>
      <c r="J2126" s="103">
        <v>1.3546377967072465E-3</v>
      </c>
      <c r="K2126" s="103"/>
      <c r="L2126" s="103">
        <v>3.6999999999999998E-2</v>
      </c>
      <c r="O2126" s="100"/>
    </row>
    <row r="2127" spans="2:15" x14ac:dyDescent="0.2">
      <c r="B2127" s="1">
        <v>2112</v>
      </c>
      <c r="C2127" s="101">
        <f t="shared" ca="1" si="128"/>
        <v>-0.39307723221471941</v>
      </c>
      <c r="D2127" s="101">
        <f t="shared" ca="1" si="129"/>
        <v>0.6392300957237872</v>
      </c>
      <c r="E2127" s="101">
        <f t="shared" ca="1" si="130"/>
        <v>0</v>
      </c>
      <c r="F2127" s="21">
        <f t="shared" ca="1" si="131"/>
        <v>0</v>
      </c>
      <c r="H2127" s="21">
        <v>2112</v>
      </c>
      <c r="I2127" s="102">
        <v>0.66769073166579618</v>
      </c>
      <c r="J2127" s="103">
        <v>1.2269319917980006E-3</v>
      </c>
      <c r="K2127" s="103"/>
      <c r="L2127" s="103">
        <v>3.9199999999999999E-2</v>
      </c>
      <c r="O2127" s="100"/>
    </row>
    <row r="2128" spans="2:15" x14ac:dyDescent="0.2">
      <c r="B2128" s="1">
        <v>2113</v>
      </c>
      <c r="C2128" s="101">
        <f t="shared" ref="C2128:C2191" ca="1" si="132">_xlfn.NORM.S.INV(RAND())</f>
        <v>1.6401621843119918</v>
      </c>
      <c r="D2128" s="101">
        <f t="shared" ref="D2128:D2191" ca="1" si="133">S0*EXP((μ-0.5*σ*σ)*T+σ*SQRT(T)*$C2128)</f>
        <v>0.78119586700216548</v>
      </c>
      <c r="E2128" s="101">
        <f t="shared" ref="E2128:E2191" ca="1" si="134">MAX(0,CP*(D2128-K))</f>
        <v>0</v>
      </c>
      <c r="F2128" s="21">
        <f t="shared" ref="F2128:F2191" ca="1" si="135">(CP*(D2128-K)&gt;0)*1</f>
        <v>0</v>
      </c>
      <c r="H2128" s="21">
        <v>2113</v>
      </c>
      <c r="I2128" s="102">
        <v>0.66774378945619139</v>
      </c>
      <c r="J2128" s="103">
        <v>1.3268446595830377E-3</v>
      </c>
      <c r="K2128" s="103"/>
      <c r="L2128" s="103">
        <v>4.2000000000000003E-2</v>
      </c>
      <c r="O2128" s="100"/>
    </row>
    <row r="2129" spans="2:15" x14ac:dyDescent="0.2">
      <c r="B2129" s="1">
        <v>2114</v>
      </c>
      <c r="C2129" s="101">
        <f t="shared" ca="1" si="132"/>
        <v>-0.6228702563332732</v>
      </c>
      <c r="D2129" s="101">
        <f t="shared" ca="1" si="133"/>
        <v>0.62490359398548934</v>
      </c>
      <c r="E2129" s="101">
        <f t="shared" ca="1" si="134"/>
        <v>0</v>
      </c>
      <c r="F2129" s="21">
        <f t="shared" ca="1" si="135"/>
        <v>0</v>
      </c>
      <c r="H2129" s="21">
        <v>2114</v>
      </c>
      <c r="I2129" s="102">
        <v>0.66776143523891573</v>
      </c>
      <c r="J2129" s="103">
        <v>1.3912403975999362E-3</v>
      </c>
      <c r="K2129" s="103"/>
      <c r="L2129" s="103">
        <v>4.4600000000000001E-2</v>
      </c>
      <c r="O2129" s="100"/>
    </row>
    <row r="2130" spans="2:15" x14ac:dyDescent="0.2">
      <c r="B2130" s="1">
        <v>2115</v>
      </c>
      <c r="C2130" s="101">
        <f t="shared" ca="1" si="132"/>
        <v>0.67816462097317765</v>
      </c>
      <c r="D2130" s="101">
        <f t="shared" ca="1" si="133"/>
        <v>0.71047459712624672</v>
      </c>
      <c r="E2130" s="101">
        <f t="shared" ca="1" si="134"/>
        <v>0</v>
      </c>
      <c r="F2130" s="21">
        <f t="shared" ca="1" si="135"/>
        <v>0</v>
      </c>
      <c r="H2130" s="21">
        <v>2115</v>
      </c>
      <c r="I2130" s="102">
        <v>0.66785590839045672</v>
      </c>
      <c r="J2130" s="103">
        <v>1.5165478326455522E-3</v>
      </c>
      <c r="K2130" s="103"/>
      <c r="L2130" s="103">
        <v>4.4200000000000003E-2</v>
      </c>
      <c r="O2130" s="100"/>
    </row>
    <row r="2131" spans="2:15" x14ac:dyDescent="0.2">
      <c r="B2131" s="1">
        <v>2116</v>
      </c>
      <c r="C2131" s="101">
        <f t="shared" ca="1" si="132"/>
        <v>-1.7272097623429075</v>
      </c>
      <c r="D2131" s="101">
        <f t="shared" ca="1" si="133"/>
        <v>0.56040731931105725</v>
      </c>
      <c r="E2131" s="101">
        <f t="shared" ca="1" si="134"/>
        <v>0</v>
      </c>
      <c r="F2131" s="21">
        <f t="shared" ca="1" si="135"/>
        <v>0</v>
      </c>
      <c r="H2131" s="21">
        <v>2116</v>
      </c>
      <c r="I2131" s="102">
        <v>0.66761850723614236</v>
      </c>
      <c r="J2131" s="103">
        <v>1.1535836409561934E-3</v>
      </c>
      <c r="K2131" s="103"/>
      <c r="L2131" s="103">
        <v>3.9199999999999999E-2</v>
      </c>
      <c r="O2131" s="100"/>
    </row>
    <row r="2132" spans="2:15" x14ac:dyDescent="0.2">
      <c r="B2132" s="1">
        <v>2117</v>
      </c>
      <c r="C2132" s="101">
        <f t="shared" ca="1" si="132"/>
        <v>-0.49059857233876514</v>
      </c>
      <c r="D2132" s="101">
        <f t="shared" ca="1" si="133"/>
        <v>0.63311041770566479</v>
      </c>
      <c r="E2132" s="101">
        <f t="shared" ca="1" si="134"/>
        <v>0</v>
      </c>
      <c r="F2132" s="21">
        <f t="shared" ca="1" si="135"/>
        <v>0</v>
      </c>
      <c r="H2132" s="21">
        <v>2117</v>
      </c>
      <c r="I2132" s="102">
        <v>0.66784036699283711</v>
      </c>
      <c r="J2132" s="103">
        <v>1.3688103143291049E-3</v>
      </c>
      <c r="K2132" s="103"/>
      <c r="L2132" s="103">
        <v>4.3799999999999999E-2</v>
      </c>
      <c r="O2132" s="100"/>
    </row>
    <row r="2133" spans="2:15" x14ac:dyDescent="0.2">
      <c r="B2133" s="1">
        <v>2118</v>
      </c>
      <c r="C2133" s="101">
        <f t="shared" ca="1" si="132"/>
        <v>0.11877728493197301</v>
      </c>
      <c r="D2133" s="101">
        <f t="shared" ca="1" si="133"/>
        <v>0.67233349176940649</v>
      </c>
      <c r="E2133" s="101">
        <f t="shared" ca="1" si="134"/>
        <v>0</v>
      </c>
      <c r="F2133" s="21">
        <f t="shared" ca="1" si="135"/>
        <v>0</v>
      </c>
      <c r="H2133" s="21">
        <v>2118</v>
      </c>
      <c r="I2133" s="102">
        <v>0.66784154203218127</v>
      </c>
      <c r="J2133" s="103">
        <v>1.3998010497439555E-3</v>
      </c>
      <c r="K2133" s="103"/>
      <c r="L2133" s="103">
        <v>4.5600000000000002E-2</v>
      </c>
      <c r="O2133" s="100"/>
    </row>
    <row r="2134" spans="2:15" x14ac:dyDescent="0.2">
      <c r="B2134" s="1">
        <v>2119</v>
      </c>
      <c r="C2134" s="101">
        <f t="shared" ca="1" si="132"/>
        <v>0.97470140842763198</v>
      </c>
      <c r="D2134" s="101">
        <f t="shared" ca="1" si="133"/>
        <v>0.73156346386994542</v>
      </c>
      <c r="E2134" s="101">
        <f t="shared" ca="1" si="134"/>
        <v>0</v>
      </c>
      <c r="F2134" s="21">
        <f t="shared" ca="1" si="135"/>
        <v>0</v>
      </c>
      <c r="H2134" s="21">
        <v>2119</v>
      </c>
      <c r="I2134" s="102">
        <v>0.66760157534817521</v>
      </c>
      <c r="J2134" s="103">
        <v>1.3772579227931147E-3</v>
      </c>
      <c r="K2134" s="103"/>
      <c r="L2134" s="103">
        <v>3.9800000000000002E-2</v>
      </c>
      <c r="O2134" s="100"/>
    </row>
    <row r="2135" spans="2:15" x14ac:dyDescent="0.2">
      <c r="B2135" s="1">
        <v>2120</v>
      </c>
      <c r="C2135" s="101">
        <f t="shared" ca="1" si="132"/>
        <v>0.56426245952249954</v>
      </c>
      <c r="D2135" s="101">
        <f t="shared" ca="1" si="133"/>
        <v>0.70253676416390054</v>
      </c>
      <c r="E2135" s="101">
        <f t="shared" ca="1" si="134"/>
        <v>0</v>
      </c>
      <c r="F2135" s="21">
        <f t="shared" ca="1" si="135"/>
        <v>0</v>
      </c>
      <c r="H2135" s="21">
        <v>2120</v>
      </c>
      <c r="I2135" s="102">
        <v>0.66786007242697243</v>
      </c>
      <c r="J2135" s="103">
        <v>1.5110508090457723E-3</v>
      </c>
      <c r="K2135" s="103"/>
      <c r="L2135" s="103">
        <v>4.4999999999999998E-2</v>
      </c>
      <c r="O2135" s="100"/>
    </row>
    <row r="2136" spans="2:15" x14ac:dyDescent="0.2">
      <c r="B2136" s="1">
        <v>2121</v>
      </c>
      <c r="C2136" s="101">
        <f t="shared" ca="1" si="132"/>
        <v>-0.19979886039862704</v>
      </c>
      <c r="D2136" s="101">
        <f t="shared" ca="1" si="133"/>
        <v>0.6515340841396835</v>
      </c>
      <c r="E2136" s="101">
        <f t="shared" ca="1" si="134"/>
        <v>0</v>
      </c>
      <c r="F2136" s="21">
        <f t="shared" ca="1" si="135"/>
        <v>0</v>
      </c>
      <c r="H2136" s="21">
        <v>2121</v>
      </c>
      <c r="I2136" s="102">
        <v>0.66783821221257345</v>
      </c>
      <c r="J2136" s="103">
        <v>1.4017381339320456E-3</v>
      </c>
      <c r="K2136" s="103"/>
      <c r="L2136" s="103">
        <v>4.7E-2</v>
      </c>
      <c r="O2136" s="100"/>
    </row>
    <row r="2137" spans="2:15" x14ac:dyDescent="0.2">
      <c r="B2137" s="1">
        <v>2122</v>
      </c>
      <c r="C2137" s="101">
        <f t="shared" ca="1" si="132"/>
        <v>0.71667086434427807</v>
      </c>
      <c r="D2137" s="101">
        <f t="shared" ca="1" si="133"/>
        <v>0.71317832923980473</v>
      </c>
      <c r="E2137" s="101">
        <f t="shared" ca="1" si="134"/>
        <v>0</v>
      </c>
      <c r="F2137" s="21">
        <f t="shared" ca="1" si="135"/>
        <v>0</v>
      </c>
      <c r="H2137" s="21">
        <v>2122</v>
      </c>
      <c r="I2137" s="102">
        <v>0.66767505962565288</v>
      </c>
      <c r="J2137" s="103">
        <v>1.328414888426818E-3</v>
      </c>
      <c r="K2137" s="103"/>
      <c r="L2137" s="103">
        <v>4.2000000000000003E-2</v>
      </c>
      <c r="O2137" s="100"/>
    </row>
    <row r="2138" spans="2:15" x14ac:dyDescent="0.2">
      <c r="B2138" s="1">
        <v>2123</v>
      </c>
      <c r="C2138" s="101">
        <f t="shared" ca="1" si="132"/>
        <v>1.0540596932331256</v>
      </c>
      <c r="D2138" s="101">
        <f t="shared" ca="1" si="133"/>
        <v>0.737312620223044</v>
      </c>
      <c r="E2138" s="101">
        <f t="shared" ca="1" si="134"/>
        <v>0</v>
      </c>
      <c r="F2138" s="21">
        <f t="shared" ca="1" si="135"/>
        <v>0</v>
      </c>
      <c r="H2138" s="21">
        <v>2123</v>
      </c>
      <c r="I2138" s="102">
        <v>0.66763897611232137</v>
      </c>
      <c r="J2138" s="103">
        <v>1.2536596483332242E-3</v>
      </c>
      <c r="K2138" s="103"/>
      <c r="L2138" s="103">
        <v>3.4200000000000001E-2</v>
      </c>
      <c r="O2138" s="100"/>
    </row>
    <row r="2139" spans="2:15" x14ac:dyDescent="0.2">
      <c r="B2139" s="1">
        <v>2124</v>
      </c>
      <c r="C2139" s="101">
        <f t="shared" ca="1" si="132"/>
        <v>1.6808252521952105</v>
      </c>
      <c r="D2139" s="101">
        <f t="shared" ca="1" si="133"/>
        <v>0.7843355822391892</v>
      </c>
      <c r="E2139" s="101">
        <f t="shared" ca="1" si="134"/>
        <v>0</v>
      </c>
      <c r="F2139" s="21">
        <f t="shared" ca="1" si="135"/>
        <v>0</v>
      </c>
      <c r="H2139" s="21">
        <v>2124</v>
      </c>
      <c r="I2139" s="102">
        <v>0.66770499474025624</v>
      </c>
      <c r="J2139" s="103">
        <v>1.3396660305779557E-3</v>
      </c>
      <c r="K2139" s="103"/>
      <c r="L2139" s="103">
        <v>0.04</v>
      </c>
      <c r="O2139" s="100"/>
    </row>
    <row r="2140" spans="2:15" x14ac:dyDescent="0.2">
      <c r="B2140" s="1">
        <v>2125</v>
      </c>
      <c r="C2140" s="101">
        <f t="shared" ca="1" si="132"/>
        <v>4.882913093966627E-3</v>
      </c>
      <c r="D2140" s="101">
        <f t="shared" ca="1" si="133"/>
        <v>0.66482230412196475</v>
      </c>
      <c r="E2140" s="101">
        <f t="shared" ca="1" si="134"/>
        <v>0</v>
      </c>
      <c r="F2140" s="21">
        <f t="shared" ca="1" si="135"/>
        <v>0</v>
      </c>
      <c r="H2140" s="21">
        <v>2125</v>
      </c>
      <c r="I2140" s="102">
        <v>0.66778279049727984</v>
      </c>
      <c r="J2140" s="103">
        <v>1.4599154959989515E-3</v>
      </c>
      <c r="K2140" s="103"/>
      <c r="L2140" s="103">
        <v>4.1399999999999999E-2</v>
      </c>
      <c r="O2140" s="100"/>
    </row>
    <row r="2141" spans="2:15" x14ac:dyDescent="0.2">
      <c r="B2141" s="1">
        <v>2126</v>
      </c>
      <c r="C2141" s="101">
        <f t="shared" ca="1" si="132"/>
        <v>-1.4793986176930648E-2</v>
      </c>
      <c r="D2141" s="101">
        <f t="shared" ca="1" si="133"/>
        <v>0.66353316514546046</v>
      </c>
      <c r="E2141" s="101">
        <f t="shared" ca="1" si="134"/>
        <v>0</v>
      </c>
      <c r="F2141" s="21">
        <f t="shared" ca="1" si="135"/>
        <v>0</v>
      </c>
      <c r="H2141" s="21">
        <v>2126</v>
      </c>
      <c r="I2141" s="102">
        <v>0.66784216558201537</v>
      </c>
      <c r="J2141" s="103">
        <v>1.4431034582956831E-3</v>
      </c>
      <c r="K2141" s="103"/>
      <c r="L2141" s="103">
        <v>4.3200000000000002E-2</v>
      </c>
      <c r="O2141" s="100"/>
    </row>
    <row r="2142" spans="2:15" x14ac:dyDescent="0.2">
      <c r="B2142" s="1">
        <v>2127</v>
      </c>
      <c r="C2142" s="101">
        <f t="shared" ca="1" si="132"/>
        <v>-1.1031328018575939</v>
      </c>
      <c r="D2142" s="101">
        <f t="shared" ca="1" si="133"/>
        <v>0.59598986030473422</v>
      </c>
      <c r="E2142" s="101">
        <f t="shared" ca="1" si="134"/>
        <v>0</v>
      </c>
      <c r="F2142" s="21">
        <f t="shared" ca="1" si="135"/>
        <v>0</v>
      </c>
      <c r="H2142" s="21">
        <v>2127</v>
      </c>
      <c r="I2142" s="102">
        <v>0.66768538779494002</v>
      </c>
      <c r="J2142" s="103">
        <v>1.2765819065857842E-3</v>
      </c>
      <c r="K2142" s="103"/>
      <c r="L2142" s="103">
        <v>3.9399999999999998E-2</v>
      </c>
      <c r="O2142" s="100"/>
    </row>
    <row r="2143" spans="2:15" x14ac:dyDescent="0.2">
      <c r="B2143" s="1">
        <v>2128</v>
      </c>
      <c r="C2143" s="101">
        <f t="shared" ca="1" si="132"/>
        <v>-0.20071565504540781</v>
      </c>
      <c r="D2143" s="101">
        <f t="shared" ca="1" si="133"/>
        <v>0.65147516607507938</v>
      </c>
      <c r="E2143" s="101">
        <f t="shared" ca="1" si="134"/>
        <v>0</v>
      </c>
      <c r="F2143" s="21">
        <f t="shared" ca="1" si="135"/>
        <v>0</v>
      </c>
      <c r="H2143" s="21">
        <v>2128</v>
      </c>
      <c r="I2143" s="102">
        <v>0.66773304816725698</v>
      </c>
      <c r="J2143" s="103">
        <v>1.3696553594790106E-3</v>
      </c>
      <c r="K2143" s="103"/>
      <c r="L2143" s="103">
        <v>4.2200000000000001E-2</v>
      </c>
      <c r="O2143" s="100"/>
    </row>
    <row r="2144" spans="2:15" x14ac:dyDescent="0.2">
      <c r="B2144" s="1">
        <v>2129</v>
      </c>
      <c r="C2144" s="101">
        <f t="shared" ca="1" si="132"/>
        <v>0.77337487242806724</v>
      </c>
      <c r="D2144" s="101">
        <f t="shared" ca="1" si="133"/>
        <v>0.71717856829011095</v>
      </c>
      <c r="E2144" s="101">
        <f t="shared" ca="1" si="134"/>
        <v>0</v>
      </c>
      <c r="F2144" s="21">
        <f t="shared" ca="1" si="135"/>
        <v>0</v>
      </c>
      <c r="H2144" s="21">
        <v>2129</v>
      </c>
      <c r="I2144" s="102">
        <v>0.66774134867782442</v>
      </c>
      <c r="J2144" s="103">
        <v>1.3024943597843897E-3</v>
      </c>
      <c r="K2144" s="103"/>
      <c r="L2144" s="103">
        <v>4.36E-2</v>
      </c>
      <c r="O2144" s="100"/>
    </row>
    <row r="2145" spans="2:15" x14ac:dyDescent="0.2">
      <c r="B2145" s="1">
        <v>2130</v>
      </c>
      <c r="C2145" s="101">
        <f t="shared" ca="1" si="132"/>
        <v>0.85283602806565373</v>
      </c>
      <c r="D2145" s="101">
        <f t="shared" ca="1" si="133"/>
        <v>0.72282201236499788</v>
      </c>
      <c r="E2145" s="101">
        <f t="shared" ca="1" si="134"/>
        <v>0</v>
      </c>
      <c r="F2145" s="21">
        <f t="shared" ca="1" si="135"/>
        <v>0</v>
      </c>
      <c r="H2145" s="21">
        <v>2130</v>
      </c>
      <c r="I2145" s="102">
        <v>0.66770901815207484</v>
      </c>
      <c r="J2145" s="103">
        <v>1.1515783681306509E-3</v>
      </c>
      <c r="K2145" s="103"/>
      <c r="L2145" s="103">
        <v>3.9199999999999999E-2</v>
      </c>
      <c r="O2145" s="100"/>
    </row>
    <row r="2146" spans="2:15" x14ac:dyDescent="0.2">
      <c r="B2146" s="1">
        <v>2131</v>
      </c>
      <c r="C2146" s="101">
        <f t="shared" ca="1" si="132"/>
        <v>0.87946561339776375</v>
      </c>
      <c r="D2146" s="101">
        <f t="shared" ca="1" si="133"/>
        <v>0.72472320094375098</v>
      </c>
      <c r="E2146" s="101">
        <f t="shared" ca="1" si="134"/>
        <v>0</v>
      </c>
      <c r="F2146" s="21">
        <f t="shared" ca="1" si="135"/>
        <v>0</v>
      </c>
      <c r="H2146" s="21">
        <v>2131</v>
      </c>
      <c r="I2146" s="102">
        <v>0.6676011622074699</v>
      </c>
      <c r="J2146" s="103">
        <v>1.2011863121483817E-3</v>
      </c>
      <c r="K2146" s="103"/>
      <c r="L2146" s="103">
        <v>4.1200000000000001E-2</v>
      </c>
      <c r="O2146" s="100"/>
    </row>
    <row r="2147" spans="2:15" x14ac:dyDescent="0.2">
      <c r="B2147" s="1">
        <v>2132</v>
      </c>
      <c r="C2147" s="101">
        <f t="shared" ca="1" si="132"/>
        <v>-0.40687722124130188</v>
      </c>
      <c r="D2147" s="101">
        <f t="shared" ca="1" si="133"/>
        <v>0.63836053623682498</v>
      </c>
      <c r="E2147" s="101">
        <f t="shared" ca="1" si="134"/>
        <v>0</v>
      </c>
      <c r="F2147" s="21">
        <f t="shared" ca="1" si="135"/>
        <v>0</v>
      </c>
      <c r="H2147" s="21">
        <v>2132</v>
      </c>
      <c r="I2147" s="102">
        <v>0.66766643622745925</v>
      </c>
      <c r="J2147" s="103">
        <v>1.2396790498307054E-3</v>
      </c>
      <c r="K2147" s="103"/>
      <c r="L2147" s="103">
        <v>4.2000000000000003E-2</v>
      </c>
      <c r="O2147" s="100"/>
    </row>
    <row r="2148" spans="2:15" x14ac:dyDescent="0.2">
      <c r="B2148" s="1">
        <v>2133</v>
      </c>
      <c r="C2148" s="101">
        <f t="shared" ca="1" si="132"/>
        <v>0.64527354641791101</v>
      </c>
      <c r="D2148" s="101">
        <f t="shared" ca="1" si="133"/>
        <v>0.70817325498024453</v>
      </c>
      <c r="E2148" s="101">
        <f t="shared" ca="1" si="134"/>
        <v>0</v>
      </c>
      <c r="F2148" s="21">
        <f t="shared" ca="1" si="135"/>
        <v>0</v>
      </c>
      <c r="H2148" s="21">
        <v>2133</v>
      </c>
      <c r="I2148" s="102">
        <v>0.66775454503937837</v>
      </c>
      <c r="J2148" s="103">
        <v>1.5115667686785694E-3</v>
      </c>
      <c r="K2148" s="103"/>
      <c r="L2148" s="103">
        <v>4.1799999999999997E-2</v>
      </c>
      <c r="O2148" s="100"/>
    </row>
    <row r="2149" spans="2:15" x14ac:dyDescent="0.2">
      <c r="B2149" s="1">
        <v>2134</v>
      </c>
      <c r="C2149" s="101">
        <f t="shared" ca="1" si="132"/>
        <v>-0.31783107602287441</v>
      </c>
      <c r="D2149" s="101">
        <f t="shared" ca="1" si="133"/>
        <v>0.64399235658168896</v>
      </c>
      <c r="E2149" s="101">
        <f t="shared" ca="1" si="134"/>
        <v>0</v>
      </c>
      <c r="F2149" s="21">
        <f t="shared" ca="1" si="135"/>
        <v>0</v>
      </c>
      <c r="H2149" s="21">
        <v>2134</v>
      </c>
      <c r="I2149" s="102">
        <v>0.66762279634897281</v>
      </c>
      <c r="J2149" s="103">
        <v>1.2330391230574477E-3</v>
      </c>
      <c r="K2149" s="103"/>
      <c r="L2149" s="103">
        <v>3.9E-2</v>
      </c>
      <c r="O2149" s="100"/>
    </row>
    <row r="2150" spans="2:15" x14ac:dyDescent="0.2">
      <c r="B2150" s="1">
        <v>2135</v>
      </c>
      <c r="C2150" s="101">
        <f t="shared" ca="1" si="132"/>
        <v>0.61604864679042104</v>
      </c>
      <c r="D2150" s="101">
        <f t="shared" ca="1" si="133"/>
        <v>0.70613468505873656</v>
      </c>
      <c r="E2150" s="101">
        <f t="shared" ca="1" si="134"/>
        <v>0</v>
      </c>
      <c r="F2150" s="21">
        <f t="shared" ca="1" si="135"/>
        <v>0</v>
      </c>
      <c r="H2150" s="21">
        <v>2135</v>
      </c>
      <c r="I2150" s="102">
        <v>0.66779358168534231</v>
      </c>
      <c r="J2150" s="103">
        <v>1.3034529062725991E-3</v>
      </c>
      <c r="K2150" s="103"/>
      <c r="L2150" s="103">
        <v>4.1000000000000002E-2</v>
      </c>
      <c r="O2150" s="100"/>
    </row>
    <row r="2151" spans="2:15" x14ac:dyDescent="0.2">
      <c r="B2151" s="1">
        <v>2136</v>
      </c>
      <c r="C2151" s="101">
        <f t="shared" ca="1" si="132"/>
        <v>0.20400933938762675</v>
      </c>
      <c r="D2151" s="101">
        <f t="shared" ca="1" si="133"/>
        <v>0.67800989876787432</v>
      </c>
      <c r="E2151" s="101">
        <f t="shared" ca="1" si="134"/>
        <v>0</v>
      </c>
      <c r="F2151" s="21">
        <f t="shared" ca="1" si="135"/>
        <v>0</v>
      </c>
      <c r="H2151" s="21">
        <v>2136</v>
      </c>
      <c r="I2151" s="102">
        <v>0.66778511964281961</v>
      </c>
      <c r="J2151" s="103">
        <v>1.5318402102215787E-3</v>
      </c>
      <c r="K2151" s="103"/>
      <c r="L2151" s="103">
        <v>4.1599999999999998E-2</v>
      </c>
      <c r="O2151" s="100"/>
    </row>
    <row r="2152" spans="2:15" x14ac:dyDescent="0.2">
      <c r="B2152" s="1">
        <v>2137</v>
      </c>
      <c r="C2152" s="101">
        <f t="shared" ca="1" si="132"/>
        <v>-0.25003297716766748</v>
      </c>
      <c r="D2152" s="101">
        <f t="shared" ca="1" si="133"/>
        <v>0.6483136141489434</v>
      </c>
      <c r="E2152" s="101">
        <f t="shared" ca="1" si="134"/>
        <v>0</v>
      </c>
      <c r="F2152" s="21">
        <f t="shared" ca="1" si="135"/>
        <v>0</v>
      </c>
      <c r="H2152" s="21">
        <v>2137</v>
      </c>
      <c r="I2152" s="102">
        <v>0.66781018223426725</v>
      </c>
      <c r="J2152" s="103">
        <v>1.4041032910904621E-3</v>
      </c>
      <c r="K2152" s="103"/>
      <c r="L2152" s="103">
        <v>4.6800000000000001E-2</v>
      </c>
      <c r="O2152" s="100"/>
    </row>
    <row r="2153" spans="2:15" x14ac:dyDescent="0.2">
      <c r="B2153" s="1">
        <v>2138</v>
      </c>
      <c r="C2153" s="101">
        <f t="shared" ca="1" si="132"/>
        <v>0.75331615412675668</v>
      </c>
      <c r="D2153" s="101">
        <f t="shared" ca="1" si="133"/>
        <v>0.71576094838648019</v>
      </c>
      <c r="E2153" s="101">
        <f t="shared" ca="1" si="134"/>
        <v>0</v>
      </c>
      <c r="F2153" s="21">
        <f t="shared" ca="1" si="135"/>
        <v>0</v>
      </c>
      <c r="H2153" s="21">
        <v>2138</v>
      </c>
      <c r="I2153" s="102">
        <v>0.66771255987309919</v>
      </c>
      <c r="J2153" s="103">
        <v>1.4334426802631536E-3</v>
      </c>
      <c r="K2153" s="103"/>
      <c r="L2153" s="103">
        <v>4.1000000000000002E-2</v>
      </c>
      <c r="O2153" s="100"/>
    </row>
    <row r="2154" spans="2:15" x14ac:dyDescent="0.2">
      <c r="B2154" s="1">
        <v>2139</v>
      </c>
      <c r="C2154" s="101">
        <f t="shared" ca="1" si="132"/>
        <v>0.32292765054936806</v>
      </c>
      <c r="D2154" s="101">
        <f t="shared" ca="1" si="133"/>
        <v>0.68600996074527087</v>
      </c>
      <c r="E2154" s="101">
        <f t="shared" ca="1" si="134"/>
        <v>0</v>
      </c>
      <c r="F2154" s="21">
        <f t="shared" ca="1" si="135"/>
        <v>0</v>
      </c>
      <c r="H2154" s="21">
        <v>2139</v>
      </c>
      <c r="I2154" s="102">
        <v>0.66790705478876777</v>
      </c>
      <c r="J2154" s="103">
        <v>1.5561923779204001E-3</v>
      </c>
      <c r="K2154" s="103"/>
      <c r="L2154" s="103">
        <v>4.5199999999999997E-2</v>
      </c>
      <c r="O2154" s="100"/>
    </row>
    <row r="2155" spans="2:15" x14ac:dyDescent="0.2">
      <c r="B2155" s="1">
        <v>2140</v>
      </c>
      <c r="C2155" s="101">
        <f t="shared" ca="1" si="132"/>
        <v>-0.22733949647034937</v>
      </c>
      <c r="D2155" s="101">
        <f t="shared" ca="1" si="133"/>
        <v>0.64976649945943632</v>
      </c>
      <c r="E2155" s="101">
        <f t="shared" ca="1" si="134"/>
        <v>0</v>
      </c>
      <c r="F2155" s="21">
        <f t="shared" ca="1" si="135"/>
        <v>0</v>
      </c>
      <c r="H2155" s="21">
        <v>2140</v>
      </c>
      <c r="I2155" s="102">
        <v>0.66768545441913962</v>
      </c>
      <c r="J2155" s="103">
        <v>1.3105744782390984E-3</v>
      </c>
      <c r="K2155" s="103"/>
      <c r="L2155" s="103">
        <v>4.0399999999999998E-2</v>
      </c>
      <c r="O2155" s="100"/>
    </row>
    <row r="2156" spans="2:15" x14ac:dyDescent="0.2">
      <c r="B2156" s="1">
        <v>2141</v>
      </c>
      <c r="C2156" s="101">
        <f t="shared" ca="1" si="132"/>
        <v>-1.2032017702347348</v>
      </c>
      <c r="D2156" s="101">
        <f t="shared" ca="1" si="133"/>
        <v>0.59013582265765796</v>
      </c>
      <c r="E2156" s="101">
        <f t="shared" ca="1" si="134"/>
        <v>0</v>
      </c>
      <c r="F2156" s="21">
        <f t="shared" ca="1" si="135"/>
        <v>0</v>
      </c>
      <c r="H2156" s="21">
        <v>2141</v>
      </c>
      <c r="I2156" s="102">
        <v>0.66782790173199535</v>
      </c>
      <c r="J2156" s="103">
        <v>1.55239183043818E-3</v>
      </c>
      <c r="K2156" s="103"/>
      <c r="L2156" s="103">
        <v>4.3200000000000002E-2</v>
      </c>
      <c r="O2156" s="100"/>
    </row>
    <row r="2157" spans="2:15" x14ac:dyDescent="0.2">
      <c r="B2157" s="1">
        <v>2142</v>
      </c>
      <c r="C2157" s="101">
        <f t="shared" ca="1" si="132"/>
        <v>-0.18651867578220627</v>
      </c>
      <c r="D2157" s="101">
        <f t="shared" ca="1" si="133"/>
        <v>0.65238813678430185</v>
      </c>
      <c r="E2157" s="101">
        <f t="shared" ca="1" si="134"/>
        <v>0</v>
      </c>
      <c r="F2157" s="21">
        <f t="shared" ca="1" si="135"/>
        <v>0</v>
      </c>
      <c r="H2157" s="21">
        <v>2142</v>
      </c>
      <c r="I2157" s="102">
        <v>0.66784123057978773</v>
      </c>
      <c r="J2157" s="103">
        <v>1.6126732309458642E-3</v>
      </c>
      <c r="K2157" s="103"/>
      <c r="L2157" s="103">
        <v>4.5999999999999999E-2</v>
      </c>
      <c r="O2157" s="100"/>
    </row>
    <row r="2158" spans="2:15" x14ac:dyDescent="0.2">
      <c r="B2158" s="1">
        <v>2143</v>
      </c>
      <c r="C2158" s="101">
        <f t="shared" ca="1" si="132"/>
        <v>-1.4976874821045614</v>
      </c>
      <c r="D2158" s="101">
        <f t="shared" ca="1" si="133"/>
        <v>0.57323987392872189</v>
      </c>
      <c r="E2158" s="101">
        <f t="shared" ca="1" si="134"/>
        <v>0</v>
      </c>
      <c r="F2158" s="21">
        <f t="shared" ca="1" si="135"/>
        <v>0</v>
      </c>
      <c r="H2158" s="21">
        <v>2143</v>
      </c>
      <c r="I2158" s="102">
        <v>0.66789660255155103</v>
      </c>
      <c r="J2158" s="103">
        <v>1.5436159159789398E-3</v>
      </c>
      <c r="K2158" s="103"/>
      <c r="L2158" s="103">
        <v>4.5600000000000002E-2</v>
      </c>
      <c r="O2158" s="100"/>
    </row>
    <row r="2159" spans="2:15" x14ac:dyDescent="0.2">
      <c r="B2159" s="1">
        <v>2144</v>
      </c>
      <c r="C2159" s="101">
        <f t="shared" ca="1" si="132"/>
        <v>2.0413082453111686</v>
      </c>
      <c r="D2159" s="101">
        <f t="shared" ca="1" si="133"/>
        <v>0.81272718521798237</v>
      </c>
      <c r="E2159" s="101">
        <f t="shared" ca="1" si="134"/>
        <v>2.4527185217982361E-2</v>
      </c>
      <c r="F2159" s="21">
        <f t="shared" ca="1" si="135"/>
        <v>1</v>
      </c>
      <c r="H2159" s="21">
        <v>2144</v>
      </c>
      <c r="I2159" s="102">
        <v>0.66781165179617241</v>
      </c>
      <c r="J2159" s="103">
        <v>1.5275363348062068E-3</v>
      </c>
      <c r="K2159" s="103"/>
      <c r="L2159" s="103">
        <v>4.7E-2</v>
      </c>
      <c r="O2159" s="100"/>
    </row>
    <row r="2160" spans="2:15" x14ac:dyDescent="0.2">
      <c r="B2160" s="1">
        <v>2145</v>
      </c>
      <c r="C2160" s="101">
        <f t="shared" ca="1" si="132"/>
        <v>0.20997125290771518</v>
      </c>
      <c r="D2160" s="101">
        <f t="shared" ca="1" si="133"/>
        <v>0.67840874759189407</v>
      </c>
      <c r="E2160" s="101">
        <f t="shared" ca="1" si="134"/>
        <v>0</v>
      </c>
      <c r="F2160" s="21">
        <f t="shared" ca="1" si="135"/>
        <v>0</v>
      </c>
      <c r="H2160" s="21">
        <v>2145</v>
      </c>
      <c r="I2160" s="102">
        <v>0.6678087666071526</v>
      </c>
      <c r="J2160" s="103">
        <v>1.4451214512160601E-3</v>
      </c>
      <c r="K2160" s="103"/>
      <c r="L2160" s="103">
        <v>4.1399999999999999E-2</v>
      </c>
      <c r="O2160" s="100"/>
    </row>
    <row r="2161" spans="2:15" x14ac:dyDescent="0.2">
      <c r="B2161" s="1">
        <v>2146</v>
      </c>
      <c r="C2161" s="101">
        <f t="shared" ca="1" si="132"/>
        <v>-1.3210890964245434</v>
      </c>
      <c r="D2161" s="101">
        <f t="shared" ca="1" si="133"/>
        <v>0.58331313746056135</v>
      </c>
      <c r="E2161" s="101">
        <f t="shared" ca="1" si="134"/>
        <v>0</v>
      </c>
      <c r="F2161" s="21">
        <f t="shared" ca="1" si="135"/>
        <v>0</v>
      </c>
      <c r="H2161" s="21">
        <v>2146</v>
      </c>
      <c r="I2161" s="102">
        <v>0.66769305602204443</v>
      </c>
      <c r="J2161" s="103">
        <v>1.2158699759896711E-3</v>
      </c>
      <c r="K2161" s="103"/>
      <c r="L2161" s="103">
        <v>3.8399999999999997E-2</v>
      </c>
      <c r="O2161" s="100"/>
    </row>
    <row r="2162" spans="2:15" x14ac:dyDescent="0.2">
      <c r="B2162" s="1">
        <v>2147</v>
      </c>
      <c r="C2162" s="101">
        <f t="shared" ca="1" si="132"/>
        <v>-1.2121040811274857</v>
      </c>
      <c r="D2162" s="101">
        <f t="shared" ca="1" si="133"/>
        <v>0.5896178307619957</v>
      </c>
      <c r="E2162" s="101">
        <f t="shared" ca="1" si="134"/>
        <v>0</v>
      </c>
      <c r="F2162" s="21">
        <f t="shared" ca="1" si="135"/>
        <v>0</v>
      </c>
      <c r="H2162" s="21">
        <v>2147</v>
      </c>
      <c r="I2162" s="102">
        <v>0.66783192023880378</v>
      </c>
      <c r="J2162" s="103">
        <v>1.3074090051734511E-3</v>
      </c>
      <c r="K2162" s="103"/>
      <c r="L2162" s="103">
        <v>4.48E-2</v>
      </c>
      <c r="O2162" s="100"/>
    </row>
    <row r="2163" spans="2:15" x14ac:dyDescent="0.2">
      <c r="B2163" s="1">
        <v>2148</v>
      </c>
      <c r="C2163" s="101">
        <f t="shared" ca="1" si="132"/>
        <v>-0.53935262918764204</v>
      </c>
      <c r="D2163" s="101">
        <f t="shared" ca="1" si="133"/>
        <v>0.63007299495518809</v>
      </c>
      <c r="E2163" s="101">
        <f t="shared" ca="1" si="134"/>
        <v>0</v>
      </c>
      <c r="F2163" s="21">
        <f t="shared" ca="1" si="135"/>
        <v>0</v>
      </c>
      <c r="H2163" s="21">
        <v>2148</v>
      </c>
      <c r="I2163" s="102">
        <v>0.66777332241288179</v>
      </c>
      <c r="J2163" s="103">
        <v>1.5176962134652295E-3</v>
      </c>
      <c r="K2163" s="103"/>
      <c r="L2163" s="103">
        <v>4.4400000000000002E-2</v>
      </c>
      <c r="O2163" s="100"/>
    </row>
    <row r="2164" spans="2:15" x14ac:dyDescent="0.2">
      <c r="B2164" s="1">
        <v>2149</v>
      </c>
      <c r="C2164" s="101">
        <f t="shared" ca="1" si="132"/>
        <v>0.30987451272428851</v>
      </c>
      <c r="D2164" s="101">
        <f t="shared" ca="1" si="133"/>
        <v>0.68512723725916547</v>
      </c>
      <c r="E2164" s="101">
        <f t="shared" ca="1" si="134"/>
        <v>0</v>
      </c>
      <c r="F2164" s="21">
        <f t="shared" ca="1" si="135"/>
        <v>0</v>
      </c>
      <c r="H2164" s="21">
        <v>2149</v>
      </c>
      <c r="I2164" s="102">
        <v>0.66781309778683406</v>
      </c>
      <c r="J2164" s="103">
        <v>1.5510627126223437E-3</v>
      </c>
      <c r="K2164" s="103"/>
      <c r="L2164" s="103">
        <v>4.3200000000000002E-2</v>
      </c>
      <c r="O2164" s="100"/>
    </row>
    <row r="2165" spans="2:15" x14ac:dyDescent="0.2">
      <c r="B2165" s="1">
        <v>2150</v>
      </c>
      <c r="C2165" s="101">
        <f t="shared" ca="1" si="132"/>
        <v>0.28253304892429393</v>
      </c>
      <c r="D2165" s="101">
        <f t="shared" ca="1" si="133"/>
        <v>0.68328193980824492</v>
      </c>
      <c r="E2165" s="101">
        <f t="shared" ca="1" si="134"/>
        <v>0</v>
      </c>
      <c r="F2165" s="21">
        <f t="shared" ca="1" si="135"/>
        <v>0</v>
      </c>
      <c r="H2165" s="21">
        <v>2150</v>
      </c>
      <c r="I2165" s="102">
        <v>0.66770991294027549</v>
      </c>
      <c r="J2165" s="103">
        <v>1.3711317878747414E-3</v>
      </c>
      <c r="K2165" s="103"/>
      <c r="L2165" s="103">
        <v>4.1399999999999999E-2</v>
      </c>
      <c r="O2165" s="100"/>
    </row>
    <row r="2166" spans="2:15" x14ac:dyDescent="0.2">
      <c r="B2166" s="1">
        <v>2151</v>
      </c>
      <c r="C2166" s="101">
        <f t="shared" ca="1" si="132"/>
        <v>1.3775767877882208</v>
      </c>
      <c r="D2166" s="101">
        <f t="shared" ca="1" si="133"/>
        <v>0.76122131492661727</v>
      </c>
      <c r="E2166" s="101">
        <f t="shared" ca="1" si="134"/>
        <v>0</v>
      </c>
      <c r="F2166" s="21">
        <f t="shared" ca="1" si="135"/>
        <v>0</v>
      </c>
      <c r="H2166" s="21">
        <v>2151</v>
      </c>
      <c r="I2166" s="102">
        <v>0.66793380498188415</v>
      </c>
      <c r="J2166" s="103">
        <v>1.5534919526379407E-3</v>
      </c>
      <c r="K2166" s="103"/>
      <c r="L2166" s="103">
        <v>4.6399999999999997E-2</v>
      </c>
      <c r="O2166" s="100"/>
    </row>
    <row r="2167" spans="2:15" x14ac:dyDescent="0.2">
      <c r="B2167" s="1">
        <v>2152</v>
      </c>
      <c r="C2167" s="101">
        <f t="shared" ca="1" si="132"/>
        <v>-0.84142554038689732</v>
      </c>
      <c r="D2167" s="101">
        <f t="shared" ca="1" si="133"/>
        <v>0.61157573903598028</v>
      </c>
      <c r="E2167" s="101">
        <f t="shared" ca="1" si="134"/>
        <v>0</v>
      </c>
      <c r="F2167" s="21">
        <f t="shared" ca="1" si="135"/>
        <v>0</v>
      </c>
      <c r="H2167" s="21">
        <v>2152</v>
      </c>
      <c r="I2167" s="102">
        <v>0.66776768002857867</v>
      </c>
      <c r="J2167" s="103">
        <v>1.4525031541524358E-3</v>
      </c>
      <c r="K2167" s="103"/>
      <c r="L2167" s="103">
        <v>4.1399999999999999E-2</v>
      </c>
      <c r="O2167" s="100"/>
    </row>
    <row r="2168" spans="2:15" x14ac:dyDescent="0.2">
      <c r="B2168" s="1">
        <v>2153</v>
      </c>
      <c r="C2168" s="101">
        <f t="shared" ca="1" si="132"/>
        <v>-0.41125651391377049</v>
      </c>
      <c r="D2168" s="101">
        <f t="shared" ca="1" si="133"/>
        <v>0.63808483729304055</v>
      </c>
      <c r="E2168" s="101">
        <f t="shared" ca="1" si="134"/>
        <v>0</v>
      </c>
      <c r="F2168" s="21">
        <f t="shared" ca="1" si="135"/>
        <v>0</v>
      </c>
      <c r="H2168" s="21">
        <v>2153</v>
      </c>
      <c r="I2168" s="102">
        <v>0.66785734679367748</v>
      </c>
      <c r="J2168" s="103">
        <v>1.5545305450254514E-3</v>
      </c>
      <c r="K2168" s="103"/>
      <c r="L2168" s="103">
        <v>4.2200000000000001E-2</v>
      </c>
      <c r="O2168" s="100"/>
    </row>
    <row r="2169" spans="2:15" x14ac:dyDescent="0.2">
      <c r="B2169" s="1">
        <v>2154</v>
      </c>
      <c r="C2169" s="101">
        <f t="shared" ca="1" si="132"/>
        <v>-2.003578620869745</v>
      </c>
      <c r="D2169" s="101">
        <f t="shared" ca="1" si="133"/>
        <v>0.5453361996927667</v>
      </c>
      <c r="E2169" s="101">
        <f t="shared" ca="1" si="134"/>
        <v>0</v>
      </c>
      <c r="F2169" s="21">
        <f t="shared" ca="1" si="135"/>
        <v>0</v>
      </c>
      <c r="H2169" s="21">
        <v>2154</v>
      </c>
      <c r="I2169" s="102">
        <v>0.66769805357416312</v>
      </c>
      <c r="J2169" s="103">
        <v>1.3322081776050709E-3</v>
      </c>
      <c r="K2169" s="103"/>
      <c r="L2169" s="103">
        <v>4.2799999999999998E-2</v>
      </c>
      <c r="O2169" s="100"/>
    </row>
    <row r="2170" spans="2:15" x14ac:dyDescent="0.2">
      <c r="B2170" s="1">
        <v>2155</v>
      </c>
      <c r="C2170" s="101">
        <f t="shared" ca="1" si="132"/>
        <v>-0.90060768414599535</v>
      </c>
      <c r="D2170" s="101">
        <f t="shared" ca="1" si="133"/>
        <v>0.60801588004560181</v>
      </c>
      <c r="E2170" s="101">
        <f t="shared" ca="1" si="134"/>
        <v>0</v>
      </c>
      <c r="F2170" s="21">
        <f t="shared" ca="1" si="135"/>
        <v>0</v>
      </c>
      <c r="H2170" s="21">
        <v>2155</v>
      </c>
      <c r="I2170" s="102">
        <v>0.66795084738096566</v>
      </c>
      <c r="J2170" s="103">
        <v>1.6536150962530541E-3</v>
      </c>
      <c r="K2170" s="103"/>
      <c r="L2170" s="103">
        <v>4.7399999999999998E-2</v>
      </c>
      <c r="O2170" s="100"/>
    </row>
    <row r="2171" spans="2:15" x14ac:dyDescent="0.2">
      <c r="B2171" s="1">
        <v>2156</v>
      </c>
      <c r="C2171" s="101">
        <f t="shared" ca="1" si="132"/>
        <v>8.3441354728187964E-2</v>
      </c>
      <c r="D2171" s="101">
        <f t="shared" ca="1" si="133"/>
        <v>0.66999409702427215</v>
      </c>
      <c r="E2171" s="101">
        <f t="shared" ca="1" si="134"/>
        <v>0</v>
      </c>
      <c r="F2171" s="21">
        <f t="shared" ca="1" si="135"/>
        <v>0</v>
      </c>
      <c r="H2171" s="21">
        <v>2156</v>
      </c>
      <c r="I2171" s="102">
        <v>0.66779419610627966</v>
      </c>
      <c r="J2171" s="103">
        <v>1.3758475104888206E-3</v>
      </c>
      <c r="K2171" s="103"/>
      <c r="L2171" s="103">
        <v>4.1599999999999998E-2</v>
      </c>
      <c r="O2171" s="100"/>
    </row>
    <row r="2172" spans="2:15" x14ac:dyDescent="0.2">
      <c r="B2172" s="1">
        <v>2157</v>
      </c>
      <c r="C2172" s="101">
        <f t="shared" ca="1" si="132"/>
        <v>0.49211859160814159</v>
      </c>
      <c r="D2172" s="101">
        <f t="shared" ca="1" si="133"/>
        <v>0.69755500192357967</v>
      </c>
      <c r="E2172" s="101">
        <f t="shared" ca="1" si="134"/>
        <v>0</v>
      </c>
      <c r="F2172" s="21">
        <f t="shared" ca="1" si="135"/>
        <v>0</v>
      </c>
      <c r="H2172" s="21">
        <v>2157</v>
      </c>
      <c r="I2172" s="102">
        <v>0.66777130546358843</v>
      </c>
      <c r="J2172" s="103">
        <v>1.4759490436754685E-3</v>
      </c>
      <c r="K2172" s="103"/>
      <c r="L2172" s="103">
        <v>4.24E-2</v>
      </c>
      <c r="O2172" s="100"/>
    </row>
    <row r="2173" spans="2:15" x14ac:dyDescent="0.2">
      <c r="B2173" s="1">
        <v>2158</v>
      </c>
      <c r="C2173" s="101">
        <f t="shared" ca="1" si="132"/>
        <v>-1.1600373898235918</v>
      </c>
      <c r="D2173" s="101">
        <f t="shared" ca="1" si="133"/>
        <v>0.59265385489524791</v>
      </c>
      <c r="E2173" s="101">
        <f t="shared" ca="1" si="134"/>
        <v>0</v>
      </c>
      <c r="F2173" s="21">
        <f t="shared" ca="1" si="135"/>
        <v>0</v>
      </c>
      <c r="H2173" s="21">
        <v>2158</v>
      </c>
      <c r="I2173" s="102">
        <v>0.66770557718912371</v>
      </c>
      <c r="J2173" s="103">
        <v>1.2646432236615671E-3</v>
      </c>
      <c r="K2173" s="103"/>
      <c r="L2173" s="103">
        <v>4.1799999999999997E-2</v>
      </c>
      <c r="O2173" s="100"/>
    </row>
    <row r="2174" spans="2:15" x14ac:dyDescent="0.2">
      <c r="B2174" s="1">
        <v>2159</v>
      </c>
      <c r="C2174" s="101">
        <f t="shared" ca="1" si="132"/>
        <v>-1.5853982639188606</v>
      </c>
      <c r="D2174" s="101">
        <f t="shared" ca="1" si="133"/>
        <v>0.56830164872994327</v>
      </c>
      <c r="E2174" s="101">
        <f t="shared" ca="1" si="134"/>
        <v>0</v>
      </c>
      <c r="F2174" s="21">
        <f t="shared" ca="1" si="135"/>
        <v>0</v>
      </c>
      <c r="H2174" s="21">
        <v>2159</v>
      </c>
      <c r="I2174" s="102">
        <v>0.66776684191972535</v>
      </c>
      <c r="J2174" s="103">
        <v>1.3958330589164123E-3</v>
      </c>
      <c r="K2174" s="103"/>
      <c r="L2174" s="103">
        <v>4.0399999999999998E-2</v>
      </c>
      <c r="O2174" s="100"/>
    </row>
    <row r="2175" spans="2:15" x14ac:dyDescent="0.2">
      <c r="B2175" s="1">
        <v>2160</v>
      </c>
      <c r="C2175" s="101">
        <f t="shared" ca="1" si="132"/>
        <v>-1.4617883713434392</v>
      </c>
      <c r="D2175" s="101">
        <f t="shared" ca="1" si="133"/>
        <v>0.5752733925716873</v>
      </c>
      <c r="E2175" s="101">
        <f t="shared" ca="1" si="134"/>
        <v>0</v>
      </c>
      <c r="F2175" s="21">
        <f t="shared" ca="1" si="135"/>
        <v>0</v>
      </c>
      <c r="H2175" s="21">
        <v>2160</v>
      </c>
      <c r="I2175" s="102">
        <v>0.66782020906626216</v>
      </c>
      <c r="J2175" s="103">
        <v>1.428116219268848E-3</v>
      </c>
      <c r="K2175" s="103"/>
      <c r="L2175" s="103">
        <v>4.3200000000000002E-2</v>
      </c>
      <c r="O2175" s="100"/>
    </row>
    <row r="2176" spans="2:15" x14ac:dyDescent="0.2">
      <c r="B2176" s="1">
        <v>2161</v>
      </c>
      <c r="C2176" s="101">
        <f t="shared" ca="1" si="132"/>
        <v>0.38231028400911166</v>
      </c>
      <c r="D2176" s="101">
        <f t="shared" ca="1" si="133"/>
        <v>0.69004011207887539</v>
      </c>
      <c r="E2176" s="101">
        <f t="shared" ca="1" si="134"/>
        <v>0</v>
      </c>
      <c r="F2176" s="21">
        <f t="shared" ca="1" si="135"/>
        <v>0</v>
      </c>
      <c r="H2176" s="21">
        <v>2161</v>
      </c>
      <c r="I2176" s="102">
        <v>0.66770226391879095</v>
      </c>
      <c r="J2176" s="103">
        <v>1.3405253190089054E-3</v>
      </c>
      <c r="K2176" s="103"/>
      <c r="L2176" s="103">
        <v>4.02E-2</v>
      </c>
      <c r="O2176" s="100"/>
    </row>
    <row r="2177" spans="2:15" x14ac:dyDescent="0.2">
      <c r="B2177" s="1">
        <v>2162</v>
      </c>
      <c r="C2177" s="101">
        <f t="shared" ca="1" si="132"/>
        <v>2.2970483719467407</v>
      </c>
      <c r="D2177" s="101">
        <f t="shared" ca="1" si="133"/>
        <v>0.83349027365157924</v>
      </c>
      <c r="E2177" s="101">
        <f t="shared" ca="1" si="134"/>
        <v>4.5290273651579227E-2</v>
      </c>
      <c r="F2177" s="21">
        <f t="shared" ca="1" si="135"/>
        <v>1</v>
      </c>
      <c r="H2177" s="21">
        <v>2162</v>
      </c>
      <c r="I2177" s="102">
        <v>0.66772483226948776</v>
      </c>
      <c r="J2177" s="103">
        <v>1.3853658201095859E-3</v>
      </c>
      <c r="K2177" s="103"/>
      <c r="L2177" s="103">
        <v>3.9199999999999999E-2</v>
      </c>
      <c r="O2177" s="100"/>
    </row>
    <row r="2178" spans="2:15" x14ac:dyDescent="0.2">
      <c r="B2178" s="1">
        <v>2163</v>
      </c>
      <c r="C2178" s="101">
        <f t="shared" ca="1" si="132"/>
        <v>-1.6680369727978053</v>
      </c>
      <c r="D2178" s="101">
        <f t="shared" ca="1" si="133"/>
        <v>0.56368791584976752</v>
      </c>
      <c r="E2178" s="101">
        <f t="shared" ca="1" si="134"/>
        <v>0</v>
      </c>
      <c r="F2178" s="21">
        <f t="shared" ca="1" si="135"/>
        <v>0</v>
      </c>
      <c r="H2178" s="21">
        <v>2163</v>
      </c>
      <c r="I2178" s="102">
        <v>0.66770246203515249</v>
      </c>
      <c r="J2178" s="103">
        <v>1.3134008348627264E-3</v>
      </c>
      <c r="K2178" s="103"/>
      <c r="L2178" s="103">
        <v>3.9199999999999999E-2</v>
      </c>
      <c r="O2178" s="100"/>
    </row>
    <row r="2179" spans="2:15" x14ac:dyDescent="0.2">
      <c r="B2179" s="1">
        <v>2164</v>
      </c>
      <c r="C2179" s="101">
        <f t="shared" ca="1" si="132"/>
        <v>1.7854102683980579</v>
      </c>
      <c r="D2179" s="101">
        <f t="shared" ca="1" si="133"/>
        <v>0.79246898710244273</v>
      </c>
      <c r="E2179" s="101">
        <f t="shared" ca="1" si="134"/>
        <v>4.2689871024427228E-3</v>
      </c>
      <c r="F2179" s="21">
        <f t="shared" ca="1" si="135"/>
        <v>1</v>
      </c>
      <c r="H2179" s="21">
        <v>2164</v>
      </c>
      <c r="I2179" s="102">
        <v>0.66772982020245941</v>
      </c>
      <c r="J2179" s="103">
        <v>1.3205185265780228E-3</v>
      </c>
      <c r="K2179" s="103"/>
      <c r="L2179" s="103">
        <v>4.1599999999999998E-2</v>
      </c>
      <c r="O2179" s="100"/>
    </row>
    <row r="2180" spans="2:15" x14ac:dyDescent="0.2">
      <c r="B2180" s="1">
        <v>2165</v>
      </c>
      <c r="C2180" s="101">
        <f t="shared" ca="1" si="132"/>
        <v>1.35501493862904</v>
      </c>
      <c r="D2180" s="101">
        <f t="shared" ca="1" si="133"/>
        <v>0.75952907727291574</v>
      </c>
      <c r="E2180" s="101">
        <f t="shared" ca="1" si="134"/>
        <v>0</v>
      </c>
      <c r="F2180" s="21">
        <f t="shared" ca="1" si="135"/>
        <v>0</v>
      </c>
      <c r="H2180" s="21">
        <v>2165</v>
      </c>
      <c r="I2180" s="102">
        <v>0.6676761554577032</v>
      </c>
      <c r="J2180" s="103">
        <v>1.2905307834148185E-3</v>
      </c>
      <c r="K2180" s="103"/>
      <c r="L2180" s="103">
        <v>3.8600000000000002E-2</v>
      </c>
      <c r="O2180" s="100"/>
    </row>
    <row r="2181" spans="2:15" x14ac:dyDescent="0.2">
      <c r="B2181" s="1">
        <v>2166</v>
      </c>
      <c r="C2181" s="101">
        <f t="shared" ca="1" si="132"/>
        <v>0.69242132382520261</v>
      </c>
      <c r="D2181" s="101">
        <f t="shared" ca="1" si="133"/>
        <v>0.71147444047729425</v>
      </c>
      <c r="E2181" s="101">
        <f t="shared" ca="1" si="134"/>
        <v>0</v>
      </c>
      <c r="F2181" s="21">
        <f t="shared" ca="1" si="135"/>
        <v>0</v>
      </c>
      <c r="H2181" s="21">
        <v>2166</v>
      </c>
      <c r="I2181" s="102">
        <v>0.6676148048779168</v>
      </c>
      <c r="J2181" s="103">
        <v>1.3180409592205521E-3</v>
      </c>
      <c r="K2181" s="103"/>
      <c r="L2181" s="103">
        <v>3.9E-2</v>
      </c>
      <c r="O2181" s="100"/>
    </row>
    <row r="2182" spans="2:15" x14ac:dyDescent="0.2">
      <c r="B2182" s="1">
        <v>2167</v>
      </c>
      <c r="C2182" s="101">
        <f t="shared" ca="1" si="132"/>
        <v>-0.4579014851619671</v>
      </c>
      <c r="D2182" s="101">
        <f t="shared" ca="1" si="133"/>
        <v>0.63515567511879156</v>
      </c>
      <c r="E2182" s="101">
        <f t="shared" ca="1" si="134"/>
        <v>0</v>
      </c>
      <c r="F2182" s="21">
        <f t="shared" ca="1" si="135"/>
        <v>0</v>
      </c>
      <c r="H2182" s="21">
        <v>2167</v>
      </c>
      <c r="I2182" s="102">
        <v>0.66781242607292046</v>
      </c>
      <c r="J2182" s="103">
        <v>1.3489500144948721E-3</v>
      </c>
      <c r="K2182" s="103"/>
      <c r="L2182" s="103">
        <v>4.36E-2</v>
      </c>
      <c r="O2182" s="100"/>
    </row>
    <row r="2183" spans="2:15" x14ac:dyDescent="0.2">
      <c r="B2183" s="1">
        <v>2168</v>
      </c>
      <c r="C2183" s="101">
        <f t="shared" ca="1" si="132"/>
        <v>1.0897620690407024</v>
      </c>
      <c r="D2183" s="101">
        <f t="shared" ca="1" si="133"/>
        <v>0.73991381362463338</v>
      </c>
      <c r="E2183" s="101">
        <f t="shared" ca="1" si="134"/>
        <v>0</v>
      </c>
      <c r="F2183" s="21">
        <f t="shared" ca="1" si="135"/>
        <v>0</v>
      </c>
      <c r="H2183" s="21">
        <v>2168</v>
      </c>
      <c r="I2183" s="102">
        <v>0.66769746332102575</v>
      </c>
      <c r="J2183" s="103">
        <v>1.2804207596192471E-3</v>
      </c>
      <c r="K2183" s="103"/>
      <c r="L2183" s="103">
        <v>4.0800000000000003E-2</v>
      </c>
      <c r="O2183" s="100"/>
    </row>
    <row r="2184" spans="2:15" x14ac:dyDescent="0.2">
      <c r="B2184" s="1">
        <v>2169</v>
      </c>
      <c r="C2184" s="101">
        <f t="shared" ca="1" si="132"/>
        <v>0.71713821082529905</v>
      </c>
      <c r="D2184" s="101">
        <f t="shared" ca="1" si="133"/>
        <v>0.71321120728788312</v>
      </c>
      <c r="E2184" s="101">
        <f t="shared" ca="1" si="134"/>
        <v>0</v>
      </c>
      <c r="F2184" s="21">
        <f t="shared" ca="1" si="135"/>
        <v>0</v>
      </c>
      <c r="H2184" s="21">
        <v>2169</v>
      </c>
      <c r="I2184" s="102">
        <v>0.66777386793396132</v>
      </c>
      <c r="J2184" s="103">
        <v>1.2481147698443801E-3</v>
      </c>
      <c r="K2184" s="103"/>
      <c r="L2184" s="103">
        <v>4.2599999999999999E-2</v>
      </c>
      <c r="O2184" s="100"/>
    </row>
    <row r="2185" spans="2:15" x14ac:dyDescent="0.2">
      <c r="B2185" s="1">
        <v>2170</v>
      </c>
      <c r="C2185" s="101">
        <f t="shared" ca="1" si="132"/>
        <v>0.73310992593637769</v>
      </c>
      <c r="D2185" s="101">
        <f t="shared" ca="1" si="133"/>
        <v>0.71433573657031002</v>
      </c>
      <c r="E2185" s="101">
        <f t="shared" ca="1" si="134"/>
        <v>0</v>
      </c>
      <c r="F2185" s="21">
        <f t="shared" ca="1" si="135"/>
        <v>0</v>
      </c>
      <c r="H2185" s="21">
        <v>2170</v>
      </c>
      <c r="I2185" s="102">
        <v>0.66777702739184686</v>
      </c>
      <c r="J2185" s="103">
        <v>1.4509899452807323E-3</v>
      </c>
      <c r="K2185" s="103"/>
      <c r="L2185" s="103">
        <v>4.2200000000000001E-2</v>
      </c>
      <c r="O2185" s="100"/>
    </row>
    <row r="2186" spans="2:15" x14ac:dyDescent="0.2">
      <c r="B2186" s="1">
        <v>2171</v>
      </c>
      <c r="C2186" s="101">
        <f t="shared" ca="1" si="132"/>
        <v>0.87857150177747145</v>
      </c>
      <c r="D2186" s="101">
        <f t="shared" ca="1" si="133"/>
        <v>0.72465928581718464</v>
      </c>
      <c r="E2186" s="101">
        <f t="shared" ca="1" si="134"/>
        <v>0</v>
      </c>
      <c r="F2186" s="21">
        <f t="shared" ca="1" si="135"/>
        <v>0</v>
      </c>
      <c r="H2186" s="21">
        <v>2171</v>
      </c>
      <c r="I2186" s="102">
        <v>0.66769604238760416</v>
      </c>
      <c r="J2186" s="103">
        <v>1.2384345325249881E-3</v>
      </c>
      <c r="K2186" s="103"/>
      <c r="L2186" s="103">
        <v>4.1200000000000001E-2</v>
      </c>
      <c r="O2186" s="100"/>
    </row>
    <row r="2187" spans="2:15" x14ac:dyDescent="0.2">
      <c r="B2187" s="1">
        <v>2172</v>
      </c>
      <c r="C2187" s="101">
        <f t="shared" ca="1" si="132"/>
        <v>1.2322690287952465</v>
      </c>
      <c r="D2187" s="101">
        <f t="shared" ca="1" si="133"/>
        <v>0.75038828566423399</v>
      </c>
      <c r="E2187" s="101">
        <f t="shared" ca="1" si="134"/>
        <v>0</v>
      </c>
      <c r="F2187" s="21">
        <f t="shared" ca="1" si="135"/>
        <v>0</v>
      </c>
      <c r="H2187" s="21">
        <v>2172</v>
      </c>
      <c r="I2187" s="102">
        <v>0.66777919330923163</v>
      </c>
      <c r="J2187" s="103">
        <v>1.4662401537598011E-3</v>
      </c>
      <c r="K2187" s="103"/>
      <c r="L2187" s="103">
        <v>4.24E-2</v>
      </c>
      <c r="O2187" s="100"/>
    </row>
    <row r="2188" spans="2:15" x14ac:dyDescent="0.2">
      <c r="B2188" s="1">
        <v>2173</v>
      </c>
      <c r="C2188" s="101">
        <f t="shared" ca="1" si="132"/>
        <v>-1.3271626839069026</v>
      </c>
      <c r="D2188" s="101">
        <f t="shared" ca="1" si="133"/>
        <v>0.58296377530227617</v>
      </c>
      <c r="E2188" s="101">
        <f t="shared" ca="1" si="134"/>
        <v>0</v>
      </c>
      <c r="F2188" s="21">
        <f t="shared" ca="1" si="135"/>
        <v>0</v>
      </c>
      <c r="H2188" s="21">
        <v>2173</v>
      </c>
      <c r="I2188" s="102">
        <v>0.66772601733447512</v>
      </c>
      <c r="J2188" s="103">
        <v>1.3193771083796818E-3</v>
      </c>
      <c r="K2188" s="103"/>
      <c r="L2188" s="103">
        <v>0.04</v>
      </c>
      <c r="O2188" s="100"/>
    </row>
    <row r="2189" spans="2:15" x14ac:dyDescent="0.2">
      <c r="B2189" s="1">
        <v>2174</v>
      </c>
      <c r="C2189" s="101">
        <f t="shared" ca="1" si="132"/>
        <v>-1.6328604838156335</v>
      </c>
      <c r="D2189" s="101">
        <f t="shared" ca="1" si="133"/>
        <v>0.56564722877047602</v>
      </c>
      <c r="E2189" s="101">
        <f t="shared" ca="1" si="134"/>
        <v>0</v>
      </c>
      <c r="F2189" s="21">
        <f t="shared" ca="1" si="135"/>
        <v>0</v>
      </c>
      <c r="H2189" s="21">
        <v>2174</v>
      </c>
      <c r="I2189" s="102">
        <v>0.66784073681643163</v>
      </c>
      <c r="J2189" s="103">
        <v>1.5230949842269838E-3</v>
      </c>
      <c r="K2189" s="103"/>
      <c r="L2189" s="103">
        <v>4.4999999999999998E-2</v>
      </c>
      <c r="O2189" s="100"/>
    </row>
    <row r="2190" spans="2:15" x14ac:dyDescent="0.2">
      <c r="B2190" s="1">
        <v>2175</v>
      </c>
      <c r="C2190" s="101">
        <f t="shared" ca="1" si="132"/>
        <v>-0.82903362446572337</v>
      </c>
      <c r="D2190" s="101">
        <f t="shared" ca="1" si="133"/>
        <v>0.61232375878750445</v>
      </c>
      <c r="E2190" s="101">
        <f t="shared" ca="1" si="134"/>
        <v>0</v>
      </c>
      <c r="F2190" s="21">
        <f t="shared" ca="1" si="135"/>
        <v>0</v>
      </c>
      <c r="H2190" s="21">
        <v>2175</v>
      </c>
      <c r="I2190" s="102">
        <v>0.66767007432893566</v>
      </c>
      <c r="J2190" s="103">
        <v>1.2813526224421245E-3</v>
      </c>
      <c r="K2190" s="103"/>
      <c r="L2190" s="103">
        <v>3.9399999999999998E-2</v>
      </c>
      <c r="O2190" s="100"/>
    </row>
    <row r="2191" spans="2:15" x14ac:dyDescent="0.2">
      <c r="B2191" s="1">
        <v>2176</v>
      </c>
      <c r="C2191" s="101">
        <f t="shared" ca="1" si="132"/>
        <v>0.43489539440742703</v>
      </c>
      <c r="D2191" s="101">
        <f t="shared" ca="1" si="133"/>
        <v>0.69362869405436356</v>
      </c>
      <c r="E2191" s="101">
        <f t="shared" ca="1" si="134"/>
        <v>0</v>
      </c>
      <c r="F2191" s="21">
        <f t="shared" ca="1" si="135"/>
        <v>0</v>
      </c>
      <c r="H2191" s="21">
        <v>2176</v>
      </c>
      <c r="I2191" s="102">
        <v>0.66777612874161418</v>
      </c>
      <c r="J2191" s="103">
        <v>1.4614563914060884E-3</v>
      </c>
      <c r="K2191" s="103"/>
      <c r="L2191" s="103">
        <v>0.04</v>
      </c>
      <c r="O2191" s="100"/>
    </row>
    <row r="2192" spans="2:15" x14ac:dyDescent="0.2">
      <c r="B2192" s="1">
        <v>2177</v>
      </c>
      <c r="C2192" s="101">
        <f t="shared" ref="C2192:C2255" ca="1" si="136">_xlfn.NORM.S.INV(RAND())</f>
        <v>4.6992784011512911E-2</v>
      </c>
      <c r="D2192" s="101">
        <f t="shared" ref="D2192:D2255" ca="1" si="137">S0*EXP((μ-0.5*σ*σ)*T+σ*SQRT(T)*$C2192)</f>
        <v>0.66758956870412378</v>
      </c>
      <c r="E2192" s="101">
        <f t="shared" ref="E2192:E2255" ca="1" si="138">MAX(0,CP*(D2192-K))</f>
        <v>0</v>
      </c>
      <c r="F2192" s="21">
        <f t="shared" ref="F2192:F2255" ca="1" si="139">(CP*(D2192-K)&gt;0)*1</f>
        <v>0</v>
      </c>
      <c r="H2192" s="21">
        <v>2177</v>
      </c>
      <c r="I2192" s="102">
        <v>0.66783401696522882</v>
      </c>
      <c r="J2192" s="103">
        <v>1.4875812132479282E-3</v>
      </c>
      <c r="K2192" s="103"/>
      <c r="L2192" s="103">
        <v>4.2999999999999997E-2</v>
      </c>
      <c r="O2192" s="100"/>
    </row>
    <row r="2193" spans="2:15" x14ac:dyDescent="0.2">
      <c r="B2193" s="1">
        <v>2178</v>
      </c>
      <c r="C2193" s="101">
        <f t="shared" ca="1" si="136"/>
        <v>0.76125700472116653</v>
      </c>
      <c r="D2193" s="101">
        <f t="shared" ca="1" si="137"/>
        <v>0.71632182073189032</v>
      </c>
      <c r="E2193" s="101">
        <f t="shared" ca="1" si="138"/>
        <v>0</v>
      </c>
      <c r="F2193" s="21">
        <f t="shared" ca="1" si="139"/>
        <v>0</v>
      </c>
      <c r="H2193" s="21">
        <v>2178</v>
      </c>
      <c r="I2193" s="102">
        <v>0.66778884155144658</v>
      </c>
      <c r="J2193" s="103">
        <v>1.4294498944517921E-3</v>
      </c>
      <c r="K2193" s="103"/>
      <c r="L2193" s="103">
        <v>4.3200000000000002E-2</v>
      </c>
      <c r="O2193" s="100"/>
    </row>
    <row r="2194" spans="2:15" x14ac:dyDescent="0.2">
      <c r="B2194" s="1">
        <v>2179</v>
      </c>
      <c r="C2194" s="101">
        <f t="shared" ca="1" si="136"/>
        <v>1.0226041511012542</v>
      </c>
      <c r="D2194" s="101">
        <f t="shared" ca="1" si="137"/>
        <v>0.73502842010823266</v>
      </c>
      <c r="E2194" s="101">
        <f t="shared" ca="1" si="138"/>
        <v>0</v>
      </c>
      <c r="F2194" s="21">
        <f t="shared" ca="1" si="139"/>
        <v>0</v>
      </c>
      <c r="H2194" s="21">
        <v>2179</v>
      </c>
      <c r="I2194" s="102">
        <v>0.66760900680617363</v>
      </c>
      <c r="J2194" s="103">
        <v>1.2916786752185539E-3</v>
      </c>
      <c r="K2194" s="103"/>
      <c r="L2194" s="103">
        <v>4.0800000000000003E-2</v>
      </c>
      <c r="O2194" s="100"/>
    </row>
    <row r="2195" spans="2:15" x14ac:dyDescent="0.2">
      <c r="B2195" s="1">
        <v>2180</v>
      </c>
      <c r="C2195" s="101">
        <f t="shared" ca="1" si="136"/>
        <v>-0.12640714815238552</v>
      </c>
      <c r="D2195" s="101">
        <f t="shared" ca="1" si="137"/>
        <v>0.6562679509763647</v>
      </c>
      <c r="E2195" s="101">
        <f t="shared" ca="1" si="138"/>
        <v>0</v>
      </c>
      <c r="F2195" s="21">
        <f t="shared" ca="1" si="139"/>
        <v>0</v>
      </c>
      <c r="H2195" s="21">
        <v>2180</v>
      </c>
      <c r="I2195" s="102">
        <v>0.66773284603714278</v>
      </c>
      <c r="J2195" s="103">
        <v>1.2873407275723482E-3</v>
      </c>
      <c r="K2195" s="103"/>
      <c r="L2195" s="103">
        <v>4.2000000000000003E-2</v>
      </c>
      <c r="O2195" s="100"/>
    </row>
    <row r="2196" spans="2:15" x14ac:dyDescent="0.2">
      <c r="B2196" s="1">
        <v>2181</v>
      </c>
      <c r="C2196" s="101">
        <f t="shared" ca="1" si="136"/>
        <v>-0.87346148439558324</v>
      </c>
      <c r="D2196" s="101">
        <f t="shared" ca="1" si="137"/>
        <v>0.60964616851283826</v>
      </c>
      <c r="E2196" s="101">
        <f t="shared" ca="1" si="138"/>
        <v>0</v>
      </c>
      <c r="F2196" s="21">
        <f t="shared" ca="1" si="139"/>
        <v>0</v>
      </c>
      <c r="H2196" s="21">
        <v>2181</v>
      </c>
      <c r="I2196" s="102">
        <v>0.66758492301118444</v>
      </c>
      <c r="J2196" s="103">
        <v>1.1700550561007518E-3</v>
      </c>
      <c r="K2196" s="103"/>
      <c r="L2196" s="103">
        <v>3.7400000000000003E-2</v>
      </c>
      <c r="O2196" s="100"/>
    </row>
    <row r="2197" spans="2:15" x14ac:dyDescent="0.2">
      <c r="B2197" s="1">
        <v>2182</v>
      </c>
      <c r="C2197" s="101">
        <f t="shared" ca="1" si="136"/>
        <v>-0.38247448165568859</v>
      </c>
      <c r="D2197" s="101">
        <f t="shared" ca="1" si="137"/>
        <v>0.63989899663302274</v>
      </c>
      <c r="E2197" s="101">
        <f t="shared" ca="1" si="138"/>
        <v>0</v>
      </c>
      <c r="F2197" s="21">
        <f t="shared" ca="1" si="139"/>
        <v>0</v>
      </c>
      <c r="H2197" s="21">
        <v>2182</v>
      </c>
      <c r="I2197" s="102">
        <v>0.6677716318884519</v>
      </c>
      <c r="J2197" s="103">
        <v>1.4488809015639815E-3</v>
      </c>
      <c r="K2197" s="103"/>
      <c r="L2197" s="103">
        <v>4.1599999999999998E-2</v>
      </c>
      <c r="O2197" s="100"/>
    </row>
    <row r="2198" spans="2:15" x14ac:dyDescent="0.2">
      <c r="B2198" s="1">
        <v>2183</v>
      </c>
      <c r="C2198" s="101">
        <f t="shared" ca="1" si="136"/>
        <v>-6.8550920707394639E-3</v>
      </c>
      <c r="D2198" s="101">
        <f t="shared" ca="1" si="137"/>
        <v>0.66405298349316155</v>
      </c>
      <c r="E2198" s="101">
        <f t="shared" ca="1" si="138"/>
        <v>0</v>
      </c>
      <c r="F2198" s="21">
        <f t="shared" ca="1" si="139"/>
        <v>0</v>
      </c>
      <c r="H2198" s="21">
        <v>2183</v>
      </c>
      <c r="I2198" s="102">
        <v>0.66770080914188468</v>
      </c>
      <c r="J2198" s="103">
        <v>1.2652560592860246E-3</v>
      </c>
      <c r="K2198" s="103"/>
      <c r="L2198" s="103">
        <v>0.04</v>
      </c>
      <c r="O2198" s="100"/>
    </row>
    <row r="2199" spans="2:15" x14ac:dyDescent="0.2">
      <c r="B2199" s="1">
        <v>2184</v>
      </c>
      <c r="C2199" s="101">
        <f t="shared" ca="1" si="136"/>
        <v>9.7859206938405413E-2</v>
      </c>
      <c r="D2199" s="101">
        <f t="shared" ca="1" si="137"/>
        <v>0.6709476378873892</v>
      </c>
      <c r="E2199" s="101">
        <f t="shared" ca="1" si="138"/>
        <v>0</v>
      </c>
      <c r="F2199" s="21">
        <f t="shared" ca="1" si="139"/>
        <v>0</v>
      </c>
      <c r="H2199" s="21">
        <v>2184</v>
      </c>
      <c r="I2199" s="102">
        <v>0.66776914159426337</v>
      </c>
      <c r="J2199" s="103">
        <v>1.3888669461241761E-3</v>
      </c>
      <c r="K2199" s="103"/>
      <c r="L2199" s="103">
        <v>4.1399999999999999E-2</v>
      </c>
      <c r="O2199" s="100"/>
    </row>
    <row r="2200" spans="2:15" x14ac:dyDescent="0.2">
      <c r="B2200" s="1">
        <v>2185</v>
      </c>
      <c r="C2200" s="101">
        <f t="shared" ca="1" si="136"/>
        <v>-0.14336641910984393</v>
      </c>
      <c r="D2200" s="101">
        <f t="shared" ca="1" si="137"/>
        <v>0.65517100796960404</v>
      </c>
      <c r="E2200" s="101">
        <f t="shared" ca="1" si="138"/>
        <v>0</v>
      </c>
      <c r="F2200" s="21">
        <f t="shared" ca="1" si="139"/>
        <v>0</v>
      </c>
      <c r="H2200" s="21">
        <v>2185</v>
      </c>
      <c r="I2200" s="102">
        <v>0.66770561744059798</v>
      </c>
      <c r="J2200" s="103">
        <v>1.432017809845621E-3</v>
      </c>
      <c r="K2200" s="103"/>
      <c r="L2200" s="103">
        <v>4.1399999999999999E-2</v>
      </c>
      <c r="O2200" s="100"/>
    </row>
    <row r="2201" spans="2:15" x14ac:dyDescent="0.2">
      <c r="B2201" s="1">
        <v>2186</v>
      </c>
      <c r="C2201" s="101">
        <f t="shared" ca="1" si="136"/>
        <v>-0.2342512479757351</v>
      </c>
      <c r="D2201" s="101">
        <f t="shared" ca="1" si="137"/>
        <v>0.64932364982186508</v>
      </c>
      <c r="E2201" s="101">
        <f t="shared" ca="1" si="138"/>
        <v>0</v>
      </c>
      <c r="F2201" s="21">
        <f t="shared" ca="1" si="139"/>
        <v>0</v>
      </c>
      <c r="H2201" s="21">
        <v>2186</v>
      </c>
      <c r="I2201" s="102">
        <v>0.66782630816645794</v>
      </c>
      <c r="J2201" s="103">
        <v>1.4368808275003649E-3</v>
      </c>
      <c r="K2201" s="103"/>
      <c r="L2201" s="103">
        <v>4.02E-2</v>
      </c>
      <c r="O2201" s="100"/>
    </row>
    <row r="2202" spans="2:15" x14ac:dyDescent="0.2">
      <c r="B2202" s="1">
        <v>2187</v>
      </c>
      <c r="C2202" s="101">
        <f t="shared" ca="1" si="136"/>
        <v>-1.4176397321155736</v>
      </c>
      <c r="D2202" s="101">
        <f t="shared" ca="1" si="137"/>
        <v>0.57778410229072452</v>
      </c>
      <c r="E2202" s="101">
        <f t="shared" ca="1" si="138"/>
        <v>0</v>
      </c>
      <c r="F2202" s="21">
        <f t="shared" ca="1" si="139"/>
        <v>0</v>
      </c>
      <c r="H2202" s="21">
        <v>2187</v>
      </c>
      <c r="I2202" s="102">
        <v>0.66780983970749053</v>
      </c>
      <c r="J2202" s="103">
        <v>1.4025041186348337E-3</v>
      </c>
      <c r="K2202" s="103"/>
      <c r="L2202" s="103">
        <v>4.1599999999999998E-2</v>
      </c>
      <c r="O2202" s="100"/>
    </row>
    <row r="2203" spans="2:15" x14ac:dyDescent="0.2">
      <c r="B2203" s="1">
        <v>2188</v>
      </c>
      <c r="C2203" s="101">
        <f t="shared" ca="1" si="136"/>
        <v>-1.1353917323612694</v>
      </c>
      <c r="D2203" s="101">
        <f t="shared" ca="1" si="137"/>
        <v>0.59409639677941384</v>
      </c>
      <c r="E2203" s="101">
        <f t="shared" ca="1" si="138"/>
        <v>0</v>
      </c>
      <c r="F2203" s="21">
        <f t="shared" ca="1" si="139"/>
        <v>0</v>
      </c>
      <c r="H2203" s="21">
        <v>2188</v>
      </c>
      <c r="I2203" s="102">
        <v>0.66772409300929847</v>
      </c>
      <c r="J2203" s="103">
        <v>1.4474401434845096E-3</v>
      </c>
      <c r="K2203" s="103"/>
      <c r="L2203" s="103">
        <v>4.2200000000000001E-2</v>
      </c>
      <c r="O2203" s="100"/>
    </row>
    <row r="2204" spans="2:15" x14ac:dyDescent="0.2">
      <c r="B2204" s="1">
        <v>2189</v>
      </c>
      <c r="C2204" s="101">
        <f t="shared" ca="1" si="136"/>
        <v>0.92352919378058962</v>
      </c>
      <c r="D2204" s="101">
        <f t="shared" ca="1" si="137"/>
        <v>0.72788005873542916</v>
      </c>
      <c r="E2204" s="101">
        <f t="shared" ca="1" si="138"/>
        <v>0</v>
      </c>
      <c r="F2204" s="21">
        <f t="shared" ca="1" si="139"/>
        <v>0</v>
      </c>
      <c r="H2204" s="21">
        <v>2189</v>
      </c>
      <c r="I2204" s="102">
        <v>0.66787651084347344</v>
      </c>
      <c r="J2204" s="103">
        <v>1.5905789866434397E-3</v>
      </c>
      <c r="K2204" s="103"/>
      <c r="L2204" s="103">
        <v>4.58E-2</v>
      </c>
      <c r="O2204" s="100"/>
    </row>
    <row r="2205" spans="2:15" x14ac:dyDescent="0.2">
      <c r="B2205" s="1">
        <v>2190</v>
      </c>
      <c r="C2205" s="101">
        <f t="shared" ca="1" si="136"/>
        <v>-0.46770904456499379</v>
      </c>
      <c r="D2205" s="101">
        <f t="shared" ca="1" si="137"/>
        <v>0.63454150317579561</v>
      </c>
      <c r="E2205" s="101">
        <f t="shared" ca="1" si="138"/>
        <v>0</v>
      </c>
      <c r="F2205" s="21">
        <f t="shared" ca="1" si="139"/>
        <v>0</v>
      </c>
      <c r="H2205" s="21">
        <v>2190</v>
      </c>
      <c r="I2205" s="102">
        <v>0.66781036810816718</v>
      </c>
      <c r="J2205" s="103">
        <v>1.4028514397558065E-3</v>
      </c>
      <c r="K2205" s="103"/>
      <c r="L2205" s="103">
        <v>4.4600000000000001E-2</v>
      </c>
      <c r="O2205" s="100"/>
    </row>
    <row r="2206" spans="2:15" x14ac:dyDescent="0.2">
      <c r="B2206" s="1">
        <v>2191</v>
      </c>
      <c r="C2206" s="101">
        <f t="shared" ca="1" si="136"/>
        <v>0.52623751154289655</v>
      </c>
      <c r="D2206" s="101">
        <f t="shared" ca="1" si="137"/>
        <v>0.69990660302182151</v>
      </c>
      <c r="E2206" s="101">
        <f t="shared" ca="1" si="138"/>
        <v>0</v>
      </c>
      <c r="F2206" s="21">
        <f t="shared" ca="1" si="139"/>
        <v>0</v>
      </c>
      <c r="H2206" s="21">
        <v>2191</v>
      </c>
      <c r="I2206" s="102">
        <v>0.66774045389462067</v>
      </c>
      <c r="J2206" s="103">
        <v>1.3232797754287218E-3</v>
      </c>
      <c r="K2206" s="103"/>
      <c r="L2206" s="103">
        <v>3.9800000000000002E-2</v>
      </c>
      <c r="O2206" s="100"/>
    </row>
    <row r="2207" spans="2:15" x14ac:dyDescent="0.2">
      <c r="B2207" s="1">
        <v>2192</v>
      </c>
      <c r="C2207" s="101">
        <f t="shared" ca="1" si="136"/>
        <v>-2.0619515550095295</v>
      </c>
      <c r="D2207" s="101">
        <f t="shared" ca="1" si="137"/>
        <v>0.54220518560614406</v>
      </c>
      <c r="E2207" s="101">
        <f t="shared" ca="1" si="138"/>
        <v>0</v>
      </c>
      <c r="F2207" s="21">
        <f t="shared" ca="1" si="139"/>
        <v>0</v>
      </c>
      <c r="H2207" s="21">
        <v>2192</v>
      </c>
      <c r="I2207" s="102">
        <v>0.66762381847149255</v>
      </c>
      <c r="J2207" s="103">
        <v>1.2631238978968646E-3</v>
      </c>
      <c r="K2207" s="103"/>
      <c r="L2207" s="103">
        <v>3.78E-2</v>
      </c>
      <c r="O2207" s="100"/>
    </row>
    <row r="2208" spans="2:15" x14ac:dyDescent="0.2">
      <c r="B2208" s="1">
        <v>2193</v>
      </c>
      <c r="C2208" s="101">
        <f t="shared" ca="1" si="136"/>
        <v>-9.7890493451772378E-2</v>
      </c>
      <c r="D2208" s="101">
        <f t="shared" ca="1" si="137"/>
        <v>0.65811657943552393</v>
      </c>
      <c r="E2208" s="101">
        <f t="shared" ca="1" si="138"/>
        <v>0</v>
      </c>
      <c r="F2208" s="21">
        <f t="shared" ca="1" si="139"/>
        <v>0</v>
      </c>
      <c r="H2208" s="21">
        <v>2193</v>
      </c>
      <c r="I2208" s="102">
        <v>0.66768003565604506</v>
      </c>
      <c r="J2208" s="103">
        <v>1.4226260131198474E-3</v>
      </c>
      <c r="K2208" s="103"/>
      <c r="L2208" s="103">
        <v>3.78E-2</v>
      </c>
      <c r="O2208" s="100"/>
    </row>
    <row r="2209" spans="2:15" x14ac:dyDescent="0.2">
      <c r="B2209" s="1">
        <v>2194</v>
      </c>
      <c r="C2209" s="101">
        <f t="shared" ca="1" si="136"/>
        <v>-0.29387164923225878</v>
      </c>
      <c r="D2209" s="101">
        <f t="shared" ca="1" si="137"/>
        <v>0.64551616139763368</v>
      </c>
      <c r="E2209" s="101">
        <f t="shared" ca="1" si="138"/>
        <v>0</v>
      </c>
      <c r="F2209" s="21">
        <f t="shared" ca="1" si="139"/>
        <v>0</v>
      </c>
      <c r="H2209" s="21">
        <v>2194</v>
      </c>
      <c r="I2209" s="102">
        <v>0.66773527751297135</v>
      </c>
      <c r="J2209" s="103">
        <v>1.3157308496007656E-3</v>
      </c>
      <c r="K2209" s="103"/>
      <c r="L2209" s="103">
        <v>4.4200000000000003E-2</v>
      </c>
      <c r="O2209" s="100"/>
    </row>
    <row r="2210" spans="2:15" x14ac:dyDescent="0.2">
      <c r="B2210" s="1">
        <v>2195</v>
      </c>
      <c r="C2210" s="101">
        <f t="shared" ca="1" si="136"/>
        <v>0.12261937713573628</v>
      </c>
      <c r="D2210" s="101">
        <f t="shared" ca="1" si="137"/>
        <v>0.67258834710394722</v>
      </c>
      <c r="E2210" s="101">
        <f t="shared" ca="1" si="138"/>
        <v>0</v>
      </c>
      <c r="F2210" s="21">
        <f t="shared" ca="1" si="139"/>
        <v>0</v>
      </c>
      <c r="H2210" s="21">
        <v>2195</v>
      </c>
      <c r="I2210" s="102">
        <v>0.66777359331696162</v>
      </c>
      <c r="J2210" s="103">
        <v>1.5464926791742342E-3</v>
      </c>
      <c r="K2210" s="103"/>
      <c r="L2210" s="103">
        <v>4.6399999999999997E-2</v>
      </c>
      <c r="O2210" s="100"/>
    </row>
    <row r="2211" spans="2:15" x14ac:dyDescent="0.2">
      <c r="B2211" s="1">
        <v>2196</v>
      </c>
      <c r="C2211" s="101">
        <f t="shared" ca="1" si="136"/>
        <v>1.2413025042397829</v>
      </c>
      <c r="D2211" s="101">
        <f t="shared" ca="1" si="137"/>
        <v>0.75105723514856759</v>
      </c>
      <c r="E2211" s="101">
        <f t="shared" ca="1" si="138"/>
        <v>0</v>
      </c>
      <c r="F2211" s="21">
        <f t="shared" ca="1" si="139"/>
        <v>0</v>
      </c>
      <c r="H2211" s="21">
        <v>2196</v>
      </c>
      <c r="I2211" s="102">
        <v>0.66756587301555403</v>
      </c>
      <c r="J2211" s="103">
        <v>1.279002287274541E-3</v>
      </c>
      <c r="K2211" s="103"/>
      <c r="L2211" s="103">
        <v>3.6799999999999999E-2</v>
      </c>
      <c r="O2211" s="100"/>
    </row>
    <row r="2212" spans="2:15" x14ac:dyDescent="0.2">
      <c r="B2212" s="1">
        <v>2197</v>
      </c>
      <c r="C2212" s="101">
        <f t="shared" ca="1" si="136"/>
        <v>-0.17090091817754646</v>
      </c>
      <c r="D2212" s="101">
        <f t="shared" ca="1" si="137"/>
        <v>0.65339395200723072</v>
      </c>
      <c r="E2212" s="101">
        <f t="shared" ca="1" si="138"/>
        <v>0</v>
      </c>
      <c r="F2212" s="21">
        <f t="shared" ca="1" si="139"/>
        <v>0</v>
      </c>
      <c r="H2212" s="21">
        <v>2197</v>
      </c>
      <c r="I2212" s="102">
        <v>0.66768428309815586</v>
      </c>
      <c r="J2212" s="103">
        <v>1.2746598903145164E-3</v>
      </c>
      <c r="K2212" s="103"/>
      <c r="L2212" s="103">
        <v>3.8800000000000001E-2</v>
      </c>
      <c r="O2212" s="100"/>
    </row>
    <row r="2213" spans="2:15" x14ac:dyDescent="0.2">
      <c r="B2213" s="1">
        <v>2198</v>
      </c>
      <c r="C2213" s="101">
        <f t="shared" ca="1" si="136"/>
        <v>-0.24079830376661093</v>
      </c>
      <c r="D2213" s="101">
        <f t="shared" ca="1" si="137"/>
        <v>0.64890444532260505</v>
      </c>
      <c r="E2213" s="101">
        <f t="shared" ca="1" si="138"/>
        <v>0</v>
      </c>
      <c r="F2213" s="21">
        <f t="shared" ca="1" si="139"/>
        <v>0</v>
      </c>
      <c r="H2213" s="21">
        <v>2198</v>
      </c>
      <c r="I2213" s="102">
        <v>0.66768703850853195</v>
      </c>
      <c r="J2213" s="103">
        <v>1.3419497332330316E-3</v>
      </c>
      <c r="K2213" s="103"/>
      <c r="L2213" s="103">
        <v>4.0800000000000003E-2</v>
      </c>
      <c r="O2213" s="100"/>
    </row>
    <row r="2214" spans="2:15" x14ac:dyDescent="0.2">
      <c r="B2214" s="1">
        <v>2199</v>
      </c>
      <c r="C2214" s="101">
        <f t="shared" ca="1" si="136"/>
        <v>-0.25530170657410145</v>
      </c>
      <c r="D2214" s="101">
        <f t="shared" ca="1" si="137"/>
        <v>0.64797676373370139</v>
      </c>
      <c r="E2214" s="101">
        <f t="shared" ca="1" si="138"/>
        <v>0</v>
      </c>
      <c r="F2214" s="21">
        <f t="shared" ca="1" si="139"/>
        <v>0</v>
      </c>
      <c r="H2214" s="21">
        <v>2199</v>
      </c>
      <c r="I2214" s="102">
        <v>0.66754504960478023</v>
      </c>
      <c r="J2214" s="103">
        <v>1.3481848497575478E-3</v>
      </c>
      <c r="K2214" s="103"/>
      <c r="L2214" s="103">
        <v>3.56E-2</v>
      </c>
      <c r="O2214" s="100"/>
    </row>
    <row r="2215" spans="2:15" x14ac:dyDescent="0.2">
      <c r="B2215" s="1">
        <v>2200</v>
      </c>
      <c r="C2215" s="101">
        <f t="shared" ca="1" si="136"/>
        <v>0.21576638168992882</v>
      </c>
      <c r="D2215" s="101">
        <f t="shared" ca="1" si="137"/>
        <v>0.67879666347958367</v>
      </c>
      <c r="E2215" s="101">
        <f t="shared" ca="1" si="138"/>
        <v>0</v>
      </c>
      <c r="F2215" s="21">
        <f t="shared" ca="1" si="139"/>
        <v>0</v>
      </c>
      <c r="H2215" s="21">
        <v>2200</v>
      </c>
      <c r="I2215" s="102">
        <v>0.66768841528398737</v>
      </c>
      <c r="J2215" s="103">
        <v>1.2163775268216189E-3</v>
      </c>
      <c r="K2215" s="103"/>
      <c r="L2215" s="103">
        <v>3.9800000000000002E-2</v>
      </c>
      <c r="O2215" s="100"/>
    </row>
    <row r="2216" spans="2:15" x14ac:dyDescent="0.2">
      <c r="B2216" s="1">
        <v>2201</v>
      </c>
      <c r="C2216" s="101">
        <f t="shared" ca="1" si="136"/>
        <v>-2.0524935719772999</v>
      </c>
      <c r="D2216" s="101">
        <f t="shared" ca="1" si="137"/>
        <v>0.54271127088062532</v>
      </c>
      <c r="E2216" s="101">
        <f t="shared" ca="1" si="138"/>
        <v>0</v>
      </c>
      <c r="F2216" s="21">
        <f t="shared" ca="1" si="139"/>
        <v>0</v>
      </c>
      <c r="H2216" s="21">
        <v>2201</v>
      </c>
      <c r="I2216" s="102">
        <v>0.66765981883280001</v>
      </c>
      <c r="J2216" s="103">
        <v>1.3382216587139511E-3</v>
      </c>
      <c r="K2216" s="103"/>
      <c r="L2216" s="103">
        <v>4.2000000000000003E-2</v>
      </c>
      <c r="O2216" s="100"/>
    </row>
    <row r="2217" spans="2:15" x14ac:dyDescent="0.2">
      <c r="B2217" s="1">
        <v>2202</v>
      </c>
      <c r="C2217" s="101">
        <f t="shared" ca="1" si="136"/>
        <v>1.2748917639035589</v>
      </c>
      <c r="D2217" s="101">
        <f t="shared" ca="1" si="137"/>
        <v>0.75354983196948033</v>
      </c>
      <c r="E2217" s="101">
        <f t="shared" ca="1" si="138"/>
        <v>0</v>
      </c>
      <c r="F2217" s="21">
        <f t="shared" ca="1" si="139"/>
        <v>0</v>
      </c>
      <c r="H2217" s="21">
        <v>2202</v>
      </c>
      <c r="I2217" s="102">
        <v>0.66764764259942666</v>
      </c>
      <c r="J2217" s="103">
        <v>1.3207737771581095E-3</v>
      </c>
      <c r="K2217" s="103"/>
      <c r="L2217" s="103">
        <v>4.24E-2</v>
      </c>
      <c r="O2217" s="100"/>
    </row>
    <row r="2218" spans="2:15" x14ac:dyDescent="0.2">
      <c r="B2218" s="1">
        <v>2203</v>
      </c>
      <c r="C2218" s="101">
        <f t="shared" ca="1" si="136"/>
        <v>-0.18058613578145011</v>
      </c>
      <c r="D2218" s="101">
        <f t="shared" ca="1" si="137"/>
        <v>0.65277002188119437</v>
      </c>
      <c r="E2218" s="101">
        <f t="shared" ca="1" si="138"/>
        <v>0</v>
      </c>
      <c r="F2218" s="21">
        <f t="shared" ca="1" si="139"/>
        <v>0</v>
      </c>
      <c r="H2218" s="21">
        <v>2203</v>
      </c>
      <c r="I2218" s="102">
        <v>0.6678053330247824</v>
      </c>
      <c r="J2218" s="103">
        <v>1.3507530274921081E-3</v>
      </c>
      <c r="K2218" s="103"/>
      <c r="L2218" s="103">
        <v>4.5999999999999999E-2</v>
      </c>
      <c r="O2218" s="100"/>
    </row>
    <row r="2219" spans="2:15" x14ac:dyDescent="0.2">
      <c r="B2219" s="1">
        <v>2204</v>
      </c>
      <c r="C2219" s="101">
        <f t="shared" ca="1" si="136"/>
        <v>-0.98198078823076018</v>
      </c>
      <c r="D2219" s="101">
        <f t="shared" ca="1" si="137"/>
        <v>0.60315502259639009</v>
      </c>
      <c r="E2219" s="101">
        <f t="shared" ca="1" si="138"/>
        <v>0</v>
      </c>
      <c r="F2219" s="21">
        <f t="shared" ca="1" si="139"/>
        <v>0</v>
      </c>
      <c r="H2219" s="21">
        <v>2204</v>
      </c>
      <c r="I2219" s="102">
        <v>0.66754445661814077</v>
      </c>
      <c r="J2219" s="103">
        <v>1.2206588502985472E-3</v>
      </c>
      <c r="K2219" s="103"/>
      <c r="L2219" s="103">
        <v>4.0399999999999998E-2</v>
      </c>
      <c r="O2219" s="100"/>
    </row>
    <row r="2220" spans="2:15" x14ac:dyDescent="0.2">
      <c r="B2220" s="1">
        <v>2205</v>
      </c>
      <c r="C2220" s="101">
        <f t="shared" ca="1" si="136"/>
        <v>6.0449642060027849E-2</v>
      </c>
      <c r="D2220" s="101">
        <f t="shared" ca="1" si="137"/>
        <v>0.6684763170511655</v>
      </c>
      <c r="E2220" s="101">
        <f t="shared" ca="1" si="138"/>
        <v>0</v>
      </c>
      <c r="F2220" s="21">
        <f t="shared" ca="1" si="139"/>
        <v>0</v>
      </c>
      <c r="H2220" s="21">
        <v>2205</v>
      </c>
      <c r="I2220" s="102">
        <v>0.66762313837925358</v>
      </c>
      <c r="J2220" s="103">
        <v>1.18505439774629E-3</v>
      </c>
      <c r="K2220" s="103"/>
      <c r="L2220" s="103">
        <v>3.7199999999999997E-2</v>
      </c>
      <c r="O2220" s="100"/>
    </row>
    <row r="2221" spans="2:15" x14ac:dyDescent="0.2">
      <c r="B2221" s="1">
        <v>2206</v>
      </c>
      <c r="C2221" s="101">
        <f t="shared" ca="1" si="136"/>
        <v>-0.76766268364171408</v>
      </c>
      <c r="D2221" s="101">
        <f t="shared" ca="1" si="137"/>
        <v>0.6160418325582343</v>
      </c>
      <c r="E2221" s="101">
        <f t="shared" ca="1" si="138"/>
        <v>0</v>
      </c>
      <c r="F2221" s="21">
        <f t="shared" ca="1" si="139"/>
        <v>0</v>
      </c>
      <c r="H2221" s="21">
        <v>2206</v>
      </c>
      <c r="I2221" s="102">
        <v>0.66767374645823852</v>
      </c>
      <c r="J2221" s="103">
        <v>1.3612457430063507E-3</v>
      </c>
      <c r="K2221" s="103"/>
      <c r="L2221" s="103">
        <v>4.2200000000000001E-2</v>
      </c>
      <c r="O2221" s="100"/>
    </row>
    <row r="2222" spans="2:15" x14ac:dyDescent="0.2">
      <c r="B2222" s="1">
        <v>2207</v>
      </c>
      <c r="C2222" s="101">
        <f t="shared" ca="1" si="136"/>
        <v>0.46810699082423307</v>
      </c>
      <c r="D2222" s="101">
        <f t="shared" ca="1" si="137"/>
        <v>0.69590477278046337</v>
      </c>
      <c r="E2222" s="101">
        <f t="shared" ca="1" si="138"/>
        <v>0</v>
      </c>
      <c r="F2222" s="21">
        <f t="shared" ca="1" si="139"/>
        <v>0</v>
      </c>
      <c r="H2222" s="21">
        <v>2207</v>
      </c>
      <c r="I2222" s="102">
        <v>0.66775046556640472</v>
      </c>
      <c r="J2222" s="103">
        <v>1.3683725240290481E-3</v>
      </c>
      <c r="K2222" s="103"/>
      <c r="L2222" s="103">
        <v>3.9399999999999998E-2</v>
      </c>
      <c r="O2222" s="100"/>
    </row>
    <row r="2223" spans="2:15" x14ac:dyDescent="0.2">
      <c r="B2223" s="1">
        <v>2208</v>
      </c>
      <c r="C2223" s="101">
        <f t="shared" ca="1" si="136"/>
        <v>-8.2000179516214911E-2</v>
      </c>
      <c r="D2223" s="101">
        <f t="shared" ca="1" si="137"/>
        <v>0.65914894763887655</v>
      </c>
      <c r="E2223" s="101">
        <f t="shared" ca="1" si="138"/>
        <v>0</v>
      </c>
      <c r="F2223" s="21">
        <f t="shared" ca="1" si="139"/>
        <v>0</v>
      </c>
      <c r="H2223" s="21">
        <v>2208</v>
      </c>
      <c r="I2223" s="102">
        <v>0.66770756852690605</v>
      </c>
      <c r="J2223" s="103">
        <v>1.3149757052941017E-3</v>
      </c>
      <c r="K2223" s="103"/>
      <c r="L2223" s="103">
        <v>3.9E-2</v>
      </c>
      <c r="O2223" s="100"/>
    </row>
    <row r="2224" spans="2:15" x14ac:dyDescent="0.2">
      <c r="B2224" s="1">
        <v>2209</v>
      </c>
      <c r="C2224" s="101">
        <f t="shared" ca="1" si="136"/>
        <v>-0.83229923319320631</v>
      </c>
      <c r="D2224" s="101">
        <f t="shared" ca="1" si="137"/>
        <v>0.61212654638988373</v>
      </c>
      <c r="E2224" s="101">
        <f t="shared" ca="1" si="138"/>
        <v>0</v>
      </c>
      <c r="F2224" s="21">
        <f t="shared" ca="1" si="139"/>
        <v>0</v>
      </c>
      <c r="H2224" s="21">
        <v>2209</v>
      </c>
      <c r="I2224" s="102">
        <v>0.66792493418370624</v>
      </c>
      <c r="J2224" s="103">
        <v>1.567618399337174E-3</v>
      </c>
      <c r="K2224" s="103"/>
      <c r="L2224" s="103">
        <v>4.6600000000000003E-2</v>
      </c>
      <c r="O2224" s="100"/>
    </row>
    <row r="2225" spans="2:15" x14ac:dyDescent="0.2">
      <c r="B2225" s="1">
        <v>2210</v>
      </c>
      <c r="C2225" s="101">
        <f t="shared" ca="1" si="136"/>
        <v>0.45332365385360401</v>
      </c>
      <c r="D2225" s="101">
        <f t="shared" ca="1" si="137"/>
        <v>0.69489071062330598</v>
      </c>
      <c r="E2225" s="101">
        <f t="shared" ca="1" si="138"/>
        <v>0</v>
      </c>
      <c r="F2225" s="21">
        <f t="shared" ca="1" si="139"/>
        <v>0</v>
      </c>
      <c r="H2225" s="21">
        <v>2210</v>
      </c>
      <c r="I2225" s="102">
        <v>0.66772107433096672</v>
      </c>
      <c r="J2225" s="103">
        <v>1.3552026998606655E-3</v>
      </c>
      <c r="K2225" s="103"/>
      <c r="L2225" s="103">
        <v>4.2799999999999998E-2</v>
      </c>
      <c r="O2225" s="100"/>
    </row>
    <row r="2226" spans="2:15" x14ac:dyDescent="0.2">
      <c r="B2226" s="1">
        <v>2211</v>
      </c>
      <c r="C2226" s="101">
        <f t="shared" ca="1" si="136"/>
        <v>0.36225382318065319</v>
      </c>
      <c r="D2226" s="101">
        <f t="shared" ca="1" si="137"/>
        <v>0.6886762890954875</v>
      </c>
      <c r="E2226" s="101">
        <f t="shared" ca="1" si="138"/>
        <v>0</v>
      </c>
      <c r="F2226" s="21">
        <f t="shared" ca="1" si="139"/>
        <v>0</v>
      </c>
      <c r="H2226" s="21">
        <v>2211</v>
      </c>
      <c r="I2226" s="102">
        <v>0.66766503844565561</v>
      </c>
      <c r="J2226" s="103">
        <v>1.2303447795847598E-3</v>
      </c>
      <c r="K2226" s="103"/>
      <c r="L2226" s="103">
        <v>3.8399999999999997E-2</v>
      </c>
      <c r="O2226" s="100"/>
    </row>
    <row r="2227" spans="2:15" x14ac:dyDescent="0.2">
      <c r="B2227" s="1">
        <v>2212</v>
      </c>
      <c r="C2227" s="101">
        <f t="shared" ca="1" si="136"/>
        <v>0.83145980654710683</v>
      </c>
      <c r="D2227" s="101">
        <f t="shared" ca="1" si="137"/>
        <v>0.72129949091389101</v>
      </c>
      <c r="E2227" s="101">
        <f t="shared" ca="1" si="138"/>
        <v>0</v>
      </c>
      <c r="F2227" s="21">
        <f t="shared" ca="1" si="139"/>
        <v>0</v>
      </c>
      <c r="H2227" s="21">
        <v>2212</v>
      </c>
      <c r="I2227" s="102">
        <v>0.66767570247997543</v>
      </c>
      <c r="J2227" s="103">
        <v>1.3137397063873681E-3</v>
      </c>
      <c r="K2227" s="103"/>
      <c r="L2227" s="103">
        <v>3.6600000000000001E-2</v>
      </c>
      <c r="O2227" s="100"/>
    </row>
    <row r="2228" spans="2:15" x14ac:dyDescent="0.2">
      <c r="B2228" s="1">
        <v>2213</v>
      </c>
      <c r="C2228" s="101">
        <f t="shared" ca="1" si="136"/>
        <v>0.11516980190967584</v>
      </c>
      <c r="D2228" s="101">
        <f t="shared" ca="1" si="137"/>
        <v>0.67209428653796155</v>
      </c>
      <c r="E2228" s="101">
        <f t="shared" ca="1" si="138"/>
        <v>0</v>
      </c>
      <c r="F2228" s="21">
        <f t="shared" ca="1" si="139"/>
        <v>0</v>
      </c>
      <c r="H2228" s="21">
        <v>2213</v>
      </c>
      <c r="I2228" s="102">
        <v>0.66773852201495687</v>
      </c>
      <c r="J2228" s="103">
        <v>1.2588456835068518E-3</v>
      </c>
      <c r="K2228" s="103"/>
      <c r="L2228" s="103">
        <v>4.2200000000000001E-2</v>
      </c>
      <c r="O2228" s="100"/>
    </row>
    <row r="2229" spans="2:15" x14ac:dyDescent="0.2">
      <c r="B2229" s="1">
        <v>2214</v>
      </c>
      <c r="C2229" s="101">
        <f t="shared" ca="1" si="136"/>
        <v>-0.47793798790416309</v>
      </c>
      <c r="D2229" s="101">
        <f t="shared" ca="1" si="137"/>
        <v>0.63390157589607177</v>
      </c>
      <c r="E2229" s="101">
        <f t="shared" ca="1" si="138"/>
        <v>0</v>
      </c>
      <c r="F2229" s="21">
        <f t="shared" ca="1" si="139"/>
        <v>0</v>
      </c>
      <c r="H2229" s="21">
        <v>2214</v>
      </c>
      <c r="I2229" s="102">
        <v>0.66757780791121091</v>
      </c>
      <c r="J2229" s="103">
        <v>1.1431921123064878E-3</v>
      </c>
      <c r="K2229" s="103"/>
      <c r="L2229" s="103">
        <v>3.7400000000000003E-2</v>
      </c>
      <c r="O2229" s="100"/>
    </row>
    <row r="2230" spans="2:15" x14ac:dyDescent="0.2">
      <c r="B2230" s="1">
        <v>2215</v>
      </c>
      <c r="C2230" s="101">
        <f t="shared" ca="1" si="136"/>
        <v>0.80200864638120029</v>
      </c>
      <c r="D2230" s="101">
        <f t="shared" ca="1" si="137"/>
        <v>0.71920708349188922</v>
      </c>
      <c r="E2230" s="101">
        <f t="shared" ca="1" si="138"/>
        <v>0</v>
      </c>
      <c r="F2230" s="21">
        <f t="shared" ca="1" si="139"/>
        <v>0</v>
      </c>
      <c r="H2230" s="21">
        <v>2215</v>
      </c>
      <c r="I2230" s="102">
        <v>0.66789883115212856</v>
      </c>
      <c r="J2230" s="103">
        <v>1.5605014596185068E-3</v>
      </c>
      <c r="K2230" s="103"/>
      <c r="L2230" s="103">
        <v>4.4400000000000002E-2</v>
      </c>
      <c r="O2230" s="100"/>
    </row>
    <row r="2231" spans="2:15" x14ac:dyDescent="0.2">
      <c r="B2231" s="1">
        <v>2216</v>
      </c>
      <c r="C2231" s="101">
        <f t="shared" ca="1" si="136"/>
        <v>1.6017077087802807</v>
      </c>
      <c r="D2231" s="101">
        <f t="shared" ca="1" si="137"/>
        <v>0.77823824745757175</v>
      </c>
      <c r="E2231" s="101">
        <f t="shared" ca="1" si="138"/>
        <v>0</v>
      </c>
      <c r="F2231" s="21">
        <f t="shared" ca="1" si="139"/>
        <v>0</v>
      </c>
      <c r="H2231" s="21">
        <v>2216</v>
      </c>
      <c r="I2231" s="102">
        <v>0.66787302876289678</v>
      </c>
      <c r="J2231" s="103">
        <v>1.5028643944427448E-3</v>
      </c>
      <c r="K2231" s="103"/>
      <c r="L2231" s="103">
        <v>4.5199999999999997E-2</v>
      </c>
      <c r="O2231" s="100"/>
    </row>
    <row r="2232" spans="2:15" x14ac:dyDescent="0.2">
      <c r="B2232" s="1">
        <v>2217</v>
      </c>
      <c r="C2232" s="101">
        <f t="shared" ca="1" si="136"/>
        <v>-0.43104123831403995</v>
      </c>
      <c r="D2232" s="101">
        <f t="shared" ca="1" si="137"/>
        <v>0.63684077073323186</v>
      </c>
      <c r="E2232" s="101">
        <f t="shared" ca="1" si="138"/>
        <v>0</v>
      </c>
      <c r="F2232" s="21">
        <f t="shared" ca="1" si="139"/>
        <v>0</v>
      </c>
      <c r="H2232" s="21">
        <v>2217</v>
      </c>
      <c r="I2232" s="102">
        <v>0.66776841941766329</v>
      </c>
      <c r="J2232" s="103">
        <v>1.2687556868000249E-3</v>
      </c>
      <c r="K2232" s="103"/>
      <c r="L2232" s="103">
        <v>4.2599999999999999E-2</v>
      </c>
      <c r="O2232" s="100"/>
    </row>
    <row r="2233" spans="2:15" x14ac:dyDescent="0.2">
      <c r="B2233" s="1">
        <v>2218</v>
      </c>
      <c r="C2233" s="101">
        <f t="shared" ca="1" si="136"/>
        <v>-0.38057260857314507</v>
      </c>
      <c r="D2233" s="101">
        <f t="shared" ca="1" si="137"/>
        <v>0.64001905504645651</v>
      </c>
      <c r="E2233" s="101">
        <f t="shared" ca="1" si="138"/>
        <v>0</v>
      </c>
      <c r="F2233" s="21">
        <f t="shared" ca="1" si="139"/>
        <v>0</v>
      </c>
      <c r="H2233" s="21">
        <v>2218</v>
      </c>
      <c r="I2233" s="102">
        <v>0.6675994164424649</v>
      </c>
      <c r="J2233" s="103">
        <v>1.2182559690093924E-3</v>
      </c>
      <c r="K2233" s="103"/>
      <c r="L2233" s="103">
        <v>0.04</v>
      </c>
      <c r="O2233" s="100"/>
    </row>
    <row r="2234" spans="2:15" x14ac:dyDescent="0.2">
      <c r="B2234" s="1">
        <v>2219</v>
      </c>
      <c r="C2234" s="101">
        <f t="shared" ca="1" si="136"/>
        <v>-0.98885976706072309</v>
      </c>
      <c r="D2234" s="101">
        <f t="shared" ca="1" si="137"/>
        <v>0.60274588962037656</v>
      </c>
      <c r="E2234" s="101">
        <f t="shared" ca="1" si="138"/>
        <v>0</v>
      </c>
      <c r="F2234" s="21">
        <f t="shared" ca="1" si="139"/>
        <v>0</v>
      </c>
      <c r="H2234" s="21">
        <v>2219</v>
      </c>
      <c r="I2234" s="102">
        <v>0.66780654404130424</v>
      </c>
      <c r="J2234" s="103">
        <v>1.6363430037295487E-3</v>
      </c>
      <c r="K2234" s="103"/>
      <c r="L2234" s="103">
        <v>4.3799999999999999E-2</v>
      </c>
      <c r="O2234" s="100"/>
    </row>
    <row r="2235" spans="2:15" x14ac:dyDescent="0.2">
      <c r="B2235" s="1">
        <v>2220</v>
      </c>
      <c r="C2235" s="101">
        <f t="shared" ca="1" si="136"/>
        <v>0.49086030925774266</v>
      </c>
      <c r="D2235" s="101">
        <f t="shared" ca="1" si="137"/>
        <v>0.69746842771879913</v>
      </c>
      <c r="E2235" s="101">
        <f t="shared" ca="1" si="138"/>
        <v>0</v>
      </c>
      <c r="F2235" s="21">
        <f t="shared" ca="1" si="139"/>
        <v>0</v>
      </c>
      <c r="H2235" s="21">
        <v>2220</v>
      </c>
      <c r="I2235" s="102">
        <v>0.66774179523911137</v>
      </c>
      <c r="J2235" s="103">
        <v>1.4590173013199041E-3</v>
      </c>
      <c r="K2235" s="103"/>
      <c r="L2235" s="103">
        <v>4.2000000000000003E-2</v>
      </c>
      <c r="O2235" s="100"/>
    </row>
    <row r="2236" spans="2:15" x14ac:dyDescent="0.2">
      <c r="B2236" s="1">
        <v>2221</v>
      </c>
      <c r="C2236" s="101">
        <f t="shared" ca="1" si="136"/>
        <v>2.2519274762290498</v>
      </c>
      <c r="D2236" s="101">
        <f t="shared" ca="1" si="137"/>
        <v>0.82978883093928202</v>
      </c>
      <c r="E2236" s="101">
        <f t="shared" ca="1" si="138"/>
        <v>4.1588830939282007E-2</v>
      </c>
      <c r="F2236" s="21">
        <f t="shared" ca="1" si="139"/>
        <v>1</v>
      </c>
      <c r="H2236" s="21">
        <v>2221</v>
      </c>
      <c r="I2236" s="102">
        <v>0.66773589993075699</v>
      </c>
      <c r="J2236" s="103">
        <v>1.253177853127007E-3</v>
      </c>
      <c r="K2236" s="103"/>
      <c r="L2236" s="103">
        <v>3.8800000000000001E-2</v>
      </c>
      <c r="O2236" s="100"/>
    </row>
    <row r="2237" spans="2:15" x14ac:dyDescent="0.2">
      <c r="B2237" s="1">
        <v>2222</v>
      </c>
      <c r="C2237" s="101">
        <f t="shared" ca="1" si="136"/>
        <v>-6.7976630863056123E-2</v>
      </c>
      <c r="D2237" s="101">
        <f t="shared" ca="1" si="137"/>
        <v>0.66006138026062888</v>
      </c>
      <c r="E2237" s="101">
        <f t="shared" ca="1" si="138"/>
        <v>0</v>
      </c>
      <c r="F2237" s="21">
        <f t="shared" ca="1" si="139"/>
        <v>0</v>
      </c>
      <c r="H2237" s="21">
        <v>2222</v>
      </c>
      <c r="I2237" s="102">
        <v>0.66769829141336856</v>
      </c>
      <c r="J2237" s="103">
        <v>1.3081362144920358E-3</v>
      </c>
      <c r="K2237" s="103"/>
      <c r="L2237" s="103">
        <v>3.9399999999999998E-2</v>
      </c>
      <c r="O2237" s="100"/>
    </row>
    <row r="2238" spans="2:15" x14ac:dyDescent="0.2">
      <c r="B2238" s="1">
        <v>2223</v>
      </c>
      <c r="C2238" s="101">
        <f t="shared" ca="1" si="136"/>
        <v>-1.0351259278086975</v>
      </c>
      <c r="D2238" s="101">
        <f t="shared" ca="1" si="137"/>
        <v>0.60000137220778627</v>
      </c>
      <c r="E2238" s="101">
        <f t="shared" ca="1" si="138"/>
        <v>0</v>
      </c>
      <c r="F2238" s="21">
        <f t="shared" ca="1" si="139"/>
        <v>0</v>
      </c>
      <c r="H2238" s="21">
        <v>2223</v>
      </c>
      <c r="I2238" s="102">
        <v>0.66775445555874569</v>
      </c>
      <c r="J2238" s="103">
        <v>1.4314921844569954E-3</v>
      </c>
      <c r="K2238" s="103"/>
      <c r="L2238" s="103">
        <v>4.2599999999999999E-2</v>
      </c>
      <c r="O2238" s="100"/>
    </row>
    <row r="2239" spans="2:15" x14ac:dyDescent="0.2">
      <c r="B2239" s="1">
        <v>2224</v>
      </c>
      <c r="C2239" s="101">
        <f t="shared" ca="1" si="136"/>
        <v>-0.22129147545312483</v>
      </c>
      <c r="D2239" s="101">
        <f t="shared" ca="1" si="137"/>
        <v>0.65015425593728304</v>
      </c>
      <c r="E2239" s="101">
        <f t="shared" ca="1" si="138"/>
        <v>0</v>
      </c>
      <c r="F2239" s="21">
        <f t="shared" ca="1" si="139"/>
        <v>0</v>
      </c>
      <c r="H2239" s="21">
        <v>2224</v>
      </c>
      <c r="I2239" s="102">
        <v>0.66764092931640695</v>
      </c>
      <c r="J2239" s="103">
        <v>1.319931542400046E-3</v>
      </c>
      <c r="K2239" s="103"/>
      <c r="L2239" s="103">
        <v>3.6999999999999998E-2</v>
      </c>
      <c r="O2239" s="100"/>
    </row>
    <row r="2240" spans="2:15" x14ac:dyDescent="0.2">
      <c r="B2240" s="1">
        <v>2225</v>
      </c>
      <c r="C2240" s="101">
        <f t="shared" ca="1" si="136"/>
        <v>0.31456784550757266</v>
      </c>
      <c r="D2240" s="101">
        <f t="shared" ca="1" si="137"/>
        <v>0.68544449484614911</v>
      </c>
      <c r="E2240" s="101">
        <f t="shared" ca="1" si="138"/>
        <v>0</v>
      </c>
      <c r="F2240" s="21">
        <f t="shared" ca="1" si="139"/>
        <v>0</v>
      </c>
      <c r="H2240" s="21">
        <v>2225</v>
      </c>
      <c r="I2240" s="102">
        <v>0.66779030670340245</v>
      </c>
      <c r="J2240" s="103">
        <v>1.5693591566784957E-3</v>
      </c>
      <c r="K2240" s="103"/>
      <c r="L2240" s="103">
        <v>4.2000000000000003E-2</v>
      </c>
      <c r="O2240" s="100"/>
    </row>
    <row r="2241" spans="2:15" x14ac:dyDescent="0.2">
      <c r="B2241" s="1">
        <v>2226</v>
      </c>
      <c r="C2241" s="101">
        <f t="shared" ca="1" si="136"/>
        <v>0.52477070680551008</v>
      </c>
      <c r="D2241" s="101">
        <f t="shared" ca="1" si="137"/>
        <v>0.69980534256618843</v>
      </c>
      <c r="E2241" s="101">
        <f t="shared" ca="1" si="138"/>
        <v>0</v>
      </c>
      <c r="F2241" s="21">
        <f t="shared" ca="1" si="139"/>
        <v>0</v>
      </c>
      <c r="H2241" s="21">
        <v>2226</v>
      </c>
      <c r="I2241" s="102">
        <v>0.66763815408929394</v>
      </c>
      <c r="J2241" s="103">
        <v>1.2932421590997965E-3</v>
      </c>
      <c r="K2241" s="103"/>
      <c r="L2241" s="103">
        <v>3.8399999999999997E-2</v>
      </c>
      <c r="O2241" s="100"/>
    </row>
    <row r="2242" spans="2:15" x14ac:dyDescent="0.2">
      <c r="B2242" s="1">
        <v>2227</v>
      </c>
      <c r="C2242" s="101">
        <f t="shared" ca="1" si="136"/>
        <v>-0.26101729203631235</v>
      </c>
      <c r="D2242" s="101">
        <f t="shared" ca="1" si="137"/>
        <v>0.64761154198150406</v>
      </c>
      <c r="E2242" s="101">
        <f t="shared" ca="1" si="138"/>
        <v>0</v>
      </c>
      <c r="F2242" s="21">
        <f t="shared" ca="1" si="139"/>
        <v>0</v>
      </c>
      <c r="H2242" s="21">
        <v>2227</v>
      </c>
      <c r="I2242" s="102">
        <v>0.6678141810400493</v>
      </c>
      <c r="J2242" s="103">
        <v>1.5363435004981448E-3</v>
      </c>
      <c r="K2242" s="103"/>
      <c r="L2242" s="103">
        <v>4.4600000000000001E-2</v>
      </c>
      <c r="O2242" s="100"/>
    </row>
    <row r="2243" spans="2:15" x14ac:dyDescent="0.2">
      <c r="B2243" s="1">
        <v>2228</v>
      </c>
      <c r="C2243" s="101">
        <f t="shared" ca="1" si="136"/>
        <v>-0.9773139142212105</v>
      </c>
      <c r="D2243" s="101">
        <f t="shared" ca="1" si="137"/>
        <v>0.60343274690395265</v>
      </c>
      <c r="E2243" s="101">
        <f t="shared" ca="1" si="138"/>
        <v>0</v>
      </c>
      <c r="F2243" s="21">
        <f t="shared" ca="1" si="139"/>
        <v>0</v>
      </c>
      <c r="H2243" s="21">
        <v>2228</v>
      </c>
      <c r="I2243" s="102">
        <v>0.66765611552987425</v>
      </c>
      <c r="J2243" s="103">
        <v>1.2602930381552114E-3</v>
      </c>
      <c r="K2243" s="103"/>
      <c r="L2243" s="103">
        <v>3.8399999999999997E-2</v>
      </c>
      <c r="O2243" s="100"/>
    </row>
    <row r="2244" spans="2:15" x14ac:dyDescent="0.2">
      <c r="B2244" s="1">
        <v>2229</v>
      </c>
      <c r="C2244" s="101">
        <f t="shared" ca="1" si="136"/>
        <v>0.89031165349310903</v>
      </c>
      <c r="D2244" s="101">
        <f t="shared" ca="1" si="137"/>
        <v>0.72549897385496365</v>
      </c>
      <c r="E2244" s="101">
        <f t="shared" ca="1" si="138"/>
        <v>0</v>
      </c>
      <c r="F2244" s="21">
        <f t="shared" ca="1" si="139"/>
        <v>0</v>
      </c>
      <c r="H2244" s="21">
        <v>2229</v>
      </c>
      <c r="I2244" s="102">
        <v>0.66765728495024368</v>
      </c>
      <c r="J2244" s="103">
        <v>1.11179387951144E-3</v>
      </c>
      <c r="K2244" s="103"/>
      <c r="L2244" s="103">
        <v>3.9E-2</v>
      </c>
      <c r="O2244" s="100"/>
    </row>
    <row r="2245" spans="2:15" x14ac:dyDescent="0.2">
      <c r="B2245" s="1">
        <v>2230</v>
      </c>
      <c r="C2245" s="101">
        <f t="shared" ca="1" si="136"/>
        <v>-0.38776152708463407</v>
      </c>
      <c r="D2245" s="101">
        <f t="shared" ca="1" si="137"/>
        <v>0.63956536276542308</v>
      </c>
      <c r="E2245" s="101">
        <f t="shared" ca="1" si="138"/>
        <v>0</v>
      </c>
      <c r="F2245" s="21">
        <f t="shared" ca="1" si="139"/>
        <v>0</v>
      </c>
      <c r="H2245" s="21">
        <v>2230</v>
      </c>
      <c r="I2245" s="102">
        <v>0.66780127360171293</v>
      </c>
      <c r="J2245" s="103">
        <v>1.4706172064186803E-3</v>
      </c>
      <c r="K2245" s="103"/>
      <c r="L2245" s="103">
        <v>4.4400000000000002E-2</v>
      </c>
      <c r="O2245" s="100"/>
    </row>
    <row r="2246" spans="2:15" x14ac:dyDescent="0.2">
      <c r="B2246" s="1">
        <v>2231</v>
      </c>
      <c r="C2246" s="101">
        <f t="shared" ca="1" si="136"/>
        <v>-0.6183700136501401</v>
      </c>
      <c r="D2246" s="101">
        <f t="shared" ca="1" si="137"/>
        <v>0.62518105645985234</v>
      </c>
      <c r="E2246" s="101">
        <f t="shared" ca="1" si="138"/>
        <v>0</v>
      </c>
      <c r="F2246" s="21">
        <f t="shared" ca="1" si="139"/>
        <v>0</v>
      </c>
      <c r="H2246" s="21">
        <v>2231</v>
      </c>
      <c r="I2246" s="102">
        <v>0.66758877289571505</v>
      </c>
      <c r="J2246" s="103">
        <v>1.1822903031138076E-3</v>
      </c>
      <c r="K2246" s="103"/>
      <c r="L2246" s="103">
        <v>3.8600000000000002E-2</v>
      </c>
      <c r="O2246" s="100"/>
    </row>
    <row r="2247" spans="2:15" x14ac:dyDescent="0.2">
      <c r="B2247" s="1">
        <v>2232</v>
      </c>
      <c r="C2247" s="101">
        <f t="shared" ca="1" si="136"/>
        <v>0.19002050149868144</v>
      </c>
      <c r="D2247" s="101">
        <f t="shared" ca="1" si="137"/>
        <v>0.67707497334304989</v>
      </c>
      <c r="E2247" s="101">
        <f t="shared" ca="1" si="138"/>
        <v>0</v>
      </c>
      <c r="F2247" s="21">
        <f t="shared" ca="1" si="139"/>
        <v>0</v>
      </c>
      <c r="H2247" s="21">
        <v>2232</v>
      </c>
      <c r="I2247" s="102">
        <v>0.66752104687323333</v>
      </c>
      <c r="J2247" s="103">
        <v>1.2365065946644534E-3</v>
      </c>
      <c r="K2247" s="103"/>
      <c r="L2247" s="103">
        <v>3.7199999999999997E-2</v>
      </c>
      <c r="O2247" s="100"/>
    </row>
    <row r="2248" spans="2:15" x14ac:dyDescent="0.2">
      <c r="B2248" s="1">
        <v>2233</v>
      </c>
      <c r="C2248" s="101">
        <f t="shared" ca="1" si="136"/>
        <v>1.4987061439723932</v>
      </c>
      <c r="D2248" s="101">
        <f t="shared" ca="1" si="137"/>
        <v>0.77037121575284973</v>
      </c>
      <c r="E2248" s="101">
        <f t="shared" ca="1" si="138"/>
        <v>0</v>
      </c>
      <c r="F2248" s="21">
        <f t="shared" ca="1" si="139"/>
        <v>0</v>
      </c>
      <c r="H2248" s="21">
        <v>2233</v>
      </c>
      <c r="I2248" s="102">
        <v>0.66772492294272001</v>
      </c>
      <c r="J2248" s="103">
        <v>1.3527830676853877E-3</v>
      </c>
      <c r="K2248" s="103"/>
      <c r="L2248" s="103">
        <v>4.1200000000000001E-2</v>
      </c>
      <c r="O2248" s="100"/>
    </row>
    <row r="2249" spans="2:15" x14ac:dyDescent="0.2">
      <c r="B2249" s="1">
        <v>2234</v>
      </c>
      <c r="C2249" s="101">
        <f t="shared" ca="1" si="136"/>
        <v>1.3390717835643029</v>
      </c>
      <c r="D2249" s="101">
        <f t="shared" ca="1" si="137"/>
        <v>0.75833553962435973</v>
      </c>
      <c r="E2249" s="101">
        <f t="shared" ca="1" si="138"/>
        <v>0</v>
      </c>
      <c r="F2249" s="21">
        <f t="shared" ca="1" si="139"/>
        <v>0</v>
      </c>
      <c r="H2249" s="21">
        <v>2234</v>
      </c>
      <c r="I2249" s="102">
        <v>0.66777677194219265</v>
      </c>
      <c r="J2249" s="103">
        <v>1.3689122246638213E-3</v>
      </c>
      <c r="K2249" s="103"/>
      <c r="L2249" s="103">
        <v>3.8399999999999997E-2</v>
      </c>
      <c r="O2249" s="100"/>
    </row>
    <row r="2250" spans="2:15" x14ac:dyDescent="0.2">
      <c r="B2250" s="1">
        <v>2235</v>
      </c>
      <c r="C2250" s="101">
        <f t="shared" ca="1" si="136"/>
        <v>-0.41721505743686677</v>
      </c>
      <c r="D2250" s="101">
        <f t="shared" ca="1" si="137"/>
        <v>0.63770990761636281</v>
      </c>
      <c r="E2250" s="101">
        <f t="shared" ca="1" si="138"/>
        <v>0</v>
      </c>
      <c r="F2250" s="21">
        <f t="shared" ca="1" si="139"/>
        <v>0</v>
      </c>
      <c r="H2250" s="21">
        <v>2235</v>
      </c>
      <c r="I2250" s="102">
        <v>0.66781890439093516</v>
      </c>
      <c r="J2250" s="103">
        <v>1.3197454413984438E-3</v>
      </c>
      <c r="K2250" s="103"/>
      <c r="L2250" s="103">
        <v>4.1200000000000001E-2</v>
      </c>
      <c r="O2250" s="100"/>
    </row>
    <row r="2251" spans="2:15" x14ac:dyDescent="0.2">
      <c r="B2251" s="1">
        <v>2236</v>
      </c>
      <c r="C2251" s="101">
        <f t="shared" ca="1" si="136"/>
        <v>1.9748930796011879</v>
      </c>
      <c r="D2251" s="101">
        <f t="shared" ca="1" si="137"/>
        <v>0.80742018467105581</v>
      </c>
      <c r="E2251" s="101">
        <f t="shared" ca="1" si="138"/>
        <v>1.9220184671055796E-2</v>
      </c>
      <c r="F2251" s="21">
        <f t="shared" ca="1" si="139"/>
        <v>1</v>
      </c>
      <c r="H2251" s="21">
        <v>2236</v>
      </c>
      <c r="I2251" s="102">
        <v>0.66786261545982617</v>
      </c>
      <c r="J2251" s="103">
        <v>1.5159970054586466E-3</v>
      </c>
      <c r="K2251" s="103"/>
      <c r="L2251" s="103">
        <v>4.4400000000000002E-2</v>
      </c>
      <c r="O2251" s="100"/>
    </row>
    <row r="2252" spans="2:15" x14ac:dyDescent="0.2">
      <c r="B2252" s="1">
        <v>2237</v>
      </c>
      <c r="C2252" s="101">
        <f t="shared" ca="1" si="136"/>
        <v>-0.39490196279507073</v>
      </c>
      <c r="D2252" s="101">
        <f t="shared" ca="1" si="137"/>
        <v>0.63911504859610324</v>
      </c>
      <c r="E2252" s="101">
        <f t="shared" ca="1" si="138"/>
        <v>0</v>
      </c>
      <c r="F2252" s="21">
        <f t="shared" ca="1" si="139"/>
        <v>0</v>
      </c>
      <c r="H2252" s="21">
        <v>2237</v>
      </c>
      <c r="I2252" s="102">
        <v>0.66775198404415659</v>
      </c>
      <c r="J2252" s="103">
        <v>1.54011785972666E-3</v>
      </c>
      <c r="K2252" s="103"/>
      <c r="L2252" s="103">
        <v>4.3200000000000002E-2</v>
      </c>
      <c r="O2252" s="100"/>
    </row>
    <row r="2253" spans="2:15" x14ac:dyDescent="0.2">
      <c r="B2253" s="1">
        <v>2238</v>
      </c>
      <c r="C2253" s="101">
        <f t="shared" ca="1" si="136"/>
        <v>-0.23625847637227784</v>
      </c>
      <c r="D2253" s="101">
        <f t="shared" ca="1" si="137"/>
        <v>0.64919509927731944</v>
      </c>
      <c r="E2253" s="101">
        <f t="shared" ca="1" si="138"/>
        <v>0</v>
      </c>
      <c r="F2253" s="21">
        <f t="shared" ca="1" si="139"/>
        <v>0</v>
      </c>
      <c r="H2253" s="21">
        <v>2238</v>
      </c>
      <c r="I2253" s="102">
        <v>0.66767904192411065</v>
      </c>
      <c r="J2253" s="103">
        <v>1.2533679202644294E-3</v>
      </c>
      <c r="K2253" s="103"/>
      <c r="L2253" s="103">
        <v>4.3799999999999999E-2</v>
      </c>
      <c r="O2253" s="100"/>
    </row>
    <row r="2254" spans="2:15" x14ac:dyDescent="0.2">
      <c r="B2254" s="1">
        <v>2239</v>
      </c>
      <c r="C2254" s="101">
        <f t="shared" ca="1" si="136"/>
        <v>-0.6232686643345593</v>
      </c>
      <c r="D2254" s="101">
        <f t="shared" ca="1" si="137"/>
        <v>0.62487903607335504</v>
      </c>
      <c r="E2254" s="101">
        <f t="shared" ca="1" si="138"/>
        <v>0</v>
      </c>
      <c r="F2254" s="21">
        <f t="shared" ca="1" si="139"/>
        <v>0</v>
      </c>
      <c r="H2254" s="21">
        <v>2239</v>
      </c>
      <c r="I2254" s="102">
        <v>0.66776401664464635</v>
      </c>
      <c r="J2254" s="103">
        <v>1.3977412052716691E-3</v>
      </c>
      <c r="K2254" s="103"/>
      <c r="L2254" s="103">
        <v>4.2799999999999998E-2</v>
      </c>
      <c r="O2254" s="100"/>
    </row>
    <row r="2255" spans="2:15" x14ac:dyDescent="0.2">
      <c r="B2255" s="1">
        <v>2240</v>
      </c>
      <c r="C2255" s="101">
        <f t="shared" ca="1" si="136"/>
        <v>0.69242079384180566</v>
      </c>
      <c r="D2255" s="101">
        <f t="shared" ca="1" si="137"/>
        <v>0.71147440328264588</v>
      </c>
      <c r="E2255" s="101">
        <f t="shared" ca="1" si="138"/>
        <v>0</v>
      </c>
      <c r="F2255" s="21">
        <f t="shared" ca="1" si="139"/>
        <v>0</v>
      </c>
      <c r="H2255" s="21">
        <v>2240</v>
      </c>
      <c r="I2255" s="102">
        <v>0.66767554139024954</v>
      </c>
      <c r="J2255" s="103">
        <v>1.3853550823685391E-3</v>
      </c>
      <c r="K2255" s="103"/>
      <c r="L2255" s="103">
        <v>3.9E-2</v>
      </c>
      <c r="O2255" s="100"/>
    </row>
    <row r="2256" spans="2:15" x14ac:dyDescent="0.2">
      <c r="B2256" s="1">
        <v>2241</v>
      </c>
      <c r="C2256" s="101">
        <f t="shared" ref="C2256:C2319" ca="1" si="140">_xlfn.NORM.S.INV(RAND())</f>
        <v>1.3277142985623933</v>
      </c>
      <c r="D2256" s="101">
        <f t="shared" ref="D2256:D2319" ca="1" si="141">S0*EXP((μ-0.5*σ*σ)*T+σ*SQRT(T)*$C2256)</f>
        <v>0.75748643886097522</v>
      </c>
      <c r="E2256" s="101">
        <f t="shared" ref="E2256:E2319" ca="1" si="142">MAX(0,CP*(D2256-K))</f>
        <v>0</v>
      </c>
      <c r="F2256" s="21">
        <f t="shared" ref="F2256:F2319" ca="1" si="143">(CP*(D2256-K)&gt;0)*1</f>
        <v>0</v>
      </c>
      <c r="H2256" s="21">
        <v>2241</v>
      </c>
      <c r="I2256" s="102">
        <v>0.66772399531741489</v>
      </c>
      <c r="J2256" s="103">
        <v>1.3271316895832256E-3</v>
      </c>
      <c r="K2256" s="103"/>
      <c r="L2256" s="103">
        <v>4.0800000000000003E-2</v>
      </c>
      <c r="O2256" s="100"/>
    </row>
    <row r="2257" spans="2:15" x14ac:dyDescent="0.2">
      <c r="B2257" s="1">
        <v>2242</v>
      </c>
      <c r="C2257" s="101">
        <f t="shared" ca="1" si="140"/>
        <v>0.32594121808956084</v>
      </c>
      <c r="D2257" s="101">
        <f t="shared" ca="1" si="141"/>
        <v>0.68621391595487113</v>
      </c>
      <c r="E2257" s="101">
        <f t="shared" ca="1" si="142"/>
        <v>0</v>
      </c>
      <c r="F2257" s="21">
        <f t="shared" ca="1" si="143"/>
        <v>0</v>
      </c>
      <c r="H2257" s="21">
        <v>2242</v>
      </c>
      <c r="I2257" s="102">
        <v>0.66760410703427497</v>
      </c>
      <c r="J2257" s="103">
        <v>1.3111006255087359E-3</v>
      </c>
      <c r="K2257" s="103"/>
      <c r="L2257" s="103">
        <v>3.9800000000000002E-2</v>
      </c>
      <c r="O2257" s="100"/>
    </row>
    <row r="2258" spans="2:15" x14ac:dyDescent="0.2">
      <c r="B2258" s="1">
        <v>2243</v>
      </c>
      <c r="C2258" s="101">
        <f t="shared" ca="1" si="140"/>
        <v>0.91860697505621991</v>
      </c>
      <c r="D2258" s="101">
        <f t="shared" ca="1" si="141"/>
        <v>0.72752673387006606</v>
      </c>
      <c r="E2258" s="101">
        <f t="shared" ca="1" si="142"/>
        <v>0</v>
      </c>
      <c r="F2258" s="21">
        <f t="shared" ca="1" si="143"/>
        <v>0</v>
      </c>
      <c r="H2258" s="21">
        <v>2243</v>
      </c>
      <c r="I2258" s="102">
        <v>0.66770979358728877</v>
      </c>
      <c r="J2258" s="103">
        <v>1.2612256704979379E-3</v>
      </c>
      <c r="K2258" s="103"/>
      <c r="L2258" s="103">
        <v>4.2200000000000001E-2</v>
      </c>
      <c r="O2258" s="100"/>
    </row>
    <row r="2259" spans="2:15" x14ac:dyDescent="0.2">
      <c r="B2259" s="1">
        <v>2244</v>
      </c>
      <c r="C2259" s="101">
        <f t="shared" ca="1" si="140"/>
        <v>0.43788785938099234</v>
      </c>
      <c r="D2259" s="101">
        <f t="shared" ca="1" si="141"/>
        <v>0.69383347008782814</v>
      </c>
      <c r="E2259" s="101">
        <f t="shared" ca="1" si="142"/>
        <v>0</v>
      </c>
      <c r="F2259" s="21">
        <f t="shared" ca="1" si="143"/>
        <v>0</v>
      </c>
      <c r="H2259" s="21">
        <v>2244</v>
      </c>
      <c r="I2259" s="102">
        <v>0.66774688301481888</v>
      </c>
      <c r="J2259" s="103">
        <v>1.3599346623420542E-3</v>
      </c>
      <c r="K2259" s="103"/>
      <c r="L2259" s="103">
        <v>4.3799999999999999E-2</v>
      </c>
      <c r="O2259" s="100"/>
    </row>
    <row r="2260" spans="2:15" x14ac:dyDescent="0.2">
      <c r="B2260" s="1">
        <v>2245</v>
      </c>
      <c r="C2260" s="101">
        <f t="shared" ca="1" si="140"/>
        <v>-0.18371442338479288</v>
      </c>
      <c r="D2260" s="101">
        <f t="shared" ca="1" si="141"/>
        <v>0.65256862220379819</v>
      </c>
      <c r="E2260" s="101">
        <f t="shared" ca="1" si="142"/>
        <v>0</v>
      </c>
      <c r="F2260" s="21">
        <f t="shared" ca="1" si="143"/>
        <v>0</v>
      </c>
      <c r="H2260" s="21">
        <v>2245</v>
      </c>
      <c r="I2260" s="102">
        <v>0.66772276704436306</v>
      </c>
      <c r="J2260" s="103">
        <v>1.2691132724447277E-3</v>
      </c>
      <c r="K2260" s="103"/>
      <c r="L2260" s="103">
        <v>4.1200000000000001E-2</v>
      </c>
      <c r="O2260" s="100"/>
    </row>
    <row r="2261" spans="2:15" x14ac:dyDescent="0.2">
      <c r="B2261" s="1">
        <v>2246</v>
      </c>
      <c r="C2261" s="101">
        <f t="shared" ca="1" si="140"/>
        <v>-1.1247119757790438</v>
      </c>
      <c r="D2261" s="101">
        <f t="shared" ca="1" si="141"/>
        <v>0.59472258652355747</v>
      </c>
      <c r="E2261" s="101">
        <f t="shared" ca="1" si="142"/>
        <v>0</v>
      </c>
      <c r="F2261" s="21">
        <f t="shared" ca="1" si="143"/>
        <v>0</v>
      </c>
      <c r="H2261" s="21">
        <v>2246</v>
      </c>
      <c r="I2261" s="102">
        <v>0.66768856582752201</v>
      </c>
      <c r="J2261" s="103">
        <v>1.3148726717505071E-3</v>
      </c>
      <c r="K2261" s="103"/>
      <c r="L2261" s="103">
        <v>3.9199999999999999E-2</v>
      </c>
      <c r="O2261" s="100"/>
    </row>
    <row r="2262" spans="2:15" x14ac:dyDescent="0.2">
      <c r="B2262" s="1">
        <v>2247</v>
      </c>
      <c r="C2262" s="101">
        <f t="shared" ca="1" si="140"/>
        <v>0.51697717902265483</v>
      </c>
      <c r="D2262" s="101">
        <f t="shared" ca="1" si="141"/>
        <v>0.69926756421155278</v>
      </c>
      <c r="E2262" s="101">
        <f t="shared" ca="1" si="142"/>
        <v>0</v>
      </c>
      <c r="F2262" s="21">
        <f t="shared" ca="1" si="143"/>
        <v>0</v>
      </c>
      <c r="H2262" s="21">
        <v>2247</v>
      </c>
      <c r="I2262" s="102">
        <v>0.66784097206404336</v>
      </c>
      <c r="J2262" s="103">
        <v>1.6217586750617052E-3</v>
      </c>
      <c r="K2262" s="103"/>
      <c r="L2262" s="103">
        <v>4.36E-2</v>
      </c>
      <c r="O2262" s="100"/>
    </row>
    <row r="2263" spans="2:15" x14ac:dyDescent="0.2">
      <c r="B2263" s="1">
        <v>2248</v>
      </c>
      <c r="C2263" s="101">
        <f t="shared" ca="1" si="140"/>
        <v>-0.49155757458715615</v>
      </c>
      <c r="D2263" s="101">
        <f t="shared" ca="1" si="141"/>
        <v>0.63305053003183065</v>
      </c>
      <c r="E2263" s="101">
        <f t="shared" ca="1" si="142"/>
        <v>0</v>
      </c>
      <c r="F2263" s="21">
        <f t="shared" ca="1" si="143"/>
        <v>0</v>
      </c>
      <c r="H2263" s="21">
        <v>2248</v>
      </c>
      <c r="I2263" s="102">
        <v>0.66785322055187213</v>
      </c>
      <c r="J2263" s="103">
        <v>1.4969007472958647E-3</v>
      </c>
      <c r="K2263" s="103"/>
      <c r="L2263" s="103">
        <v>4.24E-2</v>
      </c>
      <c r="O2263" s="100"/>
    </row>
    <row r="2264" spans="2:15" x14ac:dyDescent="0.2">
      <c r="B2264" s="1">
        <v>2249</v>
      </c>
      <c r="C2264" s="101">
        <f t="shared" ca="1" si="140"/>
        <v>-0.47572816881063607</v>
      </c>
      <c r="D2264" s="101">
        <f t="shared" ca="1" si="141"/>
        <v>0.63403976849621135</v>
      </c>
      <c r="E2264" s="101">
        <f t="shared" ca="1" si="142"/>
        <v>0</v>
      </c>
      <c r="F2264" s="21">
        <f t="shared" ca="1" si="143"/>
        <v>0</v>
      </c>
      <c r="H2264" s="21">
        <v>2249</v>
      </c>
      <c r="I2264" s="102">
        <v>0.66771278177524085</v>
      </c>
      <c r="J2264" s="103">
        <v>1.4053873851295527E-3</v>
      </c>
      <c r="K2264" s="103"/>
      <c r="L2264" s="103">
        <v>4.0800000000000003E-2</v>
      </c>
      <c r="O2264" s="100"/>
    </row>
    <row r="2265" spans="2:15" x14ac:dyDescent="0.2">
      <c r="B2265" s="1">
        <v>2250</v>
      </c>
      <c r="C2265" s="101">
        <f t="shared" ca="1" si="140"/>
        <v>0.70955961535157019</v>
      </c>
      <c r="D2265" s="101">
        <f t="shared" ca="1" si="141"/>
        <v>0.7126782364279346</v>
      </c>
      <c r="E2265" s="101">
        <f t="shared" ca="1" si="142"/>
        <v>0</v>
      </c>
      <c r="F2265" s="21">
        <f t="shared" ca="1" si="143"/>
        <v>0</v>
      </c>
      <c r="H2265" s="21">
        <v>2250</v>
      </c>
      <c r="I2265" s="102">
        <v>0.66760624590917039</v>
      </c>
      <c r="J2265" s="103">
        <v>1.2512767542937511E-3</v>
      </c>
      <c r="K2265" s="103"/>
      <c r="L2265" s="103">
        <v>3.8600000000000002E-2</v>
      </c>
      <c r="O2265" s="100"/>
    </row>
    <row r="2266" spans="2:15" x14ac:dyDescent="0.2">
      <c r="B2266" s="1">
        <v>2251</v>
      </c>
      <c r="C2266" s="101">
        <f t="shared" ca="1" si="140"/>
        <v>-0.92799075738235637</v>
      </c>
      <c r="D2266" s="101">
        <f t="shared" ca="1" si="141"/>
        <v>0.60637578277494797</v>
      </c>
      <c r="E2266" s="101">
        <f t="shared" ca="1" si="142"/>
        <v>0</v>
      </c>
      <c r="F2266" s="21">
        <f t="shared" ca="1" si="143"/>
        <v>0</v>
      </c>
      <c r="H2266" s="21">
        <v>2251</v>
      </c>
      <c r="I2266" s="102">
        <v>0.66768996591038576</v>
      </c>
      <c r="J2266" s="103">
        <v>1.3912654873354587E-3</v>
      </c>
      <c r="K2266" s="103"/>
      <c r="L2266" s="103">
        <v>4.0800000000000003E-2</v>
      </c>
      <c r="O2266" s="100"/>
    </row>
    <row r="2267" spans="2:15" x14ac:dyDescent="0.2">
      <c r="B2267" s="1">
        <v>2252</v>
      </c>
      <c r="C2267" s="101">
        <f t="shared" ca="1" si="140"/>
        <v>-0.18047715546424722</v>
      </c>
      <c r="D2267" s="101">
        <f t="shared" ca="1" si="141"/>
        <v>0.65277703917247609</v>
      </c>
      <c r="E2267" s="101">
        <f t="shared" ca="1" si="142"/>
        <v>0</v>
      </c>
      <c r="F2267" s="21">
        <f t="shared" ca="1" si="143"/>
        <v>0</v>
      </c>
      <c r="H2267" s="21">
        <v>2252</v>
      </c>
      <c r="I2267" s="102">
        <v>0.66768782003945293</v>
      </c>
      <c r="J2267" s="103">
        <v>1.2888794717505578E-3</v>
      </c>
      <c r="K2267" s="103"/>
      <c r="L2267" s="103">
        <v>3.9399999999999998E-2</v>
      </c>
      <c r="O2267" s="100"/>
    </row>
    <row r="2268" spans="2:15" x14ac:dyDescent="0.2">
      <c r="B2268" s="1">
        <v>2253</v>
      </c>
      <c r="C2268" s="101">
        <f t="shared" ca="1" si="140"/>
        <v>-1.4712499441402973</v>
      </c>
      <c r="D2268" s="101">
        <f t="shared" ca="1" si="141"/>
        <v>0.57473673918405088</v>
      </c>
      <c r="E2268" s="101">
        <f t="shared" ca="1" si="142"/>
        <v>0</v>
      </c>
      <c r="F2268" s="21">
        <f t="shared" ca="1" si="143"/>
        <v>0</v>
      </c>
      <c r="H2268" s="21">
        <v>2253</v>
      </c>
      <c r="I2268" s="102">
        <v>0.66768560587033021</v>
      </c>
      <c r="J2268" s="103">
        <v>1.3928410429294685E-3</v>
      </c>
      <c r="K2268" s="103"/>
      <c r="L2268" s="103">
        <v>4.2000000000000003E-2</v>
      </c>
      <c r="O2268" s="100"/>
    </row>
    <row r="2269" spans="2:15" x14ac:dyDescent="0.2">
      <c r="B2269" s="1">
        <v>2254</v>
      </c>
      <c r="C2269" s="101">
        <f t="shared" ca="1" si="140"/>
        <v>-1.6591316872480009</v>
      </c>
      <c r="D2269" s="101">
        <f t="shared" ca="1" si="141"/>
        <v>0.56418329330464434</v>
      </c>
      <c r="E2269" s="101">
        <f t="shared" ca="1" si="142"/>
        <v>0</v>
      </c>
      <c r="F2269" s="21">
        <f t="shared" ca="1" si="143"/>
        <v>0</v>
      </c>
      <c r="H2269" s="21">
        <v>2254</v>
      </c>
      <c r="I2269" s="102">
        <v>0.6677644430709665</v>
      </c>
      <c r="J2269" s="103">
        <v>1.4923219604492603E-3</v>
      </c>
      <c r="K2269" s="103"/>
      <c r="L2269" s="103">
        <v>4.02E-2</v>
      </c>
      <c r="O2269" s="100"/>
    </row>
    <row r="2270" spans="2:15" x14ac:dyDescent="0.2">
      <c r="B2270" s="1">
        <v>2255</v>
      </c>
      <c r="C2270" s="101">
        <f t="shared" ca="1" si="140"/>
        <v>-6.4513835167356384E-2</v>
      </c>
      <c r="D2270" s="101">
        <f t="shared" ca="1" si="141"/>
        <v>0.66028687907720174</v>
      </c>
      <c r="E2270" s="101">
        <f t="shared" ca="1" si="142"/>
        <v>0</v>
      </c>
      <c r="F2270" s="21">
        <f t="shared" ca="1" si="143"/>
        <v>0</v>
      </c>
      <c r="H2270" s="21">
        <v>2255</v>
      </c>
      <c r="I2270" s="102">
        <v>0.66784292447089355</v>
      </c>
      <c r="J2270" s="103">
        <v>1.4521152625765947E-3</v>
      </c>
      <c r="K2270" s="103"/>
      <c r="L2270" s="103">
        <v>4.4400000000000002E-2</v>
      </c>
      <c r="O2270" s="100"/>
    </row>
    <row r="2271" spans="2:15" x14ac:dyDescent="0.2">
      <c r="B2271" s="1">
        <v>2256</v>
      </c>
      <c r="C2271" s="101">
        <f t="shared" ca="1" si="140"/>
        <v>0.50243651497496722</v>
      </c>
      <c r="D2271" s="101">
        <f t="shared" ca="1" si="141"/>
        <v>0.69826531642540035</v>
      </c>
      <c r="E2271" s="101">
        <f t="shared" ca="1" si="142"/>
        <v>0</v>
      </c>
      <c r="F2271" s="21">
        <f t="shared" ca="1" si="143"/>
        <v>0</v>
      </c>
      <c r="H2271" s="21">
        <v>2256</v>
      </c>
      <c r="I2271" s="102">
        <v>0.66776819747868565</v>
      </c>
      <c r="J2271" s="103">
        <v>1.3637133996262244E-3</v>
      </c>
      <c r="K2271" s="103"/>
      <c r="L2271" s="103">
        <v>4.36E-2</v>
      </c>
      <c r="O2271" s="100"/>
    </row>
    <row r="2272" spans="2:15" x14ac:dyDescent="0.2">
      <c r="B2272" s="1">
        <v>2257</v>
      </c>
      <c r="C2272" s="101">
        <f t="shared" ca="1" si="140"/>
        <v>-1.5139127348927148</v>
      </c>
      <c r="D2272" s="101">
        <f t="shared" ca="1" si="141"/>
        <v>0.57232314851591415</v>
      </c>
      <c r="E2272" s="101">
        <f t="shared" ca="1" si="142"/>
        <v>0</v>
      </c>
      <c r="F2272" s="21">
        <f t="shared" ca="1" si="143"/>
        <v>0</v>
      </c>
      <c r="H2272" s="21">
        <v>2257</v>
      </c>
      <c r="I2272" s="102">
        <v>0.66786189055933853</v>
      </c>
      <c r="J2272" s="103">
        <v>1.4835345480452519E-3</v>
      </c>
      <c r="K2272" s="103"/>
      <c r="L2272" s="103">
        <v>4.6199999999999998E-2</v>
      </c>
      <c r="O2272" s="100"/>
    </row>
    <row r="2273" spans="2:15" x14ac:dyDescent="0.2">
      <c r="B2273" s="1">
        <v>2258</v>
      </c>
      <c r="C2273" s="101">
        <f t="shared" ca="1" si="140"/>
        <v>-0.37662104579679634</v>
      </c>
      <c r="D2273" s="101">
        <f t="shared" ca="1" si="141"/>
        <v>0.64026857503089485</v>
      </c>
      <c r="E2273" s="101">
        <f t="shared" ca="1" si="142"/>
        <v>0</v>
      </c>
      <c r="F2273" s="21">
        <f t="shared" ca="1" si="143"/>
        <v>0</v>
      </c>
      <c r="H2273" s="21">
        <v>2258</v>
      </c>
      <c r="I2273" s="102">
        <v>0.66797154746529208</v>
      </c>
      <c r="J2273" s="103">
        <v>1.5989769291934199E-3</v>
      </c>
      <c r="K2273" s="103"/>
      <c r="L2273" s="103">
        <v>4.8000000000000001E-2</v>
      </c>
      <c r="O2273" s="100"/>
    </row>
    <row r="2274" spans="2:15" x14ac:dyDescent="0.2">
      <c r="B2274" s="1">
        <v>2259</v>
      </c>
      <c r="C2274" s="101">
        <f t="shared" ca="1" si="140"/>
        <v>-1.4221149705628513E-2</v>
      </c>
      <c r="D2274" s="101">
        <f t="shared" ca="1" si="141"/>
        <v>0.66357065937781678</v>
      </c>
      <c r="E2274" s="101">
        <f t="shared" ca="1" si="142"/>
        <v>0</v>
      </c>
      <c r="F2274" s="21">
        <f t="shared" ca="1" si="143"/>
        <v>0</v>
      </c>
      <c r="H2274" s="21">
        <v>2259</v>
      </c>
      <c r="I2274" s="102">
        <v>0.66774393845573266</v>
      </c>
      <c r="J2274" s="103">
        <v>1.4241876594032678E-3</v>
      </c>
      <c r="K2274" s="103"/>
      <c r="L2274" s="103">
        <v>4.24E-2</v>
      </c>
      <c r="O2274" s="100"/>
    </row>
    <row r="2275" spans="2:15" x14ac:dyDescent="0.2">
      <c r="B2275" s="1">
        <v>2260</v>
      </c>
      <c r="C2275" s="101">
        <f t="shared" ca="1" si="140"/>
        <v>-0.22326634534941087</v>
      </c>
      <c r="D2275" s="101">
        <f t="shared" ca="1" si="141"/>
        <v>0.65002761576292523</v>
      </c>
      <c r="E2275" s="101">
        <f t="shared" ca="1" si="142"/>
        <v>0</v>
      </c>
      <c r="F2275" s="21">
        <f t="shared" ca="1" si="143"/>
        <v>0</v>
      </c>
      <c r="H2275" s="21">
        <v>2260</v>
      </c>
      <c r="I2275" s="102">
        <v>0.667617077666118</v>
      </c>
      <c r="J2275" s="103">
        <v>1.2309058407610021E-3</v>
      </c>
      <c r="K2275" s="103"/>
      <c r="L2275" s="103">
        <v>3.6400000000000002E-2</v>
      </c>
      <c r="O2275" s="100"/>
    </row>
    <row r="2276" spans="2:15" x14ac:dyDescent="0.2">
      <c r="B2276" s="1">
        <v>2261</v>
      </c>
      <c r="C2276" s="101">
        <f t="shared" ca="1" si="140"/>
        <v>1.0377879299751376</v>
      </c>
      <c r="D2276" s="101">
        <f t="shared" ca="1" si="141"/>
        <v>0.73613013234966196</v>
      </c>
      <c r="E2276" s="101">
        <f t="shared" ca="1" si="142"/>
        <v>0</v>
      </c>
      <c r="F2276" s="21">
        <f t="shared" ca="1" si="143"/>
        <v>0</v>
      </c>
      <c r="H2276" s="21">
        <v>2261</v>
      </c>
      <c r="I2276" s="102">
        <v>0.6675214084005151</v>
      </c>
      <c r="J2276" s="103">
        <v>1.1131636708432723E-3</v>
      </c>
      <c r="K2276" s="103"/>
      <c r="L2276" s="103">
        <v>3.6200000000000003E-2</v>
      </c>
      <c r="O2276" s="100"/>
    </row>
    <row r="2277" spans="2:15" x14ac:dyDescent="0.2">
      <c r="B2277" s="1">
        <v>2262</v>
      </c>
      <c r="C2277" s="101">
        <f t="shared" ca="1" si="140"/>
        <v>1.6216038297254876</v>
      </c>
      <c r="D2277" s="101">
        <f t="shared" ca="1" si="141"/>
        <v>0.77976710183946807</v>
      </c>
      <c r="E2277" s="101">
        <f t="shared" ca="1" si="142"/>
        <v>0</v>
      </c>
      <c r="F2277" s="21">
        <f t="shared" ca="1" si="143"/>
        <v>0</v>
      </c>
      <c r="H2277" s="21">
        <v>2262</v>
      </c>
      <c r="I2277" s="102">
        <v>0.66777058747324902</v>
      </c>
      <c r="J2277" s="103">
        <v>1.5557607090955013E-3</v>
      </c>
      <c r="K2277" s="103"/>
      <c r="L2277" s="103">
        <v>4.4200000000000003E-2</v>
      </c>
      <c r="O2277" s="100"/>
    </row>
    <row r="2278" spans="2:15" x14ac:dyDescent="0.2">
      <c r="B2278" s="1">
        <v>2263</v>
      </c>
      <c r="C2278" s="101">
        <f t="shared" ca="1" si="140"/>
        <v>-0.38866107251723686</v>
      </c>
      <c r="D2278" s="101">
        <f t="shared" ca="1" si="141"/>
        <v>0.63950861514292279</v>
      </c>
      <c r="E2278" s="101">
        <f t="shared" ca="1" si="142"/>
        <v>0</v>
      </c>
      <c r="F2278" s="21">
        <f t="shared" ca="1" si="143"/>
        <v>0</v>
      </c>
      <c r="H2278" s="21">
        <v>2263</v>
      </c>
      <c r="I2278" s="102">
        <v>0.66775143158196593</v>
      </c>
      <c r="J2278" s="103">
        <v>1.3244503116612402E-3</v>
      </c>
      <c r="K2278" s="103"/>
      <c r="L2278" s="103">
        <v>4.4600000000000001E-2</v>
      </c>
      <c r="O2278" s="100"/>
    </row>
    <row r="2279" spans="2:15" x14ac:dyDescent="0.2">
      <c r="B2279" s="1">
        <v>2264</v>
      </c>
      <c r="C2279" s="101">
        <f t="shared" ca="1" si="140"/>
        <v>0.27344401235950722</v>
      </c>
      <c r="D2279" s="101">
        <f t="shared" ca="1" si="141"/>
        <v>0.68266961476304933</v>
      </c>
      <c r="E2279" s="101">
        <f t="shared" ca="1" si="142"/>
        <v>0</v>
      </c>
      <c r="F2279" s="21">
        <f t="shared" ca="1" si="143"/>
        <v>0</v>
      </c>
      <c r="H2279" s="21">
        <v>2264</v>
      </c>
      <c r="I2279" s="102">
        <v>0.66775252388773876</v>
      </c>
      <c r="J2279" s="103">
        <v>1.3335514309136603E-3</v>
      </c>
      <c r="K2279" s="103"/>
      <c r="L2279" s="103">
        <v>4.0399999999999998E-2</v>
      </c>
      <c r="O2279" s="100"/>
    </row>
    <row r="2280" spans="2:15" x14ac:dyDescent="0.2">
      <c r="B2280" s="1">
        <v>2265</v>
      </c>
      <c r="C2280" s="101">
        <f t="shared" ca="1" si="140"/>
        <v>6.6524609026304984E-2</v>
      </c>
      <c r="D2280" s="101">
        <f t="shared" ca="1" si="141"/>
        <v>0.66887701671434985</v>
      </c>
      <c r="E2280" s="101">
        <f t="shared" ca="1" si="142"/>
        <v>0</v>
      </c>
      <c r="F2280" s="21">
        <f t="shared" ca="1" si="143"/>
        <v>0</v>
      </c>
      <c r="H2280" s="21">
        <v>2265</v>
      </c>
      <c r="I2280" s="102">
        <v>0.66791357920188443</v>
      </c>
      <c r="J2280" s="103">
        <v>1.5561867136492881E-3</v>
      </c>
      <c r="K2280" s="103"/>
      <c r="L2280" s="103">
        <v>4.2799999999999998E-2</v>
      </c>
      <c r="O2280" s="100"/>
    </row>
    <row r="2281" spans="2:15" x14ac:dyDescent="0.2">
      <c r="B2281" s="1">
        <v>2266</v>
      </c>
      <c r="C2281" s="101">
        <f t="shared" ca="1" si="140"/>
        <v>-0.9693764742706702</v>
      </c>
      <c r="D2281" s="101">
        <f t="shared" ca="1" si="141"/>
        <v>0.60390539537422494</v>
      </c>
      <c r="E2281" s="101">
        <f t="shared" ca="1" si="142"/>
        <v>0</v>
      </c>
      <c r="F2281" s="21">
        <f t="shared" ca="1" si="143"/>
        <v>0</v>
      </c>
      <c r="H2281" s="21">
        <v>2266</v>
      </c>
      <c r="I2281" s="102">
        <v>0.66780208219041537</v>
      </c>
      <c r="J2281" s="103">
        <v>1.3938862984105972E-3</v>
      </c>
      <c r="K2281" s="103"/>
      <c r="L2281" s="103">
        <v>4.0599999999999997E-2</v>
      </c>
      <c r="O2281" s="100"/>
    </row>
    <row r="2282" spans="2:15" x14ac:dyDescent="0.2">
      <c r="B2282" s="1">
        <v>2267</v>
      </c>
      <c r="C2282" s="101">
        <f t="shared" ca="1" si="140"/>
        <v>-0.90653608801646202</v>
      </c>
      <c r="D2282" s="101">
        <f t="shared" ca="1" si="141"/>
        <v>0.60766042504637896</v>
      </c>
      <c r="E2282" s="101">
        <f t="shared" ca="1" si="142"/>
        <v>0</v>
      </c>
      <c r="F2282" s="21">
        <f t="shared" ca="1" si="143"/>
        <v>0</v>
      </c>
      <c r="H2282" s="21">
        <v>2267</v>
      </c>
      <c r="I2282" s="102">
        <v>0.66775734204180304</v>
      </c>
      <c r="J2282" s="103">
        <v>1.3952035772556218E-3</v>
      </c>
      <c r="K2282" s="103"/>
      <c r="L2282" s="103">
        <v>4.1399999999999999E-2</v>
      </c>
      <c r="O2282" s="100"/>
    </row>
    <row r="2283" spans="2:15" x14ac:dyDescent="0.2">
      <c r="B2283" s="1">
        <v>2268</v>
      </c>
      <c r="C2283" s="101">
        <f t="shared" ca="1" si="140"/>
        <v>-0.10329833969394232</v>
      </c>
      <c r="D2283" s="101">
        <f t="shared" ca="1" si="141"/>
        <v>0.65776560923946681</v>
      </c>
      <c r="E2283" s="101">
        <f t="shared" ca="1" si="142"/>
        <v>0</v>
      </c>
      <c r="F2283" s="21">
        <f t="shared" ca="1" si="143"/>
        <v>0</v>
      </c>
      <c r="H2283" s="21">
        <v>2268</v>
      </c>
      <c r="I2283" s="102">
        <v>0.66764281987400687</v>
      </c>
      <c r="J2283" s="103">
        <v>1.2349719645221374E-3</v>
      </c>
      <c r="K2283" s="103"/>
      <c r="L2283" s="103">
        <v>0.04</v>
      </c>
      <c r="O2283" s="100"/>
    </row>
    <row r="2284" spans="2:15" x14ac:dyDescent="0.2">
      <c r="B2284" s="1">
        <v>2269</v>
      </c>
      <c r="C2284" s="101">
        <f t="shared" ca="1" si="140"/>
        <v>-1.2400421312874368</v>
      </c>
      <c r="D2284" s="101">
        <f t="shared" ca="1" si="141"/>
        <v>0.58799517156713021</v>
      </c>
      <c r="E2284" s="101">
        <f t="shared" ca="1" si="142"/>
        <v>0</v>
      </c>
      <c r="F2284" s="21">
        <f t="shared" ca="1" si="143"/>
        <v>0</v>
      </c>
      <c r="H2284" s="21">
        <v>2269</v>
      </c>
      <c r="I2284" s="102">
        <v>0.66786698752193974</v>
      </c>
      <c r="J2284" s="103">
        <v>1.5215245599672527E-3</v>
      </c>
      <c r="K2284" s="103"/>
      <c r="L2284" s="103">
        <v>4.4400000000000002E-2</v>
      </c>
      <c r="O2284" s="100"/>
    </row>
    <row r="2285" spans="2:15" x14ac:dyDescent="0.2">
      <c r="B2285" s="1">
        <v>2270</v>
      </c>
      <c r="C2285" s="101">
        <f t="shared" ca="1" si="140"/>
        <v>-0.49374513042866902</v>
      </c>
      <c r="D2285" s="101">
        <f t="shared" ca="1" si="141"/>
        <v>0.63291394296791548</v>
      </c>
      <c r="E2285" s="101">
        <f t="shared" ca="1" si="142"/>
        <v>0</v>
      </c>
      <c r="F2285" s="21">
        <f t="shared" ca="1" si="143"/>
        <v>0</v>
      </c>
      <c r="H2285" s="21">
        <v>2270</v>
      </c>
      <c r="I2285" s="102">
        <v>0.66784987534489526</v>
      </c>
      <c r="J2285" s="103">
        <v>1.4649806771233247E-3</v>
      </c>
      <c r="K2285" s="103"/>
      <c r="L2285" s="103">
        <v>4.58E-2</v>
      </c>
      <c r="O2285" s="100"/>
    </row>
    <row r="2286" spans="2:15" x14ac:dyDescent="0.2">
      <c r="B2286" s="1">
        <v>2271</v>
      </c>
      <c r="C2286" s="101">
        <f t="shared" ca="1" si="140"/>
        <v>-0.54494340052800705</v>
      </c>
      <c r="D2286" s="101">
        <f t="shared" ca="1" si="141"/>
        <v>0.62972561740357702</v>
      </c>
      <c r="E2286" s="101">
        <f t="shared" ca="1" si="142"/>
        <v>0</v>
      </c>
      <c r="F2286" s="21">
        <f t="shared" ca="1" si="143"/>
        <v>0</v>
      </c>
      <c r="H2286" s="21">
        <v>2271</v>
      </c>
      <c r="I2286" s="102">
        <v>0.66772052096240697</v>
      </c>
      <c r="J2286" s="103">
        <v>1.2299356379296546E-3</v>
      </c>
      <c r="K2286" s="103"/>
      <c r="L2286" s="103">
        <v>4.1399999999999999E-2</v>
      </c>
      <c r="O2286" s="100"/>
    </row>
    <row r="2287" spans="2:15" x14ac:dyDescent="0.2">
      <c r="B2287" s="1">
        <v>2272</v>
      </c>
      <c r="C2287" s="101">
        <f t="shared" ca="1" si="140"/>
        <v>-0.86253011205857633</v>
      </c>
      <c r="D2287" s="101">
        <f t="shared" ca="1" si="141"/>
        <v>0.61030389541290631</v>
      </c>
      <c r="E2287" s="101">
        <f t="shared" ca="1" si="142"/>
        <v>0</v>
      </c>
      <c r="F2287" s="21">
        <f t="shared" ca="1" si="143"/>
        <v>0</v>
      </c>
      <c r="H2287" s="21">
        <v>2272</v>
      </c>
      <c r="I2287" s="102">
        <v>0.66775154258912239</v>
      </c>
      <c r="J2287" s="103">
        <v>1.3214881527690088E-3</v>
      </c>
      <c r="K2287" s="103"/>
      <c r="L2287" s="103">
        <v>4.48E-2</v>
      </c>
      <c r="O2287" s="100"/>
    </row>
    <row r="2288" spans="2:15" x14ac:dyDescent="0.2">
      <c r="B2288" s="1">
        <v>2273</v>
      </c>
      <c r="C2288" s="101">
        <f t="shared" ca="1" si="140"/>
        <v>0.62741602599295709</v>
      </c>
      <c r="D2288" s="101">
        <f t="shared" ca="1" si="141"/>
        <v>0.70692691326595258</v>
      </c>
      <c r="E2288" s="101">
        <f t="shared" ca="1" si="142"/>
        <v>0</v>
      </c>
      <c r="F2288" s="21">
        <f t="shared" ca="1" si="143"/>
        <v>0</v>
      </c>
      <c r="H2288" s="21">
        <v>2273</v>
      </c>
      <c r="I2288" s="102">
        <v>0.66761827890608072</v>
      </c>
      <c r="J2288" s="103">
        <v>1.2299682887682061E-3</v>
      </c>
      <c r="K2288" s="103"/>
      <c r="L2288" s="103">
        <v>4.2799999999999998E-2</v>
      </c>
      <c r="O2288" s="100"/>
    </row>
    <row r="2289" spans="2:15" x14ac:dyDescent="0.2">
      <c r="B2289" s="1">
        <v>2274</v>
      </c>
      <c r="C2289" s="101">
        <f t="shared" ca="1" si="140"/>
        <v>-1.248057267455817</v>
      </c>
      <c r="D2289" s="101">
        <f t="shared" ca="1" si="141"/>
        <v>0.58753047239907463</v>
      </c>
      <c r="E2289" s="101">
        <f t="shared" ca="1" si="142"/>
        <v>0</v>
      </c>
      <c r="F2289" s="21">
        <f t="shared" ca="1" si="143"/>
        <v>0</v>
      </c>
      <c r="H2289" s="21">
        <v>2274</v>
      </c>
      <c r="I2289" s="102">
        <v>0.66765007154518141</v>
      </c>
      <c r="J2289" s="103">
        <v>1.2448190351807122E-3</v>
      </c>
      <c r="K2289" s="103"/>
      <c r="L2289" s="103">
        <v>3.8600000000000002E-2</v>
      </c>
      <c r="O2289" s="100"/>
    </row>
    <row r="2290" spans="2:15" x14ac:dyDescent="0.2">
      <c r="B2290" s="1">
        <v>2275</v>
      </c>
      <c r="C2290" s="101">
        <f t="shared" ca="1" si="140"/>
        <v>-1.1545502804018797</v>
      </c>
      <c r="D2290" s="101">
        <f t="shared" ca="1" si="141"/>
        <v>0.59297471902771837</v>
      </c>
      <c r="E2290" s="101">
        <f t="shared" ca="1" si="142"/>
        <v>0</v>
      </c>
      <c r="F2290" s="21">
        <f t="shared" ca="1" si="143"/>
        <v>0</v>
      </c>
      <c r="H2290" s="21">
        <v>2275</v>
      </c>
      <c r="I2290" s="102">
        <v>0.66772500902321574</v>
      </c>
      <c r="J2290" s="103">
        <v>1.2814836041747327E-3</v>
      </c>
      <c r="K2290" s="103"/>
      <c r="L2290" s="103">
        <v>4.1000000000000002E-2</v>
      </c>
      <c r="O2290" s="100"/>
    </row>
    <row r="2291" spans="2:15" x14ac:dyDescent="0.2">
      <c r="B2291" s="1">
        <v>2276</v>
      </c>
      <c r="C2291" s="101">
        <f t="shared" ca="1" si="140"/>
        <v>-1.7479379679869265</v>
      </c>
      <c r="D2291" s="101">
        <f t="shared" ca="1" si="141"/>
        <v>0.5592626488070862</v>
      </c>
      <c r="E2291" s="101">
        <f t="shared" ca="1" si="142"/>
        <v>0</v>
      </c>
      <c r="F2291" s="21">
        <f t="shared" ca="1" si="143"/>
        <v>0</v>
      </c>
      <c r="H2291" s="21">
        <v>2276</v>
      </c>
      <c r="I2291" s="102">
        <v>0.66793534700232815</v>
      </c>
      <c r="J2291" s="103">
        <v>1.5710152855167988E-3</v>
      </c>
      <c r="K2291" s="103"/>
      <c r="L2291" s="103">
        <v>4.5199999999999997E-2</v>
      </c>
      <c r="O2291" s="100"/>
    </row>
    <row r="2292" spans="2:15" x14ac:dyDescent="0.2">
      <c r="B2292" s="1">
        <v>2277</v>
      </c>
      <c r="C2292" s="101">
        <f t="shared" ca="1" si="140"/>
        <v>-1.1625731754537414</v>
      </c>
      <c r="D2292" s="101">
        <f t="shared" ca="1" si="141"/>
        <v>0.59250563099523113</v>
      </c>
      <c r="E2292" s="101">
        <f t="shared" ca="1" si="142"/>
        <v>0</v>
      </c>
      <c r="F2292" s="21">
        <f t="shared" ca="1" si="143"/>
        <v>0</v>
      </c>
      <c r="H2292" s="21">
        <v>2277</v>
      </c>
      <c r="I2292" s="102">
        <v>0.66767358451203418</v>
      </c>
      <c r="J2292" s="103">
        <v>1.3274466669756049E-3</v>
      </c>
      <c r="K2292" s="103"/>
      <c r="L2292" s="103">
        <v>4.1599999999999998E-2</v>
      </c>
      <c r="O2292" s="100"/>
    </row>
    <row r="2293" spans="2:15" x14ac:dyDescent="0.2">
      <c r="B2293" s="1">
        <v>2278</v>
      </c>
      <c r="C2293" s="101">
        <f t="shared" ca="1" si="140"/>
        <v>3.249961020022963E-2</v>
      </c>
      <c r="D2293" s="101">
        <f t="shared" ca="1" si="141"/>
        <v>0.66663584727480563</v>
      </c>
      <c r="E2293" s="101">
        <f t="shared" ca="1" si="142"/>
        <v>0</v>
      </c>
      <c r="F2293" s="21">
        <f t="shared" ca="1" si="143"/>
        <v>0</v>
      </c>
      <c r="H2293" s="21">
        <v>2278</v>
      </c>
      <c r="I2293" s="102">
        <v>0.66789971859484254</v>
      </c>
      <c r="J2293" s="103">
        <v>1.4784945906143746E-3</v>
      </c>
      <c r="K2293" s="103"/>
      <c r="L2293" s="103">
        <v>4.3799999999999999E-2</v>
      </c>
      <c r="O2293" s="100"/>
    </row>
    <row r="2294" spans="2:15" x14ac:dyDescent="0.2">
      <c r="B2294" s="1">
        <v>2279</v>
      </c>
      <c r="C2294" s="101">
        <f t="shared" ca="1" si="140"/>
        <v>0.48894507132671972</v>
      </c>
      <c r="D2294" s="101">
        <f t="shared" ca="1" si="141"/>
        <v>0.69733667330745486</v>
      </c>
      <c r="E2294" s="101">
        <f t="shared" ca="1" si="142"/>
        <v>0</v>
      </c>
      <c r="F2294" s="21">
        <f t="shared" ca="1" si="143"/>
        <v>0</v>
      </c>
      <c r="H2294" s="21">
        <v>2279</v>
      </c>
      <c r="I2294" s="102">
        <v>0.66784031732696392</v>
      </c>
      <c r="J2294" s="103">
        <v>1.4575879627708648E-3</v>
      </c>
      <c r="K2294" s="103"/>
      <c r="L2294" s="103">
        <v>4.5199999999999997E-2</v>
      </c>
      <c r="O2294" s="100"/>
    </row>
    <row r="2295" spans="2:15" x14ac:dyDescent="0.2">
      <c r="B2295" s="1">
        <v>2280</v>
      </c>
      <c r="C2295" s="101">
        <f t="shared" ca="1" si="140"/>
        <v>-0.59477898347075975</v>
      </c>
      <c r="D2295" s="101">
        <f t="shared" ca="1" si="141"/>
        <v>0.62663757838831513</v>
      </c>
      <c r="E2295" s="101">
        <f t="shared" ca="1" si="142"/>
        <v>0</v>
      </c>
      <c r="F2295" s="21">
        <f t="shared" ca="1" si="143"/>
        <v>0</v>
      </c>
      <c r="H2295" s="21">
        <v>2280</v>
      </c>
      <c r="I2295" s="102">
        <v>0.66784183309818579</v>
      </c>
      <c r="J2295" s="103">
        <v>1.4361342468981551E-3</v>
      </c>
      <c r="K2295" s="103"/>
      <c r="L2295" s="103">
        <v>4.36E-2</v>
      </c>
      <c r="O2295" s="100"/>
    </row>
    <row r="2296" spans="2:15" x14ac:dyDescent="0.2">
      <c r="B2296" s="1">
        <v>2281</v>
      </c>
      <c r="C2296" s="101">
        <f t="shared" ca="1" si="140"/>
        <v>1.5647623301670439</v>
      </c>
      <c r="D2296" s="101">
        <f t="shared" ca="1" si="141"/>
        <v>0.77540724351081225</v>
      </c>
      <c r="E2296" s="101">
        <f t="shared" ca="1" si="142"/>
        <v>0</v>
      </c>
      <c r="F2296" s="21">
        <f t="shared" ca="1" si="143"/>
        <v>0</v>
      </c>
      <c r="H2296" s="21">
        <v>2281</v>
      </c>
      <c r="I2296" s="102">
        <v>0.66773293161827574</v>
      </c>
      <c r="J2296" s="103">
        <v>1.3415138480483003E-3</v>
      </c>
      <c r="K2296" s="103"/>
      <c r="L2296" s="103">
        <v>4.0599999999999997E-2</v>
      </c>
      <c r="O2296" s="100"/>
    </row>
    <row r="2297" spans="2:15" x14ac:dyDescent="0.2">
      <c r="B2297" s="1">
        <v>2282</v>
      </c>
      <c r="C2297" s="101">
        <f t="shared" ca="1" si="140"/>
        <v>0.83057374621074032</v>
      </c>
      <c r="D2297" s="101">
        <f t="shared" ca="1" si="141"/>
        <v>0.72123645053081586</v>
      </c>
      <c r="E2297" s="101">
        <f t="shared" ca="1" si="142"/>
        <v>0</v>
      </c>
      <c r="F2297" s="21">
        <f t="shared" ca="1" si="143"/>
        <v>0</v>
      </c>
      <c r="H2297" s="21">
        <v>2282</v>
      </c>
      <c r="I2297" s="102">
        <v>0.66775530640357961</v>
      </c>
      <c r="J2297" s="103">
        <v>1.4137168744147914E-3</v>
      </c>
      <c r="K2297" s="103"/>
      <c r="L2297" s="103">
        <v>4.4999999999999998E-2</v>
      </c>
      <c r="O2297" s="100"/>
    </row>
    <row r="2298" spans="2:15" x14ac:dyDescent="0.2">
      <c r="B2298" s="1">
        <v>2283</v>
      </c>
      <c r="C2298" s="101">
        <f t="shared" ca="1" si="140"/>
        <v>-1.0701084321740413</v>
      </c>
      <c r="D2298" s="101">
        <f t="shared" ca="1" si="141"/>
        <v>0.59793450325173181</v>
      </c>
      <c r="E2298" s="101">
        <f t="shared" ca="1" si="142"/>
        <v>0</v>
      </c>
      <c r="F2298" s="21">
        <f t="shared" ca="1" si="143"/>
        <v>0</v>
      </c>
      <c r="H2298" s="21">
        <v>2283</v>
      </c>
      <c r="I2298" s="102">
        <v>0.66766674285139971</v>
      </c>
      <c r="J2298" s="103">
        <v>1.3383472279633679E-3</v>
      </c>
      <c r="K2298" s="103"/>
      <c r="L2298" s="103">
        <v>3.7999999999999999E-2</v>
      </c>
      <c r="O2298" s="100"/>
    </row>
    <row r="2299" spans="2:15" x14ac:dyDescent="0.2">
      <c r="B2299" s="1">
        <v>2284</v>
      </c>
      <c r="C2299" s="101">
        <f t="shared" ca="1" si="140"/>
        <v>-2.3651844993480494E-2</v>
      </c>
      <c r="D2299" s="101">
        <f t="shared" ca="1" si="141"/>
        <v>0.6629536556309672</v>
      </c>
      <c r="E2299" s="101">
        <f t="shared" ca="1" si="142"/>
        <v>0</v>
      </c>
      <c r="F2299" s="21">
        <f t="shared" ca="1" si="143"/>
        <v>0</v>
      </c>
      <c r="H2299" s="21">
        <v>2284</v>
      </c>
      <c r="I2299" s="102">
        <v>0.66790566624596992</v>
      </c>
      <c r="J2299" s="103">
        <v>1.5903123562181962E-3</v>
      </c>
      <c r="K2299" s="103"/>
      <c r="L2299" s="103">
        <v>4.5400000000000003E-2</v>
      </c>
      <c r="O2299" s="100"/>
    </row>
    <row r="2300" spans="2:15" x14ac:dyDescent="0.2">
      <c r="B2300" s="1">
        <v>2285</v>
      </c>
      <c r="C2300" s="101">
        <f t="shared" ca="1" si="140"/>
        <v>-1.46089170938306</v>
      </c>
      <c r="D2300" s="101">
        <f t="shared" ca="1" si="141"/>
        <v>0.57532427655955942</v>
      </c>
      <c r="E2300" s="101">
        <f t="shared" ca="1" si="142"/>
        <v>0</v>
      </c>
      <c r="F2300" s="21">
        <f t="shared" ca="1" si="143"/>
        <v>0</v>
      </c>
      <c r="H2300" s="21">
        <v>2285</v>
      </c>
      <c r="I2300" s="102">
        <v>0.66771401077786952</v>
      </c>
      <c r="J2300" s="103">
        <v>1.4403920049825107E-3</v>
      </c>
      <c r="K2300" s="103"/>
      <c r="L2300" s="103">
        <v>4.1000000000000002E-2</v>
      </c>
      <c r="O2300" s="100"/>
    </row>
    <row r="2301" spans="2:15" x14ac:dyDescent="0.2">
      <c r="B2301" s="1">
        <v>2286</v>
      </c>
      <c r="C2301" s="101">
        <f t="shared" ca="1" si="140"/>
        <v>0.59937120169554681</v>
      </c>
      <c r="D2301" s="101">
        <f t="shared" ca="1" si="141"/>
        <v>0.70497398825676039</v>
      </c>
      <c r="E2301" s="101">
        <f t="shared" ca="1" si="142"/>
        <v>0</v>
      </c>
      <c r="F2301" s="21">
        <f t="shared" ca="1" si="143"/>
        <v>0</v>
      </c>
      <c r="H2301" s="21">
        <v>2286</v>
      </c>
      <c r="I2301" s="102">
        <v>0.66766219384638292</v>
      </c>
      <c r="J2301" s="103">
        <v>1.2528818019856254E-3</v>
      </c>
      <c r="K2301" s="103"/>
      <c r="L2301" s="103">
        <v>3.9600000000000003E-2</v>
      </c>
      <c r="O2301" s="100"/>
    </row>
    <row r="2302" spans="2:15" x14ac:dyDescent="0.2">
      <c r="B2302" s="1">
        <v>2287</v>
      </c>
      <c r="C2302" s="101">
        <f t="shared" ca="1" si="140"/>
        <v>-2.0364508803267132</v>
      </c>
      <c r="D2302" s="101">
        <f t="shared" ca="1" si="141"/>
        <v>0.54357077636593432</v>
      </c>
      <c r="E2302" s="101">
        <f t="shared" ca="1" si="142"/>
        <v>0</v>
      </c>
      <c r="F2302" s="21">
        <f t="shared" ca="1" si="143"/>
        <v>0</v>
      </c>
      <c r="H2302" s="21">
        <v>2287</v>
      </c>
      <c r="I2302" s="102">
        <v>0.66755849956549296</v>
      </c>
      <c r="J2302" s="103">
        <v>1.2056950661076761E-3</v>
      </c>
      <c r="K2302" s="103"/>
      <c r="L2302" s="103">
        <v>3.8800000000000001E-2</v>
      </c>
      <c r="O2302" s="100"/>
    </row>
    <row r="2303" spans="2:15" x14ac:dyDescent="0.2">
      <c r="B2303" s="1">
        <v>2288</v>
      </c>
      <c r="C2303" s="101">
        <f t="shared" ca="1" si="140"/>
        <v>-0.66437378849762441</v>
      </c>
      <c r="D2303" s="101">
        <f t="shared" ca="1" si="141"/>
        <v>0.6223504912408574</v>
      </c>
      <c r="E2303" s="101">
        <f t="shared" ca="1" si="142"/>
        <v>0</v>
      </c>
      <c r="F2303" s="21">
        <f t="shared" ca="1" si="143"/>
        <v>0</v>
      </c>
      <c r="H2303" s="21">
        <v>2288</v>
      </c>
      <c r="I2303" s="102">
        <v>0.66767643905814411</v>
      </c>
      <c r="J2303" s="103">
        <v>1.4200936823734753E-3</v>
      </c>
      <c r="K2303" s="103"/>
      <c r="L2303" s="103">
        <v>3.9399999999999998E-2</v>
      </c>
      <c r="O2303" s="100"/>
    </row>
    <row r="2304" spans="2:15" x14ac:dyDescent="0.2">
      <c r="B2304" s="1">
        <v>2289</v>
      </c>
      <c r="C2304" s="101">
        <f t="shared" ca="1" si="140"/>
        <v>0.84169468811508374</v>
      </c>
      <c r="D2304" s="101">
        <f t="shared" ca="1" si="141"/>
        <v>0.72202806982178203</v>
      </c>
      <c r="E2304" s="101">
        <f t="shared" ca="1" si="142"/>
        <v>0</v>
      </c>
      <c r="F2304" s="21">
        <f t="shared" ca="1" si="143"/>
        <v>0</v>
      </c>
      <c r="H2304" s="21">
        <v>2289</v>
      </c>
      <c r="I2304" s="102">
        <v>0.66760828440685904</v>
      </c>
      <c r="J2304" s="103">
        <v>1.3627902839762705E-3</v>
      </c>
      <c r="K2304" s="103"/>
      <c r="L2304" s="103">
        <v>3.9199999999999999E-2</v>
      </c>
      <c r="O2304" s="100"/>
    </row>
    <row r="2305" spans="2:15" x14ac:dyDescent="0.2">
      <c r="B2305" s="1">
        <v>2290</v>
      </c>
      <c r="C2305" s="101">
        <f t="shared" ca="1" si="140"/>
        <v>0.42439362526502966</v>
      </c>
      <c r="D2305" s="101">
        <f t="shared" ca="1" si="141"/>
        <v>0.69291053028231742</v>
      </c>
      <c r="E2305" s="101">
        <f t="shared" ca="1" si="142"/>
        <v>0</v>
      </c>
      <c r="F2305" s="21">
        <f t="shared" ca="1" si="143"/>
        <v>0</v>
      </c>
      <c r="H2305" s="21">
        <v>2290</v>
      </c>
      <c r="I2305" s="102">
        <v>0.66778596357240871</v>
      </c>
      <c r="J2305" s="103">
        <v>1.4446347144744386E-3</v>
      </c>
      <c r="K2305" s="103"/>
      <c r="L2305" s="103">
        <v>4.4600000000000001E-2</v>
      </c>
      <c r="O2305" s="100"/>
    </row>
    <row r="2306" spans="2:15" x14ac:dyDescent="0.2">
      <c r="B2306" s="1">
        <v>2291</v>
      </c>
      <c r="C2306" s="101">
        <f t="shared" ca="1" si="140"/>
        <v>1.3319475150228133</v>
      </c>
      <c r="D2306" s="101">
        <f t="shared" ca="1" si="141"/>
        <v>0.75780280858548121</v>
      </c>
      <c r="E2306" s="101">
        <f t="shared" ca="1" si="142"/>
        <v>0</v>
      </c>
      <c r="F2306" s="21">
        <f t="shared" ca="1" si="143"/>
        <v>0</v>
      </c>
      <c r="H2306" s="21">
        <v>2291</v>
      </c>
      <c r="I2306" s="102">
        <v>0.66795261520273563</v>
      </c>
      <c r="J2306" s="103">
        <v>1.5738141945006833E-3</v>
      </c>
      <c r="K2306" s="103"/>
      <c r="L2306" s="103">
        <v>4.6800000000000001E-2</v>
      </c>
      <c r="O2306" s="100"/>
    </row>
    <row r="2307" spans="2:15" x14ac:dyDescent="0.2">
      <c r="B2307" s="1">
        <v>2292</v>
      </c>
      <c r="C2307" s="101">
        <f t="shared" ca="1" si="140"/>
        <v>-0.15834888455476631</v>
      </c>
      <c r="D2307" s="101">
        <f t="shared" ca="1" si="141"/>
        <v>0.65420345226842058</v>
      </c>
      <c r="E2307" s="101">
        <f t="shared" ca="1" si="142"/>
        <v>0</v>
      </c>
      <c r="F2307" s="21">
        <f t="shared" ca="1" si="143"/>
        <v>0</v>
      </c>
      <c r="H2307" s="21">
        <v>2292</v>
      </c>
      <c r="I2307" s="102">
        <v>0.66784819219323066</v>
      </c>
      <c r="J2307" s="103">
        <v>1.5114663868747928E-3</v>
      </c>
      <c r="K2307" s="103"/>
      <c r="L2307" s="103">
        <v>4.58E-2</v>
      </c>
      <c r="O2307" s="100"/>
    </row>
    <row r="2308" spans="2:15" x14ac:dyDescent="0.2">
      <c r="B2308" s="1">
        <v>2293</v>
      </c>
      <c r="C2308" s="101">
        <f t="shared" ca="1" si="140"/>
        <v>-1.1897168190766465</v>
      </c>
      <c r="D2308" s="101">
        <f t="shared" ca="1" si="141"/>
        <v>0.59092132798017338</v>
      </c>
      <c r="E2308" s="101">
        <f t="shared" ca="1" si="142"/>
        <v>0</v>
      </c>
      <c r="F2308" s="21">
        <f t="shared" ca="1" si="143"/>
        <v>0</v>
      </c>
      <c r="H2308" s="21">
        <v>2293</v>
      </c>
      <c r="I2308" s="102">
        <v>0.66770143738548327</v>
      </c>
      <c r="J2308" s="103">
        <v>1.3788053170565309E-3</v>
      </c>
      <c r="K2308" s="103"/>
      <c r="L2308" s="103">
        <v>4.2799999999999998E-2</v>
      </c>
      <c r="O2308" s="100"/>
    </row>
    <row r="2309" spans="2:15" x14ac:dyDescent="0.2">
      <c r="B2309" s="1">
        <v>2294</v>
      </c>
      <c r="C2309" s="101">
        <f t="shared" ca="1" si="140"/>
        <v>-0.97663935329620222</v>
      </c>
      <c r="D2309" s="101">
        <f t="shared" ca="1" si="141"/>
        <v>0.603472900403759</v>
      </c>
      <c r="E2309" s="101">
        <f t="shared" ca="1" si="142"/>
        <v>0</v>
      </c>
      <c r="F2309" s="21">
        <f t="shared" ca="1" si="143"/>
        <v>0</v>
      </c>
      <c r="H2309" s="21">
        <v>2294</v>
      </c>
      <c r="I2309" s="102">
        <v>0.66774316864955863</v>
      </c>
      <c r="J2309" s="103">
        <v>1.4163071553872045E-3</v>
      </c>
      <c r="K2309" s="103"/>
      <c r="L2309" s="103">
        <v>4.1200000000000001E-2</v>
      </c>
      <c r="O2309" s="100"/>
    </row>
    <row r="2310" spans="2:15" x14ac:dyDescent="0.2">
      <c r="B2310" s="1">
        <v>2295</v>
      </c>
      <c r="C2310" s="101">
        <f t="shared" ca="1" si="140"/>
        <v>-0.21472996090419227</v>
      </c>
      <c r="D2310" s="101">
        <f t="shared" ca="1" si="141"/>
        <v>0.65057519570764255</v>
      </c>
      <c r="E2310" s="101">
        <f t="shared" ca="1" si="142"/>
        <v>0</v>
      </c>
      <c r="F2310" s="21">
        <f t="shared" ca="1" si="143"/>
        <v>0</v>
      </c>
      <c r="H2310" s="21">
        <v>2295</v>
      </c>
      <c r="I2310" s="102">
        <v>0.66772958325526333</v>
      </c>
      <c r="J2310" s="103">
        <v>1.4626463543295301E-3</v>
      </c>
      <c r="K2310" s="103"/>
      <c r="L2310" s="103">
        <v>4.2999999999999997E-2</v>
      </c>
      <c r="O2310" s="100"/>
    </row>
    <row r="2311" spans="2:15" x14ac:dyDescent="0.2">
      <c r="B2311" s="1">
        <v>2296</v>
      </c>
      <c r="C2311" s="101">
        <f t="shared" ca="1" si="140"/>
        <v>0.88667975813332578</v>
      </c>
      <c r="D2311" s="101">
        <f t="shared" ca="1" si="141"/>
        <v>0.72523910679154535</v>
      </c>
      <c r="E2311" s="101">
        <f t="shared" ca="1" si="142"/>
        <v>0</v>
      </c>
      <c r="F2311" s="21">
        <f t="shared" ca="1" si="143"/>
        <v>0</v>
      </c>
      <c r="H2311" s="21">
        <v>2296</v>
      </c>
      <c r="I2311" s="102">
        <v>0.66781513029444128</v>
      </c>
      <c r="J2311" s="103">
        <v>1.6222681939463105E-3</v>
      </c>
      <c r="K2311" s="103"/>
      <c r="L2311" s="103">
        <v>4.58E-2</v>
      </c>
      <c r="O2311" s="100"/>
    </row>
    <row r="2312" spans="2:15" x14ac:dyDescent="0.2">
      <c r="B2312" s="1">
        <v>2297</v>
      </c>
      <c r="C2312" s="101">
        <f t="shared" ca="1" si="140"/>
        <v>1.1830912372206366</v>
      </c>
      <c r="D2312" s="101">
        <f t="shared" ca="1" si="141"/>
        <v>0.74675699493422942</v>
      </c>
      <c r="E2312" s="101">
        <f t="shared" ca="1" si="142"/>
        <v>0</v>
      </c>
      <c r="F2312" s="21">
        <f t="shared" ca="1" si="143"/>
        <v>0</v>
      </c>
      <c r="H2312" s="21">
        <v>2297</v>
      </c>
      <c r="I2312" s="102">
        <v>0.66778282909932618</v>
      </c>
      <c r="J2312" s="103">
        <v>1.365647058090726E-3</v>
      </c>
      <c r="K2312" s="103"/>
      <c r="L2312" s="103">
        <v>4.1799999999999997E-2</v>
      </c>
      <c r="O2312" s="100"/>
    </row>
    <row r="2313" spans="2:15" x14ac:dyDescent="0.2">
      <c r="B2313" s="1">
        <v>2298</v>
      </c>
      <c r="C2313" s="101">
        <f t="shared" ca="1" si="140"/>
        <v>-0.99760274851258179</v>
      </c>
      <c r="D2313" s="101">
        <f t="shared" ca="1" si="141"/>
        <v>0.60222629403011896</v>
      </c>
      <c r="E2313" s="101">
        <f t="shared" ca="1" si="142"/>
        <v>0</v>
      </c>
      <c r="F2313" s="21">
        <f t="shared" ca="1" si="143"/>
        <v>0</v>
      </c>
      <c r="H2313" s="21">
        <v>2298</v>
      </c>
      <c r="I2313" s="102">
        <v>0.66767989726744659</v>
      </c>
      <c r="J2313" s="103">
        <v>1.3195015541237253E-3</v>
      </c>
      <c r="K2313" s="103"/>
      <c r="L2313" s="103">
        <v>4.0599999999999997E-2</v>
      </c>
      <c r="O2313" s="100"/>
    </row>
    <row r="2314" spans="2:15" x14ac:dyDescent="0.2">
      <c r="B2314" s="1">
        <v>2299</v>
      </c>
      <c r="C2314" s="101">
        <f t="shared" ca="1" si="140"/>
        <v>0.18111339041227398</v>
      </c>
      <c r="D2314" s="101">
        <f t="shared" ca="1" si="141"/>
        <v>0.67648035026994224</v>
      </c>
      <c r="E2314" s="101">
        <f t="shared" ca="1" si="142"/>
        <v>0</v>
      </c>
      <c r="F2314" s="21">
        <f t="shared" ca="1" si="143"/>
        <v>0</v>
      </c>
      <c r="H2314" s="21">
        <v>2299</v>
      </c>
      <c r="I2314" s="102">
        <v>0.66763110279267934</v>
      </c>
      <c r="J2314" s="103">
        <v>1.3472240296197955E-3</v>
      </c>
      <c r="K2314" s="103"/>
      <c r="L2314" s="103">
        <v>3.6400000000000002E-2</v>
      </c>
      <c r="O2314" s="100"/>
    </row>
    <row r="2315" spans="2:15" x14ac:dyDescent="0.2">
      <c r="B2315" s="1">
        <v>2300</v>
      </c>
      <c r="C2315" s="101">
        <f t="shared" ca="1" si="140"/>
        <v>7.5188354504040503E-2</v>
      </c>
      <c r="D2315" s="101">
        <f t="shared" ca="1" si="141"/>
        <v>0.66944888557261273</v>
      </c>
      <c r="E2315" s="101">
        <f t="shared" ca="1" si="142"/>
        <v>0</v>
      </c>
      <c r="F2315" s="21">
        <f t="shared" ca="1" si="143"/>
        <v>0</v>
      </c>
      <c r="H2315" s="21">
        <v>2300</v>
      </c>
      <c r="I2315" s="102">
        <v>0.66764802218471164</v>
      </c>
      <c r="J2315" s="103">
        <v>1.1778687848177927E-3</v>
      </c>
      <c r="K2315" s="103"/>
      <c r="L2315" s="103">
        <v>3.7999999999999999E-2</v>
      </c>
      <c r="O2315" s="100"/>
    </row>
    <row r="2316" spans="2:15" x14ac:dyDescent="0.2">
      <c r="B2316" s="1">
        <v>2301</v>
      </c>
      <c r="C2316" s="101">
        <f t="shared" ca="1" si="140"/>
        <v>-0.8335919878863286</v>
      </c>
      <c r="D2316" s="101">
        <f t="shared" ca="1" si="141"/>
        <v>0.61204849357899149</v>
      </c>
      <c r="E2316" s="101">
        <f t="shared" ca="1" si="142"/>
        <v>0</v>
      </c>
      <c r="F2316" s="21">
        <f t="shared" ca="1" si="143"/>
        <v>0</v>
      </c>
      <c r="H2316" s="21">
        <v>2301</v>
      </c>
      <c r="I2316" s="102">
        <v>0.66786549538598428</v>
      </c>
      <c r="J2316" s="103">
        <v>1.5759007478241081E-3</v>
      </c>
      <c r="K2316" s="103"/>
      <c r="L2316" s="103">
        <v>4.6600000000000003E-2</v>
      </c>
      <c r="O2316" s="100"/>
    </row>
    <row r="2317" spans="2:15" x14ac:dyDescent="0.2">
      <c r="B2317" s="1">
        <v>2302</v>
      </c>
      <c r="C2317" s="101">
        <f t="shared" ca="1" si="140"/>
        <v>0.18296707798002201</v>
      </c>
      <c r="D2317" s="101">
        <f t="shared" ca="1" si="141"/>
        <v>0.67660405614624786</v>
      </c>
      <c r="E2317" s="101">
        <f t="shared" ca="1" si="142"/>
        <v>0</v>
      </c>
      <c r="F2317" s="21">
        <f t="shared" ca="1" si="143"/>
        <v>0</v>
      </c>
      <c r="H2317" s="21">
        <v>2302</v>
      </c>
      <c r="I2317" s="102">
        <v>0.66793068258580823</v>
      </c>
      <c r="J2317" s="103">
        <v>1.6935618738998872E-3</v>
      </c>
      <c r="K2317" s="103"/>
      <c r="L2317" s="103">
        <v>4.1799999999999997E-2</v>
      </c>
      <c r="O2317" s="100"/>
    </row>
    <row r="2318" spans="2:15" x14ac:dyDescent="0.2">
      <c r="B2318" s="1">
        <v>2303</v>
      </c>
      <c r="C2318" s="101">
        <f t="shared" ca="1" si="140"/>
        <v>0.17240388090605424</v>
      </c>
      <c r="D2318" s="101">
        <f t="shared" ca="1" si="141"/>
        <v>0.67589942369685085</v>
      </c>
      <c r="E2318" s="101">
        <f t="shared" ca="1" si="142"/>
        <v>0</v>
      </c>
      <c r="F2318" s="21">
        <f t="shared" ca="1" si="143"/>
        <v>0</v>
      </c>
      <c r="H2318" s="21">
        <v>2303</v>
      </c>
      <c r="I2318" s="102">
        <v>0.66778456722980351</v>
      </c>
      <c r="J2318" s="103">
        <v>1.4483550768338328E-3</v>
      </c>
      <c r="K2318" s="103"/>
      <c r="L2318" s="103">
        <v>4.2200000000000001E-2</v>
      </c>
      <c r="O2318" s="100"/>
    </row>
    <row r="2319" spans="2:15" x14ac:dyDescent="0.2">
      <c r="B2319" s="1">
        <v>2304</v>
      </c>
      <c r="C2319" s="101">
        <f t="shared" ca="1" si="140"/>
        <v>-0.92564272348926435</v>
      </c>
      <c r="D2319" s="101">
        <f t="shared" ca="1" si="141"/>
        <v>0.60651624366161028</v>
      </c>
      <c r="E2319" s="101">
        <f t="shared" ca="1" si="142"/>
        <v>0</v>
      </c>
      <c r="F2319" s="21">
        <f t="shared" ca="1" si="143"/>
        <v>0</v>
      </c>
      <c r="H2319" s="21">
        <v>2304</v>
      </c>
      <c r="I2319" s="102">
        <v>0.66769237245363433</v>
      </c>
      <c r="J2319" s="103">
        <v>1.1714406842340955E-3</v>
      </c>
      <c r="K2319" s="103"/>
      <c r="L2319" s="103">
        <v>4.2799999999999998E-2</v>
      </c>
      <c r="O2319" s="100"/>
    </row>
    <row r="2320" spans="2:15" x14ac:dyDescent="0.2">
      <c r="B2320" s="1">
        <v>2305</v>
      </c>
      <c r="C2320" s="101">
        <f t="shared" ref="C2320:C2383" ca="1" si="144">_xlfn.NORM.S.INV(RAND())</f>
        <v>5.0024853785818592E-2</v>
      </c>
      <c r="D2320" s="101">
        <f t="shared" ref="D2320:D2383" ca="1" si="145">S0*EXP((μ-0.5*σ*σ)*T+σ*SQRT(T)*$C2320)</f>
        <v>0.66778926618272316</v>
      </c>
      <c r="E2320" s="101">
        <f t="shared" ref="E2320:E2383" ca="1" si="146">MAX(0,CP*(D2320-K))</f>
        <v>0</v>
      </c>
      <c r="F2320" s="21">
        <f t="shared" ref="F2320:F2383" ca="1" si="147">(CP*(D2320-K)&gt;0)*1</f>
        <v>0</v>
      </c>
      <c r="H2320" s="21">
        <v>2305</v>
      </c>
      <c r="I2320" s="102">
        <v>0.66757725607718499</v>
      </c>
      <c r="J2320" s="103">
        <v>1.2172307917163285E-3</v>
      </c>
      <c r="K2320" s="103"/>
      <c r="L2320" s="103">
        <v>3.6600000000000001E-2</v>
      </c>
      <c r="O2320" s="100"/>
    </row>
    <row r="2321" spans="2:15" x14ac:dyDescent="0.2">
      <c r="B2321" s="1">
        <v>2306</v>
      </c>
      <c r="C2321" s="101">
        <f t="shared" ca="1" si="144"/>
        <v>-1.002089202667058</v>
      </c>
      <c r="D2321" s="101">
        <f t="shared" ca="1" si="145"/>
        <v>0.60195983787710627</v>
      </c>
      <c r="E2321" s="101">
        <f t="shared" ca="1" si="146"/>
        <v>0</v>
      </c>
      <c r="F2321" s="21">
        <f t="shared" ca="1" si="147"/>
        <v>0</v>
      </c>
      <c r="H2321" s="21">
        <v>2306</v>
      </c>
      <c r="I2321" s="102">
        <v>0.66778410089227402</v>
      </c>
      <c r="J2321" s="103">
        <v>1.3963112549902593E-3</v>
      </c>
      <c r="K2321" s="103"/>
      <c r="L2321" s="103">
        <v>4.2599999999999999E-2</v>
      </c>
      <c r="O2321" s="100"/>
    </row>
    <row r="2322" spans="2:15" x14ac:dyDescent="0.2">
      <c r="B2322" s="1">
        <v>2307</v>
      </c>
      <c r="C2322" s="101">
        <f t="shared" ca="1" si="144"/>
        <v>0.16899666421992202</v>
      </c>
      <c r="D2322" s="101">
        <f t="shared" ca="1" si="145"/>
        <v>0.67567229722679523</v>
      </c>
      <c r="E2322" s="101">
        <f t="shared" ca="1" si="146"/>
        <v>0</v>
      </c>
      <c r="F2322" s="21">
        <f t="shared" ca="1" si="147"/>
        <v>0</v>
      </c>
      <c r="H2322" s="21">
        <v>2307</v>
      </c>
      <c r="I2322" s="102">
        <v>0.6677747276204915</v>
      </c>
      <c r="J2322" s="103">
        <v>1.3093828892381586E-3</v>
      </c>
      <c r="K2322" s="103"/>
      <c r="L2322" s="103">
        <v>4.1399999999999999E-2</v>
      </c>
      <c r="O2322" s="100"/>
    </row>
    <row r="2323" spans="2:15" x14ac:dyDescent="0.2">
      <c r="B2323" s="1">
        <v>2308</v>
      </c>
      <c r="C2323" s="101">
        <f t="shared" ca="1" si="144"/>
        <v>1.3463328316853186E-2</v>
      </c>
      <c r="D2323" s="101">
        <f t="shared" ca="1" si="145"/>
        <v>0.66538523696762431</v>
      </c>
      <c r="E2323" s="101">
        <f t="shared" ca="1" si="146"/>
        <v>0</v>
      </c>
      <c r="F2323" s="21">
        <f t="shared" ca="1" si="147"/>
        <v>0</v>
      </c>
      <c r="H2323" s="21">
        <v>2308</v>
      </c>
      <c r="I2323" s="102">
        <v>0.66777006490586355</v>
      </c>
      <c r="J2323" s="103">
        <v>1.322973270781642E-3</v>
      </c>
      <c r="K2323" s="103"/>
      <c r="L2323" s="103">
        <v>4.4999999999999998E-2</v>
      </c>
      <c r="O2323" s="100"/>
    </row>
    <row r="2324" spans="2:15" x14ac:dyDescent="0.2">
      <c r="B2324" s="1">
        <v>2309</v>
      </c>
      <c r="C2324" s="101">
        <f t="shared" ca="1" si="144"/>
        <v>1.2255497222192022</v>
      </c>
      <c r="D2324" s="101">
        <f t="shared" ca="1" si="145"/>
        <v>0.74989109211478877</v>
      </c>
      <c r="E2324" s="101">
        <f t="shared" ca="1" si="146"/>
        <v>0</v>
      </c>
      <c r="F2324" s="21">
        <f t="shared" ca="1" si="147"/>
        <v>0</v>
      </c>
      <c r="H2324" s="21">
        <v>2309</v>
      </c>
      <c r="I2324" s="102">
        <v>0.6676612378217236</v>
      </c>
      <c r="J2324" s="103">
        <v>1.2021791994526469E-3</v>
      </c>
      <c r="K2324" s="103"/>
      <c r="L2324" s="103">
        <v>0.04</v>
      </c>
      <c r="O2324" s="100"/>
    </row>
    <row r="2325" spans="2:15" x14ac:dyDescent="0.2">
      <c r="B2325" s="1">
        <v>2310</v>
      </c>
      <c r="C2325" s="101">
        <f t="shared" ca="1" si="144"/>
        <v>-0.65131905323166772</v>
      </c>
      <c r="D2325" s="101">
        <f t="shared" ca="1" si="145"/>
        <v>0.62315243085094407</v>
      </c>
      <c r="E2325" s="101">
        <f t="shared" ca="1" si="146"/>
        <v>0</v>
      </c>
      <c r="F2325" s="21">
        <f t="shared" ca="1" si="147"/>
        <v>0</v>
      </c>
      <c r="H2325" s="21">
        <v>2310</v>
      </c>
      <c r="I2325" s="102">
        <v>0.66797074947406021</v>
      </c>
      <c r="J2325" s="103">
        <v>1.7230616568282516E-3</v>
      </c>
      <c r="K2325" s="103"/>
      <c r="L2325" s="103">
        <v>4.7600000000000003E-2</v>
      </c>
      <c r="O2325" s="100"/>
    </row>
    <row r="2326" spans="2:15" x14ac:dyDescent="0.2">
      <c r="B2326" s="1">
        <v>2311</v>
      </c>
      <c r="C2326" s="101">
        <f t="shared" ca="1" si="144"/>
        <v>-0.96255274358023812</v>
      </c>
      <c r="D2326" s="101">
        <f t="shared" ca="1" si="145"/>
        <v>0.60431202204345813</v>
      </c>
      <c r="E2326" s="101">
        <f t="shared" ca="1" si="146"/>
        <v>0</v>
      </c>
      <c r="F2326" s="21">
        <f t="shared" ca="1" si="147"/>
        <v>0</v>
      </c>
      <c r="H2326" s="21">
        <v>2311</v>
      </c>
      <c r="I2326" s="102">
        <v>0.66777411311694468</v>
      </c>
      <c r="J2326" s="103">
        <v>1.4839484264275585E-3</v>
      </c>
      <c r="K2326" s="103"/>
      <c r="L2326" s="103">
        <v>4.3799999999999999E-2</v>
      </c>
      <c r="O2326" s="100"/>
    </row>
    <row r="2327" spans="2:15" x14ac:dyDescent="0.2">
      <c r="B2327" s="1">
        <v>2312</v>
      </c>
      <c r="C2327" s="101">
        <f t="shared" ca="1" si="144"/>
        <v>1.0042189977452309</v>
      </c>
      <c r="D2327" s="101">
        <f t="shared" ca="1" si="145"/>
        <v>0.7336966276714888</v>
      </c>
      <c r="E2327" s="101">
        <f t="shared" ca="1" si="146"/>
        <v>0</v>
      </c>
      <c r="F2327" s="21">
        <f t="shared" ca="1" si="147"/>
        <v>0</v>
      </c>
      <c r="H2327" s="21">
        <v>2312</v>
      </c>
      <c r="I2327" s="102">
        <v>0.66767265755083183</v>
      </c>
      <c r="J2327" s="103">
        <v>1.3356427260083476E-3</v>
      </c>
      <c r="K2327" s="103"/>
      <c r="L2327" s="103">
        <v>4.2200000000000001E-2</v>
      </c>
      <c r="O2327" s="100"/>
    </row>
    <row r="2328" spans="2:15" x14ac:dyDescent="0.2">
      <c r="B2328" s="1">
        <v>2313</v>
      </c>
      <c r="C2328" s="101">
        <f t="shared" ca="1" si="144"/>
        <v>-1.1684581027839152</v>
      </c>
      <c r="D2328" s="101">
        <f t="shared" ca="1" si="145"/>
        <v>0.59216178304489087</v>
      </c>
      <c r="E2328" s="101">
        <f t="shared" ca="1" si="146"/>
        <v>0</v>
      </c>
      <c r="F2328" s="21">
        <f t="shared" ca="1" si="147"/>
        <v>0</v>
      </c>
      <c r="H2328" s="21">
        <v>2313</v>
      </c>
      <c r="I2328" s="102">
        <v>0.66787816762913876</v>
      </c>
      <c r="J2328" s="103">
        <v>1.3599199830255119E-3</v>
      </c>
      <c r="K2328" s="103"/>
      <c r="L2328" s="103">
        <v>4.3799999999999999E-2</v>
      </c>
      <c r="O2328" s="100"/>
    </row>
    <row r="2329" spans="2:15" x14ac:dyDescent="0.2">
      <c r="B2329" s="1">
        <v>2314</v>
      </c>
      <c r="C2329" s="101">
        <f t="shared" ca="1" si="144"/>
        <v>-8.0824359037333648E-2</v>
      </c>
      <c r="D2329" s="101">
        <f t="shared" ca="1" si="145"/>
        <v>0.65922540312773537</v>
      </c>
      <c r="E2329" s="101">
        <f t="shared" ca="1" si="146"/>
        <v>0</v>
      </c>
      <c r="F2329" s="21">
        <f t="shared" ca="1" si="147"/>
        <v>0</v>
      </c>
      <c r="H2329" s="21">
        <v>2314</v>
      </c>
      <c r="I2329" s="102">
        <v>0.66783453963936779</v>
      </c>
      <c r="J2329" s="103">
        <v>1.5600052026916705E-3</v>
      </c>
      <c r="K2329" s="103"/>
      <c r="L2329" s="103">
        <v>4.3400000000000001E-2</v>
      </c>
      <c r="O2329" s="100"/>
    </row>
    <row r="2330" spans="2:15" x14ac:dyDescent="0.2">
      <c r="B2330" s="1">
        <v>2315</v>
      </c>
      <c r="C2330" s="101">
        <f t="shared" ca="1" si="144"/>
        <v>-0.17138933246037599</v>
      </c>
      <c r="D2330" s="101">
        <f t="shared" ca="1" si="145"/>
        <v>0.65336247366121714</v>
      </c>
      <c r="E2330" s="101">
        <f t="shared" ca="1" si="146"/>
        <v>0</v>
      </c>
      <c r="F2330" s="21">
        <f t="shared" ca="1" si="147"/>
        <v>0</v>
      </c>
      <c r="H2330" s="21">
        <v>2315</v>
      </c>
      <c r="I2330" s="102">
        <v>0.66781267567844238</v>
      </c>
      <c r="J2330" s="103">
        <v>1.4176931384381969E-3</v>
      </c>
      <c r="K2330" s="103"/>
      <c r="L2330" s="103">
        <v>4.2200000000000001E-2</v>
      </c>
      <c r="O2330" s="100"/>
    </row>
    <row r="2331" spans="2:15" x14ac:dyDescent="0.2">
      <c r="B2331" s="1">
        <v>2316</v>
      </c>
      <c r="C2331" s="101">
        <f t="shared" ca="1" si="144"/>
        <v>0.76151705320331187</v>
      </c>
      <c r="D2331" s="101">
        <f t="shared" ca="1" si="145"/>
        <v>0.71634019571611807</v>
      </c>
      <c r="E2331" s="101">
        <f t="shared" ca="1" si="146"/>
        <v>0</v>
      </c>
      <c r="F2331" s="21">
        <f t="shared" ca="1" si="147"/>
        <v>0</v>
      </c>
      <c r="H2331" s="21">
        <v>2316</v>
      </c>
      <c r="I2331" s="102">
        <v>0.6676208151607389</v>
      </c>
      <c r="J2331" s="103">
        <v>1.330246098278396E-3</v>
      </c>
      <c r="K2331" s="103"/>
      <c r="L2331" s="103">
        <v>3.9600000000000003E-2</v>
      </c>
      <c r="O2331" s="100"/>
    </row>
    <row r="2332" spans="2:15" x14ac:dyDescent="0.2">
      <c r="B2332" s="1">
        <v>2317</v>
      </c>
      <c r="C2332" s="101">
        <f t="shared" ca="1" si="144"/>
        <v>-1.5592481490625481</v>
      </c>
      <c r="D2332" s="101">
        <f t="shared" ca="1" si="145"/>
        <v>0.56976946489129565</v>
      </c>
      <c r="E2332" s="101">
        <f t="shared" ca="1" si="146"/>
        <v>0</v>
      </c>
      <c r="F2332" s="21">
        <f t="shared" ca="1" si="147"/>
        <v>0</v>
      </c>
      <c r="H2332" s="21">
        <v>2317</v>
      </c>
      <c r="I2332" s="102">
        <v>0.66774541900911932</v>
      </c>
      <c r="J2332" s="103">
        <v>1.3461947237239467E-3</v>
      </c>
      <c r="K2332" s="103"/>
      <c r="L2332" s="103">
        <v>4.1000000000000002E-2</v>
      </c>
      <c r="O2332" s="100"/>
    </row>
    <row r="2333" spans="2:15" x14ac:dyDescent="0.2">
      <c r="B2333" s="1">
        <v>2318</v>
      </c>
      <c r="C2333" s="101">
        <f t="shared" ca="1" si="144"/>
        <v>-0.60974964200110915</v>
      </c>
      <c r="D2333" s="101">
        <f t="shared" ca="1" si="145"/>
        <v>0.62571288955511584</v>
      </c>
      <c r="E2333" s="101">
        <f t="shared" ca="1" si="146"/>
        <v>0</v>
      </c>
      <c r="F2333" s="21">
        <f t="shared" ca="1" si="147"/>
        <v>0</v>
      </c>
      <c r="H2333" s="21">
        <v>2318</v>
      </c>
      <c r="I2333" s="102">
        <v>0.66768681750241599</v>
      </c>
      <c r="J2333" s="103">
        <v>1.2960556909954728E-3</v>
      </c>
      <c r="K2333" s="103"/>
      <c r="L2333" s="103">
        <v>3.9E-2</v>
      </c>
      <c r="O2333" s="100"/>
    </row>
    <row r="2334" spans="2:15" x14ac:dyDescent="0.2">
      <c r="B2334" s="1">
        <v>2319</v>
      </c>
      <c r="C2334" s="101">
        <f t="shared" ca="1" si="144"/>
        <v>-0.3223174034066445</v>
      </c>
      <c r="D2334" s="101">
        <f t="shared" ca="1" si="145"/>
        <v>0.64370742900543798</v>
      </c>
      <c r="E2334" s="101">
        <f t="shared" ca="1" si="146"/>
        <v>0</v>
      </c>
      <c r="F2334" s="21">
        <f t="shared" ca="1" si="147"/>
        <v>0</v>
      </c>
      <c r="H2334" s="21">
        <v>2319</v>
      </c>
      <c r="I2334" s="102">
        <v>0.66771612487638354</v>
      </c>
      <c r="J2334" s="103">
        <v>1.2133331502877742E-3</v>
      </c>
      <c r="K2334" s="103"/>
      <c r="L2334" s="103">
        <v>4.2200000000000001E-2</v>
      </c>
      <c r="O2334" s="100"/>
    </row>
    <row r="2335" spans="2:15" x14ac:dyDescent="0.2">
      <c r="B2335" s="1">
        <v>2320</v>
      </c>
      <c r="C2335" s="101">
        <f t="shared" ca="1" si="144"/>
        <v>-1.9185385921658007</v>
      </c>
      <c r="D2335" s="101">
        <f t="shared" ca="1" si="145"/>
        <v>0.54992997163256052</v>
      </c>
      <c r="E2335" s="101">
        <f t="shared" ca="1" si="146"/>
        <v>0</v>
      </c>
      <c r="F2335" s="21">
        <f t="shared" ca="1" si="147"/>
        <v>0</v>
      </c>
      <c r="H2335" s="21">
        <v>2320</v>
      </c>
      <c r="I2335" s="102">
        <v>0.66767571462061348</v>
      </c>
      <c r="J2335" s="103">
        <v>1.2603172281506383E-3</v>
      </c>
      <c r="K2335" s="103"/>
      <c r="L2335" s="103">
        <v>4.0599999999999997E-2</v>
      </c>
      <c r="O2335" s="100"/>
    </row>
    <row r="2336" spans="2:15" x14ac:dyDescent="0.2">
      <c r="B2336" s="1">
        <v>2321</v>
      </c>
      <c r="C2336" s="101">
        <f t="shared" ca="1" si="144"/>
        <v>1.9483751537873719</v>
      </c>
      <c r="D2336" s="101">
        <f t="shared" ca="1" si="145"/>
        <v>0.80531092440233198</v>
      </c>
      <c r="E2336" s="101">
        <f t="shared" ca="1" si="146"/>
        <v>1.7110924402331973E-2</v>
      </c>
      <c r="F2336" s="21">
        <f t="shared" ca="1" si="147"/>
        <v>1</v>
      </c>
      <c r="H2336" s="21">
        <v>2321</v>
      </c>
      <c r="I2336" s="102">
        <v>0.66761166073364331</v>
      </c>
      <c r="J2336" s="103">
        <v>1.308748032951768E-3</v>
      </c>
      <c r="K2336" s="103"/>
      <c r="L2336" s="103">
        <v>3.9800000000000002E-2</v>
      </c>
      <c r="O2336" s="100"/>
    </row>
    <row r="2337" spans="2:15" x14ac:dyDescent="0.2">
      <c r="B2337" s="1">
        <v>2322</v>
      </c>
      <c r="C2337" s="101">
        <f t="shared" ca="1" si="144"/>
        <v>-0.20419265408225426</v>
      </c>
      <c r="D2337" s="101">
        <f t="shared" ca="1" si="145"/>
        <v>0.65125176417519093</v>
      </c>
      <c r="E2337" s="101">
        <f t="shared" ca="1" si="146"/>
        <v>0</v>
      </c>
      <c r="F2337" s="21">
        <f t="shared" ca="1" si="147"/>
        <v>0</v>
      </c>
      <c r="H2337" s="21">
        <v>2322</v>
      </c>
      <c r="I2337" s="102">
        <v>0.66762854077027178</v>
      </c>
      <c r="J2337" s="103">
        <v>1.248714597572112E-3</v>
      </c>
      <c r="K2337" s="103"/>
      <c r="L2337" s="103">
        <v>4.0399999999999998E-2</v>
      </c>
      <c r="O2337" s="100"/>
    </row>
    <row r="2338" spans="2:15" x14ac:dyDescent="0.2">
      <c r="B2338" s="1">
        <v>2323</v>
      </c>
      <c r="C2338" s="101">
        <f t="shared" ca="1" si="144"/>
        <v>-1.6904347502756634</v>
      </c>
      <c r="D2338" s="101">
        <f t="shared" ca="1" si="145"/>
        <v>0.56244390867317928</v>
      </c>
      <c r="E2338" s="101">
        <f t="shared" ca="1" si="146"/>
        <v>0</v>
      </c>
      <c r="F2338" s="21">
        <f t="shared" ca="1" si="147"/>
        <v>0</v>
      </c>
      <c r="H2338" s="21">
        <v>2323</v>
      </c>
      <c r="I2338" s="102">
        <v>0.66762149763169387</v>
      </c>
      <c r="J2338" s="103">
        <v>1.2618175054020641E-3</v>
      </c>
      <c r="K2338" s="103"/>
      <c r="L2338" s="103">
        <v>3.7400000000000003E-2</v>
      </c>
      <c r="O2338" s="100"/>
    </row>
    <row r="2339" spans="2:15" x14ac:dyDescent="0.2">
      <c r="B2339" s="1">
        <v>2324</v>
      </c>
      <c r="C2339" s="101">
        <f t="shared" ca="1" si="144"/>
        <v>-0.31823530209528716</v>
      </c>
      <c r="D2339" s="101">
        <f t="shared" ca="1" si="145"/>
        <v>0.64396667893156334</v>
      </c>
      <c r="E2339" s="101">
        <f t="shared" ca="1" si="146"/>
        <v>0</v>
      </c>
      <c r="F2339" s="21">
        <f t="shared" ca="1" si="147"/>
        <v>0</v>
      </c>
      <c r="H2339" s="21">
        <v>2324</v>
      </c>
      <c r="I2339" s="102">
        <v>0.66768872334334695</v>
      </c>
      <c r="J2339" s="103">
        <v>1.4180367933573404E-3</v>
      </c>
      <c r="K2339" s="103"/>
      <c r="L2339" s="103">
        <v>3.9800000000000002E-2</v>
      </c>
      <c r="O2339" s="100"/>
    </row>
    <row r="2340" spans="2:15" x14ac:dyDescent="0.2">
      <c r="B2340" s="1">
        <v>2325</v>
      </c>
      <c r="C2340" s="101">
        <f t="shared" ca="1" si="144"/>
        <v>1.1558556258073971</v>
      </c>
      <c r="D2340" s="101">
        <f t="shared" ca="1" si="145"/>
        <v>0.74475348231848992</v>
      </c>
      <c r="E2340" s="101">
        <f t="shared" ca="1" si="146"/>
        <v>0</v>
      </c>
      <c r="F2340" s="21">
        <f t="shared" ca="1" si="147"/>
        <v>0</v>
      </c>
      <c r="H2340" s="21">
        <v>2325</v>
      </c>
      <c r="I2340" s="102">
        <v>0.66771720453039607</v>
      </c>
      <c r="J2340" s="103">
        <v>1.3160553782893042E-3</v>
      </c>
      <c r="K2340" s="103"/>
      <c r="L2340" s="103">
        <v>3.9199999999999999E-2</v>
      </c>
      <c r="O2340" s="100"/>
    </row>
    <row r="2341" spans="2:15" x14ac:dyDescent="0.2">
      <c r="B2341" s="1">
        <v>2326</v>
      </c>
      <c r="C2341" s="101">
        <f t="shared" ca="1" si="144"/>
        <v>-0.63470075556946404</v>
      </c>
      <c r="D2341" s="101">
        <f t="shared" ca="1" si="145"/>
        <v>0.62417477175008484</v>
      </c>
      <c r="E2341" s="101">
        <f t="shared" ca="1" si="146"/>
        <v>0</v>
      </c>
      <c r="F2341" s="21">
        <f t="shared" ca="1" si="147"/>
        <v>0</v>
      </c>
      <c r="H2341" s="21">
        <v>2326</v>
      </c>
      <c r="I2341" s="102">
        <v>0.66773911971029409</v>
      </c>
      <c r="J2341" s="103">
        <v>1.2334832734608914E-3</v>
      </c>
      <c r="K2341" s="103"/>
      <c r="L2341" s="103">
        <v>0.04</v>
      </c>
      <c r="O2341" s="100"/>
    </row>
    <row r="2342" spans="2:15" x14ac:dyDescent="0.2">
      <c r="B2342" s="1">
        <v>2327</v>
      </c>
      <c r="C2342" s="101">
        <f t="shared" ca="1" si="144"/>
        <v>-0.69769961329701013</v>
      </c>
      <c r="D2342" s="101">
        <f t="shared" ca="1" si="145"/>
        <v>0.62030799525905711</v>
      </c>
      <c r="E2342" s="101">
        <f t="shared" ca="1" si="146"/>
        <v>0</v>
      </c>
      <c r="F2342" s="21">
        <f t="shared" ca="1" si="147"/>
        <v>0</v>
      </c>
      <c r="H2342" s="21">
        <v>2327</v>
      </c>
      <c r="I2342" s="102">
        <v>0.66772466992696344</v>
      </c>
      <c r="J2342" s="103">
        <v>1.3751876724699607E-3</v>
      </c>
      <c r="K2342" s="103"/>
      <c r="L2342" s="103">
        <v>4.1399999999999999E-2</v>
      </c>
      <c r="O2342" s="100"/>
    </row>
    <row r="2343" spans="2:15" x14ac:dyDescent="0.2">
      <c r="B2343" s="1">
        <v>2328</v>
      </c>
      <c r="C2343" s="101">
        <f t="shared" ca="1" si="144"/>
        <v>0.44867656770809533</v>
      </c>
      <c r="D2343" s="101">
        <f t="shared" ca="1" si="145"/>
        <v>0.69457224937388995</v>
      </c>
      <c r="E2343" s="101">
        <f t="shared" ca="1" si="146"/>
        <v>0</v>
      </c>
      <c r="F2343" s="21">
        <f t="shared" ca="1" si="147"/>
        <v>0</v>
      </c>
      <c r="H2343" s="21">
        <v>2328</v>
      </c>
      <c r="I2343" s="102">
        <v>0.66793529695929377</v>
      </c>
      <c r="J2343" s="103">
        <v>1.4878432842224487E-3</v>
      </c>
      <c r="K2343" s="103"/>
      <c r="L2343" s="103">
        <v>4.7E-2</v>
      </c>
      <c r="O2343" s="100"/>
    </row>
    <row r="2344" spans="2:15" x14ac:dyDescent="0.2">
      <c r="B2344" s="1">
        <v>2329</v>
      </c>
      <c r="C2344" s="101">
        <f t="shared" ca="1" si="144"/>
        <v>0.91017363754058078</v>
      </c>
      <c r="D2344" s="101">
        <f t="shared" ca="1" si="145"/>
        <v>0.72692177379742262</v>
      </c>
      <c r="E2344" s="101">
        <f t="shared" ca="1" si="146"/>
        <v>0</v>
      </c>
      <c r="F2344" s="21">
        <f t="shared" ca="1" si="147"/>
        <v>0</v>
      </c>
      <c r="H2344" s="21">
        <v>2329</v>
      </c>
      <c r="I2344" s="102">
        <v>0.66777484945744781</v>
      </c>
      <c r="J2344" s="103">
        <v>1.3842577439118211E-3</v>
      </c>
      <c r="K2344" s="103"/>
      <c r="L2344" s="103">
        <v>4.2599999999999999E-2</v>
      </c>
      <c r="O2344" s="100"/>
    </row>
    <row r="2345" spans="2:15" x14ac:dyDescent="0.2">
      <c r="B2345" s="1">
        <v>2330</v>
      </c>
      <c r="C2345" s="101">
        <f t="shared" ca="1" si="144"/>
        <v>-0.502686737187932</v>
      </c>
      <c r="D2345" s="101">
        <f t="shared" ca="1" si="145"/>
        <v>0.63235595142370293</v>
      </c>
      <c r="E2345" s="101">
        <f t="shared" ca="1" si="146"/>
        <v>0</v>
      </c>
      <c r="F2345" s="21">
        <f t="shared" ca="1" si="147"/>
        <v>0</v>
      </c>
      <c r="H2345" s="21">
        <v>2330</v>
      </c>
      <c r="I2345" s="102">
        <v>0.66808109300946583</v>
      </c>
      <c r="J2345" s="103">
        <v>1.851298720979186E-3</v>
      </c>
      <c r="K2345" s="103"/>
      <c r="L2345" s="103">
        <v>4.9799999999999997E-2</v>
      </c>
      <c r="O2345" s="100"/>
    </row>
    <row r="2346" spans="2:15" x14ac:dyDescent="0.2">
      <c r="B2346" s="1">
        <v>2331</v>
      </c>
      <c r="C2346" s="101">
        <f t="shared" ca="1" si="144"/>
        <v>-0.11444622385769646</v>
      </c>
      <c r="D2346" s="101">
        <f t="shared" ca="1" si="145"/>
        <v>0.6570427000446396</v>
      </c>
      <c r="E2346" s="101">
        <f t="shared" ca="1" si="146"/>
        <v>0</v>
      </c>
      <c r="F2346" s="21">
        <f t="shared" ca="1" si="147"/>
        <v>0</v>
      </c>
      <c r="H2346" s="21">
        <v>2331</v>
      </c>
      <c r="I2346" s="102">
        <v>0.66773213154849087</v>
      </c>
      <c r="J2346" s="103">
        <v>1.3679072166166313E-3</v>
      </c>
      <c r="K2346" s="103"/>
      <c r="L2346" s="103">
        <v>4.24E-2</v>
      </c>
      <c r="O2346" s="100"/>
    </row>
    <row r="2347" spans="2:15" x14ac:dyDescent="0.2">
      <c r="B2347" s="1">
        <v>2332</v>
      </c>
      <c r="C2347" s="101">
        <f t="shared" ca="1" si="144"/>
        <v>1.4020215070148454</v>
      </c>
      <c r="D2347" s="101">
        <f t="shared" ca="1" si="145"/>
        <v>0.76305903177907053</v>
      </c>
      <c r="E2347" s="101">
        <f t="shared" ca="1" si="146"/>
        <v>0</v>
      </c>
      <c r="F2347" s="21">
        <f t="shared" ca="1" si="147"/>
        <v>0</v>
      </c>
      <c r="H2347" s="21">
        <v>2332</v>
      </c>
      <c r="I2347" s="102">
        <v>0.66775219802088637</v>
      </c>
      <c r="J2347" s="103">
        <v>1.2784490110386963E-3</v>
      </c>
      <c r="K2347" s="103"/>
      <c r="L2347" s="103">
        <v>4.3400000000000001E-2</v>
      </c>
      <c r="O2347" s="100"/>
    </row>
    <row r="2348" spans="2:15" x14ac:dyDescent="0.2">
      <c r="B2348" s="1">
        <v>2333</v>
      </c>
      <c r="C2348" s="101">
        <f t="shared" ca="1" si="144"/>
        <v>-0.84697015213568638</v>
      </c>
      <c r="D2348" s="101">
        <f t="shared" ca="1" si="145"/>
        <v>0.61124134268329333</v>
      </c>
      <c r="E2348" s="101">
        <f t="shared" ca="1" si="146"/>
        <v>0</v>
      </c>
      <c r="F2348" s="21">
        <f t="shared" ca="1" si="147"/>
        <v>0</v>
      </c>
      <c r="H2348" s="21">
        <v>2333</v>
      </c>
      <c r="I2348" s="102">
        <v>0.66776103620985228</v>
      </c>
      <c r="J2348" s="103">
        <v>1.2724712079808188E-3</v>
      </c>
      <c r="K2348" s="103"/>
      <c r="L2348" s="103">
        <v>4.1599999999999998E-2</v>
      </c>
      <c r="O2348" s="100"/>
    </row>
    <row r="2349" spans="2:15" x14ac:dyDescent="0.2">
      <c r="B2349" s="1">
        <v>2334</v>
      </c>
      <c r="C2349" s="101">
        <f t="shared" ca="1" si="144"/>
        <v>-0.81156226757755434</v>
      </c>
      <c r="D2349" s="101">
        <f t="shared" ca="1" si="145"/>
        <v>0.61337994606419821</v>
      </c>
      <c r="E2349" s="101">
        <f t="shared" ca="1" si="146"/>
        <v>0</v>
      </c>
      <c r="F2349" s="21">
        <f t="shared" ca="1" si="147"/>
        <v>0</v>
      </c>
      <c r="H2349" s="21">
        <v>2334</v>
      </c>
      <c r="I2349" s="102">
        <v>0.66784139930591213</v>
      </c>
      <c r="J2349" s="103">
        <v>1.5163959534512598E-3</v>
      </c>
      <c r="K2349" s="103"/>
      <c r="L2349" s="103">
        <v>4.5400000000000003E-2</v>
      </c>
      <c r="O2349" s="100"/>
    </row>
    <row r="2350" spans="2:15" x14ac:dyDescent="0.2">
      <c r="B2350" s="1">
        <v>2335</v>
      </c>
      <c r="C2350" s="101">
        <f t="shared" ca="1" si="144"/>
        <v>0.80368086977434239</v>
      </c>
      <c r="D2350" s="101">
        <f t="shared" ca="1" si="145"/>
        <v>0.7193257267242823</v>
      </c>
      <c r="E2350" s="101">
        <f t="shared" ca="1" si="146"/>
        <v>0</v>
      </c>
      <c r="F2350" s="21">
        <f t="shared" ca="1" si="147"/>
        <v>0</v>
      </c>
      <c r="H2350" s="21">
        <v>2335</v>
      </c>
      <c r="I2350" s="102">
        <v>0.66780078507621388</v>
      </c>
      <c r="J2350" s="103">
        <v>1.4678309886410387E-3</v>
      </c>
      <c r="K2350" s="103"/>
      <c r="L2350" s="103">
        <v>4.2999999999999997E-2</v>
      </c>
      <c r="O2350" s="100"/>
    </row>
    <row r="2351" spans="2:15" x14ac:dyDescent="0.2">
      <c r="B2351" s="1">
        <v>2336</v>
      </c>
      <c r="C2351" s="101">
        <f t="shared" ca="1" si="144"/>
        <v>-0.78621668317254634</v>
      </c>
      <c r="D2351" s="101">
        <f t="shared" ca="1" si="145"/>
        <v>0.61491538938923973</v>
      </c>
      <c r="E2351" s="101">
        <f t="shared" ca="1" si="146"/>
        <v>0</v>
      </c>
      <c r="F2351" s="21">
        <f t="shared" ca="1" si="147"/>
        <v>0</v>
      </c>
      <c r="H2351" s="21">
        <v>2336</v>
      </c>
      <c r="I2351" s="102">
        <v>0.66767618245986604</v>
      </c>
      <c r="J2351" s="103">
        <v>1.348361957970148E-3</v>
      </c>
      <c r="K2351" s="103"/>
      <c r="L2351" s="103">
        <v>3.9E-2</v>
      </c>
      <c r="O2351" s="100"/>
    </row>
    <row r="2352" spans="2:15" x14ac:dyDescent="0.2">
      <c r="B2352" s="1">
        <v>2337</v>
      </c>
      <c r="C2352" s="101">
        <f t="shared" ca="1" si="144"/>
        <v>2.169078696939251</v>
      </c>
      <c r="D2352" s="101">
        <f t="shared" ca="1" si="145"/>
        <v>0.823035170636647</v>
      </c>
      <c r="E2352" s="101">
        <f t="shared" ca="1" si="146"/>
        <v>3.4835170636646984E-2</v>
      </c>
      <c r="F2352" s="21">
        <f t="shared" ca="1" si="147"/>
        <v>1</v>
      </c>
      <c r="H2352" s="21">
        <v>2337</v>
      </c>
      <c r="I2352" s="102">
        <v>0.66779425868216735</v>
      </c>
      <c r="J2352" s="103">
        <v>1.4732699668463952E-3</v>
      </c>
      <c r="K2352" s="103"/>
      <c r="L2352" s="103">
        <v>4.48E-2</v>
      </c>
      <c r="O2352" s="100"/>
    </row>
    <row r="2353" spans="2:15" x14ac:dyDescent="0.2">
      <c r="B2353" s="1">
        <v>2338</v>
      </c>
      <c r="C2353" s="101">
        <f t="shared" ca="1" si="144"/>
        <v>-4.7015935319720835E-2</v>
      </c>
      <c r="D2353" s="101">
        <f t="shared" ca="1" si="145"/>
        <v>0.66142752892768286</v>
      </c>
      <c r="E2353" s="101">
        <f t="shared" ca="1" si="146"/>
        <v>0</v>
      </c>
      <c r="F2353" s="21">
        <f t="shared" ca="1" si="147"/>
        <v>0</v>
      </c>
      <c r="H2353" s="21">
        <v>2338</v>
      </c>
      <c r="I2353" s="102">
        <v>0.66780052417465963</v>
      </c>
      <c r="J2353" s="103">
        <v>1.4877335658966982E-3</v>
      </c>
      <c r="K2353" s="103"/>
      <c r="L2353" s="103">
        <v>4.4999999999999998E-2</v>
      </c>
      <c r="O2353" s="100"/>
    </row>
    <row r="2354" spans="2:15" x14ac:dyDescent="0.2">
      <c r="B2354" s="1">
        <v>2339</v>
      </c>
      <c r="C2354" s="101">
        <f t="shared" ca="1" si="144"/>
        <v>0.80403475582590844</v>
      </c>
      <c r="D2354" s="101">
        <f t="shared" ca="1" si="145"/>
        <v>0.71935083723345994</v>
      </c>
      <c r="E2354" s="101">
        <f t="shared" ca="1" si="146"/>
        <v>0</v>
      </c>
      <c r="F2354" s="21">
        <f t="shared" ca="1" si="147"/>
        <v>0</v>
      </c>
      <c r="H2354" s="21">
        <v>2339</v>
      </c>
      <c r="I2354" s="102">
        <v>0.66786434430473629</v>
      </c>
      <c r="J2354" s="103">
        <v>1.5772596194194148E-3</v>
      </c>
      <c r="K2354" s="103"/>
      <c r="L2354" s="103">
        <v>4.3200000000000002E-2</v>
      </c>
      <c r="O2354" s="100"/>
    </row>
    <row r="2355" spans="2:15" x14ac:dyDescent="0.2">
      <c r="B2355" s="1">
        <v>2340</v>
      </c>
      <c r="C2355" s="101">
        <f t="shared" ca="1" si="144"/>
        <v>0.1451047337916018</v>
      </c>
      <c r="D2355" s="101">
        <f t="shared" ca="1" si="145"/>
        <v>0.67408179384116385</v>
      </c>
      <c r="E2355" s="101">
        <f t="shared" ca="1" si="146"/>
        <v>0</v>
      </c>
      <c r="F2355" s="21">
        <f t="shared" ca="1" si="147"/>
        <v>0</v>
      </c>
      <c r="H2355" s="21">
        <v>2340</v>
      </c>
      <c r="I2355" s="102">
        <v>0.66778447886934</v>
      </c>
      <c r="J2355" s="103">
        <v>1.3813760778577484E-3</v>
      </c>
      <c r="K2355" s="103"/>
      <c r="L2355" s="103">
        <v>4.4600000000000001E-2</v>
      </c>
      <c r="O2355" s="100"/>
    </row>
    <row r="2356" spans="2:15" x14ac:dyDescent="0.2">
      <c r="B2356" s="1">
        <v>2341</v>
      </c>
      <c r="C2356" s="101">
        <f t="shared" ca="1" si="144"/>
        <v>-0.51741969825549705</v>
      </c>
      <c r="D2356" s="101">
        <f t="shared" ca="1" si="145"/>
        <v>0.63143762936837033</v>
      </c>
      <c r="E2356" s="101">
        <f t="shared" ca="1" si="146"/>
        <v>0</v>
      </c>
      <c r="F2356" s="21">
        <f t="shared" ca="1" si="147"/>
        <v>0</v>
      </c>
      <c r="H2356" s="21">
        <v>2341</v>
      </c>
      <c r="I2356" s="102">
        <v>0.66765464721473067</v>
      </c>
      <c r="J2356" s="103">
        <v>1.3167963016882766E-3</v>
      </c>
      <c r="K2356" s="103"/>
      <c r="L2356" s="103">
        <v>4.1399999999999999E-2</v>
      </c>
      <c r="O2356" s="100"/>
    </row>
    <row r="2357" spans="2:15" x14ac:dyDescent="0.2">
      <c r="B2357" s="1">
        <v>2342</v>
      </c>
      <c r="C2357" s="101">
        <f t="shared" ca="1" si="144"/>
        <v>-0.66664324935403874</v>
      </c>
      <c r="D2357" s="101">
        <f t="shared" ca="1" si="145"/>
        <v>0.62221118581778889</v>
      </c>
      <c r="E2357" s="101">
        <f t="shared" ca="1" si="146"/>
        <v>0</v>
      </c>
      <c r="F2357" s="21">
        <f t="shared" ca="1" si="147"/>
        <v>0</v>
      </c>
      <c r="H2357" s="21">
        <v>2342</v>
      </c>
      <c r="I2357" s="102">
        <v>0.66770306951182656</v>
      </c>
      <c r="J2357" s="103">
        <v>1.2939144146050091E-3</v>
      </c>
      <c r="K2357" s="103"/>
      <c r="L2357" s="103">
        <v>4.0399999999999998E-2</v>
      </c>
      <c r="O2357" s="100"/>
    </row>
    <row r="2358" spans="2:15" x14ac:dyDescent="0.2">
      <c r="B2358" s="1">
        <v>2343</v>
      </c>
      <c r="C2358" s="101">
        <f t="shared" ca="1" si="144"/>
        <v>-0.22037205670493676</v>
      </c>
      <c r="D2358" s="101">
        <f t="shared" ca="1" si="145"/>
        <v>0.65021322284582739</v>
      </c>
      <c r="E2358" s="101">
        <f t="shared" ca="1" si="146"/>
        <v>0</v>
      </c>
      <c r="F2358" s="21">
        <f t="shared" ca="1" si="147"/>
        <v>0</v>
      </c>
      <c r="H2358" s="21">
        <v>2343</v>
      </c>
      <c r="I2358" s="102">
        <v>0.66776198419401411</v>
      </c>
      <c r="J2358" s="103">
        <v>1.3899850972416952E-3</v>
      </c>
      <c r="K2358" s="103"/>
      <c r="L2358" s="103">
        <v>4.3999999999999997E-2</v>
      </c>
      <c r="O2358" s="100"/>
    </row>
    <row r="2359" spans="2:15" x14ac:dyDescent="0.2">
      <c r="B2359" s="1">
        <v>2344</v>
      </c>
      <c r="C2359" s="101">
        <f t="shared" ca="1" si="144"/>
        <v>0.68105934674256041</v>
      </c>
      <c r="D2359" s="101">
        <f t="shared" ca="1" si="145"/>
        <v>0.71067749471599417</v>
      </c>
      <c r="E2359" s="101">
        <f t="shared" ca="1" si="146"/>
        <v>0</v>
      </c>
      <c r="F2359" s="21">
        <f t="shared" ca="1" si="147"/>
        <v>0</v>
      </c>
      <c r="H2359" s="21">
        <v>2344</v>
      </c>
      <c r="I2359" s="102">
        <v>0.66761730368767935</v>
      </c>
      <c r="J2359" s="103">
        <v>1.2650494771282543E-3</v>
      </c>
      <c r="K2359" s="103"/>
      <c r="L2359" s="103">
        <v>4.1599999999999998E-2</v>
      </c>
      <c r="O2359" s="100"/>
    </row>
    <row r="2360" spans="2:15" x14ac:dyDescent="0.2">
      <c r="B2360" s="1">
        <v>2345</v>
      </c>
      <c r="C2360" s="101">
        <f t="shared" ca="1" si="144"/>
        <v>0.57715282180830862</v>
      </c>
      <c r="D2360" s="101">
        <f t="shared" ca="1" si="145"/>
        <v>0.70343062357497133</v>
      </c>
      <c r="E2360" s="101">
        <f t="shared" ca="1" si="146"/>
        <v>0</v>
      </c>
      <c r="F2360" s="21">
        <f t="shared" ca="1" si="147"/>
        <v>0</v>
      </c>
      <c r="H2360" s="21">
        <v>2345</v>
      </c>
      <c r="I2360" s="102">
        <v>0.66769306104907833</v>
      </c>
      <c r="J2360" s="103">
        <v>1.2247494831662345E-3</v>
      </c>
      <c r="K2360" s="103"/>
      <c r="L2360" s="103">
        <v>3.6600000000000001E-2</v>
      </c>
      <c r="O2360" s="100"/>
    </row>
    <row r="2361" spans="2:15" x14ac:dyDescent="0.2">
      <c r="B2361" s="1">
        <v>2346</v>
      </c>
      <c r="C2361" s="101">
        <f t="shared" ca="1" si="144"/>
        <v>0.13906535040594101</v>
      </c>
      <c r="D2361" s="101">
        <f t="shared" ca="1" si="145"/>
        <v>0.67368034080873318</v>
      </c>
      <c r="E2361" s="101">
        <f t="shared" ca="1" si="146"/>
        <v>0</v>
      </c>
      <c r="F2361" s="21">
        <f t="shared" ca="1" si="147"/>
        <v>0</v>
      </c>
      <c r="H2361" s="21">
        <v>2346</v>
      </c>
      <c r="I2361" s="102">
        <v>0.66780275764588437</v>
      </c>
      <c r="J2361" s="103">
        <v>1.2764167362294004E-3</v>
      </c>
      <c r="K2361" s="103"/>
      <c r="L2361" s="103">
        <v>4.3200000000000002E-2</v>
      </c>
      <c r="O2361" s="100"/>
    </row>
    <row r="2362" spans="2:15" x14ac:dyDescent="0.2">
      <c r="B2362" s="1">
        <v>2347</v>
      </c>
      <c r="C2362" s="101">
        <f t="shared" ca="1" si="144"/>
        <v>-0.53506394271645374</v>
      </c>
      <c r="D2362" s="101">
        <f t="shared" ca="1" si="145"/>
        <v>0.63033959850650334</v>
      </c>
      <c r="E2362" s="101">
        <f t="shared" ca="1" si="146"/>
        <v>0</v>
      </c>
      <c r="F2362" s="21">
        <f t="shared" ca="1" si="147"/>
        <v>0</v>
      </c>
      <c r="H2362" s="21">
        <v>2347</v>
      </c>
      <c r="I2362" s="102">
        <v>0.66768719314300828</v>
      </c>
      <c r="J2362" s="103">
        <v>1.2170372493957549E-3</v>
      </c>
      <c r="K2362" s="103"/>
      <c r="L2362" s="103">
        <v>3.8800000000000001E-2</v>
      </c>
      <c r="O2362" s="100"/>
    </row>
    <row r="2363" spans="2:15" x14ac:dyDescent="0.2">
      <c r="B2363" s="1">
        <v>2348</v>
      </c>
      <c r="C2363" s="101">
        <f t="shared" ca="1" si="144"/>
        <v>0.10376117446137378</v>
      </c>
      <c r="D2363" s="101">
        <f t="shared" ca="1" si="145"/>
        <v>0.67133836249954049</v>
      </c>
      <c r="E2363" s="101">
        <f t="shared" ca="1" si="146"/>
        <v>0</v>
      </c>
      <c r="F2363" s="21">
        <f t="shared" ca="1" si="147"/>
        <v>0</v>
      </c>
      <c r="H2363" s="21">
        <v>2348</v>
      </c>
      <c r="I2363" s="102">
        <v>0.66777078382997879</v>
      </c>
      <c r="J2363" s="103">
        <v>1.4611288083587201E-3</v>
      </c>
      <c r="K2363" s="103"/>
      <c r="L2363" s="103">
        <v>4.2599999999999999E-2</v>
      </c>
      <c r="O2363" s="100"/>
    </row>
    <row r="2364" spans="2:15" x14ac:dyDescent="0.2">
      <c r="B2364" s="1">
        <v>2349</v>
      </c>
      <c r="C2364" s="101">
        <f t="shared" ca="1" si="144"/>
        <v>-1.4183857888874933</v>
      </c>
      <c r="D2364" s="101">
        <f t="shared" ca="1" si="145"/>
        <v>0.57774158355080674</v>
      </c>
      <c r="E2364" s="101">
        <f t="shared" ca="1" si="146"/>
        <v>0</v>
      </c>
      <c r="F2364" s="21">
        <f t="shared" ca="1" si="147"/>
        <v>0</v>
      </c>
      <c r="H2364" s="21">
        <v>2349</v>
      </c>
      <c r="I2364" s="102">
        <v>0.66774952686279532</v>
      </c>
      <c r="J2364" s="103">
        <v>1.4005396480447465E-3</v>
      </c>
      <c r="K2364" s="103"/>
      <c r="L2364" s="103">
        <v>4.2799999999999998E-2</v>
      </c>
      <c r="O2364" s="100"/>
    </row>
    <row r="2365" spans="2:15" x14ac:dyDescent="0.2">
      <c r="B2365" s="1">
        <v>2350</v>
      </c>
      <c r="C2365" s="101">
        <f t="shared" ca="1" si="144"/>
        <v>-0.99466767543933132</v>
      </c>
      <c r="D2365" s="101">
        <f t="shared" ca="1" si="145"/>
        <v>0.6024006755273551</v>
      </c>
      <c r="E2365" s="101">
        <f t="shared" ca="1" si="146"/>
        <v>0</v>
      </c>
      <c r="F2365" s="21">
        <f t="shared" ca="1" si="147"/>
        <v>0</v>
      </c>
      <c r="H2365" s="21">
        <v>2350</v>
      </c>
      <c r="I2365" s="102">
        <v>0.66769301579305451</v>
      </c>
      <c r="J2365" s="103">
        <v>1.2172840544517696E-3</v>
      </c>
      <c r="K2365" s="103"/>
      <c r="L2365" s="103">
        <v>3.9399999999999998E-2</v>
      </c>
      <c r="O2365" s="100"/>
    </row>
    <row r="2366" spans="2:15" x14ac:dyDescent="0.2">
      <c r="B2366" s="1">
        <v>2351</v>
      </c>
      <c r="C2366" s="101">
        <f t="shared" ca="1" si="144"/>
        <v>-6.5631526388726047E-2</v>
      </c>
      <c r="D2366" s="101">
        <f t="shared" ca="1" si="145"/>
        <v>0.66021408610247734</v>
      </c>
      <c r="E2366" s="101">
        <f t="shared" ca="1" si="146"/>
        <v>0</v>
      </c>
      <c r="F2366" s="21">
        <f t="shared" ca="1" si="147"/>
        <v>0</v>
      </c>
      <c r="H2366" s="21">
        <v>2351</v>
      </c>
      <c r="I2366" s="102">
        <v>0.66773824013016747</v>
      </c>
      <c r="J2366" s="103">
        <v>1.3671345136911893E-3</v>
      </c>
      <c r="K2366" s="103"/>
      <c r="L2366" s="103">
        <v>4.0800000000000003E-2</v>
      </c>
      <c r="O2366" s="100"/>
    </row>
    <row r="2367" spans="2:15" x14ac:dyDescent="0.2">
      <c r="B2367" s="1">
        <v>2352</v>
      </c>
      <c r="C2367" s="101">
        <f t="shared" ca="1" si="144"/>
        <v>0.95720029950065799</v>
      </c>
      <c r="D2367" s="101">
        <f t="shared" ca="1" si="145"/>
        <v>0.73030163150739713</v>
      </c>
      <c r="E2367" s="101">
        <f t="shared" ca="1" si="146"/>
        <v>0</v>
      </c>
      <c r="F2367" s="21">
        <f t="shared" ca="1" si="147"/>
        <v>0</v>
      </c>
      <c r="H2367" s="21">
        <v>2352</v>
      </c>
      <c r="I2367" s="102">
        <v>0.66763360693593377</v>
      </c>
      <c r="J2367" s="103">
        <v>1.1581049813891441E-3</v>
      </c>
      <c r="K2367" s="103"/>
      <c r="L2367" s="103">
        <v>3.6200000000000003E-2</v>
      </c>
      <c r="O2367" s="100"/>
    </row>
    <row r="2368" spans="2:15" x14ac:dyDescent="0.2">
      <c r="B2368" s="1">
        <v>2353</v>
      </c>
      <c r="C2368" s="101">
        <f t="shared" ca="1" si="144"/>
        <v>-5.9320535441587025E-2</v>
      </c>
      <c r="D2368" s="101">
        <f t="shared" ca="1" si="145"/>
        <v>0.66062521351068215</v>
      </c>
      <c r="E2368" s="101">
        <f t="shared" ca="1" si="146"/>
        <v>0</v>
      </c>
      <c r="F2368" s="21">
        <f t="shared" ca="1" si="147"/>
        <v>0</v>
      </c>
      <c r="H2368" s="21">
        <v>2353</v>
      </c>
      <c r="I2368" s="102">
        <v>0.66772539296593558</v>
      </c>
      <c r="J2368" s="103">
        <v>1.2554837806912317E-3</v>
      </c>
      <c r="K2368" s="103"/>
      <c r="L2368" s="103">
        <v>4.0800000000000003E-2</v>
      </c>
      <c r="O2368" s="100"/>
    </row>
    <row r="2369" spans="2:15" x14ac:dyDescent="0.2">
      <c r="B2369" s="1">
        <v>2354</v>
      </c>
      <c r="C2369" s="101">
        <f t="shared" ca="1" si="144"/>
        <v>1.1484337845241372</v>
      </c>
      <c r="D2369" s="101">
        <f t="shared" ca="1" si="145"/>
        <v>0.74420844763197569</v>
      </c>
      <c r="E2369" s="101">
        <f t="shared" ca="1" si="146"/>
        <v>0</v>
      </c>
      <c r="F2369" s="21">
        <f t="shared" ca="1" si="147"/>
        <v>0</v>
      </c>
      <c r="H2369" s="21">
        <v>2354</v>
      </c>
      <c r="I2369" s="102">
        <v>0.66787488354065117</v>
      </c>
      <c r="J2369" s="103">
        <v>1.5145906088230006E-3</v>
      </c>
      <c r="K2369" s="103"/>
      <c r="L2369" s="103">
        <v>4.6399999999999997E-2</v>
      </c>
      <c r="O2369" s="100"/>
    </row>
    <row r="2370" spans="2:15" x14ac:dyDescent="0.2">
      <c r="B2370" s="1">
        <v>2355</v>
      </c>
      <c r="C2370" s="101">
        <f t="shared" ca="1" si="144"/>
        <v>0.5008605618247487</v>
      </c>
      <c r="D2370" s="101">
        <f t="shared" ca="1" si="145"/>
        <v>0.69815677665012565</v>
      </c>
      <c r="E2370" s="101">
        <f t="shared" ca="1" si="146"/>
        <v>0</v>
      </c>
      <c r="F2370" s="21">
        <f t="shared" ca="1" si="147"/>
        <v>0</v>
      </c>
      <c r="H2370" s="21">
        <v>2355</v>
      </c>
      <c r="I2370" s="102">
        <v>0.66760664389090119</v>
      </c>
      <c r="J2370" s="103">
        <v>1.1653511704951597E-3</v>
      </c>
      <c r="K2370" s="103"/>
      <c r="L2370" s="103">
        <v>3.8399999999999997E-2</v>
      </c>
      <c r="O2370" s="100"/>
    </row>
    <row r="2371" spans="2:15" x14ac:dyDescent="0.2">
      <c r="B2371" s="1">
        <v>2356</v>
      </c>
      <c r="C2371" s="101">
        <f t="shared" ca="1" si="144"/>
        <v>0.25870544333280077</v>
      </c>
      <c r="D2371" s="101">
        <f t="shared" ca="1" si="145"/>
        <v>0.68167784894452055</v>
      </c>
      <c r="E2371" s="101">
        <f t="shared" ca="1" si="146"/>
        <v>0</v>
      </c>
      <c r="F2371" s="21">
        <f t="shared" ca="1" si="147"/>
        <v>0</v>
      </c>
      <c r="H2371" s="21">
        <v>2356</v>
      </c>
      <c r="I2371" s="102">
        <v>0.6676609336600362</v>
      </c>
      <c r="J2371" s="103">
        <v>1.2040419034782836E-3</v>
      </c>
      <c r="K2371" s="103"/>
      <c r="L2371" s="103">
        <v>4.1200000000000001E-2</v>
      </c>
      <c r="O2371" s="100"/>
    </row>
    <row r="2372" spans="2:15" x14ac:dyDescent="0.2">
      <c r="B2372" s="1">
        <v>2357</v>
      </c>
      <c r="C2372" s="101">
        <f t="shared" ca="1" si="144"/>
        <v>-0.79223097960043498</v>
      </c>
      <c r="D2372" s="101">
        <f t="shared" ca="1" si="145"/>
        <v>0.61455069399861639</v>
      </c>
      <c r="E2372" s="101">
        <f t="shared" ca="1" si="146"/>
        <v>0</v>
      </c>
      <c r="F2372" s="21">
        <f t="shared" ca="1" si="147"/>
        <v>0</v>
      </c>
      <c r="H2372" s="21">
        <v>2357</v>
      </c>
      <c r="I2372" s="102">
        <v>0.66774172743483207</v>
      </c>
      <c r="J2372" s="103">
        <v>1.3009113572366711E-3</v>
      </c>
      <c r="K2372" s="103"/>
      <c r="L2372" s="103">
        <v>3.9399999999999998E-2</v>
      </c>
      <c r="O2372" s="100"/>
    </row>
    <row r="2373" spans="2:15" x14ac:dyDescent="0.2">
      <c r="B2373" s="1">
        <v>2358</v>
      </c>
      <c r="C2373" s="101">
        <f t="shared" ca="1" si="144"/>
        <v>0.54709887026924553</v>
      </c>
      <c r="D2373" s="101">
        <f t="shared" ca="1" si="145"/>
        <v>0.70134834818482905</v>
      </c>
      <c r="E2373" s="101">
        <f t="shared" ca="1" si="146"/>
        <v>0</v>
      </c>
      <c r="F2373" s="21">
        <f t="shared" ca="1" si="147"/>
        <v>0</v>
      </c>
      <c r="H2373" s="21">
        <v>2358</v>
      </c>
      <c r="I2373" s="102">
        <v>0.66781954410758826</v>
      </c>
      <c r="J2373" s="103">
        <v>1.4248148312552436E-3</v>
      </c>
      <c r="K2373" s="103"/>
      <c r="L2373" s="103">
        <v>4.24E-2</v>
      </c>
      <c r="O2373" s="100"/>
    </row>
    <row r="2374" spans="2:15" x14ac:dyDescent="0.2">
      <c r="B2374" s="1">
        <v>2359</v>
      </c>
      <c r="C2374" s="101">
        <f t="shared" ca="1" si="144"/>
        <v>-0.11001215503449717</v>
      </c>
      <c r="D2374" s="101">
        <f t="shared" ca="1" si="145"/>
        <v>0.657330141832009</v>
      </c>
      <c r="E2374" s="101">
        <f t="shared" ca="1" si="146"/>
        <v>0</v>
      </c>
      <c r="F2374" s="21">
        <f t="shared" ca="1" si="147"/>
        <v>0</v>
      </c>
      <c r="H2374" s="21">
        <v>2359</v>
      </c>
      <c r="I2374" s="102">
        <v>0.66773321447726153</v>
      </c>
      <c r="J2374" s="103">
        <v>1.4149196604762103E-3</v>
      </c>
      <c r="K2374" s="103"/>
      <c r="L2374" s="103">
        <v>4.2200000000000001E-2</v>
      </c>
      <c r="O2374" s="100"/>
    </row>
    <row r="2375" spans="2:15" x14ac:dyDescent="0.2">
      <c r="B2375" s="1">
        <v>2360</v>
      </c>
      <c r="C2375" s="101">
        <f t="shared" ca="1" si="144"/>
        <v>0.3530915197081142</v>
      </c>
      <c r="D2375" s="101">
        <f t="shared" ca="1" si="145"/>
        <v>0.68805415720383023</v>
      </c>
      <c r="E2375" s="101">
        <f t="shared" ca="1" si="146"/>
        <v>0</v>
      </c>
      <c r="F2375" s="21">
        <f t="shared" ca="1" si="147"/>
        <v>0</v>
      </c>
      <c r="H2375" s="21">
        <v>2360</v>
      </c>
      <c r="I2375" s="102">
        <v>0.66761336805374494</v>
      </c>
      <c r="J2375" s="103">
        <v>1.3065927261810134E-3</v>
      </c>
      <c r="K2375" s="103"/>
      <c r="L2375" s="103">
        <v>4.1000000000000002E-2</v>
      </c>
      <c r="O2375" s="100"/>
    </row>
    <row r="2376" spans="2:15" x14ac:dyDescent="0.2">
      <c r="B2376" s="1">
        <v>2361</v>
      </c>
      <c r="C2376" s="101">
        <f t="shared" ca="1" si="144"/>
        <v>-1.0979833818331077</v>
      </c>
      <c r="D2376" s="101">
        <f t="shared" ca="1" si="145"/>
        <v>0.59629266764105249</v>
      </c>
      <c r="E2376" s="101">
        <f t="shared" ca="1" si="146"/>
        <v>0</v>
      </c>
      <c r="F2376" s="21">
        <f t="shared" ca="1" si="147"/>
        <v>0</v>
      </c>
      <c r="H2376" s="21">
        <v>2361</v>
      </c>
      <c r="I2376" s="102">
        <v>0.66784225109466211</v>
      </c>
      <c r="J2376" s="103">
        <v>1.5307574545118056E-3</v>
      </c>
      <c r="K2376" s="103"/>
      <c r="L2376" s="103">
        <v>4.24E-2</v>
      </c>
      <c r="O2376" s="100"/>
    </row>
    <row r="2377" spans="2:15" x14ac:dyDescent="0.2">
      <c r="B2377" s="1">
        <v>2362</v>
      </c>
      <c r="C2377" s="101">
        <f t="shared" ca="1" si="144"/>
        <v>-2.3922270546316384</v>
      </c>
      <c r="D2377" s="101">
        <f t="shared" ca="1" si="145"/>
        <v>0.52482542730611537</v>
      </c>
      <c r="E2377" s="101">
        <f t="shared" ca="1" si="146"/>
        <v>0</v>
      </c>
      <c r="F2377" s="21">
        <f t="shared" ca="1" si="147"/>
        <v>0</v>
      </c>
      <c r="H2377" s="21">
        <v>2362</v>
      </c>
      <c r="I2377" s="102">
        <v>0.66781284293885979</v>
      </c>
      <c r="J2377" s="103">
        <v>1.5017363753362502E-3</v>
      </c>
      <c r="K2377" s="103"/>
      <c r="L2377" s="103">
        <v>4.24E-2</v>
      </c>
      <c r="O2377" s="100"/>
    </row>
    <row r="2378" spans="2:15" x14ac:dyDescent="0.2">
      <c r="B2378" s="1">
        <v>2363</v>
      </c>
      <c r="C2378" s="101">
        <f t="shared" ca="1" si="144"/>
        <v>0.32250798959506444</v>
      </c>
      <c r="D2378" s="101">
        <f t="shared" ca="1" si="145"/>
        <v>0.68598156332445659</v>
      </c>
      <c r="E2378" s="101">
        <f t="shared" ca="1" si="146"/>
        <v>0</v>
      </c>
      <c r="F2378" s="21">
        <f t="shared" ca="1" si="147"/>
        <v>0</v>
      </c>
      <c r="H2378" s="21">
        <v>2363</v>
      </c>
      <c r="I2378" s="102">
        <v>0.667433969202194</v>
      </c>
      <c r="J2378" s="103">
        <v>1.0185725225748065E-3</v>
      </c>
      <c r="K2378" s="103"/>
      <c r="L2378" s="103">
        <v>3.4200000000000001E-2</v>
      </c>
      <c r="O2378" s="100"/>
    </row>
    <row r="2379" spans="2:15" x14ac:dyDescent="0.2">
      <c r="B2379" s="1">
        <v>2364</v>
      </c>
      <c r="C2379" s="101">
        <f t="shared" ca="1" si="144"/>
        <v>1.1752456453634383</v>
      </c>
      <c r="D2379" s="101">
        <f t="shared" ca="1" si="145"/>
        <v>0.74617930357421747</v>
      </c>
      <c r="E2379" s="101">
        <f t="shared" ca="1" si="146"/>
        <v>0</v>
      </c>
      <c r="F2379" s="21">
        <f t="shared" ca="1" si="147"/>
        <v>0</v>
      </c>
      <c r="H2379" s="21">
        <v>2364</v>
      </c>
      <c r="I2379" s="102">
        <v>0.66783283766167045</v>
      </c>
      <c r="J2379" s="103">
        <v>1.3908659352326624E-3</v>
      </c>
      <c r="K2379" s="103"/>
      <c r="L2379" s="103">
        <v>4.0399999999999998E-2</v>
      </c>
      <c r="O2379" s="100"/>
    </row>
    <row r="2380" spans="2:15" x14ac:dyDescent="0.2">
      <c r="B2380" s="1">
        <v>2365</v>
      </c>
      <c r="C2380" s="101">
        <f t="shared" ca="1" si="144"/>
        <v>1.4528217261785081</v>
      </c>
      <c r="D2380" s="101">
        <f t="shared" ca="1" si="145"/>
        <v>0.76689231760388843</v>
      </c>
      <c r="E2380" s="101">
        <f t="shared" ca="1" si="146"/>
        <v>0</v>
      </c>
      <c r="F2380" s="21">
        <f t="shared" ca="1" si="147"/>
        <v>0</v>
      </c>
      <c r="H2380" s="21">
        <v>2365</v>
      </c>
      <c r="I2380" s="102">
        <v>0.66765402230519277</v>
      </c>
      <c r="J2380" s="103">
        <v>1.2336549993934938E-3</v>
      </c>
      <c r="K2380" s="103"/>
      <c r="L2380" s="103">
        <v>3.6600000000000001E-2</v>
      </c>
      <c r="O2380" s="100"/>
    </row>
    <row r="2381" spans="2:15" x14ac:dyDescent="0.2">
      <c r="B2381" s="1">
        <v>2366</v>
      </c>
      <c r="C2381" s="101">
        <f t="shared" ca="1" si="144"/>
        <v>1.3852175111842104</v>
      </c>
      <c r="D2381" s="101">
        <f t="shared" ca="1" si="145"/>
        <v>0.76179525690614891</v>
      </c>
      <c r="E2381" s="101">
        <f t="shared" ca="1" si="146"/>
        <v>0</v>
      </c>
      <c r="F2381" s="21">
        <f t="shared" ca="1" si="147"/>
        <v>0</v>
      </c>
      <c r="H2381" s="21">
        <v>2366</v>
      </c>
      <c r="I2381" s="102">
        <v>0.66781808717430435</v>
      </c>
      <c r="J2381" s="103">
        <v>1.4023840752441757E-3</v>
      </c>
      <c r="K2381" s="103"/>
      <c r="L2381" s="103">
        <v>4.2799999999999998E-2</v>
      </c>
      <c r="O2381" s="100"/>
    </row>
    <row r="2382" spans="2:15" x14ac:dyDescent="0.2">
      <c r="B2382" s="1">
        <v>2367</v>
      </c>
      <c r="C2382" s="101">
        <f t="shared" ca="1" si="144"/>
        <v>-0.31445268877315119</v>
      </c>
      <c r="D2382" s="101">
        <f t="shared" ca="1" si="145"/>
        <v>0.64420700189430702</v>
      </c>
      <c r="E2382" s="101">
        <f t="shared" ca="1" si="146"/>
        <v>0</v>
      </c>
      <c r="F2382" s="21">
        <f t="shared" ca="1" si="147"/>
        <v>0</v>
      </c>
      <c r="H2382" s="21">
        <v>2367</v>
      </c>
      <c r="I2382" s="102">
        <v>0.66773149216870376</v>
      </c>
      <c r="J2382" s="103">
        <v>1.4824463206079799E-3</v>
      </c>
      <c r="K2382" s="103"/>
      <c r="L2382" s="103">
        <v>4.3400000000000001E-2</v>
      </c>
      <c r="O2382" s="100"/>
    </row>
    <row r="2383" spans="2:15" x14ac:dyDescent="0.2">
      <c r="B2383" s="1">
        <v>2368</v>
      </c>
      <c r="C2383" s="101">
        <f t="shared" ca="1" si="144"/>
        <v>0.59163305408614986</v>
      </c>
      <c r="D2383" s="101">
        <f t="shared" ca="1" si="145"/>
        <v>0.70443608612521313</v>
      </c>
      <c r="E2383" s="101">
        <f t="shared" ca="1" si="146"/>
        <v>0</v>
      </c>
      <c r="F2383" s="21">
        <f t="shared" ca="1" si="147"/>
        <v>0</v>
      </c>
      <c r="H2383" s="21">
        <v>2368</v>
      </c>
      <c r="I2383" s="102">
        <v>0.66770555494966355</v>
      </c>
      <c r="J2383" s="103">
        <v>1.4172728679550332E-3</v>
      </c>
      <c r="K2383" s="103"/>
      <c r="L2383" s="103">
        <v>4.24E-2</v>
      </c>
      <c r="O2383" s="100"/>
    </row>
    <row r="2384" spans="2:15" x14ac:dyDescent="0.2">
      <c r="B2384" s="1">
        <v>2369</v>
      </c>
      <c r="C2384" s="101">
        <f t="shared" ref="C2384:C2447" ca="1" si="148">_xlfn.NORM.S.INV(RAND())</f>
        <v>-0.20698844765329819</v>
      </c>
      <c r="D2384" s="101">
        <f t="shared" ref="D2384:D2447" ca="1" si="149">S0*EXP((μ-0.5*σ*σ)*T+σ*SQRT(T)*$C2384)</f>
        <v>0.65107218621602747</v>
      </c>
      <c r="E2384" s="101">
        <f t="shared" ref="E2384:E2447" ca="1" si="150">MAX(0,CP*(D2384-K))</f>
        <v>0</v>
      </c>
      <c r="F2384" s="21">
        <f t="shared" ref="F2384:F2447" ca="1" si="151">(CP*(D2384-K)&gt;0)*1</f>
        <v>0</v>
      </c>
      <c r="H2384" s="21">
        <v>2369</v>
      </c>
      <c r="I2384" s="102">
        <v>0.6679074077281727</v>
      </c>
      <c r="J2384" s="103">
        <v>1.4582481779102311E-3</v>
      </c>
      <c r="K2384" s="103"/>
      <c r="L2384" s="103">
        <v>4.8800000000000003E-2</v>
      </c>
      <c r="O2384" s="100"/>
    </row>
    <row r="2385" spans="2:15" x14ac:dyDescent="0.2">
      <c r="B2385" s="1">
        <v>2370</v>
      </c>
      <c r="C2385" s="101">
        <f t="shared" ca="1" si="148"/>
        <v>-3.6893030809075481E-3</v>
      </c>
      <c r="D2385" s="101">
        <f t="shared" ca="1" si="149"/>
        <v>0.66426038476213023</v>
      </c>
      <c r="E2385" s="101">
        <f t="shared" ca="1" si="150"/>
        <v>0</v>
      </c>
      <c r="F2385" s="21">
        <f t="shared" ca="1" si="151"/>
        <v>0</v>
      </c>
      <c r="H2385" s="21">
        <v>2370</v>
      </c>
      <c r="I2385" s="102">
        <v>0.66782392080520736</v>
      </c>
      <c r="J2385" s="103">
        <v>1.4285255728980124E-3</v>
      </c>
      <c r="K2385" s="103"/>
      <c r="L2385" s="103">
        <v>4.2799999999999998E-2</v>
      </c>
      <c r="O2385" s="100"/>
    </row>
    <row r="2386" spans="2:15" x14ac:dyDescent="0.2">
      <c r="B2386" s="1">
        <v>2371</v>
      </c>
      <c r="C2386" s="101">
        <f t="shared" ca="1" si="148"/>
        <v>-0.99037127880910203</v>
      </c>
      <c r="D2386" s="101">
        <f t="shared" ca="1" si="149"/>
        <v>0.60265602840058263</v>
      </c>
      <c r="E2386" s="101">
        <f t="shared" ca="1" si="150"/>
        <v>0</v>
      </c>
      <c r="F2386" s="21">
        <f t="shared" ca="1" si="151"/>
        <v>0</v>
      </c>
      <c r="H2386" s="21">
        <v>2371</v>
      </c>
      <c r="I2386" s="102">
        <v>0.66792264183604388</v>
      </c>
      <c r="J2386" s="103">
        <v>1.6073725567429822E-3</v>
      </c>
      <c r="K2386" s="103"/>
      <c r="L2386" s="103">
        <v>4.58E-2</v>
      </c>
      <c r="O2386" s="100"/>
    </row>
    <row r="2387" spans="2:15" x14ac:dyDescent="0.2">
      <c r="B2387" s="1">
        <v>2372</v>
      </c>
      <c r="C2387" s="101">
        <f t="shared" ca="1" si="148"/>
        <v>-1.5580953154981962</v>
      </c>
      <c r="D2387" s="101">
        <f t="shared" ca="1" si="149"/>
        <v>0.56983426106744206</v>
      </c>
      <c r="E2387" s="101">
        <f t="shared" ca="1" si="150"/>
        <v>0</v>
      </c>
      <c r="F2387" s="21">
        <f t="shared" ca="1" si="151"/>
        <v>0</v>
      </c>
      <c r="H2387" s="21">
        <v>2372</v>
      </c>
      <c r="I2387" s="102">
        <v>0.66777665909111994</v>
      </c>
      <c r="J2387" s="103">
        <v>1.4698314475660326E-3</v>
      </c>
      <c r="K2387" s="103"/>
      <c r="L2387" s="103">
        <v>4.3400000000000001E-2</v>
      </c>
      <c r="O2387" s="100"/>
    </row>
    <row r="2388" spans="2:15" x14ac:dyDescent="0.2">
      <c r="B2388" s="1">
        <v>2373</v>
      </c>
      <c r="C2388" s="101">
        <f t="shared" ca="1" si="148"/>
        <v>-1.2188465645332671</v>
      </c>
      <c r="D2388" s="101">
        <f t="shared" ca="1" si="149"/>
        <v>0.58922581368901716</v>
      </c>
      <c r="E2388" s="101">
        <f t="shared" ca="1" si="150"/>
        <v>0</v>
      </c>
      <c r="F2388" s="21">
        <f t="shared" ca="1" si="151"/>
        <v>0</v>
      </c>
      <c r="H2388" s="21">
        <v>2373</v>
      </c>
      <c r="I2388" s="102">
        <v>0.66781711545712064</v>
      </c>
      <c r="J2388" s="103">
        <v>1.4219309620036459E-3</v>
      </c>
      <c r="K2388" s="103"/>
      <c r="L2388" s="103">
        <v>4.1799999999999997E-2</v>
      </c>
      <c r="O2388" s="100"/>
    </row>
    <row r="2389" spans="2:15" x14ac:dyDescent="0.2">
      <c r="B2389" s="1">
        <v>2374</v>
      </c>
      <c r="C2389" s="101">
        <f t="shared" ca="1" si="148"/>
        <v>-2.4071484618637649</v>
      </c>
      <c r="D2389" s="101">
        <f t="shared" ca="1" si="149"/>
        <v>0.5240535220837591</v>
      </c>
      <c r="E2389" s="101">
        <f t="shared" ca="1" si="150"/>
        <v>0</v>
      </c>
      <c r="F2389" s="21">
        <f t="shared" ca="1" si="151"/>
        <v>0</v>
      </c>
      <c r="H2389" s="21">
        <v>2374</v>
      </c>
      <c r="I2389" s="102">
        <v>0.66781220646809292</v>
      </c>
      <c r="J2389" s="103">
        <v>1.5392044725771555E-3</v>
      </c>
      <c r="K2389" s="103"/>
      <c r="L2389" s="103">
        <v>4.6199999999999998E-2</v>
      </c>
      <c r="O2389" s="100"/>
    </row>
    <row r="2390" spans="2:15" x14ac:dyDescent="0.2">
      <c r="B2390" s="1">
        <v>2375</v>
      </c>
      <c r="C2390" s="101">
        <f t="shared" ca="1" si="148"/>
        <v>-0.26468497510810274</v>
      </c>
      <c r="D2390" s="101">
        <f t="shared" ca="1" si="149"/>
        <v>0.64737728813895934</v>
      </c>
      <c r="E2390" s="101">
        <f t="shared" ca="1" si="150"/>
        <v>0</v>
      </c>
      <c r="F2390" s="21">
        <f t="shared" ca="1" si="151"/>
        <v>0</v>
      </c>
      <c r="H2390" s="21">
        <v>2375</v>
      </c>
      <c r="I2390" s="102">
        <v>0.66778762996798036</v>
      </c>
      <c r="J2390" s="103">
        <v>1.4543905270741051E-3</v>
      </c>
      <c r="K2390" s="103"/>
      <c r="L2390" s="103">
        <v>4.36E-2</v>
      </c>
      <c r="O2390" s="100"/>
    </row>
    <row r="2391" spans="2:15" x14ac:dyDescent="0.2">
      <c r="B2391" s="1">
        <v>2376</v>
      </c>
      <c r="C2391" s="101">
        <f t="shared" ca="1" si="148"/>
        <v>0.49645091387003204</v>
      </c>
      <c r="D2391" s="101">
        <f t="shared" ca="1" si="149"/>
        <v>0.69785316297592548</v>
      </c>
      <c r="E2391" s="101">
        <f t="shared" ca="1" si="150"/>
        <v>0</v>
      </c>
      <c r="F2391" s="21">
        <f t="shared" ca="1" si="151"/>
        <v>0</v>
      </c>
      <c r="H2391" s="21">
        <v>2376</v>
      </c>
      <c r="I2391" s="102">
        <v>0.6675501312104164</v>
      </c>
      <c r="J2391" s="103">
        <v>1.2331459877626546E-3</v>
      </c>
      <c r="K2391" s="103"/>
      <c r="L2391" s="103">
        <v>3.8600000000000002E-2</v>
      </c>
      <c r="O2391" s="100"/>
    </row>
    <row r="2392" spans="2:15" x14ac:dyDescent="0.2">
      <c r="B2392" s="1">
        <v>2377</v>
      </c>
      <c r="C2392" s="101">
        <f t="shared" ca="1" si="148"/>
        <v>0.38775270013089186</v>
      </c>
      <c r="D2392" s="101">
        <f t="shared" ca="1" si="149"/>
        <v>0.69041065759490183</v>
      </c>
      <c r="E2392" s="101">
        <f t="shared" ca="1" si="150"/>
        <v>0</v>
      </c>
      <c r="F2392" s="21">
        <f t="shared" ca="1" si="151"/>
        <v>0</v>
      </c>
      <c r="H2392" s="21">
        <v>2377</v>
      </c>
      <c r="I2392" s="102">
        <v>0.66776689338819251</v>
      </c>
      <c r="J2392" s="103">
        <v>1.3892452863308537E-3</v>
      </c>
      <c r="K2392" s="103"/>
      <c r="L2392" s="103">
        <v>4.4600000000000001E-2</v>
      </c>
      <c r="O2392" s="100"/>
    </row>
    <row r="2393" spans="2:15" x14ac:dyDescent="0.2">
      <c r="B2393" s="1">
        <v>2378</v>
      </c>
      <c r="C2393" s="101">
        <f t="shared" ca="1" si="148"/>
        <v>1.7767098762140732</v>
      </c>
      <c r="D2393" s="101">
        <f t="shared" ca="1" si="149"/>
        <v>0.79178916753764728</v>
      </c>
      <c r="E2393" s="101">
        <f t="shared" ca="1" si="150"/>
        <v>3.5891675376472643E-3</v>
      </c>
      <c r="F2393" s="21">
        <f t="shared" ca="1" si="151"/>
        <v>1</v>
      </c>
      <c r="H2393" s="21">
        <v>2378</v>
      </c>
      <c r="I2393" s="102">
        <v>0.66771704899619921</v>
      </c>
      <c r="J2393" s="103">
        <v>1.3370496316109537E-3</v>
      </c>
      <c r="K2393" s="103"/>
      <c r="L2393" s="103">
        <v>0.04</v>
      </c>
      <c r="O2393" s="100"/>
    </row>
    <row r="2394" spans="2:15" x14ac:dyDescent="0.2">
      <c r="B2394" s="1">
        <v>2379</v>
      </c>
      <c r="C2394" s="101">
        <f t="shared" ca="1" si="148"/>
        <v>0.50650330222986961</v>
      </c>
      <c r="D2394" s="101">
        <f t="shared" ca="1" si="149"/>
        <v>0.69854548404320949</v>
      </c>
      <c r="E2394" s="101">
        <f t="shared" ca="1" si="150"/>
        <v>0</v>
      </c>
      <c r="F2394" s="21">
        <f t="shared" ca="1" si="151"/>
        <v>0</v>
      </c>
      <c r="H2394" s="21">
        <v>2379</v>
      </c>
      <c r="I2394" s="102">
        <v>0.66765578602193831</v>
      </c>
      <c r="J2394" s="103">
        <v>1.3003981185509604E-3</v>
      </c>
      <c r="K2394" s="103"/>
      <c r="L2394" s="103">
        <v>4.1399999999999999E-2</v>
      </c>
      <c r="O2394" s="100"/>
    </row>
    <row r="2395" spans="2:15" x14ac:dyDescent="0.2">
      <c r="B2395" s="1">
        <v>2380</v>
      </c>
      <c r="C2395" s="101">
        <f t="shared" ca="1" si="148"/>
        <v>-3.8388746184087351E-2</v>
      </c>
      <c r="D2395" s="101">
        <f t="shared" ca="1" si="149"/>
        <v>0.66199064158758869</v>
      </c>
      <c r="E2395" s="101">
        <f t="shared" ca="1" si="150"/>
        <v>0</v>
      </c>
      <c r="F2395" s="21">
        <f t="shared" ca="1" si="151"/>
        <v>0</v>
      </c>
      <c r="H2395" s="21">
        <v>2380</v>
      </c>
      <c r="I2395" s="102">
        <v>0.66779231134840933</v>
      </c>
      <c r="J2395" s="103">
        <v>1.2964343218361313E-3</v>
      </c>
      <c r="K2395" s="103"/>
      <c r="L2395" s="103">
        <v>4.2799999999999998E-2</v>
      </c>
      <c r="O2395" s="100"/>
    </row>
    <row r="2396" spans="2:15" x14ac:dyDescent="0.2">
      <c r="B2396" s="1">
        <v>2381</v>
      </c>
      <c r="C2396" s="101">
        <f t="shared" ca="1" si="148"/>
        <v>0.25336834485353665</v>
      </c>
      <c r="D2396" s="101">
        <f t="shared" ca="1" si="149"/>
        <v>0.68131906831714661</v>
      </c>
      <c r="E2396" s="101">
        <f t="shared" ca="1" si="150"/>
        <v>0</v>
      </c>
      <c r="F2396" s="21">
        <f t="shared" ca="1" si="151"/>
        <v>0</v>
      </c>
      <c r="H2396" s="21">
        <v>2381</v>
      </c>
      <c r="I2396" s="102">
        <v>0.66779198870289824</v>
      </c>
      <c r="J2396" s="103">
        <v>1.469203997872448E-3</v>
      </c>
      <c r="K2396" s="103"/>
      <c r="L2396" s="103">
        <v>4.2599999999999999E-2</v>
      </c>
      <c r="O2396" s="100"/>
    </row>
    <row r="2397" spans="2:15" x14ac:dyDescent="0.2">
      <c r="B2397" s="1">
        <v>2382</v>
      </c>
      <c r="C2397" s="101">
        <f t="shared" ca="1" si="148"/>
        <v>-0.83301707673742886</v>
      </c>
      <c r="D2397" s="101">
        <f t="shared" ca="1" si="149"/>
        <v>0.61208320383199233</v>
      </c>
      <c r="E2397" s="101">
        <f t="shared" ca="1" si="150"/>
        <v>0</v>
      </c>
      <c r="F2397" s="21">
        <f t="shared" ca="1" si="151"/>
        <v>0</v>
      </c>
      <c r="H2397" s="21">
        <v>2382</v>
      </c>
      <c r="I2397" s="102">
        <v>0.66777493741478489</v>
      </c>
      <c r="J2397" s="103">
        <v>1.3168574987586735E-3</v>
      </c>
      <c r="K2397" s="103"/>
      <c r="L2397" s="103">
        <v>4.02E-2</v>
      </c>
      <c r="O2397" s="100"/>
    </row>
    <row r="2398" spans="2:15" x14ac:dyDescent="0.2">
      <c r="B2398" s="1">
        <v>2383</v>
      </c>
      <c r="C2398" s="101">
        <f t="shared" ca="1" si="148"/>
        <v>0.63954112076707559</v>
      </c>
      <c r="D2398" s="101">
        <f t="shared" ca="1" si="149"/>
        <v>0.70777292872746489</v>
      </c>
      <c r="E2398" s="101">
        <f t="shared" ca="1" si="150"/>
        <v>0</v>
      </c>
      <c r="F2398" s="21">
        <f t="shared" ca="1" si="151"/>
        <v>0</v>
      </c>
      <c r="H2398" s="21">
        <v>2383</v>
      </c>
      <c r="I2398" s="102">
        <v>0.66765061074384546</v>
      </c>
      <c r="J2398" s="103">
        <v>1.1549985261331513E-3</v>
      </c>
      <c r="K2398" s="103"/>
      <c r="L2398" s="103">
        <v>3.8199999999999998E-2</v>
      </c>
      <c r="O2398" s="100"/>
    </row>
    <row r="2399" spans="2:15" x14ac:dyDescent="0.2">
      <c r="B2399" s="1">
        <v>2384</v>
      </c>
      <c r="C2399" s="101">
        <f t="shared" ca="1" si="148"/>
        <v>1.1168909255871233</v>
      </c>
      <c r="D2399" s="101">
        <f t="shared" ca="1" si="149"/>
        <v>0.74189649417559378</v>
      </c>
      <c r="E2399" s="101">
        <f t="shared" ca="1" si="150"/>
        <v>0</v>
      </c>
      <c r="F2399" s="21">
        <f t="shared" ca="1" si="151"/>
        <v>0</v>
      </c>
      <c r="H2399" s="21">
        <v>2384</v>
      </c>
      <c r="I2399" s="102">
        <v>0.66770037097103874</v>
      </c>
      <c r="J2399" s="103">
        <v>1.2248621238089299E-3</v>
      </c>
      <c r="K2399" s="103"/>
      <c r="L2399" s="103">
        <v>3.7400000000000003E-2</v>
      </c>
      <c r="O2399" s="100"/>
    </row>
    <row r="2400" spans="2:15" x14ac:dyDescent="0.2">
      <c r="B2400" s="1">
        <v>2385</v>
      </c>
      <c r="C2400" s="101">
        <f t="shared" ca="1" si="148"/>
        <v>0.54446405524123787</v>
      </c>
      <c r="D2400" s="101">
        <f t="shared" ca="1" si="149"/>
        <v>0.70116609027924726</v>
      </c>
      <c r="E2400" s="101">
        <f t="shared" ca="1" si="150"/>
        <v>0</v>
      </c>
      <c r="F2400" s="21">
        <f t="shared" ca="1" si="151"/>
        <v>0</v>
      </c>
      <c r="H2400" s="21">
        <v>2385</v>
      </c>
      <c r="I2400" s="102">
        <v>0.66753314454252199</v>
      </c>
      <c r="J2400" s="103">
        <v>1.1723845143297527E-3</v>
      </c>
      <c r="K2400" s="103"/>
      <c r="L2400" s="103">
        <v>3.4599999999999999E-2</v>
      </c>
      <c r="O2400" s="100"/>
    </row>
    <row r="2401" spans="2:15" x14ac:dyDescent="0.2">
      <c r="B2401" s="1">
        <v>2386</v>
      </c>
      <c r="C2401" s="101">
        <f t="shared" ca="1" si="148"/>
        <v>-1.4534139089984985</v>
      </c>
      <c r="D2401" s="101">
        <f t="shared" ca="1" si="149"/>
        <v>0.57574880388584271</v>
      </c>
      <c r="E2401" s="101">
        <f t="shared" ca="1" si="150"/>
        <v>0</v>
      </c>
      <c r="F2401" s="21">
        <f t="shared" ca="1" si="151"/>
        <v>0</v>
      </c>
      <c r="H2401" s="21">
        <v>2386</v>
      </c>
      <c r="I2401" s="102">
        <v>0.66765086500064419</v>
      </c>
      <c r="J2401" s="103">
        <v>1.3112609011328785E-3</v>
      </c>
      <c r="K2401" s="103"/>
      <c r="L2401" s="103">
        <v>4.0800000000000003E-2</v>
      </c>
      <c r="O2401" s="100"/>
    </row>
    <row r="2402" spans="2:15" x14ac:dyDescent="0.2">
      <c r="B2402" s="1">
        <v>2387</v>
      </c>
      <c r="C2402" s="101">
        <f t="shared" ca="1" si="148"/>
        <v>1.0522276353469484</v>
      </c>
      <c r="D2402" s="101">
        <f t="shared" ca="1" si="149"/>
        <v>0.73717938761837409</v>
      </c>
      <c r="E2402" s="101">
        <f t="shared" ca="1" si="150"/>
        <v>0</v>
      </c>
      <c r="F2402" s="21">
        <f t="shared" ca="1" si="151"/>
        <v>0</v>
      </c>
      <c r="H2402" s="21">
        <v>2387</v>
      </c>
      <c r="I2402" s="102">
        <v>0.66777921614887681</v>
      </c>
      <c r="J2402" s="103">
        <v>1.308194922030705E-3</v>
      </c>
      <c r="K2402" s="103"/>
      <c r="L2402" s="103">
        <v>3.7600000000000001E-2</v>
      </c>
      <c r="O2402" s="100"/>
    </row>
    <row r="2403" spans="2:15" x14ac:dyDescent="0.2">
      <c r="B2403" s="1">
        <v>2388</v>
      </c>
      <c r="C2403" s="101">
        <f t="shared" ca="1" si="148"/>
        <v>-1.22736448700084</v>
      </c>
      <c r="D2403" s="101">
        <f t="shared" ca="1" si="149"/>
        <v>0.58873094279697491</v>
      </c>
      <c r="E2403" s="101">
        <f t="shared" ca="1" si="150"/>
        <v>0</v>
      </c>
      <c r="F2403" s="21">
        <f t="shared" ca="1" si="151"/>
        <v>0</v>
      </c>
      <c r="H2403" s="21">
        <v>2388</v>
      </c>
      <c r="I2403" s="102">
        <v>0.66794189285469496</v>
      </c>
      <c r="J2403" s="103">
        <v>1.7172827314113487E-3</v>
      </c>
      <c r="K2403" s="103"/>
      <c r="L2403" s="103">
        <v>4.5999999999999999E-2</v>
      </c>
      <c r="O2403" s="100"/>
    </row>
    <row r="2404" spans="2:15" x14ac:dyDescent="0.2">
      <c r="B2404" s="1">
        <v>2389</v>
      </c>
      <c r="C2404" s="101">
        <f t="shared" ca="1" si="148"/>
        <v>-1.0464782853547774</v>
      </c>
      <c r="D2404" s="101">
        <f t="shared" ca="1" si="149"/>
        <v>0.59932985976570408</v>
      </c>
      <c r="E2404" s="101">
        <f t="shared" ca="1" si="150"/>
        <v>0</v>
      </c>
      <c r="F2404" s="21">
        <f t="shared" ca="1" si="151"/>
        <v>0</v>
      </c>
      <c r="H2404" s="21">
        <v>2389</v>
      </c>
      <c r="I2404" s="102">
        <v>0.66782528253106244</v>
      </c>
      <c r="J2404" s="103">
        <v>1.4932630812108363E-3</v>
      </c>
      <c r="K2404" s="103"/>
      <c r="L2404" s="103">
        <v>4.58E-2</v>
      </c>
      <c r="O2404" s="100"/>
    </row>
    <row r="2405" spans="2:15" x14ac:dyDescent="0.2">
      <c r="B2405" s="1">
        <v>2390</v>
      </c>
      <c r="C2405" s="101">
        <f t="shared" ca="1" si="148"/>
        <v>-0.37467070838104877</v>
      </c>
      <c r="D2405" s="101">
        <f t="shared" ca="1" si="149"/>
        <v>0.64039176422558886</v>
      </c>
      <c r="E2405" s="101">
        <f t="shared" ca="1" si="150"/>
        <v>0</v>
      </c>
      <c r="F2405" s="21">
        <f t="shared" ca="1" si="151"/>
        <v>0</v>
      </c>
      <c r="H2405" s="21">
        <v>2390</v>
      </c>
      <c r="I2405" s="102">
        <v>0.66776079831336854</v>
      </c>
      <c r="J2405" s="103">
        <v>1.2723138527934682E-3</v>
      </c>
      <c r="K2405" s="103"/>
      <c r="L2405" s="103">
        <v>4.2599999999999999E-2</v>
      </c>
      <c r="O2405" s="100"/>
    </row>
    <row r="2406" spans="2:15" x14ac:dyDescent="0.2">
      <c r="B2406" s="1">
        <v>2391</v>
      </c>
      <c r="C2406" s="101">
        <f t="shared" ca="1" si="148"/>
        <v>-0.75228319128926235</v>
      </c>
      <c r="D2406" s="101">
        <f t="shared" ca="1" si="149"/>
        <v>0.61697711023963486</v>
      </c>
      <c r="E2406" s="101">
        <f t="shared" ca="1" si="150"/>
        <v>0</v>
      </c>
      <c r="F2406" s="21">
        <f t="shared" ca="1" si="151"/>
        <v>0</v>
      </c>
      <c r="H2406" s="21">
        <v>2391</v>
      </c>
      <c r="I2406" s="102">
        <v>0.66780380792451721</v>
      </c>
      <c r="J2406" s="103">
        <v>1.4853902408471327E-3</v>
      </c>
      <c r="K2406" s="103"/>
      <c r="L2406" s="103">
        <v>4.6600000000000003E-2</v>
      </c>
      <c r="O2406" s="100"/>
    </row>
    <row r="2407" spans="2:15" x14ac:dyDescent="0.2">
      <c r="B2407" s="1">
        <v>2392</v>
      </c>
      <c r="C2407" s="101">
        <f t="shared" ca="1" si="148"/>
        <v>0.50391394312157967</v>
      </c>
      <c r="D2407" s="101">
        <f t="shared" ca="1" si="149"/>
        <v>0.69836708586577534</v>
      </c>
      <c r="E2407" s="101">
        <f t="shared" ca="1" si="150"/>
        <v>0</v>
      </c>
      <c r="F2407" s="21">
        <f t="shared" ca="1" si="151"/>
        <v>0</v>
      </c>
      <c r="H2407" s="21">
        <v>2392</v>
      </c>
      <c r="I2407" s="102">
        <v>0.66771194866151951</v>
      </c>
      <c r="J2407" s="103">
        <v>1.331565719126959E-3</v>
      </c>
      <c r="K2407" s="103"/>
      <c r="L2407" s="103">
        <v>3.8600000000000002E-2</v>
      </c>
      <c r="O2407" s="100"/>
    </row>
    <row r="2408" spans="2:15" x14ac:dyDescent="0.2">
      <c r="B2408" s="1">
        <v>2393</v>
      </c>
      <c r="C2408" s="101">
        <f t="shared" ca="1" si="148"/>
        <v>0.67106306135616578</v>
      </c>
      <c r="D2408" s="101">
        <f t="shared" ca="1" si="149"/>
        <v>0.70997707879396443</v>
      </c>
      <c r="E2408" s="101">
        <f t="shared" ca="1" si="150"/>
        <v>0</v>
      </c>
      <c r="F2408" s="21">
        <f t="shared" ca="1" si="151"/>
        <v>0</v>
      </c>
      <c r="H2408" s="21">
        <v>2393</v>
      </c>
      <c r="I2408" s="102">
        <v>0.66763998172685168</v>
      </c>
      <c r="J2408" s="103">
        <v>1.1864766712229942E-3</v>
      </c>
      <c r="K2408" s="103"/>
      <c r="L2408" s="103">
        <v>4.1399999999999999E-2</v>
      </c>
      <c r="O2408" s="100"/>
    </row>
    <row r="2409" spans="2:15" x14ac:dyDescent="0.2">
      <c r="B2409" s="1">
        <v>2394</v>
      </c>
      <c r="C2409" s="101">
        <f t="shared" ca="1" si="148"/>
        <v>1.7618122052601564</v>
      </c>
      <c r="D2409" s="101">
        <f t="shared" ca="1" si="149"/>
        <v>0.7906264672769443</v>
      </c>
      <c r="E2409" s="101">
        <f t="shared" ca="1" si="150"/>
        <v>2.4264672769442885E-3</v>
      </c>
      <c r="F2409" s="21">
        <f t="shared" ca="1" si="151"/>
        <v>1</v>
      </c>
      <c r="H2409" s="21">
        <v>2394</v>
      </c>
      <c r="I2409" s="102">
        <v>0.66773423319160996</v>
      </c>
      <c r="J2409" s="103">
        <v>1.2965719211673235E-3</v>
      </c>
      <c r="K2409" s="103"/>
      <c r="L2409" s="103">
        <v>4.2799999999999998E-2</v>
      </c>
      <c r="O2409" s="100"/>
    </row>
    <row r="2410" spans="2:15" x14ac:dyDescent="0.2">
      <c r="B2410" s="1">
        <v>2395</v>
      </c>
      <c r="C2410" s="101">
        <f t="shared" ca="1" si="148"/>
        <v>2.7545469184007816</v>
      </c>
      <c r="D2410" s="101">
        <f t="shared" ca="1" si="149"/>
        <v>0.87196588112813589</v>
      </c>
      <c r="E2410" s="101">
        <f t="shared" ca="1" si="150"/>
        <v>8.3765881128135877E-2</v>
      </c>
      <c r="F2410" s="21">
        <f t="shared" ca="1" si="151"/>
        <v>1</v>
      </c>
      <c r="H2410" s="21">
        <v>2395</v>
      </c>
      <c r="I2410" s="102">
        <v>0.6677783157176721</v>
      </c>
      <c r="J2410" s="103">
        <v>1.447308691198951E-3</v>
      </c>
      <c r="K2410" s="103"/>
      <c r="L2410" s="103">
        <v>4.4400000000000002E-2</v>
      </c>
      <c r="O2410" s="100"/>
    </row>
    <row r="2411" spans="2:15" x14ac:dyDescent="0.2">
      <c r="B2411" s="1">
        <v>2396</v>
      </c>
      <c r="C2411" s="101">
        <f t="shared" ca="1" si="148"/>
        <v>1.547847494702149</v>
      </c>
      <c r="D2411" s="101">
        <f t="shared" ca="1" si="149"/>
        <v>0.7741145538602624</v>
      </c>
      <c r="E2411" s="101">
        <f t="shared" ca="1" si="150"/>
        <v>0</v>
      </c>
      <c r="F2411" s="21">
        <f t="shared" ca="1" si="151"/>
        <v>0</v>
      </c>
      <c r="H2411" s="21">
        <v>2396</v>
      </c>
      <c r="I2411" s="102">
        <v>0.66773696659582715</v>
      </c>
      <c r="J2411" s="103">
        <v>1.4208926488177224E-3</v>
      </c>
      <c r="K2411" s="103"/>
      <c r="L2411" s="103">
        <v>3.9800000000000002E-2</v>
      </c>
      <c r="O2411" s="100"/>
    </row>
    <row r="2412" spans="2:15" x14ac:dyDescent="0.2">
      <c r="B2412" s="1">
        <v>2397</v>
      </c>
      <c r="C2412" s="101">
        <f t="shared" ca="1" si="148"/>
        <v>2.5356026734808883</v>
      </c>
      <c r="D2412" s="101">
        <f t="shared" ca="1" si="149"/>
        <v>0.85333597577247855</v>
      </c>
      <c r="E2412" s="101">
        <f t="shared" ca="1" si="150"/>
        <v>6.5135975772478538E-2</v>
      </c>
      <c r="F2412" s="21">
        <f t="shared" ca="1" si="151"/>
        <v>1</v>
      </c>
      <c r="H2412" s="21">
        <v>2397</v>
      </c>
      <c r="I2412" s="102">
        <v>0.66766920897345894</v>
      </c>
      <c r="J2412" s="103">
        <v>1.2046301193575654E-3</v>
      </c>
      <c r="K2412" s="103"/>
      <c r="L2412" s="103">
        <v>4.0800000000000003E-2</v>
      </c>
      <c r="O2412" s="100"/>
    </row>
    <row r="2413" spans="2:15" x14ac:dyDescent="0.2">
      <c r="B2413" s="1">
        <v>2398</v>
      </c>
      <c r="C2413" s="101">
        <f t="shared" ca="1" si="148"/>
        <v>-0.81044219043917032</v>
      </c>
      <c r="D2413" s="101">
        <f t="shared" ca="1" si="149"/>
        <v>0.61344771963977685</v>
      </c>
      <c r="E2413" s="101">
        <f t="shared" ca="1" si="150"/>
        <v>0</v>
      </c>
      <c r="F2413" s="21">
        <f t="shared" ca="1" si="151"/>
        <v>0</v>
      </c>
      <c r="H2413" s="21">
        <v>2398</v>
      </c>
      <c r="I2413" s="102">
        <v>0.66777876141272541</v>
      </c>
      <c r="J2413" s="103">
        <v>1.3185466179343696E-3</v>
      </c>
      <c r="K2413" s="103"/>
      <c r="L2413" s="103">
        <v>4.1399999999999999E-2</v>
      </c>
      <c r="O2413" s="100"/>
    </row>
    <row r="2414" spans="2:15" x14ac:dyDescent="0.2">
      <c r="B2414" s="1">
        <v>2399</v>
      </c>
      <c r="C2414" s="101">
        <f t="shared" ca="1" si="148"/>
        <v>-1.0027528760588797</v>
      </c>
      <c r="D2414" s="101">
        <f t="shared" ca="1" si="149"/>
        <v>0.60192043149104701</v>
      </c>
      <c r="E2414" s="101">
        <f t="shared" ca="1" si="150"/>
        <v>0</v>
      </c>
      <c r="F2414" s="21">
        <f t="shared" ca="1" si="151"/>
        <v>0</v>
      </c>
      <c r="H2414" s="21">
        <v>2399</v>
      </c>
      <c r="I2414" s="102">
        <v>0.66768604595658521</v>
      </c>
      <c r="J2414" s="103">
        <v>1.3306749106389312E-3</v>
      </c>
      <c r="K2414" s="103"/>
      <c r="L2414" s="103">
        <v>4.2000000000000003E-2</v>
      </c>
      <c r="O2414" s="100"/>
    </row>
    <row r="2415" spans="2:15" x14ac:dyDescent="0.2">
      <c r="B2415" s="1">
        <v>2400</v>
      </c>
      <c r="C2415" s="101">
        <f t="shared" ca="1" si="148"/>
        <v>-5.9109666366401172E-2</v>
      </c>
      <c r="D2415" s="101">
        <f t="shared" ca="1" si="149"/>
        <v>0.66063895492568148</v>
      </c>
      <c r="E2415" s="101">
        <f t="shared" ca="1" si="150"/>
        <v>0</v>
      </c>
      <c r="F2415" s="21">
        <f t="shared" ca="1" si="151"/>
        <v>0</v>
      </c>
      <c r="H2415" s="21">
        <v>2400</v>
      </c>
      <c r="I2415" s="102">
        <v>0.66783394842521193</v>
      </c>
      <c r="J2415" s="103">
        <v>1.3859416839552287E-3</v>
      </c>
      <c r="K2415" s="103"/>
      <c r="L2415" s="103">
        <v>4.4999999999999998E-2</v>
      </c>
      <c r="O2415" s="100"/>
    </row>
    <row r="2416" spans="2:15" x14ac:dyDescent="0.2">
      <c r="B2416" s="1">
        <v>2401</v>
      </c>
      <c r="C2416" s="101">
        <f t="shared" ca="1" si="148"/>
        <v>-0.52648077788136893</v>
      </c>
      <c r="D2416" s="101">
        <f t="shared" ca="1" si="149"/>
        <v>0.63087350451225177</v>
      </c>
      <c r="E2416" s="101">
        <f t="shared" ca="1" si="150"/>
        <v>0</v>
      </c>
      <c r="F2416" s="21">
        <f t="shared" ca="1" si="151"/>
        <v>0</v>
      </c>
      <c r="H2416" s="21">
        <v>2401</v>
      </c>
      <c r="I2416" s="102">
        <v>0.66775248771273032</v>
      </c>
      <c r="J2416" s="103">
        <v>1.3825385652451079E-3</v>
      </c>
      <c r="K2416" s="103"/>
      <c r="L2416" s="103">
        <v>3.9600000000000003E-2</v>
      </c>
      <c r="O2416" s="100"/>
    </row>
    <row r="2417" spans="2:15" x14ac:dyDescent="0.2">
      <c r="B2417" s="1">
        <v>2402</v>
      </c>
      <c r="C2417" s="101">
        <f t="shared" ca="1" si="148"/>
        <v>-0.36346288255229764</v>
      </c>
      <c r="D2417" s="101">
        <f t="shared" ca="1" si="149"/>
        <v>0.64110014391771197</v>
      </c>
      <c r="E2417" s="101">
        <f t="shared" ca="1" si="150"/>
        <v>0</v>
      </c>
      <c r="F2417" s="21">
        <f t="shared" ca="1" si="151"/>
        <v>0</v>
      </c>
      <c r="H2417" s="21">
        <v>2402</v>
      </c>
      <c r="I2417" s="102">
        <v>0.66770517354657144</v>
      </c>
      <c r="J2417" s="103">
        <v>1.2629464728210167E-3</v>
      </c>
      <c r="K2417" s="103"/>
      <c r="L2417" s="103">
        <v>3.9800000000000002E-2</v>
      </c>
      <c r="O2417" s="100"/>
    </row>
    <row r="2418" spans="2:15" x14ac:dyDescent="0.2">
      <c r="B2418" s="1">
        <v>2403</v>
      </c>
      <c r="C2418" s="101">
        <f t="shared" ca="1" si="148"/>
        <v>0.11821246062661936</v>
      </c>
      <c r="D2418" s="101">
        <f t="shared" ca="1" si="149"/>
        <v>0.67229603374010249</v>
      </c>
      <c r="E2418" s="101">
        <f t="shared" ca="1" si="150"/>
        <v>0</v>
      </c>
      <c r="F2418" s="21">
        <f t="shared" ca="1" si="151"/>
        <v>0</v>
      </c>
      <c r="H2418" s="21">
        <v>2403</v>
      </c>
      <c r="I2418" s="102">
        <v>0.66788856797562857</v>
      </c>
      <c r="J2418" s="103">
        <v>1.4500288625017923E-3</v>
      </c>
      <c r="K2418" s="103"/>
      <c r="L2418" s="103">
        <v>4.4999999999999998E-2</v>
      </c>
      <c r="O2418" s="100"/>
    </row>
    <row r="2419" spans="2:15" x14ac:dyDescent="0.2">
      <c r="B2419" s="1">
        <v>2404</v>
      </c>
      <c r="C2419" s="101">
        <f t="shared" ca="1" si="148"/>
        <v>0.90736879989000707</v>
      </c>
      <c r="D2419" s="101">
        <f t="shared" ca="1" si="149"/>
        <v>0.72672068205858664</v>
      </c>
      <c r="E2419" s="101">
        <f t="shared" ca="1" si="150"/>
        <v>0</v>
      </c>
      <c r="F2419" s="21">
        <f t="shared" ca="1" si="151"/>
        <v>0</v>
      </c>
      <c r="H2419" s="21">
        <v>2404</v>
      </c>
      <c r="I2419" s="102">
        <v>0.66791023767207547</v>
      </c>
      <c r="J2419" s="103">
        <v>1.5243611309128217E-3</v>
      </c>
      <c r="K2419" s="103"/>
      <c r="L2419" s="103">
        <v>4.4200000000000003E-2</v>
      </c>
      <c r="O2419" s="100"/>
    </row>
    <row r="2420" spans="2:15" x14ac:dyDescent="0.2">
      <c r="B2420" s="1">
        <v>2405</v>
      </c>
      <c r="C2420" s="101">
        <f t="shared" ca="1" si="148"/>
        <v>-3.5669424439343601E-2</v>
      </c>
      <c r="D2420" s="101">
        <f t="shared" ca="1" si="149"/>
        <v>0.66216823612138498</v>
      </c>
      <c r="E2420" s="101">
        <f t="shared" ca="1" si="150"/>
        <v>0</v>
      </c>
      <c r="F2420" s="21">
        <f t="shared" ca="1" si="151"/>
        <v>0</v>
      </c>
      <c r="H2420" s="21">
        <v>2405</v>
      </c>
      <c r="I2420" s="102">
        <v>0.66778983427893346</v>
      </c>
      <c r="J2420" s="103">
        <v>1.3412673670894547E-3</v>
      </c>
      <c r="K2420" s="103"/>
      <c r="L2420" s="103">
        <v>4.2599999999999999E-2</v>
      </c>
      <c r="O2420" s="100"/>
    </row>
    <row r="2421" spans="2:15" x14ac:dyDescent="0.2">
      <c r="B2421" s="1">
        <v>2406</v>
      </c>
      <c r="C2421" s="101">
        <f t="shared" ca="1" si="148"/>
        <v>-0.45028396741557103</v>
      </c>
      <c r="D2421" s="101">
        <f t="shared" ca="1" si="149"/>
        <v>0.63563311174582704</v>
      </c>
      <c r="E2421" s="101">
        <f t="shared" ca="1" si="150"/>
        <v>0</v>
      </c>
      <c r="F2421" s="21">
        <f t="shared" ca="1" si="151"/>
        <v>0</v>
      </c>
      <c r="H2421" s="21">
        <v>2406</v>
      </c>
      <c r="I2421" s="102">
        <v>0.66751110612352615</v>
      </c>
      <c r="J2421" s="103">
        <v>1.1273169005668081E-3</v>
      </c>
      <c r="K2421" s="103"/>
      <c r="L2421" s="103">
        <v>3.4599999999999999E-2</v>
      </c>
      <c r="O2421" s="100"/>
    </row>
    <row r="2422" spans="2:15" x14ac:dyDescent="0.2">
      <c r="B2422" s="1">
        <v>2407</v>
      </c>
      <c r="C2422" s="101">
        <f t="shared" ca="1" si="148"/>
        <v>-0.50816612875819489</v>
      </c>
      <c r="D2422" s="101">
        <f t="shared" ca="1" si="149"/>
        <v>0.6320142588920169</v>
      </c>
      <c r="E2422" s="101">
        <f t="shared" ca="1" si="150"/>
        <v>0</v>
      </c>
      <c r="F2422" s="21">
        <f t="shared" ca="1" si="151"/>
        <v>0</v>
      </c>
      <c r="H2422" s="21">
        <v>2407</v>
      </c>
      <c r="I2422" s="102">
        <v>0.66789500282502257</v>
      </c>
      <c r="J2422" s="103">
        <v>1.5844120940230434E-3</v>
      </c>
      <c r="K2422" s="103"/>
      <c r="L2422" s="103">
        <v>4.4600000000000001E-2</v>
      </c>
      <c r="O2422" s="100"/>
    </row>
    <row r="2423" spans="2:15" x14ac:dyDescent="0.2">
      <c r="B2423" s="1">
        <v>2408</v>
      </c>
      <c r="C2423" s="101">
        <f t="shared" ca="1" si="148"/>
        <v>0.47956170632182465</v>
      </c>
      <c r="D2423" s="101">
        <f t="shared" ca="1" si="149"/>
        <v>0.69669152577088633</v>
      </c>
      <c r="E2423" s="101">
        <f t="shared" ca="1" si="150"/>
        <v>0</v>
      </c>
      <c r="F2423" s="21">
        <f t="shared" ca="1" si="151"/>
        <v>0</v>
      </c>
      <c r="H2423" s="21">
        <v>2408</v>
      </c>
      <c r="I2423" s="102">
        <v>0.66754862584986863</v>
      </c>
      <c r="J2423" s="103">
        <v>1.1760541002193438E-3</v>
      </c>
      <c r="K2423" s="103"/>
      <c r="L2423" s="103">
        <v>3.6999999999999998E-2</v>
      </c>
      <c r="O2423" s="100"/>
    </row>
    <row r="2424" spans="2:15" x14ac:dyDescent="0.2">
      <c r="B2424" s="1">
        <v>2409</v>
      </c>
      <c r="C2424" s="101">
        <f t="shared" ca="1" si="148"/>
        <v>-1.297862766180524</v>
      </c>
      <c r="D2424" s="101">
        <f t="shared" ca="1" si="149"/>
        <v>0.58465108427860568</v>
      </c>
      <c r="E2424" s="101">
        <f t="shared" ca="1" si="150"/>
        <v>0</v>
      </c>
      <c r="F2424" s="21">
        <f t="shared" ca="1" si="151"/>
        <v>0</v>
      </c>
      <c r="H2424" s="21">
        <v>2409</v>
      </c>
      <c r="I2424" s="102">
        <v>0.66773744986871431</v>
      </c>
      <c r="J2424" s="103">
        <v>1.3228216845802779E-3</v>
      </c>
      <c r="K2424" s="103"/>
      <c r="L2424" s="103">
        <v>4.1200000000000001E-2</v>
      </c>
      <c r="O2424" s="100"/>
    </row>
    <row r="2425" spans="2:15" x14ac:dyDescent="0.2">
      <c r="B2425" s="1">
        <v>2410</v>
      </c>
      <c r="C2425" s="101">
        <f t="shared" ca="1" si="148"/>
        <v>0.37292511565812775</v>
      </c>
      <c r="D2425" s="101">
        <f t="shared" ca="1" si="149"/>
        <v>0.68940159239024545</v>
      </c>
      <c r="E2425" s="101">
        <f t="shared" ca="1" si="150"/>
        <v>0</v>
      </c>
      <c r="F2425" s="21">
        <f t="shared" ca="1" si="151"/>
        <v>0</v>
      </c>
      <c r="H2425" s="21">
        <v>2410</v>
      </c>
      <c r="I2425" s="102">
        <v>0.66766312197889233</v>
      </c>
      <c r="J2425" s="103">
        <v>1.325047788251818E-3</v>
      </c>
      <c r="K2425" s="103"/>
      <c r="L2425" s="103">
        <v>3.8399999999999997E-2</v>
      </c>
      <c r="O2425" s="100"/>
    </row>
    <row r="2426" spans="2:15" x14ac:dyDescent="0.2">
      <c r="B2426" s="1">
        <v>2411</v>
      </c>
      <c r="C2426" s="101">
        <f t="shared" ca="1" si="148"/>
        <v>-0.28826177411808929</v>
      </c>
      <c r="D2426" s="101">
        <f t="shared" ca="1" si="149"/>
        <v>0.64587346663416012</v>
      </c>
      <c r="E2426" s="101">
        <f t="shared" ca="1" si="150"/>
        <v>0</v>
      </c>
      <c r="F2426" s="21">
        <f t="shared" ca="1" si="151"/>
        <v>0</v>
      </c>
      <c r="H2426" s="21">
        <v>2411</v>
      </c>
      <c r="I2426" s="102">
        <v>0.66784497983508051</v>
      </c>
      <c r="J2426" s="103">
        <v>1.4361879470790105E-3</v>
      </c>
      <c r="K2426" s="103"/>
      <c r="L2426" s="103">
        <v>4.1799999999999997E-2</v>
      </c>
      <c r="O2426" s="100"/>
    </row>
    <row r="2427" spans="2:15" x14ac:dyDescent="0.2">
      <c r="B2427" s="1">
        <v>2412</v>
      </c>
      <c r="C2427" s="101">
        <f t="shared" ca="1" si="148"/>
        <v>1.3229881639931322</v>
      </c>
      <c r="D2427" s="101">
        <f t="shared" ca="1" si="149"/>
        <v>0.75713338690840248</v>
      </c>
      <c r="E2427" s="101">
        <f t="shared" ca="1" si="150"/>
        <v>0</v>
      </c>
      <c r="F2427" s="21">
        <f t="shared" ca="1" si="151"/>
        <v>0</v>
      </c>
      <c r="H2427" s="21">
        <v>2412</v>
      </c>
      <c r="I2427" s="102">
        <v>0.66766504460248111</v>
      </c>
      <c r="J2427" s="103">
        <v>1.2630935107886708E-3</v>
      </c>
      <c r="K2427" s="103"/>
      <c r="L2427" s="103">
        <v>0.04</v>
      </c>
      <c r="O2427" s="100"/>
    </row>
    <row r="2428" spans="2:15" x14ac:dyDescent="0.2">
      <c r="B2428" s="1">
        <v>2413</v>
      </c>
      <c r="C2428" s="101">
        <f t="shared" ca="1" si="148"/>
        <v>-1.1309027471189894</v>
      </c>
      <c r="D2428" s="101">
        <f t="shared" ca="1" si="149"/>
        <v>0.59435952059174879</v>
      </c>
      <c r="E2428" s="101">
        <f t="shared" ca="1" si="150"/>
        <v>0</v>
      </c>
      <c r="F2428" s="21">
        <f t="shared" ca="1" si="151"/>
        <v>0</v>
      </c>
      <c r="H2428" s="21">
        <v>2413</v>
      </c>
      <c r="I2428" s="102">
        <v>0.66780737635674392</v>
      </c>
      <c r="J2428" s="103">
        <v>1.4093679000401211E-3</v>
      </c>
      <c r="K2428" s="103"/>
      <c r="L2428" s="103">
        <v>4.2000000000000003E-2</v>
      </c>
      <c r="O2428" s="100"/>
    </row>
    <row r="2429" spans="2:15" x14ac:dyDescent="0.2">
      <c r="B2429" s="1">
        <v>2414</v>
      </c>
      <c r="C2429" s="101">
        <f t="shared" ca="1" si="148"/>
        <v>-1.1869340508602861</v>
      </c>
      <c r="D2429" s="101">
        <f t="shared" ca="1" si="149"/>
        <v>0.59108355575361904</v>
      </c>
      <c r="E2429" s="101">
        <f t="shared" ca="1" si="150"/>
        <v>0</v>
      </c>
      <c r="F2429" s="21">
        <f t="shared" ca="1" si="151"/>
        <v>0</v>
      </c>
      <c r="H2429" s="21">
        <v>2414</v>
      </c>
      <c r="I2429" s="102">
        <v>0.66773595690322274</v>
      </c>
      <c r="J2429" s="103">
        <v>1.4377309655990715E-3</v>
      </c>
      <c r="K2429" s="103"/>
      <c r="L2429" s="103">
        <v>4.1599999999999998E-2</v>
      </c>
      <c r="O2429" s="100"/>
    </row>
    <row r="2430" spans="2:15" x14ac:dyDescent="0.2">
      <c r="B2430" s="1">
        <v>2415</v>
      </c>
      <c r="C2430" s="101">
        <f t="shared" ca="1" si="148"/>
        <v>0.58566904296917011</v>
      </c>
      <c r="D2430" s="101">
        <f t="shared" ca="1" si="149"/>
        <v>0.70402178968717988</v>
      </c>
      <c r="E2430" s="101">
        <f t="shared" ca="1" si="150"/>
        <v>0</v>
      </c>
      <c r="F2430" s="21">
        <f t="shared" ca="1" si="151"/>
        <v>0</v>
      </c>
      <c r="H2430" s="21">
        <v>2415</v>
      </c>
      <c r="I2430" s="102">
        <v>0.66765722386939486</v>
      </c>
      <c r="J2430" s="103">
        <v>1.2797969065099812E-3</v>
      </c>
      <c r="K2430" s="103"/>
      <c r="L2430" s="103">
        <v>4.1599999999999998E-2</v>
      </c>
      <c r="O2430" s="100"/>
    </row>
    <row r="2431" spans="2:15" x14ac:dyDescent="0.2">
      <c r="B2431" s="1">
        <v>2416</v>
      </c>
      <c r="C2431" s="101">
        <f t="shared" ca="1" si="148"/>
        <v>0.56198772999442559</v>
      </c>
      <c r="D2431" s="101">
        <f t="shared" ca="1" si="149"/>
        <v>0.70237914500748311</v>
      </c>
      <c r="E2431" s="101">
        <f t="shared" ca="1" si="150"/>
        <v>0</v>
      </c>
      <c r="F2431" s="21">
        <f t="shared" ca="1" si="151"/>
        <v>0</v>
      </c>
      <c r="H2431" s="21">
        <v>2416</v>
      </c>
      <c r="I2431" s="102">
        <v>0.66778821499821561</v>
      </c>
      <c r="J2431" s="103">
        <v>1.3676175801217402E-3</v>
      </c>
      <c r="K2431" s="103"/>
      <c r="L2431" s="103">
        <v>4.36E-2</v>
      </c>
      <c r="O2431" s="100"/>
    </row>
    <row r="2432" spans="2:15" x14ac:dyDescent="0.2">
      <c r="B2432" s="1">
        <v>2417</v>
      </c>
      <c r="C2432" s="101">
        <f t="shared" ca="1" si="148"/>
        <v>-0.53783454620269411</v>
      </c>
      <c r="D2432" s="101">
        <f t="shared" ca="1" si="149"/>
        <v>0.63016735275303459</v>
      </c>
      <c r="E2432" s="101">
        <f t="shared" ca="1" si="150"/>
        <v>0</v>
      </c>
      <c r="F2432" s="21">
        <f t="shared" ca="1" si="151"/>
        <v>0</v>
      </c>
      <c r="H2432" s="21">
        <v>2417</v>
      </c>
      <c r="I2432" s="102">
        <v>0.66768978119833688</v>
      </c>
      <c r="J2432" s="103">
        <v>1.3092693275722237E-3</v>
      </c>
      <c r="K2432" s="103"/>
      <c r="L2432" s="103">
        <v>3.9E-2</v>
      </c>
      <c r="O2432" s="100"/>
    </row>
    <row r="2433" spans="2:15" x14ac:dyDescent="0.2">
      <c r="B2433" s="1">
        <v>2418</v>
      </c>
      <c r="C2433" s="101">
        <f t="shared" ca="1" si="148"/>
        <v>0.832484264120946</v>
      </c>
      <c r="D2433" s="101">
        <f t="shared" ca="1" si="149"/>
        <v>0.72137238468984943</v>
      </c>
      <c r="E2433" s="101">
        <f t="shared" ca="1" si="150"/>
        <v>0</v>
      </c>
      <c r="F2433" s="21">
        <f t="shared" ca="1" si="151"/>
        <v>0</v>
      </c>
      <c r="H2433" s="21">
        <v>2418</v>
      </c>
      <c r="I2433" s="102">
        <v>0.66768489898392103</v>
      </c>
      <c r="J2433" s="103">
        <v>1.2573052300333912E-3</v>
      </c>
      <c r="K2433" s="103"/>
      <c r="L2433" s="103">
        <v>4.02E-2</v>
      </c>
      <c r="O2433" s="100"/>
    </row>
    <row r="2434" spans="2:15" x14ac:dyDescent="0.2">
      <c r="B2434" s="1">
        <v>2419</v>
      </c>
      <c r="C2434" s="101">
        <f t="shared" ca="1" si="148"/>
        <v>-0.85724199002840173</v>
      </c>
      <c r="D2434" s="101">
        <f t="shared" ca="1" si="149"/>
        <v>0.61062232967226315</v>
      </c>
      <c r="E2434" s="101">
        <f t="shared" ca="1" si="150"/>
        <v>0</v>
      </c>
      <c r="F2434" s="21">
        <f t="shared" ca="1" si="151"/>
        <v>0</v>
      </c>
      <c r="H2434" s="21">
        <v>2419</v>
      </c>
      <c r="I2434" s="102">
        <v>0.66772878907692634</v>
      </c>
      <c r="J2434" s="103">
        <v>1.3741641606304785E-3</v>
      </c>
      <c r="K2434" s="103"/>
      <c r="L2434" s="103">
        <v>0.04</v>
      </c>
      <c r="O2434" s="100"/>
    </row>
    <row r="2435" spans="2:15" x14ac:dyDescent="0.2">
      <c r="B2435" s="1">
        <v>2420</v>
      </c>
      <c r="C2435" s="101">
        <f t="shared" ca="1" si="148"/>
        <v>-0.42130222614765489</v>
      </c>
      <c r="D2435" s="101">
        <f t="shared" ca="1" si="149"/>
        <v>0.63745285792484507</v>
      </c>
      <c r="E2435" s="101">
        <f t="shared" ca="1" si="150"/>
        <v>0</v>
      </c>
      <c r="F2435" s="21">
        <f t="shared" ca="1" si="151"/>
        <v>0</v>
      </c>
      <c r="H2435" s="21">
        <v>2420</v>
      </c>
      <c r="I2435" s="102">
        <v>0.66782003514273125</v>
      </c>
      <c r="J2435" s="103">
        <v>1.5782252673011905E-3</v>
      </c>
      <c r="K2435" s="103"/>
      <c r="L2435" s="103">
        <v>4.3999999999999997E-2</v>
      </c>
      <c r="O2435" s="100"/>
    </row>
    <row r="2436" spans="2:15" x14ac:dyDescent="0.2">
      <c r="B2436" s="1">
        <v>2421</v>
      </c>
      <c r="C2436" s="101">
        <f t="shared" ca="1" si="148"/>
        <v>1.2362318833168886</v>
      </c>
      <c r="D2436" s="101">
        <f t="shared" ca="1" si="149"/>
        <v>0.75068167070199987</v>
      </c>
      <c r="E2436" s="101">
        <f t="shared" ca="1" si="150"/>
        <v>0</v>
      </c>
      <c r="F2436" s="21">
        <f t="shared" ca="1" si="151"/>
        <v>0</v>
      </c>
      <c r="H2436" s="21">
        <v>2421</v>
      </c>
      <c r="I2436" s="102">
        <v>0.66759995579774423</v>
      </c>
      <c r="J2436" s="103">
        <v>1.0796909035038057E-3</v>
      </c>
      <c r="K2436" s="103"/>
      <c r="L2436" s="103">
        <v>3.6799999999999999E-2</v>
      </c>
      <c r="O2436" s="100"/>
    </row>
    <row r="2437" spans="2:15" x14ac:dyDescent="0.2">
      <c r="B2437" s="1">
        <v>2422</v>
      </c>
      <c r="C2437" s="101">
        <f t="shared" ca="1" si="148"/>
        <v>-0.32472897323917554</v>
      </c>
      <c r="D2437" s="101">
        <f t="shared" ca="1" si="149"/>
        <v>0.64355432180680749</v>
      </c>
      <c r="E2437" s="101">
        <f t="shared" ca="1" si="150"/>
        <v>0</v>
      </c>
      <c r="F2437" s="21">
        <f t="shared" ca="1" si="151"/>
        <v>0</v>
      </c>
      <c r="H2437" s="21">
        <v>2422</v>
      </c>
      <c r="I2437" s="102">
        <v>0.66785586815501452</v>
      </c>
      <c r="J2437" s="103">
        <v>1.4333400620245352E-3</v>
      </c>
      <c r="K2437" s="103"/>
      <c r="L2437" s="103">
        <v>4.7E-2</v>
      </c>
      <c r="O2437" s="100"/>
    </row>
    <row r="2438" spans="2:15" x14ac:dyDescent="0.2">
      <c r="B2438" s="1">
        <v>2423</v>
      </c>
      <c r="C2438" s="101">
        <f t="shared" ca="1" si="148"/>
        <v>-0.90705170358290299</v>
      </c>
      <c r="D2438" s="101">
        <f t="shared" ca="1" si="149"/>
        <v>0.6076295196135888</v>
      </c>
      <c r="E2438" s="101">
        <f t="shared" ca="1" si="150"/>
        <v>0</v>
      </c>
      <c r="F2438" s="21">
        <f t="shared" ca="1" si="151"/>
        <v>0</v>
      </c>
      <c r="H2438" s="21">
        <v>2423</v>
      </c>
      <c r="I2438" s="102">
        <v>0.66768017542348534</v>
      </c>
      <c r="J2438" s="103">
        <v>1.2388640601143858E-3</v>
      </c>
      <c r="K2438" s="103"/>
      <c r="L2438" s="103">
        <v>4.0800000000000003E-2</v>
      </c>
      <c r="O2438" s="100"/>
    </row>
    <row r="2439" spans="2:15" x14ac:dyDescent="0.2">
      <c r="B2439" s="1">
        <v>2424</v>
      </c>
      <c r="C2439" s="101">
        <f t="shared" ca="1" si="148"/>
        <v>-9.7388979288222113E-2</v>
      </c>
      <c r="D2439" s="101">
        <f t="shared" ca="1" si="149"/>
        <v>0.65814913728248814</v>
      </c>
      <c r="E2439" s="101">
        <f t="shared" ca="1" si="150"/>
        <v>0</v>
      </c>
      <c r="F2439" s="21">
        <f t="shared" ca="1" si="151"/>
        <v>0</v>
      </c>
      <c r="H2439" s="21">
        <v>2424</v>
      </c>
      <c r="I2439" s="102">
        <v>0.66781862190427732</v>
      </c>
      <c r="J2439" s="103">
        <v>1.4647930373320329E-3</v>
      </c>
      <c r="K2439" s="103"/>
      <c r="L2439" s="103">
        <v>4.2999999999999997E-2</v>
      </c>
      <c r="O2439" s="100"/>
    </row>
    <row r="2440" spans="2:15" x14ac:dyDescent="0.2">
      <c r="B2440" s="1">
        <v>2425</v>
      </c>
      <c r="C2440" s="101">
        <f t="shared" ca="1" si="148"/>
        <v>-0.93765921352285564</v>
      </c>
      <c r="D2440" s="101">
        <f t="shared" ca="1" si="149"/>
        <v>0.60579775221271459</v>
      </c>
      <c r="E2440" s="101">
        <f t="shared" ca="1" si="150"/>
        <v>0</v>
      </c>
      <c r="F2440" s="21">
        <f t="shared" ca="1" si="151"/>
        <v>0</v>
      </c>
      <c r="H2440" s="21">
        <v>2425</v>
      </c>
      <c r="I2440" s="102">
        <v>0.66762333153412556</v>
      </c>
      <c r="J2440" s="103">
        <v>1.1693032330982987E-3</v>
      </c>
      <c r="K2440" s="103"/>
      <c r="L2440" s="103">
        <v>3.7400000000000003E-2</v>
      </c>
      <c r="O2440" s="100"/>
    </row>
    <row r="2441" spans="2:15" x14ac:dyDescent="0.2">
      <c r="B2441" s="1">
        <v>2426</v>
      </c>
      <c r="C2441" s="101">
        <f t="shared" ca="1" si="148"/>
        <v>1.3709147504826242</v>
      </c>
      <c r="D2441" s="101">
        <f t="shared" ca="1" si="149"/>
        <v>0.76072124100115313</v>
      </c>
      <c r="E2441" s="101">
        <f t="shared" ca="1" si="150"/>
        <v>0</v>
      </c>
      <c r="F2441" s="21">
        <f t="shared" ca="1" si="151"/>
        <v>0</v>
      </c>
      <c r="H2441" s="21">
        <v>2426</v>
      </c>
      <c r="I2441" s="102">
        <v>0.66783230096983048</v>
      </c>
      <c r="J2441" s="103">
        <v>1.4669268637527552E-3</v>
      </c>
      <c r="K2441" s="103"/>
      <c r="L2441" s="103">
        <v>4.4999999999999998E-2</v>
      </c>
      <c r="O2441" s="100"/>
    </row>
    <row r="2442" spans="2:15" x14ac:dyDescent="0.2">
      <c r="B2442" s="1">
        <v>2427</v>
      </c>
      <c r="C2442" s="101">
        <f t="shared" ca="1" si="148"/>
        <v>-0.36649639238341891</v>
      </c>
      <c r="D2442" s="101">
        <f t="shared" ca="1" si="149"/>
        <v>0.64090833658476509</v>
      </c>
      <c r="E2442" s="101">
        <f t="shared" ca="1" si="150"/>
        <v>0</v>
      </c>
      <c r="F2442" s="21">
        <f t="shared" ca="1" si="151"/>
        <v>0</v>
      </c>
      <c r="H2442" s="21">
        <v>2427</v>
      </c>
      <c r="I2442" s="102">
        <v>0.66776501002911581</v>
      </c>
      <c r="J2442" s="103">
        <v>1.5891503940101154E-3</v>
      </c>
      <c r="K2442" s="103"/>
      <c r="L2442" s="103">
        <v>4.2599999999999999E-2</v>
      </c>
      <c r="O2442" s="100"/>
    </row>
    <row r="2443" spans="2:15" x14ac:dyDescent="0.2">
      <c r="B2443" s="1">
        <v>2428</v>
      </c>
      <c r="C2443" s="101">
        <f t="shared" ca="1" si="148"/>
        <v>-0.93063801794426926</v>
      </c>
      <c r="D2443" s="101">
        <f t="shared" ca="1" si="149"/>
        <v>0.60621746096855411</v>
      </c>
      <c r="E2443" s="101">
        <f t="shared" ca="1" si="150"/>
        <v>0</v>
      </c>
      <c r="F2443" s="21">
        <f t="shared" ca="1" si="151"/>
        <v>0</v>
      </c>
      <c r="H2443" s="21">
        <v>2428</v>
      </c>
      <c r="I2443" s="102">
        <v>0.66769953801587956</v>
      </c>
      <c r="J2443" s="103">
        <v>1.213592743062599E-3</v>
      </c>
      <c r="K2443" s="103"/>
      <c r="L2443" s="103">
        <v>4.0800000000000003E-2</v>
      </c>
      <c r="O2443" s="100"/>
    </row>
    <row r="2444" spans="2:15" x14ac:dyDescent="0.2">
      <c r="B2444" s="1">
        <v>2429</v>
      </c>
      <c r="C2444" s="101">
        <f t="shared" ca="1" si="148"/>
        <v>0.73904440580268271</v>
      </c>
      <c r="D2444" s="101">
        <f t="shared" ca="1" si="149"/>
        <v>0.71475402038471825</v>
      </c>
      <c r="E2444" s="101">
        <f t="shared" ca="1" si="150"/>
        <v>0</v>
      </c>
      <c r="F2444" s="21">
        <f t="shared" ca="1" si="151"/>
        <v>0</v>
      </c>
      <c r="H2444" s="21">
        <v>2429</v>
      </c>
      <c r="I2444" s="102">
        <v>0.6676559143144869</v>
      </c>
      <c r="J2444" s="103">
        <v>1.2204828047448105E-3</v>
      </c>
      <c r="K2444" s="103"/>
      <c r="L2444" s="103">
        <v>4.02E-2</v>
      </c>
      <c r="O2444" s="100"/>
    </row>
    <row r="2445" spans="2:15" x14ac:dyDescent="0.2">
      <c r="B2445" s="1">
        <v>2430</v>
      </c>
      <c r="C2445" s="101">
        <f t="shared" ca="1" si="148"/>
        <v>1.5218141194909902</v>
      </c>
      <c r="D2445" s="101">
        <f t="shared" ca="1" si="149"/>
        <v>0.77212920375399197</v>
      </c>
      <c r="E2445" s="101">
        <f t="shared" ca="1" si="150"/>
        <v>0</v>
      </c>
      <c r="F2445" s="21">
        <f t="shared" ca="1" si="151"/>
        <v>0</v>
      </c>
      <c r="H2445" s="21">
        <v>2430</v>
      </c>
      <c r="I2445" s="102">
        <v>0.66767186223805497</v>
      </c>
      <c r="J2445" s="103">
        <v>1.2471116443643114E-3</v>
      </c>
      <c r="K2445" s="103"/>
      <c r="L2445" s="103">
        <v>4.02E-2</v>
      </c>
      <c r="O2445" s="100"/>
    </row>
    <row r="2446" spans="2:15" x14ac:dyDescent="0.2">
      <c r="B2446" s="1">
        <v>2431</v>
      </c>
      <c r="C2446" s="101">
        <f t="shared" ca="1" si="148"/>
        <v>0.48641481841769846</v>
      </c>
      <c r="D2446" s="101">
        <f t="shared" ca="1" si="149"/>
        <v>0.69716264850759158</v>
      </c>
      <c r="E2446" s="101">
        <f t="shared" ca="1" si="150"/>
        <v>0</v>
      </c>
      <c r="F2446" s="21">
        <f t="shared" ca="1" si="151"/>
        <v>0</v>
      </c>
      <c r="H2446" s="21">
        <v>2431</v>
      </c>
      <c r="I2446" s="102">
        <v>0.66767660847552246</v>
      </c>
      <c r="J2446" s="103">
        <v>1.1407586161089401E-3</v>
      </c>
      <c r="K2446" s="103"/>
      <c r="L2446" s="103">
        <v>4.02E-2</v>
      </c>
      <c r="O2446" s="100"/>
    </row>
    <row r="2447" spans="2:15" x14ac:dyDescent="0.2">
      <c r="B2447" s="1">
        <v>2432</v>
      </c>
      <c r="C2447" s="101">
        <f t="shared" ca="1" si="148"/>
        <v>1.8065273287632053</v>
      </c>
      <c r="D2447" s="101">
        <f t="shared" ca="1" si="149"/>
        <v>0.79412143219177389</v>
      </c>
      <c r="E2447" s="101">
        <f t="shared" ca="1" si="150"/>
        <v>5.9214321917738788E-3</v>
      </c>
      <c r="F2447" s="21">
        <f t="shared" ca="1" si="151"/>
        <v>1</v>
      </c>
      <c r="H2447" s="21">
        <v>2432</v>
      </c>
      <c r="I2447" s="102">
        <v>0.66761143828540559</v>
      </c>
      <c r="J2447" s="103">
        <v>1.2602158557233347E-3</v>
      </c>
      <c r="K2447" s="103"/>
      <c r="L2447" s="103">
        <v>4.0800000000000003E-2</v>
      </c>
      <c r="O2447" s="100"/>
    </row>
    <row r="2448" spans="2:15" x14ac:dyDescent="0.2">
      <c r="B2448" s="1">
        <v>2433</v>
      </c>
      <c r="C2448" s="101">
        <f t="shared" ref="C2448:C2515" ca="1" si="152">_xlfn.NORM.S.INV(RAND())</f>
        <v>0.57963351790309836</v>
      </c>
      <c r="D2448" s="101">
        <f t="shared" ref="D2448:D2511" ca="1" si="153">S0*EXP((μ-0.5*σ*σ)*T+σ*SQRT(T)*$C2448)</f>
        <v>0.70360277351339173</v>
      </c>
      <c r="E2448" s="101">
        <f t="shared" ref="E2448:E2511" ca="1" si="154">MAX(0,CP*(D2448-K))</f>
        <v>0</v>
      </c>
      <c r="F2448" s="21">
        <f t="shared" ref="F2448:F2511" ca="1" si="155">(CP*(D2448-K)&gt;0)*1</f>
        <v>0</v>
      </c>
      <c r="H2448" s="21">
        <v>2433</v>
      </c>
      <c r="I2448" s="102">
        <v>0.66780753466994291</v>
      </c>
      <c r="J2448" s="103">
        <v>1.4081647757005007E-3</v>
      </c>
      <c r="K2448" s="103"/>
      <c r="L2448" s="103">
        <v>4.4999999999999998E-2</v>
      </c>
      <c r="O2448" s="100"/>
    </row>
    <row r="2449" spans="2:15" x14ac:dyDescent="0.2">
      <c r="B2449" s="1">
        <v>2434</v>
      </c>
      <c r="C2449" s="101">
        <f t="shared" ca="1" si="152"/>
        <v>0.73286361543123513</v>
      </c>
      <c r="D2449" s="101">
        <f t="shared" ca="1" si="153"/>
        <v>0.71431838099809042</v>
      </c>
      <c r="E2449" s="101">
        <f t="shared" ca="1" si="154"/>
        <v>0</v>
      </c>
      <c r="F2449" s="21">
        <f t="shared" ca="1" si="155"/>
        <v>0</v>
      </c>
      <c r="H2449" s="21">
        <v>2434</v>
      </c>
      <c r="I2449" s="102">
        <v>0.66785337486570517</v>
      </c>
      <c r="J2449" s="103">
        <v>1.4327459686023977E-3</v>
      </c>
      <c r="K2449" s="103"/>
      <c r="L2449" s="103">
        <v>4.4400000000000002E-2</v>
      </c>
      <c r="O2449" s="100"/>
    </row>
    <row r="2450" spans="2:15" x14ac:dyDescent="0.2">
      <c r="B2450" s="1">
        <v>2435</v>
      </c>
      <c r="C2450" s="101">
        <f t="shared" ca="1" si="152"/>
        <v>-0.67350278051377943</v>
      </c>
      <c r="D2450" s="101">
        <f t="shared" ca="1" si="153"/>
        <v>0.62179031944450192</v>
      </c>
      <c r="E2450" s="101">
        <f t="shared" ca="1" si="154"/>
        <v>0</v>
      </c>
      <c r="F2450" s="21">
        <f t="shared" ca="1" si="155"/>
        <v>0</v>
      </c>
      <c r="H2450" s="21">
        <v>2435</v>
      </c>
      <c r="I2450" s="102">
        <v>0.66774261573528426</v>
      </c>
      <c r="J2450" s="103">
        <v>1.345944474685669E-3</v>
      </c>
      <c r="K2450" s="103"/>
      <c r="L2450" s="103">
        <v>4.1000000000000002E-2</v>
      </c>
      <c r="O2450" s="100"/>
    </row>
    <row r="2451" spans="2:15" x14ac:dyDescent="0.2">
      <c r="B2451" s="1">
        <v>2436</v>
      </c>
      <c r="C2451" s="101">
        <f t="shared" ca="1" si="152"/>
        <v>0.19859118469787801</v>
      </c>
      <c r="D2451" s="101">
        <f t="shared" ca="1" si="153"/>
        <v>0.67764763050781252</v>
      </c>
      <c r="E2451" s="101">
        <f t="shared" ca="1" si="154"/>
        <v>0</v>
      </c>
      <c r="F2451" s="21">
        <f t="shared" ca="1" si="155"/>
        <v>0</v>
      </c>
      <c r="H2451" s="21">
        <v>2436</v>
      </c>
      <c r="I2451" s="102">
        <v>0.66768375743854069</v>
      </c>
      <c r="J2451" s="103">
        <v>1.2559712306000215E-3</v>
      </c>
      <c r="K2451" s="103"/>
      <c r="L2451" s="103">
        <v>4.1399999999999999E-2</v>
      </c>
      <c r="O2451" s="100"/>
    </row>
    <row r="2452" spans="2:15" x14ac:dyDescent="0.2">
      <c r="B2452" s="1">
        <v>2437</v>
      </c>
      <c r="C2452" s="101">
        <f t="shared" ca="1" si="152"/>
        <v>0.16973554696621115</v>
      </c>
      <c r="D2452" s="101">
        <f t="shared" ca="1" si="153"/>
        <v>0.67572154497366521</v>
      </c>
      <c r="E2452" s="101">
        <f t="shared" ca="1" si="154"/>
        <v>0</v>
      </c>
      <c r="F2452" s="21">
        <f t="shared" ca="1" si="155"/>
        <v>0</v>
      </c>
      <c r="H2452" s="21">
        <v>2437</v>
      </c>
      <c r="I2452" s="102">
        <v>0.66775608038798073</v>
      </c>
      <c r="J2452" s="103">
        <v>1.3939425018522202E-3</v>
      </c>
      <c r="K2452" s="103"/>
      <c r="L2452" s="103">
        <v>3.9399999999999998E-2</v>
      </c>
      <c r="O2452" s="100"/>
    </row>
    <row r="2453" spans="2:15" x14ac:dyDescent="0.2">
      <c r="B2453" s="1">
        <v>2438</v>
      </c>
      <c r="C2453" s="101">
        <f t="shared" ca="1" si="152"/>
        <v>0.83962934431471026</v>
      </c>
      <c r="D2453" s="101">
        <f t="shared" ca="1" si="153"/>
        <v>0.7218809872891524</v>
      </c>
      <c r="E2453" s="101">
        <f t="shared" ca="1" si="154"/>
        <v>0</v>
      </c>
      <c r="F2453" s="21">
        <f t="shared" ca="1" si="155"/>
        <v>0</v>
      </c>
      <c r="H2453" s="21">
        <v>2438</v>
      </c>
      <c r="I2453" s="102">
        <v>0.66794371549574616</v>
      </c>
      <c r="J2453" s="103">
        <v>1.5547096221501188E-3</v>
      </c>
      <c r="K2453" s="103"/>
      <c r="L2453" s="103">
        <v>4.4999999999999998E-2</v>
      </c>
      <c r="O2453" s="100"/>
    </row>
    <row r="2454" spans="2:15" x14ac:dyDescent="0.2">
      <c r="B2454" s="1">
        <v>2439</v>
      </c>
      <c r="C2454" s="101">
        <f t="shared" ca="1" si="152"/>
        <v>-0.85401286370167129</v>
      </c>
      <c r="D2454" s="101">
        <f t="shared" ca="1" si="153"/>
        <v>0.61081685931385221</v>
      </c>
      <c r="E2454" s="101">
        <f t="shared" ca="1" si="154"/>
        <v>0</v>
      </c>
      <c r="F2454" s="21">
        <f t="shared" ca="1" si="155"/>
        <v>0</v>
      </c>
      <c r="H2454" s="21">
        <v>2439</v>
      </c>
      <c r="I2454" s="102">
        <v>0.66781653972608923</v>
      </c>
      <c r="J2454" s="103">
        <v>1.5598453872393372E-3</v>
      </c>
      <c r="K2454" s="103"/>
      <c r="L2454" s="103">
        <v>4.3400000000000001E-2</v>
      </c>
      <c r="O2454" s="100"/>
    </row>
    <row r="2455" spans="2:15" x14ac:dyDescent="0.2">
      <c r="B2455" s="1">
        <v>2440</v>
      </c>
      <c r="C2455" s="101">
        <f t="shared" ca="1" si="152"/>
        <v>0.8092844439218928</v>
      </c>
      <c r="D2455" s="101">
        <f t="shared" ca="1" si="153"/>
        <v>0.71972343959807872</v>
      </c>
      <c r="E2455" s="101">
        <f t="shared" ca="1" si="154"/>
        <v>0</v>
      </c>
      <c r="F2455" s="21">
        <f t="shared" ca="1" si="155"/>
        <v>0</v>
      </c>
      <c r="H2455" s="21">
        <v>2440</v>
      </c>
      <c r="I2455" s="102">
        <v>0.6678348135894655</v>
      </c>
      <c r="J2455" s="103">
        <v>1.5088579712832547E-3</v>
      </c>
      <c r="K2455" s="103"/>
      <c r="L2455" s="103">
        <v>4.36E-2</v>
      </c>
      <c r="O2455" s="100"/>
    </row>
    <row r="2456" spans="2:15" x14ac:dyDescent="0.2">
      <c r="B2456" s="1">
        <v>2441</v>
      </c>
      <c r="C2456" s="101">
        <f t="shared" ca="1" si="152"/>
        <v>-0.93292383673712498</v>
      </c>
      <c r="D2456" s="101">
        <f t="shared" ca="1" si="153"/>
        <v>0.6060807887701346</v>
      </c>
      <c r="E2456" s="101">
        <f t="shared" ca="1" si="154"/>
        <v>0</v>
      </c>
      <c r="F2456" s="21">
        <f t="shared" ca="1" si="155"/>
        <v>0</v>
      </c>
      <c r="H2456" s="21">
        <v>2441</v>
      </c>
      <c r="I2456" s="102">
        <v>0.66769963744614602</v>
      </c>
      <c r="J2456" s="103">
        <v>1.3843488241622819E-3</v>
      </c>
      <c r="K2456" s="103"/>
      <c r="L2456" s="103">
        <v>4.0800000000000003E-2</v>
      </c>
      <c r="O2456" s="100"/>
    </row>
    <row r="2457" spans="2:15" x14ac:dyDescent="0.2">
      <c r="B2457" s="1">
        <v>2442</v>
      </c>
      <c r="C2457" s="101">
        <f t="shared" ca="1" si="152"/>
        <v>-3.0724037967864208</v>
      </c>
      <c r="D2457" s="101">
        <f t="shared" ca="1" si="153"/>
        <v>0.49076831469978072</v>
      </c>
      <c r="E2457" s="101">
        <f t="shared" ca="1" si="154"/>
        <v>0</v>
      </c>
      <c r="F2457" s="21">
        <f t="shared" ca="1" si="155"/>
        <v>0</v>
      </c>
      <c r="H2457" s="21">
        <v>2442</v>
      </c>
      <c r="I2457" s="102">
        <v>0.66780916915951283</v>
      </c>
      <c r="J2457" s="103">
        <v>1.57278689592886E-3</v>
      </c>
      <c r="K2457" s="103"/>
      <c r="L2457" s="103">
        <v>4.5400000000000003E-2</v>
      </c>
      <c r="O2457" s="100"/>
    </row>
    <row r="2458" spans="2:15" x14ac:dyDescent="0.2">
      <c r="B2458" s="1">
        <v>2443</v>
      </c>
      <c r="C2458" s="101">
        <f t="shared" ca="1" si="152"/>
        <v>0.77544018910609225</v>
      </c>
      <c r="D2458" s="101">
        <f t="shared" ca="1" si="153"/>
        <v>0.71732469079043093</v>
      </c>
      <c r="E2458" s="101">
        <f t="shared" ca="1" si="154"/>
        <v>0</v>
      </c>
      <c r="F2458" s="21">
        <f t="shared" ca="1" si="155"/>
        <v>0</v>
      </c>
      <c r="H2458" s="21">
        <v>2443</v>
      </c>
      <c r="I2458" s="102">
        <v>0.66769182135714022</v>
      </c>
      <c r="J2458" s="103">
        <v>1.2509328511053749E-3</v>
      </c>
      <c r="K2458" s="103"/>
      <c r="L2458" s="103">
        <v>3.9E-2</v>
      </c>
      <c r="O2458" s="100"/>
    </row>
    <row r="2459" spans="2:15" x14ac:dyDescent="0.2">
      <c r="B2459" s="1">
        <v>2444</v>
      </c>
      <c r="C2459" s="101">
        <f t="shared" ca="1" si="152"/>
        <v>1.3070325966667296</v>
      </c>
      <c r="D2459" s="101">
        <f t="shared" ca="1" si="153"/>
        <v>0.75594268834273248</v>
      </c>
      <c r="E2459" s="101">
        <f t="shared" ca="1" si="154"/>
        <v>0</v>
      </c>
      <c r="F2459" s="21">
        <f t="shared" ca="1" si="155"/>
        <v>0</v>
      </c>
      <c r="H2459" s="21">
        <v>2444</v>
      </c>
      <c r="I2459" s="102">
        <v>0.66769563592582148</v>
      </c>
      <c r="J2459" s="103">
        <v>1.2661073563651234E-3</v>
      </c>
      <c r="K2459" s="103"/>
      <c r="L2459" s="103">
        <v>3.9199999999999999E-2</v>
      </c>
      <c r="O2459" s="100"/>
    </row>
    <row r="2460" spans="2:15" x14ac:dyDescent="0.2">
      <c r="B2460" s="1">
        <v>2445</v>
      </c>
      <c r="C2460" s="101">
        <f t="shared" ca="1" si="152"/>
        <v>0.64407716035465978</v>
      </c>
      <c r="D2460" s="101">
        <f t="shared" ca="1" si="153"/>
        <v>0.70808968618504509</v>
      </c>
      <c r="E2460" s="101">
        <f t="shared" ca="1" si="154"/>
        <v>0</v>
      </c>
      <c r="F2460" s="21">
        <f t="shared" ca="1" si="155"/>
        <v>0</v>
      </c>
      <c r="H2460" s="21">
        <v>2445</v>
      </c>
      <c r="I2460" s="102">
        <v>0.66777751219919435</v>
      </c>
      <c r="J2460" s="103">
        <v>1.4395563197406236E-3</v>
      </c>
      <c r="K2460" s="103"/>
      <c r="L2460" s="103">
        <v>4.0599999999999997E-2</v>
      </c>
      <c r="O2460" s="100"/>
    </row>
    <row r="2461" spans="2:15" x14ac:dyDescent="0.2">
      <c r="B2461" s="1">
        <v>2446</v>
      </c>
      <c r="C2461" s="101">
        <f t="shared" ca="1" si="152"/>
        <v>1.022930527233086</v>
      </c>
      <c r="D2461" s="101">
        <f t="shared" ca="1" si="153"/>
        <v>0.73505208412225576</v>
      </c>
      <c r="E2461" s="101">
        <f t="shared" ca="1" si="154"/>
        <v>0</v>
      </c>
      <c r="F2461" s="21">
        <f t="shared" ca="1" si="155"/>
        <v>0</v>
      </c>
      <c r="H2461" s="21">
        <v>2446</v>
      </c>
      <c r="I2461" s="102">
        <v>0.66770034955014967</v>
      </c>
      <c r="J2461" s="103">
        <v>1.4439097569321549E-3</v>
      </c>
      <c r="K2461" s="103"/>
      <c r="L2461" s="103">
        <v>3.9800000000000002E-2</v>
      </c>
      <c r="O2461" s="100"/>
    </row>
    <row r="2462" spans="2:15" x14ac:dyDescent="0.2">
      <c r="B2462" s="1">
        <v>2447</v>
      </c>
      <c r="C2462" s="101">
        <f t="shared" ca="1" si="152"/>
        <v>-0.40011689823050373</v>
      </c>
      <c r="D2462" s="101">
        <f t="shared" ca="1" si="153"/>
        <v>0.63878636715487935</v>
      </c>
      <c r="E2462" s="101">
        <f t="shared" ca="1" si="154"/>
        <v>0</v>
      </c>
      <c r="F2462" s="21">
        <f t="shared" ca="1" si="155"/>
        <v>0</v>
      </c>
      <c r="H2462" s="21">
        <v>2447</v>
      </c>
      <c r="I2462" s="102">
        <v>0.66784062781149933</v>
      </c>
      <c r="J2462" s="103">
        <v>1.32672945725008E-3</v>
      </c>
      <c r="K2462" s="103"/>
      <c r="L2462" s="103">
        <v>4.0800000000000003E-2</v>
      </c>
      <c r="O2462" s="100"/>
    </row>
    <row r="2463" spans="2:15" x14ac:dyDescent="0.2">
      <c r="B2463" s="1">
        <v>2448</v>
      </c>
      <c r="C2463" s="101">
        <f t="shared" ca="1" si="152"/>
        <v>-0.5121728867104447</v>
      </c>
      <c r="D2463" s="101">
        <f t="shared" ca="1" si="153"/>
        <v>0.63176451604168493</v>
      </c>
      <c r="E2463" s="101">
        <f t="shared" ca="1" si="154"/>
        <v>0</v>
      </c>
      <c r="F2463" s="21">
        <f t="shared" ca="1" si="155"/>
        <v>0</v>
      </c>
      <c r="H2463" s="21">
        <v>2448</v>
      </c>
      <c r="I2463" s="102">
        <v>0.66772448833723086</v>
      </c>
      <c r="J2463" s="103">
        <v>1.1307165261355545E-3</v>
      </c>
      <c r="K2463" s="103"/>
      <c r="L2463" s="103">
        <v>4.1200000000000001E-2</v>
      </c>
      <c r="O2463" s="100"/>
    </row>
    <row r="2464" spans="2:15" x14ac:dyDescent="0.2">
      <c r="B2464" s="1">
        <v>2449</v>
      </c>
      <c r="C2464" s="101">
        <f t="shared" ca="1" si="152"/>
        <v>1.9458796382852845</v>
      </c>
      <c r="D2464" s="101">
        <f t="shared" ca="1" si="153"/>
        <v>0.80511271269101181</v>
      </c>
      <c r="E2464" s="101">
        <f t="shared" ca="1" si="154"/>
        <v>1.69127126910118E-2</v>
      </c>
      <c r="F2464" s="21">
        <f t="shared" ca="1" si="155"/>
        <v>1</v>
      </c>
      <c r="H2464" s="21">
        <v>2449</v>
      </c>
      <c r="I2464" s="102">
        <v>0.66775578469563457</v>
      </c>
      <c r="J2464" s="103">
        <v>1.3738361553384028E-3</v>
      </c>
      <c r="K2464" s="103"/>
      <c r="L2464" s="103">
        <v>4.1599999999999998E-2</v>
      </c>
      <c r="O2464" s="100"/>
    </row>
    <row r="2465" spans="2:15" x14ac:dyDescent="0.2">
      <c r="B2465" s="1">
        <v>2450</v>
      </c>
      <c r="C2465" s="101">
        <f t="shared" ca="1" si="152"/>
        <v>-1.8024322928202088</v>
      </c>
      <c r="D2465" s="101">
        <f t="shared" ca="1" si="153"/>
        <v>0.55626445803345048</v>
      </c>
      <c r="E2465" s="101">
        <f t="shared" ca="1" si="154"/>
        <v>0</v>
      </c>
      <c r="F2465" s="21">
        <f t="shared" ca="1" si="155"/>
        <v>0</v>
      </c>
      <c r="H2465" s="21">
        <v>2450</v>
      </c>
      <c r="I2465" s="102">
        <v>0.66758232963888098</v>
      </c>
      <c r="J2465" s="103">
        <v>1.2058825213847567E-3</v>
      </c>
      <c r="K2465" s="103"/>
      <c r="L2465" s="103">
        <v>3.8399999999999997E-2</v>
      </c>
      <c r="O2465" s="100"/>
    </row>
    <row r="2466" spans="2:15" x14ac:dyDescent="0.2">
      <c r="B2466" s="1">
        <v>2451</v>
      </c>
      <c r="C2466" s="101">
        <f t="shared" ca="1" si="152"/>
        <v>0.97673995686496029</v>
      </c>
      <c r="D2466" s="101">
        <f t="shared" ca="1" si="153"/>
        <v>0.73171058518868703</v>
      </c>
      <c r="E2466" s="101">
        <f t="shared" ca="1" si="154"/>
        <v>0</v>
      </c>
      <c r="F2466" s="21">
        <f t="shared" ca="1" si="155"/>
        <v>0</v>
      </c>
      <c r="H2466" s="21">
        <v>2451</v>
      </c>
      <c r="I2466" s="102">
        <v>0.66769765251506974</v>
      </c>
      <c r="J2466" s="103">
        <v>1.169852490058333E-3</v>
      </c>
      <c r="K2466" s="103"/>
      <c r="L2466" s="103">
        <v>3.8199999999999998E-2</v>
      </c>
      <c r="O2466" s="100"/>
    </row>
    <row r="2467" spans="2:15" x14ac:dyDescent="0.2">
      <c r="B2467" s="1">
        <v>2452</v>
      </c>
      <c r="C2467" s="101">
        <f t="shared" ca="1" si="152"/>
        <v>0.13839342118908579</v>
      </c>
      <c r="D2467" s="101">
        <f t="shared" ca="1" si="153"/>
        <v>0.67363569076302732</v>
      </c>
      <c r="E2467" s="101">
        <f t="shared" ca="1" si="154"/>
        <v>0</v>
      </c>
      <c r="F2467" s="21">
        <f t="shared" ca="1" si="155"/>
        <v>0</v>
      </c>
      <c r="H2467" s="21">
        <v>2452</v>
      </c>
      <c r="I2467" s="102">
        <v>0.66769401121383443</v>
      </c>
      <c r="J2467" s="103">
        <v>1.2791498428031893E-3</v>
      </c>
      <c r="K2467" s="103"/>
      <c r="L2467" s="103">
        <v>4.1599999999999998E-2</v>
      </c>
      <c r="O2467" s="100"/>
    </row>
    <row r="2468" spans="2:15" x14ac:dyDescent="0.2">
      <c r="B2468" s="1">
        <v>2453</v>
      </c>
      <c r="C2468" s="101">
        <f t="shared" ca="1" si="152"/>
        <v>6.3293198931045347E-2</v>
      </c>
      <c r="D2468" s="101">
        <f t="shared" ca="1" si="153"/>
        <v>0.66866384575605975</v>
      </c>
      <c r="E2468" s="101">
        <f t="shared" ca="1" si="154"/>
        <v>0</v>
      </c>
      <c r="F2468" s="21">
        <f t="shared" ca="1" si="155"/>
        <v>0</v>
      </c>
      <c r="H2468" s="21">
        <v>2453</v>
      </c>
      <c r="I2468" s="102">
        <v>0.66759293339484704</v>
      </c>
      <c r="J2468" s="103">
        <v>1.1793211804068146E-3</v>
      </c>
      <c r="K2468" s="103"/>
      <c r="L2468" s="103">
        <v>3.6999999999999998E-2</v>
      </c>
      <c r="O2468" s="100"/>
    </row>
    <row r="2469" spans="2:15" x14ac:dyDescent="0.2">
      <c r="B2469" s="1">
        <v>2454</v>
      </c>
      <c r="C2469" s="101">
        <f t="shared" ca="1" si="152"/>
        <v>0.70326629585787592</v>
      </c>
      <c r="D2469" s="101">
        <f t="shared" ca="1" si="153"/>
        <v>0.71223595634384362</v>
      </c>
      <c r="E2469" s="101">
        <f t="shared" ca="1" si="154"/>
        <v>0</v>
      </c>
      <c r="F2469" s="21">
        <f t="shared" ca="1" si="155"/>
        <v>0</v>
      </c>
      <c r="H2469" s="21">
        <v>2454</v>
      </c>
      <c r="I2469" s="102">
        <v>0.66799142767504538</v>
      </c>
      <c r="J2469" s="103">
        <v>1.6889257460733947E-3</v>
      </c>
      <c r="K2469" s="103"/>
      <c r="L2469" s="103">
        <v>4.6199999999999998E-2</v>
      </c>
      <c r="O2469" s="100"/>
    </row>
    <row r="2470" spans="2:15" x14ac:dyDescent="0.2">
      <c r="B2470" s="1">
        <v>2455</v>
      </c>
      <c r="C2470" s="101">
        <f t="shared" ca="1" si="152"/>
        <v>0.26762051184421254</v>
      </c>
      <c r="D2470" s="101">
        <f t="shared" ca="1" si="153"/>
        <v>0.68227757613530182</v>
      </c>
      <c r="E2470" s="101">
        <f t="shared" ca="1" si="154"/>
        <v>0</v>
      </c>
      <c r="F2470" s="21">
        <f t="shared" ca="1" si="155"/>
        <v>0</v>
      </c>
      <c r="H2470" s="21">
        <v>2455</v>
      </c>
      <c r="I2470" s="102">
        <v>0.6675812841862161</v>
      </c>
      <c r="J2470" s="103">
        <v>1.144193647945856E-3</v>
      </c>
      <c r="K2470" s="103"/>
      <c r="L2470" s="103">
        <v>3.78E-2</v>
      </c>
      <c r="O2470" s="100"/>
    </row>
    <row r="2471" spans="2:15" x14ac:dyDescent="0.2">
      <c r="B2471" s="1">
        <v>2456</v>
      </c>
      <c r="C2471" s="101">
        <f t="shared" ca="1" si="152"/>
        <v>-0.21092313366315027</v>
      </c>
      <c r="D2471" s="101">
        <f t="shared" ca="1" si="153"/>
        <v>0.65081953938951109</v>
      </c>
      <c r="E2471" s="101">
        <f t="shared" ca="1" si="154"/>
        <v>0</v>
      </c>
      <c r="F2471" s="21">
        <f t="shared" ca="1" si="155"/>
        <v>0</v>
      </c>
      <c r="H2471" s="21">
        <v>2456</v>
      </c>
      <c r="I2471" s="102">
        <v>0.66777953613285379</v>
      </c>
      <c r="J2471" s="103">
        <v>1.3781996110574461E-3</v>
      </c>
      <c r="K2471" s="103"/>
      <c r="L2471" s="103">
        <v>4.3799999999999999E-2</v>
      </c>
      <c r="O2471" s="100"/>
    </row>
    <row r="2472" spans="2:15" x14ac:dyDescent="0.2">
      <c r="B2472" s="1">
        <v>2457</v>
      </c>
      <c r="C2472" s="101">
        <f t="shared" ca="1" si="152"/>
        <v>3.2852149136460541E-2</v>
      </c>
      <c r="D2472" s="101">
        <f t="shared" ca="1" si="153"/>
        <v>0.66665902987818426</v>
      </c>
      <c r="E2472" s="101">
        <f t="shared" ca="1" si="154"/>
        <v>0</v>
      </c>
      <c r="F2472" s="21">
        <f t="shared" ca="1" si="155"/>
        <v>0</v>
      </c>
      <c r="H2472" s="21">
        <v>2457</v>
      </c>
      <c r="I2472" s="102">
        <v>0.66791418961295679</v>
      </c>
      <c r="J2472" s="103">
        <v>1.6280259183432133E-3</v>
      </c>
      <c r="K2472" s="103"/>
      <c r="L2472" s="103">
        <v>4.5600000000000002E-2</v>
      </c>
      <c r="O2472" s="100"/>
    </row>
    <row r="2473" spans="2:15" x14ac:dyDescent="0.2">
      <c r="B2473" s="1">
        <v>2458</v>
      </c>
      <c r="C2473" s="101">
        <f t="shared" ca="1" si="152"/>
        <v>-1.1349950248219989</v>
      </c>
      <c r="D2473" s="101">
        <f t="shared" ca="1" si="153"/>
        <v>0.59411964527048688</v>
      </c>
      <c r="E2473" s="101">
        <f t="shared" ca="1" si="154"/>
        <v>0</v>
      </c>
      <c r="F2473" s="21">
        <f t="shared" ca="1" si="155"/>
        <v>0</v>
      </c>
      <c r="H2473" s="21">
        <v>2458</v>
      </c>
      <c r="I2473" s="102">
        <v>0.6676530828099877</v>
      </c>
      <c r="J2473" s="103">
        <v>1.2181893593049596E-3</v>
      </c>
      <c r="K2473" s="103"/>
      <c r="L2473" s="103">
        <v>3.8399999999999997E-2</v>
      </c>
      <c r="O2473" s="100"/>
    </row>
    <row r="2474" spans="2:15" x14ac:dyDescent="0.2">
      <c r="B2474" s="1">
        <v>2459</v>
      </c>
      <c r="C2474" s="101">
        <f t="shared" ca="1" si="152"/>
        <v>-0.40082473529885965</v>
      </c>
      <c r="D2474" s="101">
        <f t="shared" ca="1" si="153"/>
        <v>0.63874176737859312</v>
      </c>
      <c r="E2474" s="101">
        <f t="shared" ca="1" si="154"/>
        <v>0</v>
      </c>
      <c r="F2474" s="21">
        <f t="shared" ca="1" si="155"/>
        <v>0</v>
      </c>
      <c r="H2474" s="21">
        <v>2459</v>
      </c>
      <c r="I2474" s="102">
        <v>0.6678173529554291</v>
      </c>
      <c r="J2474" s="103">
        <v>1.4112213976159994E-3</v>
      </c>
      <c r="K2474" s="103"/>
      <c r="L2474" s="103">
        <v>4.0800000000000003E-2</v>
      </c>
      <c r="O2474" s="100"/>
    </row>
    <row r="2475" spans="2:15" x14ac:dyDescent="0.2">
      <c r="B2475" s="1">
        <v>2460</v>
      </c>
      <c r="C2475" s="101">
        <f t="shared" ca="1" si="152"/>
        <v>-1.2634672591481519</v>
      </c>
      <c r="D2475" s="101">
        <f t="shared" ca="1" si="153"/>
        <v>0.58663806807471097</v>
      </c>
      <c r="E2475" s="101">
        <f t="shared" ca="1" si="154"/>
        <v>0</v>
      </c>
      <c r="F2475" s="21">
        <f t="shared" ca="1" si="155"/>
        <v>0</v>
      </c>
      <c r="H2475" s="21">
        <v>2460</v>
      </c>
      <c r="I2475" s="102">
        <v>0.66785363742774984</v>
      </c>
      <c r="J2475" s="103">
        <v>1.4862316626117788E-3</v>
      </c>
      <c r="K2475" s="103"/>
      <c r="L2475" s="103">
        <v>4.7E-2</v>
      </c>
      <c r="O2475" s="100"/>
    </row>
    <row r="2476" spans="2:15" x14ac:dyDescent="0.2">
      <c r="B2476" s="1">
        <v>2461</v>
      </c>
      <c r="C2476" s="101">
        <f t="shared" ca="1" si="152"/>
        <v>0.68343990777077268</v>
      </c>
      <c r="D2476" s="101">
        <f t="shared" ca="1" si="153"/>
        <v>0.71084439680588341</v>
      </c>
      <c r="E2476" s="101">
        <f t="shared" ca="1" si="154"/>
        <v>0</v>
      </c>
      <c r="F2476" s="21">
        <f t="shared" ca="1" si="155"/>
        <v>0</v>
      </c>
      <c r="H2476" s="21">
        <v>2461</v>
      </c>
      <c r="I2476" s="102">
        <v>0.6678065043941338</v>
      </c>
      <c r="J2476" s="103">
        <v>1.4262950794933513E-3</v>
      </c>
      <c r="K2476" s="103"/>
      <c r="L2476" s="103">
        <v>4.3799999999999999E-2</v>
      </c>
      <c r="O2476" s="100"/>
    </row>
    <row r="2477" spans="2:15" x14ac:dyDescent="0.2">
      <c r="B2477" s="1">
        <v>2462</v>
      </c>
      <c r="C2477" s="101">
        <f t="shared" ca="1" si="152"/>
        <v>-0.34433468537961232</v>
      </c>
      <c r="D2477" s="101">
        <f t="shared" ca="1" si="153"/>
        <v>0.64231093328746636</v>
      </c>
      <c r="E2477" s="101">
        <f t="shared" ca="1" si="154"/>
        <v>0</v>
      </c>
      <c r="F2477" s="21">
        <f t="shared" ca="1" si="155"/>
        <v>0</v>
      </c>
      <c r="H2477" s="21">
        <v>2462</v>
      </c>
      <c r="I2477" s="102">
        <v>0.66767858863848406</v>
      </c>
      <c r="J2477" s="103">
        <v>1.2065200779743136E-3</v>
      </c>
      <c r="K2477" s="103"/>
      <c r="L2477" s="103">
        <v>4.0599999999999997E-2</v>
      </c>
      <c r="O2477" s="100"/>
    </row>
    <row r="2478" spans="2:15" x14ac:dyDescent="0.2">
      <c r="B2478" s="1">
        <v>2463</v>
      </c>
      <c r="C2478" s="101">
        <f t="shared" ca="1" si="152"/>
        <v>-4.2160302598164166E-3</v>
      </c>
      <c r="D2478" s="101">
        <f t="shared" ca="1" si="153"/>
        <v>0.66422587263723343</v>
      </c>
      <c r="E2478" s="101">
        <f t="shared" ca="1" si="154"/>
        <v>0</v>
      </c>
      <c r="F2478" s="21">
        <f t="shared" ca="1" si="155"/>
        <v>0</v>
      </c>
      <c r="H2478" s="21">
        <v>2463</v>
      </c>
      <c r="I2478" s="102">
        <v>0.66757129601965171</v>
      </c>
      <c r="J2478" s="103">
        <v>1.0726433338728249E-3</v>
      </c>
      <c r="K2478" s="103"/>
      <c r="L2478" s="103">
        <v>3.4200000000000001E-2</v>
      </c>
      <c r="O2478" s="100"/>
    </row>
    <row r="2479" spans="2:15" x14ac:dyDescent="0.2">
      <c r="B2479" s="1">
        <v>2464</v>
      </c>
      <c r="C2479" s="101">
        <f t="shared" ca="1" si="152"/>
        <v>1.5588100227145618</v>
      </c>
      <c r="D2479" s="101">
        <f t="shared" ca="1" si="153"/>
        <v>0.77495210181892793</v>
      </c>
      <c r="E2479" s="101">
        <f t="shared" ca="1" si="154"/>
        <v>0</v>
      </c>
      <c r="F2479" s="21">
        <f t="shared" ca="1" si="155"/>
        <v>0</v>
      </c>
      <c r="H2479" s="21">
        <v>2464</v>
      </c>
      <c r="I2479" s="102">
        <v>0.66806251278492401</v>
      </c>
      <c r="J2479" s="103">
        <v>1.7681816403999811E-3</v>
      </c>
      <c r="K2479" s="103"/>
      <c r="L2479" s="103">
        <v>4.82E-2</v>
      </c>
      <c r="O2479" s="100"/>
    </row>
    <row r="2480" spans="2:15" x14ac:dyDescent="0.2">
      <c r="B2480" s="1">
        <v>2465</v>
      </c>
      <c r="C2480" s="101">
        <f t="shared" ca="1" si="152"/>
        <v>-2.2075366458944914</v>
      </c>
      <c r="D2480" s="101">
        <f t="shared" ca="1" si="153"/>
        <v>0.53447437892198568</v>
      </c>
      <c r="E2480" s="101">
        <f t="shared" ca="1" si="154"/>
        <v>0</v>
      </c>
      <c r="F2480" s="21">
        <f t="shared" ca="1" si="155"/>
        <v>0</v>
      </c>
      <c r="H2480" s="21">
        <v>2465</v>
      </c>
      <c r="I2480" s="102">
        <v>0.66789584612884578</v>
      </c>
      <c r="J2480" s="103">
        <v>1.5744665442353472E-3</v>
      </c>
      <c r="K2480" s="103"/>
      <c r="L2480" s="103">
        <v>4.3799999999999999E-2</v>
      </c>
      <c r="O2480" s="100"/>
    </row>
    <row r="2481" spans="2:15" x14ac:dyDescent="0.2">
      <c r="B2481" s="1">
        <v>2466</v>
      </c>
      <c r="C2481" s="101">
        <f t="shared" ca="1" si="152"/>
        <v>1.1679040806053766</v>
      </c>
      <c r="D2481" s="101">
        <f t="shared" ca="1" si="153"/>
        <v>0.74563912980745772</v>
      </c>
      <c r="E2481" s="101">
        <f t="shared" ca="1" si="154"/>
        <v>0</v>
      </c>
      <c r="F2481" s="21">
        <f t="shared" ca="1" si="155"/>
        <v>0</v>
      </c>
      <c r="H2481" s="21">
        <v>2466</v>
      </c>
      <c r="I2481" s="102">
        <v>0.66759897988767691</v>
      </c>
      <c r="J2481" s="103">
        <v>1.257296121078976E-3</v>
      </c>
      <c r="K2481" s="103"/>
      <c r="L2481" s="103">
        <v>3.8199999999999998E-2</v>
      </c>
      <c r="O2481" s="100"/>
    </row>
    <row r="2482" spans="2:15" x14ac:dyDescent="0.2">
      <c r="B2482" s="1">
        <v>2467</v>
      </c>
      <c r="C2482" s="101">
        <f t="shared" ca="1" si="152"/>
        <v>-1.8761863846898552</v>
      </c>
      <c r="D2482" s="101">
        <f t="shared" ca="1" si="153"/>
        <v>0.5522322075702869</v>
      </c>
      <c r="E2482" s="101">
        <f t="shared" ca="1" si="154"/>
        <v>0</v>
      </c>
      <c r="F2482" s="21">
        <f t="shared" ca="1" si="155"/>
        <v>0</v>
      </c>
      <c r="H2482" s="21">
        <v>2467</v>
      </c>
      <c r="I2482" s="102">
        <v>0.66773284961249901</v>
      </c>
      <c r="J2482" s="103">
        <v>1.3985508109681931E-3</v>
      </c>
      <c r="K2482" s="103"/>
      <c r="L2482" s="103">
        <v>4.1000000000000002E-2</v>
      </c>
      <c r="O2482" s="100"/>
    </row>
    <row r="2483" spans="2:15" x14ac:dyDescent="0.2">
      <c r="B2483" s="1">
        <v>2468</v>
      </c>
      <c r="C2483" s="101">
        <f t="shared" ca="1" si="152"/>
        <v>-2.6537439477731399</v>
      </c>
      <c r="D2483" s="101">
        <f t="shared" ca="1" si="153"/>
        <v>0.51145996617349387</v>
      </c>
      <c r="E2483" s="101">
        <f t="shared" ca="1" si="154"/>
        <v>0</v>
      </c>
      <c r="F2483" s="21">
        <f t="shared" ca="1" si="155"/>
        <v>0</v>
      </c>
      <c r="H2483" s="21">
        <v>2468</v>
      </c>
      <c r="I2483" s="102">
        <v>0.66771468706258896</v>
      </c>
      <c r="J2483" s="103">
        <v>1.3899236010038027E-3</v>
      </c>
      <c r="K2483" s="103"/>
      <c r="L2483" s="103">
        <v>4.1200000000000001E-2</v>
      </c>
      <c r="O2483" s="100"/>
    </row>
    <row r="2484" spans="2:15" x14ac:dyDescent="0.2">
      <c r="B2484" s="1">
        <v>2469</v>
      </c>
      <c r="C2484" s="101">
        <f t="shared" ca="1" si="152"/>
        <v>-1.9347101760243961</v>
      </c>
      <c r="D2484" s="101">
        <f t="shared" ca="1" si="153"/>
        <v>0.54905343009098817</v>
      </c>
      <c r="E2484" s="101">
        <f t="shared" ca="1" si="154"/>
        <v>0</v>
      </c>
      <c r="F2484" s="21">
        <f t="shared" ca="1" si="155"/>
        <v>0</v>
      </c>
      <c r="H2484" s="21">
        <v>2469</v>
      </c>
      <c r="I2484" s="102">
        <v>0.66782347312545143</v>
      </c>
      <c r="J2484" s="103">
        <v>1.5010769176149138E-3</v>
      </c>
      <c r="K2484" s="103"/>
      <c r="L2484" s="103">
        <v>4.48E-2</v>
      </c>
      <c r="O2484" s="100"/>
    </row>
    <row r="2485" spans="2:15" x14ac:dyDescent="0.2">
      <c r="B2485" s="1">
        <v>2470</v>
      </c>
      <c r="C2485" s="101">
        <f t="shared" ca="1" si="152"/>
        <v>1.1454433126968844</v>
      </c>
      <c r="D2485" s="101">
        <f t="shared" ca="1" si="153"/>
        <v>0.7439889503442888</v>
      </c>
      <c r="E2485" s="101">
        <f t="shared" ca="1" si="154"/>
        <v>0</v>
      </c>
      <c r="F2485" s="21">
        <f t="shared" ca="1" si="155"/>
        <v>0</v>
      </c>
      <c r="H2485" s="21">
        <v>2470</v>
      </c>
      <c r="I2485" s="102">
        <v>0.66774263028912662</v>
      </c>
      <c r="J2485" s="103">
        <v>1.3838134171010417E-3</v>
      </c>
      <c r="K2485" s="103"/>
      <c r="L2485" s="103">
        <v>4.1599999999999998E-2</v>
      </c>
      <c r="O2485" s="100"/>
    </row>
    <row r="2486" spans="2:15" x14ac:dyDescent="0.2">
      <c r="B2486" s="1">
        <v>2471</v>
      </c>
      <c r="C2486" s="101">
        <f t="shared" ca="1" si="152"/>
        <v>-0.18900237933351818</v>
      </c>
      <c r="D2486" s="101">
        <f t="shared" ca="1" si="153"/>
        <v>0.65222832400110131</v>
      </c>
      <c r="E2486" s="101">
        <f t="shared" ca="1" si="154"/>
        <v>0</v>
      </c>
      <c r="F2486" s="21">
        <f t="shared" ca="1" si="155"/>
        <v>0</v>
      </c>
      <c r="H2486" s="21">
        <v>2471</v>
      </c>
      <c r="I2486" s="102">
        <v>0.66771601871031694</v>
      </c>
      <c r="J2486" s="103">
        <v>1.3734024824534139E-3</v>
      </c>
      <c r="K2486" s="103"/>
      <c r="L2486" s="103">
        <v>4.1599999999999998E-2</v>
      </c>
      <c r="O2486" s="100"/>
    </row>
    <row r="2487" spans="2:15" x14ac:dyDescent="0.2">
      <c r="B2487" s="1">
        <v>2472</v>
      </c>
      <c r="C2487" s="101">
        <f t="shared" ca="1" si="152"/>
        <v>-0.21306665275029923</v>
      </c>
      <c r="D2487" s="101">
        <f t="shared" ca="1" si="153"/>
        <v>0.65068194493646259</v>
      </c>
      <c r="E2487" s="101">
        <f t="shared" ca="1" si="154"/>
        <v>0</v>
      </c>
      <c r="F2487" s="21">
        <f t="shared" ca="1" si="155"/>
        <v>0</v>
      </c>
      <c r="H2487" s="21">
        <v>2472</v>
      </c>
      <c r="I2487" s="102">
        <v>0.66767971029698825</v>
      </c>
      <c r="J2487" s="103">
        <v>1.2733839827216932E-3</v>
      </c>
      <c r="K2487" s="103"/>
      <c r="L2487" s="103">
        <v>4.1200000000000001E-2</v>
      </c>
      <c r="O2487" s="100"/>
    </row>
    <row r="2488" spans="2:15" x14ac:dyDescent="0.2">
      <c r="B2488" s="1">
        <v>2473</v>
      </c>
      <c r="C2488" s="101">
        <f t="shared" ca="1" si="152"/>
        <v>0.75868499042149651</v>
      </c>
      <c r="D2488" s="101">
        <f t="shared" ca="1" si="153"/>
        <v>0.71614010799491934</v>
      </c>
      <c r="E2488" s="101">
        <f t="shared" ca="1" si="154"/>
        <v>0</v>
      </c>
      <c r="F2488" s="21">
        <f t="shared" ca="1" si="155"/>
        <v>0</v>
      </c>
      <c r="H2488" s="21">
        <v>2473</v>
      </c>
      <c r="I2488" s="102">
        <v>0.66774677631133728</v>
      </c>
      <c r="J2488" s="103">
        <v>1.4441928458013146E-3</v>
      </c>
      <c r="K2488" s="103"/>
      <c r="L2488" s="103">
        <v>4.48E-2</v>
      </c>
      <c r="O2488" s="100"/>
    </row>
    <row r="2489" spans="2:15" x14ac:dyDescent="0.2">
      <c r="B2489" s="1">
        <v>2474</v>
      </c>
      <c r="C2489" s="101">
        <f t="shared" ca="1" si="152"/>
        <v>-0.19118951614510585</v>
      </c>
      <c r="D2489" s="101">
        <f t="shared" ca="1" si="153"/>
        <v>0.65208762608706128</v>
      </c>
      <c r="E2489" s="101">
        <f t="shared" ca="1" si="154"/>
        <v>0</v>
      </c>
      <c r="F2489" s="21">
        <f t="shared" ca="1" si="155"/>
        <v>0</v>
      </c>
      <c r="H2489" s="21">
        <v>2474</v>
      </c>
      <c r="I2489" s="102">
        <v>0.66782703978014701</v>
      </c>
      <c r="J2489" s="103">
        <v>1.4962057447787834E-3</v>
      </c>
      <c r="K2489" s="103"/>
      <c r="L2489" s="103">
        <v>4.4200000000000003E-2</v>
      </c>
      <c r="O2489" s="100"/>
    </row>
    <row r="2490" spans="2:15" x14ac:dyDescent="0.2">
      <c r="B2490" s="1">
        <v>2475</v>
      </c>
      <c r="C2490" s="101">
        <f t="shared" ca="1" si="152"/>
        <v>0.65965899038386999</v>
      </c>
      <c r="D2490" s="101">
        <f t="shared" ca="1" si="153"/>
        <v>0.70917886561986787</v>
      </c>
      <c r="E2490" s="101">
        <f t="shared" ca="1" si="154"/>
        <v>0</v>
      </c>
      <c r="F2490" s="21">
        <f t="shared" ca="1" si="155"/>
        <v>0</v>
      </c>
      <c r="H2490" s="21">
        <v>2475</v>
      </c>
      <c r="I2490" s="102">
        <v>0.66788781020926868</v>
      </c>
      <c r="J2490" s="103">
        <v>1.4986305943845988E-3</v>
      </c>
      <c r="K2490" s="103"/>
      <c r="L2490" s="103">
        <v>4.36E-2</v>
      </c>
      <c r="O2490" s="100"/>
    </row>
    <row r="2491" spans="2:15" x14ac:dyDescent="0.2">
      <c r="B2491" s="1">
        <v>2476</v>
      </c>
      <c r="C2491" s="101">
        <f t="shared" ca="1" si="152"/>
        <v>0.54388346424845235</v>
      </c>
      <c r="D2491" s="101">
        <f t="shared" ca="1" si="153"/>
        <v>0.70112593546111779</v>
      </c>
      <c r="E2491" s="101">
        <f t="shared" ca="1" si="154"/>
        <v>0</v>
      </c>
      <c r="F2491" s="21">
        <f t="shared" ca="1" si="155"/>
        <v>0</v>
      </c>
      <c r="H2491" s="21">
        <v>2476</v>
      </c>
      <c r="I2491" s="102">
        <v>0.66774416527345526</v>
      </c>
      <c r="J2491" s="103">
        <v>1.3802551419448098E-3</v>
      </c>
      <c r="K2491" s="103"/>
      <c r="L2491" s="103">
        <v>3.9E-2</v>
      </c>
      <c r="O2491" s="100"/>
    </row>
    <row r="2492" spans="2:15" x14ac:dyDescent="0.2">
      <c r="B2492" s="1">
        <v>2477</v>
      </c>
      <c r="C2492" s="101">
        <f t="shared" ca="1" si="152"/>
        <v>0.92856620336009088</v>
      </c>
      <c r="D2492" s="101">
        <f t="shared" ca="1" si="153"/>
        <v>0.72824180111791859</v>
      </c>
      <c r="E2492" s="101">
        <f t="shared" ca="1" si="154"/>
        <v>0</v>
      </c>
      <c r="F2492" s="21">
        <f t="shared" ca="1" si="155"/>
        <v>0</v>
      </c>
      <c r="H2492" s="21">
        <v>2477</v>
      </c>
      <c r="I2492" s="102">
        <v>0.66781113948580484</v>
      </c>
      <c r="J2492" s="103">
        <v>1.515447449943329E-3</v>
      </c>
      <c r="K2492" s="103"/>
      <c r="L2492" s="103">
        <v>4.2000000000000003E-2</v>
      </c>
      <c r="O2492" s="100"/>
    </row>
    <row r="2493" spans="2:15" x14ac:dyDescent="0.2">
      <c r="B2493" s="1">
        <v>2478</v>
      </c>
      <c r="C2493" s="101">
        <f t="shared" ca="1" si="152"/>
        <v>-0.17409589694078684</v>
      </c>
      <c r="D2493" s="101">
        <f t="shared" ca="1" si="153"/>
        <v>0.65318806281345598</v>
      </c>
      <c r="E2493" s="101">
        <f t="shared" ca="1" si="154"/>
        <v>0</v>
      </c>
      <c r="F2493" s="21">
        <f t="shared" ca="1" si="155"/>
        <v>0</v>
      </c>
      <c r="H2493" s="21">
        <v>2478</v>
      </c>
      <c r="I2493" s="102">
        <v>0.6677893378298807</v>
      </c>
      <c r="J2493" s="103">
        <v>1.5333569123550249E-3</v>
      </c>
      <c r="K2493" s="103"/>
      <c r="L2493" s="103">
        <v>4.3999999999999997E-2</v>
      </c>
      <c r="O2493" s="100"/>
    </row>
    <row r="2494" spans="2:15" x14ac:dyDescent="0.2">
      <c r="B2494" s="1">
        <v>2479</v>
      </c>
      <c r="C2494" s="101">
        <f t="shared" ca="1" si="152"/>
        <v>-0.42798929885579162</v>
      </c>
      <c r="D2494" s="101">
        <f t="shared" ca="1" si="153"/>
        <v>0.63703251882356349</v>
      </c>
      <c r="E2494" s="101">
        <f t="shared" ca="1" si="154"/>
        <v>0</v>
      </c>
      <c r="F2494" s="21">
        <f t="shared" ca="1" si="155"/>
        <v>0</v>
      </c>
      <c r="H2494" s="21">
        <v>2479</v>
      </c>
      <c r="I2494" s="102">
        <v>0.66766294692218175</v>
      </c>
      <c r="J2494" s="103">
        <v>1.2449242224826899E-3</v>
      </c>
      <c r="K2494" s="103"/>
      <c r="L2494" s="103">
        <v>3.6600000000000001E-2</v>
      </c>
      <c r="O2494" s="100"/>
    </row>
    <row r="2495" spans="2:15" x14ac:dyDescent="0.2">
      <c r="B2495" s="1">
        <v>2480</v>
      </c>
      <c r="C2495" s="101">
        <f t="shared" ca="1" si="152"/>
        <v>-0.57496971094529825</v>
      </c>
      <c r="D2495" s="101">
        <f t="shared" ca="1" si="153"/>
        <v>0.62786323338571381</v>
      </c>
      <c r="E2495" s="101">
        <f t="shared" ca="1" si="154"/>
        <v>0</v>
      </c>
      <c r="F2495" s="21">
        <f t="shared" ca="1" si="155"/>
        <v>0</v>
      </c>
      <c r="H2495" s="21">
        <v>2480</v>
      </c>
      <c r="I2495" s="102">
        <v>0.66775685211784663</v>
      </c>
      <c r="J2495" s="103">
        <v>1.287635991152528E-3</v>
      </c>
      <c r="K2495" s="103"/>
      <c r="L2495" s="103">
        <v>4.4200000000000003E-2</v>
      </c>
      <c r="O2495" s="100"/>
    </row>
    <row r="2496" spans="2:15" x14ac:dyDescent="0.2">
      <c r="B2496" s="1">
        <v>2481</v>
      </c>
      <c r="C2496" s="101">
        <f t="shared" ca="1" si="152"/>
        <v>-4.1240365388589204E-2</v>
      </c>
      <c r="D2496" s="101">
        <f t="shared" ca="1" si="153"/>
        <v>0.66180445808248689</v>
      </c>
      <c r="E2496" s="101">
        <f t="shared" ca="1" si="154"/>
        <v>0</v>
      </c>
      <c r="F2496" s="21">
        <f t="shared" ca="1" si="155"/>
        <v>0</v>
      </c>
      <c r="H2496" s="21">
        <v>2481</v>
      </c>
      <c r="I2496" s="102">
        <v>0.66787688487836472</v>
      </c>
      <c r="J2496" s="103">
        <v>1.3966277114011597E-3</v>
      </c>
      <c r="K2496" s="103"/>
      <c r="L2496" s="103">
        <v>4.4400000000000002E-2</v>
      </c>
      <c r="O2496" s="100"/>
    </row>
    <row r="2497" spans="2:15" x14ac:dyDescent="0.2">
      <c r="B2497" s="1">
        <v>2482</v>
      </c>
      <c r="C2497" s="101">
        <f t="shared" ca="1" si="152"/>
        <v>0.91116559561625043</v>
      </c>
      <c r="D2497" s="101">
        <f t="shared" ca="1" si="153"/>
        <v>0.72699290516251036</v>
      </c>
      <c r="E2497" s="101">
        <f t="shared" ca="1" si="154"/>
        <v>0</v>
      </c>
      <c r="F2497" s="21">
        <f t="shared" ca="1" si="155"/>
        <v>0</v>
      </c>
      <c r="H2497" s="21">
        <v>2482</v>
      </c>
      <c r="I2497" s="102">
        <v>0.66774050844648458</v>
      </c>
      <c r="J2497" s="103">
        <v>1.4004428109649699E-3</v>
      </c>
      <c r="K2497" s="103"/>
      <c r="L2497" s="103">
        <v>4.2599999999999999E-2</v>
      </c>
      <c r="O2497" s="100"/>
    </row>
    <row r="2498" spans="2:15" x14ac:dyDescent="0.2">
      <c r="B2498" s="1">
        <v>2483</v>
      </c>
      <c r="C2498" s="101">
        <f t="shared" ca="1" si="152"/>
        <v>0.71434980576458307</v>
      </c>
      <c r="D2498" s="101">
        <f t="shared" ca="1" si="153"/>
        <v>0.71301506411491278</v>
      </c>
      <c r="E2498" s="101">
        <f t="shared" ca="1" si="154"/>
        <v>0</v>
      </c>
      <c r="F2498" s="21">
        <f t="shared" ca="1" si="155"/>
        <v>0</v>
      </c>
      <c r="H2498" s="21">
        <v>2483</v>
      </c>
      <c r="I2498" s="102">
        <v>0.66762544451331418</v>
      </c>
      <c r="J2498" s="103">
        <v>1.1856616489480487E-3</v>
      </c>
      <c r="K2498" s="103"/>
      <c r="L2498" s="103">
        <v>3.7600000000000001E-2</v>
      </c>
      <c r="O2498" s="100"/>
    </row>
    <row r="2499" spans="2:15" x14ac:dyDescent="0.2">
      <c r="B2499" s="1">
        <v>2484</v>
      </c>
      <c r="C2499" s="101">
        <f t="shared" ca="1" si="152"/>
        <v>-1.3732981009499723</v>
      </c>
      <c r="D2499" s="101">
        <f t="shared" ca="1" si="153"/>
        <v>0.58031681706728122</v>
      </c>
      <c r="E2499" s="101">
        <f t="shared" ca="1" si="154"/>
        <v>0</v>
      </c>
      <c r="F2499" s="21">
        <f t="shared" ca="1" si="155"/>
        <v>0</v>
      </c>
      <c r="H2499" s="21">
        <v>2484</v>
      </c>
      <c r="I2499" s="102">
        <v>0.66763404080140099</v>
      </c>
      <c r="J2499" s="103">
        <v>1.2839242675419661E-3</v>
      </c>
      <c r="K2499" s="103"/>
      <c r="L2499" s="103">
        <v>3.7400000000000003E-2</v>
      </c>
      <c r="O2499" s="100"/>
    </row>
    <row r="2500" spans="2:15" x14ac:dyDescent="0.2">
      <c r="B2500" s="1">
        <v>2485</v>
      </c>
      <c r="C2500" s="101">
        <f t="shared" ca="1" si="152"/>
        <v>0.90101793903268401</v>
      </c>
      <c r="D2500" s="101">
        <f t="shared" ca="1" si="153"/>
        <v>0.72626556512757001</v>
      </c>
      <c r="E2500" s="101">
        <f t="shared" ca="1" si="154"/>
        <v>0</v>
      </c>
      <c r="F2500" s="21">
        <f t="shared" ca="1" si="155"/>
        <v>0</v>
      </c>
      <c r="H2500" s="21">
        <v>2485</v>
      </c>
      <c r="I2500" s="102">
        <v>0.66756712575100396</v>
      </c>
      <c r="J2500" s="103">
        <v>1.2262673288687838E-3</v>
      </c>
      <c r="K2500" s="103"/>
      <c r="L2500" s="103">
        <v>3.7400000000000003E-2</v>
      </c>
      <c r="O2500" s="100"/>
    </row>
    <row r="2501" spans="2:15" x14ac:dyDescent="0.2">
      <c r="B2501" s="1">
        <v>2486</v>
      </c>
      <c r="C2501" s="101">
        <f t="shared" ca="1" si="152"/>
        <v>-1.5775150585259541</v>
      </c>
      <c r="D2501" s="101">
        <f t="shared" ca="1" si="153"/>
        <v>0.56874373754313468</v>
      </c>
      <c r="E2501" s="101">
        <f t="shared" ca="1" si="154"/>
        <v>0</v>
      </c>
      <c r="F2501" s="21">
        <f t="shared" ca="1" si="155"/>
        <v>0</v>
      </c>
      <c r="H2501" s="21">
        <v>2486</v>
      </c>
      <c r="I2501" s="102">
        <v>0.66773002410065474</v>
      </c>
      <c r="J2501" s="103">
        <v>1.4245083738139289E-3</v>
      </c>
      <c r="K2501" s="103"/>
      <c r="L2501" s="103">
        <v>4.2200000000000001E-2</v>
      </c>
      <c r="O2501" s="100"/>
    </row>
    <row r="2502" spans="2:15" x14ac:dyDescent="0.2">
      <c r="B2502" s="1">
        <v>2487</v>
      </c>
      <c r="C2502" s="101">
        <f t="shared" ca="1" si="152"/>
        <v>2.4472638929720754</v>
      </c>
      <c r="D2502" s="101">
        <f t="shared" ca="1" si="153"/>
        <v>0.84593243384309569</v>
      </c>
      <c r="E2502" s="101">
        <f t="shared" ca="1" si="154"/>
        <v>5.7732433843095676E-2</v>
      </c>
      <c r="F2502" s="21">
        <f t="shared" ca="1" si="155"/>
        <v>1</v>
      </c>
      <c r="H2502" s="21">
        <v>2487</v>
      </c>
      <c r="I2502" s="102">
        <v>0.66770957732048108</v>
      </c>
      <c r="J2502" s="103">
        <v>1.1640922567275266E-3</v>
      </c>
      <c r="K2502" s="103"/>
      <c r="L2502" s="103">
        <v>3.8600000000000002E-2</v>
      </c>
      <c r="O2502" s="100"/>
    </row>
    <row r="2503" spans="2:15" x14ac:dyDescent="0.2">
      <c r="B2503" s="1">
        <v>2488</v>
      </c>
      <c r="C2503" s="101">
        <f t="shared" ca="1" si="152"/>
        <v>0.2470648665616326</v>
      </c>
      <c r="D2503" s="101">
        <f t="shared" ca="1" si="153"/>
        <v>0.68089556706912591</v>
      </c>
      <c r="E2503" s="101">
        <f t="shared" ca="1" si="154"/>
        <v>0</v>
      </c>
      <c r="F2503" s="21">
        <f t="shared" ca="1" si="155"/>
        <v>0</v>
      </c>
      <c r="H2503" s="21">
        <v>2488</v>
      </c>
      <c r="I2503" s="102">
        <v>0.6678371976285683</v>
      </c>
      <c r="J2503" s="103">
        <v>1.5287027212251534E-3</v>
      </c>
      <c r="K2503" s="103"/>
      <c r="L2503" s="103">
        <v>4.4600000000000001E-2</v>
      </c>
      <c r="O2503" s="100"/>
    </row>
    <row r="2504" spans="2:15" x14ac:dyDescent="0.2">
      <c r="B2504" s="1">
        <v>2489</v>
      </c>
      <c r="C2504" s="101">
        <f t="shared" ca="1" si="152"/>
        <v>-1.1643021332408918</v>
      </c>
      <c r="D2504" s="101">
        <f t="shared" ca="1" si="153"/>
        <v>0.59240458973842569</v>
      </c>
      <c r="E2504" s="101">
        <f t="shared" ca="1" si="154"/>
        <v>0</v>
      </c>
      <c r="F2504" s="21">
        <f t="shared" ca="1" si="155"/>
        <v>0</v>
      </c>
      <c r="H2504" s="21">
        <v>2489</v>
      </c>
      <c r="I2504" s="102">
        <v>0.66780481703326189</v>
      </c>
      <c r="J2504" s="103">
        <v>1.4409325292099118E-3</v>
      </c>
      <c r="K2504" s="103"/>
      <c r="L2504" s="103">
        <v>4.3799999999999999E-2</v>
      </c>
      <c r="O2504" s="100"/>
    </row>
    <row r="2505" spans="2:15" x14ac:dyDescent="0.2">
      <c r="B2505" s="1">
        <v>2490</v>
      </c>
      <c r="C2505" s="101">
        <f t="shared" ca="1" si="152"/>
        <v>0.41416483741834098</v>
      </c>
      <c r="D2505" s="101">
        <f t="shared" ca="1" si="153"/>
        <v>0.6922117491757942</v>
      </c>
      <c r="E2505" s="101">
        <f t="shared" ca="1" si="154"/>
        <v>0</v>
      </c>
      <c r="F2505" s="21">
        <f t="shared" ca="1" si="155"/>
        <v>0</v>
      </c>
      <c r="H2505" s="21">
        <v>2490</v>
      </c>
      <c r="I2505" s="102">
        <v>0.66762106678083877</v>
      </c>
      <c r="J2505" s="103">
        <v>1.1926643700591398E-3</v>
      </c>
      <c r="K2505" s="103"/>
      <c r="L2505" s="103">
        <v>3.8800000000000001E-2</v>
      </c>
      <c r="O2505" s="100"/>
    </row>
    <row r="2506" spans="2:15" x14ac:dyDescent="0.2">
      <c r="B2506" s="1">
        <v>2491</v>
      </c>
      <c r="C2506" s="101">
        <f t="shared" ca="1" si="152"/>
        <v>1.7082419356412748</v>
      </c>
      <c r="D2506" s="101">
        <f t="shared" ca="1" si="153"/>
        <v>0.78645962436267025</v>
      </c>
      <c r="E2506" s="101">
        <f t="shared" ca="1" si="154"/>
        <v>0</v>
      </c>
      <c r="F2506" s="21">
        <f t="shared" ca="1" si="155"/>
        <v>0</v>
      </c>
      <c r="H2506" s="21">
        <v>2491</v>
      </c>
      <c r="I2506" s="102">
        <v>0.66783362582234118</v>
      </c>
      <c r="J2506" s="103">
        <v>1.3960823483885609E-3</v>
      </c>
      <c r="K2506" s="103"/>
      <c r="L2506" s="103">
        <v>4.58E-2</v>
      </c>
      <c r="O2506" s="100"/>
    </row>
    <row r="2507" spans="2:15" x14ac:dyDescent="0.2">
      <c r="B2507" s="1">
        <v>2492</v>
      </c>
      <c r="C2507" s="101">
        <f t="shared" ca="1" si="152"/>
        <v>-0.48737387923731329</v>
      </c>
      <c r="D2507" s="101">
        <f t="shared" ca="1" si="153"/>
        <v>0.63331183456637685</v>
      </c>
      <c r="E2507" s="101">
        <f t="shared" ca="1" si="154"/>
        <v>0</v>
      </c>
      <c r="F2507" s="21">
        <f t="shared" ca="1" si="155"/>
        <v>0</v>
      </c>
      <c r="H2507" s="21">
        <v>2492</v>
      </c>
      <c r="I2507" s="102">
        <v>0.66769636838347735</v>
      </c>
      <c r="J2507" s="103">
        <v>1.3282871946277699E-3</v>
      </c>
      <c r="K2507" s="103"/>
      <c r="L2507" s="103">
        <v>3.8800000000000001E-2</v>
      </c>
      <c r="O2507" s="100"/>
    </row>
    <row r="2508" spans="2:15" x14ac:dyDescent="0.2">
      <c r="B2508" s="1">
        <v>2493</v>
      </c>
      <c r="C2508" s="101">
        <f t="shared" ca="1" si="152"/>
        <v>-0.46072030734074032</v>
      </c>
      <c r="D2508" s="101">
        <f t="shared" ca="1" si="153"/>
        <v>0.63497909313703726</v>
      </c>
      <c r="E2508" s="101">
        <f t="shared" ca="1" si="154"/>
        <v>0</v>
      </c>
      <c r="F2508" s="21">
        <f t="shared" ca="1" si="155"/>
        <v>0</v>
      </c>
      <c r="H2508" s="21">
        <v>2493</v>
      </c>
      <c r="I2508" s="102">
        <v>0.66775107769711861</v>
      </c>
      <c r="J2508" s="103">
        <v>1.3027550627020632E-3</v>
      </c>
      <c r="K2508" s="103"/>
      <c r="L2508" s="103">
        <v>4.2000000000000003E-2</v>
      </c>
      <c r="O2508" s="100"/>
    </row>
    <row r="2509" spans="2:15" x14ac:dyDescent="0.2">
      <c r="B2509" s="1">
        <v>2494</v>
      </c>
      <c r="C2509" s="101">
        <f t="shared" ca="1" si="152"/>
        <v>-0.15410145971944414</v>
      </c>
      <c r="D2509" s="101">
        <f t="shared" ca="1" si="153"/>
        <v>0.65447760237311137</v>
      </c>
      <c r="E2509" s="101">
        <f t="shared" ca="1" si="154"/>
        <v>0</v>
      </c>
      <c r="F2509" s="21">
        <f t="shared" ca="1" si="155"/>
        <v>0</v>
      </c>
      <c r="H2509" s="21">
        <v>2494</v>
      </c>
      <c r="I2509" s="102">
        <v>0.66778832107751651</v>
      </c>
      <c r="J2509" s="103">
        <v>1.5749272575135253E-3</v>
      </c>
      <c r="K2509" s="103"/>
      <c r="L2509" s="103">
        <v>4.3200000000000002E-2</v>
      </c>
      <c r="O2509" s="100"/>
    </row>
    <row r="2510" spans="2:15" x14ac:dyDescent="0.2">
      <c r="B2510" s="1">
        <v>2495</v>
      </c>
      <c r="C2510" s="101">
        <f t="shared" ca="1" si="152"/>
        <v>0.97166239733385973</v>
      </c>
      <c r="D2510" s="101">
        <f t="shared" ca="1" si="153"/>
        <v>0.73134419443337906</v>
      </c>
      <c r="E2510" s="101">
        <f t="shared" ca="1" si="154"/>
        <v>0</v>
      </c>
      <c r="F2510" s="21">
        <f t="shared" ca="1" si="155"/>
        <v>0</v>
      </c>
      <c r="H2510" s="21">
        <v>2495</v>
      </c>
      <c r="I2510" s="102">
        <v>0.66771595348997248</v>
      </c>
      <c r="J2510" s="103">
        <v>1.2401251211533665E-3</v>
      </c>
      <c r="K2510" s="103"/>
      <c r="L2510" s="103">
        <v>4.02E-2</v>
      </c>
      <c r="O2510" s="100"/>
    </row>
    <row r="2511" spans="2:15" x14ac:dyDescent="0.2">
      <c r="B2511" s="1">
        <v>2496</v>
      </c>
      <c r="C2511" s="101">
        <f t="shared" ca="1" si="152"/>
        <v>-0.63942452984643039</v>
      </c>
      <c r="D2511" s="101">
        <f t="shared" ca="1" si="153"/>
        <v>0.62388399942390116</v>
      </c>
      <c r="E2511" s="101">
        <f t="shared" ca="1" si="154"/>
        <v>0</v>
      </c>
      <c r="F2511" s="21">
        <f t="shared" ca="1" si="155"/>
        <v>0</v>
      </c>
      <c r="H2511" s="21">
        <v>2496</v>
      </c>
      <c r="I2511" s="102">
        <v>0.66781989142521858</v>
      </c>
      <c r="J2511" s="103">
        <v>1.5634589715921802E-3</v>
      </c>
      <c r="K2511" s="103"/>
      <c r="L2511" s="103">
        <v>4.5999999999999999E-2</v>
      </c>
      <c r="O2511" s="100"/>
    </row>
    <row r="2512" spans="2:15" x14ac:dyDescent="0.2">
      <c r="B2512" s="1">
        <v>2497</v>
      </c>
      <c r="C2512" s="101">
        <f t="shared" ca="1" si="152"/>
        <v>-0.23137453558757695</v>
      </c>
      <c r="D2512" s="101">
        <f t="shared" ref="D2512:D2575" ca="1" si="156">S0*EXP((μ-0.5*σ*σ)*T+σ*SQRT(T)*$C2512)</f>
        <v>0.64950792981403638</v>
      </c>
      <c r="E2512" s="101">
        <f t="shared" ref="E2512:E2575" ca="1" si="157">MAX(0,CP*(D2512-K))</f>
        <v>0</v>
      </c>
      <c r="F2512" s="21">
        <f t="shared" ref="F2512:F2575" ca="1" si="158">(CP*(D2512-K)&gt;0)*1</f>
        <v>0</v>
      </c>
      <c r="H2512" s="21">
        <v>2497</v>
      </c>
      <c r="I2512" s="102">
        <v>0.66767234178743529</v>
      </c>
      <c r="J2512" s="103">
        <v>1.3511480371374235E-3</v>
      </c>
      <c r="K2512" s="103"/>
      <c r="L2512" s="103">
        <v>3.9199999999999999E-2</v>
      </c>
      <c r="O2512" s="100"/>
    </row>
    <row r="2513" spans="1:15" x14ac:dyDescent="0.2">
      <c r="B2513" s="1">
        <v>2498</v>
      </c>
      <c r="C2513" s="101">
        <f t="shared" ca="1" si="152"/>
        <v>0.86784058125770513</v>
      </c>
      <c r="D2513" s="101">
        <f t="shared" ca="1" si="156"/>
        <v>0.72389263093127909</v>
      </c>
      <c r="E2513" s="101">
        <f t="shared" ca="1" si="157"/>
        <v>0</v>
      </c>
      <c r="F2513" s="21">
        <f t="shared" ca="1" si="158"/>
        <v>0</v>
      </c>
      <c r="H2513" s="21">
        <v>2498</v>
      </c>
      <c r="I2513" s="102">
        <v>0.66750296146494936</v>
      </c>
      <c r="J2513" s="103">
        <v>1.0284562080609331E-3</v>
      </c>
      <c r="K2513" s="103"/>
      <c r="L2513" s="103">
        <v>3.78E-2</v>
      </c>
      <c r="O2513" s="100"/>
    </row>
    <row r="2514" spans="1:15" x14ac:dyDescent="0.2">
      <c r="B2514" s="1">
        <v>2499</v>
      </c>
      <c r="C2514" s="101">
        <f t="shared" ca="1" si="152"/>
        <v>-0.28854919707469595</v>
      </c>
      <c r="D2514" s="101">
        <f t="shared" ca="1" si="156"/>
        <v>0.6458551552303422</v>
      </c>
      <c r="E2514" s="101">
        <f t="shared" ca="1" si="157"/>
        <v>0</v>
      </c>
      <c r="F2514" s="21">
        <f t="shared" ca="1" si="158"/>
        <v>0</v>
      </c>
      <c r="H2514" s="21">
        <v>2499</v>
      </c>
      <c r="I2514" s="102">
        <v>0.66755593481895203</v>
      </c>
      <c r="J2514" s="103">
        <v>1.1988400615520593E-3</v>
      </c>
      <c r="K2514" s="103"/>
      <c r="L2514" s="103">
        <v>3.4599999999999999E-2</v>
      </c>
      <c r="O2514" s="100"/>
    </row>
    <row r="2515" spans="1:15" x14ac:dyDescent="0.2">
      <c r="B2515" s="1">
        <v>2500</v>
      </c>
      <c r="C2515" s="105">
        <f t="shared" ca="1" si="152"/>
        <v>-1.3512828768871885</v>
      </c>
      <c r="D2515" s="101">
        <f t="shared" ca="1" si="156"/>
        <v>0.58157840873336353</v>
      </c>
      <c r="E2515" s="101">
        <f t="shared" ca="1" si="157"/>
        <v>0</v>
      </c>
      <c r="F2515" s="21">
        <f t="shared" ca="1" si="158"/>
        <v>0</v>
      </c>
      <c r="H2515" s="21">
        <v>2500</v>
      </c>
      <c r="I2515" s="102">
        <v>0.66773878600298708</v>
      </c>
      <c r="J2515" s="103">
        <v>1.3457440714636367E-3</v>
      </c>
      <c r="K2515" s="103"/>
      <c r="L2515" s="103">
        <v>4.0599999999999997E-2</v>
      </c>
      <c r="O2515" s="100"/>
    </row>
    <row r="2516" spans="1:15" x14ac:dyDescent="0.2">
      <c r="A2516" s="1" t="s">
        <v>12</v>
      </c>
      <c r="B2516" s="1">
        <v>2501</v>
      </c>
      <c r="C2516" s="101" cm="1">
        <f t="array" aca="1" ref="C2516:C5015" ca="1">-1*C16:C2515</f>
        <v>-0.95369386547886004</v>
      </c>
      <c r="D2516" s="101">
        <f t="shared" ca="1" si="156"/>
        <v>0.60484033179724994</v>
      </c>
      <c r="E2516" s="101">
        <f t="shared" ca="1" si="157"/>
        <v>0</v>
      </c>
      <c r="F2516" s="21">
        <f t="shared" ca="1" si="158"/>
        <v>0</v>
      </c>
      <c r="H2516" s="21">
        <v>2501</v>
      </c>
      <c r="I2516" s="102">
        <v>0.66780563760753675</v>
      </c>
      <c r="J2516" s="103">
        <v>1.374925409845753E-3</v>
      </c>
      <c r="K2516" s="103"/>
      <c r="L2516" s="103">
        <v>4.3799999999999999E-2</v>
      </c>
      <c r="O2516" s="100"/>
    </row>
    <row r="2517" spans="1:15" x14ac:dyDescent="0.2">
      <c r="B2517" s="1">
        <v>2502</v>
      </c>
      <c r="C2517" s="101">
        <f ca="1"/>
        <v>-1.7054388950905708</v>
      </c>
      <c r="D2517" s="101">
        <f t="shared" ca="1" si="156"/>
        <v>0.56161209123435307</v>
      </c>
      <c r="E2517" s="101">
        <f t="shared" ca="1" si="157"/>
        <v>0</v>
      </c>
      <c r="F2517" s="21">
        <f t="shared" ca="1" si="158"/>
        <v>0</v>
      </c>
      <c r="H2517" s="21">
        <v>2502</v>
      </c>
      <c r="I2517" s="102">
        <v>0.66769142348659383</v>
      </c>
      <c r="J2517" s="103">
        <v>1.3686778560437715E-3</v>
      </c>
      <c r="K2517" s="103"/>
      <c r="L2517" s="103">
        <v>4.3200000000000002E-2</v>
      </c>
      <c r="O2517" s="100"/>
    </row>
    <row r="2518" spans="1:15" x14ac:dyDescent="0.2">
      <c r="B2518" s="1">
        <v>2503</v>
      </c>
      <c r="C2518" s="101">
        <f ca="1"/>
        <v>-2.2761156087665149</v>
      </c>
      <c r="D2518" s="101">
        <f t="shared" ca="1" si="156"/>
        <v>0.53087101112704471</v>
      </c>
      <c r="E2518" s="101">
        <f t="shared" ca="1" si="157"/>
        <v>0</v>
      </c>
      <c r="F2518" s="21">
        <f t="shared" ca="1" si="158"/>
        <v>0</v>
      </c>
      <c r="H2518" s="21">
        <v>2503</v>
      </c>
      <c r="I2518" s="102">
        <v>0.66770929092068565</v>
      </c>
      <c r="J2518" s="103">
        <v>1.2861423399417144E-3</v>
      </c>
      <c r="K2518" s="103"/>
      <c r="L2518" s="103">
        <v>4.0399999999999998E-2</v>
      </c>
      <c r="O2518" s="100"/>
    </row>
    <row r="2519" spans="1:15" x14ac:dyDescent="0.2">
      <c r="B2519" s="1">
        <v>2504</v>
      </c>
      <c r="C2519" s="101">
        <f ca="1"/>
        <v>0.81344331265599379</v>
      </c>
      <c r="D2519" s="101">
        <f t="shared" ca="1" si="156"/>
        <v>0.72001875686819572</v>
      </c>
      <c r="E2519" s="101">
        <f t="shared" ca="1" si="157"/>
        <v>0</v>
      </c>
      <c r="F2519" s="21">
        <f t="shared" ca="1" si="158"/>
        <v>0</v>
      </c>
      <c r="H2519" s="21">
        <v>2504</v>
      </c>
      <c r="I2519" s="102">
        <v>0.66751505257400867</v>
      </c>
      <c r="J2519" s="103">
        <v>1.0192041953724291E-3</v>
      </c>
      <c r="K2519" s="103"/>
      <c r="L2519" s="103">
        <v>3.2199999999999999E-2</v>
      </c>
      <c r="O2519" s="100"/>
    </row>
    <row r="2520" spans="1:15" x14ac:dyDescent="0.2">
      <c r="B2520" s="1">
        <v>2505</v>
      </c>
      <c r="C2520" s="101">
        <f ca="1"/>
        <v>-0.53037559266844247</v>
      </c>
      <c r="D2520" s="101">
        <f t="shared" ca="1" si="156"/>
        <v>0.63063117596651308</v>
      </c>
      <c r="E2520" s="101">
        <f t="shared" ca="1" si="157"/>
        <v>0</v>
      </c>
      <c r="F2520" s="21">
        <f t="shared" ca="1" si="158"/>
        <v>0</v>
      </c>
      <c r="H2520" s="21">
        <v>2505</v>
      </c>
      <c r="I2520" s="102">
        <v>0.66770360296775089</v>
      </c>
      <c r="J2520" s="103">
        <v>1.3532813166425512E-3</v>
      </c>
      <c r="K2520" s="103"/>
      <c r="L2520" s="103">
        <v>4.3200000000000002E-2</v>
      </c>
      <c r="O2520" s="100"/>
    </row>
    <row r="2521" spans="1:15" x14ac:dyDescent="0.2">
      <c r="B2521" s="1">
        <v>2506</v>
      </c>
      <c r="C2521" s="101">
        <f ca="1"/>
        <v>0.23930235182415646</v>
      </c>
      <c r="D2521" s="101">
        <f t="shared" ca="1" si="156"/>
        <v>0.68037440165745988</v>
      </c>
      <c r="E2521" s="101">
        <f t="shared" ca="1" si="157"/>
        <v>0</v>
      </c>
      <c r="F2521" s="21">
        <f t="shared" ca="1" si="158"/>
        <v>0</v>
      </c>
      <c r="H2521" s="21">
        <v>2506</v>
      </c>
      <c r="I2521" s="102">
        <v>0.6677438022707185</v>
      </c>
      <c r="J2521" s="103">
        <v>1.3971407538184164E-3</v>
      </c>
      <c r="K2521" s="103"/>
      <c r="L2521" s="103">
        <v>4.0599999999999997E-2</v>
      </c>
      <c r="O2521" s="100"/>
    </row>
    <row r="2522" spans="1:15" x14ac:dyDescent="0.2">
      <c r="B2522" s="1">
        <v>2507</v>
      </c>
      <c r="C2522" s="101">
        <f ca="1"/>
        <v>-0.22567199560295256</v>
      </c>
      <c r="D2522" s="101">
        <f t="shared" ca="1" si="156"/>
        <v>0.64987338476504408</v>
      </c>
      <c r="E2522" s="101">
        <f t="shared" ca="1" si="157"/>
        <v>0</v>
      </c>
      <c r="F2522" s="21">
        <f t="shared" ca="1" si="158"/>
        <v>0</v>
      </c>
      <c r="H2522" s="21">
        <v>2507</v>
      </c>
      <c r="I2522" s="102">
        <v>0.66783871398728845</v>
      </c>
      <c r="J2522" s="103">
        <v>1.465108618591724E-3</v>
      </c>
      <c r="K2522" s="103"/>
      <c r="L2522" s="103">
        <v>4.5400000000000003E-2</v>
      </c>
      <c r="O2522" s="100"/>
    </row>
    <row r="2523" spans="1:15" x14ac:dyDescent="0.2">
      <c r="B2523" s="1">
        <v>2508</v>
      </c>
      <c r="C2523" s="101">
        <f ca="1"/>
        <v>1.5048374532125237</v>
      </c>
      <c r="D2523" s="101">
        <f t="shared" ca="1" si="156"/>
        <v>0.77083727755084286</v>
      </c>
      <c r="E2523" s="101">
        <f t="shared" ca="1" si="157"/>
        <v>0</v>
      </c>
      <c r="F2523" s="21">
        <f t="shared" ca="1" si="158"/>
        <v>0</v>
      </c>
      <c r="H2523" s="21">
        <v>2508</v>
      </c>
      <c r="I2523" s="102">
        <v>0.66777333084330748</v>
      </c>
      <c r="J2523" s="103">
        <v>1.4742145857158935E-3</v>
      </c>
      <c r="K2523" s="103"/>
      <c r="L2523" s="103">
        <v>4.3200000000000002E-2</v>
      </c>
      <c r="O2523" s="100"/>
    </row>
    <row r="2524" spans="1:15" x14ac:dyDescent="0.2">
      <c r="B2524" s="1">
        <v>2509</v>
      </c>
      <c r="C2524" s="101">
        <f ca="1"/>
        <v>0.29506576560466774</v>
      </c>
      <c r="D2524" s="101">
        <f t="shared" ca="1" si="156"/>
        <v>0.68412716520701333</v>
      </c>
      <c r="E2524" s="101">
        <f t="shared" ca="1" si="157"/>
        <v>0</v>
      </c>
      <c r="F2524" s="21">
        <f t="shared" ca="1" si="158"/>
        <v>0</v>
      </c>
      <c r="H2524" s="21">
        <v>2509</v>
      </c>
      <c r="I2524" s="102">
        <v>0.66752252451650562</v>
      </c>
      <c r="J2524" s="103">
        <v>1.0713140388941558E-3</v>
      </c>
      <c r="K2524" s="103"/>
      <c r="L2524" s="103">
        <v>3.7199999999999997E-2</v>
      </c>
      <c r="O2524" s="100"/>
    </row>
    <row r="2525" spans="1:15" x14ac:dyDescent="0.2">
      <c r="B2525" s="1">
        <v>2510</v>
      </c>
      <c r="C2525" s="101">
        <f ca="1"/>
        <v>0.39587120458165598</v>
      </c>
      <c r="D2525" s="101">
        <f t="shared" ca="1" si="156"/>
        <v>0.69096377373057882</v>
      </c>
      <c r="E2525" s="101">
        <f t="shared" ca="1" si="157"/>
        <v>0</v>
      </c>
      <c r="F2525" s="21">
        <f t="shared" ca="1" si="158"/>
        <v>0</v>
      </c>
      <c r="H2525" s="21">
        <v>2510</v>
      </c>
      <c r="I2525" s="102">
        <v>0.66773213423255373</v>
      </c>
      <c r="J2525" s="103">
        <v>1.4669590371288043E-3</v>
      </c>
      <c r="K2525" s="103"/>
      <c r="L2525" s="103">
        <v>4.1000000000000002E-2</v>
      </c>
      <c r="O2525" s="100"/>
    </row>
    <row r="2526" spans="1:15" x14ac:dyDescent="0.2">
      <c r="B2526" s="1">
        <v>2511</v>
      </c>
      <c r="C2526" s="101">
        <f ca="1"/>
        <v>1.2416064257219643</v>
      </c>
      <c r="D2526" s="101">
        <f t="shared" ca="1" si="156"/>
        <v>0.75107975159460982</v>
      </c>
      <c r="E2526" s="101">
        <f t="shared" ca="1" si="157"/>
        <v>0</v>
      </c>
      <c r="F2526" s="21">
        <f t="shared" ca="1" si="158"/>
        <v>0</v>
      </c>
      <c r="H2526" s="21">
        <v>2511</v>
      </c>
      <c r="I2526" s="102">
        <v>0.667692035974911</v>
      </c>
      <c r="J2526" s="103">
        <v>1.2144929317605174E-3</v>
      </c>
      <c r="K2526" s="103"/>
      <c r="L2526" s="103">
        <v>3.9800000000000002E-2</v>
      </c>
      <c r="O2526" s="100"/>
    </row>
    <row r="2527" spans="1:15" x14ac:dyDescent="0.2">
      <c r="B2527" s="1">
        <v>2512</v>
      </c>
      <c r="C2527" s="101">
        <f ca="1"/>
        <v>-1.4237209067181824</v>
      </c>
      <c r="D2527" s="101">
        <f t="shared" ca="1" si="156"/>
        <v>0.57743761946595051</v>
      </c>
      <c r="E2527" s="101">
        <f t="shared" ca="1" si="157"/>
        <v>0</v>
      </c>
      <c r="F2527" s="21">
        <f t="shared" ca="1" si="158"/>
        <v>0</v>
      </c>
      <c r="H2527" s="21">
        <v>2512</v>
      </c>
      <c r="I2527" s="102">
        <v>0.6679190034261715</v>
      </c>
      <c r="J2527" s="103">
        <v>1.5534764810914055E-3</v>
      </c>
      <c r="K2527" s="103"/>
      <c r="L2527" s="103">
        <v>4.3999999999999997E-2</v>
      </c>
      <c r="O2527" s="100"/>
    </row>
    <row r="2528" spans="1:15" x14ac:dyDescent="0.2">
      <c r="B2528" s="1">
        <v>2513</v>
      </c>
      <c r="C2528" s="101">
        <f ca="1"/>
        <v>8.2732478165492382E-2</v>
      </c>
      <c r="D2528" s="101">
        <f t="shared" ca="1" si="156"/>
        <v>0.66994724964389862</v>
      </c>
      <c r="E2528" s="101">
        <f t="shared" ca="1" si="157"/>
        <v>0</v>
      </c>
      <c r="F2528" s="21">
        <f t="shared" ca="1" si="158"/>
        <v>0</v>
      </c>
      <c r="H2528" s="21">
        <v>2513</v>
      </c>
      <c r="I2528" s="102">
        <v>0.66780291291660909</v>
      </c>
      <c r="J2528" s="103">
        <v>1.4422237093620087E-3</v>
      </c>
      <c r="K2528" s="103"/>
      <c r="L2528" s="103">
        <v>4.2200000000000001E-2</v>
      </c>
      <c r="O2528" s="100"/>
    </row>
    <row r="2529" spans="2:15" x14ac:dyDescent="0.2">
      <c r="B2529" s="1">
        <v>2514</v>
      </c>
      <c r="C2529" s="101">
        <f ca="1"/>
        <v>2.2271070767918899</v>
      </c>
      <c r="D2529" s="101">
        <f t="shared" ca="1" si="156"/>
        <v>0.82775972970489786</v>
      </c>
      <c r="E2529" s="101">
        <f t="shared" ca="1" si="157"/>
        <v>3.955972970489785E-2</v>
      </c>
      <c r="F2529" s="21">
        <f t="shared" ca="1" si="158"/>
        <v>1</v>
      </c>
      <c r="H2529" s="21">
        <v>2514</v>
      </c>
      <c r="I2529" s="102">
        <v>0.6678160692224151</v>
      </c>
      <c r="J2529" s="103">
        <v>1.3929069738356612E-3</v>
      </c>
      <c r="K2529" s="103"/>
      <c r="L2529" s="103">
        <v>4.24E-2</v>
      </c>
      <c r="O2529" s="100"/>
    </row>
    <row r="2530" spans="2:15" x14ac:dyDescent="0.2">
      <c r="B2530" s="1">
        <v>2515</v>
      </c>
      <c r="C2530" s="101">
        <f ca="1"/>
        <v>2.6503757847321578</v>
      </c>
      <c r="D2530" s="101">
        <f t="shared" ca="1" si="156"/>
        <v>0.86305180414967053</v>
      </c>
      <c r="E2530" s="101">
        <f t="shared" ca="1" si="157"/>
        <v>7.485180414967052E-2</v>
      </c>
      <c r="F2530" s="21">
        <f t="shared" ca="1" si="158"/>
        <v>1</v>
      </c>
      <c r="H2530" s="21">
        <v>2515</v>
      </c>
      <c r="I2530" s="102">
        <v>0.66769048807662645</v>
      </c>
      <c r="J2530" s="103">
        <v>1.2556843723012766E-3</v>
      </c>
      <c r="K2530" s="103"/>
      <c r="L2530" s="103">
        <v>4.02E-2</v>
      </c>
      <c r="O2530" s="100"/>
    </row>
    <row r="2531" spans="2:15" x14ac:dyDescent="0.2">
      <c r="B2531" s="1">
        <v>2516</v>
      </c>
      <c r="C2531" s="101">
        <f ca="1"/>
        <v>0.52384899356605652</v>
      </c>
      <c r="D2531" s="101">
        <f t="shared" ca="1" si="156"/>
        <v>0.699741719845411</v>
      </c>
      <c r="E2531" s="101">
        <f t="shared" ca="1" si="157"/>
        <v>0</v>
      </c>
      <c r="F2531" s="21">
        <f t="shared" ca="1" si="158"/>
        <v>0</v>
      </c>
      <c r="H2531" s="21">
        <v>2516</v>
      </c>
      <c r="I2531" s="102">
        <v>0.66777562132722379</v>
      </c>
      <c r="J2531" s="103">
        <v>1.2870015882922024E-3</v>
      </c>
      <c r="K2531" s="103"/>
      <c r="L2531" s="103">
        <v>4.48E-2</v>
      </c>
      <c r="O2531" s="100"/>
    </row>
    <row r="2532" spans="2:15" x14ac:dyDescent="0.2">
      <c r="B2532" s="1">
        <v>2517</v>
      </c>
      <c r="C2532" s="101">
        <f ca="1"/>
        <v>0.64196188626368011</v>
      </c>
      <c r="D2532" s="101">
        <f t="shared" ca="1" si="156"/>
        <v>0.70794195624841894</v>
      </c>
      <c r="E2532" s="101">
        <f t="shared" ca="1" si="157"/>
        <v>0</v>
      </c>
      <c r="F2532" s="21">
        <f t="shared" ca="1" si="158"/>
        <v>0</v>
      </c>
      <c r="H2532" s="21">
        <v>2517</v>
      </c>
      <c r="I2532" s="102">
        <v>0.66761593853805812</v>
      </c>
      <c r="J2532" s="103">
        <v>1.1626148242351356E-3</v>
      </c>
      <c r="K2532" s="103"/>
      <c r="L2532" s="103">
        <v>3.8399999999999997E-2</v>
      </c>
      <c r="O2532" s="100"/>
    </row>
    <row r="2533" spans="2:15" x14ac:dyDescent="0.2">
      <c r="B2533" s="1">
        <v>2518</v>
      </c>
      <c r="C2533" s="101">
        <f ca="1"/>
        <v>-0.92926716167961232</v>
      </c>
      <c r="D2533" s="101">
        <f t="shared" ca="1" si="156"/>
        <v>0.60629944110307887</v>
      </c>
      <c r="E2533" s="101">
        <f t="shared" ca="1" si="157"/>
        <v>0</v>
      </c>
      <c r="F2533" s="21">
        <f t="shared" ca="1" si="158"/>
        <v>0</v>
      </c>
      <c r="H2533" s="21">
        <v>2518</v>
      </c>
      <c r="I2533" s="102">
        <v>0.66780691424973315</v>
      </c>
      <c r="J2533" s="103">
        <v>1.4357334122251375E-3</v>
      </c>
      <c r="K2533" s="103"/>
      <c r="L2533" s="103">
        <v>4.4600000000000001E-2</v>
      </c>
      <c r="O2533" s="100"/>
    </row>
    <row r="2534" spans="2:15" x14ac:dyDescent="0.2">
      <c r="B2534" s="1">
        <v>2519</v>
      </c>
      <c r="C2534" s="101">
        <f ca="1"/>
        <v>-1.3767113284492054</v>
      </c>
      <c r="D2534" s="101">
        <f t="shared" ca="1" si="156"/>
        <v>0.5801214658217404</v>
      </c>
      <c r="E2534" s="101">
        <f t="shared" ca="1" si="157"/>
        <v>0</v>
      </c>
      <c r="F2534" s="21">
        <f t="shared" ca="1" si="158"/>
        <v>0</v>
      </c>
      <c r="H2534" s="21">
        <v>2519</v>
      </c>
      <c r="I2534" s="102">
        <v>0.66788583482293085</v>
      </c>
      <c r="J2534" s="103">
        <v>1.565838970960282E-3</v>
      </c>
      <c r="K2534" s="103"/>
      <c r="L2534" s="103">
        <v>4.3400000000000001E-2</v>
      </c>
      <c r="O2534" s="100"/>
    </row>
    <row r="2535" spans="2:15" x14ac:dyDescent="0.2">
      <c r="B2535" s="1">
        <v>2520</v>
      </c>
      <c r="C2535" s="101">
        <f ca="1"/>
        <v>-0.37905662093766579</v>
      </c>
      <c r="D2535" s="101">
        <f t="shared" ca="1" si="156"/>
        <v>0.64011477003164807</v>
      </c>
      <c r="E2535" s="101">
        <f t="shared" ca="1" si="157"/>
        <v>0</v>
      </c>
      <c r="F2535" s="21">
        <f t="shared" ca="1" si="158"/>
        <v>0</v>
      </c>
      <c r="H2535" s="21">
        <v>2520</v>
      </c>
      <c r="I2535" s="102">
        <v>0.66760408149107986</v>
      </c>
      <c r="J2535" s="103">
        <v>1.3889204853088854E-3</v>
      </c>
      <c r="K2535" s="103"/>
      <c r="L2535" s="103">
        <v>3.8399999999999997E-2</v>
      </c>
      <c r="O2535" s="100"/>
    </row>
    <row r="2536" spans="2:15" x14ac:dyDescent="0.2">
      <c r="B2536" s="1">
        <v>2521</v>
      </c>
      <c r="C2536" s="101">
        <f ca="1"/>
        <v>-0.34290596396739181</v>
      </c>
      <c r="D2536" s="101">
        <f t="shared" ca="1" si="156"/>
        <v>0.64240146117200891</v>
      </c>
      <c r="E2536" s="101">
        <f t="shared" ca="1" si="157"/>
        <v>0</v>
      </c>
      <c r="F2536" s="21">
        <f t="shared" ca="1" si="158"/>
        <v>0</v>
      </c>
      <c r="H2536" s="21">
        <v>2521</v>
      </c>
      <c r="I2536" s="102">
        <v>0.66786921782292374</v>
      </c>
      <c r="J2536" s="103">
        <v>1.3538176277655693E-3</v>
      </c>
      <c r="K2536" s="103"/>
      <c r="L2536" s="103">
        <v>4.58E-2</v>
      </c>
      <c r="O2536" s="100"/>
    </row>
    <row r="2537" spans="2:15" x14ac:dyDescent="0.2">
      <c r="B2537" s="1">
        <v>2522</v>
      </c>
      <c r="C2537" s="101">
        <f ca="1"/>
        <v>0.64284458352354068</v>
      </c>
      <c r="D2537" s="101">
        <f t="shared" ca="1" si="156"/>
        <v>0.70800359974114602</v>
      </c>
      <c r="E2537" s="101">
        <f t="shared" ca="1" si="157"/>
        <v>0</v>
      </c>
      <c r="F2537" s="21">
        <f t="shared" ca="1" si="158"/>
        <v>0</v>
      </c>
      <c r="H2537" s="21">
        <v>2522</v>
      </c>
      <c r="I2537" s="102">
        <v>0.66779022266596066</v>
      </c>
      <c r="J2537" s="103">
        <v>1.4762474368117911E-3</v>
      </c>
      <c r="K2537" s="103"/>
      <c r="L2537" s="103">
        <v>4.4400000000000002E-2</v>
      </c>
      <c r="O2537" s="100"/>
    </row>
    <row r="2538" spans="2:15" x14ac:dyDescent="0.2">
      <c r="B2538" s="1">
        <v>2523</v>
      </c>
      <c r="C2538" s="101">
        <f ca="1"/>
        <v>-2.3086804037317723</v>
      </c>
      <c r="D2538" s="101">
        <f t="shared" ca="1" si="156"/>
        <v>0.52916846487712277</v>
      </c>
      <c r="E2538" s="101">
        <f t="shared" ca="1" si="157"/>
        <v>0</v>
      </c>
      <c r="F2538" s="21">
        <f t="shared" ca="1" si="158"/>
        <v>0</v>
      </c>
      <c r="H2538" s="21">
        <v>2523</v>
      </c>
      <c r="I2538" s="102">
        <v>0.66777525481735545</v>
      </c>
      <c r="J2538" s="103">
        <v>1.3561982798384966E-3</v>
      </c>
      <c r="K2538" s="103"/>
      <c r="L2538" s="103">
        <v>3.9399999999999998E-2</v>
      </c>
      <c r="O2538" s="100"/>
    </row>
    <row r="2539" spans="2:15" x14ac:dyDescent="0.2">
      <c r="B2539" s="1">
        <v>2524</v>
      </c>
      <c r="C2539" s="101">
        <f ca="1"/>
        <v>-1.2241223047919989</v>
      </c>
      <c r="D2539" s="101">
        <f t="shared" ca="1" si="156"/>
        <v>0.58891925680619361</v>
      </c>
      <c r="E2539" s="101">
        <f t="shared" ca="1" si="157"/>
        <v>0</v>
      </c>
      <c r="F2539" s="21">
        <f t="shared" ca="1" si="158"/>
        <v>0</v>
      </c>
      <c r="H2539" s="21">
        <v>2524</v>
      </c>
      <c r="I2539" s="102">
        <v>0.6678117933887141</v>
      </c>
      <c r="J2539" s="103">
        <v>1.3968511132437644E-3</v>
      </c>
      <c r="K2539" s="103"/>
      <c r="L2539" s="103">
        <v>4.24E-2</v>
      </c>
      <c r="O2539" s="100"/>
    </row>
    <row r="2540" spans="2:15" x14ac:dyDescent="0.2">
      <c r="B2540" s="1">
        <v>2525</v>
      </c>
      <c r="C2540" s="101">
        <f ca="1"/>
        <v>-2.3906538337333267</v>
      </c>
      <c r="D2540" s="101">
        <f t="shared" ca="1" si="156"/>
        <v>0.52490687844738482</v>
      </c>
      <c r="E2540" s="101">
        <f t="shared" ca="1" si="157"/>
        <v>0</v>
      </c>
      <c r="F2540" s="21">
        <f t="shared" ca="1" si="158"/>
        <v>0</v>
      </c>
      <c r="H2540" s="21">
        <v>2525</v>
      </c>
      <c r="I2540" s="102">
        <v>0.66772000172944301</v>
      </c>
      <c r="J2540" s="103">
        <v>1.4049001503030959E-3</v>
      </c>
      <c r="K2540" s="103"/>
      <c r="L2540" s="103">
        <v>4.0800000000000003E-2</v>
      </c>
      <c r="O2540" s="100"/>
    </row>
    <row r="2541" spans="2:15" x14ac:dyDescent="0.2">
      <c r="B2541" s="1">
        <v>2526</v>
      </c>
      <c r="C2541" s="101">
        <f ca="1"/>
        <v>-0.59048955602718611</v>
      </c>
      <c r="D2541" s="101">
        <f t="shared" ca="1" si="156"/>
        <v>0.62690277412828221</v>
      </c>
      <c r="E2541" s="101">
        <f t="shared" ca="1" si="157"/>
        <v>0</v>
      </c>
      <c r="F2541" s="21">
        <f t="shared" ca="1" si="158"/>
        <v>0</v>
      </c>
      <c r="H2541" s="21">
        <v>2526</v>
      </c>
      <c r="I2541" s="102">
        <v>0.66769864916603039</v>
      </c>
      <c r="J2541" s="103">
        <v>1.1894815870845748E-3</v>
      </c>
      <c r="K2541" s="103"/>
      <c r="L2541" s="103">
        <v>4.0599999999999997E-2</v>
      </c>
      <c r="O2541" s="100"/>
    </row>
    <row r="2542" spans="2:15" x14ac:dyDescent="0.2">
      <c r="B2542" s="1">
        <v>2527</v>
      </c>
      <c r="C2542" s="101">
        <f ca="1"/>
        <v>-0.92313460645438339</v>
      </c>
      <c r="D2542" s="101">
        <f t="shared" ca="1" si="156"/>
        <v>0.60666631676356375</v>
      </c>
      <c r="E2542" s="101">
        <f t="shared" ca="1" si="157"/>
        <v>0</v>
      </c>
      <c r="F2542" s="21">
        <f t="shared" ca="1" si="158"/>
        <v>0</v>
      </c>
      <c r="H2542" s="21">
        <v>2527</v>
      </c>
      <c r="I2542" s="102">
        <v>0.66774161644455232</v>
      </c>
      <c r="J2542" s="103">
        <v>1.3880202148818192E-3</v>
      </c>
      <c r="K2542" s="103"/>
      <c r="L2542" s="103">
        <v>4.0599999999999997E-2</v>
      </c>
      <c r="O2542" s="100"/>
    </row>
    <row r="2543" spans="2:15" x14ac:dyDescent="0.2">
      <c r="B2543" s="1">
        <v>2528</v>
      </c>
      <c r="C2543" s="101">
        <f ca="1"/>
        <v>1.122770499536482</v>
      </c>
      <c r="D2543" s="101">
        <f t="shared" ca="1" si="156"/>
        <v>0.74232689591841516</v>
      </c>
      <c r="E2543" s="101">
        <f t="shared" ca="1" si="157"/>
        <v>0</v>
      </c>
      <c r="F2543" s="21">
        <f t="shared" ca="1" si="158"/>
        <v>0</v>
      </c>
      <c r="H2543" s="21">
        <v>2528</v>
      </c>
      <c r="I2543" s="102">
        <v>0.66793509501808501</v>
      </c>
      <c r="J2543" s="103">
        <v>1.7667019541261595E-3</v>
      </c>
      <c r="K2543" s="103"/>
      <c r="L2543" s="103">
        <v>4.5999999999999999E-2</v>
      </c>
      <c r="O2543" s="100"/>
    </row>
    <row r="2544" spans="2:15" x14ac:dyDescent="0.2">
      <c r="B2544" s="1">
        <v>2529</v>
      </c>
      <c r="C2544" s="101">
        <f ca="1"/>
        <v>1.06614646138342</v>
      </c>
      <c r="D2544" s="101">
        <f t="shared" ca="1" si="156"/>
        <v>0.73819220900189164</v>
      </c>
      <c r="E2544" s="101">
        <f t="shared" ca="1" si="157"/>
        <v>0</v>
      </c>
      <c r="F2544" s="21">
        <f t="shared" ca="1" si="158"/>
        <v>0</v>
      </c>
      <c r="H2544" s="21">
        <v>2529</v>
      </c>
      <c r="I2544" s="102">
        <v>0.66767059060684275</v>
      </c>
      <c r="J2544" s="103">
        <v>1.3641460295705872E-3</v>
      </c>
      <c r="K2544" s="103"/>
      <c r="L2544" s="103">
        <v>4.02E-2</v>
      </c>
      <c r="O2544" s="100"/>
    </row>
    <row r="2545" spans="2:15" x14ac:dyDescent="0.2">
      <c r="B2545" s="1">
        <v>2530</v>
      </c>
      <c r="C2545" s="101">
        <f ca="1"/>
        <v>-1.2023218963860349</v>
      </c>
      <c r="D2545" s="101">
        <f t="shared" ca="1" si="156"/>
        <v>0.59018704390326693</v>
      </c>
      <c r="E2545" s="101">
        <f t="shared" ca="1" si="157"/>
        <v>0</v>
      </c>
      <c r="F2545" s="21">
        <f t="shared" ca="1" si="158"/>
        <v>0</v>
      </c>
      <c r="H2545" s="21">
        <v>2530</v>
      </c>
      <c r="I2545" s="102">
        <v>0.66777365455154492</v>
      </c>
      <c r="J2545" s="103">
        <v>1.3260890619702017E-3</v>
      </c>
      <c r="K2545" s="103"/>
      <c r="L2545" s="103">
        <v>4.4400000000000002E-2</v>
      </c>
      <c r="O2545" s="100"/>
    </row>
    <row r="2546" spans="2:15" x14ac:dyDescent="0.2">
      <c r="B2546" s="1">
        <v>2531</v>
      </c>
      <c r="C2546" s="101">
        <f ca="1"/>
        <v>-0.25400255559415297</v>
      </c>
      <c r="D2546" s="101">
        <f t="shared" ca="1" si="156"/>
        <v>0.6480598072606949</v>
      </c>
      <c r="E2546" s="101">
        <f t="shared" ca="1" si="157"/>
        <v>0</v>
      </c>
      <c r="F2546" s="21">
        <f t="shared" ca="1" si="158"/>
        <v>0</v>
      </c>
      <c r="H2546" s="21">
        <v>2531</v>
      </c>
      <c r="I2546" s="102">
        <v>0.66780532294557704</v>
      </c>
      <c r="J2546" s="103">
        <v>1.477718955388316E-3</v>
      </c>
      <c r="K2546" s="103"/>
      <c r="L2546" s="103">
        <v>4.2999999999999997E-2</v>
      </c>
      <c r="O2546" s="100"/>
    </row>
    <row r="2547" spans="2:15" x14ac:dyDescent="0.2">
      <c r="B2547" s="1">
        <v>2532</v>
      </c>
      <c r="C2547" s="101">
        <f ca="1"/>
        <v>0.78252174594168278</v>
      </c>
      <c r="D2547" s="101">
        <f t="shared" ca="1" si="156"/>
        <v>0.71782594163703062</v>
      </c>
      <c r="E2547" s="101">
        <f t="shared" ca="1" si="157"/>
        <v>0</v>
      </c>
      <c r="F2547" s="21">
        <f t="shared" ca="1" si="158"/>
        <v>0</v>
      </c>
      <c r="H2547" s="21">
        <v>2532</v>
      </c>
      <c r="I2547" s="102">
        <v>0.66787200567883065</v>
      </c>
      <c r="J2547" s="103">
        <v>1.5284500149143939E-3</v>
      </c>
      <c r="K2547" s="103"/>
      <c r="L2547" s="103">
        <v>4.5600000000000002E-2</v>
      </c>
      <c r="O2547" s="100"/>
    </row>
    <row r="2548" spans="2:15" x14ac:dyDescent="0.2">
      <c r="B2548" s="1">
        <v>2533</v>
      </c>
      <c r="C2548" s="101">
        <f ca="1"/>
        <v>-0.81592713172167763</v>
      </c>
      <c r="D2548" s="101">
        <f t="shared" ca="1" si="156"/>
        <v>0.61311590850230424</v>
      </c>
      <c r="E2548" s="101">
        <f t="shared" ca="1" si="157"/>
        <v>0</v>
      </c>
      <c r="F2548" s="21">
        <f t="shared" ca="1" si="158"/>
        <v>0</v>
      </c>
      <c r="H2548" s="21">
        <v>2533</v>
      </c>
      <c r="I2548" s="102">
        <v>0.66774549157718688</v>
      </c>
      <c r="J2548" s="103">
        <v>1.2305336044786332E-3</v>
      </c>
      <c r="K2548" s="103"/>
      <c r="L2548" s="103">
        <v>3.8600000000000002E-2</v>
      </c>
      <c r="O2548" s="100"/>
    </row>
    <row r="2549" spans="2:15" x14ac:dyDescent="0.2">
      <c r="B2549" s="1">
        <v>2534</v>
      </c>
      <c r="C2549" s="101">
        <f ca="1"/>
        <v>0.28523827047844513</v>
      </c>
      <c r="D2549" s="101">
        <f t="shared" ca="1" si="156"/>
        <v>0.68346429562789734</v>
      </c>
      <c r="E2549" s="101">
        <f t="shared" ca="1" si="157"/>
        <v>0</v>
      </c>
      <c r="F2549" s="21">
        <f t="shared" ca="1" si="158"/>
        <v>0</v>
      </c>
      <c r="H2549" s="21">
        <v>2534</v>
      </c>
      <c r="I2549" s="102">
        <v>0.66768646010338562</v>
      </c>
      <c r="J2549" s="103">
        <v>1.4318329035151167E-3</v>
      </c>
      <c r="K2549" s="103"/>
      <c r="L2549" s="103">
        <v>4.5199999999999997E-2</v>
      </c>
      <c r="O2549" s="100"/>
    </row>
    <row r="2550" spans="2:15" x14ac:dyDescent="0.2">
      <c r="B2550" s="1">
        <v>2535</v>
      </c>
      <c r="C2550" s="101">
        <f ca="1"/>
        <v>-0.70254247290692395</v>
      </c>
      <c r="D2550" s="101">
        <f t="shared" ca="1" si="156"/>
        <v>0.62001174111738222</v>
      </c>
      <c r="E2550" s="101">
        <f t="shared" ca="1" si="157"/>
        <v>0</v>
      </c>
      <c r="F2550" s="21">
        <f t="shared" ca="1" si="158"/>
        <v>0</v>
      </c>
      <c r="H2550" s="21">
        <v>2535</v>
      </c>
      <c r="I2550" s="102">
        <v>0.66760523600665633</v>
      </c>
      <c r="J2550" s="103">
        <v>1.2085496493050808E-3</v>
      </c>
      <c r="K2550" s="103"/>
      <c r="L2550" s="103">
        <v>3.9399999999999998E-2</v>
      </c>
      <c r="O2550" s="100"/>
    </row>
    <row r="2551" spans="2:15" x14ac:dyDescent="0.2">
      <c r="B2551" s="1">
        <v>2536</v>
      </c>
      <c r="C2551" s="101">
        <f ca="1"/>
        <v>1.6844203195362804</v>
      </c>
      <c r="D2551" s="101">
        <f t="shared" ca="1" si="156"/>
        <v>0.78461377437939805</v>
      </c>
      <c r="E2551" s="101">
        <f t="shared" ca="1" si="157"/>
        <v>0</v>
      </c>
      <c r="F2551" s="21">
        <f t="shared" ca="1" si="158"/>
        <v>0</v>
      </c>
      <c r="H2551" s="21">
        <v>2536</v>
      </c>
      <c r="I2551" s="102">
        <v>0.66770349862121992</v>
      </c>
      <c r="J2551" s="103">
        <v>1.2810755336380381E-3</v>
      </c>
      <c r="K2551" s="103"/>
      <c r="L2551" s="103">
        <v>3.8399999999999997E-2</v>
      </c>
      <c r="O2551" s="100"/>
    </row>
    <row r="2552" spans="2:15" x14ac:dyDescent="0.2">
      <c r="B2552" s="1">
        <v>2537</v>
      </c>
      <c r="C2552" s="101">
        <f ca="1"/>
        <v>0.36241730336616435</v>
      </c>
      <c r="D2552" s="101">
        <f t="shared" ca="1" si="156"/>
        <v>0.68868739471154106</v>
      </c>
      <c r="E2552" s="101">
        <f t="shared" ca="1" si="157"/>
        <v>0</v>
      </c>
      <c r="F2552" s="21">
        <f t="shared" ca="1" si="158"/>
        <v>0</v>
      </c>
      <c r="H2552" s="21">
        <v>2537</v>
      </c>
      <c r="I2552" s="102">
        <v>0.66773764051148354</v>
      </c>
      <c r="J2552" s="103">
        <v>1.344125812725567E-3</v>
      </c>
      <c r="K2552" s="103"/>
      <c r="L2552" s="103">
        <v>4.3400000000000001E-2</v>
      </c>
      <c r="O2552" s="100"/>
    </row>
    <row r="2553" spans="2:15" x14ac:dyDescent="0.2">
      <c r="B2553" s="1">
        <v>2538</v>
      </c>
      <c r="C2553" s="101">
        <f ca="1"/>
        <v>-0.83902091251735578</v>
      </c>
      <c r="D2553" s="101">
        <f t="shared" ca="1" si="156"/>
        <v>0.61172081936543343</v>
      </c>
      <c r="E2553" s="101">
        <f t="shared" ca="1" si="157"/>
        <v>0</v>
      </c>
      <c r="F2553" s="21">
        <f t="shared" ca="1" si="158"/>
        <v>0</v>
      </c>
      <c r="H2553" s="21">
        <v>2538</v>
      </c>
      <c r="I2553" s="102">
        <v>0.66800997062237777</v>
      </c>
      <c r="J2553" s="103">
        <v>1.6008248924887774E-3</v>
      </c>
      <c r="K2553" s="103"/>
      <c r="L2553" s="103">
        <v>5.1200000000000002E-2</v>
      </c>
      <c r="O2553" s="100"/>
    </row>
    <row r="2554" spans="2:15" x14ac:dyDescent="0.2">
      <c r="B2554" s="1">
        <v>2539</v>
      </c>
      <c r="C2554" s="101">
        <f ca="1"/>
        <v>0.60392584924541737</v>
      </c>
      <c r="D2554" s="101">
        <f t="shared" ca="1" si="156"/>
        <v>0.70529078764348851</v>
      </c>
      <c r="E2554" s="101">
        <f t="shared" ca="1" si="157"/>
        <v>0</v>
      </c>
      <c r="F2554" s="21">
        <f t="shared" ca="1" si="158"/>
        <v>0</v>
      </c>
      <c r="H2554" s="21">
        <v>2539</v>
      </c>
      <c r="I2554" s="102">
        <v>0.66771231613724502</v>
      </c>
      <c r="J2554" s="103">
        <v>1.342674327217467E-3</v>
      </c>
      <c r="K2554" s="103"/>
      <c r="L2554" s="103">
        <v>4.4200000000000003E-2</v>
      </c>
      <c r="O2554" s="100"/>
    </row>
    <row r="2555" spans="2:15" x14ac:dyDescent="0.2">
      <c r="B2555" s="1">
        <v>2540</v>
      </c>
      <c r="C2555" s="101">
        <f ca="1"/>
        <v>0.94058720522468564</v>
      </c>
      <c r="D2555" s="101">
        <f t="shared" ca="1" si="156"/>
        <v>0.72910583879490554</v>
      </c>
      <c r="E2555" s="101">
        <f t="shared" ca="1" si="157"/>
        <v>0</v>
      </c>
      <c r="F2555" s="21">
        <f t="shared" ca="1" si="158"/>
        <v>0</v>
      </c>
      <c r="H2555" s="21">
        <v>2540</v>
      </c>
      <c r="I2555" s="102">
        <v>0.66771727375311507</v>
      </c>
      <c r="J2555" s="103">
        <v>1.3399373250942872E-3</v>
      </c>
      <c r="K2555" s="103"/>
      <c r="L2555" s="103">
        <v>4.02E-2</v>
      </c>
      <c r="O2555" s="100"/>
    </row>
    <row r="2556" spans="2:15" x14ac:dyDescent="0.2">
      <c r="B2556" s="1">
        <v>2541</v>
      </c>
      <c r="C2556" s="101">
        <f ca="1"/>
        <v>1.048365906522871</v>
      </c>
      <c r="D2556" s="101">
        <f t="shared" ca="1" si="156"/>
        <v>0.73689863026269231</v>
      </c>
      <c r="E2556" s="101">
        <f t="shared" ca="1" si="157"/>
        <v>0</v>
      </c>
      <c r="F2556" s="21">
        <f t="shared" ca="1" si="158"/>
        <v>0</v>
      </c>
      <c r="H2556" s="21">
        <v>2541</v>
      </c>
      <c r="I2556" s="102">
        <v>0.66780732053933212</v>
      </c>
      <c r="J2556" s="103">
        <v>1.5193092298875826E-3</v>
      </c>
      <c r="K2556" s="103"/>
      <c r="L2556" s="103">
        <v>4.3799999999999999E-2</v>
      </c>
      <c r="O2556" s="100"/>
    </row>
    <row r="2557" spans="2:15" x14ac:dyDescent="0.2">
      <c r="B2557" s="1">
        <v>2542</v>
      </c>
      <c r="C2557" s="101">
        <f ca="1"/>
        <v>1.0448896507164562</v>
      </c>
      <c r="D2557" s="101">
        <f t="shared" ca="1" si="156"/>
        <v>0.73664598921189728</v>
      </c>
      <c r="E2557" s="101">
        <f t="shared" ca="1" si="157"/>
        <v>0</v>
      </c>
      <c r="F2557" s="21">
        <f t="shared" ca="1" si="158"/>
        <v>0</v>
      </c>
      <c r="H2557" s="21">
        <v>2542</v>
      </c>
      <c r="I2557" s="102">
        <v>0.66768414952522814</v>
      </c>
      <c r="J2557" s="103">
        <v>1.3045392189642386E-3</v>
      </c>
      <c r="K2557" s="103"/>
      <c r="L2557" s="103">
        <v>3.8800000000000001E-2</v>
      </c>
      <c r="O2557" s="100"/>
    </row>
    <row r="2558" spans="2:15" x14ac:dyDescent="0.2">
      <c r="B2558" s="1">
        <v>2543</v>
      </c>
      <c r="C2558" s="101">
        <f ca="1"/>
        <v>-0.53701506258854059</v>
      </c>
      <c r="D2558" s="101">
        <f t="shared" ca="1" si="156"/>
        <v>0.63021829435847998</v>
      </c>
      <c r="E2558" s="101">
        <f t="shared" ca="1" si="157"/>
        <v>0</v>
      </c>
      <c r="F2558" s="21">
        <f t="shared" ca="1" si="158"/>
        <v>0</v>
      </c>
      <c r="H2558" s="21">
        <v>2543</v>
      </c>
      <c r="I2558" s="102">
        <v>0.6677666072232944</v>
      </c>
      <c r="J2558" s="103">
        <v>1.3421882516047251E-3</v>
      </c>
      <c r="K2558" s="103"/>
      <c r="L2558" s="103">
        <v>4.1399999999999999E-2</v>
      </c>
      <c r="O2558" s="100"/>
    </row>
    <row r="2559" spans="2:15" x14ac:dyDescent="0.2">
      <c r="B2559" s="1">
        <v>2544</v>
      </c>
      <c r="C2559" s="101">
        <f ca="1"/>
        <v>-0.72254250062043091</v>
      </c>
      <c r="D2559" s="101">
        <f t="shared" ca="1" si="156"/>
        <v>0.61878976958668941</v>
      </c>
      <c r="E2559" s="101">
        <f t="shared" ca="1" si="157"/>
        <v>0</v>
      </c>
      <c r="F2559" s="21">
        <f t="shared" ca="1" si="158"/>
        <v>0</v>
      </c>
      <c r="H2559" s="21">
        <v>2544</v>
      </c>
      <c r="I2559" s="102">
        <v>0.66765312153520573</v>
      </c>
      <c r="J2559" s="103">
        <v>1.3047824863947411E-3</v>
      </c>
      <c r="K2559" s="103"/>
      <c r="L2559" s="103">
        <v>4.1000000000000002E-2</v>
      </c>
      <c r="O2559" s="100"/>
    </row>
    <row r="2560" spans="2:15" x14ac:dyDescent="0.2">
      <c r="B2560" s="1">
        <v>2545</v>
      </c>
      <c r="C2560" s="101">
        <f ca="1"/>
        <v>2.4652583505398526</v>
      </c>
      <c r="D2560" s="101">
        <f t="shared" ca="1" si="156"/>
        <v>0.84743529489551128</v>
      </c>
      <c r="E2560" s="101">
        <f t="shared" ca="1" si="157"/>
        <v>5.923529489551127E-2</v>
      </c>
      <c r="F2560" s="21">
        <f t="shared" ca="1" si="158"/>
        <v>1</v>
      </c>
      <c r="H2560" s="21">
        <v>2545</v>
      </c>
      <c r="I2560" s="102">
        <v>0.66760479077608992</v>
      </c>
      <c r="J2560" s="103">
        <v>1.1808210116551325E-3</v>
      </c>
      <c r="K2560" s="103"/>
      <c r="L2560" s="103">
        <v>3.7600000000000001E-2</v>
      </c>
      <c r="O2560" s="100"/>
    </row>
    <row r="2561" spans="2:15" x14ac:dyDescent="0.2">
      <c r="B2561" s="1">
        <v>2546</v>
      </c>
      <c r="C2561" s="101">
        <f ca="1"/>
        <v>-1.6848330081199461</v>
      </c>
      <c r="D2561" s="101">
        <f t="shared" ca="1" si="156"/>
        <v>0.56275478040038462</v>
      </c>
      <c r="E2561" s="101">
        <f t="shared" ca="1" si="157"/>
        <v>0</v>
      </c>
      <c r="F2561" s="21">
        <f t="shared" ca="1" si="158"/>
        <v>0</v>
      </c>
      <c r="H2561" s="21">
        <v>2546</v>
      </c>
      <c r="I2561" s="102">
        <v>0.66771932738863427</v>
      </c>
      <c r="J2561" s="103">
        <v>1.3399268592370105E-3</v>
      </c>
      <c r="K2561" s="103"/>
      <c r="L2561" s="103">
        <v>3.7600000000000001E-2</v>
      </c>
      <c r="O2561" s="100"/>
    </row>
    <row r="2562" spans="2:15" x14ac:dyDescent="0.2">
      <c r="B2562" s="1">
        <v>2547</v>
      </c>
      <c r="C2562" s="101">
        <f ca="1"/>
        <v>2.7689550567007211</v>
      </c>
      <c r="D2562" s="101">
        <f t="shared" ca="1" si="156"/>
        <v>0.87320603312100931</v>
      </c>
      <c r="E2562" s="101">
        <f t="shared" ca="1" si="157"/>
        <v>8.5006033121009295E-2</v>
      </c>
      <c r="F2562" s="21">
        <f t="shared" ca="1" si="158"/>
        <v>1</v>
      </c>
      <c r="H2562" s="21">
        <v>2547</v>
      </c>
      <c r="I2562" s="102">
        <v>0.66783876170708356</v>
      </c>
      <c r="J2562" s="103">
        <v>1.4170363841041484E-3</v>
      </c>
      <c r="K2562" s="103"/>
      <c r="L2562" s="103">
        <v>4.36E-2</v>
      </c>
      <c r="O2562" s="100"/>
    </row>
    <row r="2563" spans="2:15" x14ac:dyDescent="0.2">
      <c r="B2563" s="1">
        <v>2548</v>
      </c>
      <c r="C2563" s="101">
        <f ca="1"/>
        <v>-9.4227157161902667E-3</v>
      </c>
      <c r="D2563" s="101">
        <f t="shared" ca="1" si="156"/>
        <v>0.66388481756723861</v>
      </c>
      <c r="E2563" s="101">
        <f t="shared" ca="1" si="157"/>
        <v>0</v>
      </c>
      <c r="F2563" s="21">
        <f t="shared" ca="1" si="158"/>
        <v>0</v>
      </c>
      <c r="H2563" s="21">
        <v>2548</v>
      </c>
      <c r="I2563" s="102">
        <v>0.66764746119811147</v>
      </c>
      <c r="J2563" s="103">
        <v>1.1938029468102447E-3</v>
      </c>
      <c r="K2563" s="103"/>
      <c r="L2563" s="103">
        <v>4.0599999999999997E-2</v>
      </c>
      <c r="O2563" s="100"/>
    </row>
    <row r="2564" spans="2:15" x14ac:dyDescent="0.2">
      <c r="B2564" s="1">
        <v>2549</v>
      </c>
      <c r="C2564" s="101">
        <f ca="1"/>
        <v>1.0727091693489985</v>
      </c>
      <c r="D2564" s="101">
        <f t="shared" ca="1" si="156"/>
        <v>0.73867023554893907</v>
      </c>
      <c r="E2564" s="101">
        <f t="shared" ca="1" si="157"/>
        <v>0</v>
      </c>
      <c r="F2564" s="21">
        <f t="shared" ca="1" si="158"/>
        <v>0</v>
      </c>
      <c r="H2564" s="21">
        <v>2549</v>
      </c>
      <c r="I2564" s="102">
        <v>0.66763853658517713</v>
      </c>
      <c r="J2564" s="103">
        <v>1.2455839406357305E-3</v>
      </c>
      <c r="K2564" s="103"/>
      <c r="L2564" s="103">
        <v>3.9E-2</v>
      </c>
      <c r="O2564" s="100"/>
    </row>
    <row r="2565" spans="2:15" x14ac:dyDescent="0.2">
      <c r="B2565" s="1">
        <v>2550</v>
      </c>
      <c r="C2565" s="101">
        <f ca="1"/>
        <v>0.2963950464369422</v>
      </c>
      <c r="D2565" s="101">
        <f t="shared" ca="1" si="156"/>
        <v>0.68421687522667385</v>
      </c>
      <c r="E2565" s="101">
        <f t="shared" ca="1" si="157"/>
        <v>0</v>
      </c>
      <c r="F2565" s="21">
        <f t="shared" ca="1" si="158"/>
        <v>0</v>
      </c>
      <c r="H2565" s="21">
        <v>2550</v>
      </c>
      <c r="I2565" s="102">
        <v>0.6676580174780391</v>
      </c>
      <c r="J2565" s="103">
        <v>1.3205036351655037E-3</v>
      </c>
      <c r="K2565" s="103"/>
      <c r="L2565" s="103">
        <v>3.7600000000000001E-2</v>
      </c>
      <c r="O2565" s="100"/>
    </row>
    <row r="2566" spans="2:15" x14ac:dyDescent="0.2">
      <c r="B2566" s="1">
        <v>2551</v>
      </c>
      <c r="C2566" s="101">
        <f ca="1"/>
        <v>0.17968641423831211</v>
      </c>
      <c r="D2566" s="101">
        <f t="shared" ca="1" si="156"/>
        <v>0.67638513639423181</v>
      </c>
      <c r="E2566" s="101">
        <f t="shared" ca="1" si="157"/>
        <v>0</v>
      </c>
      <c r="F2566" s="21">
        <f t="shared" ca="1" si="158"/>
        <v>0</v>
      </c>
      <c r="H2566" s="21">
        <v>2551</v>
      </c>
      <c r="I2566" s="102">
        <v>0.66770242822243575</v>
      </c>
      <c r="J2566" s="103">
        <v>1.3191791530127177E-3</v>
      </c>
      <c r="K2566" s="103"/>
      <c r="L2566" s="103">
        <v>4.24E-2</v>
      </c>
      <c r="O2566" s="100"/>
    </row>
    <row r="2567" spans="2:15" x14ac:dyDescent="0.2">
      <c r="B2567" s="1">
        <v>2552</v>
      </c>
      <c r="C2567" s="101">
        <f ca="1"/>
        <v>-0.34637212710962978</v>
      </c>
      <c r="D2567" s="101">
        <f t="shared" ca="1" si="156"/>
        <v>0.64218185720628529</v>
      </c>
      <c r="E2567" s="101">
        <f t="shared" ca="1" si="157"/>
        <v>0</v>
      </c>
      <c r="F2567" s="21">
        <f t="shared" ca="1" si="158"/>
        <v>0</v>
      </c>
      <c r="H2567" s="21">
        <v>2552</v>
      </c>
      <c r="I2567" s="102">
        <v>0.66769177169432026</v>
      </c>
      <c r="J2567" s="103">
        <v>1.2508009631531469E-3</v>
      </c>
      <c r="K2567" s="103"/>
      <c r="L2567" s="103">
        <v>4.02E-2</v>
      </c>
      <c r="O2567" s="100"/>
    </row>
    <row r="2568" spans="2:15" x14ac:dyDescent="0.2">
      <c r="B2568" s="1">
        <v>2553</v>
      </c>
      <c r="C2568" s="101">
        <f ca="1"/>
        <v>-0.65614616930162173</v>
      </c>
      <c r="D2568" s="101">
        <f t="shared" ca="1" si="156"/>
        <v>0.62285578550120557</v>
      </c>
      <c r="E2568" s="101">
        <f t="shared" ca="1" si="157"/>
        <v>0</v>
      </c>
      <c r="F2568" s="21">
        <f t="shared" ca="1" si="158"/>
        <v>0</v>
      </c>
      <c r="H2568" s="21">
        <v>2553</v>
      </c>
      <c r="I2568" s="102">
        <v>0.66767484898691265</v>
      </c>
      <c r="J2568" s="103">
        <v>1.3149588595828216E-3</v>
      </c>
      <c r="K2568" s="103"/>
      <c r="L2568" s="103">
        <v>4.1799999999999997E-2</v>
      </c>
      <c r="O2568" s="100"/>
    </row>
    <row r="2569" spans="2:15" x14ac:dyDescent="0.2">
      <c r="B2569" s="1">
        <v>2554</v>
      </c>
      <c r="C2569" s="101">
        <f ca="1"/>
        <v>-1.0217998457296007</v>
      </c>
      <c r="D2569" s="101">
        <f t="shared" ca="1" si="156"/>
        <v>0.60079059405705404</v>
      </c>
      <c r="E2569" s="101">
        <f t="shared" ca="1" si="157"/>
        <v>0</v>
      </c>
      <c r="F2569" s="21">
        <f t="shared" ca="1" si="158"/>
        <v>0</v>
      </c>
      <c r="H2569" s="21">
        <v>2554</v>
      </c>
      <c r="I2569" s="102">
        <v>0.66774631127324513</v>
      </c>
      <c r="J2569" s="103">
        <v>1.519507238782169E-3</v>
      </c>
      <c r="K2569" s="103"/>
      <c r="L2569" s="103">
        <v>4.4600000000000001E-2</v>
      </c>
      <c r="O2569" s="100"/>
    </row>
    <row r="2570" spans="2:15" x14ac:dyDescent="0.2">
      <c r="B2570" s="1">
        <v>2555</v>
      </c>
      <c r="C2570" s="101">
        <f ca="1"/>
        <v>0.64920935658245826</v>
      </c>
      <c r="D2570" s="101">
        <f t="shared" ca="1" si="156"/>
        <v>0.70844824496142667</v>
      </c>
      <c r="E2570" s="101">
        <f t="shared" ca="1" si="157"/>
        <v>0</v>
      </c>
      <c r="F2570" s="21">
        <f t="shared" ca="1" si="158"/>
        <v>0</v>
      </c>
      <c r="H2570" s="21">
        <v>2555</v>
      </c>
      <c r="I2570" s="102">
        <v>0.66764107412130691</v>
      </c>
      <c r="J2570" s="103">
        <v>1.2050489606891669E-3</v>
      </c>
      <c r="K2570" s="103"/>
      <c r="L2570" s="103">
        <v>4.1200000000000001E-2</v>
      </c>
      <c r="O2570" s="100"/>
    </row>
    <row r="2571" spans="2:15" x14ac:dyDescent="0.2">
      <c r="B2571" s="1">
        <v>2556</v>
      </c>
      <c r="C2571" s="101">
        <f ca="1"/>
        <v>-7.7109072863287095E-2</v>
      </c>
      <c r="D2571" s="101">
        <f t="shared" ca="1" si="156"/>
        <v>0.65946704082548191</v>
      </c>
      <c r="E2571" s="101">
        <f t="shared" ca="1" si="157"/>
        <v>0</v>
      </c>
      <c r="F2571" s="21">
        <f t="shared" ca="1" si="158"/>
        <v>0</v>
      </c>
      <c r="H2571" s="21">
        <v>2556</v>
      </c>
      <c r="I2571" s="102">
        <v>0.66767252931695398</v>
      </c>
      <c r="J2571" s="103">
        <v>1.3091163149532203E-3</v>
      </c>
      <c r="K2571" s="103"/>
      <c r="L2571" s="103">
        <v>3.9600000000000003E-2</v>
      </c>
      <c r="O2571" s="100"/>
    </row>
    <row r="2572" spans="2:15" x14ac:dyDescent="0.2">
      <c r="B2572" s="1">
        <v>2557</v>
      </c>
      <c r="C2572" s="101">
        <f ca="1"/>
        <v>-2.523303785903221</v>
      </c>
      <c r="D2572" s="101">
        <f t="shared" ca="1" si="156"/>
        <v>0.51808333377204208</v>
      </c>
      <c r="E2572" s="101">
        <f t="shared" ca="1" si="157"/>
        <v>0</v>
      </c>
      <c r="F2572" s="21">
        <f t="shared" ca="1" si="158"/>
        <v>0</v>
      </c>
      <c r="H2572" s="21">
        <v>2557</v>
      </c>
      <c r="I2572" s="102">
        <v>0.66781274309370775</v>
      </c>
      <c r="J2572" s="103">
        <v>1.5165409092193413E-3</v>
      </c>
      <c r="K2572" s="103"/>
      <c r="L2572" s="103">
        <v>4.2999999999999997E-2</v>
      </c>
      <c r="O2572" s="100"/>
    </row>
    <row r="2573" spans="2:15" x14ac:dyDescent="0.2">
      <c r="B2573" s="1">
        <v>2558</v>
      </c>
      <c r="C2573" s="101">
        <f ca="1"/>
        <v>0.9725371387235332</v>
      </c>
      <c r="D2573" s="101">
        <f t="shared" ca="1" si="156"/>
        <v>0.73140730166543244</v>
      </c>
      <c r="E2573" s="101">
        <f t="shared" ca="1" si="157"/>
        <v>0</v>
      </c>
      <c r="F2573" s="21">
        <f t="shared" ca="1" si="158"/>
        <v>0</v>
      </c>
      <c r="H2573" s="21">
        <v>2558</v>
      </c>
      <c r="I2573" s="102">
        <v>0.66777076644264111</v>
      </c>
      <c r="J2573" s="103">
        <v>1.3835962140427089E-3</v>
      </c>
      <c r="K2573" s="103"/>
      <c r="L2573" s="103">
        <v>4.2999999999999997E-2</v>
      </c>
      <c r="O2573" s="100"/>
    </row>
    <row r="2574" spans="2:15" x14ac:dyDescent="0.2">
      <c r="B2574" s="1">
        <v>2559</v>
      </c>
      <c r="C2574" s="101">
        <f ca="1"/>
        <v>-1.7990118709085854</v>
      </c>
      <c r="D2574" s="101">
        <f t="shared" ca="1" si="156"/>
        <v>0.55645217051843332</v>
      </c>
      <c r="E2574" s="101">
        <f t="shared" ca="1" si="157"/>
        <v>0</v>
      </c>
      <c r="F2574" s="21">
        <f t="shared" ca="1" si="158"/>
        <v>0</v>
      </c>
      <c r="H2574" s="21">
        <v>2559</v>
      </c>
      <c r="I2574" s="102">
        <v>0.66784164202158436</v>
      </c>
      <c r="J2574" s="103">
        <v>1.6056797580965884E-3</v>
      </c>
      <c r="K2574" s="103"/>
      <c r="L2574" s="103">
        <v>4.6199999999999998E-2</v>
      </c>
      <c r="O2574" s="100"/>
    </row>
    <row r="2575" spans="2:15" x14ac:dyDescent="0.2">
      <c r="B2575" s="1">
        <v>2560</v>
      </c>
      <c r="C2575" s="101">
        <f ca="1"/>
        <v>0.2352808114856334</v>
      </c>
      <c r="D2575" s="101">
        <f t="shared" ca="1" si="156"/>
        <v>0.68010455741382692</v>
      </c>
      <c r="E2575" s="101">
        <f t="shared" ca="1" si="157"/>
        <v>0</v>
      </c>
      <c r="F2575" s="21">
        <f t="shared" ca="1" si="158"/>
        <v>0</v>
      </c>
      <c r="H2575" s="21">
        <v>2560</v>
      </c>
      <c r="I2575" s="102">
        <v>0.66765984466561312</v>
      </c>
      <c r="J2575" s="103">
        <v>1.304704947213918E-3</v>
      </c>
      <c r="K2575" s="103"/>
      <c r="L2575" s="103">
        <v>4.1000000000000002E-2</v>
      </c>
      <c r="O2575" s="100"/>
    </row>
    <row r="2576" spans="2:15" x14ac:dyDescent="0.2">
      <c r="B2576" s="1">
        <v>2561</v>
      </c>
      <c r="C2576" s="101">
        <f ca="1"/>
        <v>-1.7452690182059285</v>
      </c>
      <c r="D2576" s="101">
        <f t="shared" ref="D2576:D2639" ca="1" si="159">S0*EXP((μ-0.5*σ*σ)*T+σ*SQRT(T)*$C2576)</f>
        <v>0.55940990456572071</v>
      </c>
      <c r="E2576" s="101">
        <f t="shared" ref="E2576:E2639" ca="1" si="160">MAX(0,CP*(D2576-K))</f>
        <v>0</v>
      </c>
      <c r="F2576" s="21">
        <f t="shared" ref="F2576:F2639" ca="1" si="161">(CP*(D2576-K)&gt;0)*1</f>
        <v>0</v>
      </c>
      <c r="H2576" s="21">
        <v>2561</v>
      </c>
      <c r="I2576" s="102">
        <v>0.66774860123377733</v>
      </c>
      <c r="J2576" s="103">
        <v>1.3485459179963832E-3</v>
      </c>
      <c r="K2576" s="103"/>
      <c r="L2576" s="103">
        <v>4.36E-2</v>
      </c>
      <c r="O2576" s="100"/>
    </row>
    <row r="2577" spans="2:15" x14ac:dyDescent="0.2">
      <c r="B2577" s="1">
        <v>2562</v>
      </c>
      <c r="C2577" s="101">
        <f ca="1"/>
        <v>3.2703407107270197E-2</v>
      </c>
      <c r="D2577" s="101">
        <f t="shared" ca="1" si="159"/>
        <v>0.66664924865468345</v>
      </c>
      <c r="E2577" s="101">
        <f t="shared" ca="1" si="160"/>
        <v>0</v>
      </c>
      <c r="F2577" s="21">
        <f t="shared" ca="1" si="161"/>
        <v>0</v>
      </c>
      <c r="H2577" s="21">
        <v>2562</v>
      </c>
      <c r="I2577" s="102">
        <v>0.66788016483953294</v>
      </c>
      <c r="J2577" s="103">
        <v>1.5437603633439859E-3</v>
      </c>
      <c r="K2577" s="103"/>
      <c r="L2577" s="103">
        <v>4.4200000000000003E-2</v>
      </c>
      <c r="O2577" s="100"/>
    </row>
    <row r="2578" spans="2:15" x14ac:dyDescent="0.2">
      <c r="B2578" s="1">
        <v>2563</v>
      </c>
      <c r="C2578" s="101">
        <f ca="1"/>
        <v>2.0416261884586113</v>
      </c>
      <c r="D2578" s="101">
        <f t="shared" ca="1" si="159"/>
        <v>0.81275267463877809</v>
      </c>
      <c r="E2578" s="101">
        <f t="shared" ca="1" si="160"/>
        <v>2.4552674638778083E-2</v>
      </c>
      <c r="F2578" s="21">
        <f t="shared" ca="1" si="161"/>
        <v>1</v>
      </c>
      <c r="H2578" s="21">
        <v>2563</v>
      </c>
      <c r="I2578" s="102">
        <v>0.66773658496706911</v>
      </c>
      <c r="J2578" s="103">
        <v>1.3438506453920997E-3</v>
      </c>
      <c r="K2578" s="103"/>
      <c r="L2578" s="103">
        <v>4.0399999999999998E-2</v>
      </c>
      <c r="O2578" s="100"/>
    </row>
    <row r="2579" spans="2:15" x14ac:dyDescent="0.2">
      <c r="B2579" s="1">
        <v>2564</v>
      </c>
      <c r="C2579" s="101">
        <f ca="1"/>
        <v>0.18593889713639408</v>
      </c>
      <c r="D2579" s="101">
        <f t="shared" ca="1" si="159"/>
        <v>0.67680242776282329</v>
      </c>
      <c r="E2579" s="101">
        <f t="shared" ca="1" si="160"/>
        <v>0</v>
      </c>
      <c r="F2579" s="21">
        <f t="shared" ca="1" si="161"/>
        <v>0</v>
      </c>
      <c r="H2579" s="21">
        <v>2564</v>
      </c>
      <c r="I2579" s="102">
        <v>0.66790314083752966</v>
      </c>
      <c r="J2579" s="103">
        <v>1.4490438889944077E-3</v>
      </c>
      <c r="K2579" s="103"/>
      <c r="L2579" s="103">
        <v>4.5400000000000003E-2</v>
      </c>
      <c r="O2579" s="100"/>
    </row>
    <row r="2580" spans="2:15" x14ac:dyDescent="0.2">
      <c r="B2580" s="1">
        <v>2565</v>
      </c>
      <c r="C2580" s="101">
        <f ca="1"/>
        <v>0.82199549295986141</v>
      </c>
      <c r="D2580" s="101">
        <f t="shared" ca="1" si="159"/>
        <v>0.72062641981759246</v>
      </c>
      <c r="E2580" s="101">
        <f t="shared" ca="1" si="160"/>
        <v>0</v>
      </c>
      <c r="F2580" s="21">
        <f t="shared" ca="1" si="161"/>
        <v>0</v>
      </c>
      <c r="H2580" s="21">
        <v>2565</v>
      </c>
      <c r="I2580" s="102">
        <v>0.66764268757287892</v>
      </c>
      <c r="J2580" s="103">
        <v>1.1387294634124321E-3</v>
      </c>
      <c r="K2580" s="103"/>
      <c r="L2580" s="103">
        <v>3.7199999999999997E-2</v>
      </c>
      <c r="O2580" s="100"/>
    </row>
    <row r="2581" spans="2:15" x14ac:dyDescent="0.2">
      <c r="B2581" s="1">
        <v>2566</v>
      </c>
      <c r="C2581" s="101">
        <f ca="1"/>
        <v>0.83907723410361945</v>
      </c>
      <c r="D2581" s="101">
        <f t="shared" ca="1" si="159"/>
        <v>0.72184167408355138</v>
      </c>
      <c r="E2581" s="101">
        <f t="shared" ca="1" si="160"/>
        <v>0</v>
      </c>
      <c r="F2581" s="21">
        <f t="shared" ca="1" si="161"/>
        <v>0</v>
      </c>
      <c r="H2581" s="21">
        <v>2566</v>
      </c>
      <c r="I2581" s="102">
        <v>0.66765491494242202</v>
      </c>
      <c r="J2581" s="103">
        <v>1.2338395070670073E-3</v>
      </c>
      <c r="K2581" s="103"/>
      <c r="L2581" s="103">
        <v>3.8600000000000002E-2</v>
      </c>
      <c r="O2581" s="100"/>
    </row>
    <row r="2582" spans="2:15" x14ac:dyDescent="0.2">
      <c r="B2582" s="1">
        <v>2567</v>
      </c>
      <c r="C2582" s="101">
        <f ca="1"/>
        <v>1.3297945482660336</v>
      </c>
      <c r="D2582" s="101">
        <f t="shared" ca="1" si="159"/>
        <v>0.75764188995781023</v>
      </c>
      <c r="E2582" s="101">
        <f t="shared" ca="1" si="160"/>
        <v>0</v>
      </c>
      <c r="F2582" s="21">
        <f t="shared" ca="1" si="161"/>
        <v>0</v>
      </c>
      <c r="H2582" s="21">
        <v>2567</v>
      </c>
      <c r="I2582" s="102">
        <v>0.6675867247932803</v>
      </c>
      <c r="J2582" s="103">
        <v>1.2913469129831028E-3</v>
      </c>
      <c r="K2582" s="103"/>
      <c r="L2582" s="103">
        <v>4.1599999999999998E-2</v>
      </c>
      <c r="O2582" s="100"/>
    </row>
    <row r="2583" spans="2:15" x14ac:dyDescent="0.2">
      <c r="B2583" s="1">
        <v>2568</v>
      </c>
      <c r="C2583" s="101">
        <f ca="1"/>
        <v>0.86803314575467416</v>
      </c>
      <c r="D2583" s="101">
        <f t="shared" ca="1" si="159"/>
        <v>0.72390638127012374</v>
      </c>
      <c r="E2583" s="101">
        <f t="shared" ca="1" si="160"/>
        <v>0</v>
      </c>
      <c r="F2583" s="21">
        <f t="shared" ca="1" si="161"/>
        <v>0</v>
      </c>
      <c r="H2583" s="21">
        <v>2568</v>
      </c>
      <c r="I2583" s="102">
        <v>0.66766816432868203</v>
      </c>
      <c r="J2583" s="103">
        <v>1.3477264928654924E-3</v>
      </c>
      <c r="K2583" s="103"/>
      <c r="L2583" s="103">
        <v>4.1000000000000002E-2</v>
      </c>
      <c r="O2583" s="100"/>
    </row>
    <row r="2584" spans="2:15" x14ac:dyDescent="0.2">
      <c r="B2584" s="1">
        <v>2569</v>
      </c>
      <c r="C2584" s="101">
        <f ca="1"/>
        <v>-1.2404251887520401</v>
      </c>
      <c r="D2584" s="101">
        <f t="shared" ca="1" si="159"/>
        <v>0.58797295441517949</v>
      </c>
      <c r="E2584" s="101">
        <f t="shared" ca="1" si="160"/>
        <v>0</v>
      </c>
      <c r="F2584" s="21">
        <f t="shared" ca="1" si="161"/>
        <v>0</v>
      </c>
      <c r="H2584" s="21">
        <v>2569</v>
      </c>
      <c r="I2584" s="102">
        <v>0.66792654419567743</v>
      </c>
      <c r="J2584" s="103">
        <v>1.5785548040068455E-3</v>
      </c>
      <c r="K2584" s="103"/>
      <c r="L2584" s="103">
        <v>4.7600000000000003E-2</v>
      </c>
      <c r="O2584" s="100"/>
    </row>
    <row r="2585" spans="2:15" x14ac:dyDescent="0.2">
      <c r="B2585" s="1">
        <v>2570</v>
      </c>
      <c r="C2585" s="101">
        <f ca="1"/>
        <v>1.5195176010536338</v>
      </c>
      <c r="D2585" s="101">
        <f t="shared" ca="1" si="159"/>
        <v>0.7719543118820803</v>
      </c>
      <c r="E2585" s="101">
        <f t="shared" ca="1" si="160"/>
        <v>0</v>
      </c>
      <c r="F2585" s="21">
        <f t="shared" ca="1" si="161"/>
        <v>0</v>
      </c>
      <c r="H2585" s="21">
        <v>2570</v>
      </c>
      <c r="I2585" s="102">
        <v>0.66796052035909048</v>
      </c>
      <c r="J2585" s="103">
        <v>1.541971284832718E-3</v>
      </c>
      <c r="K2585" s="103"/>
      <c r="L2585" s="103">
        <v>4.2799999999999998E-2</v>
      </c>
      <c r="O2585" s="100"/>
    </row>
    <row r="2586" spans="2:15" x14ac:dyDescent="0.2">
      <c r="B2586" s="1">
        <v>2571</v>
      </c>
      <c r="C2586" s="101">
        <f ca="1"/>
        <v>0.87976772815803161</v>
      </c>
      <c r="D2586" s="101">
        <f t="shared" ca="1" si="159"/>
        <v>0.72474479874203113</v>
      </c>
      <c r="E2586" s="101">
        <f t="shared" ca="1" si="160"/>
        <v>0</v>
      </c>
      <c r="F2586" s="21">
        <f t="shared" ca="1" si="161"/>
        <v>0</v>
      </c>
      <c r="H2586" s="21">
        <v>2571</v>
      </c>
      <c r="I2586" s="102">
        <v>0.66760548825618682</v>
      </c>
      <c r="J2586" s="103">
        <v>1.3136204523831361E-3</v>
      </c>
      <c r="K2586" s="103"/>
      <c r="L2586" s="103">
        <v>3.9399999999999998E-2</v>
      </c>
      <c r="O2586" s="100"/>
    </row>
    <row r="2587" spans="2:15" x14ac:dyDescent="0.2">
      <c r="B2587" s="1">
        <v>2572</v>
      </c>
      <c r="C2587" s="101">
        <f ca="1"/>
        <v>2.0353040514389331</v>
      </c>
      <c r="D2587" s="101">
        <f t="shared" ca="1" si="159"/>
        <v>0.81224598059296083</v>
      </c>
      <c r="E2587" s="101">
        <f t="shared" ca="1" si="160"/>
        <v>2.4045980592960814E-2</v>
      </c>
      <c r="F2587" s="21">
        <f t="shared" ca="1" si="161"/>
        <v>1</v>
      </c>
      <c r="H2587" s="21">
        <v>2572</v>
      </c>
      <c r="I2587" s="102">
        <v>0.66781442139647962</v>
      </c>
      <c r="J2587" s="103">
        <v>1.4580688787062977E-3</v>
      </c>
      <c r="K2587" s="103"/>
      <c r="L2587" s="103">
        <v>4.1799999999999997E-2</v>
      </c>
      <c r="O2587" s="100"/>
    </row>
    <row r="2588" spans="2:15" x14ac:dyDescent="0.2">
      <c r="B2588" s="1">
        <v>2573</v>
      </c>
      <c r="C2588" s="101">
        <f ca="1"/>
        <v>0.72195828434776943</v>
      </c>
      <c r="D2588" s="101">
        <f t="shared" ca="1" si="159"/>
        <v>0.71355039020500843</v>
      </c>
      <c r="E2588" s="101">
        <f t="shared" ca="1" si="160"/>
        <v>0</v>
      </c>
      <c r="F2588" s="21">
        <f t="shared" ca="1" si="161"/>
        <v>0</v>
      </c>
      <c r="H2588" s="21">
        <v>2573</v>
      </c>
      <c r="I2588" s="102">
        <v>0.66764707250738153</v>
      </c>
      <c r="J2588" s="103">
        <v>1.3522331878192337E-3</v>
      </c>
      <c r="K2588" s="103"/>
      <c r="L2588" s="103">
        <v>3.9199999999999999E-2</v>
      </c>
      <c r="O2588" s="100"/>
    </row>
    <row r="2589" spans="2:15" x14ac:dyDescent="0.2">
      <c r="B2589" s="1">
        <v>2574</v>
      </c>
      <c r="C2589" s="101">
        <f ca="1"/>
        <v>-0.35544143732067318</v>
      </c>
      <c r="D2589" s="101">
        <f t="shared" ca="1" si="159"/>
        <v>0.64160761257698673</v>
      </c>
      <c r="E2589" s="101">
        <f t="shared" ca="1" si="160"/>
        <v>0</v>
      </c>
      <c r="F2589" s="21">
        <f t="shared" ca="1" si="161"/>
        <v>0</v>
      </c>
      <c r="H2589" s="21">
        <v>2574</v>
      </c>
      <c r="I2589" s="102">
        <v>0.66779521451793467</v>
      </c>
      <c r="J2589" s="103">
        <v>1.5038779778442941E-3</v>
      </c>
      <c r="K2589" s="103"/>
      <c r="L2589" s="103">
        <v>4.1799999999999997E-2</v>
      </c>
      <c r="O2589" s="100"/>
    </row>
    <row r="2590" spans="2:15" x14ac:dyDescent="0.2">
      <c r="B2590" s="1">
        <v>2575</v>
      </c>
      <c r="C2590" s="101">
        <f ca="1"/>
        <v>-2.0648472871702784E-2</v>
      </c>
      <c r="D2590" s="101">
        <f t="shared" ca="1" si="159"/>
        <v>0.66315008912807771</v>
      </c>
      <c r="E2590" s="101">
        <f t="shared" ca="1" si="160"/>
        <v>0</v>
      </c>
      <c r="F2590" s="21">
        <f t="shared" ca="1" si="161"/>
        <v>0</v>
      </c>
      <c r="H2590" s="21">
        <v>2575</v>
      </c>
      <c r="I2590" s="102">
        <v>0.66767392950883619</v>
      </c>
      <c r="J2590" s="103">
        <v>1.3438832596723788E-3</v>
      </c>
      <c r="K2590" s="103"/>
      <c r="L2590" s="103">
        <v>0.04</v>
      </c>
      <c r="O2590" s="100"/>
    </row>
    <row r="2591" spans="2:15" x14ac:dyDescent="0.2">
      <c r="B2591" s="1">
        <v>2576</v>
      </c>
      <c r="C2591" s="101">
        <f ca="1"/>
        <v>-9.9605521248871717E-2</v>
      </c>
      <c r="D2591" s="101">
        <f t="shared" ca="1" si="159"/>
        <v>0.65800525354930128</v>
      </c>
      <c r="E2591" s="101">
        <f t="shared" ca="1" si="160"/>
        <v>0</v>
      </c>
      <c r="F2591" s="21">
        <f t="shared" ca="1" si="161"/>
        <v>0</v>
      </c>
      <c r="H2591" s="21">
        <v>2576</v>
      </c>
      <c r="I2591" s="102">
        <v>0.6675352652086598</v>
      </c>
      <c r="J2591" s="103">
        <v>1.2233583434313772E-3</v>
      </c>
      <c r="K2591" s="103"/>
      <c r="L2591" s="103">
        <v>3.78E-2</v>
      </c>
      <c r="O2591" s="100"/>
    </row>
    <row r="2592" spans="2:15" x14ac:dyDescent="0.2">
      <c r="B2592" s="1">
        <v>2577</v>
      </c>
      <c r="C2592" s="101">
        <f ca="1"/>
        <v>-0.46898465026137559</v>
      </c>
      <c r="D2592" s="101">
        <f t="shared" ca="1" si="159"/>
        <v>0.63446166546774407</v>
      </c>
      <c r="E2592" s="101">
        <f t="shared" ca="1" si="160"/>
        <v>0</v>
      </c>
      <c r="F2592" s="21">
        <f t="shared" ca="1" si="161"/>
        <v>0</v>
      </c>
      <c r="H2592" s="21">
        <v>2577</v>
      </c>
      <c r="I2592" s="102">
        <v>0.6676838134050358</v>
      </c>
      <c r="J2592" s="103">
        <v>1.246133996787205E-3</v>
      </c>
      <c r="K2592" s="103"/>
      <c r="L2592" s="103">
        <v>4.2799999999999998E-2</v>
      </c>
      <c r="O2592" s="100"/>
    </row>
    <row r="2593" spans="2:15" x14ac:dyDescent="0.2">
      <c r="B2593" s="1">
        <v>2578</v>
      </c>
      <c r="C2593" s="101">
        <f ca="1"/>
        <v>0.29314957666914682</v>
      </c>
      <c r="D2593" s="101">
        <f t="shared" ca="1" si="159"/>
        <v>0.6839978668456651</v>
      </c>
      <c r="E2593" s="101">
        <f t="shared" ca="1" si="160"/>
        <v>0</v>
      </c>
      <c r="F2593" s="21">
        <f t="shared" ca="1" si="161"/>
        <v>0</v>
      </c>
      <c r="H2593" s="21">
        <v>2578</v>
      </c>
      <c r="I2593" s="102">
        <v>0.66767447644374722</v>
      </c>
      <c r="J2593" s="103">
        <v>1.2546249488423564E-3</v>
      </c>
      <c r="K2593" s="103"/>
      <c r="L2593" s="103">
        <v>4.0800000000000003E-2</v>
      </c>
      <c r="O2593" s="100"/>
    </row>
    <row r="2594" spans="2:15" x14ac:dyDescent="0.2">
      <c r="B2594" s="1">
        <v>2579</v>
      </c>
      <c r="C2594" s="101">
        <f ca="1"/>
        <v>0.23724526384121725</v>
      </c>
      <c r="D2594" s="101">
        <f t="shared" ca="1" si="159"/>
        <v>0.68023635824971906</v>
      </c>
      <c r="E2594" s="101">
        <f t="shared" ca="1" si="160"/>
        <v>0</v>
      </c>
      <c r="F2594" s="21">
        <f t="shared" ca="1" si="161"/>
        <v>0</v>
      </c>
      <c r="H2594" s="21">
        <v>2579</v>
      </c>
      <c r="I2594" s="102">
        <v>0.66772567065053856</v>
      </c>
      <c r="J2594" s="103">
        <v>1.2687864340633688E-3</v>
      </c>
      <c r="K2594" s="103"/>
      <c r="L2594" s="103">
        <v>4.1799999999999997E-2</v>
      </c>
      <c r="O2594" s="100"/>
    </row>
    <row r="2595" spans="2:15" x14ac:dyDescent="0.2">
      <c r="B2595" s="1">
        <v>2580</v>
      </c>
      <c r="C2595" s="101">
        <f ca="1"/>
        <v>-0.82241617012204016</v>
      </c>
      <c r="D2595" s="101">
        <f t="shared" ca="1" si="159"/>
        <v>0.61272358633834467</v>
      </c>
      <c r="E2595" s="101">
        <f t="shared" ca="1" si="160"/>
        <v>0</v>
      </c>
      <c r="F2595" s="21">
        <f t="shared" ca="1" si="161"/>
        <v>0</v>
      </c>
      <c r="H2595" s="21">
        <v>2580</v>
      </c>
      <c r="I2595" s="102">
        <v>0.66756650142329488</v>
      </c>
      <c r="J2595" s="103">
        <v>1.1027145864123682E-3</v>
      </c>
      <c r="K2595" s="103"/>
      <c r="L2595" s="103">
        <v>3.8800000000000001E-2</v>
      </c>
      <c r="O2595" s="100"/>
    </row>
    <row r="2596" spans="2:15" x14ac:dyDescent="0.2">
      <c r="B2596" s="1">
        <v>2581</v>
      </c>
      <c r="C2596" s="101">
        <f ca="1"/>
        <v>-0.26721542849024033</v>
      </c>
      <c r="D2596" s="101">
        <f t="shared" ca="1" si="159"/>
        <v>0.64721571822261359</v>
      </c>
      <c r="E2596" s="101">
        <f t="shared" ca="1" si="160"/>
        <v>0</v>
      </c>
      <c r="F2596" s="21">
        <f t="shared" ca="1" si="161"/>
        <v>0</v>
      </c>
      <c r="H2596" s="21">
        <v>2581</v>
      </c>
      <c r="I2596" s="102">
        <v>0.66793971812477415</v>
      </c>
      <c r="J2596" s="103">
        <v>1.5293042280544724E-3</v>
      </c>
      <c r="K2596" s="103"/>
      <c r="L2596" s="103">
        <v>4.7199999999999999E-2</v>
      </c>
      <c r="O2596" s="100"/>
    </row>
    <row r="2597" spans="2:15" x14ac:dyDescent="0.2">
      <c r="B2597" s="1">
        <v>2582</v>
      </c>
      <c r="C2597" s="101">
        <f ca="1"/>
        <v>-0.13121575915879286</v>
      </c>
      <c r="D2597" s="101">
        <f t="shared" ca="1" si="159"/>
        <v>0.65595673868024174</v>
      </c>
      <c r="E2597" s="101">
        <f t="shared" ca="1" si="160"/>
        <v>0</v>
      </c>
      <c r="F2597" s="21">
        <f t="shared" ca="1" si="161"/>
        <v>0</v>
      </c>
      <c r="H2597" s="21">
        <v>2582</v>
      </c>
      <c r="I2597" s="102">
        <v>0.66760864634376371</v>
      </c>
      <c r="J2597" s="103">
        <v>1.2569452957886661E-3</v>
      </c>
      <c r="K2597" s="103"/>
      <c r="L2597" s="103">
        <v>3.9E-2</v>
      </c>
      <c r="O2597" s="100"/>
    </row>
    <row r="2598" spans="2:15" x14ac:dyDescent="0.2">
      <c r="B2598" s="1">
        <v>2583</v>
      </c>
      <c r="C2598" s="101">
        <f ca="1"/>
        <v>-1.4198447174810174</v>
      </c>
      <c r="D2598" s="101">
        <f t="shared" ca="1" si="159"/>
        <v>0.57765844636590924</v>
      </c>
      <c r="E2598" s="101">
        <f t="shared" ca="1" si="160"/>
        <v>0</v>
      </c>
      <c r="F2598" s="21">
        <f t="shared" ca="1" si="161"/>
        <v>0</v>
      </c>
      <c r="H2598" s="21">
        <v>2583</v>
      </c>
      <c r="I2598" s="102">
        <v>0.66771112927922582</v>
      </c>
      <c r="J2598" s="103">
        <v>1.1890197536934591E-3</v>
      </c>
      <c r="K2598" s="103"/>
      <c r="L2598" s="103">
        <v>3.8600000000000002E-2</v>
      </c>
      <c r="O2598" s="100"/>
    </row>
    <row r="2599" spans="2:15" x14ac:dyDescent="0.2">
      <c r="B2599" s="1">
        <v>2584</v>
      </c>
      <c r="C2599" s="101">
        <f ca="1"/>
        <v>0.13623496331417201</v>
      </c>
      <c r="D2599" s="101">
        <f t="shared" ca="1" si="159"/>
        <v>0.67349228013613061</v>
      </c>
      <c r="E2599" s="101">
        <f t="shared" ca="1" si="160"/>
        <v>0</v>
      </c>
      <c r="F2599" s="21">
        <f t="shared" ca="1" si="161"/>
        <v>0</v>
      </c>
      <c r="H2599" s="21">
        <v>2584</v>
      </c>
      <c r="I2599" s="102">
        <v>0.66768171025868917</v>
      </c>
      <c r="J2599" s="103">
        <v>1.3697879258933727E-3</v>
      </c>
      <c r="K2599" s="103"/>
      <c r="L2599" s="103">
        <v>3.9600000000000003E-2</v>
      </c>
      <c r="O2599" s="100"/>
    </row>
    <row r="2600" spans="2:15" x14ac:dyDescent="0.2">
      <c r="B2600" s="1">
        <v>2585</v>
      </c>
      <c r="C2600" s="101">
        <f ca="1"/>
        <v>1.2136175419467563</v>
      </c>
      <c r="D2600" s="101">
        <f t="shared" ca="1" si="159"/>
        <v>0.74900898496359114</v>
      </c>
      <c r="E2600" s="101">
        <f t="shared" ca="1" si="160"/>
        <v>0</v>
      </c>
      <c r="F2600" s="21">
        <f t="shared" ca="1" si="161"/>
        <v>0</v>
      </c>
      <c r="H2600" s="21">
        <v>2585</v>
      </c>
      <c r="I2600" s="102">
        <v>0.66780557278877783</v>
      </c>
      <c r="J2600" s="103">
        <v>1.4378150640562482E-3</v>
      </c>
      <c r="K2600" s="103"/>
      <c r="L2600" s="103">
        <v>4.36E-2</v>
      </c>
      <c r="O2600" s="100"/>
    </row>
    <row r="2601" spans="2:15" x14ac:dyDescent="0.2">
      <c r="B2601" s="1">
        <v>2586</v>
      </c>
      <c r="C2601" s="101">
        <f ca="1"/>
        <v>-0.14095600445364032</v>
      </c>
      <c r="D2601" s="101">
        <f t="shared" ca="1" si="159"/>
        <v>0.65532680420615275</v>
      </c>
      <c r="E2601" s="101">
        <f t="shared" ca="1" si="160"/>
        <v>0</v>
      </c>
      <c r="F2601" s="21">
        <f t="shared" ca="1" si="161"/>
        <v>0</v>
      </c>
      <c r="H2601" s="21">
        <v>2586</v>
      </c>
      <c r="I2601" s="102">
        <v>0.66770921947153006</v>
      </c>
      <c r="J2601" s="103">
        <v>1.3211447506730268E-3</v>
      </c>
      <c r="K2601" s="103"/>
      <c r="L2601" s="103">
        <v>4.24E-2</v>
      </c>
      <c r="O2601" s="100"/>
    </row>
    <row r="2602" spans="2:15" x14ac:dyDescent="0.2">
      <c r="B2602" s="1">
        <v>2587</v>
      </c>
      <c r="C2602" s="101">
        <f ca="1"/>
        <v>0.25316539250451281</v>
      </c>
      <c r="D2602" s="101">
        <f t="shared" ca="1" si="159"/>
        <v>0.68130542879423484</v>
      </c>
      <c r="E2602" s="101">
        <f t="shared" ca="1" si="160"/>
        <v>0</v>
      </c>
      <c r="F2602" s="21">
        <f t="shared" ca="1" si="161"/>
        <v>0</v>
      </c>
      <c r="H2602" s="21">
        <v>2587</v>
      </c>
      <c r="I2602" s="102">
        <v>0.66772696563478673</v>
      </c>
      <c r="J2602" s="103">
        <v>1.3307663999465535E-3</v>
      </c>
      <c r="K2602" s="103"/>
      <c r="L2602" s="103">
        <v>3.9600000000000003E-2</v>
      </c>
      <c r="O2602" s="100"/>
    </row>
    <row r="2603" spans="2:15" x14ac:dyDescent="0.2">
      <c r="B2603" s="1">
        <v>2588</v>
      </c>
      <c r="C2603" s="101">
        <f ca="1"/>
        <v>-0.56676070506505516</v>
      </c>
      <c r="D2603" s="101">
        <f t="shared" ca="1" si="159"/>
        <v>0.62837184979309912</v>
      </c>
      <c r="E2603" s="101">
        <f t="shared" ca="1" si="160"/>
        <v>0</v>
      </c>
      <c r="F2603" s="21">
        <f t="shared" ca="1" si="161"/>
        <v>0</v>
      </c>
      <c r="H2603" s="21">
        <v>2588</v>
      </c>
      <c r="I2603" s="102">
        <v>0.66787793658355665</v>
      </c>
      <c r="J2603" s="103">
        <v>1.6195227368276566E-3</v>
      </c>
      <c r="K2603" s="103"/>
      <c r="L2603" s="103">
        <v>4.58E-2</v>
      </c>
      <c r="O2603" s="100"/>
    </row>
    <row r="2604" spans="2:15" x14ac:dyDescent="0.2">
      <c r="B2604" s="1">
        <v>2589</v>
      </c>
      <c r="C2604" s="101">
        <f ca="1"/>
        <v>0.52025267429226885</v>
      </c>
      <c r="D2604" s="101">
        <f t="shared" ca="1" si="159"/>
        <v>0.69949353350257581</v>
      </c>
      <c r="E2604" s="101">
        <f t="shared" ca="1" si="160"/>
        <v>0</v>
      </c>
      <c r="F2604" s="21">
        <f t="shared" ca="1" si="161"/>
        <v>0</v>
      </c>
      <c r="H2604" s="21">
        <v>2589</v>
      </c>
      <c r="I2604" s="102">
        <v>0.66767924400989975</v>
      </c>
      <c r="J2604" s="103">
        <v>1.3844306975812977E-3</v>
      </c>
      <c r="K2604" s="103"/>
      <c r="L2604" s="103">
        <v>4.1200000000000001E-2</v>
      </c>
      <c r="O2604" s="100"/>
    </row>
    <row r="2605" spans="2:15" x14ac:dyDescent="0.2">
      <c r="B2605" s="1">
        <v>2590</v>
      </c>
      <c r="C2605" s="101">
        <f ca="1"/>
        <v>1.1117140800148371</v>
      </c>
      <c r="D2605" s="101">
        <f t="shared" ca="1" si="159"/>
        <v>0.74151774076893495</v>
      </c>
      <c r="E2605" s="101">
        <f t="shared" ca="1" si="160"/>
        <v>0</v>
      </c>
      <c r="F2605" s="21">
        <f t="shared" ca="1" si="161"/>
        <v>0</v>
      </c>
      <c r="H2605" s="21">
        <v>2590</v>
      </c>
      <c r="I2605" s="102">
        <v>0.66767421974106633</v>
      </c>
      <c r="J2605" s="103">
        <v>1.2469992355811442E-3</v>
      </c>
      <c r="K2605" s="103"/>
      <c r="L2605" s="103">
        <v>3.8199999999999998E-2</v>
      </c>
      <c r="O2605" s="100"/>
    </row>
    <row r="2606" spans="2:15" x14ac:dyDescent="0.2">
      <c r="B2606" s="1">
        <v>2591</v>
      </c>
      <c r="C2606" s="101">
        <f ca="1"/>
        <v>0.30799946506876857</v>
      </c>
      <c r="D2606" s="101">
        <f t="shared" ca="1" si="159"/>
        <v>0.6850005297709798</v>
      </c>
      <c r="E2606" s="101">
        <f t="shared" ca="1" si="160"/>
        <v>0</v>
      </c>
      <c r="F2606" s="21">
        <f t="shared" ca="1" si="161"/>
        <v>0</v>
      </c>
      <c r="H2606" s="21">
        <v>2591</v>
      </c>
      <c r="I2606" s="102">
        <v>0.66777994863266998</v>
      </c>
      <c r="J2606" s="103">
        <v>1.362673651329025E-3</v>
      </c>
      <c r="K2606" s="103"/>
      <c r="L2606" s="103">
        <v>4.2200000000000001E-2</v>
      </c>
      <c r="O2606" s="100"/>
    </row>
    <row r="2607" spans="2:15" x14ac:dyDescent="0.2">
      <c r="B2607" s="1">
        <v>2592</v>
      </c>
      <c r="C2607" s="101">
        <f ca="1"/>
        <v>-0.51371617351683774</v>
      </c>
      <c r="D2607" s="101">
        <f t="shared" ca="1" si="159"/>
        <v>0.63166834867651522</v>
      </c>
      <c r="E2607" s="101">
        <f t="shared" ca="1" si="160"/>
        <v>0</v>
      </c>
      <c r="F2607" s="21">
        <f t="shared" ca="1" si="161"/>
        <v>0</v>
      </c>
      <c r="H2607" s="21">
        <v>2592</v>
      </c>
      <c r="I2607" s="102">
        <v>0.66772067962112458</v>
      </c>
      <c r="J2607" s="103">
        <v>1.2830538944055975E-3</v>
      </c>
      <c r="K2607" s="103"/>
      <c r="L2607" s="103">
        <v>4.2799999999999998E-2</v>
      </c>
      <c r="O2607" s="100"/>
    </row>
    <row r="2608" spans="2:15" x14ac:dyDescent="0.2">
      <c r="B2608" s="1">
        <v>2593</v>
      </c>
      <c r="C2608" s="101">
        <f ca="1"/>
        <v>-0.74674142653085707</v>
      </c>
      <c r="D2608" s="101">
        <f t="shared" ca="1" si="159"/>
        <v>0.61731447114038118</v>
      </c>
      <c r="E2608" s="101">
        <f t="shared" ca="1" si="160"/>
        <v>0</v>
      </c>
      <c r="F2608" s="21">
        <f t="shared" ca="1" si="161"/>
        <v>0</v>
      </c>
      <c r="H2608" s="21">
        <v>2593</v>
      </c>
      <c r="I2608" s="102">
        <v>0.66774424627545659</v>
      </c>
      <c r="J2608" s="103">
        <v>1.3284370687199833E-3</v>
      </c>
      <c r="K2608" s="103"/>
      <c r="L2608" s="103">
        <v>4.1799999999999997E-2</v>
      </c>
      <c r="O2608" s="100"/>
    </row>
    <row r="2609" spans="2:15" x14ac:dyDescent="0.2">
      <c r="B2609" s="1">
        <v>2594</v>
      </c>
      <c r="C2609" s="101">
        <f ca="1"/>
        <v>-0.82800597739196491</v>
      </c>
      <c r="D2609" s="101">
        <f t="shared" ca="1" si="159"/>
        <v>0.61238583225603294</v>
      </c>
      <c r="E2609" s="101">
        <f t="shared" ca="1" si="160"/>
        <v>0</v>
      </c>
      <c r="F2609" s="21">
        <f t="shared" ca="1" si="161"/>
        <v>0</v>
      </c>
      <c r="H2609" s="21">
        <v>2594</v>
      </c>
      <c r="I2609" s="102">
        <v>0.66776762775883058</v>
      </c>
      <c r="J2609" s="103">
        <v>1.348819188961046E-3</v>
      </c>
      <c r="K2609" s="103"/>
      <c r="L2609" s="103">
        <v>4.2799999999999998E-2</v>
      </c>
      <c r="O2609" s="100"/>
    </row>
    <row r="2610" spans="2:15" x14ac:dyDescent="0.2">
      <c r="B2610" s="1">
        <v>2595</v>
      </c>
      <c r="C2610" s="101">
        <f ca="1"/>
        <v>1.1160003165327492</v>
      </c>
      <c r="D2610" s="101">
        <f t="shared" ca="1" si="159"/>
        <v>0.74183132079494551</v>
      </c>
      <c r="E2610" s="101">
        <f t="shared" ca="1" si="160"/>
        <v>0</v>
      </c>
      <c r="F2610" s="21">
        <f t="shared" ca="1" si="161"/>
        <v>0</v>
      </c>
      <c r="H2610" s="21">
        <v>2595</v>
      </c>
      <c r="I2610" s="102">
        <v>0.6677795013079999</v>
      </c>
      <c r="J2610" s="103">
        <v>1.4106118593813623E-3</v>
      </c>
      <c r="K2610" s="103"/>
      <c r="L2610" s="103">
        <v>4.2999999999999997E-2</v>
      </c>
      <c r="O2610" s="100"/>
    </row>
    <row r="2611" spans="2:15" x14ac:dyDescent="0.2">
      <c r="B2611" s="1">
        <v>2596</v>
      </c>
      <c r="C2611" s="101">
        <f ca="1"/>
        <v>1.1728059013789922</v>
      </c>
      <c r="D2611" s="101">
        <f t="shared" ca="1" si="159"/>
        <v>0.74599974998206486</v>
      </c>
      <c r="E2611" s="101">
        <f t="shared" ca="1" si="160"/>
        <v>0</v>
      </c>
      <c r="F2611" s="21">
        <f t="shared" ca="1" si="161"/>
        <v>0</v>
      </c>
      <c r="H2611" s="21">
        <v>2596</v>
      </c>
      <c r="I2611" s="102">
        <v>0.66762286999626586</v>
      </c>
      <c r="J2611" s="103">
        <v>1.1170907847242884E-3</v>
      </c>
      <c r="K2611" s="103"/>
      <c r="L2611" s="103">
        <v>3.6999999999999998E-2</v>
      </c>
      <c r="O2611" s="100"/>
    </row>
    <row r="2612" spans="2:15" x14ac:dyDescent="0.2">
      <c r="B2612" s="1">
        <v>2597</v>
      </c>
      <c r="C2612" s="101">
        <f ca="1"/>
        <v>-1.406225837746256</v>
      </c>
      <c r="D2612" s="101">
        <f t="shared" ca="1" si="159"/>
        <v>0.57843498516208969</v>
      </c>
      <c r="E2612" s="101">
        <f t="shared" ca="1" si="160"/>
        <v>0</v>
      </c>
      <c r="F2612" s="21">
        <f t="shared" ca="1" si="161"/>
        <v>0</v>
      </c>
      <c r="H2612" s="21">
        <v>2597</v>
      </c>
      <c r="I2612" s="102">
        <v>0.66769828116417096</v>
      </c>
      <c r="J2612" s="103">
        <v>1.247645611600814E-3</v>
      </c>
      <c r="K2612" s="103"/>
      <c r="L2612" s="103">
        <v>0.04</v>
      </c>
      <c r="O2612" s="100"/>
    </row>
    <row r="2613" spans="2:15" x14ac:dyDescent="0.2">
      <c r="B2613" s="1">
        <v>2598</v>
      </c>
      <c r="C2613" s="101">
        <f ca="1"/>
        <v>3.0848509350335271E-2</v>
      </c>
      <c r="D2613" s="101">
        <f t="shared" ca="1" si="159"/>
        <v>0.66652728328402933</v>
      </c>
      <c r="E2613" s="101">
        <f t="shared" ca="1" si="160"/>
        <v>0</v>
      </c>
      <c r="F2613" s="21">
        <f t="shared" ca="1" si="161"/>
        <v>0</v>
      </c>
      <c r="H2613" s="21">
        <v>2598</v>
      </c>
      <c r="I2613" s="102">
        <v>0.66771490800492772</v>
      </c>
      <c r="J2613" s="103">
        <v>1.2512940718091383E-3</v>
      </c>
      <c r="K2613" s="103"/>
      <c r="L2613" s="103">
        <v>3.8399999999999997E-2</v>
      </c>
      <c r="O2613" s="100"/>
    </row>
    <row r="2614" spans="2:15" x14ac:dyDescent="0.2">
      <c r="B2614" s="1">
        <v>2599</v>
      </c>
      <c r="C2614" s="101">
        <f ca="1"/>
        <v>0.20521384064109788</v>
      </c>
      <c r="D2614" s="101">
        <f t="shared" ca="1" si="159"/>
        <v>0.67809046035095255</v>
      </c>
      <c r="E2614" s="101">
        <f t="shared" ca="1" si="160"/>
        <v>0</v>
      </c>
      <c r="F2614" s="21">
        <f t="shared" ca="1" si="161"/>
        <v>0</v>
      </c>
      <c r="H2614" s="21">
        <v>2599</v>
      </c>
      <c r="I2614" s="102">
        <v>0.66765114704433315</v>
      </c>
      <c r="J2614" s="103">
        <v>1.1505222817158802E-3</v>
      </c>
      <c r="K2614" s="103"/>
      <c r="L2614" s="103">
        <v>3.7999999999999999E-2</v>
      </c>
      <c r="O2614" s="100"/>
    </row>
    <row r="2615" spans="2:15" x14ac:dyDescent="0.2">
      <c r="B2615" s="1">
        <v>2600</v>
      </c>
      <c r="C2615" s="101">
        <f ca="1"/>
        <v>0.22670427918069153</v>
      </c>
      <c r="D2615" s="101">
        <f t="shared" ca="1" si="159"/>
        <v>0.67952943191915116</v>
      </c>
      <c r="E2615" s="101">
        <f t="shared" ca="1" si="160"/>
        <v>0</v>
      </c>
      <c r="F2615" s="21">
        <f t="shared" ca="1" si="161"/>
        <v>0</v>
      </c>
      <c r="H2615" s="21">
        <v>2600</v>
      </c>
      <c r="I2615" s="102">
        <v>0.66779992884643957</v>
      </c>
      <c r="J2615" s="103">
        <v>1.3807103210666616E-3</v>
      </c>
      <c r="K2615" s="103"/>
      <c r="L2615" s="103">
        <v>4.6399999999999997E-2</v>
      </c>
      <c r="O2615" s="100"/>
    </row>
    <row r="2616" spans="2:15" x14ac:dyDescent="0.2">
      <c r="B2616" s="1">
        <v>2601</v>
      </c>
      <c r="C2616" s="101">
        <f ca="1"/>
        <v>-0.59896756325238953</v>
      </c>
      <c r="D2616" s="101">
        <f t="shared" ca="1" si="159"/>
        <v>0.62637872585900334</v>
      </c>
      <c r="E2616" s="101">
        <f t="shared" ca="1" si="160"/>
        <v>0</v>
      </c>
      <c r="F2616" s="21">
        <f t="shared" ca="1" si="161"/>
        <v>0</v>
      </c>
      <c r="H2616" s="21">
        <v>2601</v>
      </c>
      <c r="I2616" s="102">
        <v>0.66781373930543109</v>
      </c>
      <c r="J2616" s="103">
        <v>1.3682357476477891E-3</v>
      </c>
      <c r="K2616" s="103"/>
      <c r="L2616" s="103">
        <v>4.1200000000000001E-2</v>
      </c>
      <c r="O2616" s="100"/>
    </row>
    <row r="2617" spans="2:15" x14ac:dyDescent="0.2">
      <c r="B2617" s="1">
        <v>2602</v>
      </c>
      <c r="C2617" s="101">
        <f ca="1"/>
        <v>-1.9321850849011211</v>
      </c>
      <c r="D2617" s="101">
        <f t="shared" ca="1" si="159"/>
        <v>0.54919020443883082</v>
      </c>
      <c r="E2617" s="101">
        <f t="shared" ca="1" si="160"/>
        <v>0</v>
      </c>
      <c r="F2617" s="21">
        <f t="shared" ca="1" si="161"/>
        <v>0</v>
      </c>
      <c r="H2617" s="21">
        <v>2602</v>
      </c>
      <c r="I2617" s="102">
        <v>0.66780817922073543</v>
      </c>
      <c r="J2617" s="103">
        <v>1.4507870788139747E-3</v>
      </c>
      <c r="K2617" s="103"/>
      <c r="L2617" s="103">
        <v>4.3799999999999999E-2</v>
      </c>
      <c r="O2617" s="100"/>
    </row>
    <row r="2618" spans="2:15" x14ac:dyDescent="0.2">
      <c r="B2618" s="1">
        <v>2603</v>
      </c>
      <c r="C2618" s="101">
        <f ca="1"/>
        <v>1.3064999133947235</v>
      </c>
      <c r="D2618" s="101">
        <f t="shared" ca="1" si="159"/>
        <v>0.75590296869205698</v>
      </c>
      <c r="E2618" s="101">
        <f t="shared" ca="1" si="160"/>
        <v>0</v>
      </c>
      <c r="F2618" s="21">
        <f t="shared" ca="1" si="161"/>
        <v>0</v>
      </c>
      <c r="H2618" s="21">
        <v>2603</v>
      </c>
      <c r="I2618" s="102">
        <v>0.66772800900620455</v>
      </c>
      <c r="J2618" s="103">
        <v>1.4540411182367035E-3</v>
      </c>
      <c r="K2618" s="103"/>
      <c r="L2618" s="103">
        <v>4.1000000000000002E-2</v>
      </c>
      <c r="O2618" s="100"/>
    </row>
    <row r="2619" spans="2:15" x14ac:dyDescent="0.2">
      <c r="B2619" s="1">
        <v>2604</v>
      </c>
      <c r="C2619" s="101">
        <f ca="1"/>
        <v>0.41899267554357089</v>
      </c>
      <c r="D2619" s="101">
        <f t="shared" ca="1" si="159"/>
        <v>0.69254147577404901</v>
      </c>
      <c r="E2619" s="101">
        <f t="shared" ca="1" si="160"/>
        <v>0</v>
      </c>
      <c r="F2619" s="21">
        <f t="shared" ca="1" si="161"/>
        <v>0</v>
      </c>
      <c r="H2619" s="21">
        <v>2604</v>
      </c>
      <c r="I2619" s="102">
        <v>0.66787484168917355</v>
      </c>
      <c r="J2619" s="103">
        <v>1.6093332419716197E-3</v>
      </c>
      <c r="K2619" s="103"/>
      <c r="L2619" s="103">
        <v>4.7600000000000003E-2</v>
      </c>
      <c r="O2619" s="100"/>
    </row>
    <row r="2620" spans="2:15" x14ac:dyDescent="0.2">
      <c r="B2620" s="1">
        <v>2605</v>
      </c>
      <c r="C2620" s="101">
        <f ca="1"/>
        <v>-1.5059307017367172</v>
      </c>
      <c r="D2620" s="101">
        <f t="shared" ca="1" si="159"/>
        <v>0.57277394936357562</v>
      </c>
      <c r="E2620" s="101">
        <f t="shared" ca="1" si="160"/>
        <v>0</v>
      </c>
      <c r="F2620" s="21">
        <f t="shared" ca="1" si="161"/>
        <v>0</v>
      </c>
      <c r="H2620" s="21">
        <v>2605</v>
      </c>
      <c r="I2620" s="102">
        <v>0.66783204437547528</v>
      </c>
      <c r="J2620" s="103">
        <v>1.5876101053293574E-3</v>
      </c>
      <c r="K2620" s="103"/>
      <c r="L2620" s="103">
        <v>4.48E-2</v>
      </c>
      <c r="O2620" s="100"/>
    </row>
    <row r="2621" spans="2:15" x14ac:dyDescent="0.2">
      <c r="B2621" s="1">
        <v>2606</v>
      </c>
      <c r="C2621" s="101">
        <f ca="1"/>
        <v>1.5589335319921134</v>
      </c>
      <c r="D2621" s="101">
        <f t="shared" ca="1" si="159"/>
        <v>0.77496154321002486</v>
      </c>
      <c r="E2621" s="101">
        <f t="shared" ca="1" si="160"/>
        <v>0</v>
      </c>
      <c r="F2621" s="21">
        <f t="shared" ca="1" si="161"/>
        <v>0</v>
      </c>
      <c r="H2621" s="21">
        <v>2606</v>
      </c>
      <c r="I2621" s="102">
        <v>0.66769439527890162</v>
      </c>
      <c r="J2621" s="103">
        <v>1.3825058488093859E-3</v>
      </c>
      <c r="K2621" s="103"/>
      <c r="L2621" s="103">
        <v>4.1599999999999998E-2</v>
      </c>
      <c r="O2621" s="100"/>
    </row>
    <row r="2622" spans="2:15" x14ac:dyDescent="0.2">
      <c r="B2622" s="1">
        <v>2607</v>
      </c>
      <c r="C2622" s="101">
        <f ca="1"/>
        <v>1.1277669437115598</v>
      </c>
      <c r="D2622" s="101">
        <f t="shared" ca="1" si="159"/>
        <v>0.74269284626511156</v>
      </c>
      <c r="E2622" s="101">
        <f t="shared" ca="1" si="160"/>
        <v>0</v>
      </c>
      <c r="F2622" s="21">
        <f t="shared" ca="1" si="161"/>
        <v>0</v>
      </c>
      <c r="H2622" s="21">
        <v>2607</v>
      </c>
      <c r="I2622" s="102">
        <v>0.66770639567218026</v>
      </c>
      <c r="J2622" s="103">
        <v>1.4270987369054736E-3</v>
      </c>
      <c r="K2622" s="103"/>
      <c r="L2622" s="103">
        <v>4.1200000000000001E-2</v>
      </c>
      <c r="O2622" s="100"/>
    </row>
    <row r="2623" spans="2:15" x14ac:dyDescent="0.2">
      <c r="B2623" s="1">
        <v>2608</v>
      </c>
      <c r="C2623" s="101">
        <f ca="1"/>
        <v>0.34785253655721049</v>
      </c>
      <c r="D2623" s="101">
        <f t="shared" ca="1" si="159"/>
        <v>0.687698676269484</v>
      </c>
      <c r="E2623" s="101">
        <f t="shared" ca="1" si="160"/>
        <v>0</v>
      </c>
      <c r="F2623" s="21">
        <f t="shared" ca="1" si="161"/>
        <v>0</v>
      </c>
      <c r="H2623" s="21">
        <v>2608</v>
      </c>
      <c r="I2623" s="102">
        <v>0.66767398139089651</v>
      </c>
      <c r="J2623" s="103">
        <v>1.2881110405007002E-3</v>
      </c>
      <c r="K2623" s="103"/>
      <c r="L2623" s="103">
        <v>3.9800000000000002E-2</v>
      </c>
      <c r="O2623" s="100"/>
    </row>
    <row r="2624" spans="2:15" x14ac:dyDescent="0.2">
      <c r="B2624" s="1">
        <v>2609</v>
      </c>
      <c r="C2624" s="101">
        <f ca="1"/>
        <v>-9.5313573620509642E-2</v>
      </c>
      <c r="D2624" s="101">
        <f t="shared" ca="1" si="159"/>
        <v>0.65828388787103853</v>
      </c>
      <c r="E2624" s="101">
        <f t="shared" ca="1" si="160"/>
        <v>0</v>
      </c>
      <c r="F2624" s="21">
        <f t="shared" ca="1" si="161"/>
        <v>0</v>
      </c>
      <c r="H2624" s="21">
        <v>2609</v>
      </c>
      <c r="I2624" s="102">
        <v>0.66774361455450959</v>
      </c>
      <c r="J2624" s="103">
        <v>1.4136763970791727E-3</v>
      </c>
      <c r="K2624" s="103"/>
      <c r="L2624" s="103">
        <v>4.1399999999999999E-2</v>
      </c>
      <c r="O2624" s="100"/>
    </row>
    <row r="2625" spans="2:15" x14ac:dyDescent="0.2">
      <c r="B2625" s="1">
        <v>2610</v>
      </c>
      <c r="C2625" s="101">
        <f ca="1"/>
        <v>-0.99963118935705275</v>
      </c>
      <c r="D2625" s="101">
        <f t="shared" ca="1" si="159"/>
        <v>0.60210580777304212</v>
      </c>
      <c r="E2625" s="101">
        <f t="shared" ca="1" si="160"/>
        <v>0</v>
      </c>
      <c r="F2625" s="21">
        <f t="shared" ca="1" si="161"/>
        <v>0</v>
      </c>
      <c r="H2625" s="21">
        <v>2610</v>
      </c>
      <c r="I2625" s="102">
        <v>0.66766277276664554</v>
      </c>
      <c r="J2625" s="103">
        <v>1.2835940444999978E-3</v>
      </c>
      <c r="K2625" s="103"/>
      <c r="L2625" s="103">
        <v>3.9399999999999998E-2</v>
      </c>
      <c r="O2625" s="100"/>
    </row>
    <row r="2626" spans="2:15" x14ac:dyDescent="0.2">
      <c r="B2626" s="1">
        <v>2611</v>
      </c>
      <c r="C2626" s="101">
        <f ca="1"/>
        <v>1.0331126615499426</v>
      </c>
      <c r="D2626" s="101">
        <f t="shared" ca="1" si="159"/>
        <v>0.73579072604336004</v>
      </c>
      <c r="E2626" s="101">
        <f t="shared" ca="1" si="160"/>
        <v>0</v>
      </c>
      <c r="F2626" s="21">
        <f t="shared" ca="1" si="161"/>
        <v>0</v>
      </c>
      <c r="H2626" s="21">
        <v>2611</v>
      </c>
      <c r="I2626" s="102">
        <v>0.6676039524126447</v>
      </c>
      <c r="J2626" s="103">
        <v>1.2228683255683876E-3</v>
      </c>
      <c r="K2626" s="103"/>
      <c r="L2626" s="103">
        <v>3.6400000000000002E-2</v>
      </c>
      <c r="O2626" s="100"/>
    </row>
    <row r="2627" spans="2:15" x14ac:dyDescent="0.2">
      <c r="B2627" s="1">
        <v>2612</v>
      </c>
      <c r="C2627" s="101">
        <f ca="1"/>
        <v>0.79590513069664581</v>
      </c>
      <c r="D2627" s="101">
        <f t="shared" ca="1" si="159"/>
        <v>0.71877420880256315</v>
      </c>
      <c r="E2627" s="101">
        <f t="shared" ca="1" si="160"/>
        <v>0</v>
      </c>
      <c r="F2627" s="21">
        <f t="shared" ca="1" si="161"/>
        <v>0</v>
      </c>
      <c r="H2627" s="21">
        <v>2612</v>
      </c>
      <c r="I2627" s="102">
        <v>0.66769106042812032</v>
      </c>
      <c r="J2627" s="103">
        <v>1.369887420554965E-3</v>
      </c>
      <c r="K2627" s="103"/>
      <c r="L2627" s="103">
        <v>3.8600000000000002E-2</v>
      </c>
      <c r="O2627" s="100"/>
    </row>
    <row r="2628" spans="2:15" x14ac:dyDescent="0.2">
      <c r="B2628" s="1">
        <v>2613</v>
      </c>
      <c r="C2628" s="101">
        <f ca="1"/>
        <v>-0.22648667259694438</v>
      </c>
      <c r="D2628" s="101">
        <f t="shared" ca="1" si="159"/>
        <v>0.64982116250609478</v>
      </c>
      <c r="E2628" s="101">
        <f t="shared" ca="1" si="160"/>
        <v>0</v>
      </c>
      <c r="F2628" s="21">
        <f t="shared" ca="1" si="161"/>
        <v>0</v>
      </c>
      <c r="H2628" s="21">
        <v>2613</v>
      </c>
      <c r="I2628" s="102">
        <v>0.66786897987219052</v>
      </c>
      <c r="J2628" s="103">
        <v>1.4596770126853985E-3</v>
      </c>
      <c r="K2628" s="103"/>
      <c r="L2628" s="103">
        <v>4.36E-2</v>
      </c>
      <c r="O2628" s="100"/>
    </row>
    <row r="2629" spans="2:15" x14ac:dyDescent="0.2">
      <c r="B2629" s="1">
        <v>2614</v>
      </c>
      <c r="C2629" s="101">
        <f ca="1"/>
        <v>0.28046780400501514</v>
      </c>
      <c r="D2629" s="101">
        <f t="shared" ca="1" si="159"/>
        <v>0.68314275681608538</v>
      </c>
      <c r="E2629" s="101">
        <f t="shared" ca="1" si="160"/>
        <v>0</v>
      </c>
      <c r="F2629" s="21">
        <f t="shared" ca="1" si="161"/>
        <v>0</v>
      </c>
      <c r="H2629" s="21">
        <v>2614</v>
      </c>
      <c r="I2629" s="102">
        <v>0.66762919451968095</v>
      </c>
      <c r="J2629" s="103">
        <v>1.3068830321228179E-3</v>
      </c>
      <c r="K2629" s="103"/>
      <c r="L2629" s="103">
        <v>4.1399999999999999E-2</v>
      </c>
      <c r="O2629" s="100"/>
    </row>
    <row r="2630" spans="2:15" x14ac:dyDescent="0.2">
      <c r="B2630" s="1">
        <v>2615</v>
      </c>
      <c r="C2630" s="101">
        <f ca="1"/>
        <v>0.70210591584377169</v>
      </c>
      <c r="D2630" s="101">
        <f t="shared" ca="1" si="159"/>
        <v>0.71215443746825247</v>
      </c>
      <c r="E2630" s="101">
        <f t="shared" ca="1" si="160"/>
        <v>0</v>
      </c>
      <c r="F2630" s="21">
        <f t="shared" ca="1" si="161"/>
        <v>0</v>
      </c>
      <c r="H2630" s="21">
        <v>2615</v>
      </c>
      <c r="I2630" s="102">
        <v>0.66775910947282135</v>
      </c>
      <c r="J2630" s="103">
        <v>1.5738344980744893E-3</v>
      </c>
      <c r="K2630" s="103"/>
      <c r="L2630" s="103">
        <v>4.2000000000000003E-2</v>
      </c>
      <c r="O2630" s="100"/>
    </row>
    <row r="2631" spans="2:15" x14ac:dyDescent="0.2">
      <c r="B2631" s="1">
        <v>2616</v>
      </c>
      <c r="C2631" s="101">
        <f ca="1"/>
        <v>0.57899962188393284</v>
      </c>
      <c r="D2631" s="101">
        <f t="shared" ca="1" si="159"/>
        <v>0.7035587797727636</v>
      </c>
      <c r="E2631" s="101">
        <f t="shared" ca="1" si="160"/>
        <v>0</v>
      </c>
      <c r="F2631" s="21">
        <f t="shared" ca="1" si="161"/>
        <v>0</v>
      </c>
      <c r="H2631" s="21">
        <v>2616</v>
      </c>
      <c r="I2631" s="102">
        <v>0.66754396392651938</v>
      </c>
      <c r="J2631" s="103">
        <v>1.1576830448324232E-3</v>
      </c>
      <c r="K2631" s="103"/>
      <c r="L2631" s="103">
        <v>3.6400000000000002E-2</v>
      </c>
      <c r="O2631" s="100"/>
    </row>
    <row r="2632" spans="2:15" x14ac:dyDescent="0.2">
      <c r="B2632" s="1">
        <v>2617</v>
      </c>
      <c r="C2632" s="101">
        <f ca="1"/>
        <v>-1.3147838559177694</v>
      </c>
      <c r="D2632" s="101">
        <f t="shared" ca="1" si="159"/>
        <v>0.58367604615975022</v>
      </c>
      <c r="E2632" s="101">
        <f t="shared" ca="1" si="160"/>
        <v>0</v>
      </c>
      <c r="F2632" s="21">
        <f t="shared" ca="1" si="161"/>
        <v>0</v>
      </c>
      <c r="H2632" s="21">
        <v>2617</v>
      </c>
      <c r="I2632" s="102">
        <v>0.66766693291012902</v>
      </c>
      <c r="J2632" s="103">
        <v>1.3335731498911117E-3</v>
      </c>
      <c r="K2632" s="103"/>
      <c r="L2632" s="103">
        <v>3.6200000000000003E-2</v>
      </c>
      <c r="O2632" s="100"/>
    </row>
    <row r="2633" spans="2:15" x14ac:dyDescent="0.2">
      <c r="B2633" s="1">
        <v>2618</v>
      </c>
      <c r="C2633" s="101">
        <f ca="1"/>
        <v>-1.0828972497393934</v>
      </c>
      <c r="D2633" s="101">
        <f t="shared" ca="1" si="159"/>
        <v>0.59718068091197074</v>
      </c>
      <c r="E2633" s="101">
        <f t="shared" ca="1" si="160"/>
        <v>0</v>
      </c>
      <c r="F2633" s="21">
        <f t="shared" ca="1" si="161"/>
        <v>0</v>
      </c>
      <c r="H2633" s="21">
        <v>2618</v>
      </c>
      <c r="I2633" s="102">
        <v>0.66798474113108119</v>
      </c>
      <c r="J2633" s="103">
        <v>1.7081352090453617E-3</v>
      </c>
      <c r="K2633" s="103"/>
      <c r="L2633" s="103">
        <v>4.5999999999999999E-2</v>
      </c>
      <c r="O2633" s="100"/>
    </row>
    <row r="2634" spans="2:15" x14ac:dyDescent="0.2">
      <c r="B2634" s="1">
        <v>2619</v>
      </c>
      <c r="C2634" s="101">
        <f ca="1"/>
        <v>1.018541401868394</v>
      </c>
      <c r="D2634" s="101">
        <f t="shared" ca="1" si="159"/>
        <v>0.73473391283192202</v>
      </c>
      <c r="E2634" s="101">
        <f t="shared" ca="1" si="160"/>
        <v>0</v>
      </c>
      <c r="F2634" s="21">
        <f t="shared" ca="1" si="161"/>
        <v>0</v>
      </c>
      <c r="H2634" s="21">
        <v>2619</v>
      </c>
      <c r="I2634" s="102">
        <v>0.66784468094128024</v>
      </c>
      <c r="J2634" s="103">
        <v>1.4510711321462219E-3</v>
      </c>
      <c r="K2634" s="103"/>
      <c r="L2634" s="103">
        <v>4.2200000000000001E-2</v>
      </c>
      <c r="O2634" s="100"/>
    </row>
    <row r="2635" spans="2:15" x14ac:dyDescent="0.2">
      <c r="B2635" s="1">
        <v>2620</v>
      </c>
      <c r="C2635" s="101">
        <f ca="1"/>
        <v>0.11743608207151057</v>
      </c>
      <c r="D2635" s="101">
        <f t="shared" ca="1" si="159"/>
        <v>0.67224454925768951</v>
      </c>
      <c r="E2635" s="101">
        <f t="shared" ca="1" si="160"/>
        <v>0</v>
      </c>
      <c r="F2635" s="21">
        <f t="shared" ca="1" si="161"/>
        <v>0</v>
      </c>
      <c r="H2635" s="21">
        <v>2620</v>
      </c>
      <c r="I2635" s="102">
        <v>0.66782898960682502</v>
      </c>
      <c r="J2635" s="103">
        <v>1.5105069171794684E-3</v>
      </c>
      <c r="K2635" s="103"/>
      <c r="L2635" s="103">
        <v>4.2799999999999998E-2</v>
      </c>
      <c r="O2635" s="100"/>
    </row>
    <row r="2636" spans="2:15" x14ac:dyDescent="0.2">
      <c r="B2636" s="1">
        <v>2621</v>
      </c>
      <c r="C2636" s="101">
        <f ca="1"/>
        <v>1.1098641972630341</v>
      </c>
      <c r="D2636" s="101">
        <f t="shared" ca="1" si="159"/>
        <v>0.74138244474730708</v>
      </c>
      <c r="E2636" s="101">
        <f t="shared" ca="1" si="160"/>
        <v>0</v>
      </c>
      <c r="F2636" s="21">
        <f t="shared" ca="1" si="161"/>
        <v>0</v>
      </c>
      <c r="H2636" s="21">
        <v>2621</v>
      </c>
      <c r="I2636" s="102">
        <v>0.66797491173339263</v>
      </c>
      <c r="J2636" s="103">
        <v>1.7708137265781581E-3</v>
      </c>
      <c r="K2636" s="103"/>
      <c r="L2636" s="103">
        <v>4.8399999999999999E-2</v>
      </c>
      <c r="O2636" s="100"/>
    </row>
    <row r="2637" spans="2:15" x14ac:dyDescent="0.2">
      <c r="B2637" s="1">
        <v>2622</v>
      </c>
      <c r="C2637" s="101">
        <f ca="1"/>
        <v>-0.39771314822817511</v>
      </c>
      <c r="D2637" s="101">
        <f t="shared" ca="1" si="159"/>
        <v>0.63893784716514301</v>
      </c>
      <c r="E2637" s="101">
        <f t="shared" ca="1" si="160"/>
        <v>0</v>
      </c>
      <c r="F2637" s="21">
        <f t="shared" ca="1" si="161"/>
        <v>0</v>
      </c>
      <c r="H2637" s="21">
        <v>2622</v>
      </c>
      <c r="I2637" s="102">
        <v>0.66767963955737264</v>
      </c>
      <c r="J2637" s="103">
        <v>1.3646421336015767E-3</v>
      </c>
      <c r="K2637" s="103"/>
      <c r="L2637" s="103">
        <v>3.9600000000000003E-2</v>
      </c>
      <c r="O2637" s="100"/>
    </row>
    <row r="2638" spans="2:15" x14ac:dyDescent="0.2">
      <c r="B2638" s="1">
        <v>2623</v>
      </c>
      <c r="C2638" s="101">
        <f ca="1"/>
        <v>0.34183689239668802</v>
      </c>
      <c r="D2638" s="101">
        <f t="shared" ca="1" si="159"/>
        <v>0.68729072303484318</v>
      </c>
      <c r="E2638" s="101">
        <f t="shared" ca="1" si="160"/>
        <v>0</v>
      </c>
      <c r="F2638" s="21">
        <f t="shared" ca="1" si="161"/>
        <v>0</v>
      </c>
      <c r="H2638" s="21">
        <v>2623</v>
      </c>
      <c r="I2638" s="102">
        <v>0.66767058495069054</v>
      </c>
      <c r="J2638" s="103">
        <v>1.2870663758600062E-3</v>
      </c>
      <c r="K2638" s="103"/>
      <c r="L2638" s="103">
        <v>3.7199999999999997E-2</v>
      </c>
      <c r="O2638" s="100"/>
    </row>
    <row r="2639" spans="2:15" x14ac:dyDescent="0.2">
      <c r="B2639" s="1">
        <v>2624</v>
      </c>
      <c r="C2639" s="101">
        <f ca="1"/>
        <v>0.91310831637116929</v>
      </c>
      <c r="D2639" s="101">
        <f t="shared" ca="1" si="159"/>
        <v>0.72713223401692839</v>
      </c>
      <c r="E2639" s="101">
        <f t="shared" ca="1" si="160"/>
        <v>0</v>
      </c>
      <c r="F2639" s="21">
        <f t="shared" ca="1" si="161"/>
        <v>0</v>
      </c>
      <c r="H2639" s="21">
        <v>2624</v>
      </c>
      <c r="I2639" s="102">
        <v>0.66778665646864666</v>
      </c>
      <c r="J2639" s="103">
        <v>1.4041944307497942E-3</v>
      </c>
      <c r="K2639" s="103"/>
      <c r="L2639" s="103">
        <v>3.9800000000000002E-2</v>
      </c>
      <c r="O2639" s="100"/>
    </row>
    <row r="2640" spans="2:15" x14ac:dyDescent="0.2">
      <c r="B2640" s="1">
        <v>2625</v>
      </c>
      <c r="C2640" s="101">
        <f ca="1"/>
        <v>-0.42942244609260827</v>
      </c>
      <c r="D2640" s="101">
        <f t="shared" ref="D2640:D2703" ca="1" si="162">S0*EXP((μ-0.5*σ*σ)*T+σ*SQRT(T)*$C2640)</f>
        <v>0.63694246946645283</v>
      </c>
      <c r="E2640" s="101">
        <f t="shared" ref="E2640:E2703" ca="1" si="163">MAX(0,CP*(D2640-K))</f>
        <v>0</v>
      </c>
      <c r="F2640" s="21">
        <f t="shared" ref="F2640:F2703" ca="1" si="164">(CP*(D2640-K)&gt;0)*1</f>
        <v>0</v>
      </c>
      <c r="H2640" s="21">
        <v>2625</v>
      </c>
      <c r="I2640" s="102">
        <v>0.66779801497689184</v>
      </c>
      <c r="J2640" s="103">
        <v>1.3840092526054206E-3</v>
      </c>
      <c r="K2640" s="103"/>
      <c r="L2640" s="103">
        <v>4.4400000000000002E-2</v>
      </c>
      <c r="O2640" s="100"/>
    </row>
    <row r="2641" spans="2:15" x14ac:dyDescent="0.2">
      <c r="B2641" s="1">
        <v>2626</v>
      </c>
      <c r="C2641" s="101">
        <f ca="1"/>
        <v>0.67895344283210757</v>
      </c>
      <c r="D2641" s="101">
        <f t="shared" ca="1" si="162"/>
        <v>0.71052988161379249</v>
      </c>
      <c r="E2641" s="101">
        <f t="shared" ca="1" si="163"/>
        <v>0</v>
      </c>
      <c r="F2641" s="21">
        <f t="shared" ca="1" si="164"/>
        <v>0</v>
      </c>
      <c r="H2641" s="21">
        <v>2626</v>
      </c>
      <c r="I2641" s="102">
        <v>0.66767576459422329</v>
      </c>
      <c r="J2641" s="103">
        <v>1.2643731956615469E-3</v>
      </c>
      <c r="K2641" s="103"/>
      <c r="L2641" s="103">
        <v>3.8800000000000001E-2</v>
      </c>
      <c r="O2641" s="100"/>
    </row>
    <row r="2642" spans="2:15" x14ac:dyDescent="0.2">
      <c r="B2642" s="1">
        <v>2627</v>
      </c>
      <c r="C2642" s="101">
        <f ca="1"/>
        <v>-1.087351167210667</v>
      </c>
      <c r="D2642" s="101">
        <f t="shared" ca="1" si="162"/>
        <v>0.59691837298344541</v>
      </c>
      <c r="E2642" s="101">
        <f t="shared" ca="1" si="163"/>
        <v>0</v>
      </c>
      <c r="F2642" s="21">
        <f t="shared" ca="1" si="164"/>
        <v>0</v>
      </c>
      <c r="H2642" s="21">
        <v>2627</v>
      </c>
      <c r="I2642" s="102">
        <v>0.66774219961133408</v>
      </c>
      <c r="J2642" s="103">
        <v>1.483697023131665E-3</v>
      </c>
      <c r="K2642" s="103"/>
      <c r="L2642" s="103">
        <v>4.1599999999999998E-2</v>
      </c>
      <c r="O2642" s="100"/>
    </row>
    <row r="2643" spans="2:15" x14ac:dyDescent="0.2">
      <c r="B2643" s="1">
        <v>2628</v>
      </c>
      <c r="C2643" s="101">
        <f ca="1"/>
        <v>0.98631051737102415</v>
      </c>
      <c r="D2643" s="101">
        <f t="shared" ca="1" si="162"/>
        <v>0.73240168476424317</v>
      </c>
      <c r="E2643" s="101">
        <f t="shared" ca="1" si="163"/>
        <v>0</v>
      </c>
      <c r="F2643" s="21">
        <f t="shared" ca="1" si="164"/>
        <v>0</v>
      </c>
      <c r="H2643" s="21">
        <v>2628</v>
      </c>
      <c r="I2643" s="102">
        <v>0.66785394500050499</v>
      </c>
      <c r="J2643" s="103">
        <v>1.5123205474508895E-3</v>
      </c>
      <c r="K2643" s="103"/>
      <c r="L2643" s="103">
        <v>4.1200000000000001E-2</v>
      </c>
      <c r="O2643" s="100"/>
    </row>
    <row r="2644" spans="2:15" x14ac:dyDescent="0.2">
      <c r="B2644" s="1">
        <v>2629</v>
      </c>
      <c r="C2644" s="101">
        <f ca="1"/>
        <v>0.96877211629197213</v>
      </c>
      <c r="D2644" s="101">
        <f t="shared" ca="1" si="162"/>
        <v>0.73113571707969394</v>
      </c>
      <c r="E2644" s="101">
        <f t="shared" ca="1" si="163"/>
        <v>0</v>
      </c>
      <c r="F2644" s="21">
        <f t="shared" ca="1" si="164"/>
        <v>0</v>
      </c>
      <c r="H2644" s="21">
        <v>2629</v>
      </c>
      <c r="I2644" s="102">
        <v>0.66778396710364363</v>
      </c>
      <c r="J2644" s="103">
        <v>1.4856082749478757E-3</v>
      </c>
      <c r="K2644" s="103"/>
      <c r="L2644" s="103">
        <v>4.4400000000000002E-2</v>
      </c>
      <c r="O2644" s="100"/>
    </row>
    <row r="2645" spans="2:15" x14ac:dyDescent="0.2">
      <c r="B2645" s="1">
        <v>2630</v>
      </c>
      <c r="C2645" s="101">
        <f ca="1"/>
        <v>-1.7540625069665376</v>
      </c>
      <c r="D2645" s="101">
        <f t="shared" ca="1" si="162"/>
        <v>0.55892488202224877</v>
      </c>
      <c r="E2645" s="101">
        <f t="shared" ca="1" si="163"/>
        <v>0</v>
      </c>
      <c r="F2645" s="21">
        <f t="shared" ca="1" si="164"/>
        <v>0</v>
      </c>
      <c r="H2645" s="21">
        <v>2630</v>
      </c>
      <c r="I2645" s="102">
        <v>0.66777420241181251</v>
      </c>
      <c r="J2645" s="103">
        <v>1.3522146770061849E-3</v>
      </c>
      <c r="K2645" s="103"/>
      <c r="L2645" s="103">
        <v>4.2000000000000003E-2</v>
      </c>
      <c r="O2645" s="100"/>
    </row>
    <row r="2646" spans="2:15" x14ac:dyDescent="0.2">
      <c r="B2646" s="1">
        <v>2631</v>
      </c>
      <c r="C2646" s="101">
        <f ca="1"/>
        <v>-1.2951987306948183</v>
      </c>
      <c r="D2646" s="101">
        <f t="shared" ca="1" si="162"/>
        <v>0.58480474141300876</v>
      </c>
      <c r="E2646" s="101">
        <f t="shared" ca="1" si="163"/>
        <v>0</v>
      </c>
      <c r="F2646" s="21">
        <f t="shared" ca="1" si="164"/>
        <v>0</v>
      </c>
      <c r="H2646" s="21">
        <v>2631</v>
      </c>
      <c r="I2646" s="102">
        <v>0.66770295252058598</v>
      </c>
      <c r="J2646" s="103">
        <v>1.3187878706313314E-3</v>
      </c>
      <c r="K2646" s="103"/>
      <c r="L2646" s="103">
        <v>4.24E-2</v>
      </c>
      <c r="O2646" s="100"/>
    </row>
    <row r="2647" spans="2:15" x14ac:dyDescent="0.2">
      <c r="B2647" s="1">
        <v>2632</v>
      </c>
      <c r="C2647" s="101">
        <f ca="1"/>
        <v>1.2054247418759778</v>
      </c>
      <c r="D2647" s="101">
        <f t="shared" ca="1" si="162"/>
        <v>0.74840391888012958</v>
      </c>
      <c r="E2647" s="101">
        <f t="shared" ca="1" si="163"/>
        <v>0</v>
      </c>
      <c r="F2647" s="21">
        <f t="shared" ca="1" si="164"/>
        <v>0</v>
      </c>
      <c r="H2647" s="21">
        <v>2632</v>
      </c>
      <c r="I2647" s="102">
        <v>0.66778159436069595</v>
      </c>
      <c r="J2647" s="103">
        <v>1.3310347715141807E-3</v>
      </c>
      <c r="K2647" s="103"/>
      <c r="L2647" s="103">
        <v>4.1799999999999997E-2</v>
      </c>
      <c r="O2647" s="100"/>
    </row>
    <row r="2648" spans="2:15" x14ac:dyDescent="0.2">
      <c r="B2648" s="1">
        <v>2633</v>
      </c>
      <c r="C2648" s="101">
        <f ca="1"/>
        <v>0.69789568031301485</v>
      </c>
      <c r="D2648" s="101">
        <f t="shared" ca="1" si="162"/>
        <v>0.71185873884766571</v>
      </c>
      <c r="E2648" s="101">
        <f t="shared" ca="1" si="163"/>
        <v>0</v>
      </c>
      <c r="F2648" s="21">
        <f t="shared" ca="1" si="164"/>
        <v>0</v>
      </c>
      <c r="H2648" s="21">
        <v>2633</v>
      </c>
      <c r="I2648" s="102">
        <v>0.6678978102326707</v>
      </c>
      <c r="J2648" s="103">
        <v>1.6024722320164835E-3</v>
      </c>
      <c r="K2648" s="103"/>
      <c r="L2648" s="103">
        <v>4.5400000000000003E-2</v>
      </c>
      <c r="O2648" s="100"/>
    </row>
    <row r="2649" spans="2:15" x14ac:dyDescent="0.2">
      <c r="B2649" s="1">
        <v>2634</v>
      </c>
      <c r="C2649" s="101">
        <f ca="1"/>
        <v>1.0259304635801723</v>
      </c>
      <c r="D2649" s="101">
        <f t="shared" ca="1" si="162"/>
        <v>0.73526963122969236</v>
      </c>
      <c r="E2649" s="101">
        <f t="shared" ca="1" si="163"/>
        <v>0</v>
      </c>
      <c r="F2649" s="21">
        <f t="shared" ca="1" si="164"/>
        <v>0</v>
      </c>
      <c r="H2649" s="21">
        <v>2634</v>
      </c>
      <c r="I2649" s="102">
        <v>0.66773270404021567</v>
      </c>
      <c r="J2649" s="103">
        <v>1.2622059898709302E-3</v>
      </c>
      <c r="K2649" s="103"/>
      <c r="L2649" s="103">
        <v>4.2000000000000003E-2</v>
      </c>
      <c r="O2649" s="100"/>
    </row>
    <row r="2650" spans="2:15" x14ac:dyDescent="0.2">
      <c r="B2650" s="1">
        <v>2635</v>
      </c>
      <c r="C2650" s="101">
        <f ca="1"/>
        <v>-0.20799309131318244</v>
      </c>
      <c r="D2650" s="101">
        <f t="shared" ca="1" si="162"/>
        <v>0.65100766856127135</v>
      </c>
      <c r="E2650" s="101">
        <f t="shared" ca="1" si="163"/>
        <v>0</v>
      </c>
      <c r="F2650" s="21">
        <f t="shared" ca="1" si="164"/>
        <v>0</v>
      </c>
      <c r="H2650" s="21">
        <v>2635</v>
      </c>
      <c r="I2650" s="102">
        <v>0.6676355147019577</v>
      </c>
      <c r="J2650" s="103">
        <v>1.3696160838242994E-3</v>
      </c>
      <c r="K2650" s="103"/>
      <c r="L2650" s="103">
        <v>3.78E-2</v>
      </c>
      <c r="O2650" s="100"/>
    </row>
    <row r="2651" spans="2:15" x14ac:dyDescent="0.2">
      <c r="B2651" s="1">
        <v>2636</v>
      </c>
      <c r="C2651" s="101">
        <f ca="1"/>
        <v>0.21910252967064403</v>
      </c>
      <c r="D2651" s="101">
        <f t="shared" ca="1" si="162"/>
        <v>0.67902008004294179</v>
      </c>
      <c r="E2651" s="101">
        <f t="shared" ca="1" si="163"/>
        <v>0</v>
      </c>
      <c r="F2651" s="21">
        <f t="shared" ca="1" si="164"/>
        <v>0</v>
      </c>
      <c r="H2651" s="21">
        <v>2636</v>
      </c>
      <c r="I2651" s="102">
        <v>0.66791518589120302</v>
      </c>
      <c r="J2651" s="103">
        <v>1.5215589548684474E-3</v>
      </c>
      <c r="K2651" s="103"/>
      <c r="L2651" s="103">
        <v>4.6399999999999997E-2</v>
      </c>
      <c r="O2651" s="100"/>
    </row>
    <row r="2652" spans="2:15" x14ac:dyDescent="0.2">
      <c r="B2652" s="1">
        <v>2637</v>
      </c>
      <c r="C2652" s="101">
        <f ca="1"/>
        <v>0.29680507058541172</v>
      </c>
      <c r="D2652" s="101">
        <f t="shared" ca="1" si="162"/>
        <v>0.68424454916061117</v>
      </c>
      <c r="E2652" s="101">
        <f t="shared" ca="1" si="163"/>
        <v>0</v>
      </c>
      <c r="F2652" s="21">
        <f t="shared" ca="1" si="164"/>
        <v>0</v>
      </c>
      <c r="H2652" s="21">
        <v>2637</v>
      </c>
      <c r="I2652" s="102">
        <v>0.66776230052836005</v>
      </c>
      <c r="J2652" s="103">
        <v>1.2923626352470154E-3</v>
      </c>
      <c r="K2652" s="103"/>
      <c r="L2652" s="103">
        <v>4.2599999999999999E-2</v>
      </c>
      <c r="O2652" s="100"/>
    </row>
    <row r="2653" spans="2:15" x14ac:dyDescent="0.2">
      <c r="B2653" s="1">
        <v>2638</v>
      </c>
      <c r="C2653" s="101">
        <f ca="1"/>
        <v>0.66762995674561443</v>
      </c>
      <c r="D2653" s="101">
        <f t="shared" ca="1" si="162"/>
        <v>0.70973668860892447</v>
      </c>
      <c r="E2653" s="101">
        <f t="shared" ca="1" si="163"/>
        <v>0</v>
      </c>
      <c r="F2653" s="21">
        <f t="shared" ca="1" si="164"/>
        <v>0</v>
      </c>
      <c r="H2653" s="21">
        <v>2638</v>
      </c>
      <c r="I2653" s="102">
        <v>0.66770678109838599</v>
      </c>
      <c r="J2653" s="103">
        <v>1.3274672412952582E-3</v>
      </c>
      <c r="K2653" s="103"/>
      <c r="L2653" s="103">
        <v>3.8800000000000001E-2</v>
      </c>
      <c r="O2653" s="100"/>
    </row>
    <row r="2654" spans="2:15" x14ac:dyDescent="0.2">
      <c r="B2654" s="1">
        <v>2639</v>
      </c>
      <c r="C2654" s="101">
        <f ca="1"/>
        <v>-0.92703803817109109</v>
      </c>
      <c r="D2654" s="101">
        <f t="shared" ca="1" si="162"/>
        <v>0.6064327711244033</v>
      </c>
      <c r="E2654" s="101">
        <f t="shared" ca="1" si="163"/>
        <v>0</v>
      </c>
      <c r="F2654" s="21">
        <f t="shared" ca="1" si="164"/>
        <v>0</v>
      </c>
      <c r="H2654" s="21">
        <v>2639</v>
      </c>
      <c r="I2654" s="102">
        <v>0.66774255767739843</v>
      </c>
      <c r="J2654" s="103">
        <v>1.526087080234863E-3</v>
      </c>
      <c r="K2654" s="103"/>
      <c r="L2654" s="103">
        <v>4.1799999999999997E-2</v>
      </c>
      <c r="O2654" s="100"/>
    </row>
    <row r="2655" spans="2:15" x14ac:dyDescent="0.2">
      <c r="B2655" s="1">
        <v>2640</v>
      </c>
      <c r="C2655" s="101">
        <f ca="1"/>
        <v>1.7575879186731584</v>
      </c>
      <c r="D2655" s="101">
        <f t="shared" ca="1" si="162"/>
        <v>0.79029709037225471</v>
      </c>
      <c r="E2655" s="101">
        <f t="shared" ca="1" si="163"/>
        <v>2.0970903722546952E-3</v>
      </c>
      <c r="F2655" s="21">
        <f t="shared" ca="1" si="164"/>
        <v>1</v>
      </c>
      <c r="H2655" s="21">
        <v>2640</v>
      </c>
      <c r="I2655" s="102">
        <v>0.66773522893029136</v>
      </c>
      <c r="J2655" s="103">
        <v>1.2931059051629478E-3</v>
      </c>
      <c r="K2655" s="103"/>
      <c r="L2655" s="103">
        <v>4.2000000000000003E-2</v>
      </c>
      <c r="O2655" s="100"/>
    </row>
    <row r="2656" spans="2:15" x14ac:dyDescent="0.2">
      <c r="B2656" s="1">
        <v>2641</v>
      </c>
      <c r="C2656" s="101">
        <f ca="1"/>
        <v>-7.059291039466932E-2</v>
      </c>
      <c r="D2656" s="101">
        <f t="shared" ca="1" si="162"/>
        <v>0.65989105803293868</v>
      </c>
      <c r="E2656" s="101">
        <f t="shared" ca="1" si="163"/>
        <v>0</v>
      </c>
      <c r="F2656" s="21">
        <f t="shared" ca="1" si="164"/>
        <v>0</v>
      </c>
      <c r="H2656" s="21">
        <v>2641</v>
      </c>
      <c r="I2656" s="102">
        <v>0.66772293192733823</v>
      </c>
      <c r="J2656" s="103">
        <v>1.3586029425815967E-3</v>
      </c>
      <c r="K2656" s="103"/>
      <c r="L2656" s="103">
        <v>3.7999999999999999E-2</v>
      </c>
      <c r="O2656" s="100"/>
    </row>
    <row r="2657" spans="2:15" x14ac:dyDescent="0.2">
      <c r="B2657" s="1">
        <v>2642</v>
      </c>
      <c r="C2657" s="101">
        <f ca="1"/>
        <v>0.88623407267054211</v>
      </c>
      <c r="D2657" s="101">
        <f t="shared" ca="1" si="162"/>
        <v>0.72520722380196379</v>
      </c>
      <c r="E2657" s="101">
        <f t="shared" ca="1" si="163"/>
        <v>0</v>
      </c>
      <c r="F2657" s="21">
        <f t="shared" ca="1" si="164"/>
        <v>0</v>
      </c>
      <c r="H2657" s="21">
        <v>2642</v>
      </c>
      <c r="I2657" s="102">
        <v>0.66758622334038376</v>
      </c>
      <c r="J2657" s="103">
        <v>1.2133934668458802E-3</v>
      </c>
      <c r="K2657" s="103"/>
      <c r="L2657" s="103">
        <v>3.7199999999999997E-2</v>
      </c>
      <c r="O2657" s="100"/>
    </row>
    <row r="2658" spans="2:15" x14ac:dyDescent="0.2">
      <c r="B2658" s="1">
        <v>2643</v>
      </c>
      <c r="C2658" s="101">
        <f ca="1"/>
        <v>6.8725209146565325E-2</v>
      </c>
      <c r="D2658" s="101">
        <f t="shared" ca="1" si="162"/>
        <v>0.66902222568387448</v>
      </c>
      <c r="E2658" s="101">
        <f t="shared" ca="1" si="163"/>
        <v>0</v>
      </c>
      <c r="F2658" s="21">
        <f t="shared" ca="1" si="164"/>
        <v>0</v>
      </c>
      <c r="H2658" s="21">
        <v>2643</v>
      </c>
      <c r="I2658" s="102">
        <v>0.66777299958908887</v>
      </c>
      <c r="J2658" s="103">
        <v>1.3505955823784697E-3</v>
      </c>
      <c r="K2658" s="103"/>
      <c r="L2658" s="103">
        <v>4.48E-2</v>
      </c>
      <c r="O2658" s="100"/>
    </row>
    <row r="2659" spans="2:15" x14ac:dyDescent="0.2">
      <c r="B2659" s="1">
        <v>2644</v>
      </c>
      <c r="C2659" s="101">
        <f ca="1"/>
        <v>-0.45444338599331974</v>
      </c>
      <c r="D2659" s="101">
        <f t="shared" ca="1" si="162"/>
        <v>0.63537237097199173</v>
      </c>
      <c r="E2659" s="101">
        <f t="shared" ca="1" si="163"/>
        <v>0</v>
      </c>
      <c r="F2659" s="21">
        <f t="shared" ca="1" si="164"/>
        <v>0</v>
      </c>
      <c r="H2659" s="21">
        <v>2644</v>
      </c>
      <c r="I2659" s="102">
        <v>0.6677494022595335</v>
      </c>
      <c r="J2659" s="103">
        <v>1.3667893787130785E-3</v>
      </c>
      <c r="K2659" s="103"/>
      <c r="L2659" s="103">
        <v>4.2999999999999997E-2</v>
      </c>
      <c r="O2659" s="100"/>
    </row>
    <row r="2660" spans="2:15" x14ac:dyDescent="0.2">
      <c r="B2660" s="1">
        <v>2645</v>
      </c>
      <c r="C2660" s="101">
        <f ca="1"/>
        <v>1.1301065905544501</v>
      </c>
      <c r="D2660" s="101">
        <f t="shared" ca="1" si="162"/>
        <v>0.74286426905732938</v>
      </c>
      <c r="E2660" s="101">
        <f t="shared" ca="1" si="163"/>
        <v>0</v>
      </c>
      <c r="F2660" s="21">
        <f t="shared" ca="1" si="164"/>
        <v>0</v>
      </c>
      <c r="H2660" s="21">
        <v>2645</v>
      </c>
      <c r="I2660" s="102">
        <v>0.66772886739970394</v>
      </c>
      <c r="J2660" s="103">
        <v>1.4807811864687853E-3</v>
      </c>
      <c r="K2660" s="103"/>
      <c r="L2660" s="103">
        <v>3.9199999999999999E-2</v>
      </c>
      <c r="O2660" s="100"/>
    </row>
    <row r="2661" spans="2:15" x14ac:dyDescent="0.2">
      <c r="B2661" s="1">
        <v>2646</v>
      </c>
      <c r="C2661" s="101">
        <f ca="1"/>
        <v>-0.21022616702569469</v>
      </c>
      <c r="D2661" s="101">
        <f t="shared" ca="1" si="162"/>
        <v>0.65086428458423773</v>
      </c>
      <c r="E2661" s="101">
        <f t="shared" ca="1" si="163"/>
        <v>0</v>
      </c>
      <c r="F2661" s="21">
        <f t="shared" ca="1" si="164"/>
        <v>0</v>
      </c>
      <c r="H2661" s="21">
        <v>2646</v>
      </c>
      <c r="I2661" s="102">
        <v>0.66762568257546828</v>
      </c>
      <c r="J2661" s="103">
        <v>1.2171305629035721E-3</v>
      </c>
      <c r="K2661" s="103"/>
      <c r="L2661" s="103">
        <v>3.5799999999999998E-2</v>
      </c>
      <c r="O2661" s="100"/>
    </row>
    <row r="2662" spans="2:15" x14ac:dyDescent="0.2">
      <c r="B2662" s="1">
        <v>2647</v>
      </c>
      <c r="C2662" s="101">
        <f ca="1"/>
        <v>-1.5480042814253394</v>
      </c>
      <c r="D2662" s="101">
        <f t="shared" ca="1" si="162"/>
        <v>0.57040175248190117</v>
      </c>
      <c r="E2662" s="101">
        <f t="shared" ca="1" si="163"/>
        <v>0</v>
      </c>
      <c r="F2662" s="21">
        <f t="shared" ca="1" si="164"/>
        <v>0</v>
      </c>
      <c r="H2662" s="21">
        <v>2647</v>
      </c>
      <c r="I2662" s="102">
        <v>0.6677747735236842</v>
      </c>
      <c r="J2662" s="103">
        <v>1.5014309913656647E-3</v>
      </c>
      <c r="K2662" s="103"/>
      <c r="L2662" s="103">
        <v>4.58E-2</v>
      </c>
      <c r="O2662" s="100"/>
    </row>
    <row r="2663" spans="2:15" x14ac:dyDescent="0.2">
      <c r="B2663" s="1">
        <v>2648</v>
      </c>
      <c r="C2663" s="101">
        <f ca="1"/>
        <v>0.99894603897361445</v>
      </c>
      <c r="D2663" s="101">
        <f t="shared" ca="1" si="162"/>
        <v>0.73331510806719336</v>
      </c>
      <c r="E2663" s="101">
        <f t="shared" ca="1" si="163"/>
        <v>0</v>
      </c>
      <c r="F2663" s="21">
        <f t="shared" ca="1" si="164"/>
        <v>0</v>
      </c>
      <c r="H2663" s="21">
        <v>2648</v>
      </c>
      <c r="I2663" s="102">
        <v>0.66777861079000245</v>
      </c>
      <c r="J2663" s="103">
        <v>1.4304749423702961E-3</v>
      </c>
      <c r="K2663" s="103"/>
      <c r="L2663" s="103">
        <v>4.36E-2</v>
      </c>
      <c r="O2663" s="100"/>
    </row>
    <row r="2664" spans="2:15" x14ac:dyDescent="0.2">
      <c r="B2664" s="1">
        <v>2649</v>
      </c>
      <c r="C2664" s="101">
        <f ca="1"/>
        <v>1.0607615558132455</v>
      </c>
      <c r="D2664" s="101">
        <f t="shared" ca="1" si="162"/>
        <v>0.73780020444826733</v>
      </c>
      <c r="E2664" s="101">
        <f t="shared" ca="1" si="163"/>
        <v>0</v>
      </c>
      <c r="F2664" s="21">
        <f t="shared" ca="1" si="164"/>
        <v>0</v>
      </c>
      <c r="H2664" s="21">
        <v>2649</v>
      </c>
      <c r="I2664" s="102">
        <v>0.66781205926559939</v>
      </c>
      <c r="J2664" s="103">
        <v>1.3232804388515101E-3</v>
      </c>
      <c r="K2664" s="103"/>
      <c r="L2664" s="103">
        <v>4.24E-2</v>
      </c>
      <c r="O2664" s="100"/>
    </row>
    <row r="2665" spans="2:15" x14ac:dyDescent="0.2">
      <c r="B2665" s="1">
        <v>2650</v>
      </c>
      <c r="C2665" s="101">
        <f ca="1"/>
        <v>-0.12230626291044772</v>
      </c>
      <c r="D2665" s="101">
        <f t="shared" ca="1" si="162"/>
        <v>0.65653347606072132</v>
      </c>
      <c r="E2665" s="101">
        <f t="shared" ca="1" si="163"/>
        <v>0</v>
      </c>
      <c r="F2665" s="21">
        <f t="shared" ca="1" si="164"/>
        <v>0</v>
      </c>
      <c r="H2665" s="21">
        <v>2650</v>
      </c>
      <c r="I2665" s="102">
        <v>0.66785073938543027</v>
      </c>
      <c r="J2665" s="103">
        <v>1.5252311157012682E-3</v>
      </c>
      <c r="K2665" s="103"/>
      <c r="L2665" s="103">
        <v>4.3999999999999997E-2</v>
      </c>
      <c r="O2665" s="100"/>
    </row>
    <row r="2666" spans="2:15" x14ac:dyDescent="0.2">
      <c r="B2666" s="1">
        <v>2651</v>
      </c>
      <c r="C2666" s="101">
        <f ca="1"/>
        <v>1.0700655670907948</v>
      </c>
      <c r="D2666" s="101">
        <f t="shared" ca="1" si="162"/>
        <v>0.73847763878285355</v>
      </c>
      <c r="E2666" s="101">
        <f t="shared" ca="1" si="163"/>
        <v>0</v>
      </c>
      <c r="F2666" s="21">
        <f t="shared" ca="1" si="164"/>
        <v>0</v>
      </c>
      <c r="H2666" s="21">
        <v>2651</v>
      </c>
      <c r="I2666" s="102">
        <v>0.66763434227864937</v>
      </c>
      <c r="J2666" s="103">
        <v>1.1004639933179423E-3</v>
      </c>
      <c r="K2666" s="103"/>
      <c r="L2666" s="103">
        <v>3.6600000000000001E-2</v>
      </c>
      <c r="O2666" s="100"/>
    </row>
    <row r="2667" spans="2:15" x14ac:dyDescent="0.2">
      <c r="B2667" s="1">
        <v>2652</v>
      </c>
      <c r="C2667" s="101">
        <f ca="1"/>
        <v>0.45747206553139375</v>
      </c>
      <c r="D2667" s="101">
        <f t="shared" ca="1" si="162"/>
        <v>0.69517512144400351</v>
      </c>
      <c r="E2667" s="101">
        <f t="shared" ca="1" si="163"/>
        <v>0</v>
      </c>
      <c r="F2667" s="21">
        <f t="shared" ca="1" si="164"/>
        <v>0</v>
      </c>
      <c r="H2667" s="21">
        <v>2652</v>
      </c>
      <c r="I2667" s="102">
        <v>0.66776757426766098</v>
      </c>
      <c r="J2667" s="103">
        <v>1.4009683178705138E-3</v>
      </c>
      <c r="K2667" s="103"/>
      <c r="L2667" s="103">
        <v>4.4200000000000003E-2</v>
      </c>
      <c r="O2667" s="100"/>
    </row>
    <row r="2668" spans="2:15" x14ac:dyDescent="0.2">
      <c r="B2668" s="1">
        <v>2653</v>
      </c>
      <c r="C2668" s="101">
        <f ca="1"/>
        <v>-9.1538394767929382E-2</v>
      </c>
      <c r="D2668" s="101">
        <f t="shared" ca="1" si="162"/>
        <v>0.65852907096626723</v>
      </c>
      <c r="E2668" s="101">
        <f t="shared" ca="1" si="163"/>
        <v>0</v>
      </c>
      <c r="F2668" s="21">
        <f t="shared" ca="1" si="164"/>
        <v>0</v>
      </c>
      <c r="H2668" s="21">
        <v>2653</v>
      </c>
      <c r="I2668" s="102">
        <v>0.66786012088992508</v>
      </c>
      <c r="J2668" s="103">
        <v>1.5073384479244302E-3</v>
      </c>
      <c r="K2668" s="103"/>
      <c r="L2668" s="103">
        <v>4.9200000000000001E-2</v>
      </c>
      <c r="O2668" s="100"/>
    </row>
    <row r="2669" spans="2:15" x14ac:dyDescent="0.2">
      <c r="B2669" s="1">
        <v>2654</v>
      </c>
      <c r="C2669" s="101">
        <f ca="1"/>
        <v>-0.34307930120873686</v>
      </c>
      <c r="D2669" s="101">
        <f t="shared" ca="1" si="162"/>
        <v>0.64239047734742483</v>
      </c>
      <c r="E2669" s="101">
        <f t="shared" ca="1" si="163"/>
        <v>0</v>
      </c>
      <c r="F2669" s="21">
        <f t="shared" ca="1" si="164"/>
        <v>0</v>
      </c>
      <c r="H2669" s="21">
        <v>2654</v>
      </c>
      <c r="I2669" s="102">
        <v>0.66760501838952968</v>
      </c>
      <c r="J2669" s="103">
        <v>1.2500130516056394E-3</v>
      </c>
      <c r="K2669" s="103"/>
      <c r="L2669" s="103">
        <v>3.6400000000000002E-2</v>
      </c>
      <c r="O2669" s="100"/>
    </row>
    <row r="2670" spans="2:15" x14ac:dyDescent="0.2">
      <c r="B2670" s="1">
        <v>2655</v>
      </c>
      <c r="C2670" s="101">
        <f ca="1"/>
        <v>-0.72978106644082597</v>
      </c>
      <c r="D2670" s="101">
        <f t="shared" ca="1" si="162"/>
        <v>0.61834809794575551</v>
      </c>
      <c r="E2670" s="101">
        <f t="shared" ca="1" si="163"/>
        <v>0</v>
      </c>
      <c r="F2670" s="21">
        <f t="shared" ca="1" si="164"/>
        <v>0</v>
      </c>
      <c r="H2670" s="21">
        <v>2655</v>
      </c>
      <c r="I2670" s="102">
        <v>0.6677898821531939</v>
      </c>
      <c r="J2670" s="103">
        <v>1.4003514024867035E-3</v>
      </c>
      <c r="K2670" s="103"/>
      <c r="L2670" s="103">
        <v>4.6199999999999998E-2</v>
      </c>
      <c r="O2670" s="100"/>
    </row>
    <row r="2671" spans="2:15" x14ac:dyDescent="0.2">
      <c r="B2671" s="1">
        <v>2656</v>
      </c>
      <c r="C2671" s="101">
        <f ca="1"/>
        <v>-0.40459848805417153</v>
      </c>
      <c r="D2671" s="101">
        <f t="shared" ca="1" si="162"/>
        <v>0.63850404129847471</v>
      </c>
      <c r="E2671" s="101">
        <f t="shared" ca="1" si="163"/>
        <v>0</v>
      </c>
      <c r="F2671" s="21">
        <f t="shared" ca="1" si="164"/>
        <v>0</v>
      </c>
      <c r="H2671" s="21">
        <v>2656</v>
      </c>
      <c r="I2671" s="102">
        <v>0.66783191165117761</v>
      </c>
      <c r="J2671" s="103">
        <v>1.4932163226952526E-3</v>
      </c>
      <c r="K2671" s="103"/>
      <c r="L2671" s="103">
        <v>4.6600000000000003E-2</v>
      </c>
      <c r="O2671" s="100"/>
    </row>
    <row r="2672" spans="2:15" x14ac:dyDescent="0.2">
      <c r="B2672" s="1">
        <v>2657</v>
      </c>
      <c r="C2672" s="101">
        <f ca="1"/>
        <v>-0.44960081749949332</v>
      </c>
      <c r="D2672" s="101">
        <f t="shared" ca="1" si="162"/>
        <v>0.63567594647896319</v>
      </c>
      <c r="E2672" s="101">
        <f t="shared" ca="1" si="163"/>
        <v>0</v>
      </c>
      <c r="F2672" s="21">
        <f t="shared" ca="1" si="164"/>
        <v>0</v>
      </c>
      <c r="H2672" s="21">
        <v>2657</v>
      </c>
      <c r="I2672" s="102">
        <v>0.66770173064173666</v>
      </c>
      <c r="J2672" s="103">
        <v>1.4217015551098691E-3</v>
      </c>
      <c r="K2672" s="103"/>
      <c r="L2672" s="103">
        <v>0.04</v>
      </c>
      <c r="O2672" s="100"/>
    </row>
    <row r="2673" spans="2:15" x14ac:dyDescent="0.2">
      <c r="B2673" s="1">
        <v>2658</v>
      </c>
      <c r="C2673" s="101">
        <f ca="1"/>
        <v>0.97669716837051423</v>
      </c>
      <c r="D2673" s="101">
        <f t="shared" ca="1" si="162"/>
        <v>0.73170749685422554</v>
      </c>
      <c r="E2673" s="101">
        <f t="shared" ca="1" si="163"/>
        <v>0</v>
      </c>
      <c r="F2673" s="21">
        <f t="shared" ca="1" si="164"/>
        <v>0</v>
      </c>
      <c r="H2673" s="21">
        <v>2658</v>
      </c>
      <c r="I2673" s="102">
        <v>0.66783964468648538</v>
      </c>
      <c r="J2673" s="103">
        <v>1.4969407585364634E-3</v>
      </c>
      <c r="K2673" s="103"/>
      <c r="L2673" s="103">
        <v>4.2599999999999999E-2</v>
      </c>
      <c r="O2673" s="100"/>
    </row>
    <row r="2674" spans="2:15" x14ac:dyDescent="0.2">
      <c r="B2674" s="1">
        <v>2659</v>
      </c>
      <c r="C2674" s="101">
        <f ca="1"/>
        <v>0.19664734377619913</v>
      </c>
      <c r="D2674" s="101">
        <f t="shared" ca="1" si="162"/>
        <v>0.67751770874349559</v>
      </c>
      <c r="E2674" s="101">
        <f t="shared" ca="1" si="163"/>
        <v>0</v>
      </c>
      <c r="F2674" s="21">
        <f t="shared" ca="1" si="164"/>
        <v>0</v>
      </c>
      <c r="H2674" s="21">
        <v>2659</v>
      </c>
      <c r="I2674" s="102">
        <v>0.66777649713886822</v>
      </c>
      <c r="J2674" s="103">
        <v>1.3230371161019514E-3</v>
      </c>
      <c r="K2674" s="103"/>
      <c r="L2674" s="103">
        <v>4.36E-2</v>
      </c>
      <c r="O2674" s="100"/>
    </row>
    <row r="2675" spans="2:15" x14ac:dyDescent="0.2">
      <c r="B2675" s="1">
        <v>2660</v>
      </c>
      <c r="C2675" s="101">
        <f ca="1"/>
        <v>0.21147801195808302</v>
      </c>
      <c r="D2675" s="101">
        <f t="shared" ca="1" si="162"/>
        <v>0.6785095861026943</v>
      </c>
      <c r="E2675" s="101">
        <f t="shared" ca="1" si="163"/>
        <v>0</v>
      </c>
      <c r="F2675" s="21">
        <f t="shared" ca="1" si="164"/>
        <v>0</v>
      </c>
      <c r="H2675" s="21">
        <v>2660</v>
      </c>
      <c r="I2675" s="102">
        <v>0.66795405907517968</v>
      </c>
      <c r="J2675" s="103">
        <v>1.6495940603840492E-3</v>
      </c>
      <c r="K2675" s="103"/>
      <c r="L2675" s="103">
        <v>4.5600000000000002E-2</v>
      </c>
      <c r="O2675" s="100"/>
    </row>
    <row r="2676" spans="2:15" x14ac:dyDescent="0.2">
      <c r="B2676" s="1">
        <v>2661</v>
      </c>
      <c r="C2676" s="101">
        <f ca="1"/>
        <v>-0.25852978387462772</v>
      </c>
      <c r="D2676" s="101">
        <f t="shared" ca="1" si="162"/>
        <v>0.64777046663678717</v>
      </c>
      <c r="E2676" s="101">
        <f t="shared" ca="1" si="163"/>
        <v>0</v>
      </c>
      <c r="F2676" s="21">
        <f t="shared" ca="1" si="164"/>
        <v>0</v>
      </c>
      <c r="H2676" s="21">
        <v>2661</v>
      </c>
      <c r="I2676" s="102">
        <v>0.6676557234388546</v>
      </c>
      <c r="J2676" s="103">
        <v>1.3439292688730991E-3</v>
      </c>
      <c r="K2676" s="103"/>
      <c r="L2676" s="103">
        <v>3.8399999999999997E-2</v>
      </c>
      <c r="O2676" s="100"/>
    </row>
    <row r="2677" spans="2:15" x14ac:dyDescent="0.2">
      <c r="B2677" s="1">
        <v>2662</v>
      </c>
      <c r="C2677" s="101">
        <f ca="1"/>
        <v>-1.9763087655095761E-2</v>
      </c>
      <c r="D2677" s="101">
        <f t="shared" ca="1" si="162"/>
        <v>0.66320800824931803</v>
      </c>
      <c r="E2677" s="101">
        <f t="shared" ca="1" si="163"/>
        <v>0</v>
      </c>
      <c r="F2677" s="21">
        <f t="shared" ca="1" si="164"/>
        <v>0</v>
      </c>
      <c r="H2677" s="21">
        <v>2662</v>
      </c>
      <c r="I2677" s="102">
        <v>0.66776364819287359</v>
      </c>
      <c r="J2677" s="103">
        <v>1.3294852592091323E-3</v>
      </c>
      <c r="K2677" s="103"/>
      <c r="L2677" s="103">
        <v>4.0399999999999998E-2</v>
      </c>
      <c r="O2677" s="100"/>
    </row>
    <row r="2678" spans="2:15" x14ac:dyDescent="0.2">
      <c r="B2678" s="1">
        <v>2663</v>
      </c>
      <c r="C2678" s="101">
        <f ca="1"/>
        <v>0.8892236361549839</v>
      </c>
      <c r="D2678" s="101">
        <f t="shared" ca="1" si="162"/>
        <v>0.72542111496377504</v>
      </c>
      <c r="E2678" s="101">
        <f t="shared" ca="1" si="163"/>
        <v>0</v>
      </c>
      <c r="F2678" s="21">
        <f t="shared" ca="1" si="164"/>
        <v>0</v>
      </c>
      <c r="H2678" s="21">
        <v>2663</v>
      </c>
      <c r="I2678" s="102">
        <v>0.66779384772630956</v>
      </c>
      <c r="J2678" s="103">
        <v>1.499773954470577E-3</v>
      </c>
      <c r="K2678" s="103"/>
      <c r="L2678" s="103">
        <v>3.9800000000000002E-2</v>
      </c>
      <c r="O2678" s="100"/>
    </row>
    <row r="2679" spans="2:15" x14ac:dyDescent="0.2">
      <c r="B2679" s="1">
        <v>2664</v>
      </c>
      <c r="C2679" s="101">
        <f ca="1"/>
        <v>-0.38295795505587166</v>
      </c>
      <c r="D2679" s="101">
        <f t="shared" ca="1" si="162"/>
        <v>0.63986848028500798</v>
      </c>
      <c r="E2679" s="101">
        <f t="shared" ca="1" si="163"/>
        <v>0</v>
      </c>
      <c r="F2679" s="21">
        <f t="shared" ca="1" si="164"/>
        <v>0</v>
      </c>
      <c r="H2679" s="21">
        <v>2664</v>
      </c>
      <c r="I2679" s="102">
        <v>0.66760972922204587</v>
      </c>
      <c r="J2679" s="103">
        <v>1.2338602246984966E-3</v>
      </c>
      <c r="K2679" s="103"/>
      <c r="L2679" s="103">
        <v>4.0800000000000003E-2</v>
      </c>
      <c r="O2679" s="100"/>
    </row>
    <row r="2680" spans="2:15" x14ac:dyDescent="0.2">
      <c r="B2680" s="1">
        <v>2665</v>
      </c>
      <c r="C2680" s="101">
        <f ca="1"/>
        <v>-0.87009402150787007</v>
      </c>
      <c r="D2680" s="101">
        <f t="shared" ca="1" si="162"/>
        <v>0.60984870892970711</v>
      </c>
      <c r="E2680" s="101">
        <f t="shared" ca="1" si="163"/>
        <v>0</v>
      </c>
      <c r="F2680" s="21">
        <f t="shared" ca="1" si="164"/>
        <v>0</v>
      </c>
      <c r="H2680" s="21">
        <v>2665</v>
      </c>
      <c r="I2680" s="102">
        <v>0.66774112690079401</v>
      </c>
      <c r="J2680" s="103">
        <v>1.4796903214556443E-3</v>
      </c>
      <c r="K2680" s="103"/>
      <c r="L2680" s="103">
        <v>4.2000000000000003E-2</v>
      </c>
      <c r="O2680" s="100"/>
    </row>
    <row r="2681" spans="2:15" x14ac:dyDescent="0.2">
      <c r="B2681" s="1">
        <v>2666</v>
      </c>
      <c r="C2681" s="101">
        <f ca="1"/>
        <v>-2.4474180926698876</v>
      </c>
      <c r="D2681" s="101">
        <f t="shared" ca="1" si="162"/>
        <v>0.52197597959135711</v>
      </c>
      <c r="E2681" s="101">
        <f t="shared" ca="1" si="163"/>
        <v>0</v>
      </c>
      <c r="F2681" s="21">
        <f t="shared" ca="1" si="164"/>
        <v>0</v>
      </c>
      <c r="H2681" s="21">
        <v>2666</v>
      </c>
      <c r="I2681" s="102">
        <v>0.66783041953205602</v>
      </c>
      <c r="J2681" s="103">
        <v>1.4843424782036959E-3</v>
      </c>
      <c r="K2681" s="103"/>
      <c r="L2681" s="103">
        <v>4.3200000000000002E-2</v>
      </c>
      <c r="O2681" s="100"/>
    </row>
    <row r="2682" spans="2:15" x14ac:dyDescent="0.2">
      <c r="B2682" s="1">
        <v>2667</v>
      </c>
      <c r="C2682" s="101">
        <f ca="1"/>
        <v>-7.7501122591816893E-2</v>
      </c>
      <c r="D2682" s="101">
        <f t="shared" ca="1" si="162"/>
        <v>0.65944153820807494</v>
      </c>
      <c r="E2682" s="101">
        <f t="shared" ca="1" si="163"/>
        <v>0</v>
      </c>
      <c r="F2682" s="21">
        <f t="shared" ca="1" si="164"/>
        <v>0</v>
      </c>
      <c r="H2682" s="21">
        <v>2667</v>
      </c>
      <c r="I2682" s="102">
        <v>0.66763526460954947</v>
      </c>
      <c r="J2682" s="103">
        <v>1.3260306258474021E-3</v>
      </c>
      <c r="K2682" s="103"/>
      <c r="L2682" s="103">
        <v>3.8600000000000002E-2</v>
      </c>
      <c r="O2682" s="100"/>
    </row>
    <row r="2683" spans="2:15" x14ac:dyDescent="0.2">
      <c r="B2683" s="1">
        <v>2668</v>
      </c>
      <c r="C2683" s="101">
        <f ca="1"/>
        <v>1.0213206497758851</v>
      </c>
      <c r="D2683" s="101">
        <f t="shared" ca="1" si="162"/>
        <v>0.73493536679057736</v>
      </c>
      <c r="E2683" s="101">
        <f t="shared" ca="1" si="163"/>
        <v>0</v>
      </c>
      <c r="F2683" s="21">
        <f t="shared" ca="1" si="164"/>
        <v>0</v>
      </c>
      <c r="H2683" s="21">
        <v>2668</v>
      </c>
      <c r="I2683" s="102">
        <v>0.66781321771235302</v>
      </c>
      <c r="J2683" s="103">
        <v>1.4448593250847323E-3</v>
      </c>
      <c r="K2683" s="103"/>
      <c r="L2683" s="103">
        <v>4.5999999999999999E-2</v>
      </c>
      <c r="O2683" s="100"/>
    </row>
    <row r="2684" spans="2:15" x14ac:dyDescent="0.2">
      <c r="B2684" s="1">
        <v>2669</v>
      </c>
      <c r="C2684" s="101">
        <f ca="1"/>
        <v>1.831822933485135</v>
      </c>
      <c r="D2684" s="101">
        <f t="shared" ca="1" si="162"/>
        <v>0.79610539177583983</v>
      </c>
      <c r="E2684" s="101">
        <f t="shared" ca="1" si="163"/>
        <v>7.9053917758398207E-3</v>
      </c>
      <c r="F2684" s="21">
        <f t="shared" ca="1" si="164"/>
        <v>1</v>
      </c>
      <c r="H2684" s="21">
        <v>2669</v>
      </c>
      <c r="I2684" s="102">
        <v>0.66768186346976999</v>
      </c>
      <c r="J2684" s="103">
        <v>1.2946909960605947E-3</v>
      </c>
      <c r="K2684" s="103"/>
      <c r="L2684" s="103">
        <v>4.0800000000000003E-2</v>
      </c>
      <c r="O2684" s="100"/>
    </row>
    <row r="2685" spans="2:15" x14ac:dyDescent="0.2">
      <c r="B2685" s="1">
        <v>2670</v>
      </c>
      <c r="C2685" s="101">
        <f ca="1"/>
        <v>-5.3146601128572793E-2</v>
      </c>
      <c r="D2685" s="101">
        <f t="shared" ca="1" si="162"/>
        <v>0.66102766014590597</v>
      </c>
      <c r="E2685" s="101">
        <f t="shared" ca="1" si="163"/>
        <v>0</v>
      </c>
      <c r="F2685" s="21">
        <f t="shared" ca="1" si="164"/>
        <v>0</v>
      </c>
      <c r="H2685" s="21">
        <v>2670</v>
      </c>
      <c r="I2685" s="102">
        <v>0.66784427127383228</v>
      </c>
      <c r="J2685" s="103">
        <v>1.5760802575089275E-3</v>
      </c>
      <c r="K2685" s="103"/>
      <c r="L2685" s="103">
        <v>4.3799999999999999E-2</v>
      </c>
      <c r="O2685" s="100"/>
    </row>
    <row r="2686" spans="2:15" x14ac:dyDescent="0.2">
      <c r="B2686" s="1">
        <v>2671</v>
      </c>
      <c r="C2686" s="101">
        <f ca="1"/>
        <v>1.0506763139213815</v>
      </c>
      <c r="D2686" s="101">
        <f t="shared" ca="1" si="162"/>
        <v>0.73706658981396622</v>
      </c>
      <c r="E2686" s="101">
        <f t="shared" ca="1" si="163"/>
        <v>0</v>
      </c>
      <c r="F2686" s="21">
        <f t="shared" ca="1" si="164"/>
        <v>0</v>
      </c>
      <c r="H2686" s="21">
        <v>2671</v>
      </c>
      <c r="I2686" s="102">
        <v>0.6677023970970557</v>
      </c>
      <c r="J2686" s="103">
        <v>1.2937824415288407E-3</v>
      </c>
      <c r="K2686" s="103"/>
      <c r="L2686" s="103">
        <v>4.3799999999999999E-2</v>
      </c>
      <c r="O2686" s="100"/>
    </row>
    <row r="2687" spans="2:15" x14ac:dyDescent="0.2">
      <c r="B2687" s="1">
        <v>2672</v>
      </c>
      <c r="C2687" s="101">
        <f ca="1"/>
        <v>-0.46340739866219544</v>
      </c>
      <c r="D2687" s="101">
        <f t="shared" ca="1" si="162"/>
        <v>0.63481080899310327</v>
      </c>
      <c r="E2687" s="101">
        <f t="shared" ca="1" si="163"/>
        <v>0</v>
      </c>
      <c r="F2687" s="21">
        <f t="shared" ca="1" si="164"/>
        <v>0</v>
      </c>
      <c r="H2687" s="21">
        <v>2672</v>
      </c>
      <c r="I2687" s="102">
        <v>0.66776294803634506</v>
      </c>
      <c r="J2687" s="103">
        <v>1.380882942271383E-3</v>
      </c>
      <c r="K2687" s="103"/>
      <c r="L2687" s="103">
        <v>4.3400000000000001E-2</v>
      </c>
      <c r="O2687" s="100"/>
    </row>
    <row r="2688" spans="2:15" x14ac:dyDescent="0.2">
      <c r="B2688" s="1">
        <v>2673</v>
      </c>
      <c r="C2688" s="101">
        <f ca="1"/>
        <v>-0.14282704164956364</v>
      </c>
      <c r="D2688" s="101">
        <f t="shared" ca="1" si="162"/>
        <v>0.65520586720999008</v>
      </c>
      <c r="E2688" s="101">
        <f t="shared" ca="1" si="163"/>
        <v>0</v>
      </c>
      <c r="F2688" s="21">
        <f t="shared" ca="1" si="164"/>
        <v>0</v>
      </c>
      <c r="H2688" s="21">
        <v>2673</v>
      </c>
      <c r="I2688" s="102">
        <v>0.6678365772075342</v>
      </c>
      <c r="J2688" s="103">
        <v>1.3441445854940964E-3</v>
      </c>
      <c r="K2688" s="103"/>
      <c r="L2688" s="103">
        <v>4.1599999999999998E-2</v>
      </c>
      <c r="O2688" s="100"/>
    </row>
    <row r="2689" spans="2:15" x14ac:dyDescent="0.2">
      <c r="B2689" s="1">
        <v>2674</v>
      </c>
      <c r="C2689" s="101">
        <f ca="1"/>
        <v>-3.001765440112706E-2</v>
      </c>
      <c r="D2689" s="101">
        <f t="shared" ca="1" si="162"/>
        <v>0.66253749656938044</v>
      </c>
      <c r="E2689" s="101">
        <f t="shared" ca="1" si="163"/>
        <v>0</v>
      </c>
      <c r="F2689" s="21">
        <f t="shared" ca="1" si="164"/>
        <v>0</v>
      </c>
      <c r="H2689" s="21">
        <v>2674</v>
      </c>
      <c r="I2689" s="102">
        <v>0.66764849546793203</v>
      </c>
      <c r="J2689" s="103">
        <v>1.2643697844071534E-3</v>
      </c>
      <c r="K2689" s="103"/>
      <c r="L2689" s="103">
        <v>3.9600000000000003E-2</v>
      </c>
      <c r="O2689" s="100"/>
    </row>
    <row r="2690" spans="2:15" x14ac:dyDescent="0.2">
      <c r="B2690" s="1">
        <v>2675</v>
      </c>
      <c r="C2690" s="101">
        <f ca="1"/>
        <v>-1.3034280260756353E-3</v>
      </c>
      <c r="D2690" s="101">
        <f t="shared" ca="1" si="162"/>
        <v>0.6644167341033137</v>
      </c>
      <c r="E2690" s="101">
        <f t="shared" ca="1" si="163"/>
        <v>0</v>
      </c>
      <c r="F2690" s="21">
        <f t="shared" ca="1" si="164"/>
        <v>0</v>
      </c>
      <c r="H2690" s="21">
        <v>2675</v>
      </c>
      <c r="I2690" s="102">
        <v>0.6677006531757721</v>
      </c>
      <c r="J2690" s="103">
        <v>1.4004810173572839E-3</v>
      </c>
      <c r="K2690" s="103"/>
      <c r="L2690" s="103">
        <v>3.9800000000000002E-2</v>
      </c>
      <c r="O2690" s="100"/>
    </row>
    <row r="2691" spans="2:15" x14ac:dyDescent="0.2">
      <c r="B2691" s="1">
        <v>2676</v>
      </c>
      <c r="C2691" s="101">
        <f ca="1"/>
        <v>-0.76388385258042713</v>
      </c>
      <c r="D2691" s="101">
        <f t="shared" ca="1" si="162"/>
        <v>0.61627150427948763</v>
      </c>
      <c r="E2691" s="101">
        <f t="shared" ca="1" si="163"/>
        <v>0</v>
      </c>
      <c r="F2691" s="21">
        <f t="shared" ca="1" si="164"/>
        <v>0</v>
      </c>
      <c r="H2691" s="21">
        <v>2676</v>
      </c>
      <c r="I2691" s="102">
        <v>0.66780934921648749</v>
      </c>
      <c r="J2691" s="103">
        <v>1.366923453855869E-3</v>
      </c>
      <c r="K2691" s="103"/>
      <c r="L2691" s="103">
        <v>4.1399999999999999E-2</v>
      </c>
      <c r="O2691" s="100"/>
    </row>
    <row r="2692" spans="2:15" x14ac:dyDescent="0.2">
      <c r="B2692" s="1">
        <v>2677</v>
      </c>
      <c r="C2692" s="101">
        <f ca="1"/>
        <v>2.0731572877973266</v>
      </c>
      <c r="D2692" s="101">
        <f t="shared" ca="1" si="162"/>
        <v>0.81528448971883638</v>
      </c>
      <c r="E2692" s="101">
        <f t="shared" ca="1" si="163"/>
        <v>2.7084489718836369E-2</v>
      </c>
      <c r="F2692" s="21">
        <f t="shared" ca="1" si="164"/>
        <v>1</v>
      </c>
      <c r="H2692" s="21">
        <v>2677</v>
      </c>
      <c r="I2692" s="102">
        <v>0.66786843519859618</v>
      </c>
      <c r="J2692" s="103">
        <v>1.454736078701517E-3</v>
      </c>
      <c r="K2692" s="103"/>
      <c r="L2692" s="103">
        <v>4.6600000000000003E-2</v>
      </c>
      <c r="O2692" s="100"/>
    </row>
    <row r="2693" spans="2:15" x14ac:dyDescent="0.2">
      <c r="B2693" s="1">
        <v>2678</v>
      </c>
      <c r="C2693" s="101">
        <f ca="1"/>
        <v>-1.3001621353119357</v>
      </c>
      <c r="D2693" s="101">
        <f t="shared" ca="1" si="162"/>
        <v>0.5845184929550028</v>
      </c>
      <c r="E2693" s="101">
        <f t="shared" ca="1" si="163"/>
        <v>0</v>
      </c>
      <c r="F2693" s="21">
        <f t="shared" ca="1" si="164"/>
        <v>0</v>
      </c>
      <c r="H2693" s="21">
        <v>2678</v>
      </c>
      <c r="I2693" s="102">
        <v>0.66790303496056747</v>
      </c>
      <c r="J2693" s="103">
        <v>1.4893234738844702E-3</v>
      </c>
      <c r="K2693" s="103"/>
      <c r="L2693" s="103">
        <v>4.3999999999999997E-2</v>
      </c>
      <c r="O2693" s="100"/>
    </row>
    <row r="2694" spans="2:15" x14ac:dyDescent="0.2">
      <c r="B2694" s="1">
        <v>2679</v>
      </c>
      <c r="C2694" s="101">
        <f ca="1"/>
        <v>-0.67193154300969893</v>
      </c>
      <c r="D2694" s="101">
        <f t="shared" ca="1" si="162"/>
        <v>0.62188669754211834</v>
      </c>
      <c r="E2694" s="101">
        <f t="shared" ca="1" si="163"/>
        <v>0</v>
      </c>
      <c r="F2694" s="21">
        <f t="shared" ca="1" si="164"/>
        <v>0</v>
      </c>
      <c r="H2694" s="21">
        <v>2679</v>
      </c>
      <c r="I2694" s="102">
        <v>0.667723827100141</v>
      </c>
      <c r="J2694" s="103">
        <v>1.4293639231056803E-3</v>
      </c>
      <c r="K2694" s="103"/>
      <c r="L2694" s="103">
        <v>4.48E-2</v>
      </c>
      <c r="O2694" s="100"/>
    </row>
    <row r="2695" spans="2:15" x14ac:dyDescent="0.2">
      <c r="B2695" s="1">
        <v>2680</v>
      </c>
      <c r="C2695" s="101">
        <f ca="1"/>
        <v>1.1754738259199933</v>
      </c>
      <c r="D2695" s="101">
        <f t="shared" ca="1" si="162"/>
        <v>0.7461960987913302</v>
      </c>
      <c r="E2695" s="101">
        <f t="shared" ca="1" si="163"/>
        <v>0</v>
      </c>
      <c r="F2695" s="21">
        <f t="shared" ca="1" si="164"/>
        <v>0</v>
      </c>
      <c r="H2695" s="21">
        <v>2680</v>
      </c>
      <c r="I2695" s="102">
        <v>0.66774355632766547</v>
      </c>
      <c r="J2695" s="103">
        <v>1.4162434632109531E-3</v>
      </c>
      <c r="K2695" s="103"/>
      <c r="L2695" s="103">
        <v>4.24E-2</v>
      </c>
      <c r="O2695" s="100"/>
    </row>
    <row r="2696" spans="2:15" x14ac:dyDescent="0.2">
      <c r="B2696" s="1">
        <v>2681</v>
      </c>
      <c r="C2696" s="101">
        <f ca="1"/>
        <v>0.30872786062231272</v>
      </c>
      <c r="D2696" s="101">
        <f t="shared" ca="1" si="162"/>
        <v>0.68504974876082492</v>
      </c>
      <c r="E2696" s="101">
        <f t="shared" ca="1" si="163"/>
        <v>0</v>
      </c>
      <c r="F2696" s="21">
        <f t="shared" ca="1" si="164"/>
        <v>0</v>
      </c>
      <c r="H2696" s="21">
        <v>2681</v>
      </c>
      <c r="I2696" s="102">
        <v>0.66767633841189533</v>
      </c>
      <c r="J2696" s="103">
        <v>1.259632903107073E-3</v>
      </c>
      <c r="K2696" s="103"/>
      <c r="L2696" s="103">
        <v>4.2799999999999998E-2</v>
      </c>
      <c r="O2696" s="100"/>
    </row>
    <row r="2697" spans="2:15" x14ac:dyDescent="0.2">
      <c r="B2697" s="1">
        <v>2682</v>
      </c>
      <c r="C2697" s="101">
        <f ca="1"/>
        <v>-1.4175302020284664</v>
      </c>
      <c r="D2697" s="101">
        <f t="shared" ca="1" si="162"/>
        <v>0.5777903448154027</v>
      </c>
      <c r="E2697" s="101">
        <f t="shared" ca="1" si="163"/>
        <v>0</v>
      </c>
      <c r="F2697" s="21">
        <f t="shared" ca="1" si="164"/>
        <v>0</v>
      </c>
      <c r="H2697" s="21">
        <v>2682</v>
      </c>
      <c r="I2697" s="102">
        <v>0.6678100539005617</v>
      </c>
      <c r="J2697" s="103">
        <v>1.4027278636538961E-3</v>
      </c>
      <c r="K2697" s="103"/>
      <c r="L2697" s="103">
        <v>4.2200000000000001E-2</v>
      </c>
      <c r="O2697" s="100"/>
    </row>
    <row r="2698" spans="2:15" x14ac:dyDescent="0.2">
      <c r="B2698" s="1">
        <v>2683</v>
      </c>
      <c r="C2698" s="101">
        <f ca="1"/>
        <v>-9.054222647603305E-2</v>
      </c>
      <c r="D2698" s="101">
        <f t="shared" ca="1" si="162"/>
        <v>0.65859378342547559</v>
      </c>
      <c r="E2698" s="101">
        <f t="shared" ca="1" si="163"/>
        <v>0</v>
      </c>
      <c r="F2698" s="21">
        <f t="shared" ca="1" si="164"/>
        <v>0</v>
      </c>
      <c r="H2698" s="21">
        <v>2683</v>
      </c>
      <c r="I2698" s="102">
        <v>0.66767535246930898</v>
      </c>
      <c r="J2698" s="103">
        <v>1.2771981751646248E-3</v>
      </c>
      <c r="K2698" s="103"/>
      <c r="L2698" s="103">
        <v>4.0399999999999998E-2</v>
      </c>
      <c r="O2698" s="100"/>
    </row>
    <row r="2699" spans="2:15" x14ac:dyDescent="0.2">
      <c r="B2699" s="1">
        <v>2684</v>
      </c>
      <c r="C2699" s="101">
        <f ca="1"/>
        <v>7.98511457456242E-2</v>
      </c>
      <c r="D2699" s="101">
        <f t="shared" ca="1" si="162"/>
        <v>0.6697568653317596</v>
      </c>
      <c r="E2699" s="101">
        <f t="shared" ca="1" si="163"/>
        <v>0</v>
      </c>
      <c r="F2699" s="21">
        <f t="shared" ca="1" si="164"/>
        <v>0</v>
      </c>
      <c r="H2699" s="21">
        <v>2684</v>
      </c>
      <c r="I2699" s="102">
        <v>0.66780265049375254</v>
      </c>
      <c r="J2699" s="103">
        <v>1.5460575795051988E-3</v>
      </c>
      <c r="K2699" s="103"/>
      <c r="L2699" s="103">
        <v>4.5199999999999997E-2</v>
      </c>
      <c r="O2699" s="100"/>
    </row>
    <row r="2700" spans="2:15" x14ac:dyDescent="0.2">
      <c r="B2700" s="1">
        <v>2685</v>
      </c>
      <c r="C2700" s="101">
        <f ca="1"/>
        <v>1.5207275249734302</v>
      </c>
      <c r="D2700" s="101">
        <f t="shared" ca="1" si="162"/>
        <v>0.77204644896900743</v>
      </c>
      <c r="E2700" s="101">
        <f t="shared" ca="1" si="163"/>
        <v>0</v>
      </c>
      <c r="F2700" s="21">
        <f t="shared" ca="1" si="164"/>
        <v>0</v>
      </c>
      <c r="H2700" s="21">
        <v>2685</v>
      </c>
      <c r="I2700" s="102">
        <v>0.66783393644532985</v>
      </c>
      <c r="J2700" s="103">
        <v>1.374306478818378E-3</v>
      </c>
      <c r="K2700" s="103"/>
      <c r="L2700" s="103">
        <v>4.5400000000000003E-2</v>
      </c>
      <c r="O2700" s="100"/>
    </row>
    <row r="2701" spans="2:15" x14ac:dyDescent="0.2">
      <c r="B2701" s="1">
        <v>2686</v>
      </c>
      <c r="C2701" s="101">
        <f ca="1"/>
        <v>2.358495476476683</v>
      </c>
      <c r="D2701" s="101">
        <f t="shared" ca="1" si="162"/>
        <v>0.83855758632590116</v>
      </c>
      <c r="E2701" s="101">
        <f t="shared" ca="1" si="163"/>
        <v>5.0357586325901149E-2</v>
      </c>
      <c r="F2701" s="21">
        <f t="shared" ca="1" si="164"/>
        <v>1</v>
      </c>
      <c r="H2701" s="21">
        <v>2686</v>
      </c>
      <c r="I2701" s="102">
        <v>0.66774811775434284</v>
      </c>
      <c r="J2701" s="103">
        <v>1.5170748112784045E-3</v>
      </c>
      <c r="K2701" s="103"/>
      <c r="L2701" s="103">
        <v>3.9800000000000002E-2</v>
      </c>
      <c r="O2701" s="100"/>
    </row>
    <row r="2702" spans="2:15" x14ac:dyDescent="0.2">
      <c r="B2702" s="1">
        <v>2687</v>
      </c>
      <c r="C2702" s="101">
        <f ca="1"/>
        <v>-0.45325277272652709</v>
      </c>
      <c r="D2702" s="101">
        <f t="shared" ca="1" si="162"/>
        <v>0.63544699581778352</v>
      </c>
      <c r="E2702" s="101">
        <f t="shared" ca="1" si="163"/>
        <v>0</v>
      </c>
      <c r="F2702" s="21">
        <f t="shared" ca="1" si="164"/>
        <v>0</v>
      </c>
      <c r="H2702" s="21">
        <v>2687</v>
      </c>
      <c r="I2702" s="102">
        <v>0.66766449681344553</v>
      </c>
      <c r="J2702" s="103">
        <v>1.0772386308542717E-3</v>
      </c>
      <c r="K2702" s="103"/>
      <c r="L2702" s="103">
        <v>3.8199999999999998E-2</v>
      </c>
      <c r="O2702" s="100"/>
    </row>
    <row r="2703" spans="2:15" x14ac:dyDescent="0.2">
      <c r="B2703" s="1">
        <v>2688</v>
      </c>
      <c r="C2703" s="101">
        <f ca="1"/>
        <v>-0.93802271572521867</v>
      </c>
      <c r="D2703" s="101">
        <f t="shared" ca="1" si="162"/>
        <v>0.60577603091247434</v>
      </c>
      <c r="E2703" s="101">
        <f t="shared" ca="1" si="163"/>
        <v>0</v>
      </c>
      <c r="F2703" s="21">
        <f t="shared" ca="1" si="164"/>
        <v>0</v>
      </c>
      <c r="H2703" s="21">
        <v>2688</v>
      </c>
      <c r="I2703" s="102">
        <v>0.66784707499923135</v>
      </c>
      <c r="J2703" s="103">
        <v>1.3673143506575866E-3</v>
      </c>
      <c r="K2703" s="103"/>
      <c r="L2703" s="103">
        <v>4.2599999999999999E-2</v>
      </c>
      <c r="O2703" s="100"/>
    </row>
    <row r="2704" spans="2:15" x14ac:dyDescent="0.2">
      <c r="B2704" s="1">
        <v>2689</v>
      </c>
      <c r="C2704" s="101">
        <f ca="1"/>
        <v>-1.2979044880603308</v>
      </c>
      <c r="D2704" s="101">
        <f t="shared" ref="D2704:D2767" ca="1" si="165">S0*EXP((μ-0.5*σ*σ)*T+σ*SQRT(T)*$C2704)</f>
        <v>0.58464867815112054</v>
      </c>
      <c r="E2704" s="101">
        <f t="shared" ref="E2704:E2767" ca="1" si="166">MAX(0,CP*(D2704-K))</f>
        <v>0</v>
      </c>
      <c r="F2704" s="21">
        <f t="shared" ref="F2704:F2767" ca="1" si="167">(CP*(D2704-K)&gt;0)*1</f>
        <v>0</v>
      </c>
      <c r="H2704" s="21">
        <v>2689</v>
      </c>
      <c r="I2704" s="102">
        <v>0.66766125957914269</v>
      </c>
      <c r="J2704" s="103">
        <v>1.1589625878095748E-3</v>
      </c>
      <c r="K2704" s="103"/>
      <c r="L2704" s="103">
        <v>3.8199999999999998E-2</v>
      </c>
      <c r="O2704" s="100"/>
    </row>
    <row r="2705" spans="2:15" x14ac:dyDescent="0.2">
      <c r="B2705" s="1">
        <v>2690</v>
      </c>
      <c r="C2705" s="101">
        <f ca="1"/>
        <v>0.14327665759367905</v>
      </c>
      <c r="D2705" s="101">
        <f t="shared" ca="1" si="165"/>
        <v>0.67396025176909835</v>
      </c>
      <c r="E2705" s="101">
        <f t="shared" ca="1" si="166"/>
        <v>0</v>
      </c>
      <c r="F2705" s="21">
        <f t="shared" ca="1" si="167"/>
        <v>0</v>
      </c>
      <c r="H2705" s="21">
        <v>2690</v>
      </c>
      <c r="I2705" s="102">
        <v>0.66782442769798234</v>
      </c>
      <c r="J2705" s="103">
        <v>1.5033091005576221E-3</v>
      </c>
      <c r="K2705" s="103"/>
      <c r="L2705" s="103">
        <v>4.5199999999999997E-2</v>
      </c>
      <c r="O2705" s="100"/>
    </row>
    <row r="2706" spans="2:15" x14ac:dyDescent="0.2">
      <c r="B2706" s="1">
        <v>2691</v>
      </c>
      <c r="C2706" s="101">
        <f ca="1"/>
        <v>-0.82683508355613966</v>
      </c>
      <c r="D2706" s="101">
        <f t="shared" ca="1" si="165"/>
        <v>0.61245656599825216</v>
      </c>
      <c r="E2706" s="101">
        <f t="shared" ca="1" si="166"/>
        <v>0</v>
      </c>
      <c r="F2706" s="21">
        <f t="shared" ca="1" si="167"/>
        <v>0</v>
      </c>
      <c r="H2706" s="21">
        <v>2691</v>
      </c>
      <c r="I2706" s="102">
        <v>0.66780768269568946</v>
      </c>
      <c r="J2706" s="103">
        <v>1.3063767729559117E-3</v>
      </c>
      <c r="K2706" s="103"/>
      <c r="L2706" s="103">
        <v>4.2200000000000001E-2</v>
      </c>
      <c r="O2706" s="100"/>
    </row>
    <row r="2707" spans="2:15" x14ac:dyDescent="0.2">
      <c r="B2707" s="1">
        <v>2692</v>
      </c>
      <c r="C2707" s="101">
        <f ca="1"/>
        <v>2.3498847395670666</v>
      </c>
      <c r="D2707" s="101">
        <f t="shared" ca="1" si="165"/>
        <v>0.83784563928907951</v>
      </c>
      <c r="E2707" s="101">
        <f t="shared" ca="1" si="166"/>
        <v>4.9645639289079502E-2</v>
      </c>
      <c r="F2707" s="21">
        <f t="shared" ca="1" si="167"/>
        <v>1</v>
      </c>
      <c r="H2707" s="21">
        <v>2692</v>
      </c>
      <c r="I2707" s="102">
        <v>0.6676618405146082</v>
      </c>
      <c r="J2707" s="103">
        <v>1.3438065634821359E-3</v>
      </c>
      <c r="K2707" s="103"/>
      <c r="L2707" s="103">
        <v>3.9199999999999999E-2</v>
      </c>
      <c r="O2707" s="100"/>
    </row>
    <row r="2708" spans="2:15" x14ac:dyDescent="0.2">
      <c r="B2708" s="1">
        <v>2693</v>
      </c>
      <c r="C2708" s="101">
        <f ca="1"/>
        <v>0.96650307684966708</v>
      </c>
      <c r="D2708" s="101">
        <f t="shared" ca="1" si="165"/>
        <v>0.73097209182143952</v>
      </c>
      <c r="E2708" s="101">
        <f t="shared" ca="1" si="166"/>
        <v>0</v>
      </c>
      <c r="F2708" s="21">
        <f t="shared" ca="1" si="167"/>
        <v>0</v>
      </c>
      <c r="H2708" s="21">
        <v>2693</v>
      </c>
      <c r="I2708" s="102">
        <v>0.66775534525941382</v>
      </c>
      <c r="J2708" s="103">
        <v>1.4041930200303563E-3</v>
      </c>
      <c r="K2708" s="103"/>
      <c r="L2708" s="103">
        <v>4.1799999999999997E-2</v>
      </c>
      <c r="O2708" s="100"/>
    </row>
    <row r="2709" spans="2:15" x14ac:dyDescent="0.2">
      <c r="B2709" s="1">
        <v>2694</v>
      </c>
      <c r="C2709" s="101">
        <f ca="1"/>
        <v>0.1957414438448952</v>
      </c>
      <c r="D2709" s="101">
        <f t="shared" ca="1" si="165"/>
        <v>0.67745716902815212</v>
      </c>
      <c r="E2709" s="101">
        <f t="shared" ca="1" si="166"/>
        <v>0</v>
      </c>
      <c r="F2709" s="21">
        <f t="shared" ca="1" si="167"/>
        <v>0</v>
      </c>
      <c r="H2709" s="21">
        <v>2694</v>
      </c>
      <c r="I2709" s="102">
        <v>0.66781292019083516</v>
      </c>
      <c r="J2709" s="103">
        <v>1.3915641807162118E-3</v>
      </c>
      <c r="K2709" s="103"/>
      <c r="L2709" s="103">
        <v>4.2999999999999997E-2</v>
      </c>
      <c r="O2709" s="100"/>
    </row>
    <row r="2710" spans="2:15" x14ac:dyDescent="0.2">
      <c r="B2710" s="1">
        <v>2695</v>
      </c>
      <c r="C2710" s="101">
        <f ca="1"/>
        <v>-0.38952723688212548</v>
      </c>
      <c r="D2710" s="101">
        <f t="shared" ca="1" si="165"/>
        <v>0.63945397811594329</v>
      </c>
      <c r="E2710" s="101">
        <f t="shared" ca="1" si="166"/>
        <v>0</v>
      </c>
      <c r="F2710" s="21">
        <f t="shared" ca="1" si="167"/>
        <v>0</v>
      </c>
      <c r="H2710" s="21">
        <v>2695</v>
      </c>
      <c r="I2710" s="102">
        <v>0.66785877769303836</v>
      </c>
      <c r="J2710" s="103">
        <v>1.528519422513238E-3</v>
      </c>
      <c r="K2710" s="103"/>
      <c r="L2710" s="103">
        <v>4.5199999999999997E-2</v>
      </c>
      <c r="O2710" s="100"/>
    </row>
    <row r="2711" spans="2:15" x14ac:dyDescent="0.2">
      <c r="B2711" s="1">
        <v>2696</v>
      </c>
      <c r="C2711" s="101">
        <f ca="1"/>
        <v>-0.52504352505548946</v>
      </c>
      <c r="D2711" s="101">
        <f t="shared" ca="1" si="165"/>
        <v>0.63096295138184555</v>
      </c>
      <c r="E2711" s="101">
        <f t="shared" ca="1" si="166"/>
        <v>0</v>
      </c>
      <c r="F2711" s="21">
        <f t="shared" ca="1" si="167"/>
        <v>0</v>
      </c>
      <c r="H2711" s="21">
        <v>2696</v>
      </c>
      <c r="I2711" s="102">
        <v>0.66789469705715021</v>
      </c>
      <c r="J2711" s="103">
        <v>1.4541775844944588E-3</v>
      </c>
      <c r="K2711" s="103"/>
      <c r="L2711" s="103">
        <v>4.3400000000000001E-2</v>
      </c>
      <c r="O2711" s="100"/>
    </row>
    <row r="2712" spans="2:15" x14ac:dyDescent="0.2">
      <c r="B2712" s="1">
        <v>2697</v>
      </c>
      <c r="C2712" s="101">
        <f ca="1"/>
        <v>-1.1033901414354119</v>
      </c>
      <c r="D2712" s="101">
        <f t="shared" ca="1" si="165"/>
        <v>0.59597473170113047</v>
      </c>
      <c r="E2712" s="101">
        <f t="shared" ca="1" si="166"/>
        <v>0</v>
      </c>
      <c r="F2712" s="21">
        <f t="shared" ca="1" si="167"/>
        <v>0</v>
      </c>
      <c r="H2712" s="21">
        <v>2697</v>
      </c>
      <c r="I2712" s="102">
        <v>0.6676901488978797</v>
      </c>
      <c r="J2712" s="103">
        <v>1.3748129088789187E-3</v>
      </c>
      <c r="K2712" s="103"/>
      <c r="L2712" s="103">
        <v>4.0399999999999998E-2</v>
      </c>
      <c r="O2712" s="100"/>
    </row>
    <row r="2713" spans="2:15" x14ac:dyDescent="0.2">
      <c r="B2713" s="1">
        <v>2698</v>
      </c>
      <c r="C2713" s="101">
        <f ca="1"/>
        <v>0.48331106107836436</v>
      </c>
      <c r="D2713" s="101">
        <f t="shared" ca="1" si="165"/>
        <v>0.69694923874067971</v>
      </c>
      <c r="E2713" s="101">
        <f t="shared" ca="1" si="166"/>
        <v>0</v>
      </c>
      <c r="F2713" s="21">
        <f t="shared" ca="1" si="167"/>
        <v>0</v>
      </c>
      <c r="H2713" s="21">
        <v>2698</v>
      </c>
      <c r="I2713" s="102">
        <v>0.66771158062401836</v>
      </c>
      <c r="J2713" s="103">
        <v>1.2542282442533498E-3</v>
      </c>
      <c r="K2713" s="103"/>
      <c r="L2713" s="103">
        <v>4.1799999999999997E-2</v>
      </c>
      <c r="O2713" s="100"/>
    </row>
    <row r="2714" spans="2:15" x14ac:dyDescent="0.2">
      <c r="B2714" s="1">
        <v>2699</v>
      </c>
      <c r="C2714" s="101">
        <f ca="1"/>
        <v>1.5011495263346846</v>
      </c>
      <c r="D2714" s="101">
        <f t="shared" ca="1" si="165"/>
        <v>0.77055691182608699</v>
      </c>
      <c r="E2714" s="101">
        <f t="shared" ca="1" si="166"/>
        <v>0</v>
      </c>
      <c r="F2714" s="21">
        <f t="shared" ca="1" si="167"/>
        <v>0</v>
      </c>
      <c r="H2714" s="21">
        <v>2699</v>
      </c>
      <c r="I2714" s="102">
        <v>0.66787591503592203</v>
      </c>
      <c r="J2714" s="103">
        <v>1.5373605431195478E-3</v>
      </c>
      <c r="K2714" s="103"/>
      <c r="L2714" s="103">
        <v>4.2999999999999997E-2</v>
      </c>
      <c r="O2714" s="100"/>
    </row>
    <row r="2715" spans="2:15" x14ac:dyDescent="0.2">
      <c r="B2715" s="1">
        <v>2700</v>
      </c>
      <c r="C2715" s="101">
        <f ca="1"/>
        <v>1.1935825314451041</v>
      </c>
      <c r="D2715" s="101">
        <f t="shared" ca="1" si="165"/>
        <v>0.74753019522116881</v>
      </c>
      <c r="E2715" s="101">
        <f t="shared" ca="1" si="166"/>
        <v>0</v>
      </c>
      <c r="F2715" s="21">
        <f t="shared" ca="1" si="167"/>
        <v>0</v>
      </c>
      <c r="H2715" s="21">
        <v>2700</v>
      </c>
      <c r="I2715" s="102">
        <v>0.66784655512089575</v>
      </c>
      <c r="J2715" s="103">
        <v>1.3683509044167825E-3</v>
      </c>
      <c r="K2715" s="103"/>
      <c r="L2715" s="103">
        <v>4.1799999999999997E-2</v>
      </c>
      <c r="O2715" s="100"/>
    </row>
    <row r="2716" spans="2:15" x14ac:dyDescent="0.2">
      <c r="B2716" s="1">
        <v>2701</v>
      </c>
      <c r="C2716" s="101">
        <f ca="1"/>
        <v>0.6148417852074628</v>
      </c>
      <c r="D2716" s="101">
        <f t="shared" ca="1" si="165"/>
        <v>0.70605062725130086</v>
      </c>
      <c r="E2716" s="101">
        <f t="shared" ca="1" si="166"/>
        <v>0</v>
      </c>
      <c r="F2716" s="21">
        <f t="shared" ca="1" si="167"/>
        <v>0</v>
      </c>
      <c r="H2716" s="21">
        <v>2701</v>
      </c>
      <c r="I2716" s="102">
        <v>0.66766028414932543</v>
      </c>
      <c r="J2716" s="103">
        <v>1.2314690953123229E-3</v>
      </c>
      <c r="K2716" s="103"/>
      <c r="L2716" s="103">
        <v>3.5200000000000002E-2</v>
      </c>
      <c r="O2716" s="100"/>
    </row>
    <row r="2717" spans="2:15" x14ac:dyDescent="0.2">
      <c r="B2717" s="1">
        <v>2702</v>
      </c>
      <c r="C2717" s="101">
        <f ca="1"/>
        <v>1.1770403159012373</v>
      </c>
      <c r="D2717" s="101">
        <f t="shared" ca="1" si="165"/>
        <v>0.74631141040524362</v>
      </c>
      <c r="E2717" s="101">
        <f t="shared" ca="1" si="166"/>
        <v>0</v>
      </c>
      <c r="F2717" s="21">
        <f t="shared" ca="1" si="167"/>
        <v>0</v>
      </c>
      <c r="H2717" s="21">
        <v>2702</v>
      </c>
      <c r="I2717" s="102">
        <v>0.6675899482987272</v>
      </c>
      <c r="J2717" s="103">
        <v>1.163291859431376E-3</v>
      </c>
      <c r="K2717" s="103"/>
      <c r="L2717" s="103">
        <v>3.6600000000000001E-2</v>
      </c>
      <c r="O2717" s="100"/>
    </row>
    <row r="2718" spans="2:15" x14ac:dyDescent="0.2">
      <c r="B2718" s="1">
        <v>2703</v>
      </c>
      <c r="C2718" s="101">
        <f ca="1"/>
        <v>1.1759404101859692</v>
      </c>
      <c r="D2718" s="101">
        <f t="shared" ca="1" si="165"/>
        <v>0.74623044287697649</v>
      </c>
      <c r="E2718" s="101">
        <f t="shared" ca="1" si="166"/>
        <v>0</v>
      </c>
      <c r="F2718" s="21">
        <f t="shared" ca="1" si="167"/>
        <v>0</v>
      </c>
      <c r="H2718" s="21">
        <v>2703</v>
      </c>
      <c r="I2718" s="102">
        <v>0.66771154932578469</v>
      </c>
      <c r="J2718" s="103">
        <v>1.38878471188253E-3</v>
      </c>
      <c r="K2718" s="103"/>
      <c r="L2718" s="103">
        <v>3.8800000000000001E-2</v>
      </c>
      <c r="O2718" s="100"/>
    </row>
    <row r="2719" spans="2:15" x14ac:dyDescent="0.2">
      <c r="B2719" s="1">
        <v>2704</v>
      </c>
      <c r="C2719" s="101">
        <f ca="1"/>
        <v>-0.47341321431831407</v>
      </c>
      <c r="D2719" s="101">
        <f t="shared" ca="1" si="165"/>
        <v>0.63418456812348989</v>
      </c>
      <c r="E2719" s="101">
        <f t="shared" ca="1" si="166"/>
        <v>0</v>
      </c>
      <c r="F2719" s="21">
        <f t="shared" ca="1" si="167"/>
        <v>0</v>
      </c>
      <c r="H2719" s="21">
        <v>2704</v>
      </c>
      <c r="I2719" s="102">
        <v>0.66790299029896893</v>
      </c>
      <c r="J2719" s="103">
        <v>1.5884188187206504E-3</v>
      </c>
      <c r="K2719" s="103"/>
      <c r="L2719" s="103">
        <v>4.4600000000000001E-2</v>
      </c>
      <c r="O2719" s="100"/>
    </row>
    <row r="2720" spans="2:15" x14ac:dyDescent="0.2">
      <c r="B2720" s="1">
        <v>2705</v>
      </c>
      <c r="C2720" s="101">
        <f ca="1"/>
        <v>-0.48378541736520481</v>
      </c>
      <c r="D2720" s="101">
        <f t="shared" ca="1" si="165"/>
        <v>0.63353604803972985</v>
      </c>
      <c r="E2720" s="101">
        <f t="shared" ca="1" si="166"/>
        <v>0</v>
      </c>
      <c r="F2720" s="21">
        <f t="shared" ca="1" si="167"/>
        <v>0</v>
      </c>
      <c r="H2720" s="21">
        <v>2705</v>
      </c>
      <c r="I2720" s="102">
        <v>0.66790073715268805</v>
      </c>
      <c r="J2720" s="103">
        <v>1.5613699104573909E-3</v>
      </c>
      <c r="K2720" s="103"/>
      <c r="L2720" s="103">
        <v>4.5600000000000002E-2</v>
      </c>
      <c r="O2720" s="100"/>
    </row>
    <row r="2721" spans="2:15" x14ac:dyDescent="0.2">
      <c r="B2721" s="1">
        <v>2706</v>
      </c>
      <c r="C2721" s="101">
        <f ca="1"/>
        <v>0.35155410846090168</v>
      </c>
      <c r="D2721" s="101">
        <f t="shared" ca="1" si="165"/>
        <v>0.68794982013127715</v>
      </c>
      <c r="E2721" s="101">
        <f t="shared" ca="1" si="166"/>
        <v>0</v>
      </c>
      <c r="F2721" s="21">
        <f t="shared" ca="1" si="167"/>
        <v>0</v>
      </c>
      <c r="H2721" s="21">
        <v>2706</v>
      </c>
      <c r="I2721" s="102">
        <v>0.66781525489607585</v>
      </c>
      <c r="J2721" s="103">
        <v>1.4549874531649E-3</v>
      </c>
      <c r="K2721" s="103"/>
      <c r="L2721" s="103">
        <v>4.4999999999999998E-2</v>
      </c>
      <c r="O2721" s="100"/>
    </row>
    <row r="2722" spans="2:15" x14ac:dyDescent="0.2">
      <c r="B2722" s="1">
        <v>2707</v>
      </c>
      <c r="C2722" s="101">
        <f ca="1"/>
        <v>-0.16967937041051448</v>
      </c>
      <c r="D2722" s="101">
        <f t="shared" ca="1" si="165"/>
        <v>0.65347268751461063</v>
      </c>
      <c r="E2722" s="101">
        <f t="shared" ca="1" si="166"/>
        <v>0</v>
      </c>
      <c r="F2722" s="21">
        <f t="shared" ca="1" si="167"/>
        <v>0</v>
      </c>
      <c r="H2722" s="21">
        <v>2707</v>
      </c>
      <c r="I2722" s="102">
        <v>0.66780734677975961</v>
      </c>
      <c r="J2722" s="103">
        <v>1.3971652682815681E-3</v>
      </c>
      <c r="K2722" s="103"/>
      <c r="L2722" s="103">
        <v>4.48E-2</v>
      </c>
      <c r="O2722" s="100"/>
    </row>
    <row r="2723" spans="2:15" x14ac:dyDescent="0.2">
      <c r="B2723" s="1">
        <v>2708</v>
      </c>
      <c r="C2723" s="101">
        <f ca="1"/>
        <v>-0.14138762700304147</v>
      </c>
      <c r="D2723" s="101">
        <f t="shared" ca="1" si="165"/>
        <v>0.65529890372371291</v>
      </c>
      <c r="E2723" s="101">
        <f t="shared" ca="1" si="166"/>
        <v>0</v>
      </c>
      <c r="F2723" s="21">
        <f t="shared" ca="1" si="167"/>
        <v>0</v>
      </c>
      <c r="H2723" s="21">
        <v>2708</v>
      </c>
      <c r="I2723" s="102">
        <v>0.66776147194734192</v>
      </c>
      <c r="J2723" s="103">
        <v>1.4882759810720078E-3</v>
      </c>
      <c r="K2723" s="103"/>
      <c r="L2723" s="103">
        <v>4.36E-2</v>
      </c>
      <c r="O2723" s="100"/>
    </row>
    <row r="2724" spans="2:15" x14ac:dyDescent="0.2">
      <c r="B2724" s="1">
        <v>2709</v>
      </c>
      <c r="C2724" s="101">
        <f ca="1"/>
        <v>1.6286322551795971</v>
      </c>
      <c r="D2724" s="101">
        <f t="shared" ca="1" si="165"/>
        <v>0.78030789651550891</v>
      </c>
      <c r="E2724" s="101">
        <f t="shared" ca="1" si="166"/>
        <v>0</v>
      </c>
      <c r="F2724" s="21">
        <f t="shared" ca="1" si="167"/>
        <v>0</v>
      </c>
      <c r="H2724" s="21">
        <v>2709</v>
      </c>
      <c r="I2724" s="102">
        <v>0.66778192970529882</v>
      </c>
      <c r="J2724" s="103">
        <v>1.3541412459775171E-3</v>
      </c>
      <c r="K2724" s="103"/>
      <c r="L2724" s="103">
        <v>4.5199999999999997E-2</v>
      </c>
      <c r="O2724" s="100"/>
    </row>
    <row r="2725" spans="2:15" x14ac:dyDescent="0.2">
      <c r="B2725" s="1">
        <v>2710</v>
      </c>
      <c r="C2725" s="101">
        <f ca="1"/>
        <v>-0.58643258253948238</v>
      </c>
      <c r="D2725" s="101">
        <f t="shared" ca="1" si="165"/>
        <v>0.62715370157293227</v>
      </c>
      <c r="E2725" s="101">
        <f t="shared" ca="1" si="166"/>
        <v>0</v>
      </c>
      <c r="F2725" s="21">
        <f t="shared" ca="1" si="167"/>
        <v>0</v>
      </c>
      <c r="H2725" s="21">
        <v>2710</v>
      </c>
      <c r="I2725" s="102">
        <v>0.66777348920474622</v>
      </c>
      <c r="J2725" s="103">
        <v>1.470247392902141E-3</v>
      </c>
      <c r="K2725" s="103"/>
      <c r="L2725" s="103">
        <v>4.3999999999999997E-2</v>
      </c>
      <c r="O2725" s="100"/>
    </row>
    <row r="2726" spans="2:15" x14ac:dyDescent="0.2">
      <c r="B2726" s="1">
        <v>2711</v>
      </c>
      <c r="C2726" s="101">
        <f ca="1"/>
        <v>-0.95138981110737608</v>
      </c>
      <c r="D2726" s="101">
        <f t="shared" ca="1" si="165"/>
        <v>0.6049778124926255</v>
      </c>
      <c r="E2726" s="101">
        <f t="shared" ca="1" si="166"/>
        <v>0</v>
      </c>
      <c r="F2726" s="21">
        <f t="shared" ca="1" si="167"/>
        <v>0</v>
      </c>
      <c r="H2726" s="21">
        <v>2711</v>
      </c>
      <c r="I2726" s="102">
        <v>0.66767768187330345</v>
      </c>
      <c r="J2726" s="103">
        <v>1.2146566756748478E-3</v>
      </c>
      <c r="K2726" s="103"/>
      <c r="L2726" s="103">
        <v>3.7999999999999999E-2</v>
      </c>
      <c r="O2726" s="100"/>
    </row>
    <row r="2727" spans="2:15" x14ac:dyDescent="0.2">
      <c r="B2727" s="1">
        <v>2712</v>
      </c>
      <c r="C2727" s="101">
        <f ca="1"/>
        <v>-0.40204252277729702</v>
      </c>
      <c r="D2727" s="101">
        <f t="shared" ca="1" si="165"/>
        <v>0.63866504366134313</v>
      </c>
      <c r="E2727" s="101">
        <f t="shared" ca="1" si="166"/>
        <v>0</v>
      </c>
      <c r="F2727" s="21">
        <f t="shared" ca="1" si="167"/>
        <v>0</v>
      </c>
      <c r="H2727" s="21">
        <v>2712</v>
      </c>
      <c r="I2727" s="102">
        <v>0.66788341649408034</v>
      </c>
      <c r="J2727" s="103">
        <v>1.6358347796416584E-3</v>
      </c>
      <c r="K2727" s="103"/>
      <c r="L2727" s="103">
        <v>4.48E-2</v>
      </c>
      <c r="O2727" s="100"/>
    </row>
    <row r="2728" spans="2:15" x14ac:dyDescent="0.2">
      <c r="B2728" s="1">
        <v>2713</v>
      </c>
      <c r="C2728" s="101">
        <f ca="1"/>
        <v>-1.2950752005714896</v>
      </c>
      <c r="D2728" s="101">
        <f t="shared" ca="1" si="165"/>
        <v>0.58481186740461966</v>
      </c>
      <c r="E2728" s="101">
        <f t="shared" ca="1" si="166"/>
        <v>0</v>
      </c>
      <c r="F2728" s="21">
        <f t="shared" ca="1" si="167"/>
        <v>0</v>
      </c>
      <c r="H2728" s="21">
        <v>2713</v>
      </c>
      <c r="I2728" s="102">
        <v>0.66783731074901831</v>
      </c>
      <c r="J2728" s="103">
        <v>1.2589047539933605E-3</v>
      </c>
      <c r="K2728" s="103"/>
      <c r="L2728" s="103">
        <v>4.2200000000000001E-2</v>
      </c>
      <c r="O2728" s="100"/>
    </row>
    <row r="2729" spans="2:15" x14ac:dyDescent="0.2">
      <c r="B2729" s="1">
        <v>2714</v>
      </c>
      <c r="C2729" s="101">
        <f ca="1"/>
        <v>-1.1674201659705783</v>
      </c>
      <c r="D2729" s="101">
        <f t="shared" ca="1" si="165"/>
        <v>0.59222241372282658</v>
      </c>
      <c r="E2729" s="101">
        <f t="shared" ca="1" si="166"/>
        <v>0</v>
      </c>
      <c r="F2729" s="21">
        <f t="shared" ca="1" si="167"/>
        <v>0</v>
      </c>
      <c r="H2729" s="21">
        <v>2714</v>
      </c>
      <c r="I2729" s="102">
        <v>0.66788208406277561</v>
      </c>
      <c r="J2729" s="103">
        <v>1.4852261909573746E-3</v>
      </c>
      <c r="K2729" s="103"/>
      <c r="L2729" s="103">
        <v>4.6399999999999997E-2</v>
      </c>
      <c r="O2729" s="100"/>
    </row>
    <row r="2730" spans="2:15" x14ac:dyDescent="0.2">
      <c r="B2730" s="1">
        <v>2715</v>
      </c>
      <c r="C2730" s="101">
        <f ca="1"/>
        <v>0.77175184652444084</v>
      </c>
      <c r="D2730" s="101">
        <f t="shared" ca="1" si="165"/>
        <v>0.7170637590372877</v>
      </c>
      <c r="E2730" s="101">
        <f t="shared" ca="1" si="166"/>
        <v>0</v>
      </c>
      <c r="F2730" s="21">
        <f t="shared" ca="1" si="167"/>
        <v>0</v>
      </c>
      <c r="H2730" s="21">
        <v>2715</v>
      </c>
      <c r="I2730" s="102">
        <v>0.66765141876809275</v>
      </c>
      <c r="J2730" s="103">
        <v>1.3245612387353396E-3</v>
      </c>
      <c r="K2730" s="103"/>
      <c r="L2730" s="103">
        <v>3.8600000000000002E-2</v>
      </c>
      <c r="O2730" s="100"/>
    </row>
    <row r="2731" spans="2:15" x14ac:dyDescent="0.2">
      <c r="B2731" s="1">
        <v>2716</v>
      </c>
      <c r="C2731" s="101">
        <f ca="1"/>
        <v>0.70603614337860598</v>
      </c>
      <c r="D2731" s="101">
        <f t="shared" ca="1" si="165"/>
        <v>0.71243058105809443</v>
      </c>
      <c r="E2731" s="101">
        <f t="shared" ca="1" si="166"/>
        <v>0</v>
      </c>
      <c r="F2731" s="21">
        <f t="shared" ca="1" si="167"/>
        <v>0</v>
      </c>
      <c r="H2731" s="21">
        <v>2716</v>
      </c>
      <c r="I2731" s="102">
        <v>0.66781897479059926</v>
      </c>
      <c r="J2731" s="103">
        <v>1.4596254719442213E-3</v>
      </c>
      <c r="K2731" s="103"/>
      <c r="L2731" s="103">
        <v>4.0800000000000003E-2</v>
      </c>
      <c r="O2731" s="100"/>
    </row>
    <row r="2732" spans="2:15" x14ac:dyDescent="0.2">
      <c r="B2732" s="1">
        <v>2717</v>
      </c>
      <c r="C2732" s="101">
        <f ca="1"/>
        <v>6.0181316139243986E-3</v>
      </c>
      <c r="D2732" s="101">
        <f t="shared" ca="1" si="165"/>
        <v>0.66489675473286369</v>
      </c>
      <c r="E2732" s="101">
        <f t="shared" ca="1" si="166"/>
        <v>0</v>
      </c>
      <c r="F2732" s="21">
        <f t="shared" ca="1" si="167"/>
        <v>0</v>
      </c>
      <c r="H2732" s="21">
        <v>2717</v>
      </c>
      <c r="I2732" s="102">
        <v>0.66780800910290172</v>
      </c>
      <c r="J2732" s="103">
        <v>1.4857433005591261E-3</v>
      </c>
      <c r="K2732" s="103"/>
      <c r="L2732" s="103">
        <v>4.2000000000000003E-2</v>
      </c>
      <c r="O2732" s="100"/>
    </row>
    <row r="2733" spans="2:15" x14ac:dyDescent="0.2">
      <c r="B2733" s="1">
        <v>2718</v>
      </c>
      <c r="C2733" s="101">
        <f ca="1"/>
        <v>6.3499949274767056E-2</v>
      </c>
      <c r="D2733" s="101">
        <f t="shared" ca="1" si="165"/>
        <v>0.66867748271118033</v>
      </c>
      <c r="E2733" s="101">
        <f t="shared" ca="1" si="166"/>
        <v>0</v>
      </c>
      <c r="F2733" s="21">
        <f t="shared" ca="1" si="167"/>
        <v>0</v>
      </c>
      <c r="H2733" s="21">
        <v>2718</v>
      </c>
      <c r="I2733" s="102">
        <v>0.66768842672820361</v>
      </c>
      <c r="J2733" s="103">
        <v>1.2998195933953628E-3</v>
      </c>
      <c r="K2733" s="103"/>
      <c r="L2733" s="103">
        <v>4.1399999999999999E-2</v>
      </c>
      <c r="O2733" s="100"/>
    </row>
    <row r="2734" spans="2:15" x14ac:dyDescent="0.2">
      <c r="B2734" s="1">
        <v>2719</v>
      </c>
      <c r="C2734" s="101">
        <f ca="1"/>
        <v>-1.6203619914322889</v>
      </c>
      <c r="D2734" s="101">
        <f t="shared" ca="1" si="165"/>
        <v>0.56634502711642132</v>
      </c>
      <c r="E2734" s="101">
        <f t="shared" ca="1" si="166"/>
        <v>0</v>
      </c>
      <c r="F2734" s="21">
        <f t="shared" ca="1" si="167"/>
        <v>0</v>
      </c>
      <c r="H2734" s="21">
        <v>2719</v>
      </c>
      <c r="I2734" s="102">
        <v>0.66773002813126225</v>
      </c>
      <c r="J2734" s="103">
        <v>1.4072490615819836E-3</v>
      </c>
      <c r="K2734" s="103"/>
      <c r="L2734" s="103">
        <v>4.1799999999999997E-2</v>
      </c>
      <c r="O2734" s="100"/>
    </row>
    <row r="2735" spans="2:15" x14ac:dyDescent="0.2">
      <c r="B2735" s="1">
        <v>2720</v>
      </c>
      <c r="C2735" s="101">
        <f ca="1"/>
        <v>-1.2011534482021233</v>
      </c>
      <c r="D2735" s="101">
        <f t="shared" ca="1" si="165"/>
        <v>0.59025507117567244</v>
      </c>
      <c r="E2735" s="101">
        <f t="shared" ca="1" si="166"/>
        <v>0</v>
      </c>
      <c r="F2735" s="21">
        <f t="shared" ca="1" si="167"/>
        <v>0</v>
      </c>
      <c r="H2735" s="21">
        <v>2720</v>
      </c>
      <c r="I2735" s="102">
        <v>0.66785559735519162</v>
      </c>
      <c r="J2735" s="103">
        <v>1.519221026868671E-3</v>
      </c>
      <c r="K2735" s="103"/>
      <c r="L2735" s="103">
        <v>4.5199999999999997E-2</v>
      </c>
      <c r="O2735" s="100"/>
    </row>
    <row r="2736" spans="2:15" x14ac:dyDescent="0.2">
      <c r="B2736" s="1">
        <v>2721</v>
      </c>
      <c r="C2736" s="101">
        <f ca="1"/>
        <v>0.6165716741212085</v>
      </c>
      <c r="D2736" s="101">
        <f t="shared" ca="1" si="165"/>
        <v>0.70617111697639512</v>
      </c>
      <c r="E2736" s="101">
        <f t="shared" ca="1" si="166"/>
        <v>0</v>
      </c>
      <c r="F2736" s="21">
        <f t="shared" ca="1" si="167"/>
        <v>0</v>
      </c>
      <c r="H2736" s="21">
        <v>2721</v>
      </c>
      <c r="I2736" s="102">
        <v>0.66791769833856129</v>
      </c>
      <c r="J2736" s="103">
        <v>1.5396697956779762E-3</v>
      </c>
      <c r="K2736" s="103"/>
      <c r="L2736" s="103">
        <v>4.6399999999999997E-2</v>
      </c>
      <c r="O2736" s="100"/>
    </row>
    <row r="2737" spans="2:15" x14ac:dyDescent="0.2">
      <c r="B2737" s="1">
        <v>2722</v>
      </c>
      <c r="C2737" s="101">
        <f ca="1"/>
        <v>0.27640753260644546</v>
      </c>
      <c r="D2737" s="101">
        <f t="shared" ca="1" si="165"/>
        <v>0.6828692057159873</v>
      </c>
      <c r="E2737" s="101">
        <f t="shared" ca="1" si="166"/>
        <v>0</v>
      </c>
      <c r="F2737" s="21">
        <f t="shared" ca="1" si="167"/>
        <v>0</v>
      </c>
      <c r="H2737" s="21">
        <v>2722</v>
      </c>
      <c r="I2737" s="102">
        <v>0.66761959656965431</v>
      </c>
      <c r="J2737" s="103">
        <v>1.1270880853826008E-3</v>
      </c>
      <c r="K2737" s="103"/>
      <c r="L2737" s="103">
        <v>3.9800000000000002E-2</v>
      </c>
      <c r="O2737" s="100"/>
    </row>
    <row r="2738" spans="2:15" x14ac:dyDescent="0.2">
      <c r="B2738" s="1">
        <v>2723</v>
      </c>
      <c r="C2738" s="101">
        <f ca="1"/>
        <v>1.6609370312538343</v>
      </c>
      <c r="D2738" s="101">
        <f t="shared" ca="1" si="165"/>
        <v>0.78279838065127361</v>
      </c>
      <c r="E2738" s="101">
        <f t="shared" ca="1" si="166"/>
        <v>0</v>
      </c>
      <c r="F2738" s="21">
        <f t="shared" ca="1" si="167"/>
        <v>0</v>
      </c>
      <c r="H2738" s="21">
        <v>2723</v>
      </c>
      <c r="I2738" s="102">
        <v>0.66785528058007348</v>
      </c>
      <c r="J2738" s="103">
        <v>1.3667650676915993E-3</v>
      </c>
      <c r="K2738" s="103"/>
      <c r="L2738" s="103">
        <v>4.4400000000000002E-2</v>
      </c>
      <c r="O2738" s="100"/>
    </row>
    <row r="2739" spans="2:15" x14ac:dyDescent="0.2">
      <c r="B2739" s="1">
        <v>2724</v>
      </c>
      <c r="C2739" s="101">
        <f ca="1"/>
        <v>-0.27596489915735634</v>
      </c>
      <c r="D2739" s="101">
        <f t="shared" ca="1" si="165"/>
        <v>0.64665737359894582</v>
      </c>
      <c r="E2739" s="101">
        <f t="shared" ca="1" si="166"/>
        <v>0</v>
      </c>
      <c r="F2739" s="21">
        <f t="shared" ca="1" si="167"/>
        <v>0</v>
      </c>
      <c r="H2739" s="21">
        <v>2724</v>
      </c>
      <c r="I2739" s="102">
        <v>0.66775546444360756</v>
      </c>
      <c r="J2739" s="103">
        <v>1.3430449314776158E-3</v>
      </c>
      <c r="K2739" s="103"/>
      <c r="L2739" s="103">
        <v>3.9199999999999999E-2</v>
      </c>
      <c r="O2739" s="100"/>
    </row>
    <row r="2740" spans="2:15" x14ac:dyDescent="0.2">
      <c r="B2740" s="1">
        <v>2725</v>
      </c>
      <c r="C2740" s="101">
        <f ca="1"/>
        <v>0.78556393933309121</v>
      </c>
      <c r="D2740" s="101">
        <f t="shared" ca="1" si="165"/>
        <v>0.71804138346884006</v>
      </c>
      <c r="E2740" s="101">
        <f t="shared" ca="1" si="166"/>
        <v>0</v>
      </c>
      <c r="F2740" s="21">
        <f t="shared" ca="1" si="167"/>
        <v>0</v>
      </c>
      <c r="H2740" s="21">
        <v>2725</v>
      </c>
      <c r="I2740" s="102">
        <v>0.66780953778213048</v>
      </c>
      <c r="J2740" s="103">
        <v>1.4283469110681346E-3</v>
      </c>
      <c r="K2740" s="103"/>
      <c r="L2740" s="103">
        <v>4.3200000000000002E-2</v>
      </c>
      <c r="O2740" s="100"/>
    </row>
    <row r="2741" spans="2:15" x14ac:dyDescent="0.2">
      <c r="B2741" s="1">
        <v>2726</v>
      </c>
      <c r="C2741" s="101">
        <f ca="1"/>
        <v>-0.24877258184315834</v>
      </c>
      <c r="D2741" s="101">
        <f t="shared" ca="1" si="165"/>
        <v>0.64839422208907871</v>
      </c>
      <c r="E2741" s="101">
        <f t="shared" ca="1" si="166"/>
        <v>0</v>
      </c>
      <c r="F2741" s="21">
        <f t="shared" ca="1" si="167"/>
        <v>0</v>
      </c>
      <c r="H2741" s="21">
        <v>2726</v>
      </c>
      <c r="I2741" s="102">
        <v>0.66778122222202752</v>
      </c>
      <c r="J2741" s="103">
        <v>1.29113138231757E-3</v>
      </c>
      <c r="K2741" s="103"/>
      <c r="L2741" s="103">
        <v>4.2999999999999997E-2</v>
      </c>
      <c r="O2741" s="100"/>
    </row>
    <row r="2742" spans="2:15" x14ac:dyDescent="0.2">
      <c r="B2742" s="1">
        <v>2727</v>
      </c>
      <c r="C2742" s="101">
        <f ca="1"/>
        <v>-0.1925374580157819</v>
      </c>
      <c r="D2742" s="101">
        <f t="shared" ca="1" si="165"/>
        <v>0.65200092847184621</v>
      </c>
      <c r="E2742" s="101">
        <f t="shared" ca="1" si="166"/>
        <v>0</v>
      </c>
      <c r="F2742" s="21">
        <f t="shared" ca="1" si="167"/>
        <v>0</v>
      </c>
      <c r="H2742" s="21">
        <v>2727</v>
      </c>
      <c r="I2742" s="102">
        <v>0.66780582525391896</v>
      </c>
      <c r="J2742" s="103">
        <v>1.589286191143127E-3</v>
      </c>
      <c r="K2742" s="103"/>
      <c r="L2742" s="103">
        <v>4.1799999999999997E-2</v>
      </c>
      <c r="O2742" s="100"/>
    </row>
    <row r="2743" spans="2:15" x14ac:dyDescent="0.2">
      <c r="B2743" s="1">
        <v>2728</v>
      </c>
      <c r="C2743" s="101">
        <f ca="1"/>
        <v>0.92670878641778998</v>
      </c>
      <c r="D2743" s="101">
        <f t="shared" ca="1" si="165"/>
        <v>0.72810838628322838</v>
      </c>
      <c r="E2743" s="101">
        <f t="shared" ca="1" si="166"/>
        <v>0</v>
      </c>
      <c r="F2743" s="21">
        <f t="shared" ca="1" si="167"/>
        <v>0</v>
      </c>
      <c r="H2743" s="21">
        <v>2728</v>
      </c>
      <c r="I2743" s="102">
        <v>0.6679095120461136</v>
      </c>
      <c r="J2743" s="103">
        <v>1.5770207155505519E-3</v>
      </c>
      <c r="K2743" s="103"/>
      <c r="L2743" s="103">
        <v>4.6199999999999998E-2</v>
      </c>
      <c r="O2743" s="100"/>
    </row>
    <row r="2744" spans="2:15" x14ac:dyDescent="0.2">
      <c r="B2744" s="1">
        <v>2729</v>
      </c>
      <c r="C2744" s="101">
        <f ca="1"/>
        <v>0.55784859423347055</v>
      </c>
      <c r="D2744" s="101">
        <f t="shared" ca="1" si="165"/>
        <v>0.70209242927500315</v>
      </c>
      <c r="E2744" s="101">
        <f t="shared" ca="1" si="166"/>
        <v>0</v>
      </c>
      <c r="F2744" s="21">
        <f t="shared" ca="1" si="167"/>
        <v>0</v>
      </c>
      <c r="H2744" s="21">
        <v>2729</v>
      </c>
      <c r="I2744" s="102">
        <v>0.66771675990860302</v>
      </c>
      <c r="J2744" s="103">
        <v>1.3186631189929896E-3</v>
      </c>
      <c r="K2744" s="103"/>
      <c r="L2744" s="103">
        <v>4.0599999999999997E-2</v>
      </c>
      <c r="O2744" s="100"/>
    </row>
    <row r="2745" spans="2:15" x14ac:dyDescent="0.2">
      <c r="B2745" s="1">
        <v>2730</v>
      </c>
      <c r="C2745" s="101">
        <f ca="1"/>
        <v>-0.27733852467935477</v>
      </c>
      <c r="D2745" s="101">
        <f t="shared" ca="1" si="165"/>
        <v>0.64656975989037424</v>
      </c>
      <c r="E2745" s="101">
        <f t="shared" ca="1" si="166"/>
        <v>0</v>
      </c>
      <c r="F2745" s="21">
        <f t="shared" ca="1" si="167"/>
        <v>0</v>
      </c>
      <c r="H2745" s="21">
        <v>2730</v>
      </c>
      <c r="I2745" s="102">
        <v>0.66780349914043258</v>
      </c>
      <c r="J2745" s="103">
        <v>1.3491647323104728E-3</v>
      </c>
      <c r="K2745" s="103"/>
      <c r="L2745" s="103">
        <v>4.1799999999999997E-2</v>
      </c>
      <c r="O2745" s="100"/>
    </row>
    <row r="2746" spans="2:15" x14ac:dyDescent="0.2">
      <c r="B2746" s="1">
        <v>2731</v>
      </c>
      <c r="C2746" s="101">
        <f ca="1"/>
        <v>6.3714013756200658E-2</v>
      </c>
      <c r="D2746" s="101">
        <f t="shared" ca="1" si="165"/>
        <v>0.66869160238934711</v>
      </c>
      <c r="E2746" s="101">
        <f t="shared" ca="1" si="166"/>
        <v>0</v>
      </c>
      <c r="F2746" s="21">
        <f t="shared" ca="1" si="167"/>
        <v>0</v>
      </c>
      <c r="H2746" s="21">
        <v>2731</v>
      </c>
      <c r="I2746" s="102">
        <v>0.66789644254376745</v>
      </c>
      <c r="J2746" s="103">
        <v>1.6084077595001826E-3</v>
      </c>
      <c r="K2746" s="103"/>
      <c r="L2746" s="103">
        <v>4.4600000000000001E-2</v>
      </c>
      <c r="O2746" s="100"/>
    </row>
    <row r="2747" spans="2:15" x14ac:dyDescent="0.2">
      <c r="B2747" s="1">
        <v>2732</v>
      </c>
      <c r="C2747" s="101">
        <f ca="1"/>
        <v>0.30170506687130455</v>
      </c>
      <c r="D2747" s="101">
        <f t="shared" ca="1" si="165"/>
        <v>0.68457535331772079</v>
      </c>
      <c r="E2747" s="101">
        <f t="shared" ca="1" si="166"/>
        <v>0</v>
      </c>
      <c r="F2747" s="21">
        <f t="shared" ca="1" si="167"/>
        <v>0</v>
      </c>
      <c r="H2747" s="21">
        <v>2732</v>
      </c>
      <c r="I2747" s="102">
        <v>0.66784826095818672</v>
      </c>
      <c r="J2747" s="103">
        <v>1.5062954764722368E-3</v>
      </c>
      <c r="K2747" s="103"/>
      <c r="L2747" s="103">
        <v>4.3999999999999997E-2</v>
      </c>
      <c r="O2747" s="100"/>
    </row>
    <row r="2748" spans="2:15" x14ac:dyDescent="0.2">
      <c r="B2748" s="1">
        <v>2733</v>
      </c>
      <c r="C2748" s="101">
        <f ca="1"/>
        <v>1.2451617927409746</v>
      </c>
      <c r="D2748" s="101">
        <f t="shared" ca="1" si="165"/>
        <v>0.75134320605219829</v>
      </c>
      <c r="E2748" s="101">
        <f t="shared" ca="1" si="166"/>
        <v>0</v>
      </c>
      <c r="F2748" s="21">
        <f t="shared" ca="1" si="167"/>
        <v>0</v>
      </c>
      <c r="H2748" s="21">
        <v>2733</v>
      </c>
      <c r="I2748" s="102">
        <v>0.66783055900441424</v>
      </c>
      <c r="J2748" s="103">
        <v>1.4891241636345097E-3</v>
      </c>
      <c r="K2748" s="103"/>
      <c r="L2748" s="103">
        <v>4.4200000000000003E-2</v>
      </c>
      <c r="O2748" s="100"/>
    </row>
    <row r="2749" spans="2:15" x14ac:dyDescent="0.2">
      <c r="B2749" s="1">
        <v>2734</v>
      </c>
      <c r="C2749" s="101">
        <f ca="1"/>
        <v>0.82065951240052604</v>
      </c>
      <c r="D2749" s="101">
        <f t="shared" ca="1" si="165"/>
        <v>0.720531459839993</v>
      </c>
      <c r="E2749" s="101">
        <f t="shared" ca="1" si="166"/>
        <v>0</v>
      </c>
      <c r="F2749" s="21">
        <f t="shared" ca="1" si="167"/>
        <v>0</v>
      </c>
      <c r="H2749" s="21">
        <v>2734</v>
      </c>
      <c r="I2749" s="102">
        <v>0.66788109339225521</v>
      </c>
      <c r="J2749" s="103">
        <v>1.5419044745767769E-3</v>
      </c>
      <c r="K2749" s="103"/>
      <c r="L2749" s="103">
        <v>4.5400000000000003E-2</v>
      </c>
      <c r="O2749" s="100"/>
    </row>
    <row r="2750" spans="2:15" x14ac:dyDescent="0.2">
      <c r="B2750" s="1">
        <v>2735</v>
      </c>
      <c r="C2750" s="101">
        <f ca="1"/>
        <v>-0.85542706237590083</v>
      </c>
      <c r="D2750" s="101">
        <f t="shared" ca="1" si="165"/>
        <v>0.61073165726257816</v>
      </c>
      <c r="E2750" s="101">
        <f t="shared" ca="1" si="166"/>
        <v>0</v>
      </c>
      <c r="F2750" s="21">
        <f t="shared" ca="1" si="167"/>
        <v>0</v>
      </c>
      <c r="H2750" s="21">
        <v>2735</v>
      </c>
      <c r="I2750" s="102">
        <v>0.66763294134577877</v>
      </c>
      <c r="J2750" s="103">
        <v>1.2838065796329137E-3</v>
      </c>
      <c r="K2750" s="103"/>
      <c r="L2750" s="103">
        <v>3.6799999999999999E-2</v>
      </c>
      <c r="O2750" s="100"/>
    </row>
    <row r="2751" spans="2:15" x14ac:dyDescent="0.2">
      <c r="B2751" s="1">
        <v>2736</v>
      </c>
      <c r="C2751" s="101">
        <f ca="1"/>
        <v>-0.15669444194357554</v>
      </c>
      <c r="D2751" s="101">
        <f t="shared" ca="1" si="165"/>
        <v>0.65431022463711974</v>
      </c>
      <c r="E2751" s="101">
        <f t="shared" ca="1" si="166"/>
        <v>0</v>
      </c>
      <c r="F2751" s="21">
        <f t="shared" ca="1" si="167"/>
        <v>0</v>
      </c>
      <c r="H2751" s="21">
        <v>2736</v>
      </c>
      <c r="I2751" s="102">
        <v>0.66781006454586256</v>
      </c>
      <c r="J2751" s="103">
        <v>1.6312015238513044E-3</v>
      </c>
      <c r="K2751" s="103"/>
      <c r="L2751" s="103">
        <v>4.2599999999999999E-2</v>
      </c>
      <c r="O2751" s="100"/>
    </row>
    <row r="2752" spans="2:15" x14ac:dyDescent="0.2">
      <c r="B2752" s="1">
        <v>2737</v>
      </c>
      <c r="C2752" s="101">
        <f ca="1"/>
        <v>0.26119100394599704</v>
      </c>
      <c r="D2752" s="101">
        <f t="shared" ca="1" si="165"/>
        <v>0.68184500252430058</v>
      </c>
      <c r="E2752" s="101">
        <f t="shared" ca="1" si="166"/>
        <v>0</v>
      </c>
      <c r="F2752" s="21">
        <f t="shared" ca="1" si="167"/>
        <v>0</v>
      </c>
      <c r="H2752" s="21">
        <v>2737</v>
      </c>
      <c r="I2752" s="102">
        <v>0.66766405734893541</v>
      </c>
      <c r="J2752" s="103">
        <v>1.0438662319487248E-3</v>
      </c>
      <c r="K2752" s="103"/>
      <c r="L2752" s="103">
        <v>3.7600000000000001E-2</v>
      </c>
      <c r="O2752" s="100"/>
    </row>
    <row r="2753" spans="2:15" x14ac:dyDescent="0.2">
      <c r="B2753" s="1">
        <v>2738</v>
      </c>
      <c r="C2753" s="101">
        <f ca="1"/>
        <v>-0.82005843505129006</v>
      </c>
      <c r="D2753" s="101">
        <f t="shared" ca="1" si="165"/>
        <v>0.61286610410421416</v>
      </c>
      <c r="E2753" s="101">
        <f t="shared" ca="1" si="166"/>
        <v>0</v>
      </c>
      <c r="F2753" s="21">
        <f t="shared" ca="1" si="167"/>
        <v>0</v>
      </c>
      <c r="H2753" s="21">
        <v>2738</v>
      </c>
      <c r="I2753" s="102">
        <v>0.66771396358570601</v>
      </c>
      <c r="J2753" s="103">
        <v>1.300018494788651E-3</v>
      </c>
      <c r="K2753" s="103"/>
      <c r="L2753" s="103">
        <v>3.9399999999999998E-2</v>
      </c>
      <c r="O2753" s="100"/>
    </row>
    <row r="2754" spans="2:15" x14ac:dyDescent="0.2">
      <c r="B2754" s="1">
        <v>2739</v>
      </c>
      <c r="C2754" s="101">
        <f ca="1"/>
        <v>-0.22656410979424679</v>
      </c>
      <c r="D2754" s="101">
        <f t="shared" ca="1" si="165"/>
        <v>0.64981619886103026</v>
      </c>
      <c r="E2754" s="101">
        <f t="shared" ca="1" si="166"/>
        <v>0</v>
      </c>
      <c r="F2754" s="21">
        <f t="shared" ca="1" si="167"/>
        <v>0</v>
      </c>
      <c r="H2754" s="21">
        <v>2739</v>
      </c>
      <c r="I2754" s="102">
        <v>0.66787155295928946</v>
      </c>
      <c r="J2754" s="103">
        <v>1.6108088203574628E-3</v>
      </c>
      <c r="K2754" s="103"/>
      <c r="L2754" s="103">
        <v>4.7199999999999999E-2</v>
      </c>
      <c r="O2754" s="100"/>
    </row>
    <row r="2755" spans="2:15" x14ac:dyDescent="0.2">
      <c r="B2755" s="1">
        <v>2740</v>
      </c>
      <c r="C2755" s="101">
        <f ca="1"/>
        <v>-0.42700881769538201</v>
      </c>
      <c r="D2755" s="101">
        <f t="shared" ca="1" si="165"/>
        <v>0.6370941330156511</v>
      </c>
      <c r="E2755" s="101">
        <f t="shared" ca="1" si="166"/>
        <v>0</v>
      </c>
      <c r="F2755" s="21">
        <f t="shared" ca="1" si="167"/>
        <v>0</v>
      </c>
      <c r="H2755" s="21">
        <v>2740</v>
      </c>
      <c r="I2755" s="102">
        <v>0.66770524656723473</v>
      </c>
      <c r="J2755" s="103">
        <v>1.2796867347746924E-3</v>
      </c>
      <c r="K2755" s="103"/>
      <c r="L2755" s="103">
        <v>0.04</v>
      </c>
      <c r="O2755" s="100"/>
    </row>
    <row r="2756" spans="2:15" x14ac:dyDescent="0.2">
      <c r="B2756" s="1">
        <v>2741</v>
      </c>
      <c r="C2756" s="101">
        <f ca="1"/>
        <v>0.30760941859446683</v>
      </c>
      <c r="D2756" s="101">
        <f t="shared" ca="1" si="165"/>
        <v>0.68497417508717984</v>
      </c>
      <c r="E2756" s="101">
        <f t="shared" ca="1" si="166"/>
        <v>0</v>
      </c>
      <c r="F2756" s="21">
        <f t="shared" ca="1" si="167"/>
        <v>0</v>
      </c>
      <c r="H2756" s="21">
        <v>2741</v>
      </c>
      <c r="I2756" s="102">
        <v>0.66770430573940764</v>
      </c>
      <c r="J2756" s="103">
        <v>1.3960274229793143E-3</v>
      </c>
      <c r="K2756" s="103"/>
      <c r="L2756" s="103">
        <v>3.9199999999999999E-2</v>
      </c>
      <c r="O2756" s="100"/>
    </row>
    <row r="2757" spans="2:15" x14ac:dyDescent="0.2">
      <c r="B2757" s="1">
        <v>2742</v>
      </c>
      <c r="C2757" s="101">
        <f ca="1"/>
        <v>-1.8022700991369589</v>
      </c>
      <c r="D2757" s="101">
        <f t="shared" ca="1" si="165"/>
        <v>0.55627335777967835</v>
      </c>
      <c r="E2757" s="101">
        <f t="shared" ca="1" si="166"/>
        <v>0</v>
      </c>
      <c r="F2757" s="21">
        <f t="shared" ca="1" si="167"/>
        <v>0</v>
      </c>
      <c r="H2757" s="21">
        <v>2742</v>
      </c>
      <c r="I2757" s="102">
        <v>0.66768292862045997</v>
      </c>
      <c r="J2757" s="103">
        <v>1.3119238246609088E-3</v>
      </c>
      <c r="K2757" s="103"/>
      <c r="L2757" s="103">
        <v>3.78E-2</v>
      </c>
      <c r="O2757" s="100"/>
    </row>
    <row r="2758" spans="2:15" x14ac:dyDescent="0.2">
      <c r="B2758" s="1">
        <v>2743</v>
      </c>
      <c r="C2758" s="101">
        <f ca="1"/>
        <v>1.2066424183080686</v>
      </c>
      <c r="D2758" s="101">
        <f t="shared" ca="1" si="165"/>
        <v>0.74849381748179955</v>
      </c>
      <c r="E2758" s="101">
        <f t="shared" ca="1" si="166"/>
        <v>0</v>
      </c>
      <c r="F2758" s="21">
        <f t="shared" ca="1" si="167"/>
        <v>0</v>
      </c>
      <c r="H2758" s="21">
        <v>2743</v>
      </c>
      <c r="I2758" s="102">
        <v>0.66788756822290829</v>
      </c>
      <c r="J2758" s="103">
        <v>1.408774667772025E-3</v>
      </c>
      <c r="K2758" s="103"/>
      <c r="L2758" s="103">
        <v>4.8000000000000001E-2</v>
      </c>
      <c r="O2758" s="100"/>
    </row>
    <row r="2759" spans="2:15" x14ac:dyDescent="0.2">
      <c r="B2759" s="1">
        <v>2744</v>
      </c>
      <c r="C2759" s="101">
        <f ca="1"/>
        <v>1.4811825422556775</v>
      </c>
      <c r="D2759" s="101">
        <f t="shared" ca="1" si="165"/>
        <v>0.76904073981135179</v>
      </c>
      <c r="E2759" s="101">
        <f t="shared" ca="1" si="166"/>
        <v>0</v>
      </c>
      <c r="F2759" s="21">
        <f t="shared" ca="1" si="167"/>
        <v>0</v>
      </c>
      <c r="H2759" s="21">
        <v>2744</v>
      </c>
      <c r="I2759" s="102">
        <v>0.66758117691174568</v>
      </c>
      <c r="J2759" s="103">
        <v>1.2521475721574639E-3</v>
      </c>
      <c r="K2759" s="103"/>
      <c r="L2759" s="103">
        <v>3.8199999999999998E-2</v>
      </c>
      <c r="O2759" s="100"/>
    </row>
    <row r="2760" spans="2:15" x14ac:dyDescent="0.2">
      <c r="B2760" s="1">
        <v>2745</v>
      </c>
      <c r="C2760" s="101">
        <f ca="1"/>
        <v>2.6900308540994011</v>
      </c>
      <c r="D2760" s="101">
        <f t="shared" ca="1" si="165"/>
        <v>0.86643435360928966</v>
      </c>
      <c r="E2760" s="101">
        <f t="shared" ca="1" si="166"/>
        <v>7.8234353609289653E-2</v>
      </c>
      <c r="F2760" s="21">
        <f t="shared" ca="1" si="167"/>
        <v>1</v>
      </c>
      <c r="H2760" s="21">
        <v>2745</v>
      </c>
      <c r="I2760" s="102">
        <v>0.66762856839630769</v>
      </c>
      <c r="J2760" s="103">
        <v>1.1783239616524562E-3</v>
      </c>
      <c r="K2760" s="103"/>
      <c r="L2760" s="103">
        <v>3.78E-2</v>
      </c>
      <c r="O2760" s="100"/>
    </row>
    <row r="2761" spans="2:15" x14ac:dyDescent="0.2">
      <c r="B2761" s="1">
        <v>2746</v>
      </c>
      <c r="C2761" s="101">
        <f ca="1"/>
        <v>0.76867635305510373</v>
      </c>
      <c r="D2761" s="101">
        <f t="shared" ca="1" si="165"/>
        <v>0.71684625585833528</v>
      </c>
      <c r="E2761" s="101">
        <f t="shared" ca="1" si="166"/>
        <v>0</v>
      </c>
      <c r="F2761" s="21">
        <f t="shared" ca="1" si="167"/>
        <v>0</v>
      </c>
      <c r="H2761" s="21">
        <v>2746</v>
      </c>
      <c r="I2761" s="102">
        <v>0.66794656049175827</v>
      </c>
      <c r="J2761" s="103">
        <v>1.5721581143588903E-3</v>
      </c>
      <c r="K2761" s="103"/>
      <c r="L2761" s="103">
        <v>4.8000000000000001E-2</v>
      </c>
      <c r="O2761" s="100"/>
    </row>
    <row r="2762" spans="2:15" x14ac:dyDescent="0.2">
      <c r="B2762" s="1">
        <v>2747</v>
      </c>
      <c r="C2762" s="101">
        <f ca="1"/>
        <v>-1.4053101301113577</v>
      </c>
      <c r="D2762" s="101">
        <f t="shared" ca="1" si="165"/>
        <v>0.57848723559613358</v>
      </c>
      <c r="E2762" s="101">
        <f t="shared" ca="1" si="166"/>
        <v>0</v>
      </c>
      <c r="F2762" s="21">
        <f t="shared" ca="1" si="167"/>
        <v>0</v>
      </c>
      <c r="H2762" s="21">
        <v>2747</v>
      </c>
      <c r="I2762" s="102">
        <v>0.66782966502904151</v>
      </c>
      <c r="J2762" s="103">
        <v>1.4386939628713276E-3</v>
      </c>
      <c r="K2762" s="103"/>
      <c r="L2762" s="103">
        <v>4.2799999999999998E-2</v>
      </c>
      <c r="O2762" s="100"/>
    </row>
    <row r="2763" spans="2:15" x14ac:dyDescent="0.2">
      <c r="B2763" s="1">
        <v>2748</v>
      </c>
      <c r="C2763" s="101">
        <f ca="1"/>
        <v>0.28878656092482197</v>
      </c>
      <c r="D2763" s="101">
        <f t="shared" ca="1" si="165"/>
        <v>0.68370355551854867</v>
      </c>
      <c r="E2763" s="101">
        <f t="shared" ca="1" si="166"/>
        <v>0</v>
      </c>
      <c r="F2763" s="21">
        <f t="shared" ca="1" si="167"/>
        <v>0</v>
      </c>
      <c r="H2763" s="21">
        <v>2748</v>
      </c>
      <c r="I2763" s="102">
        <v>0.66766077458174145</v>
      </c>
      <c r="J2763" s="103">
        <v>1.3305051129522758E-3</v>
      </c>
      <c r="K2763" s="103"/>
      <c r="L2763" s="103">
        <v>4.0599999999999997E-2</v>
      </c>
      <c r="O2763" s="100"/>
    </row>
    <row r="2764" spans="2:15" x14ac:dyDescent="0.2">
      <c r="B2764" s="1">
        <v>2749</v>
      </c>
      <c r="C2764" s="101">
        <f ca="1"/>
        <v>-0.243572426026339</v>
      </c>
      <c r="D2764" s="101">
        <f t="shared" ca="1" si="165"/>
        <v>0.64872690139312461</v>
      </c>
      <c r="E2764" s="101">
        <f t="shared" ca="1" si="166"/>
        <v>0</v>
      </c>
      <c r="F2764" s="21">
        <f t="shared" ca="1" si="167"/>
        <v>0</v>
      </c>
      <c r="H2764" s="21">
        <v>2749</v>
      </c>
      <c r="I2764" s="102">
        <v>0.66781082075433307</v>
      </c>
      <c r="J2764" s="103">
        <v>1.3291498098073802E-3</v>
      </c>
      <c r="K2764" s="103"/>
      <c r="L2764" s="103">
        <v>4.24E-2</v>
      </c>
      <c r="O2764" s="100"/>
    </row>
    <row r="2765" spans="2:15" x14ac:dyDescent="0.2">
      <c r="B2765" s="1">
        <v>2750</v>
      </c>
      <c r="C2765" s="101">
        <f ca="1"/>
        <v>-0.35820014802043126</v>
      </c>
      <c r="D2765" s="101">
        <f t="shared" ca="1" si="165"/>
        <v>0.64143304021873382</v>
      </c>
      <c r="E2765" s="101">
        <f t="shared" ca="1" si="166"/>
        <v>0</v>
      </c>
      <c r="F2765" s="21">
        <f t="shared" ca="1" si="167"/>
        <v>0</v>
      </c>
      <c r="H2765" s="21">
        <v>2750</v>
      </c>
      <c r="I2765" s="102">
        <v>0.66773859129252977</v>
      </c>
      <c r="J2765" s="103">
        <v>1.3884755976497193E-3</v>
      </c>
      <c r="K2765" s="103"/>
      <c r="L2765" s="103">
        <v>4.2599999999999999E-2</v>
      </c>
      <c r="O2765" s="100"/>
    </row>
    <row r="2766" spans="2:15" x14ac:dyDescent="0.2">
      <c r="B2766" s="1">
        <v>2751</v>
      </c>
      <c r="C2766" s="101">
        <f ca="1"/>
        <v>-1.2881193963481348</v>
      </c>
      <c r="D2766" s="101">
        <f t="shared" ca="1" si="165"/>
        <v>0.58521326191382073</v>
      </c>
      <c r="E2766" s="101">
        <f t="shared" ca="1" si="166"/>
        <v>0</v>
      </c>
      <c r="F2766" s="21">
        <f t="shared" ca="1" si="167"/>
        <v>0</v>
      </c>
      <c r="H2766" s="21">
        <v>2751</v>
      </c>
      <c r="I2766" s="102">
        <v>0.6676134528437373</v>
      </c>
      <c r="J2766" s="103">
        <v>1.1644640024063378E-3</v>
      </c>
      <c r="K2766" s="103"/>
      <c r="L2766" s="103">
        <v>3.7400000000000003E-2</v>
      </c>
      <c r="O2766" s="100"/>
    </row>
    <row r="2767" spans="2:15" x14ac:dyDescent="0.2">
      <c r="B2767" s="1">
        <v>2752</v>
      </c>
      <c r="C2767" s="101">
        <f ca="1"/>
        <v>0.1713108943062453</v>
      </c>
      <c r="D2767" s="101">
        <f t="shared" ca="1" si="165"/>
        <v>0.67582655644292089</v>
      </c>
      <c r="E2767" s="101">
        <f t="shared" ca="1" si="166"/>
        <v>0</v>
      </c>
      <c r="F2767" s="21">
        <f t="shared" ca="1" si="167"/>
        <v>0</v>
      </c>
      <c r="H2767" s="21">
        <v>2752</v>
      </c>
      <c r="I2767" s="102">
        <v>0.66765452257261626</v>
      </c>
      <c r="J2767" s="103">
        <v>1.3742179638492661E-3</v>
      </c>
      <c r="K2767" s="103"/>
      <c r="L2767" s="103">
        <v>4.0599999999999997E-2</v>
      </c>
      <c r="O2767" s="100"/>
    </row>
    <row r="2768" spans="2:15" x14ac:dyDescent="0.2">
      <c r="B2768" s="1">
        <v>2753</v>
      </c>
      <c r="C2768" s="101">
        <f ca="1"/>
        <v>0.6190515814019395</v>
      </c>
      <c r="D2768" s="101">
        <f t="shared" ref="D2768:D2831" ca="1" si="168">S0*EXP((μ-0.5*σ*σ)*T+σ*SQRT(T)*$C2768)</f>
        <v>0.70634388263289705</v>
      </c>
      <c r="E2768" s="101">
        <f t="shared" ref="E2768:E2831" ca="1" si="169">MAX(0,CP*(D2768-K))</f>
        <v>0</v>
      </c>
      <c r="F2768" s="21">
        <f t="shared" ref="F2768:F2831" ca="1" si="170">(CP*(D2768-K)&gt;0)*1</f>
        <v>0</v>
      </c>
      <c r="H2768" s="21">
        <v>2753</v>
      </c>
      <c r="I2768" s="102">
        <v>0.66780631901893261</v>
      </c>
      <c r="J2768" s="103">
        <v>1.4982767426889806E-3</v>
      </c>
      <c r="K2768" s="103"/>
      <c r="L2768" s="103">
        <v>4.5199999999999997E-2</v>
      </c>
      <c r="O2768" s="100"/>
    </row>
    <row r="2769" spans="2:15" x14ac:dyDescent="0.2">
      <c r="B2769" s="1">
        <v>2754</v>
      </c>
      <c r="C2769" s="101">
        <f ca="1"/>
        <v>0.40737652130676588</v>
      </c>
      <c r="D2769" s="101">
        <f t="shared" ca="1" si="168"/>
        <v>0.69174839345485539</v>
      </c>
      <c r="E2769" s="101">
        <f t="shared" ca="1" si="169"/>
        <v>0</v>
      </c>
      <c r="F2769" s="21">
        <f t="shared" ca="1" si="170"/>
        <v>0</v>
      </c>
      <c r="H2769" s="21">
        <v>2754</v>
      </c>
      <c r="I2769" s="102">
        <v>0.66774594347396377</v>
      </c>
      <c r="J2769" s="103">
        <v>1.3280904144161781E-3</v>
      </c>
      <c r="K2769" s="103"/>
      <c r="L2769" s="103">
        <v>4.2599999999999999E-2</v>
      </c>
      <c r="O2769" s="100"/>
    </row>
    <row r="2770" spans="2:15" x14ac:dyDescent="0.2">
      <c r="B2770" s="1">
        <v>2755</v>
      </c>
      <c r="C2770" s="101">
        <f ca="1"/>
        <v>-2.2864893716408145E-2</v>
      </c>
      <c r="D2770" s="101">
        <f t="shared" ca="1" si="168"/>
        <v>0.66300512001406131</v>
      </c>
      <c r="E2770" s="101">
        <f t="shared" ca="1" si="169"/>
        <v>0</v>
      </c>
      <c r="F2770" s="21">
        <f t="shared" ca="1" si="170"/>
        <v>0</v>
      </c>
      <c r="H2770" s="21">
        <v>2755</v>
      </c>
      <c r="I2770" s="102">
        <v>0.66774219944327251</v>
      </c>
      <c r="J2770" s="103">
        <v>1.2284448159286861E-3</v>
      </c>
      <c r="K2770" s="103"/>
      <c r="L2770" s="103">
        <v>4.2200000000000001E-2</v>
      </c>
      <c r="O2770" s="100"/>
    </row>
    <row r="2771" spans="2:15" x14ac:dyDescent="0.2">
      <c r="B2771" s="1">
        <v>2756</v>
      </c>
      <c r="C2771" s="101">
        <f ca="1"/>
        <v>1.080549451515028</v>
      </c>
      <c r="D2771" s="101">
        <f t="shared" ca="1" si="168"/>
        <v>0.73924172621346129</v>
      </c>
      <c r="E2771" s="101">
        <f t="shared" ca="1" si="169"/>
        <v>0</v>
      </c>
      <c r="F2771" s="21">
        <f t="shared" ca="1" si="170"/>
        <v>0</v>
      </c>
      <c r="H2771" s="21">
        <v>2756</v>
      </c>
      <c r="I2771" s="102">
        <v>0.66765120578648984</v>
      </c>
      <c r="J2771" s="103">
        <v>1.117383477876967E-3</v>
      </c>
      <c r="K2771" s="103"/>
      <c r="L2771" s="103">
        <v>0.04</v>
      </c>
      <c r="O2771" s="100"/>
    </row>
    <row r="2772" spans="2:15" x14ac:dyDescent="0.2">
      <c r="B2772" s="1">
        <v>2757</v>
      </c>
      <c r="C2772" s="101">
        <f ca="1"/>
        <v>0.66998216834217883</v>
      </c>
      <c r="D2772" s="101">
        <f t="shared" ca="1" si="168"/>
        <v>0.70990138456206153</v>
      </c>
      <c r="E2772" s="101">
        <f t="shared" ca="1" si="169"/>
        <v>0</v>
      </c>
      <c r="F2772" s="21">
        <f t="shared" ca="1" si="170"/>
        <v>0</v>
      </c>
      <c r="H2772" s="21">
        <v>2757</v>
      </c>
      <c r="I2772" s="102">
        <v>0.66771931928871509</v>
      </c>
      <c r="J2772" s="103">
        <v>1.3225786054375994E-3</v>
      </c>
      <c r="K2772" s="103"/>
      <c r="L2772" s="103">
        <v>4.0399999999999998E-2</v>
      </c>
      <c r="O2772" s="100"/>
    </row>
    <row r="2773" spans="2:15" x14ac:dyDescent="0.2">
      <c r="B2773" s="1">
        <v>2758</v>
      </c>
      <c r="C2773" s="101">
        <f ca="1"/>
        <v>2.6637955042577644E-2</v>
      </c>
      <c r="D2773" s="101">
        <f t="shared" ca="1" si="168"/>
        <v>0.66625050888300652</v>
      </c>
      <c r="E2773" s="101">
        <f t="shared" ca="1" si="169"/>
        <v>0</v>
      </c>
      <c r="F2773" s="21">
        <f t="shared" ca="1" si="170"/>
        <v>0</v>
      </c>
      <c r="H2773" s="21">
        <v>2758</v>
      </c>
      <c r="I2773" s="102">
        <v>0.66774194007943843</v>
      </c>
      <c r="J2773" s="103">
        <v>1.4700040675775514E-3</v>
      </c>
      <c r="K2773" s="103"/>
      <c r="L2773" s="103">
        <v>3.9399999999999998E-2</v>
      </c>
      <c r="O2773" s="100"/>
    </row>
    <row r="2774" spans="2:15" x14ac:dyDescent="0.2">
      <c r="B2774" s="1">
        <v>2759</v>
      </c>
      <c r="C2774" s="101">
        <f ca="1"/>
        <v>1.3919345176464868</v>
      </c>
      <c r="D2774" s="101">
        <f t="shared" ca="1" si="168"/>
        <v>0.76230017021149687</v>
      </c>
      <c r="E2774" s="101">
        <f t="shared" ca="1" si="169"/>
        <v>0</v>
      </c>
      <c r="F2774" s="21">
        <f t="shared" ca="1" si="170"/>
        <v>0</v>
      </c>
      <c r="H2774" s="21">
        <v>2759</v>
      </c>
      <c r="I2774" s="102">
        <v>0.66788179731418551</v>
      </c>
      <c r="J2774" s="103">
        <v>1.5736198683395661E-3</v>
      </c>
      <c r="K2774" s="103"/>
      <c r="L2774" s="103">
        <v>4.36E-2</v>
      </c>
      <c r="O2774" s="100"/>
    </row>
    <row r="2775" spans="2:15" x14ac:dyDescent="0.2">
      <c r="B2775" s="1">
        <v>2760</v>
      </c>
      <c r="C2775" s="101">
        <f ca="1"/>
        <v>-1.6833147966735422</v>
      </c>
      <c r="D2775" s="101">
        <f t="shared" ca="1" si="168"/>
        <v>0.56283906396111483</v>
      </c>
      <c r="E2775" s="101">
        <f t="shared" ca="1" si="169"/>
        <v>0</v>
      </c>
      <c r="F2775" s="21">
        <f t="shared" ca="1" si="170"/>
        <v>0</v>
      </c>
      <c r="H2775" s="21">
        <v>2760</v>
      </c>
      <c r="I2775" s="102">
        <v>0.66775701860051817</v>
      </c>
      <c r="J2775" s="103">
        <v>1.3717377773596682E-3</v>
      </c>
      <c r="K2775" s="103"/>
      <c r="L2775" s="103">
        <v>4.1599999999999998E-2</v>
      </c>
      <c r="O2775" s="100"/>
    </row>
    <row r="2776" spans="2:15" x14ac:dyDescent="0.2">
      <c r="B2776" s="1">
        <v>2761</v>
      </c>
      <c r="C2776" s="101">
        <f ca="1"/>
        <v>-0.3459845399585062</v>
      </c>
      <c r="D2776" s="101">
        <f t="shared" ca="1" si="168"/>
        <v>0.64220640964331321</v>
      </c>
      <c r="E2776" s="101">
        <f t="shared" ca="1" si="169"/>
        <v>0</v>
      </c>
      <c r="F2776" s="21">
        <f t="shared" ca="1" si="170"/>
        <v>0</v>
      </c>
      <c r="H2776" s="21">
        <v>2761</v>
      </c>
      <c r="I2776" s="102">
        <v>0.66788908902450672</v>
      </c>
      <c r="J2776" s="103">
        <v>1.5853190420401183E-3</v>
      </c>
      <c r="K2776" s="103"/>
      <c r="L2776" s="103">
        <v>4.5600000000000002E-2</v>
      </c>
      <c r="O2776" s="100"/>
    </row>
    <row r="2777" spans="2:15" x14ac:dyDescent="0.2">
      <c r="B2777" s="1">
        <v>2762</v>
      </c>
      <c r="C2777" s="101">
        <f ca="1"/>
        <v>6.9355877802840846E-2</v>
      </c>
      <c r="D2777" s="101">
        <f t="shared" ca="1" si="168"/>
        <v>0.66906384684604514</v>
      </c>
      <c r="E2777" s="101">
        <f t="shared" ca="1" si="169"/>
        <v>0</v>
      </c>
      <c r="F2777" s="21">
        <f t="shared" ca="1" si="170"/>
        <v>0</v>
      </c>
      <c r="H2777" s="21">
        <v>2762</v>
      </c>
      <c r="I2777" s="102">
        <v>0.66792912170788565</v>
      </c>
      <c r="J2777" s="103">
        <v>1.5544258882412426E-3</v>
      </c>
      <c r="K2777" s="103"/>
      <c r="L2777" s="103">
        <v>0.05</v>
      </c>
      <c r="O2777" s="100"/>
    </row>
    <row r="2778" spans="2:15" x14ac:dyDescent="0.2">
      <c r="B2778" s="1">
        <v>2763</v>
      </c>
      <c r="C2778" s="101">
        <f ca="1"/>
        <v>-0.44504542504666439</v>
      </c>
      <c r="D2778" s="101">
        <f t="shared" ca="1" si="168"/>
        <v>0.6359616516203106</v>
      </c>
      <c r="E2778" s="101">
        <f t="shared" ca="1" si="169"/>
        <v>0</v>
      </c>
      <c r="F2778" s="21">
        <f t="shared" ca="1" si="170"/>
        <v>0</v>
      </c>
      <c r="H2778" s="21">
        <v>2763</v>
      </c>
      <c r="I2778" s="102">
        <v>0.66774463816069596</v>
      </c>
      <c r="J2778" s="103">
        <v>1.4176016503818236E-3</v>
      </c>
      <c r="K2778" s="103"/>
      <c r="L2778" s="103">
        <v>0.04</v>
      </c>
      <c r="O2778" s="100"/>
    </row>
    <row r="2779" spans="2:15" x14ac:dyDescent="0.2">
      <c r="B2779" s="1">
        <v>2764</v>
      </c>
      <c r="C2779" s="101">
        <f ca="1"/>
        <v>-1.2350509234644436</v>
      </c>
      <c r="D2779" s="101">
        <f t="shared" ca="1" si="168"/>
        <v>0.58828473600785769</v>
      </c>
      <c r="E2779" s="101">
        <f t="shared" ca="1" si="169"/>
        <v>0</v>
      </c>
      <c r="F2779" s="21">
        <f t="shared" ca="1" si="170"/>
        <v>0</v>
      </c>
      <c r="H2779" s="21">
        <v>2764</v>
      </c>
      <c r="I2779" s="102">
        <v>0.66786550192475957</v>
      </c>
      <c r="J2779" s="103">
        <v>1.5434664321687963E-3</v>
      </c>
      <c r="K2779" s="103"/>
      <c r="L2779" s="103">
        <v>4.5600000000000002E-2</v>
      </c>
      <c r="O2779" s="100"/>
    </row>
    <row r="2780" spans="2:15" x14ac:dyDescent="0.2">
      <c r="B2780" s="1">
        <v>2765</v>
      </c>
      <c r="C2780" s="101">
        <f ca="1"/>
        <v>-0.19417752176614889</v>
      </c>
      <c r="D2780" s="101">
        <f t="shared" ca="1" si="168"/>
        <v>0.6518954575564444</v>
      </c>
      <c r="E2780" s="101">
        <f t="shared" ca="1" si="169"/>
        <v>0</v>
      </c>
      <c r="F2780" s="21">
        <f t="shared" ca="1" si="170"/>
        <v>0</v>
      </c>
      <c r="H2780" s="21">
        <v>2765</v>
      </c>
      <c r="I2780" s="102">
        <v>0.6677601122871929</v>
      </c>
      <c r="J2780" s="103">
        <v>1.2306278533236246E-3</v>
      </c>
      <c r="K2780" s="103"/>
      <c r="L2780" s="103">
        <v>3.9399999999999998E-2</v>
      </c>
      <c r="O2780" s="100"/>
    </row>
    <row r="2781" spans="2:15" x14ac:dyDescent="0.2">
      <c r="B2781" s="1">
        <v>2766</v>
      </c>
      <c r="C2781" s="101">
        <f ca="1"/>
        <v>-1.0135544662729241</v>
      </c>
      <c r="D2781" s="101">
        <f t="shared" ca="1" si="168"/>
        <v>0.60127943694123498</v>
      </c>
      <c r="E2781" s="101">
        <f t="shared" ca="1" si="169"/>
        <v>0</v>
      </c>
      <c r="F2781" s="21">
        <f t="shared" ca="1" si="170"/>
        <v>0</v>
      </c>
      <c r="H2781" s="21">
        <v>2766</v>
      </c>
      <c r="I2781" s="102">
        <v>0.66808076384365467</v>
      </c>
      <c r="J2781" s="103">
        <v>1.9014586484368831E-3</v>
      </c>
      <c r="K2781" s="103"/>
      <c r="L2781" s="103">
        <v>5.16E-2</v>
      </c>
      <c r="O2781" s="100"/>
    </row>
    <row r="2782" spans="2:15" x14ac:dyDescent="0.2">
      <c r="B2782" s="1">
        <v>2767</v>
      </c>
      <c r="C2782" s="101">
        <f ca="1"/>
        <v>-0.34928580540549869</v>
      </c>
      <c r="D2782" s="101">
        <f t="shared" ca="1" si="168"/>
        <v>0.64199731482396571</v>
      </c>
      <c r="E2782" s="101">
        <f t="shared" ca="1" si="169"/>
        <v>0</v>
      </c>
      <c r="F2782" s="21">
        <f t="shared" ca="1" si="170"/>
        <v>0</v>
      </c>
      <c r="H2782" s="21">
        <v>2767</v>
      </c>
      <c r="I2782" s="102">
        <v>0.6677606931361485</v>
      </c>
      <c r="J2782" s="103">
        <v>1.3674091697690291E-3</v>
      </c>
      <c r="K2782" s="103"/>
      <c r="L2782" s="103">
        <v>3.9800000000000002E-2</v>
      </c>
      <c r="O2782" s="100"/>
    </row>
    <row r="2783" spans="2:15" x14ac:dyDescent="0.2">
      <c r="B2783" s="1">
        <v>2768</v>
      </c>
      <c r="C2783" s="101">
        <f ca="1"/>
        <v>-0.19342776956553659</v>
      </c>
      <c r="D2783" s="101">
        <f t="shared" ca="1" si="168"/>
        <v>0.65194367127897823</v>
      </c>
      <c r="E2783" s="101">
        <f t="shared" ca="1" si="169"/>
        <v>0</v>
      </c>
      <c r="F2783" s="21">
        <f t="shared" ca="1" si="170"/>
        <v>0</v>
      </c>
      <c r="H2783" s="21">
        <v>2768</v>
      </c>
      <c r="I2783" s="102">
        <v>0.6676084165006213</v>
      </c>
      <c r="J2783" s="103">
        <v>1.2561726268940647E-3</v>
      </c>
      <c r="K2783" s="103"/>
      <c r="L2783" s="103">
        <v>3.7600000000000001E-2</v>
      </c>
      <c r="O2783" s="100"/>
    </row>
    <row r="2784" spans="2:15" x14ac:dyDescent="0.2">
      <c r="B2784" s="1">
        <v>2769</v>
      </c>
      <c r="C2784" s="101">
        <f ca="1"/>
        <v>3.7275581569576797E-3</v>
      </c>
      <c r="D2784" s="101">
        <f t="shared" ca="1" si="168"/>
        <v>0.66474654147155587</v>
      </c>
      <c r="E2784" s="101">
        <f t="shared" ca="1" si="169"/>
        <v>0</v>
      </c>
      <c r="F2784" s="21">
        <f t="shared" ca="1" si="170"/>
        <v>0</v>
      </c>
      <c r="H2784" s="21">
        <v>2769</v>
      </c>
      <c r="I2784" s="102">
        <v>0.66780173041548474</v>
      </c>
      <c r="J2784" s="103">
        <v>1.4347514775513407E-3</v>
      </c>
      <c r="K2784" s="103"/>
      <c r="L2784" s="103">
        <v>4.5400000000000003E-2</v>
      </c>
      <c r="O2784" s="100"/>
    </row>
    <row r="2785" spans="2:15" x14ac:dyDescent="0.2">
      <c r="B2785" s="1">
        <v>2770</v>
      </c>
      <c r="C2785" s="101">
        <f ca="1"/>
        <v>-1.0671237807022989</v>
      </c>
      <c r="D2785" s="101">
        <f t="shared" ca="1" si="168"/>
        <v>0.59811056705195109</v>
      </c>
      <c r="E2785" s="101">
        <f t="shared" ca="1" si="169"/>
        <v>0</v>
      </c>
      <c r="F2785" s="21">
        <f t="shared" ca="1" si="170"/>
        <v>0</v>
      </c>
      <c r="H2785" s="21">
        <v>2770</v>
      </c>
      <c r="I2785" s="102">
        <v>0.66769815557148526</v>
      </c>
      <c r="J2785" s="103">
        <v>1.3031668043159321E-3</v>
      </c>
      <c r="K2785" s="103"/>
      <c r="L2785" s="103">
        <v>4.02E-2</v>
      </c>
      <c r="O2785" s="100"/>
    </row>
    <row r="2786" spans="2:15" x14ac:dyDescent="0.2">
      <c r="B2786" s="1">
        <v>2771</v>
      </c>
      <c r="C2786" s="101">
        <f ca="1"/>
        <v>-0.59366704930333902</v>
      </c>
      <c r="D2786" s="101">
        <f t="shared" ca="1" si="168"/>
        <v>0.62670631343449634</v>
      </c>
      <c r="E2786" s="101">
        <f t="shared" ca="1" si="169"/>
        <v>0</v>
      </c>
      <c r="F2786" s="21">
        <f t="shared" ca="1" si="170"/>
        <v>0</v>
      </c>
      <c r="H2786" s="21">
        <v>2771</v>
      </c>
      <c r="I2786" s="102">
        <v>0.66776002501778176</v>
      </c>
      <c r="J2786" s="103">
        <v>1.4458600864624411E-3</v>
      </c>
      <c r="K2786" s="103"/>
      <c r="L2786" s="103">
        <v>4.4200000000000003E-2</v>
      </c>
      <c r="O2786" s="100"/>
    </row>
    <row r="2787" spans="2:15" x14ac:dyDescent="0.2">
      <c r="B2787" s="1">
        <v>2772</v>
      </c>
      <c r="C2787" s="101">
        <f ca="1"/>
        <v>-1.498305788296564</v>
      </c>
      <c r="D2787" s="101">
        <f t="shared" ca="1" si="168"/>
        <v>0.57320491278398389</v>
      </c>
      <c r="E2787" s="101">
        <f t="shared" ca="1" si="169"/>
        <v>0</v>
      </c>
      <c r="F2787" s="21">
        <f t="shared" ca="1" si="170"/>
        <v>0</v>
      </c>
      <c r="H2787" s="21">
        <v>2772</v>
      </c>
      <c r="I2787" s="102">
        <v>0.6677430580525141</v>
      </c>
      <c r="J2787" s="103">
        <v>1.3644244500410335E-3</v>
      </c>
      <c r="K2787" s="103"/>
      <c r="L2787" s="103">
        <v>4.2799999999999998E-2</v>
      </c>
      <c r="O2787" s="100"/>
    </row>
    <row r="2788" spans="2:15" x14ac:dyDescent="0.2">
      <c r="B2788" s="1">
        <v>2773</v>
      </c>
      <c r="C2788" s="101">
        <f ca="1"/>
        <v>-1.2610610740455701</v>
      </c>
      <c r="D2788" s="101">
        <f t="shared" ca="1" si="168"/>
        <v>0.58677732272815197</v>
      </c>
      <c r="E2788" s="101">
        <f t="shared" ca="1" si="169"/>
        <v>0</v>
      </c>
      <c r="F2788" s="21">
        <f t="shared" ca="1" si="170"/>
        <v>0</v>
      </c>
      <c r="H2788" s="21">
        <v>2773</v>
      </c>
      <c r="I2788" s="102">
        <v>0.66769962120054449</v>
      </c>
      <c r="J2788" s="103">
        <v>1.27453519929998E-3</v>
      </c>
      <c r="K2788" s="103"/>
      <c r="L2788" s="103">
        <v>4.1399999999999999E-2</v>
      </c>
      <c r="O2788" s="100"/>
    </row>
    <row r="2789" spans="2:15" x14ac:dyDescent="0.2">
      <c r="B2789" s="1">
        <v>2774</v>
      </c>
      <c r="C2789" s="101">
        <f ca="1"/>
        <v>-6.3483641367655885E-2</v>
      </c>
      <c r="D2789" s="101">
        <f t="shared" ca="1" si="168"/>
        <v>0.66035398062937489</v>
      </c>
      <c r="E2789" s="101">
        <f t="shared" ca="1" si="169"/>
        <v>0</v>
      </c>
      <c r="F2789" s="21">
        <f t="shared" ca="1" si="170"/>
        <v>0</v>
      </c>
      <c r="H2789" s="21">
        <v>2774</v>
      </c>
      <c r="I2789" s="102">
        <v>0.66763231180616645</v>
      </c>
      <c r="J2789" s="103">
        <v>1.318694969309488E-3</v>
      </c>
      <c r="K2789" s="103"/>
      <c r="L2789" s="103">
        <v>3.8199999999999998E-2</v>
      </c>
      <c r="O2789" s="100"/>
    </row>
    <row r="2790" spans="2:15" x14ac:dyDescent="0.2">
      <c r="B2790" s="1">
        <v>2775</v>
      </c>
      <c r="C2790" s="101">
        <f ca="1"/>
        <v>0.81677650776121036</v>
      </c>
      <c r="D2790" s="101">
        <f t="shared" ca="1" si="168"/>
        <v>0.72025553132241293</v>
      </c>
      <c r="E2790" s="101">
        <f t="shared" ca="1" si="169"/>
        <v>0</v>
      </c>
      <c r="F2790" s="21">
        <f t="shared" ca="1" si="170"/>
        <v>0</v>
      </c>
      <c r="H2790" s="21">
        <v>2775</v>
      </c>
      <c r="I2790" s="102">
        <v>0.66785753361865663</v>
      </c>
      <c r="J2790" s="103">
        <v>1.3695613664842124E-3</v>
      </c>
      <c r="K2790" s="103"/>
      <c r="L2790" s="103">
        <v>4.5600000000000002E-2</v>
      </c>
      <c r="O2790" s="100"/>
    </row>
    <row r="2791" spans="2:15" x14ac:dyDescent="0.2">
      <c r="B2791" s="1">
        <v>2776</v>
      </c>
      <c r="C2791" s="101">
        <f ca="1"/>
        <v>-1.1907255450306098</v>
      </c>
      <c r="D2791" s="101">
        <f t="shared" ca="1" si="168"/>
        <v>0.59086253301268932</v>
      </c>
      <c r="E2791" s="101">
        <f t="shared" ca="1" si="169"/>
        <v>0</v>
      </c>
      <c r="F2791" s="21">
        <f t="shared" ca="1" si="170"/>
        <v>0</v>
      </c>
      <c r="H2791" s="21">
        <v>2776</v>
      </c>
      <c r="I2791" s="102">
        <v>0.66771993131511587</v>
      </c>
      <c r="J2791" s="103">
        <v>1.2860575375522999E-3</v>
      </c>
      <c r="K2791" s="103"/>
      <c r="L2791" s="103">
        <v>3.9800000000000002E-2</v>
      </c>
      <c r="O2791" s="100"/>
    </row>
    <row r="2792" spans="2:15" x14ac:dyDescent="0.2">
      <c r="B2792" s="1">
        <v>2777</v>
      </c>
      <c r="C2792" s="101">
        <f ca="1"/>
        <v>-1.1794897946877239</v>
      </c>
      <c r="D2792" s="101">
        <f t="shared" ca="1" si="168"/>
        <v>0.59151775448579891</v>
      </c>
      <c r="E2792" s="101">
        <f t="shared" ca="1" si="169"/>
        <v>0</v>
      </c>
      <c r="F2792" s="21">
        <f t="shared" ca="1" si="170"/>
        <v>0</v>
      </c>
      <c r="H2792" s="21">
        <v>2777</v>
      </c>
      <c r="I2792" s="102">
        <v>0.66765356696729983</v>
      </c>
      <c r="J2792" s="103">
        <v>1.2867994020521172E-3</v>
      </c>
      <c r="K2792" s="103"/>
      <c r="L2792" s="103">
        <v>4.1399999999999999E-2</v>
      </c>
      <c r="O2792" s="100"/>
    </row>
    <row r="2793" spans="2:15" x14ac:dyDescent="0.2">
      <c r="B2793" s="1">
        <v>2778</v>
      </c>
      <c r="C2793" s="101">
        <f ca="1"/>
        <v>-0.38071494220325597</v>
      </c>
      <c r="D2793" s="101">
        <f t="shared" ca="1" si="168"/>
        <v>0.64001006925610016</v>
      </c>
      <c r="E2793" s="101">
        <f t="shared" ca="1" si="169"/>
        <v>0</v>
      </c>
      <c r="F2793" s="21">
        <f t="shared" ca="1" si="170"/>
        <v>0</v>
      </c>
      <c r="H2793" s="21">
        <v>2778</v>
      </c>
      <c r="I2793" s="102">
        <v>0.66776021253562023</v>
      </c>
      <c r="J2793" s="103">
        <v>1.3733382844026705E-3</v>
      </c>
      <c r="K2793" s="103"/>
      <c r="L2793" s="103">
        <v>4.1200000000000001E-2</v>
      </c>
      <c r="O2793" s="100"/>
    </row>
    <row r="2794" spans="2:15" x14ac:dyDescent="0.2">
      <c r="B2794" s="1">
        <v>2779</v>
      </c>
      <c r="C2794" s="101">
        <f ca="1"/>
        <v>0.16724087854500871</v>
      </c>
      <c r="D2794" s="101">
        <f t="shared" ca="1" si="168"/>
        <v>0.67555528562964651</v>
      </c>
      <c r="E2794" s="101">
        <f t="shared" ca="1" si="169"/>
        <v>0</v>
      </c>
      <c r="F2794" s="21">
        <f t="shared" ca="1" si="170"/>
        <v>0</v>
      </c>
      <c r="H2794" s="21">
        <v>2779</v>
      </c>
      <c r="I2794" s="102">
        <v>0.66774859059232183</v>
      </c>
      <c r="J2794" s="103">
        <v>1.3973298048075228E-3</v>
      </c>
      <c r="K2794" s="103"/>
      <c r="L2794" s="103">
        <v>4.2000000000000003E-2</v>
      </c>
      <c r="O2794" s="100"/>
    </row>
    <row r="2795" spans="2:15" x14ac:dyDescent="0.2">
      <c r="B2795" s="1">
        <v>2780</v>
      </c>
      <c r="C2795" s="101">
        <f ca="1"/>
        <v>0.70449703572227973</v>
      </c>
      <c r="D2795" s="101">
        <f t="shared" ca="1" si="168"/>
        <v>0.71232242832826453</v>
      </c>
      <c r="E2795" s="101">
        <f t="shared" ca="1" si="169"/>
        <v>0</v>
      </c>
      <c r="F2795" s="21">
        <f t="shared" ca="1" si="170"/>
        <v>0</v>
      </c>
      <c r="H2795" s="21">
        <v>2780</v>
      </c>
      <c r="I2795" s="102">
        <v>0.6679140134658752</v>
      </c>
      <c r="J2795" s="103">
        <v>1.6200119765415123E-3</v>
      </c>
      <c r="K2795" s="103"/>
      <c r="L2795" s="103">
        <v>4.3999999999999997E-2</v>
      </c>
      <c r="O2795" s="100"/>
    </row>
    <row r="2796" spans="2:15" x14ac:dyDescent="0.2">
      <c r="B2796" s="1">
        <v>2781</v>
      </c>
      <c r="C2796" s="101">
        <f ca="1"/>
        <v>1.7967584252551716</v>
      </c>
      <c r="D2796" s="101">
        <f t="shared" ca="1" si="168"/>
        <v>0.79335657138433568</v>
      </c>
      <c r="E2796" s="101">
        <f t="shared" ca="1" si="169"/>
        <v>5.1565713843356731E-3</v>
      </c>
      <c r="F2796" s="21">
        <f t="shared" ca="1" si="170"/>
        <v>1</v>
      </c>
      <c r="H2796" s="21">
        <v>2781</v>
      </c>
      <c r="I2796" s="102">
        <v>0.66770939597235723</v>
      </c>
      <c r="J2796" s="103">
        <v>1.3679582942242678E-3</v>
      </c>
      <c r="K2796" s="103"/>
      <c r="L2796" s="103">
        <v>4.0599999999999997E-2</v>
      </c>
      <c r="O2796" s="100"/>
    </row>
    <row r="2797" spans="2:15" x14ac:dyDescent="0.2">
      <c r="B2797" s="1">
        <v>2782</v>
      </c>
      <c r="C2797" s="101">
        <f ca="1"/>
        <v>-1.9638668514038762</v>
      </c>
      <c r="D2797" s="101">
        <f t="shared" ca="1" si="168"/>
        <v>0.54747659188556186</v>
      </c>
      <c r="E2797" s="101">
        <f t="shared" ca="1" si="169"/>
        <v>0</v>
      </c>
      <c r="F2797" s="21">
        <f t="shared" ca="1" si="170"/>
        <v>0</v>
      </c>
      <c r="H2797" s="21">
        <v>2782</v>
      </c>
      <c r="I2797" s="102">
        <v>0.6678161696290118</v>
      </c>
      <c r="J2797" s="103">
        <v>1.4159577451908659E-3</v>
      </c>
      <c r="K2797" s="103"/>
      <c r="L2797" s="103">
        <v>4.2599999999999999E-2</v>
      </c>
      <c r="O2797" s="100"/>
    </row>
    <row r="2798" spans="2:15" x14ac:dyDescent="0.2">
      <c r="B2798" s="1">
        <v>2783</v>
      </c>
      <c r="C2798" s="101">
        <f ca="1"/>
        <v>-0.32252087224336246</v>
      </c>
      <c r="D2798" s="101">
        <f t="shared" ca="1" si="168"/>
        <v>0.64369450964645547</v>
      </c>
      <c r="E2798" s="101">
        <f t="shared" ca="1" si="169"/>
        <v>0</v>
      </c>
      <c r="F2798" s="21">
        <f t="shared" ca="1" si="170"/>
        <v>0</v>
      </c>
      <c r="H2798" s="21">
        <v>2783</v>
      </c>
      <c r="I2798" s="102">
        <v>0.6676808859475386</v>
      </c>
      <c r="J2798" s="103">
        <v>1.3375975320000474E-3</v>
      </c>
      <c r="K2798" s="103"/>
      <c r="L2798" s="103">
        <v>4.1599999999999998E-2</v>
      </c>
      <c r="O2798" s="100"/>
    </row>
    <row r="2799" spans="2:15" x14ac:dyDescent="0.2">
      <c r="B2799" s="1">
        <v>2784</v>
      </c>
      <c r="C2799" s="101">
        <f ca="1"/>
        <v>1.2148717841828276</v>
      </c>
      <c r="D2799" s="101">
        <f t="shared" ca="1" si="168"/>
        <v>0.74910165817549557</v>
      </c>
      <c r="E2799" s="101">
        <f t="shared" ca="1" si="169"/>
        <v>0</v>
      </c>
      <c r="F2799" s="21">
        <f t="shared" ca="1" si="170"/>
        <v>0</v>
      </c>
      <c r="H2799" s="21">
        <v>2784</v>
      </c>
      <c r="I2799" s="102">
        <v>0.66770366901807443</v>
      </c>
      <c r="J2799" s="103">
        <v>1.2985012315818256E-3</v>
      </c>
      <c r="K2799" s="103"/>
      <c r="L2799" s="103">
        <v>4.0399999999999998E-2</v>
      </c>
      <c r="O2799" s="100"/>
    </row>
    <row r="2800" spans="2:15" x14ac:dyDescent="0.2">
      <c r="B2800" s="1">
        <v>2785</v>
      </c>
      <c r="C2800" s="101">
        <f ca="1"/>
        <v>-0.42225589677837577</v>
      </c>
      <c r="D2800" s="101">
        <f t="shared" ca="1" si="168"/>
        <v>0.63739289470372629</v>
      </c>
      <c r="E2800" s="101">
        <f t="shared" ca="1" si="169"/>
        <v>0</v>
      </c>
      <c r="F2800" s="21">
        <f t="shared" ca="1" si="170"/>
        <v>0</v>
      </c>
      <c r="H2800" s="21">
        <v>2785</v>
      </c>
      <c r="I2800" s="102">
        <v>0.66794771653123175</v>
      </c>
      <c r="J2800" s="103">
        <v>1.6763677677340421E-3</v>
      </c>
      <c r="K2800" s="103"/>
      <c r="L2800" s="103">
        <v>4.82E-2</v>
      </c>
      <c r="O2800" s="100"/>
    </row>
    <row r="2801" spans="2:15" x14ac:dyDescent="0.2">
      <c r="B2801" s="1">
        <v>2786</v>
      </c>
      <c r="C2801" s="101">
        <f ca="1"/>
        <v>-1.1172260679731909</v>
      </c>
      <c r="D2801" s="101">
        <f t="shared" ca="1" si="168"/>
        <v>0.59516190367919786</v>
      </c>
      <c r="E2801" s="101">
        <f t="shared" ca="1" si="169"/>
        <v>0</v>
      </c>
      <c r="F2801" s="21">
        <f t="shared" ca="1" si="170"/>
        <v>0</v>
      </c>
      <c r="H2801" s="21">
        <v>2786</v>
      </c>
      <c r="I2801" s="102">
        <v>0.66790225542758552</v>
      </c>
      <c r="J2801" s="103">
        <v>1.5808212917909838E-3</v>
      </c>
      <c r="K2801" s="103"/>
      <c r="L2801" s="103">
        <v>4.8599999999999997E-2</v>
      </c>
      <c r="O2801" s="100"/>
    </row>
    <row r="2802" spans="2:15" x14ac:dyDescent="0.2">
      <c r="B2802" s="1">
        <v>2787</v>
      </c>
      <c r="C2802" s="101">
        <f ca="1"/>
        <v>-0.87271703568110504</v>
      </c>
      <c r="D2802" s="101">
        <f t="shared" ca="1" si="168"/>
        <v>0.60969093855255263</v>
      </c>
      <c r="E2802" s="101">
        <f t="shared" ca="1" si="169"/>
        <v>0</v>
      </c>
      <c r="F2802" s="21">
        <f t="shared" ca="1" si="170"/>
        <v>0</v>
      </c>
      <c r="H2802" s="21">
        <v>2787</v>
      </c>
      <c r="I2802" s="102">
        <v>0.66766255091098548</v>
      </c>
      <c r="J2802" s="103">
        <v>1.1399836620443252E-3</v>
      </c>
      <c r="K2802" s="103"/>
      <c r="L2802" s="103">
        <v>4.0399999999999998E-2</v>
      </c>
      <c r="O2802" s="100"/>
    </row>
    <row r="2803" spans="2:15" x14ac:dyDescent="0.2">
      <c r="B2803" s="1">
        <v>2788</v>
      </c>
      <c r="C2803" s="101">
        <f ca="1"/>
        <v>0.4534834605688628</v>
      </c>
      <c r="D2803" s="101">
        <f t="shared" ca="1" si="168"/>
        <v>0.69490166465150505</v>
      </c>
      <c r="E2803" s="101">
        <f t="shared" ca="1" si="169"/>
        <v>0</v>
      </c>
      <c r="F2803" s="21">
        <f t="shared" ca="1" si="170"/>
        <v>0</v>
      </c>
      <c r="H2803" s="21">
        <v>2788</v>
      </c>
      <c r="I2803" s="102">
        <v>0.66786648063062526</v>
      </c>
      <c r="J2803" s="103">
        <v>1.4751584487004107E-3</v>
      </c>
      <c r="K2803" s="103"/>
      <c r="L2803" s="103">
        <v>4.4600000000000001E-2</v>
      </c>
      <c r="O2803" s="100"/>
    </row>
    <row r="2804" spans="2:15" x14ac:dyDescent="0.2">
      <c r="B2804" s="1">
        <v>2789</v>
      </c>
      <c r="C2804" s="101">
        <f ca="1"/>
        <v>2.1153349743000636</v>
      </c>
      <c r="D2804" s="101">
        <f t="shared" ca="1" si="168"/>
        <v>0.8186835164623989</v>
      </c>
      <c r="E2804" s="101">
        <f t="shared" ca="1" si="169"/>
        <v>3.0483516462398885E-2</v>
      </c>
      <c r="F2804" s="21">
        <f t="shared" ca="1" si="170"/>
        <v>1</v>
      </c>
      <c r="H2804" s="21">
        <v>2789</v>
      </c>
      <c r="I2804" s="102">
        <v>0.66762376245225641</v>
      </c>
      <c r="J2804" s="103">
        <v>1.2182443361567128E-3</v>
      </c>
      <c r="K2804" s="103"/>
      <c r="L2804" s="103">
        <v>3.9399999999999998E-2</v>
      </c>
      <c r="O2804" s="100"/>
    </row>
    <row r="2805" spans="2:15" x14ac:dyDescent="0.2">
      <c r="B2805" s="1">
        <v>2790</v>
      </c>
      <c r="C2805" s="101">
        <f ca="1"/>
        <v>-1.7837425883937257</v>
      </c>
      <c r="D2805" s="101">
        <f t="shared" ca="1" si="168"/>
        <v>0.5572909204087394</v>
      </c>
      <c r="E2805" s="101">
        <f t="shared" ca="1" si="169"/>
        <v>0</v>
      </c>
      <c r="F2805" s="21">
        <f t="shared" ca="1" si="170"/>
        <v>0</v>
      </c>
      <c r="H2805" s="21">
        <v>2790</v>
      </c>
      <c r="I2805" s="102">
        <v>0.66761863592091908</v>
      </c>
      <c r="J2805" s="103">
        <v>1.3517413627837246E-3</v>
      </c>
      <c r="K2805" s="103"/>
      <c r="L2805" s="103">
        <v>4.1399999999999999E-2</v>
      </c>
      <c r="O2805" s="100"/>
    </row>
    <row r="2806" spans="2:15" x14ac:dyDescent="0.2">
      <c r="B2806" s="1">
        <v>2791</v>
      </c>
      <c r="C2806" s="101">
        <f ca="1"/>
        <v>-0.22165313483498147</v>
      </c>
      <c r="D2806" s="101">
        <f t="shared" ca="1" si="168"/>
        <v>0.65013106238339624</v>
      </c>
      <c r="E2806" s="101">
        <f t="shared" ca="1" si="169"/>
        <v>0</v>
      </c>
      <c r="F2806" s="21">
        <f t="shared" ca="1" si="170"/>
        <v>0</v>
      </c>
      <c r="H2806" s="21">
        <v>2791</v>
      </c>
      <c r="I2806" s="102">
        <v>0.66781085685943409</v>
      </c>
      <c r="J2806" s="103">
        <v>1.4531050625539691E-3</v>
      </c>
      <c r="K2806" s="103"/>
      <c r="L2806" s="103">
        <v>4.2200000000000001E-2</v>
      </c>
      <c r="O2806" s="100"/>
    </row>
    <row r="2807" spans="2:15" x14ac:dyDescent="0.2">
      <c r="B2807" s="1">
        <v>2792</v>
      </c>
      <c r="C2807" s="101">
        <f ca="1"/>
        <v>-1.5251329352903287</v>
      </c>
      <c r="D2807" s="101">
        <f t="shared" ca="1" si="168"/>
        <v>0.5716900657147882</v>
      </c>
      <c r="E2807" s="101">
        <f t="shared" ca="1" si="169"/>
        <v>0</v>
      </c>
      <c r="F2807" s="21">
        <f t="shared" ca="1" si="170"/>
        <v>0</v>
      </c>
      <c r="H2807" s="21">
        <v>2792</v>
      </c>
      <c r="I2807" s="102">
        <v>0.66771594659321598</v>
      </c>
      <c r="J2807" s="103">
        <v>1.2500568005785054E-3</v>
      </c>
      <c r="K2807" s="103"/>
      <c r="L2807" s="103">
        <v>4.1599999999999998E-2</v>
      </c>
      <c r="O2807" s="100"/>
    </row>
    <row r="2808" spans="2:15" x14ac:dyDescent="0.2">
      <c r="B2808" s="1">
        <v>2793</v>
      </c>
      <c r="C2808" s="101">
        <f ca="1"/>
        <v>-0.5957407133152024</v>
      </c>
      <c r="D2808" s="101">
        <f t="shared" ca="1" si="168"/>
        <v>0.62657813441515786</v>
      </c>
      <c r="E2808" s="101">
        <f t="shared" ca="1" si="169"/>
        <v>0</v>
      </c>
      <c r="F2808" s="21">
        <f t="shared" ca="1" si="170"/>
        <v>0</v>
      </c>
      <c r="H2808" s="21">
        <v>2793</v>
      </c>
      <c r="I2808" s="102">
        <v>0.66768772666577647</v>
      </c>
      <c r="J2808" s="103">
        <v>1.4236681097354379E-3</v>
      </c>
      <c r="K2808" s="103"/>
      <c r="L2808" s="103">
        <v>4.1200000000000001E-2</v>
      </c>
      <c r="O2808" s="100"/>
    </row>
    <row r="2809" spans="2:15" x14ac:dyDescent="0.2">
      <c r="B2809" s="1">
        <v>2794</v>
      </c>
      <c r="C2809" s="101">
        <f ca="1"/>
        <v>-0.4782854813904196</v>
      </c>
      <c r="D2809" s="101">
        <f t="shared" ca="1" si="168"/>
        <v>0.63387984788584051</v>
      </c>
      <c r="E2809" s="101">
        <f t="shared" ca="1" si="169"/>
        <v>0</v>
      </c>
      <c r="F2809" s="21">
        <f t="shared" ca="1" si="170"/>
        <v>0</v>
      </c>
      <c r="H2809" s="21">
        <v>2794</v>
      </c>
      <c r="I2809" s="102">
        <v>0.66775791461699141</v>
      </c>
      <c r="J2809" s="103">
        <v>1.3657076912716904E-3</v>
      </c>
      <c r="K2809" s="103"/>
      <c r="L2809" s="103">
        <v>4.1000000000000002E-2</v>
      </c>
      <c r="O2809" s="100"/>
    </row>
    <row r="2810" spans="2:15" x14ac:dyDescent="0.2">
      <c r="B2810" s="1">
        <v>2795</v>
      </c>
      <c r="C2810" s="101">
        <f ca="1"/>
        <v>0.74493877434146427</v>
      </c>
      <c r="D2810" s="101">
        <f t="shared" ca="1" si="168"/>
        <v>0.71516971945706165</v>
      </c>
      <c r="E2810" s="101">
        <f t="shared" ca="1" si="169"/>
        <v>0</v>
      </c>
      <c r="F2810" s="21">
        <f t="shared" ca="1" si="170"/>
        <v>0</v>
      </c>
      <c r="H2810" s="21">
        <v>2795</v>
      </c>
      <c r="I2810" s="102">
        <v>0.6677380008873729</v>
      </c>
      <c r="J2810" s="103">
        <v>1.3844098121339244E-3</v>
      </c>
      <c r="K2810" s="103"/>
      <c r="L2810" s="103">
        <v>4.1799999999999997E-2</v>
      </c>
      <c r="O2810" s="100"/>
    </row>
    <row r="2811" spans="2:15" x14ac:dyDescent="0.2">
      <c r="B2811" s="1">
        <v>2796</v>
      </c>
      <c r="C2811" s="101">
        <f ca="1"/>
        <v>2.4313346538325509</v>
      </c>
      <c r="D2811" s="101">
        <f t="shared" ca="1" si="168"/>
        <v>0.84460427978156449</v>
      </c>
      <c r="E2811" s="101">
        <f t="shared" ca="1" si="169"/>
        <v>5.6404279781564481E-2</v>
      </c>
      <c r="F2811" s="21">
        <f t="shared" ca="1" si="170"/>
        <v>1</v>
      </c>
      <c r="H2811" s="21">
        <v>2796</v>
      </c>
      <c r="I2811" s="102">
        <v>0.66786066564380797</v>
      </c>
      <c r="J2811" s="103">
        <v>1.4342686840194438E-3</v>
      </c>
      <c r="K2811" s="103"/>
      <c r="L2811" s="103">
        <v>4.4600000000000001E-2</v>
      </c>
      <c r="O2811" s="100"/>
    </row>
    <row r="2812" spans="2:15" x14ac:dyDescent="0.2">
      <c r="B2812" s="1">
        <v>2797</v>
      </c>
      <c r="C2812" s="101">
        <f ca="1"/>
        <v>-1.540639855054541</v>
      </c>
      <c r="D2812" s="101">
        <f t="shared" ca="1" si="168"/>
        <v>0.57081626383461082</v>
      </c>
      <c r="E2812" s="101">
        <f t="shared" ca="1" si="169"/>
        <v>0</v>
      </c>
      <c r="F2812" s="21">
        <f t="shared" ca="1" si="170"/>
        <v>0</v>
      </c>
      <c r="H2812" s="21">
        <v>2797</v>
      </c>
      <c r="I2812" s="102">
        <v>0.66772787851110438</v>
      </c>
      <c r="J2812" s="103">
        <v>1.2709099547332527E-3</v>
      </c>
      <c r="K2812" s="103"/>
      <c r="L2812" s="103">
        <v>4.1599999999999998E-2</v>
      </c>
      <c r="O2812" s="100"/>
    </row>
    <row r="2813" spans="2:15" x14ac:dyDescent="0.2">
      <c r="B2813" s="1">
        <v>2798</v>
      </c>
      <c r="C2813" s="101">
        <f ca="1"/>
        <v>-0.98799540254234686</v>
      </c>
      <c r="D2813" s="101">
        <f t="shared" ca="1" si="168"/>
        <v>0.60279728316873926</v>
      </c>
      <c r="E2813" s="101">
        <f t="shared" ca="1" si="169"/>
        <v>0</v>
      </c>
      <c r="F2813" s="21">
        <f t="shared" ca="1" si="170"/>
        <v>0</v>
      </c>
      <c r="H2813" s="21">
        <v>2798</v>
      </c>
      <c r="I2813" s="102">
        <v>0.66765279563873614</v>
      </c>
      <c r="J2813" s="103">
        <v>1.3034525224514533E-3</v>
      </c>
      <c r="K2813" s="103"/>
      <c r="L2813" s="103">
        <v>3.6200000000000003E-2</v>
      </c>
      <c r="O2813" s="100"/>
    </row>
    <row r="2814" spans="2:15" x14ac:dyDescent="0.2">
      <c r="B2814" s="1">
        <v>2799</v>
      </c>
      <c r="C2814" s="101">
        <f ca="1"/>
        <v>0.17262830675142299</v>
      </c>
      <c r="D2814" s="101">
        <f t="shared" ca="1" si="168"/>
        <v>0.67591438669608517</v>
      </c>
      <c r="E2814" s="101">
        <f t="shared" ca="1" si="169"/>
        <v>0</v>
      </c>
      <c r="F2814" s="21">
        <f t="shared" ca="1" si="170"/>
        <v>0</v>
      </c>
      <c r="H2814" s="21">
        <v>2799</v>
      </c>
      <c r="I2814" s="102">
        <v>0.66790968573415199</v>
      </c>
      <c r="J2814" s="103">
        <v>1.5320872993442995E-3</v>
      </c>
      <c r="K2814" s="103"/>
      <c r="L2814" s="103">
        <v>4.2999999999999997E-2</v>
      </c>
      <c r="O2814" s="100"/>
    </row>
    <row r="2815" spans="2:15" x14ac:dyDescent="0.2">
      <c r="B2815" s="1">
        <v>2800</v>
      </c>
      <c r="C2815" s="101">
        <f ca="1"/>
        <v>0.10578188742125663</v>
      </c>
      <c r="D2815" s="101">
        <f t="shared" ca="1" si="168"/>
        <v>0.67147219089659538</v>
      </c>
      <c r="E2815" s="101">
        <f t="shared" ca="1" si="169"/>
        <v>0</v>
      </c>
      <c r="F2815" s="21">
        <f t="shared" ca="1" si="170"/>
        <v>0</v>
      </c>
      <c r="H2815" s="21">
        <v>2800</v>
      </c>
      <c r="I2815" s="102">
        <v>0.66787765069000038</v>
      </c>
      <c r="J2815" s="103">
        <v>1.4953030392538282E-3</v>
      </c>
      <c r="K2815" s="103"/>
      <c r="L2815" s="103">
        <v>4.4999999999999998E-2</v>
      </c>
      <c r="O2815" s="100"/>
    </row>
    <row r="2816" spans="2:15" x14ac:dyDescent="0.2">
      <c r="B2816" s="1">
        <v>2801</v>
      </c>
      <c r="C2816" s="101">
        <f ca="1"/>
        <v>-1.1187210213792382</v>
      </c>
      <c r="D2816" s="101">
        <f t="shared" ca="1" si="168"/>
        <v>0.59507414508435852</v>
      </c>
      <c r="E2816" s="101">
        <f t="shared" ca="1" si="169"/>
        <v>0</v>
      </c>
      <c r="F2816" s="21">
        <f t="shared" ca="1" si="170"/>
        <v>0</v>
      </c>
      <c r="H2816" s="21">
        <v>2801</v>
      </c>
      <c r="I2816" s="102">
        <v>0.66774475137188494</v>
      </c>
      <c r="J2816" s="103">
        <v>1.3853018436014695E-3</v>
      </c>
      <c r="K2816" s="103"/>
      <c r="L2816" s="103">
        <v>4.1599999999999998E-2</v>
      </c>
      <c r="O2816" s="100"/>
    </row>
    <row r="2817" spans="2:15" x14ac:dyDescent="0.2">
      <c r="B2817" s="1">
        <v>2802</v>
      </c>
      <c r="C2817" s="101">
        <f ca="1"/>
        <v>0.27036447887294918</v>
      </c>
      <c r="D2817" s="101">
        <f t="shared" ca="1" si="168"/>
        <v>0.68246227220909284</v>
      </c>
      <c r="E2817" s="101">
        <f t="shared" ca="1" si="169"/>
        <v>0</v>
      </c>
      <c r="F2817" s="21">
        <f t="shared" ca="1" si="170"/>
        <v>0</v>
      </c>
      <c r="H2817" s="21">
        <v>2802</v>
      </c>
      <c r="I2817" s="102">
        <v>0.66771884898230516</v>
      </c>
      <c r="J2817" s="103">
        <v>1.2674206347431101E-3</v>
      </c>
      <c r="K2817" s="103"/>
      <c r="L2817" s="103">
        <v>4.2000000000000003E-2</v>
      </c>
      <c r="O2817" s="100"/>
    </row>
    <row r="2818" spans="2:15" x14ac:dyDescent="0.2">
      <c r="B2818" s="1">
        <v>2803</v>
      </c>
      <c r="C2818" s="101">
        <f ca="1"/>
        <v>0.51370924648876881</v>
      </c>
      <c r="D2818" s="101">
        <f t="shared" ca="1" si="168"/>
        <v>0.69904218940330798</v>
      </c>
      <c r="E2818" s="101">
        <f t="shared" ca="1" si="169"/>
        <v>0</v>
      </c>
      <c r="F2818" s="21">
        <f t="shared" ca="1" si="170"/>
        <v>0</v>
      </c>
      <c r="H2818" s="21">
        <v>2803</v>
      </c>
      <c r="I2818" s="102">
        <v>0.66778556556750635</v>
      </c>
      <c r="J2818" s="103">
        <v>1.548723052212105E-3</v>
      </c>
      <c r="K2818" s="103"/>
      <c r="L2818" s="103">
        <v>4.2599999999999999E-2</v>
      </c>
      <c r="O2818" s="100"/>
    </row>
    <row r="2819" spans="2:15" x14ac:dyDescent="0.2">
      <c r="B2819" s="1">
        <v>2804</v>
      </c>
      <c r="C2819" s="101">
        <f ca="1"/>
        <v>-0.59674470519821221</v>
      </c>
      <c r="D2819" s="101">
        <f t="shared" ca="1" si="168"/>
        <v>0.62651608426559613</v>
      </c>
      <c r="E2819" s="101">
        <f t="shared" ca="1" si="169"/>
        <v>0</v>
      </c>
      <c r="F2819" s="21">
        <f t="shared" ca="1" si="170"/>
        <v>0</v>
      </c>
      <c r="H2819" s="21">
        <v>2804</v>
      </c>
      <c r="I2819" s="102">
        <v>0.66765945444247854</v>
      </c>
      <c r="J2819" s="103">
        <v>1.3754960398955668E-3</v>
      </c>
      <c r="K2819" s="103"/>
      <c r="L2819" s="103">
        <v>4.02E-2</v>
      </c>
      <c r="O2819" s="100"/>
    </row>
    <row r="2820" spans="2:15" x14ac:dyDescent="0.2">
      <c r="B2820" s="1">
        <v>2805</v>
      </c>
      <c r="C2820" s="101">
        <f ca="1"/>
        <v>1.3941534489244396</v>
      </c>
      <c r="D2820" s="101">
        <f t="shared" ca="1" si="168"/>
        <v>0.76246703945577088</v>
      </c>
      <c r="E2820" s="101">
        <f t="shared" ca="1" si="169"/>
        <v>0</v>
      </c>
      <c r="F2820" s="21">
        <f t="shared" ca="1" si="170"/>
        <v>0</v>
      </c>
      <c r="H2820" s="21">
        <v>2805</v>
      </c>
      <c r="I2820" s="102">
        <v>0.66774168962807745</v>
      </c>
      <c r="J2820" s="103">
        <v>1.2329811092031012E-3</v>
      </c>
      <c r="K2820" s="103"/>
      <c r="L2820" s="103">
        <v>4.3999999999999997E-2</v>
      </c>
      <c r="O2820" s="100"/>
    </row>
    <row r="2821" spans="2:15" x14ac:dyDescent="0.2">
      <c r="B2821" s="1">
        <v>2806</v>
      </c>
      <c r="C2821" s="101">
        <f ca="1"/>
        <v>0.15023785155182415</v>
      </c>
      <c r="D2821" s="101">
        <f t="shared" ca="1" si="168"/>
        <v>0.67442319318357113</v>
      </c>
      <c r="E2821" s="101">
        <f t="shared" ca="1" si="169"/>
        <v>0</v>
      </c>
      <c r="F2821" s="21">
        <f t="shared" ca="1" si="170"/>
        <v>0</v>
      </c>
      <c r="H2821" s="21">
        <v>2806</v>
      </c>
      <c r="I2821" s="102">
        <v>0.66775397721663754</v>
      </c>
      <c r="J2821" s="103">
        <v>1.2839648417439691E-3</v>
      </c>
      <c r="K2821" s="103"/>
      <c r="L2821" s="103">
        <v>3.9600000000000003E-2</v>
      </c>
      <c r="O2821" s="100"/>
    </row>
    <row r="2822" spans="2:15" x14ac:dyDescent="0.2">
      <c r="B2822" s="1">
        <v>2807</v>
      </c>
      <c r="C2822" s="101">
        <f ca="1"/>
        <v>2.8514428930964713E-2</v>
      </c>
      <c r="D2822" s="101">
        <f t="shared" ca="1" si="168"/>
        <v>0.66637384184847981</v>
      </c>
      <c r="E2822" s="101">
        <f t="shared" ca="1" si="169"/>
        <v>0</v>
      </c>
      <c r="F2822" s="21">
        <f t="shared" ca="1" si="170"/>
        <v>0</v>
      </c>
      <c r="H2822" s="21">
        <v>2807</v>
      </c>
      <c r="I2822" s="102">
        <v>0.66758936585106665</v>
      </c>
      <c r="J2822" s="103">
        <v>1.2562835927508254E-3</v>
      </c>
      <c r="K2822" s="103"/>
      <c r="L2822" s="103">
        <v>4.02E-2</v>
      </c>
      <c r="O2822" s="100"/>
    </row>
    <row r="2823" spans="2:15" x14ac:dyDescent="0.2">
      <c r="B2823" s="1">
        <v>2808</v>
      </c>
      <c r="C2823" s="101">
        <f ca="1"/>
        <v>1.495663357284239</v>
      </c>
      <c r="D2823" s="101">
        <f t="shared" ca="1" si="168"/>
        <v>0.77014002775615187</v>
      </c>
      <c r="E2823" s="101">
        <f t="shared" ca="1" si="169"/>
        <v>0</v>
      </c>
      <c r="F2823" s="21">
        <f t="shared" ca="1" si="170"/>
        <v>0</v>
      </c>
      <c r="H2823" s="21">
        <v>2808</v>
      </c>
      <c r="I2823" s="102">
        <v>0.66776527111565775</v>
      </c>
      <c r="J2823" s="103">
        <v>1.3713204767402407E-3</v>
      </c>
      <c r="K2823" s="103"/>
      <c r="L2823" s="103">
        <v>4.0800000000000003E-2</v>
      </c>
      <c r="O2823" s="100"/>
    </row>
    <row r="2824" spans="2:15" x14ac:dyDescent="0.2">
      <c r="B2824" s="1">
        <v>2809</v>
      </c>
      <c r="C2824" s="101">
        <f ca="1"/>
        <v>-1.1574545835233934</v>
      </c>
      <c r="D2824" s="101">
        <f t="shared" ca="1" si="168"/>
        <v>0.59280486540565336</v>
      </c>
      <c r="E2824" s="101">
        <f t="shared" ca="1" si="169"/>
        <v>0</v>
      </c>
      <c r="F2824" s="21">
        <f t="shared" ca="1" si="170"/>
        <v>0</v>
      </c>
      <c r="H2824" s="21">
        <v>2809</v>
      </c>
      <c r="I2824" s="102">
        <v>0.66770931053834803</v>
      </c>
      <c r="J2824" s="103">
        <v>1.3373936703821802E-3</v>
      </c>
      <c r="K2824" s="103"/>
      <c r="L2824" s="103">
        <v>3.8600000000000002E-2</v>
      </c>
      <c r="O2824" s="100"/>
    </row>
    <row r="2825" spans="2:15" x14ac:dyDescent="0.2">
      <c r="B2825" s="1">
        <v>2810</v>
      </c>
      <c r="C2825" s="101">
        <f ca="1"/>
        <v>0.50519098326749268</v>
      </c>
      <c r="D2825" s="101">
        <f t="shared" ca="1" si="168"/>
        <v>0.69845506396359591</v>
      </c>
      <c r="E2825" s="101">
        <f t="shared" ca="1" si="169"/>
        <v>0</v>
      </c>
      <c r="F2825" s="21">
        <f t="shared" ca="1" si="170"/>
        <v>0</v>
      </c>
      <c r="H2825" s="21">
        <v>2810</v>
      </c>
      <c r="I2825" s="102">
        <v>0.66765354034717805</v>
      </c>
      <c r="J2825" s="103">
        <v>1.2437536714060928E-3</v>
      </c>
      <c r="K2825" s="103"/>
      <c r="L2825" s="103">
        <v>4.2000000000000003E-2</v>
      </c>
      <c r="O2825" s="100"/>
    </row>
    <row r="2826" spans="2:15" x14ac:dyDescent="0.2">
      <c r="B2826" s="1">
        <v>2811</v>
      </c>
      <c r="C2826" s="101">
        <f ca="1"/>
        <v>-1.046913683650575</v>
      </c>
      <c r="D2826" s="101">
        <f t="shared" ca="1" si="168"/>
        <v>0.59930412014072432</v>
      </c>
      <c r="E2826" s="101">
        <f t="shared" ca="1" si="169"/>
        <v>0</v>
      </c>
      <c r="F2826" s="21">
        <f t="shared" ca="1" si="170"/>
        <v>0</v>
      </c>
      <c r="H2826" s="21">
        <v>2811</v>
      </c>
      <c r="I2826" s="102">
        <v>0.66776468258823762</v>
      </c>
      <c r="J2826" s="103">
        <v>1.3826579373367564E-3</v>
      </c>
      <c r="K2826" s="103"/>
      <c r="L2826" s="103">
        <v>4.1000000000000002E-2</v>
      </c>
      <c r="O2826" s="100"/>
    </row>
    <row r="2827" spans="2:15" x14ac:dyDescent="0.2">
      <c r="B2827" s="1">
        <v>2812</v>
      </c>
      <c r="C2827" s="101">
        <f ca="1"/>
        <v>0.56999335704498644</v>
      </c>
      <c r="D2827" s="101">
        <f t="shared" ca="1" si="168"/>
        <v>0.70293402281098105</v>
      </c>
      <c r="E2827" s="101">
        <f t="shared" ca="1" si="169"/>
        <v>0</v>
      </c>
      <c r="F2827" s="21">
        <f t="shared" ca="1" si="170"/>
        <v>0</v>
      </c>
      <c r="H2827" s="21">
        <v>2812</v>
      </c>
      <c r="I2827" s="102">
        <v>0.66785854606793915</v>
      </c>
      <c r="J2827" s="103">
        <v>1.3184521667918253E-3</v>
      </c>
      <c r="K2827" s="103"/>
      <c r="L2827" s="103">
        <v>4.48E-2</v>
      </c>
      <c r="O2827" s="100"/>
    </row>
    <row r="2828" spans="2:15" x14ac:dyDescent="0.2">
      <c r="B2828" s="1">
        <v>2813</v>
      </c>
      <c r="C2828" s="101">
        <f ca="1"/>
        <v>0.86446578034756871</v>
      </c>
      <c r="D2828" s="101">
        <f t="shared" ca="1" si="168"/>
        <v>0.72365169091871129</v>
      </c>
      <c r="E2828" s="101">
        <f t="shared" ca="1" si="169"/>
        <v>0</v>
      </c>
      <c r="F2828" s="21">
        <f t="shared" ca="1" si="170"/>
        <v>0</v>
      </c>
      <c r="H2828" s="21">
        <v>2813</v>
      </c>
      <c r="I2828" s="102">
        <v>0.66769071293354476</v>
      </c>
      <c r="J2828" s="103">
        <v>1.3700359363643484E-3</v>
      </c>
      <c r="K2828" s="103"/>
      <c r="L2828" s="103">
        <v>4.1200000000000001E-2</v>
      </c>
      <c r="O2828" s="100"/>
    </row>
    <row r="2829" spans="2:15" x14ac:dyDescent="0.2">
      <c r="B2829" s="1">
        <v>2814</v>
      </c>
      <c r="C2829" s="101">
        <f ca="1"/>
        <v>-0.22400182017429629</v>
      </c>
      <c r="D2829" s="101">
        <f t="shared" ca="1" si="168"/>
        <v>0.6499804591323699</v>
      </c>
      <c r="E2829" s="101">
        <f t="shared" ca="1" si="169"/>
        <v>0</v>
      </c>
      <c r="F2829" s="21">
        <f t="shared" ca="1" si="170"/>
        <v>0</v>
      </c>
      <c r="H2829" s="21">
        <v>2814</v>
      </c>
      <c r="I2829" s="102">
        <v>0.6677860378604864</v>
      </c>
      <c r="J2829" s="103">
        <v>1.3922819072302263E-3</v>
      </c>
      <c r="K2829" s="103"/>
      <c r="L2829" s="103">
        <v>4.48E-2</v>
      </c>
      <c r="O2829" s="100"/>
    </row>
    <row r="2830" spans="2:15" x14ac:dyDescent="0.2">
      <c r="B2830" s="1">
        <v>2815</v>
      </c>
      <c r="C2830" s="101">
        <f ca="1"/>
        <v>-1.6537112391911222</v>
      </c>
      <c r="D2830" s="101">
        <f t="shared" ca="1" si="168"/>
        <v>0.56448503159046803</v>
      </c>
      <c r="E2830" s="101">
        <f t="shared" ca="1" si="169"/>
        <v>0</v>
      </c>
      <c r="F2830" s="21">
        <f t="shared" ca="1" si="170"/>
        <v>0</v>
      </c>
      <c r="H2830" s="21">
        <v>2815</v>
      </c>
      <c r="I2830" s="102">
        <v>0.66769090675253173</v>
      </c>
      <c r="J2830" s="103">
        <v>1.321794100042768E-3</v>
      </c>
      <c r="K2830" s="103"/>
      <c r="L2830" s="103">
        <v>0.04</v>
      </c>
      <c r="O2830" s="100"/>
    </row>
    <row r="2831" spans="2:15" x14ac:dyDescent="0.2">
      <c r="B2831" s="1">
        <v>2816</v>
      </c>
      <c r="C2831" s="101">
        <f ca="1"/>
        <v>0.12463933803986606</v>
      </c>
      <c r="D2831" s="101">
        <f t="shared" ca="1" si="168"/>
        <v>0.67272237477493502</v>
      </c>
      <c r="E2831" s="101">
        <f t="shared" ca="1" si="169"/>
        <v>0</v>
      </c>
      <c r="F2831" s="21">
        <f t="shared" ca="1" si="170"/>
        <v>0</v>
      </c>
      <c r="H2831" s="21">
        <v>2816</v>
      </c>
      <c r="I2831" s="102">
        <v>0.6676784184441128</v>
      </c>
      <c r="J2831" s="103">
        <v>1.3305119711887138E-3</v>
      </c>
      <c r="K2831" s="103"/>
      <c r="L2831" s="103">
        <v>3.8399999999999997E-2</v>
      </c>
      <c r="O2831" s="100"/>
    </row>
    <row r="2832" spans="2:15" x14ac:dyDescent="0.2">
      <c r="B2832" s="1">
        <v>2817</v>
      </c>
      <c r="C2832" s="101">
        <f ca="1"/>
        <v>1.8814533517126566</v>
      </c>
      <c r="D2832" s="101">
        <f t="shared" ref="D2832:D2895" ca="1" si="171">S0*EXP((μ-0.5*σ*σ)*T+σ*SQRT(T)*$C2832)</f>
        <v>0.80001236920990815</v>
      </c>
      <c r="E2832" s="101">
        <f t="shared" ref="E2832:E2895" ca="1" si="172">MAX(0,CP*(D2832-K))</f>
        <v>1.1812369209908136E-2</v>
      </c>
      <c r="F2832" s="21">
        <f t="shared" ref="F2832:F2895" ca="1" si="173">(CP*(D2832-K)&gt;0)*1</f>
        <v>1</v>
      </c>
      <c r="H2832" s="21">
        <v>2817</v>
      </c>
      <c r="I2832" s="102">
        <v>0.66785346197230189</v>
      </c>
      <c r="J2832" s="103">
        <v>1.6170949235333896E-3</v>
      </c>
      <c r="K2832" s="103"/>
      <c r="L2832" s="103">
        <v>4.58E-2</v>
      </c>
      <c r="O2832" s="100"/>
    </row>
    <row r="2833" spans="2:15" x14ac:dyDescent="0.2">
      <c r="B2833" s="1">
        <v>2818</v>
      </c>
      <c r="C2833" s="101">
        <f ca="1"/>
        <v>0.72765041641244965</v>
      </c>
      <c r="D2833" s="101">
        <f t="shared" ca="1" si="171"/>
        <v>0.71395114658570846</v>
      </c>
      <c r="E2833" s="101">
        <f t="shared" ca="1" si="172"/>
        <v>0</v>
      </c>
      <c r="F2833" s="21">
        <f t="shared" ca="1" si="173"/>
        <v>0</v>
      </c>
      <c r="H2833" s="21">
        <v>2818</v>
      </c>
      <c r="I2833" s="102">
        <v>0.66756587015914592</v>
      </c>
      <c r="J2833" s="103">
        <v>1.1398117240296365E-3</v>
      </c>
      <c r="K2833" s="103"/>
      <c r="L2833" s="103">
        <v>3.8800000000000001E-2</v>
      </c>
      <c r="O2833" s="100"/>
    </row>
    <row r="2834" spans="2:15" x14ac:dyDescent="0.2">
      <c r="B2834" s="1">
        <v>2819</v>
      </c>
      <c r="C2834" s="101">
        <f ca="1"/>
        <v>0.59446366374698023</v>
      </c>
      <c r="D2834" s="101">
        <f t="shared" ca="1" si="171"/>
        <v>0.70463280277201823</v>
      </c>
      <c r="E2834" s="101">
        <f t="shared" ca="1" si="172"/>
        <v>0</v>
      </c>
      <c r="F2834" s="21">
        <f t="shared" ca="1" si="173"/>
        <v>0</v>
      </c>
      <c r="H2834" s="21">
        <v>2819</v>
      </c>
      <c r="I2834" s="102">
        <v>0.66780134958528692</v>
      </c>
      <c r="J2834" s="103">
        <v>1.3098280087410772E-3</v>
      </c>
      <c r="K2834" s="103"/>
      <c r="L2834" s="103">
        <v>4.1000000000000002E-2</v>
      </c>
      <c r="O2834" s="100"/>
    </row>
    <row r="2835" spans="2:15" x14ac:dyDescent="0.2">
      <c r="B2835" s="1">
        <v>2820</v>
      </c>
      <c r="C2835" s="101">
        <f ca="1"/>
        <v>-0.72902104969195747</v>
      </c>
      <c r="D2835" s="101">
        <f t="shared" ca="1" si="171"/>
        <v>0.61839445665894666</v>
      </c>
      <c r="E2835" s="101">
        <f t="shared" ca="1" si="172"/>
        <v>0</v>
      </c>
      <c r="F2835" s="21">
        <f t="shared" ca="1" si="173"/>
        <v>0</v>
      </c>
      <c r="H2835" s="21">
        <v>2820</v>
      </c>
      <c r="I2835" s="102">
        <v>0.66771761238452831</v>
      </c>
      <c r="J2835" s="103">
        <v>1.3781518533307862E-3</v>
      </c>
      <c r="K2835" s="103"/>
      <c r="L2835" s="103">
        <v>4.02E-2</v>
      </c>
      <c r="O2835" s="100"/>
    </row>
    <row r="2836" spans="2:15" x14ac:dyDescent="0.2">
      <c r="B2836" s="1">
        <v>2821</v>
      </c>
      <c r="C2836" s="101">
        <f ca="1"/>
        <v>1.051053444628079</v>
      </c>
      <c r="D2836" s="101">
        <f t="shared" ca="1" si="171"/>
        <v>0.73709400969709216</v>
      </c>
      <c r="E2836" s="101">
        <f t="shared" ca="1" si="172"/>
        <v>0</v>
      </c>
      <c r="F2836" s="21">
        <f t="shared" ca="1" si="173"/>
        <v>0</v>
      </c>
      <c r="H2836" s="21">
        <v>2821</v>
      </c>
      <c r="I2836" s="102">
        <v>0.66785704651776168</v>
      </c>
      <c r="J2836" s="103">
        <v>1.4418835961857186E-3</v>
      </c>
      <c r="K2836" s="103"/>
      <c r="L2836" s="103">
        <v>4.3799999999999999E-2</v>
      </c>
      <c r="O2836" s="100"/>
    </row>
    <row r="2837" spans="2:15" x14ac:dyDescent="0.2">
      <c r="B2837" s="1">
        <v>2822</v>
      </c>
      <c r="C2837" s="101">
        <f ca="1"/>
        <v>-0.66410408300316603</v>
      </c>
      <c r="D2837" s="101">
        <f t="shared" ca="1" si="171"/>
        <v>0.62236704854049896</v>
      </c>
      <c r="E2837" s="101">
        <f t="shared" ca="1" si="172"/>
        <v>0</v>
      </c>
      <c r="F2837" s="21">
        <f t="shared" ca="1" si="173"/>
        <v>0</v>
      </c>
      <c r="H2837" s="21">
        <v>2822</v>
      </c>
      <c r="I2837" s="102">
        <v>0.66782733849219789</v>
      </c>
      <c r="J2837" s="103">
        <v>1.4621029704630262E-3</v>
      </c>
      <c r="K2837" s="103"/>
      <c r="L2837" s="103">
        <v>4.02E-2</v>
      </c>
      <c r="O2837" s="100"/>
    </row>
    <row r="2838" spans="2:15" x14ac:dyDescent="0.2">
      <c r="B2838" s="1">
        <v>2823</v>
      </c>
      <c r="C2838" s="101">
        <f ca="1"/>
        <v>-0.89972404612529167</v>
      </c>
      <c r="D2838" s="101">
        <f t="shared" ca="1" si="171"/>
        <v>0.60806887898082607</v>
      </c>
      <c r="E2838" s="101">
        <f t="shared" ca="1" si="172"/>
        <v>0</v>
      </c>
      <c r="F2838" s="21">
        <f t="shared" ca="1" si="173"/>
        <v>0</v>
      </c>
      <c r="H2838" s="21">
        <v>2823</v>
      </c>
      <c r="I2838" s="102">
        <v>0.66778965322570394</v>
      </c>
      <c r="J2838" s="103">
        <v>1.4755662847392135E-3</v>
      </c>
      <c r="K2838" s="103"/>
      <c r="L2838" s="103">
        <v>4.5600000000000002E-2</v>
      </c>
      <c r="O2838" s="100"/>
    </row>
    <row r="2839" spans="2:15" x14ac:dyDescent="0.2">
      <c r="B2839" s="1">
        <v>2824</v>
      </c>
      <c r="C2839" s="101">
        <f ca="1"/>
        <v>0.88346512334693361</v>
      </c>
      <c r="D2839" s="101">
        <f t="shared" ca="1" si="171"/>
        <v>0.72500917294727774</v>
      </c>
      <c r="E2839" s="101">
        <f t="shared" ca="1" si="172"/>
        <v>0</v>
      </c>
      <c r="F2839" s="21">
        <f t="shared" ca="1" si="173"/>
        <v>0</v>
      </c>
      <c r="H2839" s="21">
        <v>2824</v>
      </c>
      <c r="I2839" s="102">
        <v>0.6678214452049317</v>
      </c>
      <c r="J2839" s="103">
        <v>1.4651657370464261E-3</v>
      </c>
      <c r="K2839" s="103"/>
      <c r="L2839" s="103">
        <v>4.2000000000000003E-2</v>
      </c>
      <c r="O2839" s="100"/>
    </row>
    <row r="2840" spans="2:15" x14ac:dyDescent="0.2">
      <c r="B2840" s="1">
        <v>2825</v>
      </c>
      <c r="C2840" s="101">
        <f ca="1"/>
        <v>-0.75810997467772401</v>
      </c>
      <c r="D2840" s="101">
        <f t="shared" ca="1" si="171"/>
        <v>0.6166225973548668</v>
      </c>
      <c r="E2840" s="101">
        <f t="shared" ca="1" si="172"/>
        <v>0</v>
      </c>
      <c r="F2840" s="21">
        <f t="shared" ca="1" si="173"/>
        <v>0</v>
      </c>
      <c r="H2840" s="21">
        <v>2825</v>
      </c>
      <c r="I2840" s="102">
        <v>0.66777690251513955</v>
      </c>
      <c r="J2840" s="103">
        <v>1.379695186608151E-3</v>
      </c>
      <c r="K2840" s="103"/>
      <c r="L2840" s="103">
        <v>4.2200000000000001E-2</v>
      </c>
      <c r="O2840" s="100"/>
    </row>
    <row r="2841" spans="2:15" x14ac:dyDescent="0.2">
      <c r="B2841" s="1">
        <v>2826</v>
      </c>
      <c r="C2841" s="101">
        <f ca="1"/>
        <v>-0.18259261735701854</v>
      </c>
      <c r="D2841" s="101">
        <f t="shared" ca="1" si="171"/>
        <v>0.65264083711581067</v>
      </c>
      <c r="E2841" s="101">
        <f t="shared" ca="1" si="172"/>
        <v>0</v>
      </c>
      <c r="F2841" s="21">
        <f t="shared" ca="1" si="173"/>
        <v>0</v>
      </c>
      <c r="H2841" s="21">
        <v>2826</v>
      </c>
      <c r="I2841" s="102">
        <v>0.66785437496161171</v>
      </c>
      <c r="J2841" s="103">
        <v>1.5230097258771846E-3</v>
      </c>
      <c r="K2841" s="103"/>
      <c r="L2841" s="103">
        <v>4.8000000000000001E-2</v>
      </c>
      <c r="O2841" s="100"/>
    </row>
    <row r="2842" spans="2:15" x14ac:dyDescent="0.2">
      <c r="B2842" s="1">
        <v>2827</v>
      </c>
      <c r="C2842" s="101">
        <f ca="1"/>
        <v>1.4449721762222307</v>
      </c>
      <c r="D2842" s="101">
        <f t="shared" ca="1" si="171"/>
        <v>0.76629875036652917</v>
      </c>
      <c r="E2842" s="101">
        <f t="shared" ca="1" si="172"/>
        <v>0</v>
      </c>
      <c r="F2842" s="21">
        <f t="shared" ca="1" si="173"/>
        <v>0</v>
      </c>
      <c r="H2842" s="21">
        <v>2827</v>
      </c>
      <c r="I2842" s="102">
        <v>0.66784261184080629</v>
      </c>
      <c r="J2842" s="103">
        <v>1.4256477116250119E-3</v>
      </c>
      <c r="K2842" s="103"/>
      <c r="L2842" s="103">
        <v>4.2999999999999997E-2</v>
      </c>
      <c r="O2842" s="100"/>
    </row>
    <row r="2843" spans="2:15" x14ac:dyDescent="0.2">
      <c r="B2843" s="1">
        <v>2828</v>
      </c>
      <c r="C2843" s="101">
        <f ca="1"/>
        <v>0.5418975895494853</v>
      </c>
      <c r="D2843" s="101">
        <f t="shared" ca="1" si="171"/>
        <v>0.70098860583435785</v>
      </c>
      <c r="E2843" s="101">
        <f t="shared" ca="1" si="172"/>
        <v>0</v>
      </c>
      <c r="F2843" s="21">
        <f t="shared" ca="1" si="173"/>
        <v>0</v>
      </c>
      <c r="H2843" s="21">
        <v>2828</v>
      </c>
      <c r="I2843" s="102">
        <v>0.66767054019232752</v>
      </c>
      <c r="J2843" s="103">
        <v>1.3279700370692337E-3</v>
      </c>
      <c r="K2843" s="103"/>
      <c r="L2843" s="103">
        <v>0.04</v>
      </c>
      <c r="O2843" s="100"/>
    </row>
    <row r="2844" spans="2:15" x14ac:dyDescent="0.2">
      <c r="B2844" s="1">
        <v>2829</v>
      </c>
      <c r="C2844" s="101">
        <f ca="1"/>
        <v>1.0777219632349566</v>
      </c>
      <c r="D2844" s="101">
        <f t="shared" ca="1" si="171"/>
        <v>0.7390355751288451</v>
      </c>
      <c r="E2844" s="101">
        <f t="shared" ca="1" si="172"/>
        <v>0</v>
      </c>
      <c r="F2844" s="21">
        <f t="shared" ca="1" si="173"/>
        <v>0</v>
      </c>
      <c r="H2844" s="21">
        <v>2829</v>
      </c>
      <c r="I2844" s="102">
        <v>0.66762070766181891</v>
      </c>
      <c r="J2844" s="103">
        <v>1.233477605491868E-3</v>
      </c>
      <c r="K2844" s="103"/>
      <c r="L2844" s="103">
        <v>4.1000000000000002E-2</v>
      </c>
      <c r="O2844" s="100"/>
    </row>
    <row r="2845" spans="2:15" x14ac:dyDescent="0.2">
      <c r="B2845" s="1">
        <v>2830</v>
      </c>
      <c r="C2845" s="101">
        <f ca="1"/>
        <v>-1.6859657014570051</v>
      </c>
      <c r="D2845" s="101">
        <f t="shared" ca="1" si="171"/>
        <v>0.56269190711166361</v>
      </c>
      <c r="E2845" s="101">
        <f t="shared" ca="1" si="172"/>
        <v>0</v>
      </c>
      <c r="F2845" s="21">
        <f t="shared" ca="1" si="173"/>
        <v>0</v>
      </c>
      <c r="H2845" s="21">
        <v>2830</v>
      </c>
      <c r="I2845" s="102">
        <v>0.66770800079349157</v>
      </c>
      <c r="J2845" s="103">
        <v>1.3743277810815409E-3</v>
      </c>
      <c r="K2845" s="103"/>
      <c r="L2845" s="103">
        <v>4.3799999999999999E-2</v>
      </c>
      <c r="O2845" s="100"/>
    </row>
    <row r="2846" spans="2:15" x14ac:dyDescent="0.2">
      <c r="B2846" s="1">
        <v>2831</v>
      </c>
      <c r="C2846" s="101">
        <f ca="1"/>
        <v>-2.5643230737739411</v>
      </c>
      <c r="D2846" s="101">
        <f t="shared" ca="1" si="171"/>
        <v>0.51599130181436359</v>
      </c>
      <c r="E2846" s="101">
        <f t="shared" ca="1" si="172"/>
        <v>0</v>
      </c>
      <c r="F2846" s="21">
        <f t="shared" ca="1" si="173"/>
        <v>0</v>
      </c>
      <c r="H2846" s="21">
        <v>2831</v>
      </c>
      <c r="I2846" s="102">
        <v>0.66777756284204848</v>
      </c>
      <c r="J2846" s="103">
        <v>1.4676182408300247E-3</v>
      </c>
      <c r="K2846" s="103"/>
      <c r="L2846" s="103">
        <v>3.9600000000000003E-2</v>
      </c>
      <c r="O2846" s="100"/>
    </row>
    <row r="2847" spans="2:15" x14ac:dyDescent="0.2">
      <c r="B2847" s="1">
        <v>2832</v>
      </c>
      <c r="C2847" s="101">
        <f ca="1"/>
        <v>0.97838979519915703</v>
      </c>
      <c r="D2847" s="101">
        <f t="shared" ca="1" si="171"/>
        <v>0.73182967509899699</v>
      </c>
      <c r="E2847" s="101">
        <f t="shared" ca="1" si="172"/>
        <v>0</v>
      </c>
      <c r="F2847" s="21">
        <f t="shared" ca="1" si="173"/>
        <v>0</v>
      </c>
      <c r="H2847" s="21">
        <v>2832</v>
      </c>
      <c r="I2847" s="102">
        <v>0.66770467060109029</v>
      </c>
      <c r="J2847" s="103">
        <v>1.3722789076258924E-3</v>
      </c>
      <c r="K2847" s="103"/>
      <c r="L2847" s="103">
        <v>4.1799999999999997E-2</v>
      </c>
      <c r="O2847" s="100"/>
    </row>
    <row r="2848" spans="2:15" x14ac:dyDescent="0.2">
      <c r="B2848" s="1">
        <v>2833</v>
      </c>
      <c r="C2848" s="101">
        <f ca="1"/>
        <v>-0.62353627372481368</v>
      </c>
      <c r="D2848" s="101">
        <f t="shared" ca="1" si="171"/>
        <v>0.62486254114354234</v>
      </c>
      <c r="E2848" s="101">
        <f t="shared" ca="1" si="172"/>
        <v>0</v>
      </c>
      <c r="F2848" s="21">
        <f t="shared" ca="1" si="173"/>
        <v>0</v>
      </c>
      <c r="H2848" s="21">
        <v>2833</v>
      </c>
      <c r="I2848" s="102">
        <v>0.66779217193750451</v>
      </c>
      <c r="J2848" s="103">
        <v>1.4409161946192751E-3</v>
      </c>
      <c r="K2848" s="103"/>
      <c r="L2848" s="103">
        <v>4.5999999999999999E-2</v>
      </c>
      <c r="O2848" s="100"/>
    </row>
    <row r="2849" spans="2:15" x14ac:dyDescent="0.2">
      <c r="B2849" s="1">
        <v>2834</v>
      </c>
      <c r="C2849" s="101">
        <f ca="1"/>
        <v>0.74652246467171657</v>
      </c>
      <c r="D2849" s="101">
        <f t="shared" ca="1" si="171"/>
        <v>0.71528145007643273</v>
      </c>
      <c r="E2849" s="101">
        <f t="shared" ca="1" si="172"/>
        <v>0</v>
      </c>
      <c r="F2849" s="21">
        <f t="shared" ca="1" si="173"/>
        <v>0</v>
      </c>
      <c r="H2849" s="21">
        <v>2834</v>
      </c>
      <c r="I2849" s="102">
        <v>0.66767463121847026</v>
      </c>
      <c r="J2849" s="103">
        <v>1.2143882756356567E-3</v>
      </c>
      <c r="K2849" s="103"/>
      <c r="L2849" s="103">
        <v>0.04</v>
      </c>
      <c r="O2849" s="100"/>
    </row>
    <row r="2850" spans="2:15" x14ac:dyDescent="0.2">
      <c r="B2850" s="1">
        <v>2835</v>
      </c>
      <c r="C2850" s="101">
        <f ca="1"/>
        <v>9.4380015420719041E-2</v>
      </c>
      <c r="D2850" s="101">
        <f t="shared" ca="1" si="171"/>
        <v>0.67071741349062675</v>
      </c>
      <c r="E2850" s="101">
        <f t="shared" ca="1" si="172"/>
        <v>0</v>
      </c>
      <c r="F2850" s="21">
        <f t="shared" ca="1" si="173"/>
        <v>0</v>
      </c>
      <c r="H2850" s="21">
        <v>2835</v>
      </c>
      <c r="I2850" s="102">
        <v>0.66773717898670382</v>
      </c>
      <c r="J2850" s="103">
        <v>1.208925578229808E-3</v>
      </c>
      <c r="K2850" s="103"/>
      <c r="L2850" s="103">
        <v>4.1200000000000001E-2</v>
      </c>
      <c r="O2850" s="100"/>
    </row>
    <row r="2851" spans="2:15" x14ac:dyDescent="0.2">
      <c r="B2851" s="1">
        <v>2836</v>
      </c>
      <c r="C2851" s="101">
        <f ca="1"/>
        <v>-1.1369411815606929</v>
      </c>
      <c r="D2851" s="101">
        <f t="shared" ca="1" si="171"/>
        <v>0.59400560218923981</v>
      </c>
      <c r="E2851" s="101">
        <f t="shared" ca="1" si="172"/>
        <v>0</v>
      </c>
      <c r="F2851" s="21">
        <f t="shared" ca="1" si="173"/>
        <v>0</v>
      </c>
      <c r="H2851" s="21">
        <v>2836</v>
      </c>
      <c r="I2851" s="102">
        <v>0.66782536694205408</v>
      </c>
      <c r="J2851" s="103">
        <v>1.4436767723823641E-3</v>
      </c>
      <c r="K2851" s="103"/>
      <c r="L2851" s="103">
        <v>4.1799999999999997E-2</v>
      </c>
      <c r="O2851" s="100"/>
    </row>
    <row r="2852" spans="2:15" x14ac:dyDescent="0.2">
      <c r="B2852" s="1">
        <v>2837</v>
      </c>
      <c r="C2852" s="101">
        <f ca="1"/>
        <v>-0.3814969961956784</v>
      </c>
      <c r="D2852" s="101">
        <f t="shared" ca="1" si="171"/>
        <v>0.63996069896435059</v>
      </c>
      <c r="E2852" s="101">
        <f t="shared" ca="1" si="172"/>
        <v>0</v>
      </c>
      <c r="F2852" s="21">
        <f t="shared" ca="1" si="173"/>
        <v>0</v>
      </c>
      <c r="H2852" s="21">
        <v>2837</v>
      </c>
      <c r="I2852" s="102">
        <v>0.66759816246308179</v>
      </c>
      <c r="J2852" s="103">
        <v>1.1908655353696342E-3</v>
      </c>
      <c r="K2852" s="103"/>
      <c r="L2852" s="103">
        <v>3.8399999999999997E-2</v>
      </c>
      <c r="O2852" s="100"/>
    </row>
    <row r="2853" spans="2:15" x14ac:dyDescent="0.2">
      <c r="B2853" s="1">
        <v>2838</v>
      </c>
      <c r="C2853" s="101">
        <f ca="1"/>
        <v>6.6030140088971873E-2</v>
      </c>
      <c r="D2853" s="101">
        <f t="shared" ca="1" si="171"/>
        <v>0.66884439298563436</v>
      </c>
      <c r="E2853" s="101">
        <f t="shared" ca="1" si="172"/>
        <v>0</v>
      </c>
      <c r="F2853" s="21">
        <f t="shared" ca="1" si="173"/>
        <v>0</v>
      </c>
      <c r="H2853" s="21">
        <v>2838</v>
      </c>
      <c r="I2853" s="102">
        <v>0.66796385079235476</v>
      </c>
      <c r="J2853" s="103">
        <v>1.6249483133646142E-3</v>
      </c>
      <c r="K2853" s="103"/>
      <c r="L2853" s="103">
        <v>4.6199999999999998E-2</v>
      </c>
      <c r="O2853" s="100"/>
    </row>
    <row r="2854" spans="2:15" x14ac:dyDescent="0.2">
      <c r="B2854" s="1">
        <v>2839</v>
      </c>
      <c r="C2854" s="101">
        <f ca="1"/>
        <v>0.49949966658334977</v>
      </c>
      <c r="D2854" s="101">
        <f t="shared" ca="1" si="171"/>
        <v>0.69806306201807222</v>
      </c>
      <c r="E2854" s="101">
        <f t="shared" ca="1" si="172"/>
        <v>0</v>
      </c>
      <c r="F2854" s="21">
        <f t="shared" ca="1" si="173"/>
        <v>0</v>
      </c>
      <c r="H2854" s="21">
        <v>2839</v>
      </c>
      <c r="I2854" s="102">
        <v>0.66787559098829574</v>
      </c>
      <c r="J2854" s="103">
        <v>1.5220201269075233E-3</v>
      </c>
      <c r="K2854" s="103"/>
      <c r="L2854" s="103">
        <v>4.8000000000000001E-2</v>
      </c>
      <c r="O2854" s="100"/>
    </row>
    <row r="2855" spans="2:15" x14ac:dyDescent="0.2">
      <c r="B2855" s="1">
        <v>2840</v>
      </c>
      <c r="C2855" s="101">
        <f ca="1"/>
        <v>0.17748639871788743</v>
      </c>
      <c r="D2855" s="101">
        <f t="shared" ca="1" si="171"/>
        <v>0.67623836832605988</v>
      </c>
      <c r="E2855" s="101">
        <f t="shared" ca="1" si="172"/>
        <v>0</v>
      </c>
      <c r="F2855" s="21">
        <f t="shared" ca="1" si="173"/>
        <v>0</v>
      </c>
      <c r="H2855" s="21">
        <v>2840</v>
      </c>
      <c r="I2855" s="102">
        <v>0.66784657529469593</v>
      </c>
      <c r="J2855" s="103">
        <v>1.4069107925052228E-3</v>
      </c>
      <c r="K2855" s="103"/>
      <c r="L2855" s="103">
        <v>4.2799999999999998E-2</v>
      </c>
      <c r="O2855" s="100"/>
    </row>
    <row r="2856" spans="2:15" x14ac:dyDescent="0.2">
      <c r="B2856" s="1">
        <v>2841</v>
      </c>
      <c r="C2856" s="101">
        <f ca="1"/>
        <v>-0.5698469371257513</v>
      </c>
      <c r="D2856" s="101">
        <f t="shared" ca="1" si="171"/>
        <v>0.62818058365204132</v>
      </c>
      <c r="E2856" s="101">
        <f t="shared" ca="1" si="172"/>
        <v>0</v>
      </c>
      <c r="F2856" s="21">
        <f t="shared" ca="1" si="173"/>
        <v>0</v>
      </c>
      <c r="H2856" s="21">
        <v>2841</v>
      </c>
      <c r="I2856" s="102">
        <v>0.66766657804565199</v>
      </c>
      <c r="J2856" s="103">
        <v>1.3523927942465386E-3</v>
      </c>
      <c r="K2856" s="103"/>
      <c r="L2856" s="103">
        <v>3.9399999999999998E-2</v>
      </c>
      <c r="O2856" s="100"/>
    </row>
    <row r="2857" spans="2:15" x14ac:dyDescent="0.2">
      <c r="B2857" s="1">
        <v>2842</v>
      </c>
      <c r="C2857" s="101">
        <f ca="1"/>
        <v>0.38350763034751345</v>
      </c>
      <c r="D2857" s="101">
        <f t="shared" ca="1" si="171"/>
        <v>0.69012161603231148</v>
      </c>
      <c r="E2857" s="101">
        <f t="shared" ca="1" si="172"/>
        <v>0</v>
      </c>
      <c r="F2857" s="21">
        <f t="shared" ca="1" si="173"/>
        <v>0</v>
      </c>
      <c r="H2857" s="21">
        <v>2842</v>
      </c>
      <c r="I2857" s="102">
        <v>0.66775244482109841</v>
      </c>
      <c r="J2857" s="103">
        <v>1.3176346593685739E-3</v>
      </c>
      <c r="K2857" s="103"/>
      <c r="L2857" s="103">
        <v>4.3200000000000002E-2</v>
      </c>
      <c r="O2857" s="100"/>
    </row>
    <row r="2858" spans="2:15" x14ac:dyDescent="0.2">
      <c r="B2858" s="1">
        <v>2843</v>
      </c>
      <c r="C2858" s="101">
        <f ca="1"/>
        <v>1.846445812794995</v>
      </c>
      <c r="D2858" s="101">
        <f t="shared" ca="1" si="171"/>
        <v>0.79725453885281372</v>
      </c>
      <c r="E2858" s="101">
        <f t="shared" ca="1" si="172"/>
        <v>9.0545388528137094E-3</v>
      </c>
      <c r="F2858" s="21">
        <f t="shared" ca="1" si="173"/>
        <v>1</v>
      </c>
      <c r="H2858" s="21">
        <v>2843</v>
      </c>
      <c r="I2858" s="102">
        <v>0.66768917788804172</v>
      </c>
      <c r="J2858" s="103">
        <v>1.2930317122617015E-3</v>
      </c>
      <c r="K2858" s="103"/>
      <c r="L2858" s="103">
        <v>4.1000000000000002E-2</v>
      </c>
      <c r="O2858" s="100"/>
    </row>
    <row r="2859" spans="2:15" x14ac:dyDescent="0.2">
      <c r="B2859" s="1">
        <v>2844</v>
      </c>
      <c r="C2859" s="101">
        <f ca="1"/>
        <v>0.30097566608027271</v>
      </c>
      <c r="D2859" s="101">
        <f t="shared" ca="1" si="171"/>
        <v>0.68452610053570384</v>
      </c>
      <c r="E2859" s="101">
        <f t="shared" ca="1" si="172"/>
        <v>0</v>
      </c>
      <c r="F2859" s="21">
        <f t="shared" ca="1" si="173"/>
        <v>0</v>
      </c>
      <c r="H2859" s="21">
        <v>2844</v>
      </c>
      <c r="I2859" s="102">
        <v>0.6680222472900138</v>
      </c>
      <c r="J2859" s="103">
        <v>1.7185692811634041E-3</v>
      </c>
      <c r="K2859" s="103"/>
      <c r="L2859" s="103">
        <v>4.9799999999999997E-2</v>
      </c>
      <c r="O2859" s="100"/>
    </row>
    <row r="2860" spans="2:15" x14ac:dyDescent="0.2">
      <c r="B2860" s="1">
        <v>2845</v>
      </c>
      <c r="C2860" s="101">
        <f ca="1"/>
        <v>-1.8829967797859759</v>
      </c>
      <c r="D2860" s="101">
        <f t="shared" ca="1" si="171"/>
        <v>0.55186135006535764</v>
      </c>
      <c r="E2860" s="101">
        <f t="shared" ca="1" si="172"/>
        <v>0</v>
      </c>
      <c r="F2860" s="21">
        <f t="shared" ca="1" si="173"/>
        <v>0</v>
      </c>
      <c r="H2860" s="21">
        <v>2845</v>
      </c>
      <c r="I2860" s="102">
        <v>0.66796245172187996</v>
      </c>
      <c r="J2860" s="103">
        <v>1.6712383470988965E-3</v>
      </c>
      <c r="K2860" s="103"/>
      <c r="L2860" s="103">
        <v>4.7800000000000002E-2</v>
      </c>
      <c r="O2860" s="100"/>
    </row>
    <row r="2861" spans="2:15" x14ac:dyDescent="0.2">
      <c r="B2861" s="1">
        <v>2846</v>
      </c>
      <c r="C2861" s="101">
        <f ca="1"/>
        <v>1.1524212526518971</v>
      </c>
      <c r="D2861" s="101">
        <f t="shared" ca="1" si="171"/>
        <v>0.74450122407755792</v>
      </c>
      <c r="E2861" s="101">
        <f t="shared" ca="1" si="172"/>
        <v>0</v>
      </c>
      <c r="F2861" s="21">
        <f t="shared" ca="1" si="173"/>
        <v>0</v>
      </c>
      <c r="H2861" s="21">
        <v>2846</v>
      </c>
      <c r="I2861" s="102">
        <v>0.66771598740791627</v>
      </c>
      <c r="J2861" s="103">
        <v>1.3379405389876951E-3</v>
      </c>
      <c r="K2861" s="103"/>
      <c r="L2861" s="103">
        <v>4.1399999999999999E-2</v>
      </c>
      <c r="O2861" s="100"/>
    </row>
    <row r="2862" spans="2:15" x14ac:dyDescent="0.2">
      <c r="B2862" s="1">
        <v>2847</v>
      </c>
      <c r="C2862" s="101">
        <f ca="1"/>
        <v>-0.91143118676952428</v>
      </c>
      <c r="D2862" s="101">
        <f t="shared" ca="1" si="171"/>
        <v>0.60736708154998831</v>
      </c>
      <c r="E2862" s="101">
        <f t="shared" ca="1" si="172"/>
        <v>0</v>
      </c>
      <c r="F2862" s="21">
        <f t="shared" ca="1" si="173"/>
        <v>0</v>
      </c>
      <c r="H2862" s="21">
        <v>2847</v>
      </c>
      <c r="I2862" s="102">
        <v>0.66771593204900181</v>
      </c>
      <c r="J2862" s="103">
        <v>1.3059965927255416E-3</v>
      </c>
      <c r="K2862" s="103"/>
      <c r="L2862" s="103">
        <v>3.9600000000000003E-2</v>
      </c>
      <c r="O2862" s="100"/>
    </row>
    <row r="2863" spans="2:15" x14ac:dyDescent="0.2">
      <c r="B2863" s="1">
        <v>2848</v>
      </c>
      <c r="C2863" s="101">
        <f ca="1"/>
        <v>0.93378073682288887</v>
      </c>
      <c r="D2863" s="101">
        <f t="shared" ca="1" si="171"/>
        <v>0.728616482110232</v>
      </c>
      <c r="E2863" s="101">
        <f t="shared" ca="1" si="172"/>
        <v>0</v>
      </c>
      <c r="F2863" s="21">
        <f t="shared" ca="1" si="173"/>
        <v>0</v>
      </c>
      <c r="H2863" s="21">
        <v>2848</v>
      </c>
      <c r="I2863" s="102">
        <v>0.66783809989219622</v>
      </c>
      <c r="J2863" s="103">
        <v>1.4767397518321668E-3</v>
      </c>
      <c r="K2863" s="103"/>
      <c r="L2863" s="103">
        <v>4.3999999999999997E-2</v>
      </c>
      <c r="O2863" s="100"/>
    </row>
    <row r="2864" spans="2:15" x14ac:dyDescent="0.2">
      <c r="B2864" s="1">
        <v>2849</v>
      </c>
      <c r="C2864" s="101">
        <f ca="1"/>
        <v>8.0291515938393801E-2</v>
      </c>
      <c r="D2864" s="101">
        <f t="shared" ca="1" si="171"/>
        <v>0.66978595933096452</v>
      </c>
      <c r="E2864" s="101">
        <f t="shared" ca="1" si="172"/>
        <v>0</v>
      </c>
      <c r="F2864" s="21">
        <f t="shared" ca="1" si="173"/>
        <v>0</v>
      </c>
      <c r="H2864" s="21">
        <v>2849</v>
      </c>
      <c r="I2864" s="102">
        <v>0.66785157519184202</v>
      </c>
      <c r="J2864" s="103">
        <v>1.5105330196854767E-3</v>
      </c>
      <c r="K2864" s="103"/>
      <c r="L2864" s="103">
        <v>4.2799999999999998E-2</v>
      </c>
      <c r="O2864" s="100"/>
    </row>
    <row r="2865" spans="2:15" x14ac:dyDescent="0.2">
      <c r="B2865" s="1">
        <v>2850</v>
      </c>
      <c r="C2865" s="101">
        <f ca="1"/>
        <v>-1.199832362425771</v>
      </c>
      <c r="D2865" s="101">
        <f t="shared" ca="1" si="171"/>
        <v>0.59033199448183249</v>
      </c>
      <c r="E2865" s="101">
        <f t="shared" ca="1" si="172"/>
        <v>0</v>
      </c>
      <c r="F2865" s="21">
        <f t="shared" ca="1" si="173"/>
        <v>0</v>
      </c>
      <c r="H2865" s="21">
        <v>2850</v>
      </c>
      <c r="I2865" s="102">
        <v>0.66762968071024442</v>
      </c>
      <c r="J2865" s="103">
        <v>1.1816662713755853E-3</v>
      </c>
      <c r="K2865" s="103"/>
      <c r="L2865" s="103">
        <v>3.8800000000000001E-2</v>
      </c>
      <c r="O2865" s="100"/>
    </row>
    <row r="2866" spans="2:15" x14ac:dyDescent="0.2">
      <c r="B2866" s="1">
        <v>2851</v>
      </c>
      <c r="C2866" s="101">
        <f ca="1"/>
        <v>-1.1167326591422888</v>
      </c>
      <c r="D2866" s="101">
        <f t="shared" ca="1" si="171"/>
        <v>0.59519087121228642</v>
      </c>
      <c r="E2866" s="101">
        <f t="shared" ca="1" si="172"/>
        <v>0</v>
      </c>
      <c r="F2866" s="21">
        <f t="shared" ca="1" si="173"/>
        <v>0</v>
      </c>
      <c r="H2866" s="21">
        <v>2851</v>
      </c>
      <c r="I2866" s="102">
        <v>0.66785256705088669</v>
      </c>
      <c r="J2866" s="103">
        <v>1.5691926768747265E-3</v>
      </c>
      <c r="K2866" s="103"/>
      <c r="L2866" s="103">
        <v>4.5600000000000002E-2</v>
      </c>
      <c r="O2866" s="100"/>
    </row>
    <row r="2867" spans="2:15" x14ac:dyDescent="0.2">
      <c r="B2867" s="1">
        <v>2852</v>
      </c>
      <c r="C2867" s="101">
        <f ca="1"/>
        <v>0.46444255423815078</v>
      </c>
      <c r="D2867" s="101">
        <f t="shared" ca="1" si="171"/>
        <v>0.69565327310005476</v>
      </c>
      <c r="E2867" s="101">
        <f t="shared" ca="1" si="172"/>
        <v>0</v>
      </c>
      <c r="F2867" s="21">
        <f t="shared" ca="1" si="173"/>
        <v>0</v>
      </c>
      <c r="H2867" s="21">
        <v>2852</v>
      </c>
      <c r="I2867" s="102">
        <v>0.66772078410339986</v>
      </c>
      <c r="J2867" s="103">
        <v>1.3779111877260813E-3</v>
      </c>
      <c r="K2867" s="103"/>
      <c r="L2867" s="103">
        <v>4.24E-2</v>
      </c>
      <c r="O2867" s="100"/>
    </row>
    <row r="2868" spans="2:15" x14ac:dyDescent="0.2">
      <c r="B2868" s="1">
        <v>2853</v>
      </c>
      <c r="C2868" s="101">
        <f ca="1"/>
        <v>-0.60412633001136529</v>
      </c>
      <c r="D2868" s="101">
        <f t="shared" ca="1" si="171"/>
        <v>0.62606006311027906</v>
      </c>
      <c r="E2868" s="101">
        <f t="shared" ca="1" si="172"/>
        <v>0</v>
      </c>
      <c r="F2868" s="21">
        <f t="shared" ca="1" si="173"/>
        <v>0</v>
      </c>
      <c r="H2868" s="21">
        <v>2853</v>
      </c>
      <c r="I2868" s="102">
        <v>0.66774535442861893</v>
      </c>
      <c r="J2868" s="103">
        <v>1.5296039054156453E-3</v>
      </c>
      <c r="K2868" s="103"/>
      <c r="L2868" s="103">
        <v>4.2799999999999998E-2</v>
      </c>
      <c r="O2868" s="100"/>
    </row>
    <row r="2869" spans="2:15" x14ac:dyDescent="0.2">
      <c r="B2869" s="1">
        <v>2854</v>
      </c>
      <c r="C2869" s="101">
        <f ca="1"/>
        <v>-0.43086193000566841</v>
      </c>
      <c r="D2869" s="101">
        <f t="shared" ca="1" si="171"/>
        <v>0.63685203476882257</v>
      </c>
      <c r="E2869" s="101">
        <f t="shared" ca="1" si="172"/>
        <v>0</v>
      </c>
      <c r="F2869" s="21">
        <f t="shared" ca="1" si="173"/>
        <v>0</v>
      </c>
      <c r="H2869" s="21">
        <v>2854</v>
      </c>
      <c r="I2869" s="102">
        <v>0.66768932319471153</v>
      </c>
      <c r="J2869" s="103">
        <v>1.3361909019238378E-3</v>
      </c>
      <c r="K2869" s="103"/>
      <c r="L2869" s="103">
        <v>4.1000000000000002E-2</v>
      </c>
      <c r="O2869" s="100"/>
    </row>
    <row r="2870" spans="2:15" x14ac:dyDescent="0.2">
      <c r="B2870" s="1">
        <v>2855</v>
      </c>
      <c r="C2870" s="101">
        <f ca="1"/>
        <v>1.1539492351161507</v>
      </c>
      <c r="D2870" s="101">
        <f t="shared" ca="1" si="171"/>
        <v>0.74461344540879293</v>
      </c>
      <c r="E2870" s="101">
        <f t="shared" ca="1" si="172"/>
        <v>0</v>
      </c>
      <c r="F2870" s="21">
        <f t="shared" ca="1" si="173"/>
        <v>0</v>
      </c>
      <c r="H2870" s="21">
        <v>2855</v>
      </c>
      <c r="I2870" s="102">
        <v>0.66769661229644583</v>
      </c>
      <c r="J2870" s="103">
        <v>1.2805332757948546E-3</v>
      </c>
      <c r="K2870" s="103"/>
      <c r="L2870" s="103">
        <v>0.04</v>
      </c>
      <c r="O2870" s="100"/>
    </row>
    <row r="2871" spans="2:15" x14ac:dyDescent="0.2">
      <c r="B2871" s="1">
        <v>2856</v>
      </c>
      <c r="C2871" s="101">
        <f ca="1"/>
        <v>-0.42787131256788047</v>
      </c>
      <c r="D2871" s="101">
        <f t="shared" ca="1" si="171"/>
        <v>0.63703993285747151</v>
      </c>
      <c r="E2871" s="101">
        <f t="shared" ca="1" si="172"/>
        <v>0</v>
      </c>
      <c r="F2871" s="21">
        <f t="shared" ca="1" si="173"/>
        <v>0</v>
      </c>
      <c r="H2871" s="21">
        <v>2856</v>
      </c>
      <c r="I2871" s="102">
        <v>0.6677366412785033</v>
      </c>
      <c r="J2871" s="103">
        <v>1.4407565868283861E-3</v>
      </c>
      <c r="K2871" s="103"/>
      <c r="L2871" s="103">
        <v>4.1000000000000002E-2</v>
      </c>
      <c r="O2871" s="100"/>
    </row>
    <row r="2872" spans="2:15" x14ac:dyDescent="0.2">
      <c r="B2872" s="1">
        <v>2857</v>
      </c>
      <c r="C2872" s="101">
        <f ca="1"/>
        <v>3.285391094912248</v>
      </c>
      <c r="D2872" s="101">
        <f t="shared" ca="1" si="171"/>
        <v>0.91884134557802688</v>
      </c>
      <c r="E2872" s="101">
        <f t="shared" ca="1" si="172"/>
        <v>0.13064134557802687</v>
      </c>
      <c r="F2872" s="21">
        <f t="shared" ca="1" si="173"/>
        <v>1</v>
      </c>
      <c r="H2872" s="21">
        <v>2857</v>
      </c>
      <c r="I2872" s="102">
        <v>0.66769259488521959</v>
      </c>
      <c r="J2872" s="103">
        <v>1.2759743836132586E-3</v>
      </c>
      <c r="K2872" s="103"/>
      <c r="L2872" s="103">
        <v>4.0599999999999997E-2</v>
      </c>
      <c r="O2872" s="100"/>
    </row>
    <row r="2873" spans="2:15" x14ac:dyDescent="0.2">
      <c r="B2873" s="1">
        <v>2858</v>
      </c>
      <c r="C2873" s="101">
        <f ca="1"/>
        <v>-0.90762367781658193</v>
      </c>
      <c r="D2873" s="101">
        <f t="shared" ca="1" si="171"/>
        <v>0.60759523794290016</v>
      </c>
      <c r="E2873" s="101">
        <f t="shared" ca="1" si="172"/>
        <v>0</v>
      </c>
      <c r="F2873" s="21">
        <f t="shared" ca="1" si="173"/>
        <v>0</v>
      </c>
      <c r="H2873" s="21">
        <v>2858</v>
      </c>
      <c r="I2873" s="102">
        <v>0.6678827497432368</v>
      </c>
      <c r="J2873" s="103">
        <v>1.419113184651141E-3</v>
      </c>
      <c r="K2873" s="103"/>
      <c r="L2873" s="103">
        <v>4.3999999999999997E-2</v>
      </c>
      <c r="O2873" s="100"/>
    </row>
    <row r="2874" spans="2:15" x14ac:dyDescent="0.2">
      <c r="B2874" s="1">
        <v>2859</v>
      </c>
      <c r="C2874" s="101">
        <f ca="1"/>
        <v>-0.234687109956457</v>
      </c>
      <c r="D2874" s="101">
        <f t="shared" ca="1" si="171"/>
        <v>0.64929573339863156</v>
      </c>
      <c r="E2874" s="101">
        <f t="shared" ca="1" si="172"/>
        <v>0</v>
      </c>
      <c r="F2874" s="21">
        <f t="shared" ca="1" si="173"/>
        <v>0</v>
      </c>
      <c r="H2874" s="21">
        <v>2859</v>
      </c>
      <c r="I2874" s="102">
        <v>0.66763650008873321</v>
      </c>
      <c r="J2874" s="103">
        <v>1.1796266105266464E-3</v>
      </c>
      <c r="K2874" s="103"/>
      <c r="L2874" s="103">
        <v>4.0599999999999997E-2</v>
      </c>
      <c r="O2874" s="100"/>
    </row>
    <row r="2875" spans="2:15" x14ac:dyDescent="0.2">
      <c r="B2875" s="1">
        <v>2860</v>
      </c>
      <c r="C2875" s="101">
        <f ca="1"/>
        <v>0.2635206506928463</v>
      </c>
      <c r="D2875" s="101">
        <f t="shared" ca="1" si="171"/>
        <v>0.68200170813129513</v>
      </c>
      <c r="E2875" s="101">
        <f t="shared" ca="1" si="172"/>
        <v>0</v>
      </c>
      <c r="F2875" s="21">
        <f t="shared" ca="1" si="173"/>
        <v>0</v>
      </c>
      <c r="H2875" s="21">
        <v>2860</v>
      </c>
      <c r="I2875" s="102">
        <v>0.66789146364458507</v>
      </c>
      <c r="J2875" s="103">
        <v>1.5518795428823983E-3</v>
      </c>
      <c r="K2875" s="103"/>
      <c r="L2875" s="103">
        <v>4.2999999999999997E-2</v>
      </c>
      <c r="O2875" s="100"/>
    </row>
    <row r="2876" spans="2:15" x14ac:dyDescent="0.2">
      <c r="B2876" s="1">
        <v>2861</v>
      </c>
      <c r="C2876" s="101">
        <f ca="1"/>
        <v>-0.25614390568804318</v>
      </c>
      <c r="D2876" s="101">
        <f t="shared" ca="1" si="171"/>
        <v>0.64792293488715424</v>
      </c>
      <c r="E2876" s="101">
        <f t="shared" ca="1" si="172"/>
        <v>0</v>
      </c>
      <c r="F2876" s="21">
        <f t="shared" ca="1" si="173"/>
        <v>0</v>
      </c>
      <c r="H2876" s="21">
        <v>2861</v>
      </c>
      <c r="I2876" s="102">
        <v>0.6677024178348322</v>
      </c>
      <c r="J2876" s="103">
        <v>1.2829960796225275E-3</v>
      </c>
      <c r="K2876" s="103"/>
      <c r="L2876" s="103">
        <v>4.1200000000000001E-2</v>
      </c>
      <c r="O2876" s="100"/>
    </row>
    <row r="2877" spans="2:15" x14ac:dyDescent="0.2">
      <c r="B2877" s="1">
        <v>2862</v>
      </c>
      <c r="C2877" s="101">
        <f ca="1"/>
        <v>0.77680456882511684</v>
      </c>
      <c r="D2877" s="101">
        <f t="shared" ca="1" si="171"/>
        <v>0.71742123787424739</v>
      </c>
      <c r="E2877" s="101">
        <f t="shared" ca="1" si="172"/>
        <v>0</v>
      </c>
      <c r="F2877" s="21">
        <f t="shared" ca="1" si="173"/>
        <v>0</v>
      </c>
      <c r="H2877" s="21">
        <v>2862</v>
      </c>
      <c r="I2877" s="102">
        <v>0.66773647243471201</v>
      </c>
      <c r="J2877" s="103">
        <v>1.3207099898432132E-3</v>
      </c>
      <c r="K2877" s="103"/>
      <c r="L2877" s="103">
        <v>4.3400000000000001E-2</v>
      </c>
      <c r="O2877" s="100"/>
    </row>
    <row r="2878" spans="2:15" x14ac:dyDescent="0.2">
      <c r="B2878" s="1">
        <v>2863</v>
      </c>
      <c r="C2878" s="101">
        <f ca="1"/>
        <v>1.1212385797043523</v>
      </c>
      <c r="D2878" s="101">
        <f t="shared" ca="1" si="171"/>
        <v>0.74221473092826795</v>
      </c>
      <c r="E2878" s="101">
        <f t="shared" ca="1" si="172"/>
        <v>0</v>
      </c>
      <c r="F2878" s="21">
        <f t="shared" ca="1" si="173"/>
        <v>0</v>
      </c>
      <c r="H2878" s="21">
        <v>2863</v>
      </c>
      <c r="I2878" s="102">
        <v>0.66777556005106609</v>
      </c>
      <c r="J2878" s="103">
        <v>1.4247302737488757E-3</v>
      </c>
      <c r="K2878" s="103"/>
      <c r="L2878" s="103">
        <v>4.4600000000000001E-2</v>
      </c>
      <c r="O2878" s="100"/>
    </row>
    <row r="2879" spans="2:15" x14ac:dyDescent="0.2">
      <c r="B2879" s="1">
        <v>2864</v>
      </c>
      <c r="C2879" s="101">
        <f ca="1"/>
        <v>1.5542915299441831</v>
      </c>
      <c r="D2879" s="101">
        <f t="shared" ca="1" si="171"/>
        <v>0.77460677479028894</v>
      </c>
      <c r="E2879" s="101">
        <f t="shared" ca="1" si="172"/>
        <v>0</v>
      </c>
      <c r="F2879" s="21">
        <f t="shared" ca="1" si="173"/>
        <v>0</v>
      </c>
      <c r="H2879" s="21">
        <v>2864</v>
      </c>
      <c r="I2879" s="102">
        <v>0.66782151354752239</v>
      </c>
      <c r="J2879" s="103">
        <v>1.4919775810718337E-3</v>
      </c>
      <c r="K2879" s="103"/>
      <c r="L2879" s="103">
        <v>4.36E-2</v>
      </c>
      <c r="O2879" s="100"/>
    </row>
    <row r="2880" spans="2:15" x14ac:dyDescent="0.2">
      <c r="B2880" s="1">
        <v>2865</v>
      </c>
      <c r="C2880" s="101">
        <f ca="1"/>
        <v>0.17646940913101469</v>
      </c>
      <c r="D2880" s="101">
        <f t="shared" ca="1" si="171"/>
        <v>0.67617053338820865</v>
      </c>
      <c r="E2880" s="101">
        <f t="shared" ca="1" si="172"/>
        <v>0</v>
      </c>
      <c r="F2880" s="21">
        <f t="shared" ca="1" si="173"/>
        <v>0</v>
      </c>
      <c r="H2880" s="21">
        <v>2865</v>
      </c>
      <c r="I2880" s="102">
        <v>0.66774225346852811</v>
      </c>
      <c r="J2880" s="103">
        <v>1.258303704939244E-3</v>
      </c>
      <c r="K2880" s="103"/>
      <c r="L2880" s="103">
        <v>3.7600000000000001E-2</v>
      </c>
      <c r="O2880" s="100"/>
    </row>
    <row r="2881" spans="2:15" x14ac:dyDescent="0.2">
      <c r="B2881" s="1">
        <v>2866</v>
      </c>
      <c r="C2881" s="101">
        <f ca="1"/>
        <v>-2.0656695200273525</v>
      </c>
      <c r="D2881" s="101">
        <f t="shared" ca="1" si="171"/>
        <v>0.54200637102551152</v>
      </c>
      <c r="E2881" s="101">
        <f t="shared" ca="1" si="172"/>
        <v>0</v>
      </c>
      <c r="F2881" s="21">
        <f t="shared" ca="1" si="173"/>
        <v>0</v>
      </c>
      <c r="H2881" s="21">
        <v>2866</v>
      </c>
      <c r="I2881" s="102">
        <v>0.66766976022014279</v>
      </c>
      <c r="J2881" s="103">
        <v>1.175348567446239E-3</v>
      </c>
      <c r="K2881" s="103"/>
      <c r="L2881" s="103">
        <v>3.8600000000000002E-2</v>
      </c>
      <c r="O2881" s="100"/>
    </row>
    <row r="2882" spans="2:15" x14ac:dyDescent="0.2">
      <c r="B2882" s="1">
        <v>2867</v>
      </c>
      <c r="C2882" s="101">
        <f ca="1"/>
        <v>1.0836493278686059</v>
      </c>
      <c r="D2882" s="101">
        <f t="shared" ca="1" si="171"/>
        <v>0.73946780309006088</v>
      </c>
      <c r="E2882" s="101">
        <f t="shared" ca="1" si="172"/>
        <v>0</v>
      </c>
      <c r="F2882" s="21">
        <f t="shared" ca="1" si="173"/>
        <v>0</v>
      </c>
      <c r="H2882" s="21">
        <v>2867</v>
      </c>
      <c r="I2882" s="102">
        <v>0.66762252023847601</v>
      </c>
      <c r="J2882" s="103">
        <v>1.1825046995087246E-3</v>
      </c>
      <c r="K2882" s="103"/>
      <c r="L2882" s="103">
        <v>4.0800000000000003E-2</v>
      </c>
      <c r="O2882" s="100"/>
    </row>
    <row r="2883" spans="2:15" x14ac:dyDescent="0.2">
      <c r="B2883" s="1">
        <v>2868</v>
      </c>
      <c r="C2883" s="101">
        <f ca="1"/>
        <v>-0.7657934222319891</v>
      </c>
      <c r="D2883" s="101">
        <f t="shared" ca="1" si="171"/>
        <v>0.6161554327814116</v>
      </c>
      <c r="E2883" s="101">
        <f t="shared" ca="1" si="172"/>
        <v>0</v>
      </c>
      <c r="F2883" s="21">
        <f t="shared" ca="1" si="173"/>
        <v>0</v>
      </c>
      <c r="H2883" s="21">
        <v>2868</v>
      </c>
      <c r="I2883" s="102">
        <v>0.66771703859415144</v>
      </c>
      <c r="J2883" s="103">
        <v>1.3989148172780632E-3</v>
      </c>
      <c r="K2883" s="103"/>
      <c r="L2883" s="103">
        <v>4.3200000000000002E-2</v>
      </c>
      <c r="O2883" s="100"/>
    </row>
    <row r="2884" spans="2:15" x14ac:dyDescent="0.2">
      <c r="B2884" s="1">
        <v>2869</v>
      </c>
      <c r="C2884" s="101">
        <f ca="1"/>
        <v>1.7612640127906629</v>
      </c>
      <c r="D2884" s="101">
        <f t="shared" ca="1" si="171"/>
        <v>0.79058371575572151</v>
      </c>
      <c r="E2884" s="101">
        <f t="shared" ca="1" si="172"/>
        <v>2.3837157557214939E-3</v>
      </c>
      <c r="F2884" s="21">
        <f t="shared" ca="1" si="173"/>
        <v>1</v>
      </c>
      <c r="H2884" s="21">
        <v>2869</v>
      </c>
      <c r="I2884" s="102">
        <v>0.66761129466430047</v>
      </c>
      <c r="J2884" s="103">
        <v>1.2200201222434888E-3</v>
      </c>
      <c r="K2884" s="103"/>
      <c r="L2884" s="103">
        <v>4.1200000000000001E-2</v>
      </c>
      <c r="O2884" s="100"/>
    </row>
    <row r="2885" spans="2:15" x14ac:dyDescent="0.2">
      <c r="B2885" s="1">
        <v>2870</v>
      </c>
      <c r="C2885" s="101">
        <f ca="1"/>
        <v>0.42665958627940131</v>
      </c>
      <c r="D2885" s="101">
        <f t="shared" ca="1" si="171"/>
        <v>0.69306542515170733</v>
      </c>
      <c r="E2885" s="101">
        <f t="shared" ca="1" si="172"/>
        <v>0</v>
      </c>
      <c r="F2885" s="21">
        <f t="shared" ca="1" si="173"/>
        <v>0</v>
      </c>
      <c r="H2885" s="21">
        <v>2870</v>
      </c>
      <c r="I2885" s="102">
        <v>0.66752462011353653</v>
      </c>
      <c r="J2885" s="103">
        <v>1.1682493251846191E-3</v>
      </c>
      <c r="K2885" s="103"/>
      <c r="L2885" s="103">
        <v>3.7400000000000003E-2</v>
      </c>
      <c r="O2885" s="100"/>
    </row>
    <row r="2886" spans="2:15" x14ac:dyDescent="0.2">
      <c r="B2886" s="1">
        <v>2871</v>
      </c>
      <c r="C2886" s="101">
        <f ca="1"/>
        <v>-0.9150641459875325</v>
      </c>
      <c r="D2886" s="101">
        <f t="shared" ca="1" si="171"/>
        <v>0.60714946452998553</v>
      </c>
      <c r="E2886" s="101">
        <f t="shared" ca="1" si="172"/>
        <v>0</v>
      </c>
      <c r="F2886" s="21">
        <f t="shared" ca="1" si="173"/>
        <v>0</v>
      </c>
      <c r="H2886" s="21">
        <v>2871</v>
      </c>
      <c r="I2886" s="102">
        <v>0.66758847932146326</v>
      </c>
      <c r="J2886" s="103">
        <v>1.331774972273341E-3</v>
      </c>
      <c r="K2886" s="103"/>
      <c r="L2886" s="103">
        <v>3.9199999999999999E-2</v>
      </c>
      <c r="O2886" s="100"/>
    </row>
    <row r="2887" spans="2:15" x14ac:dyDescent="0.2">
      <c r="B2887" s="1">
        <v>2872</v>
      </c>
      <c r="C2887" s="101">
        <f ca="1"/>
        <v>1.6936815879468274</v>
      </c>
      <c r="D2887" s="101">
        <f t="shared" ca="1" si="171"/>
        <v>0.78533088092814551</v>
      </c>
      <c r="E2887" s="101">
        <f t="shared" ca="1" si="172"/>
        <v>0</v>
      </c>
      <c r="F2887" s="21">
        <f t="shared" ca="1" si="173"/>
        <v>0</v>
      </c>
      <c r="H2887" s="21">
        <v>2872</v>
      </c>
      <c r="I2887" s="102">
        <v>0.66773042035980945</v>
      </c>
      <c r="J2887" s="103">
        <v>1.2542217019745709E-3</v>
      </c>
      <c r="K2887" s="103"/>
      <c r="L2887" s="103">
        <v>4.2000000000000003E-2</v>
      </c>
      <c r="O2887" s="100"/>
    </row>
    <row r="2888" spans="2:15" x14ac:dyDescent="0.2">
      <c r="B2888" s="1">
        <v>2873</v>
      </c>
      <c r="C2888" s="101">
        <f ca="1"/>
        <v>0.76021654616735235</v>
      </c>
      <c r="D2888" s="101">
        <f t="shared" ca="1" si="171"/>
        <v>0.71624830681204399</v>
      </c>
      <c r="E2888" s="101">
        <f t="shared" ca="1" si="172"/>
        <v>0</v>
      </c>
      <c r="F2888" s="21">
        <f t="shared" ca="1" si="173"/>
        <v>0</v>
      </c>
      <c r="H2888" s="21">
        <v>2873</v>
      </c>
      <c r="I2888" s="102">
        <v>0.66768337099938302</v>
      </c>
      <c r="J2888" s="103">
        <v>1.2982934916334103E-3</v>
      </c>
      <c r="K2888" s="103"/>
      <c r="L2888" s="103">
        <v>4.3200000000000002E-2</v>
      </c>
      <c r="O2888" s="100"/>
    </row>
    <row r="2889" spans="2:15" x14ac:dyDescent="0.2">
      <c r="B2889" s="1">
        <v>2874</v>
      </c>
      <c r="C2889" s="101">
        <f ca="1"/>
        <v>0.75242008346138323</v>
      </c>
      <c r="D2889" s="101">
        <f t="shared" ca="1" si="171"/>
        <v>0.71569768535963074</v>
      </c>
      <c r="E2889" s="101">
        <f t="shared" ca="1" si="172"/>
        <v>0</v>
      </c>
      <c r="F2889" s="21">
        <f t="shared" ca="1" si="173"/>
        <v>0</v>
      </c>
      <c r="H2889" s="21">
        <v>2874</v>
      </c>
      <c r="I2889" s="102">
        <v>0.66774851832649962</v>
      </c>
      <c r="J2889" s="103">
        <v>1.2186983799956995E-3</v>
      </c>
      <c r="K2889" s="103"/>
      <c r="L2889" s="103">
        <v>3.9600000000000003E-2</v>
      </c>
      <c r="O2889" s="100"/>
    </row>
    <row r="2890" spans="2:15" x14ac:dyDescent="0.2">
      <c r="B2890" s="1">
        <v>2875</v>
      </c>
      <c r="C2890" s="101">
        <f ca="1"/>
        <v>0.32095217070577481</v>
      </c>
      <c r="D2890" s="101">
        <f t="shared" ca="1" si="171"/>
        <v>0.68587629515775939</v>
      </c>
      <c r="E2890" s="101">
        <f t="shared" ca="1" si="172"/>
        <v>0</v>
      </c>
      <c r="F2890" s="21">
        <f t="shared" ca="1" si="173"/>
        <v>0</v>
      </c>
      <c r="H2890" s="21">
        <v>2875</v>
      </c>
      <c r="I2890" s="102">
        <v>0.66786029713076145</v>
      </c>
      <c r="J2890" s="103">
        <v>1.5158030643690357E-3</v>
      </c>
      <c r="K2890" s="103"/>
      <c r="L2890" s="103">
        <v>4.1799999999999997E-2</v>
      </c>
      <c r="O2890" s="100"/>
    </row>
    <row r="2891" spans="2:15" x14ac:dyDescent="0.2">
      <c r="B2891" s="1">
        <v>2876</v>
      </c>
      <c r="C2891" s="101">
        <f ca="1"/>
        <v>4.2390847603346223E-2</v>
      </c>
      <c r="D2891" s="101">
        <f t="shared" ca="1" si="171"/>
        <v>0.66728659112754551</v>
      </c>
      <c r="E2891" s="101">
        <f t="shared" ca="1" si="172"/>
        <v>0</v>
      </c>
      <c r="F2891" s="21">
        <f t="shared" ca="1" si="173"/>
        <v>0</v>
      </c>
      <c r="H2891" s="21">
        <v>2876</v>
      </c>
      <c r="I2891" s="102">
        <v>0.66777264011196125</v>
      </c>
      <c r="J2891" s="103">
        <v>1.3728680054522619E-3</v>
      </c>
      <c r="K2891" s="103"/>
      <c r="L2891" s="103">
        <v>4.0599999999999997E-2</v>
      </c>
      <c r="O2891" s="100"/>
    </row>
    <row r="2892" spans="2:15" x14ac:dyDescent="0.2">
      <c r="B2892" s="1">
        <v>2877</v>
      </c>
      <c r="C2892" s="101">
        <f ca="1"/>
        <v>-0.21637044728233859</v>
      </c>
      <c r="D2892" s="101">
        <f t="shared" ca="1" si="171"/>
        <v>0.65046992830871087</v>
      </c>
      <c r="E2892" s="101">
        <f t="shared" ca="1" si="172"/>
        <v>0</v>
      </c>
      <c r="F2892" s="21">
        <f t="shared" ca="1" si="173"/>
        <v>0</v>
      </c>
      <c r="H2892" s="21">
        <v>2877</v>
      </c>
      <c r="I2892" s="102">
        <v>0.66774570243189368</v>
      </c>
      <c r="J2892" s="103">
        <v>1.2475128442899584E-3</v>
      </c>
      <c r="K2892" s="103"/>
      <c r="L2892" s="103">
        <v>3.9800000000000002E-2</v>
      </c>
      <c r="O2892" s="100"/>
    </row>
    <row r="2893" spans="2:15" x14ac:dyDescent="0.2">
      <c r="B2893" s="1">
        <v>2878</v>
      </c>
      <c r="C2893" s="101">
        <f ca="1"/>
        <v>0.46451850549839024</v>
      </c>
      <c r="D2893" s="101">
        <f t="shared" ca="1" si="171"/>
        <v>0.69565848490729376</v>
      </c>
      <c r="E2893" s="101">
        <f t="shared" ca="1" si="172"/>
        <v>0</v>
      </c>
      <c r="F2893" s="21">
        <f t="shared" ca="1" si="173"/>
        <v>0</v>
      </c>
      <c r="H2893" s="21">
        <v>2878</v>
      </c>
      <c r="I2893" s="102">
        <v>0.66776581276759361</v>
      </c>
      <c r="J2893" s="103">
        <v>1.3755844255011419E-3</v>
      </c>
      <c r="K2893" s="103"/>
      <c r="L2893" s="103">
        <v>4.1399999999999999E-2</v>
      </c>
      <c r="O2893" s="100"/>
    </row>
    <row r="2894" spans="2:15" x14ac:dyDescent="0.2">
      <c r="B2894" s="1">
        <v>2879</v>
      </c>
      <c r="C2894" s="101">
        <f ca="1"/>
        <v>-1.4601547079579174</v>
      </c>
      <c r="D2894" s="101">
        <f t="shared" ca="1" si="171"/>
        <v>0.57536610346309869</v>
      </c>
      <c r="E2894" s="101">
        <f t="shared" ca="1" si="172"/>
        <v>0</v>
      </c>
      <c r="F2894" s="21">
        <f t="shared" ca="1" si="173"/>
        <v>0</v>
      </c>
      <c r="H2894" s="21">
        <v>2879</v>
      </c>
      <c r="I2894" s="102">
        <v>0.66766561102098876</v>
      </c>
      <c r="J2894" s="103">
        <v>1.2261948953307456E-3</v>
      </c>
      <c r="K2894" s="103"/>
      <c r="L2894" s="103">
        <v>4.1399999999999999E-2</v>
      </c>
      <c r="O2894" s="100"/>
    </row>
    <row r="2895" spans="2:15" x14ac:dyDescent="0.2">
      <c r="B2895" s="1">
        <v>2880</v>
      </c>
      <c r="C2895" s="101">
        <f ca="1"/>
        <v>0.72051618937393203</v>
      </c>
      <c r="D2895" s="101">
        <f t="shared" ca="1" si="171"/>
        <v>0.71344889476680462</v>
      </c>
      <c r="E2895" s="101">
        <f t="shared" ca="1" si="172"/>
        <v>0</v>
      </c>
      <c r="F2895" s="21">
        <f t="shared" ca="1" si="173"/>
        <v>0</v>
      </c>
      <c r="H2895" s="21">
        <v>2880</v>
      </c>
      <c r="I2895" s="102">
        <v>0.66788094790030428</v>
      </c>
      <c r="J2895" s="103">
        <v>1.5267136577359758E-3</v>
      </c>
      <c r="K2895" s="103"/>
      <c r="L2895" s="103">
        <v>4.4999999999999998E-2</v>
      </c>
      <c r="O2895" s="100"/>
    </row>
    <row r="2896" spans="2:15" x14ac:dyDescent="0.2">
      <c r="B2896" s="1">
        <v>2881</v>
      </c>
      <c r="C2896" s="101">
        <f ca="1"/>
        <v>-0.32625484977495484</v>
      </c>
      <c r="D2896" s="101">
        <f t="shared" ref="D2896:D2959" ca="1" si="174">S0*EXP((μ-0.5*σ*σ)*T+σ*SQRT(T)*$C2896)</f>
        <v>0.64345746484921884</v>
      </c>
      <c r="E2896" s="101">
        <f t="shared" ref="E2896:E2959" ca="1" si="175">MAX(0,CP*(D2896-K))</f>
        <v>0</v>
      </c>
      <c r="F2896" s="21">
        <f t="shared" ref="F2896:F2959" ca="1" si="176">(CP*(D2896-K)&gt;0)*1</f>
        <v>0</v>
      </c>
      <c r="H2896" s="21">
        <v>2881</v>
      </c>
      <c r="I2896" s="102">
        <v>0.66763655147327716</v>
      </c>
      <c r="J2896" s="103">
        <v>1.284608683385684E-3</v>
      </c>
      <c r="K2896" s="103"/>
      <c r="L2896" s="103">
        <v>3.7999999999999999E-2</v>
      </c>
      <c r="O2896" s="100"/>
    </row>
    <row r="2897" spans="2:15" x14ac:dyDescent="0.2">
      <c r="B2897" s="1">
        <v>2882</v>
      </c>
      <c r="C2897" s="101">
        <f ca="1"/>
        <v>-0.24887091712990872</v>
      </c>
      <c r="D2897" s="101">
        <f t="shared" ca="1" si="174"/>
        <v>0.64838793274551842</v>
      </c>
      <c r="E2897" s="101">
        <f t="shared" ca="1" si="175"/>
        <v>0</v>
      </c>
      <c r="F2897" s="21">
        <f t="shared" ca="1" si="176"/>
        <v>0</v>
      </c>
      <c r="H2897" s="21">
        <v>2882</v>
      </c>
      <c r="I2897" s="102">
        <v>0.66759761049892119</v>
      </c>
      <c r="J2897" s="103">
        <v>1.2650180953134359E-3</v>
      </c>
      <c r="K2897" s="103"/>
      <c r="L2897" s="103">
        <v>3.7600000000000001E-2</v>
      </c>
      <c r="O2897" s="100"/>
    </row>
    <row r="2898" spans="2:15" x14ac:dyDescent="0.2">
      <c r="B2898" s="1">
        <v>2883</v>
      </c>
      <c r="C2898" s="101">
        <f ca="1"/>
        <v>-1.2515301230428049E-2</v>
      </c>
      <c r="D2898" s="101">
        <f t="shared" ca="1" si="174"/>
        <v>0.66368232591955345</v>
      </c>
      <c r="E2898" s="101">
        <f t="shared" ca="1" si="175"/>
        <v>0</v>
      </c>
      <c r="F2898" s="21">
        <f t="shared" ca="1" si="176"/>
        <v>0</v>
      </c>
      <c r="H2898" s="21">
        <v>2883</v>
      </c>
      <c r="I2898" s="102">
        <v>0.66784666028236628</v>
      </c>
      <c r="J2898" s="103">
        <v>1.4644968202978878E-3</v>
      </c>
      <c r="K2898" s="103"/>
      <c r="L2898" s="103">
        <v>4.4400000000000002E-2</v>
      </c>
      <c r="O2898" s="100"/>
    </row>
    <row r="2899" spans="2:15" x14ac:dyDescent="0.2">
      <c r="B2899" s="1">
        <v>2884</v>
      </c>
      <c r="C2899" s="101">
        <f ca="1"/>
        <v>-0.82815242411074153</v>
      </c>
      <c r="D2899" s="101">
        <f t="shared" ca="1" si="174"/>
        <v>0.6123769859788335</v>
      </c>
      <c r="E2899" s="101">
        <f t="shared" ca="1" si="175"/>
        <v>0</v>
      </c>
      <c r="F2899" s="21">
        <f t="shared" ca="1" si="176"/>
        <v>0</v>
      </c>
      <c r="H2899" s="21">
        <v>2884</v>
      </c>
      <c r="I2899" s="102">
        <v>0.66783424921710854</v>
      </c>
      <c r="J2899" s="103">
        <v>1.3850806327385544E-3</v>
      </c>
      <c r="K2899" s="103"/>
      <c r="L2899" s="103">
        <v>4.2799999999999998E-2</v>
      </c>
      <c r="O2899" s="100"/>
    </row>
    <row r="2900" spans="2:15" x14ac:dyDescent="0.2">
      <c r="B2900" s="1">
        <v>2885</v>
      </c>
      <c r="C2900" s="101">
        <f ca="1"/>
        <v>-0.45649283906990429</v>
      </c>
      <c r="D2900" s="101">
        <f t="shared" ca="1" si="174"/>
        <v>0.63524393658778222</v>
      </c>
      <c r="E2900" s="101">
        <f t="shared" ca="1" si="175"/>
        <v>0</v>
      </c>
      <c r="F2900" s="21">
        <f t="shared" ca="1" si="176"/>
        <v>0</v>
      </c>
      <c r="H2900" s="21">
        <v>2885</v>
      </c>
      <c r="I2900" s="102">
        <v>0.66763589914956833</v>
      </c>
      <c r="J2900" s="103">
        <v>1.2525460722748424E-3</v>
      </c>
      <c r="K2900" s="103"/>
      <c r="L2900" s="103">
        <v>3.9800000000000002E-2</v>
      </c>
      <c r="O2900" s="100"/>
    </row>
    <row r="2901" spans="2:15" x14ac:dyDescent="0.2">
      <c r="B2901" s="1">
        <v>2886</v>
      </c>
      <c r="C2901" s="101">
        <f ca="1"/>
        <v>0.36420362474925316</v>
      </c>
      <c r="D2901" s="101">
        <f t="shared" ca="1" si="174"/>
        <v>0.68880875564121247</v>
      </c>
      <c r="E2901" s="101">
        <f t="shared" ca="1" si="175"/>
        <v>0</v>
      </c>
      <c r="F2901" s="21">
        <f t="shared" ca="1" si="176"/>
        <v>0</v>
      </c>
      <c r="H2901" s="21">
        <v>2886</v>
      </c>
      <c r="I2901" s="102">
        <v>0.66781842674975689</v>
      </c>
      <c r="J2901" s="103">
        <v>1.3054201049423984E-3</v>
      </c>
      <c r="K2901" s="103"/>
      <c r="L2901" s="103">
        <v>4.24E-2</v>
      </c>
      <c r="O2901" s="100"/>
    </row>
    <row r="2902" spans="2:15" x14ac:dyDescent="0.2">
      <c r="B2902" s="1">
        <v>2887</v>
      </c>
      <c r="C2902" s="101">
        <f ca="1"/>
        <v>-0.49617779604394086</v>
      </c>
      <c r="D2902" s="101">
        <f t="shared" ca="1" si="174"/>
        <v>0.6327620862970843</v>
      </c>
      <c r="E2902" s="101">
        <f t="shared" ca="1" si="175"/>
        <v>0</v>
      </c>
      <c r="F2902" s="21">
        <f t="shared" ca="1" si="176"/>
        <v>0</v>
      </c>
      <c r="H2902" s="21">
        <v>2887</v>
      </c>
      <c r="I2902" s="102">
        <v>0.66751719216364624</v>
      </c>
      <c r="J2902" s="103">
        <v>1.2287957168084979E-3</v>
      </c>
      <c r="K2902" s="103"/>
      <c r="L2902" s="103">
        <v>3.5999999999999997E-2</v>
      </c>
      <c r="O2902" s="100"/>
    </row>
    <row r="2903" spans="2:15" x14ac:dyDescent="0.2">
      <c r="B2903" s="1">
        <v>2888</v>
      </c>
      <c r="C2903" s="101">
        <f ca="1"/>
        <v>0.67958145106279833</v>
      </c>
      <c r="D2903" s="101">
        <f t="shared" ca="1" si="174"/>
        <v>0.71057389857279729</v>
      </c>
      <c r="E2903" s="101">
        <f t="shared" ca="1" si="175"/>
        <v>0</v>
      </c>
      <c r="F2903" s="21">
        <f t="shared" ca="1" si="176"/>
        <v>0</v>
      </c>
      <c r="H2903" s="21">
        <v>2888</v>
      </c>
      <c r="I2903" s="102">
        <v>0.66774609597255308</v>
      </c>
      <c r="J2903" s="103">
        <v>1.4381060867903403E-3</v>
      </c>
      <c r="K2903" s="103"/>
      <c r="L2903" s="103">
        <v>4.3999999999999997E-2</v>
      </c>
      <c r="O2903" s="100"/>
    </row>
    <row r="2904" spans="2:15" x14ac:dyDescent="0.2">
      <c r="B2904" s="1">
        <v>2889</v>
      </c>
      <c r="C2904" s="101">
        <f ca="1"/>
        <v>-1.0760487242091605</v>
      </c>
      <c r="D2904" s="101">
        <f t="shared" ca="1" si="174"/>
        <v>0.59758424120708253</v>
      </c>
      <c r="E2904" s="101">
        <f t="shared" ca="1" si="175"/>
        <v>0</v>
      </c>
      <c r="F2904" s="21">
        <f t="shared" ca="1" si="176"/>
        <v>0</v>
      </c>
      <c r="H2904" s="21">
        <v>2889</v>
      </c>
      <c r="I2904" s="102">
        <v>0.66782562128605671</v>
      </c>
      <c r="J2904" s="103">
        <v>1.4487161212298773E-3</v>
      </c>
      <c r="K2904" s="103"/>
      <c r="L2904" s="103">
        <v>4.4400000000000002E-2</v>
      </c>
      <c r="O2904" s="100"/>
    </row>
    <row r="2905" spans="2:15" x14ac:dyDescent="0.2">
      <c r="B2905" s="1">
        <v>2890</v>
      </c>
      <c r="C2905" s="101">
        <f ca="1"/>
        <v>-0.55036067462505134</v>
      </c>
      <c r="D2905" s="101">
        <f t="shared" ca="1" si="174"/>
        <v>0.62938920264475162</v>
      </c>
      <c r="E2905" s="101">
        <f t="shared" ca="1" si="175"/>
        <v>0</v>
      </c>
      <c r="F2905" s="21">
        <f t="shared" ca="1" si="176"/>
        <v>0</v>
      </c>
      <c r="H2905" s="21">
        <v>2890</v>
      </c>
      <c r="I2905" s="102">
        <v>0.66781032336663282</v>
      </c>
      <c r="J2905" s="103">
        <v>1.4653495988083997E-3</v>
      </c>
      <c r="K2905" s="103"/>
      <c r="L2905" s="103">
        <v>4.4999999999999998E-2</v>
      </c>
      <c r="O2905" s="100"/>
    </row>
    <row r="2906" spans="2:15" x14ac:dyDescent="0.2">
      <c r="B2906" s="1">
        <v>2891</v>
      </c>
      <c r="C2906" s="101">
        <f ca="1"/>
        <v>-0.27502906164278373</v>
      </c>
      <c r="D2906" s="101">
        <f t="shared" ca="1" si="174"/>
        <v>0.64671707075345886</v>
      </c>
      <c r="E2906" s="101">
        <f t="shared" ca="1" si="175"/>
        <v>0</v>
      </c>
      <c r="F2906" s="21">
        <f t="shared" ca="1" si="176"/>
        <v>0</v>
      </c>
      <c r="H2906" s="21">
        <v>2891</v>
      </c>
      <c r="I2906" s="102">
        <v>0.66760325630463491</v>
      </c>
      <c r="J2906" s="103">
        <v>1.2383672218218898E-3</v>
      </c>
      <c r="K2906" s="103"/>
      <c r="L2906" s="103">
        <v>3.9E-2</v>
      </c>
      <c r="O2906" s="100"/>
    </row>
    <row r="2907" spans="2:15" x14ac:dyDescent="0.2">
      <c r="B2907" s="1">
        <v>2892</v>
      </c>
      <c r="C2907" s="101">
        <f ca="1"/>
        <v>0.37405404742042336</v>
      </c>
      <c r="D2907" s="101">
        <f t="shared" ca="1" si="174"/>
        <v>0.68947836796149142</v>
      </c>
      <c r="E2907" s="101">
        <f t="shared" ca="1" si="175"/>
        <v>0</v>
      </c>
      <c r="F2907" s="21">
        <f t="shared" ca="1" si="176"/>
        <v>0</v>
      </c>
      <c r="H2907" s="21">
        <v>2892</v>
      </c>
      <c r="I2907" s="102">
        <v>0.66785145262952406</v>
      </c>
      <c r="J2907" s="103">
        <v>1.5679698007569707E-3</v>
      </c>
      <c r="K2907" s="103"/>
      <c r="L2907" s="103">
        <v>4.4200000000000003E-2</v>
      </c>
      <c r="O2907" s="100"/>
    </row>
    <row r="2908" spans="2:15" x14ac:dyDescent="0.2">
      <c r="B2908" s="1">
        <v>2893</v>
      </c>
      <c r="C2908" s="101">
        <f ca="1"/>
        <v>-1.49439598607468</v>
      </c>
      <c r="D2908" s="101">
        <f t="shared" ca="1" si="174"/>
        <v>0.57342602225376849</v>
      </c>
      <c r="E2908" s="101">
        <f t="shared" ca="1" si="175"/>
        <v>0</v>
      </c>
      <c r="F2908" s="21">
        <f t="shared" ca="1" si="176"/>
        <v>0</v>
      </c>
      <c r="H2908" s="21">
        <v>2893</v>
      </c>
      <c r="I2908" s="102">
        <v>0.6677226408825504</v>
      </c>
      <c r="J2908" s="103">
        <v>1.2866231882490693E-3</v>
      </c>
      <c r="K2908" s="103"/>
      <c r="L2908" s="103">
        <v>3.9800000000000002E-2</v>
      </c>
      <c r="O2908" s="100"/>
    </row>
    <row r="2909" spans="2:15" x14ac:dyDescent="0.2">
      <c r="B2909" s="1">
        <v>2894</v>
      </c>
      <c r="C2909" s="101">
        <f ca="1"/>
        <v>-0.48208247443099134</v>
      </c>
      <c r="D2909" s="101">
        <f t="shared" ca="1" si="174"/>
        <v>0.63364247871161405</v>
      </c>
      <c r="E2909" s="101">
        <f t="shared" ca="1" si="175"/>
        <v>0</v>
      </c>
      <c r="F2909" s="21">
        <f t="shared" ca="1" si="176"/>
        <v>0</v>
      </c>
      <c r="H2909" s="21">
        <v>2894</v>
      </c>
      <c r="I2909" s="102">
        <v>0.66784591654408221</v>
      </c>
      <c r="J2909" s="103">
        <v>1.563363776500738E-3</v>
      </c>
      <c r="K2909" s="103"/>
      <c r="L2909" s="103">
        <v>4.5999999999999999E-2</v>
      </c>
      <c r="O2909" s="100"/>
    </row>
    <row r="2910" spans="2:15" x14ac:dyDescent="0.2">
      <c r="B2910" s="1">
        <v>2895</v>
      </c>
      <c r="C2910" s="101">
        <f ca="1"/>
        <v>0.84273415960338749</v>
      </c>
      <c r="D2910" s="101">
        <f t="shared" ca="1" si="174"/>
        <v>0.72210210665412666</v>
      </c>
      <c r="E2910" s="101">
        <f t="shared" ca="1" si="175"/>
        <v>0</v>
      </c>
      <c r="F2910" s="21">
        <f t="shared" ca="1" si="176"/>
        <v>0</v>
      </c>
      <c r="H2910" s="21">
        <v>2895</v>
      </c>
      <c r="I2910" s="102">
        <v>0.66781704565796984</v>
      </c>
      <c r="J2910" s="103">
        <v>1.3334333743869134E-3</v>
      </c>
      <c r="K2910" s="103"/>
      <c r="L2910" s="103">
        <v>4.1799999999999997E-2</v>
      </c>
      <c r="O2910" s="100"/>
    </row>
    <row r="2911" spans="2:15" x14ac:dyDescent="0.2">
      <c r="B2911" s="1">
        <v>2896</v>
      </c>
      <c r="C2911" s="101">
        <f ca="1"/>
        <v>0.41716108672804009</v>
      </c>
      <c r="D2911" s="101">
        <f t="shared" ca="1" si="174"/>
        <v>0.69241636536611917</v>
      </c>
      <c r="E2911" s="101">
        <f t="shared" ca="1" si="175"/>
        <v>0</v>
      </c>
      <c r="F2911" s="21">
        <f t="shared" ca="1" si="176"/>
        <v>0</v>
      </c>
      <c r="H2911" s="21">
        <v>2896</v>
      </c>
      <c r="I2911" s="102">
        <v>0.66765553487176377</v>
      </c>
      <c r="J2911" s="103">
        <v>1.3667364517739363E-3</v>
      </c>
      <c r="K2911" s="103"/>
      <c r="L2911" s="103">
        <v>4.02E-2</v>
      </c>
      <c r="O2911" s="100"/>
    </row>
    <row r="2912" spans="2:15" x14ac:dyDescent="0.2">
      <c r="B2912" s="1">
        <v>2897</v>
      </c>
      <c r="C2912" s="101">
        <f ca="1"/>
        <v>-1.857942413718674</v>
      </c>
      <c r="D2912" s="101">
        <f t="shared" ca="1" si="174"/>
        <v>0.55322690465301116</v>
      </c>
      <c r="E2912" s="101">
        <f t="shared" ca="1" si="175"/>
        <v>0</v>
      </c>
      <c r="F2912" s="21">
        <f t="shared" ca="1" si="176"/>
        <v>0</v>
      </c>
      <c r="H2912" s="21">
        <v>2897</v>
      </c>
      <c r="I2912" s="102">
        <v>0.66773279476030345</v>
      </c>
      <c r="J2912" s="103">
        <v>1.359511550804673E-3</v>
      </c>
      <c r="K2912" s="103"/>
      <c r="L2912" s="103">
        <v>4.36E-2</v>
      </c>
      <c r="O2912" s="100"/>
    </row>
    <row r="2913" spans="2:15" x14ac:dyDescent="0.2">
      <c r="B2913" s="1">
        <v>2898</v>
      </c>
      <c r="C2913" s="101">
        <f ca="1"/>
        <v>0.77301056962894332</v>
      </c>
      <c r="D2913" s="101">
        <f t="shared" ca="1" si="174"/>
        <v>0.71715279671821286</v>
      </c>
      <c r="E2913" s="101">
        <f t="shared" ca="1" si="175"/>
        <v>0</v>
      </c>
      <c r="F2913" s="21">
        <f t="shared" ca="1" si="176"/>
        <v>0</v>
      </c>
      <c r="H2913" s="21">
        <v>2898</v>
      </c>
      <c r="I2913" s="102">
        <v>0.66786636168984836</v>
      </c>
      <c r="J2913" s="103">
        <v>1.3226943015539252E-3</v>
      </c>
      <c r="K2913" s="103"/>
      <c r="L2913" s="103">
        <v>4.1599999999999998E-2</v>
      </c>
      <c r="O2913" s="100"/>
    </row>
    <row r="2914" spans="2:15" x14ac:dyDescent="0.2">
      <c r="B2914" s="1">
        <v>2899</v>
      </c>
      <c r="C2914" s="101">
        <f ca="1"/>
        <v>0.88029215149227524</v>
      </c>
      <c r="D2914" s="101">
        <f t="shared" ca="1" si="174"/>
        <v>0.72478229062462407</v>
      </c>
      <c r="E2914" s="101">
        <f t="shared" ca="1" si="175"/>
        <v>0</v>
      </c>
      <c r="F2914" s="21">
        <f t="shared" ca="1" si="176"/>
        <v>0</v>
      </c>
      <c r="H2914" s="21">
        <v>2899</v>
      </c>
      <c r="I2914" s="102">
        <v>0.66775126122301753</v>
      </c>
      <c r="J2914" s="103">
        <v>1.4863177576170629E-3</v>
      </c>
      <c r="K2914" s="103"/>
      <c r="L2914" s="103">
        <v>4.1599999999999998E-2</v>
      </c>
      <c r="O2914" s="100"/>
    </row>
    <row r="2915" spans="2:15" x14ac:dyDescent="0.2">
      <c r="B2915" s="1">
        <v>2900</v>
      </c>
      <c r="C2915" s="101">
        <f ca="1"/>
        <v>0.13432177442663948</v>
      </c>
      <c r="D2915" s="101">
        <f t="shared" ca="1" si="174"/>
        <v>0.67336519101011894</v>
      </c>
      <c r="E2915" s="101">
        <f t="shared" ca="1" si="175"/>
        <v>0</v>
      </c>
      <c r="F2915" s="21">
        <f t="shared" ca="1" si="176"/>
        <v>0</v>
      </c>
      <c r="H2915" s="21">
        <v>2900</v>
      </c>
      <c r="I2915" s="102">
        <v>0.66778986759529102</v>
      </c>
      <c r="J2915" s="103">
        <v>1.4550466380931024E-3</v>
      </c>
      <c r="K2915" s="103"/>
      <c r="L2915" s="103">
        <v>4.2200000000000001E-2</v>
      </c>
      <c r="O2915" s="100"/>
    </row>
    <row r="2916" spans="2:15" x14ac:dyDescent="0.2">
      <c r="B2916" s="1">
        <v>2901</v>
      </c>
      <c r="C2916" s="101">
        <f ca="1"/>
        <v>-9.1820323726026401E-2</v>
      </c>
      <c r="D2916" s="101">
        <f t="shared" ca="1" si="174"/>
        <v>0.65851075762873301</v>
      </c>
      <c r="E2916" s="101">
        <f t="shared" ca="1" si="175"/>
        <v>0</v>
      </c>
      <c r="F2916" s="21">
        <f t="shared" ca="1" si="176"/>
        <v>0</v>
      </c>
      <c r="H2916" s="21">
        <v>2901</v>
      </c>
      <c r="I2916" s="102">
        <v>0.66767752346796783</v>
      </c>
      <c r="J2916" s="103">
        <v>1.2932279006371953E-3</v>
      </c>
      <c r="K2916" s="103"/>
      <c r="L2916" s="103">
        <v>4.0399999999999998E-2</v>
      </c>
      <c r="O2916" s="100"/>
    </row>
    <row r="2917" spans="2:15" x14ac:dyDescent="0.2">
      <c r="B2917" s="1">
        <v>2902</v>
      </c>
      <c r="C2917" s="101">
        <f ca="1"/>
        <v>-0.15928918597593236</v>
      </c>
      <c r="D2917" s="101">
        <f t="shared" ca="1" si="174"/>
        <v>0.65414277602514292</v>
      </c>
      <c r="E2917" s="101">
        <f t="shared" ca="1" si="175"/>
        <v>0</v>
      </c>
      <c r="F2917" s="21">
        <f t="shared" ca="1" si="176"/>
        <v>0</v>
      </c>
      <c r="H2917" s="21">
        <v>2902</v>
      </c>
      <c r="I2917" s="102">
        <v>0.66766610067259458</v>
      </c>
      <c r="J2917" s="103">
        <v>1.2389178450841808E-3</v>
      </c>
      <c r="K2917" s="103"/>
      <c r="L2917" s="103">
        <v>3.8800000000000001E-2</v>
      </c>
      <c r="O2917" s="100"/>
    </row>
    <row r="2918" spans="2:15" x14ac:dyDescent="0.2">
      <c r="B2918" s="1">
        <v>2903</v>
      </c>
      <c r="C2918" s="101">
        <f ca="1"/>
        <v>-0.41908919021528201</v>
      </c>
      <c r="D2918" s="101">
        <f t="shared" ca="1" si="174"/>
        <v>0.63759202703235385</v>
      </c>
      <c r="E2918" s="101">
        <f t="shared" ca="1" si="175"/>
        <v>0</v>
      </c>
      <c r="F2918" s="21">
        <f t="shared" ca="1" si="176"/>
        <v>0</v>
      </c>
      <c r="H2918" s="21">
        <v>2903</v>
      </c>
      <c r="I2918" s="102">
        <v>0.66779586973292493</v>
      </c>
      <c r="J2918" s="103">
        <v>1.4016437447117243E-3</v>
      </c>
      <c r="K2918" s="103"/>
      <c r="L2918" s="103">
        <v>4.7199999999999999E-2</v>
      </c>
      <c r="O2918" s="100"/>
    </row>
    <row r="2919" spans="2:15" x14ac:dyDescent="0.2">
      <c r="B2919" s="1">
        <v>2904</v>
      </c>
      <c r="C2919" s="101">
        <f ca="1"/>
        <v>-1.0480145178125915</v>
      </c>
      <c r="D2919" s="101">
        <f t="shared" ca="1" si="174"/>
        <v>0.59923904659319105</v>
      </c>
      <c r="E2919" s="101">
        <f t="shared" ca="1" si="175"/>
        <v>0</v>
      </c>
      <c r="F2919" s="21">
        <f t="shared" ca="1" si="176"/>
        <v>0</v>
      </c>
      <c r="H2919" s="21">
        <v>2904</v>
      </c>
      <c r="I2919" s="102">
        <v>0.66770260215644994</v>
      </c>
      <c r="J2919" s="103">
        <v>1.3598475505009113E-3</v>
      </c>
      <c r="K2919" s="103"/>
      <c r="L2919" s="103">
        <v>4.1599999999999998E-2</v>
      </c>
      <c r="O2919" s="100"/>
    </row>
    <row r="2920" spans="2:15" x14ac:dyDescent="0.2">
      <c r="B2920" s="1">
        <v>2905</v>
      </c>
      <c r="C2920" s="101">
        <f ca="1"/>
        <v>0.4885579701179017</v>
      </c>
      <c r="D2920" s="101">
        <f t="shared" ca="1" si="174"/>
        <v>0.69731004658924356</v>
      </c>
      <c r="E2920" s="101">
        <f t="shared" ca="1" si="175"/>
        <v>0</v>
      </c>
      <c r="F2920" s="21">
        <f t="shared" ca="1" si="176"/>
        <v>0</v>
      </c>
      <c r="H2920" s="21">
        <v>2905</v>
      </c>
      <c r="I2920" s="102">
        <v>0.66776766560219991</v>
      </c>
      <c r="J2920" s="103">
        <v>1.5679500204861738E-3</v>
      </c>
      <c r="K2920" s="103"/>
      <c r="L2920" s="103">
        <v>4.24E-2</v>
      </c>
      <c r="O2920" s="100"/>
    </row>
    <row r="2921" spans="2:15" x14ac:dyDescent="0.2">
      <c r="B2921" s="1">
        <v>2906</v>
      </c>
      <c r="C2921" s="101">
        <f ca="1"/>
        <v>1.2944486403525874</v>
      </c>
      <c r="D2921" s="101">
        <f t="shared" ca="1" si="174"/>
        <v>0.75500492023943155</v>
      </c>
      <c r="E2921" s="101">
        <f t="shared" ca="1" si="175"/>
        <v>0</v>
      </c>
      <c r="F2921" s="21">
        <f t="shared" ca="1" si="176"/>
        <v>0</v>
      </c>
      <c r="H2921" s="21">
        <v>2906</v>
      </c>
      <c r="I2921" s="102">
        <v>0.66780316819665109</v>
      </c>
      <c r="J2921" s="103">
        <v>1.4044702721524081E-3</v>
      </c>
      <c r="K2921" s="103"/>
      <c r="L2921" s="103">
        <v>4.0599999999999997E-2</v>
      </c>
      <c r="O2921" s="100"/>
    </row>
    <row r="2922" spans="2:15" x14ac:dyDescent="0.2">
      <c r="B2922" s="1">
        <v>2907</v>
      </c>
      <c r="C2922" s="101">
        <f ca="1"/>
        <v>1.6564795990192187</v>
      </c>
      <c r="D2922" s="101">
        <f t="shared" ca="1" si="174"/>
        <v>0.78245427001603862</v>
      </c>
      <c r="E2922" s="101">
        <f t="shared" ca="1" si="175"/>
        <v>0</v>
      </c>
      <c r="F2922" s="21">
        <f t="shared" ca="1" si="176"/>
        <v>0</v>
      </c>
      <c r="H2922" s="21">
        <v>2907</v>
      </c>
      <c r="I2922" s="102">
        <v>0.66792894660193092</v>
      </c>
      <c r="J2922" s="103">
        <v>1.5898244093686511E-3</v>
      </c>
      <c r="K2922" s="103"/>
      <c r="L2922" s="103">
        <v>4.7199999999999999E-2</v>
      </c>
      <c r="O2922" s="100"/>
    </row>
    <row r="2923" spans="2:15" x14ac:dyDescent="0.2">
      <c r="B2923" s="1">
        <v>2908</v>
      </c>
      <c r="C2923" s="101">
        <f ca="1"/>
        <v>0.53935234385792008</v>
      </c>
      <c r="D2923" s="101">
        <f t="shared" ca="1" si="174"/>
        <v>0.70081263323337784</v>
      </c>
      <c r="E2923" s="101">
        <f t="shared" ca="1" si="175"/>
        <v>0</v>
      </c>
      <c r="F2923" s="21">
        <f t="shared" ca="1" si="176"/>
        <v>0</v>
      </c>
      <c r="H2923" s="21">
        <v>2908</v>
      </c>
      <c r="I2923" s="102">
        <v>0.66765969937420777</v>
      </c>
      <c r="J2923" s="103">
        <v>1.2482649260947838E-3</v>
      </c>
      <c r="K2923" s="103"/>
      <c r="L2923" s="103">
        <v>4.3200000000000002E-2</v>
      </c>
      <c r="O2923" s="100"/>
    </row>
    <row r="2924" spans="2:15" x14ac:dyDescent="0.2">
      <c r="B2924" s="1">
        <v>2909</v>
      </c>
      <c r="C2924" s="101">
        <f ca="1"/>
        <v>2.7326366411561245</v>
      </c>
      <c r="D2924" s="101">
        <f t="shared" ca="1" si="174"/>
        <v>0.87008337222556442</v>
      </c>
      <c r="E2924" s="101">
        <f t="shared" ca="1" si="175"/>
        <v>8.188337222556441E-2</v>
      </c>
      <c r="F2924" s="21">
        <f t="shared" ca="1" si="176"/>
        <v>1</v>
      </c>
      <c r="H2924" s="21">
        <v>2909</v>
      </c>
      <c r="I2924" s="102">
        <v>0.66773523895371867</v>
      </c>
      <c r="J2924" s="103">
        <v>1.3672621619029905E-3</v>
      </c>
      <c r="K2924" s="103"/>
      <c r="L2924" s="103">
        <v>4.2200000000000001E-2</v>
      </c>
      <c r="O2924" s="100"/>
    </row>
    <row r="2925" spans="2:15" x14ac:dyDescent="0.2">
      <c r="B2925" s="1">
        <v>2910</v>
      </c>
      <c r="C2925" s="101">
        <f ca="1"/>
        <v>-0.26711917454147555</v>
      </c>
      <c r="D2925" s="101">
        <f t="shared" ca="1" si="174"/>
        <v>0.64722186331722242</v>
      </c>
      <c r="E2925" s="101">
        <f t="shared" ca="1" si="175"/>
        <v>0</v>
      </c>
      <c r="F2925" s="21">
        <f t="shared" ca="1" si="176"/>
        <v>0</v>
      </c>
      <c r="H2925" s="21">
        <v>2910</v>
      </c>
      <c r="I2925" s="102">
        <v>0.66776513425442341</v>
      </c>
      <c r="J2925" s="103">
        <v>1.4196752596532939E-3</v>
      </c>
      <c r="K2925" s="103"/>
      <c r="L2925" s="103">
        <v>4.2799999999999998E-2</v>
      </c>
      <c r="O2925" s="100"/>
    </row>
    <row r="2926" spans="2:15" x14ac:dyDescent="0.2">
      <c r="B2926" s="1">
        <v>2911</v>
      </c>
      <c r="C2926" s="101">
        <f ca="1"/>
        <v>0.19360745854098929</v>
      </c>
      <c r="D2926" s="101">
        <f t="shared" ca="1" si="174"/>
        <v>0.67731457988496702</v>
      </c>
      <c r="E2926" s="101">
        <f t="shared" ca="1" si="175"/>
        <v>0</v>
      </c>
      <c r="F2926" s="21">
        <f t="shared" ca="1" si="176"/>
        <v>0</v>
      </c>
      <c r="H2926" s="21">
        <v>2911</v>
      </c>
      <c r="I2926" s="102">
        <v>0.66779658111745344</v>
      </c>
      <c r="J2926" s="103">
        <v>1.3669443597718789E-3</v>
      </c>
      <c r="K2926" s="103"/>
      <c r="L2926" s="103">
        <v>4.2200000000000001E-2</v>
      </c>
      <c r="O2926" s="100"/>
    </row>
    <row r="2927" spans="2:15" x14ac:dyDescent="0.2">
      <c r="B2927" s="1">
        <v>2912</v>
      </c>
      <c r="C2927" s="101">
        <f ca="1"/>
        <v>0.44220789424494983</v>
      </c>
      <c r="D2927" s="101">
        <f t="shared" ca="1" si="174"/>
        <v>0.69412919910202797</v>
      </c>
      <c r="E2927" s="101">
        <f t="shared" ca="1" si="175"/>
        <v>0</v>
      </c>
      <c r="F2927" s="21">
        <f t="shared" ca="1" si="176"/>
        <v>0</v>
      </c>
      <c r="H2927" s="21">
        <v>2912</v>
      </c>
      <c r="I2927" s="102">
        <v>0.66775018357429938</v>
      </c>
      <c r="J2927" s="103">
        <v>1.3892591948047074E-3</v>
      </c>
      <c r="K2927" s="103"/>
      <c r="L2927" s="103">
        <v>4.36E-2</v>
      </c>
      <c r="O2927" s="100"/>
    </row>
    <row r="2928" spans="2:15" x14ac:dyDescent="0.2">
      <c r="B2928" s="1">
        <v>2913</v>
      </c>
      <c r="C2928" s="101">
        <f ca="1"/>
        <v>-0.33419951977691226</v>
      </c>
      <c r="D2928" s="101">
        <f t="shared" ca="1" si="174"/>
        <v>0.64295340228364461</v>
      </c>
      <c r="E2928" s="101">
        <f t="shared" ca="1" si="175"/>
        <v>0</v>
      </c>
      <c r="F2928" s="21">
        <f t="shared" ca="1" si="176"/>
        <v>0</v>
      </c>
      <c r="H2928" s="21">
        <v>2913</v>
      </c>
      <c r="I2928" s="102">
        <v>0.66776810748999893</v>
      </c>
      <c r="J2928" s="103">
        <v>1.3928212649283818E-3</v>
      </c>
      <c r="K2928" s="103"/>
      <c r="L2928" s="103">
        <v>4.3999999999999997E-2</v>
      </c>
      <c r="O2928" s="100"/>
    </row>
    <row r="2929" spans="2:15" x14ac:dyDescent="0.2">
      <c r="B2929" s="1">
        <v>2914</v>
      </c>
      <c r="C2929" s="101">
        <f ca="1"/>
        <v>-3.9692925410971983E-2</v>
      </c>
      <c r="D2929" s="101">
        <f t="shared" ca="1" si="174"/>
        <v>0.66190548463837673</v>
      </c>
      <c r="E2929" s="101">
        <f t="shared" ca="1" si="175"/>
        <v>0</v>
      </c>
      <c r="F2929" s="21">
        <f t="shared" ca="1" si="176"/>
        <v>0</v>
      </c>
      <c r="H2929" s="21">
        <v>2914</v>
      </c>
      <c r="I2929" s="102">
        <v>0.66782111675473899</v>
      </c>
      <c r="J2929" s="103">
        <v>1.523435807946705E-3</v>
      </c>
      <c r="K2929" s="103"/>
      <c r="L2929" s="103">
        <v>4.2799999999999998E-2</v>
      </c>
      <c r="O2929" s="100"/>
    </row>
    <row r="2930" spans="2:15" x14ac:dyDescent="0.2">
      <c r="B2930" s="1">
        <v>2915</v>
      </c>
      <c r="C2930" s="101">
        <f ca="1"/>
        <v>0.36374603666194488</v>
      </c>
      <c r="D2930" s="101">
        <f t="shared" ca="1" si="174"/>
        <v>0.68877766551623221</v>
      </c>
      <c r="E2930" s="101">
        <f t="shared" ca="1" si="175"/>
        <v>0</v>
      </c>
      <c r="F2930" s="21">
        <f t="shared" ca="1" si="176"/>
        <v>0</v>
      </c>
      <c r="H2930" s="21">
        <v>2915</v>
      </c>
      <c r="I2930" s="102">
        <v>0.66793052582409096</v>
      </c>
      <c r="J2930" s="103">
        <v>1.4910439066013936E-3</v>
      </c>
      <c r="K2930" s="103"/>
      <c r="L2930" s="103">
        <v>4.5400000000000003E-2</v>
      </c>
      <c r="O2930" s="100"/>
    </row>
    <row r="2931" spans="2:15" x14ac:dyDescent="0.2">
      <c r="B2931" s="1">
        <v>2916</v>
      </c>
      <c r="C2931" s="101">
        <f ca="1"/>
        <v>0.31149448075933667</v>
      </c>
      <c r="D2931" s="101">
        <f t="shared" ca="1" si="174"/>
        <v>0.6852367264582212</v>
      </c>
      <c r="E2931" s="101">
        <f t="shared" ca="1" si="175"/>
        <v>0</v>
      </c>
      <c r="F2931" s="21">
        <f t="shared" ca="1" si="176"/>
        <v>0</v>
      </c>
      <c r="H2931" s="21">
        <v>2916</v>
      </c>
      <c r="I2931" s="102">
        <v>0.66778273824306156</v>
      </c>
      <c r="J2931" s="103">
        <v>1.4492403499335106E-3</v>
      </c>
      <c r="K2931" s="103"/>
      <c r="L2931" s="103">
        <v>4.4999999999999998E-2</v>
      </c>
      <c r="O2931" s="100"/>
    </row>
    <row r="2932" spans="2:15" x14ac:dyDescent="0.2">
      <c r="B2932" s="1">
        <v>2917</v>
      </c>
      <c r="C2932" s="101">
        <f ca="1"/>
        <v>1.4900857368175908</v>
      </c>
      <c r="D2932" s="101">
        <f t="shared" ca="1" si="174"/>
        <v>0.76971642566970544</v>
      </c>
      <c r="E2932" s="101">
        <f t="shared" ca="1" si="175"/>
        <v>0</v>
      </c>
      <c r="F2932" s="21">
        <f t="shared" ca="1" si="176"/>
        <v>0</v>
      </c>
      <c r="H2932" s="21">
        <v>2917</v>
      </c>
      <c r="I2932" s="102">
        <v>0.6677773743244505</v>
      </c>
      <c r="J2932" s="103">
        <v>1.3079879704753982E-3</v>
      </c>
      <c r="K2932" s="103"/>
      <c r="L2932" s="103">
        <v>4.0800000000000003E-2</v>
      </c>
      <c r="O2932" s="100"/>
    </row>
    <row r="2933" spans="2:15" x14ac:dyDescent="0.2">
      <c r="B2933" s="1">
        <v>2918</v>
      </c>
      <c r="C2933" s="101">
        <f ca="1"/>
        <v>0.32958747261840959</v>
      </c>
      <c r="D2933" s="101">
        <f t="shared" ca="1" si="174"/>
        <v>0.68646077185239107</v>
      </c>
      <c r="E2933" s="101">
        <f t="shared" ca="1" si="175"/>
        <v>0</v>
      </c>
      <c r="F2933" s="21">
        <f t="shared" ca="1" si="176"/>
        <v>0</v>
      </c>
      <c r="H2933" s="21">
        <v>2918</v>
      </c>
      <c r="I2933" s="102">
        <v>0.66768119152826189</v>
      </c>
      <c r="J2933" s="103">
        <v>1.3376470301212585E-3</v>
      </c>
      <c r="K2933" s="103"/>
      <c r="L2933" s="103">
        <v>4.2000000000000003E-2</v>
      </c>
      <c r="O2933" s="100"/>
    </row>
    <row r="2934" spans="2:15" x14ac:dyDescent="0.2">
      <c r="B2934" s="1">
        <v>2919</v>
      </c>
      <c r="C2934" s="101">
        <f ca="1"/>
        <v>1.7269839826514797</v>
      </c>
      <c r="D2934" s="101">
        <f t="shared" ca="1" si="174"/>
        <v>0.78791492884097059</v>
      </c>
      <c r="E2934" s="101">
        <f t="shared" ca="1" si="175"/>
        <v>0</v>
      </c>
      <c r="F2934" s="21">
        <f t="shared" ca="1" si="176"/>
        <v>0</v>
      </c>
      <c r="H2934" s="21">
        <v>2919</v>
      </c>
      <c r="I2934" s="102">
        <v>0.66772185924646332</v>
      </c>
      <c r="J2934" s="103">
        <v>1.2471171472727876E-3</v>
      </c>
      <c r="K2934" s="103"/>
      <c r="L2934" s="103">
        <v>3.9E-2</v>
      </c>
      <c r="O2934" s="100"/>
    </row>
    <row r="2935" spans="2:15" x14ac:dyDescent="0.2">
      <c r="B2935" s="1">
        <v>2920</v>
      </c>
      <c r="C2935" s="101">
        <f ca="1"/>
        <v>0.32512357875683218</v>
      </c>
      <c r="D2935" s="101">
        <f t="shared" ca="1" si="174"/>
        <v>0.6861585729566656</v>
      </c>
      <c r="E2935" s="101">
        <f t="shared" ca="1" si="175"/>
        <v>0</v>
      </c>
      <c r="F2935" s="21">
        <f t="shared" ca="1" si="176"/>
        <v>0</v>
      </c>
      <c r="H2935" s="21">
        <v>2920</v>
      </c>
      <c r="I2935" s="102">
        <v>0.66770928105221772</v>
      </c>
      <c r="J2935" s="103">
        <v>1.2752212778690192E-3</v>
      </c>
      <c r="K2935" s="103"/>
      <c r="L2935" s="103">
        <v>4.0599999999999997E-2</v>
      </c>
      <c r="O2935" s="100"/>
    </row>
    <row r="2936" spans="2:15" x14ac:dyDescent="0.2">
      <c r="B2936" s="1">
        <v>2921</v>
      </c>
      <c r="C2936" s="101">
        <f ca="1"/>
        <v>-0.58312893247329811</v>
      </c>
      <c r="D2936" s="101">
        <f t="shared" ca="1" si="174"/>
        <v>0.62735810948154336</v>
      </c>
      <c r="E2936" s="101">
        <f t="shared" ca="1" si="175"/>
        <v>0</v>
      </c>
      <c r="F2936" s="21">
        <f t="shared" ca="1" si="176"/>
        <v>0</v>
      </c>
      <c r="H2936" s="21">
        <v>2921</v>
      </c>
      <c r="I2936" s="102">
        <v>0.66786371215316143</v>
      </c>
      <c r="J2936" s="103">
        <v>1.4539509730533016E-3</v>
      </c>
      <c r="K2936" s="103"/>
      <c r="L2936" s="103">
        <v>4.4400000000000002E-2</v>
      </c>
      <c r="O2936" s="100"/>
    </row>
    <row r="2937" spans="2:15" x14ac:dyDescent="0.2">
      <c r="B2937" s="1">
        <v>2922</v>
      </c>
      <c r="C2937" s="101">
        <f ca="1"/>
        <v>-0.92602124185810997</v>
      </c>
      <c r="D2937" s="101">
        <f t="shared" ca="1" si="174"/>
        <v>0.60649359825153937</v>
      </c>
      <c r="E2937" s="101">
        <f t="shared" ca="1" si="175"/>
        <v>0</v>
      </c>
      <c r="F2937" s="21">
        <f t="shared" ca="1" si="176"/>
        <v>0</v>
      </c>
      <c r="H2937" s="21">
        <v>2922</v>
      </c>
      <c r="I2937" s="102">
        <v>0.66775551978718961</v>
      </c>
      <c r="J2937" s="103">
        <v>1.3626131325025735E-3</v>
      </c>
      <c r="K2937" s="103"/>
      <c r="L2937" s="103">
        <v>4.1599999999999998E-2</v>
      </c>
      <c r="O2937" s="100"/>
    </row>
    <row r="2938" spans="2:15" x14ac:dyDescent="0.2">
      <c r="B2938" s="1">
        <v>2923</v>
      </c>
      <c r="C2938" s="101">
        <f ca="1"/>
        <v>-0.36879283156789694</v>
      </c>
      <c r="D2938" s="101">
        <f t="shared" ca="1" si="174"/>
        <v>0.64076317203149236</v>
      </c>
      <c r="E2938" s="101">
        <f t="shared" ca="1" si="175"/>
        <v>0</v>
      </c>
      <c r="F2938" s="21">
        <f t="shared" ca="1" si="176"/>
        <v>0</v>
      </c>
      <c r="H2938" s="21">
        <v>2923</v>
      </c>
      <c r="I2938" s="102">
        <v>0.66757880775072309</v>
      </c>
      <c r="J2938" s="103">
        <v>1.2125222890810626E-3</v>
      </c>
      <c r="K2938" s="103"/>
      <c r="L2938" s="103">
        <v>3.8600000000000002E-2</v>
      </c>
      <c r="O2938" s="100"/>
    </row>
    <row r="2939" spans="2:15" x14ac:dyDescent="0.2">
      <c r="B2939" s="1">
        <v>2924</v>
      </c>
      <c r="C2939" s="101">
        <f ca="1"/>
        <v>-7.7892351153641973E-2</v>
      </c>
      <c r="D2939" s="101">
        <f t="shared" ca="1" si="174"/>
        <v>0.65941608999023626</v>
      </c>
      <c r="E2939" s="101">
        <f t="shared" ca="1" si="175"/>
        <v>0</v>
      </c>
      <c r="F2939" s="21">
        <f t="shared" ca="1" si="176"/>
        <v>0</v>
      </c>
      <c r="H2939" s="21">
        <v>2924</v>
      </c>
      <c r="I2939" s="102">
        <v>0.66777192131708729</v>
      </c>
      <c r="J2939" s="103">
        <v>1.3152564456890732E-3</v>
      </c>
      <c r="K2939" s="103"/>
      <c r="L2939" s="103">
        <v>4.2200000000000001E-2</v>
      </c>
      <c r="O2939" s="100"/>
    </row>
    <row r="2940" spans="2:15" x14ac:dyDescent="0.2">
      <c r="B2940" s="1">
        <v>2925</v>
      </c>
      <c r="C2940" s="101">
        <f ca="1"/>
        <v>0.3052154149544849</v>
      </c>
      <c r="D2940" s="101">
        <f t="shared" ca="1" si="174"/>
        <v>0.68481243911355161</v>
      </c>
      <c r="E2940" s="101">
        <f t="shared" ca="1" si="175"/>
        <v>0</v>
      </c>
      <c r="F2940" s="21">
        <f t="shared" ca="1" si="176"/>
        <v>0</v>
      </c>
      <c r="H2940" s="21">
        <v>2925</v>
      </c>
      <c r="I2940" s="102">
        <v>0.66778842757485679</v>
      </c>
      <c r="J2940" s="103">
        <v>1.3768396709611529E-3</v>
      </c>
      <c r="K2940" s="103"/>
      <c r="L2940" s="103">
        <v>4.1000000000000002E-2</v>
      </c>
      <c r="O2940" s="100"/>
    </row>
    <row r="2941" spans="2:15" x14ac:dyDescent="0.2">
      <c r="B2941" s="1">
        <v>2926</v>
      </c>
      <c r="C2941" s="101">
        <f ca="1"/>
        <v>-1.3192041457255581</v>
      </c>
      <c r="D2941" s="101">
        <f t="shared" ca="1" si="174"/>
        <v>0.58342160531005327</v>
      </c>
      <c r="E2941" s="101">
        <f t="shared" ca="1" si="175"/>
        <v>0</v>
      </c>
      <c r="F2941" s="21">
        <f t="shared" ca="1" si="176"/>
        <v>0</v>
      </c>
      <c r="H2941" s="21">
        <v>2926</v>
      </c>
      <c r="I2941" s="102">
        <v>0.66790187590983507</v>
      </c>
      <c r="J2941" s="103">
        <v>1.5688403967165352E-3</v>
      </c>
      <c r="K2941" s="103"/>
      <c r="L2941" s="103">
        <v>4.4200000000000003E-2</v>
      </c>
      <c r="O2941" s="100"/>
    </row>
    <row r="2942" spans="2:15" x14ac:dyDescent="0.2">
      <c r="B2942" s="1">
        <v>2927</v>
      </c>
      <c r="C2942" s="101">
        <f ca="1"/>
        <v>-0.51274796581546389</v>
      </c>
      <c r="D2942" s="101">
        <f t="shared" ca="1" si="174"/>
        <v>0.63172867922704579</v>
      </c>
      <c r="E2942" s="101">
        <f t="shared" ca="1" si="175"/>
        <v>0</v>
      </c>
      <c r="F2942" s="21">
        <f t="shared" ca="1" si="176"/>
        <v>0</v>
      </c>
      <c r="H2942" s="21">
        <v>2927</v>
      </c>
      <c r="I2942" s="102">
        <v>0.66782606226444496</v>
      </c>
      <c r="J2942" s="103">
        <v>1.4938015984847237E-3</v>
      </c>
      <c r="K2942" s="103"/>
      <c r="L2942" s="103">
        <v>4.4200000000000003E-2</v>
      </c>
      <c r="O2942" s="100"/>
    </row>
    <row r="2943" spans="2:15" x14ac:dyDescent="0.2">
      <c r="B2943" s="1">
        <v>2928</v>
      </c>
      <c r="C2943" s="101">
        <f ca="1"/>
        <v>-1.6381618889156491</v>
      </c>
      <c r="D2943" s="101">
        <f t="shared" ca="1" si="174"/>
        <v>0.56535150787919652</v>
      </c>
      <c r="E2943" s="101">
        <f t="shared" ca="1" si="175"/>
        <v>0</v>
      </c>
      <c r="F2943" s="21">
        <f t="shared" ca="1" si="176"/>
        <v>0</v>
      </c>
      <c r="H2943" s="21">
        <v>2928</v>
      </c>
      <c r="I2943" s="102">
        <v>0.66762491560516801</v>
      </c>
      <c r="J2943" s="103">
        <v>1.2963591615183137E-3</v>
      </c>
      <c r="K2943" s="103"/>
      <c r="L2943" s="103">
        <v>3.6400000000000002E-2</v>
      </c>
      <c r="O2943" s="100"/>
    </row>
    <row r="2944" spans="2:15" x14ac:dyDescent="0.2">
      <c r="B2944" s="1">
        <v>2929</v>
      </c>
      <c r="C2944" s="101">
        <f ca="1"/>
        <v>-0.91684382563611866</v>
      </c>
      <c r="D2944" s="101">
        <f t="shared" ca="1" si="174"/>
        <v>0.60704288882074242</v>
      </c>
      <c r="E2944" s="101">
        <f t="shared" ca="1" si="175"/>
        <v>0</v>
      </c>
      <c r="F2944" s="21">
        <f t="shared" ca="1" si="176"/>
        <v>0</v>
      </c>
      <c r="H2944" s="21">
        <v>2929</v>
      </c>
      <c r="I2944" s="102">
        <v>0.66765141315144994</v>
      </c>
      <c r="J2944" s="103">
        <v>1.2303913187237511E-3</v>
      </c>
      <c r="K2944" s="103"/>
      <c r="L2944" s="103">
        <v>3.9600000000000003E-2</v>
      </c>
      <c r="O2944" s="100"/>
    </row>
    <row r="2945" spans="2:15" x14ac:dyDescent="0.2">
      <c r="B2945" s="1">
        <v>2930</v>
      </c>
      <c r="C2945" s="101">
        <f ca="1"/>
        <v>-0.5594190721633332</v>
      </c>
      <c r="D2945" s="101">
        <f t="shared" ca="1" si="174"/>
        <v>0.62882707421353956</v>
      </c>
      <c r="E2945" s="101">
        <f t="shared" ca="1" si="175"/>
        <v>0</v>
      </c>
      <c r="F2945" s="21">
        <f t="shared" ca="1" si="176"/>
        <v>0</v>
      </c>
      <c r="H2945" s="21">
        <v>2930</v>
      </c>
      <c r="I2945" s="102">
        <v>0.66768541354698185</v>
      </c>
      <c r="J2945" s="103">
        <v>1.2021000695272427E-3</v>
      </c>
      <c r="K2945" s="103"/>
      <c r="L2945" s="103">
        <v>4.0599999999999997E-2</v>
      </c>
      <c r="O2945" s="100"/>
    </row>
    <row r="2946" spans="2:15" x14ac:dyDescent="0.2">
      <c r="B2946" s="1">
        <v>2931</v>
      </c>
      <c r="C2946" s="101">
        <f ca="1"/>
        <v>0.62806952520001724</v>
      </c>
      <c r="D2946" s="101">
        <f t="shared" ca="1" si="174"/>
        <v>0.70697248467734786</v>
      </c>
      <c r="E2946" s="101">
        <f t="shared" ca="1" si="175"/>
        <v>0</v>
      </c>
      <c r="F2946" s="21">
        <f t="shared" ca="1" si="176"/>
        <v>0</v>
      </c>
      <c r="H2946" s="21">
        <v>2931</v>
      </c>
      <c r="I2946" s="102">
        <v>0.66773556392675504</v>
      </c>
      <c r="J2946" s="103">
        <v>1.4219943711913448E-3</v>
      </c>
      <c r="K2946" s="103"/>
      <c r="L2946" s="103">
        <v>4.1399999999999999E-2</v>
      </c>
      <c r="O2946" s="100"/>
    </row>
    <row r="2947" spans="2:15" x14ac:dyDescent="0.2">
      <c r="B2947" s="1">
        <v>2932</v>
      </c>
      <c r="C2947" s="101">
        <f ca="1"/>
        <v>-0.67789576182247091</v>
      </c>
      <c r="D2947" s="101">
        <f t="shared" ca="1" si="174"/>
        <v>0.62152093772578909</v>
      </c>
      <c r="E2947" s="101">
        <f t="shared" ca="1" si="175"/>
        <v>0</v>
      </c>
      <c r="F2947" s="21">
        <f t="shared" ca="1" si="176"/>
        <v>0</v>
      </c>
      <c r="H2947" s="21">
        <v>2932</v>
      </c>
      <c r="I2947" s="102">
        <v>0.66771241041091045</v>
      </c>
      <c r="J2947" s="103">
        <v>1.3458070578881963E-3</v>
      </c>
      <c r="K2947" s="103"/>
      <c r="L2947" s="103">
        <v>4.36E-2</v>
      </c>
      <c r="O2947" s="100"/>
    </row>
    <row r="2948" spans="2:15" x14ac:dyDescent="0.2">
      <c r="B2948" s="1">
        <v>2933</v>
      </c>
      <c r="C2948" s="101">
        <f ca="1"/>
        <v>0.81279840397716929</v>
      </c>
      <c r="D2948" s="101">
        <f t="shared" ca="1" si="174"/>
        <v>0.7199729545859519</v>
      </c>
      <c r="E2948" s="101">
        <f t="shared" ca="1" si="175"/>
        <v>0</v>
      </c>
      <c r="F2948" s="21">
        <f t="shared" ca="1" si="176"/>
        <v>0</v>
      </c>
      <c r="H2948" s="21">
        <v>2933</v>
      </c>
      <c r="I2948" s="102">
        <v>0.6679803170367733</v>
      </c>
      <c r="J2948" s="103">
        <v>1.7088469401382478E-3</v>
      </c>
      <c r="K2948" s="103"/>
      <c r="L2948" s="103">
        <v>4.5999999999999999E-2</v>
      </c>
      <c r="O2948" s="100"/>
    </row>
    <row r="2949" spans="2:15" x14ac:dyDescent="0.2">
      <c r="B2949" s="1">
        <v>2934</v>
      </c>
      <c r="C2949" s="101">
        <f ca="1"/>
        <v>-1.8796194817875491</v>
      </c>
      <c r="D2949" s="101">
        <f t="shared" ca="1" si="174"/>
        <v>0.55204522841832526</v>
      </c>
      <c r="E2949" s="101">
        <f t="shared" ca="1" si="175"/>
        <v>0</v>
      </c>
      <c r="F2949" s="21">
        <f t="shared" ca="1" si="176"/>
        <v>0</v>
      </c>
      <c r="H2949" s="21">
        <v>2934</v>
      </c>
      <c r="I2949" s="102">
        <v>0.66774523805101549</v>
      </c>
      <c r="J2949" s="103">
        <v>1.3173130243264231E-3</v>
      </c>
      <c r="K2949" s="103"/>
      <c r="L2949" s="103">
        <v>4.1000000000000002E-2</v>
      </c>
      <c r="O2949" s="100"/>
    </row>
    <row r="2950" spans="2:15" x14ac:dyDescent="0.2">
      <c r="B2950" s="1">
        <v>2935</v>
      </c>
      <c r="C2950" s="101">
        <f ca="1"/>
        <v>1.9053855712519192</v>
      </c>
      <c r="D2950" s="101">
        <f t="shared" ca="1" si="174"/>
        <v>0.80190319406361954</v>
      </c>
      <c r="E2950" s="101">
        <f t="shared" ca="1" si="175"/>
        <v>1.3703194063619528E-2</v>
      </c>
      <c r="F2950" s="21">
        <f t="shared" ca="1" si="176"/>
        <v>1</v>
      </c>
      <c r="H2950" s="21">
        <v>2935</v>
      </c>
      <c r="I2950" s="102">
        <v>0.66758882187351021</v>
      </c>
      <c r="J2950" s="103">
        <v>1.1595866619126703E-3</v>
      </c>
      <c r="K2950" s="103"/>
      <c r="L2950" s="103">
        <v>3.7199999999999997E-2</v>
      </c>
      <c r="O2950" s="100"/>
    </row>
    <row r="2951" spans="2:15" x14ac:dyDescent="0.2">
      <c r="B2951" s="1">
        <v>2936</v>
      </c>
      <c r="C2951" s="101">
        <f ca="1"/>
        <v>0.17965913677465173</v>
      </c>
      <c r="D2951" s="101">
        <f t="shared" ca="1" si="174"/>
        <v>0.6763833164572185</v>
      </c>
      <c r="E2951" s="101">
        <f t="shared" ca="1" si="175"/>
        <v>0</v>
      </c>
      <c r="F2951" s="21">
        <f t="shared" ca="1" si="176"/>
        <v>0</v>
      </c>
      <c r="H2951" s="21">
        <v>2936</v>
      </c>
      <c r="I2951" s="102">
        <v>0.66762895277929279</v>
      </c>
      <c r="J2951" s="103">
        <v>1.3131439386314231E-3</v>
      </c>
      <c r="K2951" s="103"/>
      <c r="L2951" s="103">
        <v>4.1599999999999998E-2</v>
      </c>
      <c r="O2951" s="100"/>
    </row>
    <row r="2952" spans="2:15" x14ac:dyDescent="0.2">
      <c r="B2952" s="1">
        <v>2937</v>
      </c>
      <c r="C2952" s="101">
        <f ca="1"/>
        <v>0.33178771852654398</v>
      </c>
      <c r="D2952" s="101">
        <f t="shared" ca="1" si="174"/>
        <v>0.68660977415382085</v>
      </c>
      <c r="E2952" s="101">
        <f t="shared" ca="1" si="175"/>
        <v>0</v>
      </c>
      <c r="F2952" s="21">
        <f t="shared" ca="1" si="176"/>
        <v>0</v>
      </c>
      <c r="H2952" s="21">
        <v>2937</v>
      </c>
      <c r="I2952" s="102">
        <v>0.66778159374613888</v>
      </c>
      <c r="J2952" s="103">
        <v>1.3368044536416007E-3</v>
      </c>
      <c r="K2952" s="103"/>
      <c r="L2952" s="103">
        <v>4.1399999999999999E-2</v>
      </c>
      <c r="O2952" s="100"/>
    </row>
    <row r="2953" spans="2:15" x14ac:dyDescent="0.2">
      <c r="B2953" s="1">
        <v>2938</v>
      </c>
      <c r="C2953" s="101">
        <f ca="1"/>
        <v>1.0858350088617936</v>
      </c>
      <c r="D2953" s="101">
        <f t="shared" ca="1" si="174"/>
        <v>0.73962724840513006</v>
      </c>
      <c r="E2953" s="101">
        <f t="shared" ca="1" si="175"/>
        <v>0</v>
      </c>
      <c r="F2953" s="21">
        <f t="shared" ca="1" si="176"/>
        <v>0</v>
      </c>
      <c r="H2953" s="21">
        <v>2938</v>
      </c>
      <c r="I2953" s="102">
        <v>0.66766272344517308</v>
      </c>
      <c r="J2953" s="103">
        <v>1.4003271846079652E-3</v>
      </c>
      <c r="K2953" s="103"/>
      <c r="L2953" s="103">
        <v>4.1000000000000002E-2</v>
      </c>
      <c r="O2953" s="100"/>
    </row>
    <row r="2954" spans="2:15" x14ac:dyDescent="0.2">
      <c r="B2954" s="1">
        <v>2939</v>
      </c>
      <c r="C2954" s="101">
        <f ca="1"/>
        <v>-1.1831901518709345</v>
      </c>
      <c r="D2954" s="101">
        <f t="shared" ca="1" si="174"/>
        <v>0.59130188509086656</v>
      </c>
      <c r="E2954" s="101">
        <f t="shared" ca="1" si="175"/>
        <v>0</v>
      </c>
      <c r="F2954" s="21">
        <f t="shared" ca="1" si="176"/>
        <v>0</v>
      </c>
      <c r="H2954" s="21">
        <v>2939</v>
      </c>
      <c r="I2954" s="102">
        <v>0.66780588667072238</v>
      </c>
      <c r="J2954" s="103">
        <v>1.2575539819914476E-3</v>
      </c>
      <c r="K2954" s="103"/>
      <c r="L2954" s="103">
        <v>4.0599999999999997E-2</v>
      </c>
      <c r="O2954" s="100"/>
    </row>
    <row r="2955" spans="2:15" x14ac:dyDescent="0.2">
      <c r="B2955" s="1">
        <v>2940</v>
      </c>
      <c r="C2955" s="101">
        <f ca="1"/>
        <v>0.56610424725938346</v>
      </c>
      <c r="D2955" s="101">
        <f t="shared" ca="1" si="174"/>
        <v>0.70266441009771841</v>
      </c>
      <c r="E2955" s="101">
        <f t="shared" ca="1" si="175"/>
        <v>0</v>
      </c>
      <c r="F2955" s="21">
        <f t="shared" ca="1" si="176"/>
        <v>0</v>
      </c>
      <c r="H2955" s="21">
        <v>2940</v>
      </c>
      <c r="I2955" s="102">
        <v>0.66774965869313951</v>
      </c>
      <c r="J2955" s="103">
        <v>1.1807723195238742E-3</v>
      </c>
      <c r="K2955" s="103"/>
      <c r="L2955" s="103">
        <v>0.04</v>
      </c>
      <c r="O2955" s="100"/>
    </row>
    <row r="2956" spans="2:15" x14ac:dyDescent="0.2">
      <c r="B2956" s="1">
        <v>2941</v>
      </c>
      <c r="C2956" s="101">
        <f ca="1"/>
        <v>0.1480500941079482</v>
      </c>
      <c r="D2956" s="101">
        <f t="shared" ca="1" si="174"/>
        <v>0.67427766613961981</v>
      </c>
      <c r="E2956" s="101">
        <f t="shared" ca="1" si="175"/>
        <v>0</v>
      </c>
      <c r="F2956" s="21">
        <f t="shared" ca="1" si="176"/>
        <v>0</v>
      </c>
      <c r="H2956" s="21">
        <v>2941</v>
      </c>
      <c r="I2956" s="102">
        <v>0.667730680732187</v>
      </c>
      <c r="J2956" s="103">
        <v>1.287152336232503E-3</v>
      </c>
      <c r="K2956" s="103"/>
      <c r="L2956" s="103">
        <v>4.1000000000000002E-2</v>
      </c>
      <c r="O2956" s="100"/>
    </row>
    <row r="2957" spans="2:15" x14ac:dyDescent="0.2">
      <c r="B2957" s="1">
        <v>2942</v>
      </c>
      <c r="C2957" s="101">
        <f ca="1"/>
        <v>-0.85592293603598202</v>
      </c>
      <c r="D2957" s="101">
        <f t="shared" ca="1" si="174"/>
        <v>0.6107017848876527</v>
      </c>
      <c r="E2957" s="101">
        <f t="shared" ca="1" si="175"/>
        <v>0</v>
      </c>
      <c r="F2957" s="21">
        <f t="shared" ca="1" si="176"/>
        <v>0</v>
      </c>
      <c r="H2957" s="21">
        <v>2942</v>
      </c>
      <c r="I2957" s="102">
        <v>0.66777843865837627</v>
      </c>
      <c r="J2957" s="103">
        <v>1.319308538508903E-3</v>
      </c>
      <c r="K2957" s="103"/>
      <c r="L2957" s="103">
        <v>4.4400000000000002E-2</v>
      </c>
      <c r="O2957" s="100"/>
    </row>
    <row r="2958" spans="2:15" x14ac:dyDescent="0.2">
      <c r="B2958" s="1">
        <v>2943</v>
      </c>
      <c r="C2958" s="101">
        <f ca="1"/>
        <v>1.6966949241539331</v>
      </c>
      <c r="D2958" s="101">
        <f t="shared" ca="1" si="174"/>
        <v>0.78556434696554467</v>
      </c>
      <c r="E2958" s="101">
        <f t="shared" ca="1" si="175"/>
        <v>0</v>
      </c>
      <c r="F2958" s="21">
        <f t="shared" ca="1" si="176"/>
        <v>0</v>
      </c>
      <c r="H2958" s="21">
        <v>2943</v>
      </c>
      <c r="I2958" s="102">
        <v>0.66774549909310232</v>
      </c>
      <c r="J2958" s="103">
        <v>1.2375379453697245E-3</v>
      </c>
      <c r="K2958" s="103"/>
      <c r="L2958" s="103">
        <v>4.1599999999999998E-2</v>
      </c>
      <c r="O2958" s="100"/>
    </row>
    <row r="2959" spans="2:15" x14ac:dyDescent="0.2">
      <c r="B2959" s="1">
        <v>2944</v>
      </c>
      <c r="C2959" s="101">
        <f ca="1"/>
        <v>0.83617274377483153</v>
      </c>
      <c r="D2959" s="101">
        <f t="shared" ca="1" si="174"/>
        <v>0.72163489406252335</v>
      </c>
      <c r="E2959" s="101">
        <f t="shared" ca="1" si="175"/>
        <v>0</v>
      </c>
      <c r="F2959" s="21">
        <f t="shared" ca="1" si="176"/>
        <v>0</v>
      </c>
      <c r="H2959" s="21">
        <v>2944</v>
      </c>
      <c r="I2959" s="102">
        <v>0.66780081535768043</v>
      </c>
      <c r="J2959" s="103">
        <v>1.4921752932527744E-3</v>
      </c>
      <c r="K2959" s="103"/>
      <c r="L2959" s="103">
        <v>4.3200000000000002E-2</v>
      </c>
      <c r="O2959" s="100"/>
    </row>
    <row r="2960" spans="2:15" x14ac:dyDescent="0.2">
      <c r="B2960" s="1">
        <v>2945</v>
      </c>
      <c r="C2960" s="101">
        <f ca="1"/>
        <v>-2.4490737485384657</v>
      </c>
      <c r="D2960" s="101">
        <f t="shared" ref="D2960:D3023" ca="1" si="177">S0*EXP((μ-0.5*σ*σ)*T+σ*SQRT(T)*$C2960)</f>
        <v>0.52189073947608489</v>
      </c>
      <c r="E2960" s="101">
        <f t="shared" ref="E2960:E3023" ca="1" si="178">MAX(0,CP*(D2960-K))</f>
        <v>0</v>
      </c>
      <c r="F2960" s="21">
        <f t="shared" ref="F2960:F3023" ca="1" si="179">(CP*(D2960-K)&gt;0)*1</f>
        <v>0</v>
      </c>
      <c r="H2960" s="21">
        <v>2945</v>
      </c>
      <c r="I2960" s="102">
        <v>0.66779863371502968</v>
      </c>
      <c r="J2960" s="103">
        <v>1.2943551425180797E-3</v>
      </c>
      <c r="K2960" s="103"/>
      <c r="L2960" s="103">
        <v>4.2000000000000003E-2</v>
      </c>
      <c r="O2960" s="100"/>
    </row>
    <row r="2961" spans="2:15" x14ac:dyDescent="0.2">
      <c r="B2961" s="1">
        <v>2946</v>
      </c>
      <c r="C2961" s="101">
        <f ca="1"/>
        <v>0.3053222539915339</v>
      </c>
      <c r="D2961" s="101">
        <f t="shared" ca="1" si="177"/>
        <v>0.68481965621474172</v>
      </c>
      <c r="E2961" s="101">
        <f t="shared" ca="1" si="178"/>
        <v>0</v>
      </c>
      <c r="F2961" s="21">
        <f t="shared" ca="1" si="179"/>
        <v>0</v>
      </c>
      <c r="H2961" s="21">
        <v>2946</v>
      </c>
      <c r="I2961" s="102">
        <v>0.6678643736805181</v>
      </c>
      <c r="J2961" s="103">
        <v>1.6008233537697315E-3</v>
      </c>
      <c r="K2961" s="103"/>
      <c r="L2961" s="103">
        <v>4.6199999999999998E-2</v>
      </c>
      <c r="O2961" s="100"/>
    </row>
    <row r="2962" spans="2:15" x14ac:dyDescent="0.2">
      <c r="B2962" s="1">
        <v>2947</v>
      </c>
      <c r="C2962" s="101">
        <f ca="1"/>
        <v>-1.2243294450227427E-2</v>
      </c>
      <c r="D2962" s="101">
        <f t="shared" ca="1" si="177"/>
        <v>0.66370013349155543</v>
      </c>
      <c r="E2962" s="101">
        <f t="shared" ca="1" si="178"/>
        <v>0</v>
      </c>
      <c r="F2962" s="21">
        <f t="shared" ca="1" si="179"/>
        <v>0</v>
      </c>
      <c r="H2962" s="21">
        <v>2947</v>
      </c>
      <c r="I2962" s="102">
        <v>0.66763517748420775</v>
      </c>
      <c r="J2962" s="103">
        <v>1.2197677299639904E-3</v>
      </c>
      <c r="K2962" s="103"/>
      <c r="L2962" s="103">
        <v>4.1000000000000002E-2</v>
      </c>
      <c r="O2962" s="100"/>
    </row>
    <row r="2963" spans="2:15" x14ac:dyDescent="0.2">
      <c r="B2963" s="1">
        <v>2948</v>
      </c>
      <c r="C2963" s="101">
        <f ca="1"/>
        <v>-2.1505289526901046</v>
      </c>
      <c r="D2963" s="101">
        <f t="shared" ca="1" si="177"/>
        <v>0.53748836276009904</v>
      </c>
      <c r="E2963" s="101">
        <f t="shared" ca="1" si="178"/>
        <v>0</v>
      </c>
      <c r="F2963" s="21">
        <f t="shared" ca="1" si="179"/>
        <v>0</v>
      </c>
      <c r="H2963" s="21">
        <v>2948</v>
      </c>
      <c r="I2963" s="102">
        <v>0.66780042139341367</v>
      </c>
      <c r="J2963" s="103">
        <v>1.4483409395306399E-3</v>
      </c>
      <c r="K2963" s="103"/>
      <c r="L2963" s="103">
        <v>4.1599999999999998E-2</v>
      </c>
      <c r="O2963" s="100"/>
    </row>
    <row r="2964" spans="2:15" x14ac:dyDescent="0.2">
      <c r="B2964" s="1">
        <v>2949</v>
      </c>
      <c r="C2964" s="101">
        <f ca="1"/>
        <v>0.37185458936634141</v>
      </c>
      <c r="D2964" s="101">
        <f t="shared" ca="1" si="177"/>
        <v>0.68932879671302727</v>
      </c>
      <c r="E2964" s="101">
        <f t="shared" ca="1" si="178"/>
        <v>0</v>
      </c>
      <c r="F2964" s="21">
        <f t="shared" ca="1" si="179"/>
        <v>0</v>
      </c>
      <c r="H2964" s="21">
        <v>2949</v>
      </c>
      <c r="I2964" s="102">
        <v>0.66762904415347391</v>
      </c>
      <c r="J2964" s="103">
        <v>1.3854718788614776E-3</v>
      </c>
      <c r="K2964" s="103"/>
      <c r="L2964" s="103">
        <v>4.0399999999999998E-2</v>
      </c>
      <c r="O2964" s="100"/>
    </row>
    <row r="2965" spans="2:15" x14ac:dyDescent="0.2">
      <c r="B2965" s="1">
        <v>2950</v>
      </c>
      <c r="C2965" s="101">
        <f ca="1"/>
        <v>-0.89049534743979264</v>
      </c>
      <c r="D2965" s="101">
        <f t="shared" ca="1" si="177"/>
        <v>0.60862267500677181</v>
      </c>
      <c r="E2965" s="101">
        <f t="shared" ca="1" si="178"/>
        <v>0</v>
      </c>
      <c r="F2965" s="21">
        <f t="shared" ca="1" si="179"/>
        <v>0</v>
      </c>
      <c r="H2965" s="21">
        <v>2950</v>
      </c>
      <c r="I2965" s="102">
        <v>0.66765350812514968</v>
      </c>
      <c r="J2965" s="103">
        <v>1.2766140228506384E-3</v>
      </c>
      <c r="K2965" s="103"/>
      <c r="L2965" s="103">
        <v>3.78E-2</v>
      </c>
      <c r="O2965" s="100"/>
    </row>
    <row r="2966" spans="2:15" x14ac:dyDescent="0.2">
      <c r="B2966" s="1">
        <v>2951</v>
      </c>
      <c r="C2966" s="101">
        <f ca="1"/>
        <v>-2.2000273484223238</v>
      </c>
      <c r="D2966" s="101">
        <f t="shared" ca="1" si="177"/>
        <v>0.53487042521937844</v>
      </c>
      <c r="E2966" s="101">
        <f t="shared" ca="1" si="178"/>
        <v>0</v>
      </c>
      <c r="F2966" s="21">
        <f t="shared" ca="1" si="179"/>
        <v>0</v>
      </c>
      <c r="H2966" s="21">
        <v>2951</v>
      </c>
      <c r="I2966" s="102">
        <v>0.66764923091030759</v>
      </c>
      <c r="J2966" s="103">
        <v>1.1265001292706126E-3</v>
      </c>
      <c r="K2966" s="103"/>
      <c r="L2966" s="103">
        <v>3.8600000000000002E-2</v>
      </c>
      <c r="O2966" s="100"/>
    </row>
    <row r="2967" spans="2:15" x14ac:dyDescent="0.2">
      <c r="B2967" s="1">
        <v>2952</v>
      </c>
      <c r="C2967" s="101">
        <f ca="1"/>
        <v>0.61591908389634142</v>
      </c>
      <c r="D2967" s="101">
        <f t="shared" ca="1" si="177"/>
        <v>0.70612566053461179</v>
      </c>
      <c r="E2967" s="101">
        <f t="shared" ca="1" si="178"/>
        <v>0</v>
      </c>
      <c r="F2967" s="21">
        <f t="shared" ca="1" si="179"/>
        <v>0</v>
      </c>
      <c r="H2967" s="21">
        <v>2952</v>
      </c>
      <c r="I2967" s="102">
        <v>0.66789704500989222</v>
      </c>
      <c r="J2967" s="103">
        <v>1.5194264517175392E-3</v>
      </c>
      <c r="K2967" s="103"/>
      <c r="L2967" s="103">
        <v>4.7E-2</v>
      </c>
      <c r="O2967" s="100"/>
    </row>
    <row r="2968" spans="2:15" x14ac:dyDescent="0.2">
      <c r="B2968" s="1">
        <v>2953</v>
      </c>
      <c r="C2968" s="101">
        <f ca="1"/>
        <v>-0.50274108899271253</v>
      </c>
      <c r="D2968" s="101">
        <f t="shared" ca="1" si="177"/>
        <v>0.63235256116127725</v>
      </c>
      <c r="E2968" s="101">
        <f t="shared" ca="1" si="178"/>
        <v>0</v>
      </c>
      <c r="F2968" s="21">
        <f t="shared" ca="1" si="179"/>
        <v>0</v>
      </c>
      <c r="H2968" s="21">
        <v>2953</v>
      </c>
      <c r="I2968" s="102">
        <v>0.66779006072706393</v>
      </c>
      <c r="J2968" s="103">
        <v>1.4805615159294986E-3</v>
      </c>
      <c r="K2968" s="103"/>
      <c r="L2968" s="103">
        <v>4.36E-2</v>
      </c>
      <c r="O2968" s="100"/>
    </row>
    <row r="2969" spans="2:15" x14ac:dyDescent="0.2">
      <c r="B2969" s="1">
        <v>2954</v>
      </c>
      <c r="C2969" s="101">
        <f ca="1"/>
        <v>-0.44517651898884447</v>
      </c>
      <c r="D2969" s="101">
        <f t="shared" ca="1" si="177"/>
        <v>0.63595342787513298</v>
      </c>
      <c r="E2969" s="101">
        <f t="shared" ca="1" si="178"/>
        <v>0</v>
      </c>
      <c r="F2969" s="21">
        <f t="shared" ca="1" si="179"/>
        <v>0</v>
      </c>
      <c r="H2969" s="21">
        <v>2954</v>
      </c>
      <c r="I2969" s="102">
        <v>0.66779171005992433</v>
      </c>
      <c r="J2969" s="103">
        <v>1.553678475592634E-3</v>
      </c>
      <c r="K2969" s="103"/>
      <c r="L2969" s="103">
        <v>4.2200000000000001E-2</v>
      </c>
      <c r="O2969" s="100"/>
    </row>
    <row r="2970" spans="2:15" x14ac:dyDescent="0.2">
      <c r="B2970" s="1">
        <v>2955</v>
      </c>
      <c r="C2970" s="101">
        <f ca="1"/>
        <v>1.4447416503524892</v>
      </c>
      <c r="D2970" s="101">
        <f t="shared" ca="1" si="177"/>
        <v>0.76628132540814919</v>
      </c>
      <c r="E2970" s="101">
        <f t="shared" ca="1" si="178"/>
        <v>0</v>
      </c>
      <c r="F2970" s="21">
        <f t="shared" ca="1" si="179"/>
        <v>0</v>
      </c>
      <c r="H2970" s="21">
        <v>2955</v>
      </c>
      <c r="I2970" s="102">
        <v>0.66776813585294981</v>
      </c>
      <c r="J2970" s="103">
        <v>1.4568055056366747E-3</v>
      </c>
      <c r="K2970" s="103"/>
      <c r="L2970" s="103">
        <v>4.3400000000000001E-2</v>
      </c>
      <c r="O2970" s="100"/>
    </row>
    <row r="2971" spans="2:15" x14ac:dyDescent="0.2">
      <c r="B2971" s="1">
        <v>2956</v>
      </c>
      <c r="C2971" s="101">
        <f ca="1"/>
        <v>-0.23636454590169145</v>
      </c>
      <c r="D2971" s="101">
        <f t="shared" ca="1" si="177"/>
        <v>0.64918830688904694</v>
      </c>
      <c r="E2971" s="101">
        <f t="shared" ca="1" si="178"/>
        <v>0</v>
      </c>
      <c r="F2971" s="21">
        <f t="shared" ca="1" si="179"/>
        <v>0</v>
      </c>
      <c r="H2971" s="21">
        <v>2956</v>
      </c>
      <c r="I2971" s="102">
        <v>0.66755520080109332</v>
      </c>
      <c r="J2971" s="103">
        <v>1.1578375781834108E-3</v>
      </c>
      <c r="K2971" s="103"/>
      <c r="L2971" s="103">
        <v>3.6400000000000002E-2</v>
      </c>
      <c r="O2971" s="100"/>
    </row>
    <row r="2972" spans="2:15" x14ac:dyDescent="0.2">
      <c r="B2972" s="1">
        <v>2957</v>
      </c>
      <c r="C2972" s="101">
        <f ca="1"/>
        <v>0.65544087458532652</v>
      </c>
      <c r="D2972" s="101">
        <f t="shared" ca="1" si="177"/>
        <v>0.70888385147740818</v>
      </c>
      <c r="E2972" s="101">
        <f t="shared" ca="1" si="178"/>
        <v>0</v>
      </c>
      <c r="F2972" s="21">
        <f t="shared" ca="1" si="179"/>
        <v>0</v>
      </c>
      <c r="H2972" s="21">
        <v>2957</v>
      </c>
      <c r="I2972" s="102">
        <v>0.66766354794929572</v>
      </c>
      <c r="J2972" s="103">
        <v>1.3746172961656793E-3</v>
      </c>
      <c r="K2972" s="103"/>
      <c r="L2972" s="103">
        <v>4.1799999999999997E-2</v>
      </c>
      <c r="O2972" s="100"/>
    </row>
    <row r="2973" spans="2:15" x14ac:dyDescent="0.2">
      <c r="B2973" s="1">
        <v>2958</v>
      </c>
      <c r="C2973" s="101">
        <f ca="1"/>
        <v>-8.5322479983415911E-2</v>
      </c>
      <c r="D2973" s="101">
        <f t="shared" ca="1" si="177"/>
        <v>0.65893296929321477</v>
      </c>
      <c r="E2973" s="101">
        <f t="shared" ca="1" si="178"/>
        <v>0</v>
      </c>
      <c r="F2973" s="21">
        <f t="shared" ca="1" si="179"/>
        <v>0</v>
      </c>
      <c r="H2973" s="21">
        <v>2958</v>
      </c>
      <c r="I2973" s="102">
        <v>0.66768870619522991</v>
      </c>
      <c r="J2973" s="103">
        <v>1.3388207284999829E-3</v>
      </c>
      <c r="K2973" s="103"/>
      <c r="L2973" s="103">
        <v>4.1399999999999999E-2</v>
      </c>
      <c r="O2973" s="100"/>
    </row>
    <row r="2974" spans="2:15" x14ac:dyDescent="0.2">
      <c r="B2974" s="1">
        <v>2959</v>
      </c>
      <c r="C2974" s="101">
        <f ca="1"/>
        <v>0.18136327233565711</v>
      </c>
      <c r="D2974" s="101">
        <f t="shared" ca="1" si="177"/>
        <v>0.67649702482597085</v>
      </c>
      <c r="E2974" s="101">
        <f t="shared" ca="1" si="178"/>
        <v>0</v>
      </c>
      <c r="F2974" s="21">
        <f t="shared" ca="1" si="179"/>
        <v>0</v>
      </c>
      <c r="H2974" s="21">
        <v>2959</v>
      </c>
      <c r="I2974" s="102">
        <v>0.66761281317017851</v>
      </c>
      <c r="J2974" s="103">
        <v>1.1992577379091711E-3</v>
      </c>
      <c r="K2974" s="103"/>
      <c r="L2974" s="103">
        <v>3.5400000000000001E-2</v>
      </c>
      <c r="O2974" s="100"/>
    </row>
    <row r="2975" spans="2:15" x14ac:dyDescent="0.2">
      <c r="B2975" s="1">
        <v>2960</v>
      </c>
      <c r="C2975" s="101">
        <f ca="1"/>
        <v>0.60005957969566082</v>
      </c>
      <c r="D2975" s="101">
        <f t="shared" ca="1" si="177"/>
        <v>0.70502185939134898</v>
      </c>
      <c r="E2975" s="101">
        <f t="shared" ca="1" si="178"/>
        <v>0</v>
      </c>
      <c r="F2975" s="21">
        <f t="shared" ca="1" si="179"/>
        <v>0</v>
      </c>
      <c r="H2975" s="21">
        <v>2960</v>
      </c>
      <c r="I2975" s="102">
        <v>0.66766881231918074</v>
      </c>
      <c r="J2975" s="103">
        <v>1.3036100975214312E-3</v>
      </c>
      <c r="K2975" s="103"/>
      <c r="L2975" s="103">
        <v>4.0399999999999998E-2</v>
      </c>
      <c r="O2975" s="100"/>
    </row>
    <row r="2976" spans="2:15" x14ac:dyDescent="0.2">
      <c r="B2976" s="1">
        <v>2961</v>
      </c>
      <c r="C2976" s="101">
        <f ca="1"/>
        <v>-0.59771681107949937</v>
      </c>
      <c r="D2976" s="101">
        <f t="shared" ca="1" si="177"/>
        <v>0.62645601063575806</v>
      </c>
      <c r="E2976" s="101">
        <f t="shared" ca="1" si="178"/>
        <v>0</v>
      </c>
      <c r="F2976" s="21">
        <f t="shared" ca="1" si="179"/>
        <v>0</v>
      </c>
      <c r="H2976" s="21">
        <v>2961</v>
      </c>
      <c r="I2976" s="102">
        <v>0.66771164700468788</v>
      </c>
      <c r="J2976" s="103">
        <v>1.2697011908986077E-3</v>
      </c>
      <c r="K2976" s="103"/>
      <c r="L2976" s="103">
        <v>4.3799999999999999E-2</v>
      </c>
      <c r="O2976" s="100"/>
    </row>
    <row r="2977" spans="2:15" x14ac:dyDescent="0.2">
      <c r="B2977" s="1">
        <v>2962</v>
      </c>
      <c r="C2977" s="101">
        <f ca="1"/>
        <v>2.0166621029108063</v>
      </c>
      <c r="D2977" s="101">
        <f t="shared" ca="1" si="177"/>
        <v>0.81075374109024911</v>
      </c>
      <c r="E2977" s="101">
        <f t="shared" ca="1" si="178"/>
        <v>2.2553741090249102E-2</v>
      </c>
      <c r="F2977" s="21">
        <f t="shared" ca="1" si="179"/>
        <v>1</v>
      </c>
      <c r="H2977" s="21">
        <v>2962</v>
      </c>
      <c r="I2977" s="102">
        <v>0.66784402208991389</v>
      </c>
      <c r="J2977" s="103">
        <v>1.4416900898865435E-3</v>
      </c>
      <c r="K2977" s="103"/>
      <c r="L2977" s="103">
        <v>4.6800000000000001E-2</v>
      </c>
      <c r="O2977" s="100"/>
    </row>
    <row r="2978" spans="2:15" x14ac:dyDescent="0.2">
      <c r="B2978" s="1">
        <v>2963</v>
      </c>
      <c r="C2978" s="101">
        <f ca="1"/>
        <v>0.16022325817928743</v>
      </c>
      <c r="D2978" s="101">
        <f t="shared" ca="1" si="177"/>
        <v>0.67508780958505277</v>
      </c>
      <c r="E2978" s="101">
        <f t="shared" ca="1" si="178"/>
        <v>0</v>
      </c>
      <c r="F2978" s="21">
        <f t="shared" ca="1" si="179"/>
        <v>0</v>
      </c>
      <c r="H2978" s="21">
        <v>2963</v>
      </c>
      <c r="I2978" s="102">
        <v>0.66766593795623419</v>
      </c>
      <c r="J2978" s="103">
        <v>1.2141025713393238E-3</v>
      </c>
      <c r="K2978" s="103"/>
      <c r="L2978" s="103">
        <v>4.0800000000000003E-2</v>
      </c>
      <c r="O2978" s="100"/>
    </row>
    <row r="2979" spans="2:15" x14ac:dyDescent="0.2">
      <c r="B2979" s="1">
        <v>2964</v>
      </c>
      <c r="C2979" s="101">
        <f ca="1"/>
        <v>2.2634895296262161</v>
      </c>
      <c r="D2979" s="101">
        <f t="shared" ca="1" si="177"/>
        <v>0.83073574188212818</v>
      </c>
      <c r="E2979" s="101">
        <f t="shared" ca="1" si="178"/>
        <v>4.2535741882128164E-2</v>
      </c>
      <c r="F2979" s="21">
        <f t="shared" ca="1" si="179"/>
        <v>1</v>
      </c>
      <c r="H2979" s="21">
        <v>2964</v>
      </c>
      <c r="I2979" s="102">
        <v>0.66770288876680339</v>
      </c>
      <c r="J2979" s="103">
        <v>1.2341308140320203E-3</v>
      </c>
      <c r="K2979" s="103"/>
      <c r="L2979" s="103">
        <v>4.2599999999999999E-2</v>
      </c>
      <c r="O2979" s="100"/>
    </row>
    <row r="2980" spans="2:15" x14ac:dyDescent="0.2">
      <c r="B2980" s="1">
        <v>2965</v>
      </c>
      <c r="C2980" s="101">
        <f ca="1"/>
        <v>-0.4491121255319655</v>
      </c>
      <c r="D2980" s="101">
        <f t="shared" ca="1" si="177"/>
        <v>0.63570659011866593</v>
      </c>
      <c r="E2980" s="101">
        <f t="shared" ca="1" si="178"/>
        <v>0</v>
      </c>
      <c r="F2980" s="21">
        <f t="shared" ca="1" si="179"/>
        <v>0</v>
      </c>
      <c r="H2980" s="21">
        <v>2965</v>
      </c>
      <c r="I2980" s="102">
        <v>0.66784324104014214</v>
      </c>
      <c r="J2980" s="103">
        <v>1.39874152304171E-3</v>
      </c>
      <c r="K2980" s="103"/>
      <c r="L2980" s="103">
        <v>4.2200000000000001E-2</v>
      </c>
      <c r="O2980" s="100"/>
    </row>
    <row r="2981" spans="2:15" x14ac:dyDescent="0.2">
      <c r="B2981" s="1">
        <v>2966</v>
      </c>
      <c r="C2981" s="101">
        <f ca="1"/>
        <v>-0.6864051290969112</v>
      </c>
      <c r="D2981" s="101">
        <f t="shared" ca="1" si="177"/>
        <v>0.62099946730656241</v>
      </c>
      <c r="E2981" s="101">
        <f t="shared" ca="1" si="178"/>
        <v>0</v>
      </c>
      <c r="F2981" s="21">
        <f t="shared" ca="1" si="179"/>
        <v>0</v>
      </c>
      <c r="H2981" s="21">
        <v>2966</v>
      </c>
      <c r="I2981" s="102">
        <v>0.6677406217477927</v>
      </c>
      <c r="J2981" s="103">
        <v>1.4055434140988682E-3</v>
      </c>
      <c r="K2981" s="103"/>
      <c r="L2981" s="103">
        <v>4.1799999999999997E-2</v>
      </c>
      <c r="O2981" s="100"/>
    </row>
    <row r="2982" spans="2:15" x14ac:dyDescent="0.2">
      <c r="B2982" s="1">
        <v>2967</v>
      </c>
      <c r="C2982" s="101">
        <f ca="1"/>
        <v>0.77735938600344578</v>
      </c>
      <c r="D2982" s="101">
        <f t="shared" ca="1" si="177"/>
        <v>0.71746050190787602</v>
      </c>
      <c r="E2982" s="101">
        <f t="shared" ca="1" si="178"/>
        <v>0</v>
      </c>
      <c r="F2982" s="21">
        <f t="shared" ca="1" si="179"/>
        <v>0</v>
      </c>
      <c r="H2982" s="21">
        <v>2967</v>
      </c>
      <c r="I2982" s="102">
        <v>0.66781686792057804</v>
      </c>
      <c r="J2982" s="103">
        <v>1.512142348836593E-3</v>
      </c>
      <c r="K2982" s="103"/>
      <c r="L2982" s="103">
        <v>4.2000000000000003E-2</v>
      </c>
      <c r="O2982" s="100"/>
    </row>
    <row r="2983" spans="2:15" x14ac:dyDescent="0.2">
      <c r="B2983" s="1">
        <v>2968</v>
      </c>
      <c r="C2983" s="101">
        <f ca="1"/>
        <v>1.3295624061288782</v>
      </c>
      <c r="D2983" s="101">
        <f t="shared" ca="1" si="177"/>
        <v>0.75762454106014177</v>
      </c>
      <c r="E2983" s="101">
        <f t="shared" ca="1" si="178"/>
        <v>0</v>
      </c>
      <c r="F2983" s="21">
        <f t="shared" ca="1" si="179"/>
        <v>0</v>
      </c>
      <c r="H2983" s="21">
        <v>2968</v>
      </c>
      <c r="I2983" s="102">
        <v>0.6678782936367379</v>
      </c>
      <c r="J2983" s="103">
        <v>1.5396109658396011E-3</v>
      </c>
      <c r="K2983" s="103"/>
      <c r="L2983" s="103">
        <v>4.4400000000000002E-2</v>
      </c>
      <c r="O2983" s="100"/>
    </row>
    <row r="2984" spans="2:15" x14ac:dyDescent="0.2">
      <c r="B2984" s="1">
        <v>2969</v>
      </c>
      <c r="C2984" s="101">
        <f ca="1"/>
        <v>0.17099265593141472</v>
      </c>
      <c r="D2984" s="101">
        <f t="shared" ca="1" si="177"/>
        <v>0.67580534159683348</v>
      </c>
      <c r="E2984" s="101">
        <f t="shared" ca="1" si="178"/>
        <v>0</v>
      </c>
      <c r="F2984" s="21">
        <f t="shared" ca="1" si="179"/>
        <v>0</v>
      </c>
      <c r="H2984" s="21">
        <v>2969</v>
      </c>
      <c r="I2984" s="102">
        <v>0.66775179703156751</v>
      </c>
      <c r="J2984" s="103">
        <v>1.5013830787504758E-3</v>
      </c>
      <c r="K2984" s="103"/>
      <c r="L2984" s="103">
        <v>4.0599999999999997E-2</v>
      </c>
      <c r="O2984" s="100"/>
    </row>
    <row r="2985" spans="2:15" x14ac:dyDescent="0.2">
      <c r="B2985" s="1">
        <v>2970</v>
      </c>
      <c r="C2985" s="101">
        <f ca="1"/>
        <v>-0.72356417508783011</v>
      </c>
      <c r="D2985" s="101">
        <f t="shared" ca="1" si="177"/>
        <v>0.61872741151428845</v>
      </c>
      <c r="E2985" s="101">
        <f t="shared" ca="1" si="178"/>
        <v>0</v>
      </c>
      <c r="F2985" s="21">
        <f t="shared" ca="1" si="179"/>
        <v>0</v>
      </c>
      <c r="H2985" s="21">
        <v>2970</v>
      </c>
      <c r="I2985" s="102">
        <v>0.66775573268524602</v>
      </c>
      <c r="J2985" s="103">
        <v>1.4353261572420722E-3</v>
      </c>
      <c r="K2985" s="103"/>
      <c r="L2985" s="103">
        <v>4.2000000000000003E-2</v>
      </c>
      <c r="O2985" s="100"/>
    </row>
    <row r="2986" spans="2:15" x14ac:dyDescent="0.2">
      <c r="B2986" s="1">
        <v>2971</v>
      </c>
      <c r="C2986" s="101">
        <f ca="1"/>
        <v>-2.0039343789414725</v>
      </c>
      <c r="D2986" s="101">
        <f t="shared" ca="1" si="177"/>
        <v>0.54531706284640113</v>
      </c>
      <c r="E2986" s="101">
        <f t="shared" ca="1" si="178"/>
        <v>0</v>
      </c>
      <c r="F2986" s="21">
        <f t="shared" ca="1" si="179"/>
        <v>0</v>
      </c>
      <c r="H2986" s="21">
        <v>2971</v>
      </c>
      <c r="I2986" s="102">
        <v>0.66774294705044335</v>
      </c>
      <c r="J2986" s="103">
        <v>1.3567403791830952E-3</v>
      </c>
      <c r="K2986" s="103"/>
      <c r="L2986" s="103">
        <v>4.0599999999999997E-2</v>
      </c>
      <c r="O2986" s="100"/>
    </row>
    <row r="2987" spans="2:15" x14ac:dyDescent="0.2">
      <c r="B2987" s="1">
        <v>2972</v>
      </c>
      <c r="C2987" s="101">
        <f ca="1"/>
        <v>1.9786030255931299</v>
      </c>
      <c r="D2987" s="101">
        <f t="shared" ca="1" si="177"/>
        <v>0.80771571738257397</v>
      </c>
      <c r="E2987" s="101">
        <f t="shared" ca="1" si="178"/>
        <v>1.951571738257396E-2</v>
      </c>
      <c r="F2987" s="21">
        <f t="shared" ca="1" si="179"/>
        <v>1</v>
      </c>
      <c r="H2987" s="21">
        <v>2972</v>
      </c>
      <c r="I2987" s="102">
        <v>0.66782548953910803</v>
      </c>
      <c r="J2987" s="103">
        <v>1.4492264067401753E-3</v>
      </c>
      <c r="K2987" s="103"/>
      <c r="L2987" s="103">
        <v>4.3999999999999997E-2</v>
      </c>
      <c r="O2987" s="100"/>
    </row>
    <row r="2988" spans="2:15" x14ac:dyDescent="0.2">
      <c r="B2988" s="1">
        <v>2973</v>
      </c>
      <c r="C2988" s="101">
        <f ca="1"/>
        <v>-1.2724274156383559</v>
      </c>
      <c r="D2988" s="101">
        <f t="shared" ca="1" si="177"/>
        <v>0.5861198019447339</v>
      </c>
      <c r="E2988" s="101">
        <f t="shared" ca="1" si="178"/>
        <v>0</v>
      </c>
      <c r="F2988" s="21">
        <f t="shared" ca="1" si="179"/>
        <v>0</v>
      </c>
      <c r="H2988" s="21">
        <v>2973</v>
      </c>
      <c r="I2988" s="102">
        <v>0.66761631753307671</v>
      </c>
      <c r="J2988" s="103">
        <v>1.2313997787082357E-3</v>
      </c>
      <c r="K2988" s="103"/>
      <c r="L2988" s="103">
        <v>3.9800000000000002E-2</v>
      </c>
      <c r="O2988" s="100"/>
    </row>
    <row r="2989" spans="2:15" x14ac:dyDescent="0.2">
      <c r="B2989" s="1">
        <v>2974</v>
      </c>
      <c r="C2989" s="101">
        <f ca="1"/>
        <v>1.7337949644658461</v>
      </c>
      <c r="D2989" s="101">
        <f t="shared" ca="1" si="177"/>
        <v>0.7884444628381132</v>
      </c>
      <c r="E2989" s="101">
        <f t="shared" ca="1" si="178"/>
        <v>2.4446283811319081E-4</v>
      </c>
      <c r="F2989" s="21">
        <f t="shared" ca="1" si="179"/>
        <v>1</v>
      </c>
      <c r="H2989" s="21">
        <v>2974</v>
      </c>
      <c r="I2989" s="102">
        <v>0.66779300486150883</v>
      </c>
      <c r="J2989" s="103">
        <v>1.3538035221412705E-3</v>
      </c>
      <c r="K2989" s="103"/>
      <c r="L2989" s="103">
        <v>4.5600000000000002E-2</v>
      </c>
      <c r="O2989" s="100"/>
    </row>
    <row r="2990" spans="2:15" x14ac:dyDescent="0.2">
      <c r="B2990" s="1">
        <v>2975</v>
      </c>
      <c r="C2990" s="101">
        <f ca="1"/>
        <v>-3.8874086967291012E-3</v>
      </c>
      <c r="D2990" s="101">
        <f t="shared" ca="1" si="177"/>
        <v>0.66424740431068652</v>
      </c>
      <c r="E2990" s="101">
        <f t="shared" ca="1" si="178"/>
        <v>0</v>
      </c>
      <c r="F2990" s="21">
        <f t="shared" ca="1" si="179"/>
        <v>0</v>
      </c>
      <c r="H2990" s="21">
        <v>2975</v>
      </c>
      <c r="I2990" s="102">
        <v>0.66764437259357756</v>
      </c>
      <c r="J2990" s="103">
        <v>1.3210340796782729E-3</v>
      </c>
      <c r="K2990" s="103"/>
      <c r="L2990" s="103">
        <v>4.0599999999999997E-2</v>
      </c>
      <c r="O2990" s="100"/>
    </row>
    <row r="2991" spans="2:15" x14ac:dyDescent="0.2">
      <c r="B2991" s="1">
        <v>2976</v>
      </c>
      <c r="C2991" s="101">
        <f ca="1"/>
        <v>-0.87362058754512606</v>
      </c>
      <c r="D2991" s="101">
        <f t="shared" ca="1" si="177"/>
        <v>0.60963660071218184</v>
      </c>
      <c r="E2991" s="101">
        <f t="shared" ca="1" si="178"/>
        <v>0</v>
      </c>
      <c r="F2991" s="21">
        <f t="shared" ca="1" si="179"/>
        <v>0</v>
      </c>
      <c r="H2991" s="21">
        <v>2976</v>
      </c>
      <c r="I2991" s="102">
        <v>0.66787638093710433</v>
      </c>
      <c r="J2991" s="103">
        <v>1.5583335127586483E-3</v>
      </c>
      <c r="K2991" s="103"/>
      <c r="L2991" s="103">
        <v>4.6199999999999998E-2</v>
      </c>
      <c r="O2991" s="100"/>
    </row>
    <row r="2992" spans="2:15" x14ac:dyDescent="0.2">
      <c r="B2992" s="1">
        <v>2977</v>
      </c>
      <c r="C2992" s="101">
        <f ca="1"/>
        <v>-1.9871804884439503</v>
      </c>
      <c r="D2992" s="101">
        <f t="shared" ca="1" si="177"/>
        <v>0.54621901307447673</v>
      </c>
      <c r="E2992" s="101">
        <f t="shared" ca="1" si="178"/>
        <v>0</v>
      </c>
      <c r="F2992" s="21">
        <f t="shared" ca="1" si="179"/>
        <v>0</v>
      </c>
      <c r="H2992" s="21">
        <v>2977</v>
      </c>
      <c r="I2992" s="102">
        <v>0.66768454420470047</v>
      </c>
      <c r="J2992" s="103">
        <v>1.2558295910711174E-3</v>
      </c>
      <c r="K2992" s="103"/>
      <c r="L2992" s="103">
        <v>4.1000000000000002E-2</v>
      </c>
      <c r="O2992" s="100"/>
    </row>
    <row r="2993" spans="2:15" x14ac:dyDescent="0.2">
      <c r="B2993" s="1">
        <v>2978</v>
      </c>
      <c r="C2993" s="101">
        <f ca="1"/>
        <v>-1.3273463360304594</v>
      </c>
      <c r="D2993" s="101">
        <f t="shared" ca="1" si="177"/>
        <v>0.58295321460751259</v>
      </c>
      <c r="E2993" s="101">
        <f t="shared" ca="1" si="178"/>
        <v>0</v>
      </c>
      <c r="F2993" s="21">
        <f t="shared" ca="1" si="179"/>
        <v>0</v>
      </c>
      <c r="H2993" s="21">
        <v>2978</v>
      </c>
      <c r="I2993" s="102">
        <v>0.66763853801200013</v>
      </c>
      <c r="J2993" s="103">
        <v>1.2343581385878429E-3</v>
      </c>
      <c r="K2993" s="103"/>
      <c r="L2993" s="103">
        <v>3.8399999999999997E-2</v>
      </c>
      <c r="O2993" s="100"/>
    </row>
    <row r="2994" spans="2:15" x14ac:dyDescent="0.2">
      <c r="B2994" s="1">
        <v>2979</v>
      </c>
      <c r="C2994" s="101">
        <f ca="1"/>
        <v>4.914111219451415E-3</v>
      </c>
      <c r="D2994" s="101">
        <f t="shared" ca="1" si="177"/>
        <v>0.66482435006553253</v>
      </c>
      <c r="E2994" s="101">
        <f t="shared" ca="1" si="178"/>
        <v>0</v>
      </c>
      <c r="F2994" s="21">
        <f t="shared" ca="1" si="179"/>
        <v>0</v>
      </c>
      <c r="H2994" s="21">
        <v>2979</v>
      </c>
      <c r="I2994" s="102">
        <v>0.66784757073033985</v>
      </c>
      <c r="J2994" s="103">
        <v>1.4475631309991991E-3</v>
      </c>
      <c r="K2994" s="103"/>
      <c r="L2994" s="103">
        <v>4.58E-2</v>
      </c>
      <c r="O2994" s="100"/>
    </row>
    <row r="2995" spans="2:15" x14ac:dyDescent="0.2">
      <c r="B2995" s="1">
        <v>2980</v>
      </c>
      <c r="C2995" s="101">
        <f ca="1"/>
        <v>-0.4100517726736107</v>
      </c>
      <c r="D2995" s="101">
        <f t="shared" ca="1" si="177"/>
        <v>0.63816067006092336</v>
      </c>
      <c r="E2995" s="101">
        <f t="shared" ca="1" si="178"/>
        <v>0</v>
      </c>
      <c r="F2995" s="21">
        <f t="shared" ca="1" si="179"/>
        <v>0</v>
      </c>
      <c r="H2995" s="21">
        <v>2980</v>
      </c>
      <c r="I2995" s="102">
        <v>0.66766595250458305</v>
      </c>
      <c r="J2995" s="103">
        <v>1.3351812357408541E-3</v>
      </c>
      <c r="K2995" s="103"/>
      <c r="L2995" s="103">
        <v>4.1000000000000002E-2</v>
      </c>
      <c r="O2995" s="100"/>
    </row>
    <row r="2996" spans="2:15" x14ac:dyDescent="0.2">
      <c r="B2996" s="1">
        <v>2981</v>
      </c>
      <c r="C2996" s="101">
        <f ca="1"/>
        <v>-1.3837411257199388</v>
      </c>
      <c r="D2996" s="101">
        <f t="shared" ca="1" si="177"/>
        <v>0.5797193324922103</v>
      </c>
      <c r="E2996" s="101">
        <f t="shared" ca="1" si="178"/>
        <v>0</v>
      </c>
      <c r="F2996" s="21">
        <f t="shared" ca="1" si="179"/>
        <v>0</v>
      </c>
      <c r="H2996" s="21">
        <v>2981</v>
      </c>
      <c r="I2996" s="102">
        <v>0.66767446863997004</v>
      </c>
      <c r="J2996" s="103">
        <v>1.3196835615702752E-3</v>
      </c>
      <c r="K2996" s="103"/>
      <c r="L2996" s="103">
        <v>3.78E-2</v>
      </c>
      <c r="O2996" s="100"/>
    </row>
    <row r="2997" spans="2:15" x14ac:dyDescent="0.2">
      <c r="B2997" s="1">
        <v>2982</v>
      </c>
      <c r="C2997" s="101">
        <f ca="1"/>
        <v>-0.62391551925110167</v>
      </c>
      <c r="D2997" s="101">
        <f t="shared" ca="1" si="177"/>
        <v>0.62483916592206723</v>
      </c>
      <c r="E2997" s="101">
        <f t="shared" ca="1" si="178"/>
        <v>0</v>
      </c>
      <c r="F2997" s="21">
        <f t="shared" ca="1" si="179"/>
        <v>0</v>
      </c>
      <c r="H2997" s="21">
        <v>2982</v>
      </c>
      <c r="I2997" s="102">
        <v>0.66776033241918697</v>
      </c>
      <c r="J2997" s="103">
        <v>1.3407725038139043E-3</v>
      </c>
      <c r="K2997" s="103"/>
      <c r="L2997" s="103">
        <v>4.02E-2</v>
      </c>
      <c r="O2997" s="100"/>
    </row>
    <row r="2998" spans="2:15" x14ac:dyDescent="0.2">
      <c r="B2998" s="1">
        <v>2983</v>
      </c>
      <c r="C2998" s="101">
        <f ca="1"/>
        <v>0.17850438693990608</v>
      </c>
      <c r="D2998" s="101">
        <f t="shared" ca="1" si="177"/>
        <v>0.67630627668995624</v>
      </c>
      <c r="E2998" s="101">
        <f t="shared" ca="1" si="178"/>
        <v>0</v>
      </c>
      <c r="F2998" s="21">
        <f t="shared" ca="1" si="179"/>
        <v>0</v>
      </c>
      <c r="H2998" s="21">
        <v>2983</v>
      </c>
      <c r="I2998" s="102">
        <v>0.66790380960289053</v>
      </c>
      <c r="J2998" s="103">
        <v>1.5051209930902593E-3</v>
      </c>
      <c r="K2998" s="103"/>
      <c r="L2998" s="103">
        <v>4.36E-2</v>
      </c>
      <c r="O2998" s="100"/>
    </row>
    <row r="2999" spans="2:15" x14ac:dyDescent="0.2">
      <c r="B2999" s="1">
        <v>2984</v>
      </c>
      <c r="C2999" s="101">
        <f ca="1"/>
        <v>-0.1464324819061959</v>
      </c>
      <c r="D2999" s="101">
        <f t="shared" ca="1" si="177"/>
        <v>0.65497288768425754</v>
      </c>
      <c r="E2999" s="101">
        <f t="shared" ca="1" si="178"/>
        <v>0</v>
      </c>
      <c r="F2999" s="21">
        <f t="shared" ca="1" si="179"/>
        <v>0</v>
      </c>
      <c r="H2999" s="21">
        <v>2984</v>
      </c>
      <c r="I2999" s="102">
        <v>0.66763268302304291</v>
      </c>
      <c r="J2999" s="103">
        <v>1.1479035734935999E-3</v>
      </c>
      <c r="K2999" s="103"/>
      <c r="L2999" s="103">
        <v>3.7199999999999997E-2</v>
      </c>
      <c r="O2999" s="100"/>
    </row>
    <row r="3000" spans="2:15" x14ac:dyDescent="0.2">
      <c r="B3000" s="1">
        <v>2985</v>
      </c>
      <c r="C3000" s="101">
        <f ca="1"/>
        <v>-2.1854761693277238</v>
      </c>
      <c r="D3000" s="101">
        <f t="shared" ca="1" si="177"/>
        <v>0.53563870143892356</v>
      </c>
      <c r="E3000" s="101">
        <f t="shared" ca="1" si="178"/>
        <v>0</v>
      </c>
      <c r="F3000" s="21">
        <f t="shared" ca="1" si="179"/>
        <v>0</v>
      </c>
      <c r="H3000" s="21">
        <v>2985</v>
      </c>
      <c r="I3000" s="102">
        <v>0.66778701856546052</v>
      </c>
      <c r="J3000" s="103">
        <v>1.3552770341332138E-3</v>
      </c>
      <c r="K3000" s="103"/>
      <c r="L3000" s="103">
        <v>4.3400000000000001E-2</v>
      </c>
      <c r="O3000" s="100"/>
    </row>
    <row r="3001" spans="2:15" x14ac:dyDescent="0.2">
      <c r="B3001" s="1">
        <v>2986</v>
      </c>
      <c r="C3001" s="101">
        <f ca="1"/>
        <v>-1.6676666330632153</v>
      </c>
      <c r="D3001" s="101">
        <f t="shared" ca="1" si="177"/>
        <v>0.56370850819776408</v>
      </c>
      <c r="E3001" s="101">
        <f t="shared" ca="1" si="178"/>
        <v>0</v>
      </c>
      <c r="F3001" s="21">
        <f t="shared" ca="1" si="179"/>
        <v>0</v>
      </c>
      <c r="H3001" s="21">
        <v>2986</v>
      </c>
      <c r="I3001" s="102">
        <v>0.6679905015126979</v>
      </c>
      <c r="J3001" s="103">
        <v>1.6633487647704551E-3</v>
      </c>
      <c r="K3001" s="103"/>
      <c r="L3001" s="103">
        <v>4.9399999999999999E-2</v>
      </c>
      <c r="O3001" s="100"/>
    </row>
    <row r="3002" spans="2:15" x14ac:dyDescent="0.2">
      <c r="B3002" s="1">
        <v>2987</v>
      </c>
      <c r="C3002" s="101">
        <f ca="1"/>
        <v>-0.12136130842018597</v>
      </c>
      <c r="D3002" s="101">
        <f t="shared" ca="1" si="177"/>
        <v>0.65659467542485161</v>
      </c>
      <c r="E3002" s="101">
        <f t="shared" ca="1" si="178"/>
        <v>0</v>
      </c>
      <c r="F3002" s="21">
        <f t="shared" ca="1" si="179"/>
        <v>0</v>
      </c>
      <c r="H3002" s="21">
        <v>2987</v>
      </c>
      <c r="I3002" s="102">
        <v>0.66780103044318695</v>
      </c>
      <c r="J3002" s="103">
        <v>1.5015013904926473E-3</v>
      </c>
      <c r="K3002" s="103"/>
      <c r="L3002" s="103">
        <v>4.24E-2</v>
      </c>
      <c r="O3002" s="100"/>
    </row>
    <row r="3003" spans="2:15" x14ac:dyDescent="0.2">
      <c r="B3003" s="1">
        <v>2988</v>
      </c>
      <c r="C3003" s="101">
        <f ca="1"/>
        <v>1.6078408046545742</v>
      </c>
      <c r="D3003" s="101">
        <f t="shared" ca="1" si="177"/>
        <v>0.77870920591571446</v>
      </c>
      <c r="E3003" s="101">
        <f t="shared" ca="1" si="178"/>
        <v>0</v>
      </c>
      <c r="F3003" s="21">
        <f t="shared" ca="1" si="179"/>
        <v>0</v>
      </c>
      <c r="H3003" s="21">
        <v>2988</v>
      </c>
      <c r="I3003" s="102">
        <v>0.66776523786037834</v>
      </c>
      <c r="J3003" s="103">
        <v>1.2808377655710115E-3</v>
      </c>
      <c r="K3003" s="103"/>
      <c r="L3003" s="103">
        <v>3.9399999999999998E-2</v>
      </c>
      <c r="O3003" s="100"/>
    </row>
    <row r="3004" spans="2:15" x14ac:dyDescent="0.2">
      <c r="B3004" s="1">
        <v>2989</v>
      </c>
      <c r="C3004" s="101">
        <f ca="1"/>
        <v>-0.12978799906413196</v>
      </c>
      <c r="D3004" s="101">
        <f t="shared" ca="1" si="177"/>
        <v>0.656049127606672</v>
      </c>
      <c r="E3004" s="101">
        <f t="shared" ca="1" si="178"/>
        <v>0</v>
      </c>
      <c r="F3004" s="21">
        <f t="shared" ca="1" si="179"/>
        <v>0</v>
      </c>
      <c r="H3004" s="21">
        <v>2989</v>
      </c>
      <c r="I3004" s="102">
        <v>0.66789263122833376</v>
      </c>
      <c r="J3004" s="103">
        <v>1.609606197156527E-3</v>
      </c>
      <c r="K3004" s="103"/>
      <c r="L3004" s="103">
        <v>4.3999999999999997E-2</v>
      </c>
      <c r="O3004" s="100"/>
    </row>
    <row r="3005" spans="2:15" x14ac:dyDescent="0.2">
      <c r="B3005" s="1">
        <v>2990</v>
      </c>
      <c r="C3005" s="101">
        <f ca="1"/>
        <v>0.31365227963200942</v>
      </c>
      <c r="D3005" s="101">
        <f t="shared" ca="1" si="177"/>
        <v>0.68538259334515816</v>
      </c>
      <c r="E3005" s="101">
        <f t="shared" ca="1" si="178"/>
        <v>0</v>
      </c>
      <c r="F3005" s="21">
        <f t="shared" ca="1" si="179"/>
        <v>0</v>
      </c>
      <c r="H3005" s="21">
        <v>2990</v>
      </c>
      <c r="I3005" s="102">
        <v>0.6677108757027399</v>
      </c>
      <c r="J3005" s="103">
        <v>1.3477732834307535E-3</v>
      </c>
      <c r="K3005" s="103"/>
      <c r="L3005" s="103">
        <v>3.7199999999999997E-2</v>
      </c>
      <c r="O3005" s="100"/>
    </row>
    <row r="3006" spans="2:15" x14ac:dyDescent="0.2">
      <c r="B3006" s="1">
        <v>2991</v>
      </c>
      <c r="C3006" s="101">
        <f ca="1"/>
        <v>0.94382484233093977</v>
      </c>
      <c r="D3006" s="101">
        <f t="shared" ca="1" si="177"/>
        <v>0.72933872673345679</v>
      </c>
      <c r="E3006" s="101">
        <f t="shared" ca="1" si="178"/>
        <v>0</v>
      </c>
      <c r="F3006" s="21">
        <f t="shared" ca="1" si="179"/>
        <v>0</v>
      </c>
      <c r="H3006" s="21">
        <v>2991</v>
      </c>
      <c r="I3006" s="102">
        <v>0.66755984463154106</v>
      </c>
      <c r="J3006" s="103">
        <v>1.3039070243460182E-3</v>
      </c>
      <c r="K3006" s="103"/>
      <c r="L3006" s="103">
        <v>4.0399999999999998E-2</v>
      </c>
      <c r="O3006" s="100"/>
    </row>
    <row r="3007" spans="2:15" x14ac:dyDescent="0.2">
      <c r="B3007" s="1">
        <v>2992</v>
      </c>
      <c r="C3007" s="101">
        <f ca="1"/>
        <v>-1.363923463027322</v>
      </c>
      <c r="D3007" s="101">
        <f t="shared" ca="1" si="177"/>
        <v>0.58085369972679257</v>
      </c>
      <c r="E3007" s="101">
        <f t="shared" ca="1" si="178"/>
        <v>0</v>
      </c>
      <c r="F3007" s="21">
        <f t="shared" ca="1" si="179"/>
        <v>0</v>
      </c>
      <c r="H3007" s="21">
        <v>2992</v>
      </c>
      <c r="I3007" s="102">
        <v>0.66766050781212505</v>
      </c>
      <c r="J3007" s="103">
        <v>1.189126314923894E-3</v>
      </c>
      <c r="K3007" s="103"/>
      <c r="L3007" s="103">
        <v>3.7400000000000003E-2</v>
      </c>
      <c r="O3007" s="100"/>
    </row>
    <row r="3008" spans="2:15" x14ac:dyDescent="0.2">
      <c r="B3008" s="1">
        <v>2993</v>
      </c>
      <c r="C3008" s="101">
        <f ca="1"/>
        <v>1.1282825751061674</v>
      </c>
      <c r="D3008" s="101">
        <f t="shared" ca="1" si="177"/>
        <v>0.74273062248850208</v>
      </c>
      <c r="E3008" s="101">
        <f t="shared" ca="1" si="178"/>
        <v>0</v>
      </c>
      <c r="F3008" s="21">
        <f t="shared" ca="1" si="179"/>
        <v>0</v>
      </c>
      <c r="H3008" s="21">
        <v>2993</v>
      </c>
      <c r="I3008" s="102">
        <v>0.66769687890187979</v>
      </c>
      <c r="J3008" s="103">
        <v>1.416009666676948E-3</v>
      </c>
      <c r="K3008" s="103"/>
      <c r="L3008" s="103">
        <v>4.1000000000000002E-2</v>
      </c>
      <c r="O3008" s="100"/>
    </row>
    <row r="3009" spans="2:15" x14ac:dyDescent="0.2">
      <c r="B3009" s="1">
        <v>2994</v>
      </c>
      <c r="C3009" s="101">
        <f ca="1"/>
        <v>1.3753756198496112</v>
      </c>
      <c r="D3009" s="101">
        <f t="shared" ca="1" si="177"/>
        <v>0.76105605183534686</v>
      </c>
      <c r="E3009" s="101">
        <f t="shared" ca="1" si="178"/>
        <v>0</v>
      </c>
      <c r="F3009" s="21">
        <f t="shared" ca="1" si="179"/>
        <v>0</v>
      </c>
      <c r="H3009" s="21">
        <v>2994</v>
      </c>
      <c r="I3009" s="102">
        <v>0.66771408512333374</v>
      </c>
      <c r="J3009" s="103">
        <v>1.3450327769793822E-3</v>
      </c>
      <c r="K3009" s="103"/>
      <c r="L3009" s="103">
        <v>4.2599999999999999E-2</v>
      </c>
      <c r="O3009" s="100"/>
    </row>
    <row r="3010" spans="2:15" x14ac:dyDescent="0.2">
      <c r="B3010" s="1">
        <v>2995</v>
      </c>
      <c r="C3010" s="101">
        <f ca="1"/>
        <v>0.85281418619747074</v>
      </c>
      <c r="D3010" s="101">
        <f t="shared" ca="1" si="177"/>
        <v>0.72282045503881831</v>
      </c>
      <c r="E3010" s="101">
        <f t="shared" ca="1" si="178"/>
        <v>0</v>
      </c>
      <c r="F3010" s="21">
        <f t="shared" ca="1" si="179"/>
        <v>0</v>
      </c>
      <c r="H3010" s="21">
        <v>2995</v>
      </c>
      <c r="I3010" s="102">
        <v>0.66785781507204667</v>
      </c>
      <c r="J3010" s="103">
        <v>1.4608431610285265E-3</v>
      </c>
      <c r="K3010" s="103"/>
      <c r="L3010" s="103">
        <v>4.4400000000000002E-2</v>
      </c>
      <c r="O3010" s="100"/>
    </row>
    <row r="3011" spans="2:15" x14ac:dyDescent="0.2">
      <c r="B3011" s="1">
        <v>2996</v>
      </c>
      <c r="C3011" s="101">
        <f ca="1"/>
        <v>-1.1630879806057335</v>
      </c>
      <c r="D3011" s="101">
        <f t="shared" ca="1" si="177"/>
        <v>0.59247554369357025</v>
      </c>
      <c r="E3011" s="101">
        <f t="shared" ca="1" si="178"/>
        <v>0</v>
      </c>
      <c r="F3011" s="21">
        <f t="shared" ca="1" si="179"/>
        <v>0</v>
      </c>
      <c r="H3011" s="21">
        <v>2996</v>
      </c>
      <c r="I3011" s="102">
        <v>0.66786942150016271</v>
      </c>
      <c r="J3011" s="103">
        <v>1.6258581448936294E-3</v>
      </c>
      <c r="K3011" s="103"/>
      <c r="L3011" s="103">
        <v>4.5600000000000002E-2</v>
      </c>
      <c r="O3011" s="100"/>
    </row>
    <row r="3012" spans="2:15" x14ac:dyDescent="0.2">
      <c r="B3012" s="1">
        <v>2997</v>
      </c>
      <c r="C3012" s="101">
        <f ca="1"/>
        <v>2.1318330667246421E-2</v>
      </c>
      <c r="D3012" s="101">
        <f t="shared" ca="1" si="177"/>
        <v>0.66590099576370609</v>
      </c>
      <c r="E3012" s="101">
        <f t="shared" ca="1" si="178"/>
        <v>0</v>
      </c>
      <c r="F3012" s="21">
        <f t="shared" ca="1" si="179"/>
        <v>0</v>
      </c>
      <c r="H3012" s="21">
        <v>2997</v>
      </c>
      <c r="I3012" s="102">
        <v>0.6677086274702313</v>
      </c>
      <c r="J3012" s="103">
        <v>1.2590177988148483E-3</v>
      </c>
      <c r="K3012" s="103"/>
      <c r="L3012" s="103">
        <v>3.78E-2</v>
      </c>
      <c r="O3012" s="100"/>
    </row>
    <row r="3013" spans="2:15" x14ac:dyDescent="0.2">
      <c r="B3013" s="1">
        <v>2998</v>
      </c>
      <c r="C3013" s="101">
        <f ca="1"/>
        <v>1.052819945155989</v>
      </c>
      <c r="D3013" s="101">
        <f t="shared" ca="1" si="177"/>
        <v>0.73722245948526466</v>
      </c>
      <c r="E3013" s="101">
        <f t="shared" ca="1" si="178"/>
        <v>0</v>
      </c>
      <c r="F3013" s="21">
        <f t="shared" ca="1" si="179"/>
        <v>0</v>
      </c>
      <c r="H3013" s="21">
        <v>2998</v>
      </c>
      <c r="I3013" s="102">
        <v>0.66773209471302752</v>
      </c>
      <c r="J3013" s="103">
        <v>1.3690111970388959E-3</v>
      </c>
      <c r="K3013" s="103"/>
      <c r="L3013" s="103">
        <v>4.4999999999999998E-2</v>
      </c>
      <c r="O3013" s="100"/>
    </row>
    <row r="3014" spans="2:15" x14ac:dyDescent="0.2">
      <c r="B3014" s="1">
        <v>2999</v>
      </c>
      <c r="C3014" s="101">
        <f ca="1"/>
        <v>0.44467366613255865</v>
      </c>
      <c r="D3014" s="101">
        <f t="shared" ca="1" si="177"/>
        <v>0.69429805060410266</v>
      </c>
      <c r="E3014" s="101">
        <f t="shared" ca="1" si="178"/>
        <v>0</v>
      </c>
      <c r="F3014" s="21">
        <f t="shared" ca="1" si="179"/>
        <v>0</v>
      </c>
      <c r="H3014" s="21">
        <v>2999</v>
      </c>
      <c r="I3014" s="102">
        <v>0.66755374956423752</v>
      </c>
      <c r="J3014" s="103">
        <v>1.1718612419503581E-3</v>
      </c>
      <c r="K3014" s="103"/>
      <c r="L3014" s="103">
        <v>3.8800000000000001E-2</v>
      </c>
      <c r="O3014" s="100"/>
    </row>
    <row r="3015" spans="2:15" x14ac:dyDescent="0.2">
      <c r="B3015" s="1">
        <v>3000</v>
      </c>
      <c r="C3015" s="101">
        <f ca="1"/>
        <v>-1.2406256385888064</v>
      </c>
      <c r="D3015" s="101">
        <f t="shared" ca="1" si="177"/>
        <v>0.58796132875394025</v>
      </c>
      <c r="E3015" s="101">
        <f t="shared" ca="1" si="178"/>
        <v>0</v>
      </c>
      <c r="F3015" s="21">
        <f t="shared" ca="1" si="179"/>
        <v>0</v>
      </c>
      <c r="H3015" s="21">
        <v>3000</v>
      </c>
      <c r="I3015" s="102">
        <v>0.66772210646642249</v>
      </c>
      <c r="J3015" s="103">
        <v>1.2854463652912859E-3</v>
      </c>
      <c r="K3015" s="103"/>
      <c r="L3015" s="103">
        <v>3.9199999999999999E-2</v>
      </c>
      <c r="O3015" s="100"/>
    </row>
    <row r="3016" spans="2:15" x14ac:dyDescent="0.2">
      <c r="B3016" s="1">
        <v>3001</v>
      </c>
      <c r="C3016" s="101">
        <f ca="1"/>
        <v>0.31604593373479078</v>
      </c>
      <c r="D3016" s="101">
        <f t="shared" ca="1" si="177"/>
        <v>0.68554444033853257</v>
      </c>
      <c r="E3016" s="101">
        <f t="shared" ca="1" si="178"/>
        <v>0</v>
      </c>
      <c r="F3016" s="21">
        <f t="shared" ca="1" si="179"/>
        <v>0</v>
      </c>
      <c r="H3016" s="21">
        <v>3001</v>
      </c>
      <c r="I3016" s="102">
        <v>0.66773213975127854</v>
      </c>
      <c r="J3016" s="103">
        <v>1.4336298248922503E-3</v>
      </c>
      <c r="K3016" s="103"/>
      <c r="L3016" s="103">
        <v>4.24E-2</v>
      </c>
      <c r="O3016" s="100"/>
    </row>
    <row r="3017" spans="2:15" x14ac:dyDescent="0.2">
      <c r="B3017" s="1">
        <v>3002</v>
      </c>
      <c r="C3017" s="101">
        <f ca="1"/>
        <v>0.40801499627519489</v>
      </c>
      <c r="D3017" s="101">
        <f t="shared" ca="1" si="177"/>
        <v>0.69179196115261288</v>
      </c>
      <c r="E3017" s="101">
        <f t="shared" ca="1" si="178"/>
        <v>0</v>
      </c>
      <c r="F3017" s="21">
        <f t="shared" ca="1" si="179"/>
        <v>0</v>
      </c>
      <c r="H3017" s="21">
        <v>3002</v>
      </c>
      <c r="I3017" s="102">
        <v>0.667759038680802</v>
      </c>
      <c r="J3017" s="103">
        <v>1.3360084579202977E-3</v>
      </c>
      <c r="K3017" s="103"/>
      <c r="L3017" s="103">
        <v>3.8600000000000002E-2</v>
      </c>
      <c r="O3017" s="100"/>
    </row>
    <row r="3018" spans="2:15" x14ac:dyDescent="0.2">
      <c r="B3018" s="1">
        <v>3003</v>
      </c>
      <c r="C3018" s="101">
        <f ca="1"/>
        <v>2.0274417280325929</v>
      </c>
      <c r="D3018" s="101">
        <f t="shared" ca="1" si="177"/>
        <v>0.8116162874299645</v>
      </c>
      <c r="E3018" s="101">
        <f t="shared" ca="1" si="178"/>
        <v>2.3416287429964489E-2</v>
      </c>
      <c r="F3018" s="21">
        <f t="shared" ca="1" si="179"/>
        <v>1</v>
      </c>
      <c r="H3018" s="21">
        <v>3003</v>
      </c>
      <c r="I3018" s="102">
        <v>0.66780515701584875</v>
      </c>
      <c r="J3018" s="103">
        <v>1.4682266303263311E-3</v>
      </c>
      <c r="K3018" s="103"/>
      <c r="L3018" s="103">
        <v>4.4200000000000003E-2</v>
      </c>
      <c r="O3018" s="100"/>
    </row>
    <row r="3019" spans="2:15" x14ac:dyDescent="0.2">
      <c r="B3019" s="1">
        <v>3004</v>
      </c>
      <c r="C3019" s="101">
        <f ca="1"/>
        <v>-1.4147601536367711</v>
      </c>
      <c r="D3019" s="101">
        <f t="shared" ca="1" si="177"/>
        <v>0.57794824254013055</v>
      </c>
      <c r="E3019" s="101">
        <f t="shared" ca="1" si="178"/>
        <v>0</v>
      </c>
      <c r="F3019" s="21">
        <f t="shared" ca="1" si="179"/>
        <v>0</v>
      </c>
      <c r="H3019" s="21">
        <v>3004</v>
      </c>
      <c r="I3019" s="102">
        <v>0.66773596829230286</v>
      </c>
      <c r="J3019" s="103">
        <v>1.3520836043139522E-3</v>
      </c>
      <c r="K3019" s="103"/>
      <c r="L3019" s="103">
        <v>4.0800000000000003E-2</v>
      </c>
      <c r="O3019" s="100"/>
    </row>
    <row r="3020" spans="2:15" x14ac:dyDescent="0.2">
      <c r="B3020" s="1">
        <v>3005</v>
      </c>
      <c r="C3020" s="101">
        <f ca="1"/>
        <v>-1.3570396979345338E-2</v>
      </c>
      <c r="D3020" s="101">
        <f t="shared" ca="1" si="177"/>
        <v>0.66361325608326183</v>
      </c>
      <c r="E3020" s="101">
        <f t="shared" ca="1" si="178"/>
        <v>0</v>
      </c>
      <c r="F3020" s="21">
        <f t="shared" ca="1" si="179"/>
        <v>0</v>
      </c>
      <c r="H3020" s="21">
        <v>3005</v>
      </c>
      <c r="I3020" s="102">
        <v>0.66788853472636589</v>
      </c>
      <c r="J3020" s="103">
        <v>1.5112191528506129E-3</v>
      </c>
      <c r="K3020" s="103"/>
      <c r="L3020" s="103">
        <v>4.2999999999999997E-2</v>
      </c>
      <c r="O3020" s="100"/>
    </row>
    <row r="3021" spans="2:15" x14ac:dyDescent="0.2">
      <c r="B3021" s="1">
        <v>3006</v>
      </c>
      <c r="C3021" s="101">
        <f ca="1"/>
        <v>0.51205344263943808</v>
      </c>
      <c r="D3021" s="101">
        <f t="shared" ca="1" si="177"/>
        <v>0.69892802368597229</v>
      </c>
      <c r="E3021" s="101">
        <f t="shared" ca="1" si="178"/>
        <v>0</v>
      </c>
      <c r="F3021" s="21">
        <f t="shared" ca="1" si="179"/>
        <v>0</v>
      </c>
      <c r="H3021" s="21">
        <v>3006</v>
      </c>
      <c r="I3021" s="102">
        <v>0.66768119811277959</v>
      </c>
      <c r="J3021" s="103">
        <v>1.309696163928427E-3</v>
      </c>
      <c r="K3021" s="103"/>
      <c r="L3021" s="103">
        <v>3.8399999999999997E-2</v>
      </c>
      <c r="O3021" s="100"/>
    </row>
    <row r="3022" spans="2:15" x14ac:dyDescent="0.2">
      <c r="B3022" s="1">
        <v>3007</v>
      </c>
      <c r="C3022" s="101">
        <f ca="1"/>
        <v>0.12461959773308819</v>
      </c>
      <c r="D3022" s="101">
        <f t="shared" ca="1" si="177"/>
        <v>0.67272106484445382</v>
      </c>
      <c r="E3022" s="101">
        <f t="shared" ca="1" si="178"/>
        <v>0</v>
      </c>
      <c r="F3022" s="21">
        <f t="shared" ca="1" si="179"/>
        <v>0</v>
      </c>
      <c r="H3022" s="21">
        <v>3007</v>
      </c>
      <c r="I3022" s="102">
        <v>0.66773889887612081</v>
      </c>
      <c r="J3022" s="103">
        <v>1.4614990662754578E-3</v>
      </c>
      <c r="K3022" s="103"/>
      <c r="L3022" s="103">
        <v>4.2599999999999999E-2</v>
      </c>
      <c r="O3022" s="100"/>
    </row>
    <row r="3023" spans="2:15" x14ac:dyDescent="0.2">
      <c r="B3023" s="1">
        <v>3008</v>
      </c>
      <c r="C3023" s="101">
        <f ca="1"/>
        <v>1.1186424179609078</v>
      </c>
      <c r="D3023" s="101">
        <f t="shared" ca="1" si="177"/>
        <v>0.74202468235725427</v>
      </c>
      <c r="E3023" s="101">
        <f t="shared" ca="1" si="178"/>
        <v>0</v>
      </c>
      <c r="F3023" s="21">
        <f t="shared" ca="1" si="179"/>
        <v>0</v>
      </c>
      <c r="H3023" s="21">
        <v>3008</v>
      </c>
      <c r="I3023" s="102">
        <v>0.66767614297152078</v>
      </c>
      <c r="J3023" s="103">
        <v>1.3067500062542744E-3</v>
      </c>
      <c r="K3023" s="103"/>
      <c r="L3023" s="103">
        <v>4.1000000000000002E-2</v>
      </c>
      <c r="O3023" s="100"/>
    </row>
    <row r="3024" spans="2:15" x14ac:dyDescent="0.2">
      <c r="B3024" s="1">
        <v>3009</v>
      </c>
      <c r="C3024" s="101">
        <f ca="1"/>
        <v>-0.29491539059360133</v>
      </c>
      <c r="D3024" s="101">
        <f t="shared" ref="D3024:D3087" ca="1" si="180">S0*EXP((μ-0.5*σ*σ)*T+σ*SQRT(T)*$C3024)</f>
        <v>0.64544970503639709</v>
      </c>
      <c r="E3024" s="101">
        <f t="shared" ref="E3024:E3087" ca="1" si="181">MAX(0,CP*(D3024-K))</f>
        <v>0</v>
      </c>
      <c r="F3024" s="21">
        <f t="shared" ref="F3024:F3087" ca="1" si="182">(CP*(D3024-K)&gt;0)*1</f>
        <v>0</v>
      </c>
      <c r="H3024" s="21">
        <v>3009</v>
      </c>
      <c r="I3024" s="102">
        <v>0.66784090601392732</v>
      </c>
      <c r="J3024" s="103">
        <v>1.5148291649900176E-3</v>
      </c>
      <c r="K3024" s="103"/>
      <c r="L3024" s="103">
        <v>4.3200000000000002E-2</v>
      </c>
      <c r="O3024" s="100"/>
    </row>
    <row r="3025" spans="2:15" x14ac:dyDescent="0.2">
      <c r="B3025" s="1">
        <v>3010</v>
      </c>
      <c r="C3025" s="101">
        <f ca="1"/>
        <v>0.12378223204782077</v>
      </c>
      <c r="D3025" s="101">
        <f t="shared" ca="1" si="180"/>
        <v>0.6726655011452749</v>
      </c>
      <c r="E3025" s="101">
        <f t="shared" ca="1" si="181"/>
        <v>0</v>
      </c>
      <c r="F3025" s="21">
        <f t="shared" ca="1" si="182"/>
        <v>0</v>
      </c>
      <c r="H3025" s="21">
        <v>3010</v>
      </c>
      <c r="I3025" s="102">
        <v>0.66772211904457268</v>
      </c>
      <c r="J3025" s="103">
        <v>1.3292521478461133E-3</v>
      </c>
      <c r="K3025" s="103"/>
      <c r="L3025" s="103">
        <v>4.1399999999999999E-2</v>
      </c>
      <c r="O3025" s="100"/>
    </row>
    <row r="3026" spans="2:15" x14ac:dyDescent="0.2">
      <c r="B3026" s="1">
        <v>3011</v>
      </c>
      <c r="C3026" s="101">
        <f ca="1"/>
        <v>-0.31863378512964957</v>
      </c>
      <c r="D3026" s="101">
        <f t="shared" ca="1" si="180"/>
        <v>0.64394136709852479</v>
      </c>
      <c r="E3026" s="101">
        <f t="shared" ca="1" si="181"/>
        <v>0</v>
      </c>
      <c r="F3026" s="21">
        <f t="shared" ca="1" si="182"/>
        <v>0</v>
      </c>
      <c r="H3026" s="21">
        <v>3011</v>
      </c>
      <c r="I3026" s="102">
        <v>0.66773810062072292</v>
      </c>
      <c r="J3026" s="103">
        <v>1.2196314385952338E-3</v>
      </c>
      <c r="K3026" s="103"/>
      <c r="L3026" s="103">
        <v>4.0599999999999997E-2</v>
      </c>
      <c r="O3026" s="100"/>
    </row>
    <row r="3027" spans="2:15" x14ac:dyDescent="0.2">
      <c r="B3027" s="1">
        <v>3012</v>
      </c>
      <c r="C3027" s="101">
        <f ca="1"/>
        <v>2.0916931813264976</v>
      </c>
      <c r="D3027" s="101">
        <f t="shared" ca="1" si="180"/>
        <v>0.81677652365312792</v>
      </c>
      <c r="E3027" s="101">
        <f t="shared" ca="1" si="181"/>
        <v>2.8576523653127905E-2</v>
      </c>
      <c r="F3027" s="21">
        <f t="shared" ca="1" si="182"/>
        <v>1</v>
      </c>
      <c r="H3027" s="21">
        <v>3012</v>
      </c>
      <c r="I3027" s="102">
        <v>0.66774822317132043</v>
      </c>
      <c r="J3027" s="103">
        <v>1.3108882938460628E-3</v>
      </c>
      <c r="K3027" s="103"/>
      <c r="L3027" s="103">
        <v>4.2799999999999998E-2</v>
      </c>
      <c r="O3027" s="100"/>
    </row>
    <row r="3028" spans="2:15" x14ac:dyDescent="0.2">
      <c r="B3028" s="1">
        <v>3013</v>
      </c>
      <c r="C3028" s="101">
        <f ca="1"/>
        <v>-1.9085596016590214</v>
      </c>
      <c r="D3028" s="101">
        <f t="shared" ca="1" si="180"/>
        <v>0.55047155667855951</v>
      </c>
      <c r="E3028" s="101">
        <f t="shared" ca="1" si="181"/>
        <v>0</v>
      </c>
      <c r="F3028" s="21">
        <f t="shared" ca="1" si="182"/>
        <v>0</v>
      </c>
      <c r="H3028" s="21">
        <v>3013</v>
      </c>
      <c r="I3028" s="102">
        <v>0.66781175825634198</v>
      </c>
      <c r="J3028" s="103">
        <v>1.5066527802196387E-3</v>
      </c>
      <c r="K3028" s="103"/>
      <c r="L3028" s="103">
        <v>4.2799999999999998E-2</v>
      </c>
      <c r="O3028" s="100"/>
    </row>
    <row r="3029" spans="2:15" x14ac:dyDescent="0.2">
      <c r="B3029" s="1">
        <v>3014</v>
      </c>
      <c r="C3029" s="101">
        <f ca="1"/>
        <v>-1.2275479179066464</v>
      </c>
      <c r="D3029" s="101">
        <f t="shared" ca="1" si="180"/>
        <v>0.58872029047353558</v>
      </c>
      <c r="E3029" s="101">
        <f t="shared" ca="1" si="181"/>
        <v>0</v>
      </c>
      <c r="F3029" s="21">
        <f t="shared" ca="1" si="182"/>
        <v>0</v>
      </c>
      <c r="H3029" s="21">
        <v>3014</v>
      </c>
      <c r="I3029" s="102">
        <v>0.66786157681925484</v>
      </c>
      <c r="J3029" s="103">
        <v>1.4370856458131775E-3</v>
      </c>
      <c r="K3029" s="103"/>
      <c r="L3029" s="103">
        <v>4.5999999999999999E-2</v>
      </c>
      <c r="O3029" s="100"/>
    </row>
    <row r="3030" spans="2:15" x14ac:dyDescent="0.2">
      <c r="B3030" s="1">
        <v>3015</v>
      </c>
      <c r="C3030" s="101">
        <f ca="1"/>
        <v>-1.9365272208867625</v>
      </c>
      <c r="D3030" s="101">
        <f t="shared" ca="1" si="180"/>
        <v>0.5489550289260765</v>
      </c>
      <c r="E3030" s="101">
        <f t="shared" ca="1" si="181"/>
        <v>0</v>
      </c>
      <c r="F3030" s="21">
        <f t="shared" ca="1" si="182"/>
        <v>0</v>
      </c>
      <c r="H3030" s="21">
        <v>3015</v>
      </c>
      <c r="I3030" s="102">
        <v>0.66786595785450587</v>
      </c>
      <c r="J3030" s="103">
        <v>1.475899381532815E-3</v>
      </c>
      <c r="K3030" s="103"/>
      <c r="L3030" s="103">
        <v>4.4200000000000003E-2</v>
      </c>
      <c r="O3030" s="100"/>
    </row>
    <row r="3031" spans="2:15" x14ac:dyDescent="0.2">
      <c r="B3031" s="1">
        <v>3016</v>
      </c>
      <c r="C3031" s="101">
        <f ca="1"/>
        <v>-0.49647744824114648</v>
      </c>
      <c r="D3031" s="101">
        <f t="shared" ca="1" si="180"/>
        <v>0.63274338333480151</v>
      </c>
      <c r="E3031" s="101">
        <f t="shared" ca="1" si="181"/>
        <v>0</v>
      </c>
      <c r="F3031" s="21">
        <f t="shared" ca="1" si="182"/>
        <v>0</v>
      </c>
      <c r="H3031" s="21">
        <v>3016</v>
      </c>
      <c r="I3031" s="102">
        <v>0.66769503958235366</v>
      </c>
      <c r="J3031" s="103">
        <v>1.2705369462563279E-3</v>
      </c>
      <c r="K3031" s="103"/>
      <c r="L3031" s="103">
        <v>3.9199999999999999E-2</v>
      </c>
      <c r="O3031" s="100"/>
    </row>
    <row r="3032" spans="2:15" x14ac:dyDescent="0.2">
      <c r="B3032" s="1">
        <v>3017</v>
      </c>
      <c r="C3032" s="101">
        <f ca="1"/>
        <v>0.39090510101832188</v>
      </c>
      <c r="D3032" s="101">
        <f t="shared" ca="1" si="180"/>
        <v>0.69062537900657894</v>
      </c>
      <c r="E3032" s="101">
        <f t="shared" ca="1" si="181"/>
        <v>0</v>
      </c>
      <c r="F3032" s="21">
        <f t="shared" ca="1" si="182"/>
        <v>0</v>
      </c>
      <c r="H3032" s="21">
        <v>3017</v>
      </c>
      <c r="I3032" s="102">
        <v>0.66778308063159175</v>
      </c>
      <c r="J3032" s="103">
        <v>1.4342640828515056E-3</v>
      </c>
      <c r="K3032" s="103"/>
      <c r="L3032" s="103">
        <v>4.2200000000000001E-2</v>
      </c>
      <c r="O3032" s="100"/>
    </row>
    <row r="3033" spans="2:15" x14ac:dyDescent="0.2">
      <c r="B3033" s="1">
        <v>3018</v>
      </c>
      <c r="C3033" s="101">
        <f ca="1"/>
        <v>0.51534149016991315</v>
      </c>
      <c r="D3033" s="101">
        <f t="shared" ca="1" si="180"/>
        <v>0.69915474892705476</v>
      </c>
      <c r="E3033" s="101">
        <f t="shared" ca="1" si="181"/>
        <v>0</v>
      </c>
      <c r="F3033" s="21">
        <f t="shared" ca="1" si="182"/>
        <v>0</v>
      </c>
      <c r="H3033" s="21">
        <v>3018</v>
      </c>
      <c r="I3033" s="102">
        <v>0.66782678501995563</v>
      </c>
      <c r="J3033" s="103">
        <v>1.4714990480019874E-3</v>
      </c>
      <c r="K3033" s="103"/>
      <c r="L3033" s="103">
        <v>4.3999999999999997E-2</v>
      </c>
      <c r="O3033" s="100"/>
    </row>
    <row r="3034" spans="2:15" x14ac:dyDescent="0.2">
      <c r="B3034" s="1">
        <v>3019</v>
      </c>
      <c r="C3034" s="101">
        <f ca="1"/>
        <v>1.0038959902905296</v>
      </c>
      <c r="D3034" s="101">
        <f t="shared" ca="1" si="180"/>
        <v>0.73367325108737946</v>
      </c>
      <c r="E3034" s="101">
        <f t="shared" ca="1" si="181"/>
        <v>0</v>
      </c>
      <c r="F3034" s="21">
        <f t="shared" ca="1" si="182"/>
        <v>0</v>
      </c>
      <c r="H3034" s="21">
        <v>3019</v>
      </c>
      <c r="I3034" s="102">
        <v>0.66763577521216877</v>
      </c>
      <c r="J3034" s="103">
        <v>1.0902714877209839E-3</v>
      </c>
      <c r="K3034" s="103"/>
      <c r="L3034" s="103">
        <v>3.78E-2</v>
      </c>
      <c r="O3034" s="100"/>
    </row>
    <row r="3035" spans="2:15" x14ac:dyDescent="0.2">
      <c r="B3035" s="1">
        <v>3020</v>
      </c>
      <c r="C3035" s="101">
        <f ca="1"/>
        <v>-0.36194232076666466</v>
      </c>
      <c r="D3035" s="101">
        <f t="shared" ca="1" si="180"/>
        <v>0.64119630988783383</v>
      </c>
      <c r="E3035" s="101">
        <f t="shared" ca="1" si="181"/>
        <v>0</v>
      </c>
      <c r="F3035" s="21">
        <f t="shared" ca="1" si="182"/>
        <v>0</v>
      </c>
      <c r="H3035" s="21">
        <v>3020</v>
      </c>
      <c r="I3035" s="102">
        <v>0.66779717346824807</v>
      </c>
      <c r="J3035" s="103">
        <v>1.4598840698851769E-3</v>
      </c>
      <c r="K3035" s="103"/>
      <c r="L3035" s="103">
        <v>4.1200000000000001E-2</v>
      </c>
      <c r="O3035" s="100"/>
    </row>
    <row r="3036" spans="2:15" x14ac:dyDescent="0.2">
      <c r="B3036" s="1">
        <v>3021</v>
      </c>
      <c r="C3036" s="101">
        <f ca="1"/>
        <v>-0.67705097204427567</v>
      </c>
      <c r="D3036" s="101">
        <f t="shared" ca="1" si="180"/>
        <v>0.62157273195924079</v>
      </c>
      <c r="E3036" s="101">
        <f t="shared" ca="1" si="181"/>
        <v>0</v>
      </c>
      <c r="F3036" s="21">
        <f t="shared" ca="1" si="182"/>
        <v>0</v>
      </c>
      <c r="H3036" s="21">
        <v>3021</v>
      </c>
      <c r="I3036" s="102">
        <v>0.66767974161538524</v>
      </c>
      <c r="J3036" s="103">
        <v>1.246364775815148E-3</v>
      </c>
      <c r="K3036" s="103"/>
      <c r="L3036" s="103">
        <v>3.9E-2</v>
      </c>
      <c r="O3036" s="100"/>
    </row>
    <row r="3037" spans="2:15" x14ac:dyDescent="0.2">
      <c r="B3037" s="1">
        <v>3022</v>
      </c>
      <c r="C3037" s="101">
        <f ca="1"/>
        <v>-1.1533988745226089</v>
      </c>
      <c r="D3037" s="101">
        <f t="shared" ca="1" si="180"/>
        <v>0.59304207066913972</v>
      </c>
      <c r="E3037" s="101">
        <f t="shared" ca="1" si="181"/>
        <v>0</v>
      </c>
      <c r="F3037" s="21">
        <f t="shared" ca="1" si="182"/>
        <v>0</v>
      </c>
      <c r="H3037" s="21">
        <v>3022</v>
      </c>
      <c r="I3037" s="102">
        <v>0.66759345100607315</v>
      </c>
      <c r="J3037" s="103">
        <v>1.048386050923251E-3</v>
      </c>
      <c r="K3037" s="103"/>
      <c r="L3037" s="103">
        <v>3.4000000000000002E-2</v>
      </c>
      <c r="O3037" s="100"/>
    </row>
    <row r="3038" spans="2:15" x14ac:dyDescent="0.2">
      <c r="B3038" s="1">
        <v>3023</v>
      </c>
      <c r="C3038" s="101">
        <f ca="1"/>
        <v>-0.90446071357273794</v>
      </c>
      <c r="D3038" s="101">
        <f t="shared" ca="1" si="180"/>
        <v>0.60778483661701688</v>
      </c>
      <c r="E3038" s="101">
        <f t="shared" ca="1" si="181"/>
        <v>0</v>
      </c>
      <c r="F3038" s="21">
        <f t="shared" ca="1" si="182"/>
        <v>0</v>
      </c>
      <c r="H3038" s="21">
        <v>3023</v>
      </c>
      <c r="I3038" s="102">
        <v>0.66796734884992315</v>
      </c>
      <c r="J3038" s="103">
        <v>1.6686224731788989E-3</v>
      </c>
      <c r="K3038" s="103"/>
      <c r="L3038" s="103">
        <v>4.4400000000000002E-2</v>
      </c>
      <c r="O3038" s="100"/>
    </row>
    <row r="3039" spans="2:15" x14ac:dyDescent="0.2">
      <c r="B3039" s="1">
        <v>3024</v>
      </c>
      <c r="C3039" s="101">
        <f ca="1"/>
        <v>0.21588258318287395</v>
      </c>
      <c r="D3039" s="101">
        <f t="shared" ca="1" si="180"/>
        <v>0.67880444407434581</v>
      </c>
      <c r="E3039" s="101">
        <f t="shared" ca="1" si="181"/>
        <v>0</v>
      </c>
      <c r="F3039" s="21">
        <f t="shared" ca="1" si="182"/>
        <v>0</v>
      </c>
      <c r="H3039" s="21">
        <v>3024</v>
      </c>
      <c r="I3039" s="102">
        <v>0.66774916000150508</v>
      </c>
      <c r="J3039" s="103">
        <v>1.3959586651654623E-3</v>
      </c>
      <c r="K3039" s="103"/>
      <c r="L3039" s="103">
        <v>4.4200000000000003E-2</v>
      </c>
      <c r="O3039" s="100"/>
    </row>
    <row r="3040" spans="2:15" x14ac:dyDescent="0.2">
      <c r="B3040" s="1">
        <v>3025</v>
      </c>
      <c r="C3040" s="101">
        <f ca="1"/>
        <v>-1.439784803174357</v>
      </c>
      <c r="D3040" s="101">
        <f t="shared" ca="1" si="180"/>
        <v>0.57652335712174929</v>
      </c>
      <c r="E3040" s="101">
        <f t="shared" ca="1" si="181"/>
        <v>0</v>
      </c>
      <c r="F3040" s="21">
        <f t="shared" ca="1" si="182"/>
        <v>0</v>
      </c>
      <c r="H3040" s="21">
        <v>3025</v>
      </c>
      <c r="I3040" s="102">
        <v>0.66774843975096498</v>
      </c>
      <c r="J3040" s="103">
        <v>1.2929455550345103E-3</v>
      </c>
      <c r="K3040" s="103"/>
      <c r="L3040" s="103">
        <v>4.3400000000000001E-2</v>
      </c>
      <c r="O3040" s="100"/>
    </row>
    <row r="3041" spans="2:15" x14ac:dyDescent="0.2">
      <c r="B3041" s="1">
        <v>3026</v>
      </c>
      <c r="C3041" s="101">
        <f ca="1"/>
        <v>0.22924847754744446</v>
      </c>
      <c r="D3041" s="101">
        <f t="shared" ca="1" si="180"/>
        <v>0.67969999013287874</v>
      </c>
      <c r="E3041" s="101">
        <f t="shared" ca="1" si="181"/>
        <v>0</v>
      </c>
      <c r="F3041" s="21">
        <f t="shared" ca="1" si="182"/>
        <v>0</v>
      </c>
      <c r="H3041" s="21">
        <v>3026</v>
      </c>
      <c r="I3041" s="102">
        <v>0.66772290630554454</v>
      </c>
      <c r="J3041" s="103">
        <v>1.4072960134541494E-3</v>
      </c>
      <c r="K3041" s="103"/>
      <c r="L3041" s="103">
        <v>4.3799999999999999E-2</v>
      </c>
      <c r="O3041" s="100"/>
    </row>
    <row r="3042" spans="2:15" x14ac:dyDescent="0.2">
      <c r="B3042" s="1">
        <v>3027</v>
      </c>
      <c r="C3042" s="101">
        <f ca="1"/>
        <v>-0.61337043449608397</v>
      </c>
      <c r="D3042" s="101">
        <f t="shared" ca="1" si="180"/>
        <v>0.62548944998631484</v>
      </c>
      <c r="E3042" s="101">
        <f t="shared" ca="1" si="181"/>
        <v>0</v>
      </c>
      <c r="F3042" s="21">
        <f t="shared" ca="1" si="182"/>
        <v>0</v>
      </c>
      <c r="H3042" s="21">
        <v>3027</v>
      </c>
      <c r="I3042" s="102">
        <v>0.6677058388591518</v>
      </c>
      <c r="J3042" s="103">
        <v>1.4205541810872599E-3</v>
      </c>
      <c r="K3042" s="103"/>
      <c r="L3042" s="103">
        <v>4.2000000000000003E-2</v>
      </c>
      <c r="O3042" s="100"/>
    </row>
    <row r="3043" spans="2:15" x14ac:dyDescent="0.2">
      <c r="B3043" s="1">
        <v>3028</v>
      </c>
      <c r="C3043" s="101">
        <f ca="1"/>
        <v>0.43032712108668281</v>
      </c>
      <c r="D3043" s="101">
        <f t="shared" ca="1" si="180"/>
        <v>0.69331620113304648</v>
      </c>
      <c r="E3043" s="101">
        <f t="shared" ca="1" si="181"/>
        <v>0</v>
      </c>
      <c r="F3043" s="21">
        <f t="shared" ca="1" si="182"/>
        <v>0</v>
      </c>
      <c r="H3043" s="21">
        <v>3028</v>
      </c>
      <c r="I3043" s="102">
        <v>0.66776205156789659</v>
      </c>
      <c r="J3043" s="103">
        <v>1.5485370003063947E-3</v>
      </c>
      <c r="K3043" s="103"/>
      <c r="L3043" s="103">
        <v>4.3400000000000001E-2</v>
      </c>
      <c r="O3043" s="100"/>
    </row>
    <row r="3044" spans="2:15" x14ac:dyDescent="0.2">
      <c r="B3044" s="1">
        <v>3029</v>
      </c>
      <c r="C3044" s="101">
        <f ca="1"/>
        <v>-1.1571447078443835</v>
      </c>
      <c r="D3044" s="101">
        <f t="shared" ca="1" si="180"/>
        <v>0.59282298568084368</v>
      </c>
      <c r="E3044" s="101">
        <f t="shared" ca="1" si="181"/>
        <v>0</v>
      </c>
      <c r="F3044" s="21">
        <f t="shared" ca="1" si="182"/>
        <v>0</v>
      </c>
      <c r="H3044" s="21">
        <v>3029</v>
      </c>
      <c r="I3044" s="102">
        <v>0.66778919112174329</v>
      </c>
      <c r="J3044" s="103">
        <v>1.3422434954073266E-3</v>
      </c>
      <c r="K3044" s="103"/>
      <c r="L3044" s="103">
        <v>4.48E-2</v>
      </c>
      <c r="O3044" s="100"/>
    </row>
    <row r="3045" spans="2:15" x14ac:dyDescent="0.2">
      <c r="B3045" s="1">
        <v>3030</v>
      </c>
      <c r="C3045" s="101">
        <f ca="1"/>
        <v>-0.72484007603952005</v>
      </c>
      <c r="D3045" s="101">
        <f t="shared" ca="1" si="180"/>
        <v>0.61864954550989482</v>
      </c>
      <c r="E3045" s="101">
        <f t="shared" ca="1" si="181"/>
        <v>0</v>
      </c>
      <c r="F3045" s="21">
        <f t="shared" ca="1" si="182"/>
        <v>0</v>
      </c>
      <c r="H3045" s="21">
        <v>3030</v>
      </c>
      <c r="I3045" s="102">
        <v>0.66778332404479546</v>
      </c>
      <c r="J3045" s="103">
        <v>1.5501425575619853E-3</v>
      </c>
      <c r="K3045" s="103"/>
      <c r="L3045" s="103">
        <v>4.3200000000000002E-2</v>
      </c>
      <c r="O3045" s="100"/>
    </row>
    <row r="3046" spans="2:15" x14ac:dyDescent="0.2">
      <c r="B3046" s="1">
        <v>3031</v>
      </c>
      <c r="C3046" s="101">
        <f ca="1"/>
        <v>0.9596537602302363</v>
      </c>
      <c r="D3046" s="101">
        <f t="shared" ca="1" si="180"/>
        <v>0.73047839510660539</v>
      </c>
      <c r="E3046" s="101">
        <f t="shared" ca="1" si="181"/>
        <v>0</v>
      </c>
      <c r="F3046" s="21">
        <f t="shared" ca="1" si="182"/>
        <v>0</v>
      </c>
      <c r="H3046" s="21">
        <v>3031</v>
      </c>
      <c r="I3046" s="102">
        <v>0.66777012192704566</v>
      </c>
      <c r="J3046" s="103">
        <v>1.3892810663517241E-3</v>
      </c>
      <c r="K3046" s="103"/>
      <c r="L3046" s="103">
        <v>4.2799999999999998E-2</v>
      </c>
      <c r="O3046" s="100"/>
    </row>
    <row r="3047" spans="2:15" x14ac:dyDescent="0.2">
      <c r="B3047" s="1">
        <v>3032</v>
      </c>
      <c r="C3047" s="101">
        <f ca="1"/>
        <v>-0.3763868338291137</v>
      </c>
      <c r="D3047" s="101">
        <f t="shared" ca="1" si="180"/>
        <v>0.640283367313212</v>
      </c>
      <c r="E3047" s="101">
        <f t="shared" ca="1" si="181"/>
        <v>0</v>
      </c>
      <c r="F3047" s="21">
        <f t="shared" ca="1" si="182"/>
        <v>0</v>
      </c>
      <c r="H3047" s="21">
        <v>3032</v>
      </c>
      <c r="I3047" s="102">
        <v>0.66767644676281179</v>
      </c>
      <c r="J3047" s="103">
        <v>1.3416266616833403E-3</v>
      </c>
      <c r="K3047" s="103"/>
      <c r="L3047" s="103">
        <v>3.9199999999999999E-2</v>
      </c>
      <c r="O3047" s="100"/>
    </row>
    <row r="3048" spans="2:15" x14ac:dyDescent="0.2">
      <c r="B3048" s="1">
        <v>3033</v>
      </c>
      <c r="C3048" s="101">
        <f ca="1"/>
        <v>-1.2841530847353091</v>
      </c>
      <c r="D3048" s="101">
        <f t="shared" ca="1" si="180"/>
        <v>0.58544226685416634</v>
      </c>
      <c r="E3048" s="101">
        <f t="shared" ca="1" si="181"/>
        <v>0</v>
      </c>
      <c r="F3048" s="21">
        <f t="shared" ca="1" si="182"/>
        <v>0</v>
      </c>
      <c r="H3048" s="21">
        <v>3033</v>
      </c>
      <c r="I3048" s="102">
        <v>0.66794440486503004</v>
      </c>
      <c r="J3048" s="103">
        <v>1.6104513477478892E-3</v>
      </c>
      <c r="K3048" s="103"/>
      <c r="L3048" s="103">
        <v>4.9200000000000001E-2</v>
      </c>
      <c r="O3048" s="100"/>
    </row>
    <row r="3049" spans="2:15" x14ac:dyDescent="0.2">
      <c r="B3049" s="1">
        <v>3034</v>
      </c>
      <c r="C3049" s="101">
        <f ca="1"/>
        <v>1.3998324371068323</v>
      </c>
      <c r="D3049" s="101">
        <f t="shared" ca="1" si="180"/>
        <v>0.76289428012616112</v>
      </c>
      <c r="E3049" s="101">
        <f t="shared" ca="1" si="181"/>
        <v>0</v>
      </c>
      <c r="F3049" s="21">
        <f t="shared" ca="1" si="182"/>
        <v>0</v>
      </c>
      <c r="H3049" s="21">
        <v>3034</v>
      </c>
      <c r="I3049" s="102">
        <v>0.66772923485751101</v>
      </c>
      <c r="J3049" s="103">
        <v>1.2798291134690787E-3</v>
      </c>
      <c r="K3049" s="103"/>
      <c r="L3049" s="103">
        <v>3.8800000000000001E-2</v>
      </c>
      <c r="O3049" s="100"/>
    </row>
    <row r="3050" spans="2:15" x14ac:dyDescent="0.2">
      <c r="B3050" s="1">
        <v>3035</v>
      </c>
      <c r="C3050" s="101">
        <f ca="1"/>
        <v>-0.75567841029034377</v>
      </c>
      <c r="D3050" s="101">
        <f t="shared" ca="1" si="180"/>
        <v>0.61677051370957903</v>
      </c>
      <c r="E3050" s="101">
        <f t="shared" ca="1" si="181"/>
        <v>0</v>
      </c>
      <c r="F3050" s="21">
        <f t="shared" ca="1" si="182"/>
        <v>0</v>
      </c>
      <c r="H3050" s="21">
        <v>3035</v>
      </c>
      <c r="I3050" s="102">
        <v>0.66768203044817542</v>
      </c>
      <c r="J3050" s="103">
        <v>1.3019420494602932E-3</v>
      </c>
      <c r="K3050" s="103"/>
      <c r="L3050" s="103">
        <v>4.3200000000000002E-2</v>
      </c>
      <c r="O3050" s="100"/>
    </row>
    <row r="3051" spans="2:15" x14ac:dyDescent="0.2">
      <c r="B3051" s="1">
        <v>3036</v>
      </c>
      <c r="C3051" s="101">
        <f ca="1"/>
        <v>-0.51906646266113809</v>
      </c>
      <c r="D3051" s="101">
        <f t="shared" ca="1" si="180"/>
        <v>0.6313350675862579</v>
      </c>
      <c r="E3051" s="101">
        <f t="shared" ca="1" si="181"/>
        <v>0</v>
      </c>
      <c r="F3051" s="21">
        <f t="shared" ca="1" si="182"/>
        <v>0</v>
      </c>
      <c r="H3051" s="21">
        <v>3036</v>
      </c>
      <c r="I3051" s="102">
        <v>0.66769758276414048</v>
      </c>
      <c r="J3051" s="103">
        <v>1.293035120999263E-3</v>
      </c>
      <c r="K3051" s="103"/>
      <c r="L3051" s="103">
        <v>3.8199999999999998E-2</v>
      </c>
      <c r="O3051" s="100"/>
    </row>
    <row r="3052" spans="2:15" x14ac:dyDescent="0.2">
      <c r="B3052" s="1">
        <v>3037</v>
      </c>
      <c r="C3052" s="101">
        <f ca="1"/>
        <v>-0.68998064834355111</v>
      </c>
      <c r="D3052" s="101">
        <f t="shared" ca="1" si="180"/>
        <v>0.62078048316549261</v>
      </c>
      <c r="E3052" s="101">
        <f t="shared" ca="1" si="181"/>
        <v>0</v>
      </c>
      <c r="F3052" s="21">
        <f t="shared" ca="1" si="182"/>
        <v>0</v>
      </c>
      <c r="H3052" s="21">
        <v>3037</v>
      </c>
      <c r="I3052" s="102">
        <v>0.66769393600544524</v>
      </c>
      <c r="J3052" s="103">
        <v>1.2147625174159958E-3</v>
      </c>
      <c r="K3052" s="103"/>
      <c r="L3052" s="103">
        <v>3.9600000000000003E-2</v>
      </c>
      <c r="O3052" s="100"/>
    </row>
    <row r="3053" spans="2:15" x14ac:dyDescent="0.2">
      <c r="B3053" s="1">
        <v>3038</v>
      </c>
      <c r="C3053" s="101">
        <f ca="1"/>
        <v>1.9206016816581195</v>
      </c>
      <c r="D3053" s="101">
        <f t="shared" ca="1" si="180"/>
        <v>0.80310770420233535</v>
      </c>
      <c r="E3053" s="101">
        <f t="shared" ca="1" si="181"/>
        <v>1.4907704202335337E-2</v>
      </c>
      <c r="F3053" s="21">
        <f t="shared" ca="1" si="182"/>
        <v>1</v>
      </c>
      <c r="H3053" s="21">
        <v>3038</v>
      </c>
      <c r="I3053" s="102">
        <v>0.66788639618406331</v>
      </c>
      <c r="J3053" s="103">
        <v>1.6360398762446185E-3</v>
      </c>
      <c r="K3053" s="103"/>
      <c r="L3053" s="103">
        <v>4.7199999999999999E-2</v>
      </c>
      <c r="O3053" s="100"/>
    </row>
    <row r="3054" spans="2:15" x14ac:dyDescent="0.2">
      <c r="B3054" s="1">
        <v>3039</v>
      </c>
      <c r="C3054" s="101">
        <f ca="1"/>
        <v>0.29482451830892142</v>
      </c>
      <c r="D3054" s="101">
        <f t="shared" ca="1" si="180"/>
        <v>0.6841108852586627</v>
      </c>
      <c r="E3054" s="101">
        <f t="shared" ca="1" si="181"/>
        <v>0</v>
      </c>
      <c r="F3054" s="21">
        <f t="shared" ca="1" si="182"/>
        <v>0</v>
      </c>
      <c r="H3054" s="21">
        <v>3039</v>
      </c>
      <c r="I3054" s="102">
        <v>0.66773533225134574</v>
      </c>
      <c r="J3054" s="103">
        <v>1.3418240160431637E-3</v>
      </c>
      <c r="K3054" s="103"/>
      <c r="L3054" s="103">
        <v>3.9600000000000003E-2</v>
      </c>
      <c r="O3054" s="100"/>
    </row>
    <row r="3055" spans="2:15" x14ac:dyDescent="0.2">
      <c r="B3055" s="1">
        <v>3040</v>
      </c>
      <c r="C3055" s="101">
        <f ca="1"/>
        <v>-0.29722784622072496</v>
      </c>
      <c r="D3055" s="101">
        <f t="shared" ca="1" si="180"/>
        <v>0.64530249236823545</v>
      </c>
      <c r="E3055" s="101">
        <f t="shared" ca="1" si="181"/>
        <v>0</v>
      </c>
      <c r="F3055" s="21">
        <f t="shared" ca="1" si="182"/>
        <v>0</v>
      </c>
      <c r="H3055" s="21">
        <v>3040</v>
      </c>
      <c r="I3055" s="102">
        <v>0.66758740772337544</v>
      </c>
      <c r="J3055" s="103">
        <v>1.2699642771936033E-3</v>
      </c>
      <c r="K3055" s="103"/>
      <c r="L3055" s="103">
        <v>3.6600000000000001E-2</v>
      </c>
      <c r="O3055" s="100"/>
    </row>
    <row r="3056" spans="2:15" x14ac:dyDescent="0.2">
      <c r="B3056" s="1">
        <v>3041</v>
      </c>
      <c r="C3056" s="101">
        <f ca="1"/>
        <v>0.12093823028255951</v>
      </c>
      <c r="D3056" s="101">
        <f t="shared" ca="1" si="180"/>
        <v>0.67247682065296277</v>
      </c>
      <c r="E3056" s="101">
        <f t="shared" ca="1" si="181"/>
        <v>0</v>
      </c>
      <c r="F3056" s="21">
        <f t="shared" ca="1" si="182"/>
        <v>0</v>
      </c>
      <c r="H3056" s="21">
        <v>3041</v>
      </c>
      <c r="I3056" s="102">
        <v>0.66783008332261584</v>
      </c>
      <c r="J3056" s="103">
        <v>1.5609518356738549E-3</v>
      </c>
      <c r="K3056" s="103"/>
      <c r="L3056" s="103">
        <v>4.1799999999999997E-2</v>
      </c>
      <c r="O3056" s="100"/>
    </row>
    <row r="3057" spans="2:15" x14ac:dyDescent="0.2">
      <c r="B3057" s="1">
        <v>3042</v>
      </c>
      <c r="C3057" s="101">
        <f ca="1"/>
        <v>0.47860864644997914</v>
      </c>
      <c r="D3057" s="101">
        <f t="shared" ca="1" si="180"/>
        <v>0.69662603212025997</v>
      </c>
      <c r="E3057" s="101">
        <f t="shared" ca="1" si="181"/>
        <v>0</v>
      </c>
      <c r="F3057" s="21">
        <f t="shared" ca="1" si="182"/>
        <v>0</v>
      </c>
      <c r="H3057" s="21">
        <v>3042</v>
      </c>
      <c r="I3057" s="102">
        <v>0.66773758456584853</v>
      </c>
      <c r="J3057" s="103">
        <v>1.4400531820874182E-3</v>
      </c>
      <c r="K3057" s="103"/>
      <c r="L3057" s="103">
        <v>3.9800000000000002E-2</v>
      </c>
      <c r="O3057" s="100"/>
    </row>
    <row r="3058" spans="2:15" x14ac:dyDescent="0.2">
      <c r="B3058" s="1">
        <v>3043</v>
      </c>
      <c r="C3058" s="101">
        <f ca="1"/>
        <v>0.22281951887696025</v>
      </c>
      <c r="D3058" s="101">
        <f t="shared" ca="1" si="180"/>
        <v>0.67926908754823156</v>
      </c>
      <c r="E3058" s="101">
        <f t="shared" ca="1" si="181"/>
        <v>0</v>
      </c>
      <c r="F3058" s="21">
        <f t="shared" ca="1" si="182"/>
        <v>0</v>
      </c>
      <c r="H3058" s="21">
        <v>3043</v>
      </c>
      <c r="I3058" s="102">
        <v>0.66778570332804121</v>
      </c>
      <c r="J3058" s="103">
        <v>1.5736634215730216E-3</v>
      </c>
      <c r="K3058" s="103"/>
      <c r="L3058" s="103">
        <v>4.0399999999999998E-2</v>
      </c>
      <c r="O3058" s="100"/>
    </row>
    <row r="3059" spans="2:15" x14ac:dyDescent="0.2">
      <c r="B3059" s="1">
        <v>3044</v>
      </c>
      <c r="C3059" s="101">
        <f ca="1"/>
        <v>-0.30433568461237809</v>
      </c>
      <c r="D3059" s="101">
        <f t="shared" ca="1" si="180"/>
        <v>0.6448502121956734</v>
      </c>
      <c r="E3059" s="101">
        <f t="shared" ca="1" si="181"/>
        <v>0</v>
      </c>
      <c r="F3059" s="21">
        <f t="shared" ca="1" si="182"/>
        <v>0</v>
      </c>
      <c r="H3059" s="21">
        <v>3044</v>
      </c>
      <c r="I3059" s="102">
        <v>0.6677026221371497</v>
      </c>
      <c r="J3059" s="103">
        <v>1.3185444710116961E-3</v>
      </c>
      <c r="K3059" s="103"/>
      <c r="L3059" s="103">
        <v>3.7199999999999997E-2</v>
      </c>
      <c r="O3059" s="100"/>
    </row>
    <row r="3060" spans="2:15" x14ac:dyDescent="0.2">
      <c r="B3060" s="1">
        <v>3045</v>
      </c>
      <c r="C3060" s="101">
        <f ca="1"/>
        <v>1.1627089002714555</v>
      </c>
      <c r="D3060" s="101">
        <f t="shared" ca="1" si="180"/>
        <v>0.74525711786109194</v>
      </c>
      <c r="E3060" s="101">
        <f t="shared" ca="1" si="181"/>
        <v>0</v>
      </c>
      <c r="F3060" s="21">
        <f t="shared" ca="1" si="182"/>
        <v>0</v>
      </c>
      <c r="H3060" s="21">
        <v>3045</v>
      </c>
      <c r="I3060" s="102">
        <v>0.66774043829582963</v>
      </c>
      <c r="J3060" s="103">
        <v>1.3122819941643589E-3</v>
      </c>
      <c r="K3060" s="103"/>
      <c r="L3060" s="103">
        <v>4.1000000000000002E-2</v>
      </c>
      <c r="O3060" s="100"/>
    </row>
    <row r="3061" spans="2:15" x14ac:dyDescent="0.2">
      <c r="B3061" s="1">
        <v>3046</v>
      </c>
      <c r="C3061" s="101">
        <f ca="1"/>
        <v>-0.52053814542284249</v>
      </c>
      <c r="D3061" s="101">
        <f t="shared" ca="1" si="180"/>
        <v>0.63124342412282952</v>
      </c>
      <c r="E3061" s="101">
        <f t="shared" ca="1" si="181"/>
        <v>0</v>
      </c>
      <c r="F3061" s="21">
        <f t="shared" ca="1" si="182"/>
        <v>0</v>
      </c>
      <c r="H3061" s="21">
        <v>3046</v>
      </c>
      <c r="I3061" s="102">
        <v>0.66771620044955748</v>
      </c>
      <c r="J3061" s="103">
        <v>1.3354025961710204E-3</v>
      </c>
      <c r="K3061" s="103"/>
      <c r="L3061" s="103">
        <v>3.8399999999999997E-2</v>
      </c>
      <c r="O3061" s="100"/>
    </row>
    <row r="3062" spans="2:15" x14ac:dyDescent="0.2">
      <c r="B3062" s="1">
        <v>3047</v>
      </c>
      <c r="C3062" s="101">
        <f ca="1"/>
        <v>-0.64231026815184378</v>
      </c>
      <c r="D3062" s="101">
        <f t="shared" ca="1" si="180"/>
        <v>0.62370643421264749</v>
      </c>
      <c r="E3062" s="101">
        <f t="shared" ca="1" si="181"/>
        <v>0</v>
      </c>
      <c r="F3062" s="21">
        <f t="shared" ca="1" si="182"/>
        <v>0</v>
      </c>
      <c r="H3062" s="21">
        <v>3047</v>
      </c>
      <c r="I3062" s="102">
        <v>0.66782375929167415</v>
      </c>
      <c r="J3062" s="103">
        <v>1.5105147333115993E-3</v>
      </c>
      <c r="K3062" s="103"/>
      <c r="L3062" s="103">
        <v>4.0599999999999997E-2</v>
      </c>
      <c r="O3062" s="100"/>
    </row>
    <row r="3063" spans="2:15" x14ac:dyDescent="0.2">
      <c r="B3063" s="1">
        <v>3048</v>
      </c>
      <c r="C3063" s="101">
        <f ca="1"/>
        <v>-8.5850773982312958E-2</v>
      </c>
      <c r="D3063" s="101">
        <f t="shared" ca="1" si="180"/>
        <v>0.65889863212311039</v>
      </c>
      <c r="E3063" s="101">
        <f t="shared" ca="1" si="181"/>
        <v>0</v>
      </c>
      <c r="F3063" s="21">
        <f t="shared" ca="1" si="182"/>
        <v>0</v>
      </c>
      <c r="H3063" s="21">
        <v>3048</v>
      </c>
      <c r="I3063" s="102">
        <v>0.66778170016716787</v>
      </c>
      <c r="J3063" s="103">
        <v>1.5308250945231527E-3</v>
      </c>
      <c r="K3063" s="103"/>
      <c r="L3063" s="103">
        <v>4.3799999999999999E-2</v>
      </c>
      <c r="O3063" s="100"/>
    </row>
    <row r="3064" spans="2:15" x14ac:dyDescent="0.2">
      <c r="B3064" s="1">
        <v>3049</v>
      </c>
      <c r="C3064" s="101">
        <f ca="1"/>
        <v>-0.14683321867376636</v>
      </c>
      <c r="D3064" s="101">
        <f t="shared" ca="1" si="180"/>
        <v>0.65494699763774178</v>
      </c>
      <c r="E3064" s="101">
        <f t="shared" ca="1" si="181"/>
        <v>0</v>
      </c>
      <c r="F3064" s="21">
        <f t="shared" ca="1" si="182"/>
        <v>0</v>
      </c>
      <c r="H3064" s="21">
        <v>3049</v>
      </c>
      <c r="I3064" s="102">
        <v>0.66762208788360178</v>
      </c>
      <c r="J3064" s="103">
        <v>1.2381854829179976E-3</v>
      </c>
      <c r="K3064" s="103"/>
      <c r="L3064" s="103">
        <v>3.8600000000000002E-2</v>
      </c>
      <c r="O3064" s="100"/>
    </row>
    <row r="3065" spans="2:15" x14ac:dyDescent="0.2">
      <c r="B3065" s="1">
        <v>3050</v>
      </c>
      <c r="C3065" s="101">
        <f ca="1"/>
        <v>0.72342647482411893</v>
      </c>
      <c r="D3065" s="101">
        <f t="shared" ca="1" si="180"/>
        <v>0.71365373709210811</v>
      </c>
      <c r="E3065" s="101">
        <f t="shared" ca="1" si="181"/>
        <v>0</v>
      </c>
      <c r="F3065" s="21">
        <f t="shared" ca="1" si="182"/>
        <v>0</v>
      </c>
      <c r="H3065" s="21">
        <v>3050</v>
      </c>
      <c r="I3065" s="102">
        <v>0.66769623107931897</v>
      </c>
      <c r="J3065" s="103">
        <v>1.1822120980238614E-3</v>
      </c>
      <c r="K3065" s="103"/>
      <c r="L3065" s="103">
        <v>4.1799999999999997E-2</v>
      </c>
      <c r="O3065" s="100"/>
    </row>
    <row r="3066" spans="2:15" x14ac:dyDescent="0.2">
      <c r="B3066" s="1">
        <v>3051</v>
      </c>
      <c r="C3066" s="101">
        <f ca="1"/>
        <v>0.28375182937278315</v>
      </c>
      <c r="D3066" s="101">
        <f t="shared" ca="1" si="180"/>
        <v>0.68336409034915568</v>
      </c>
      <c r="E3066" s="101">
        <f t="shared" ca="1" si="181"/>
        <v>0</v>
      </c>
      <c r="F3066" s="21">
        <f t="shared" ca="1" si="182"/>
        <v>0</v>
      </c>
      <c r="H3066" s="21">
        <v>3051</v>
      </c>
      <c r="I3066" s="102">
        <v>0.66788388959874523</v>
      </c>
      <c r="J3066" s="103">
        <v>1.4405969383172257E-3</v>
      </c>
      <c r="K3066" s="103"/>
      <c r="L3066" s="103">
        <v>4.6199999999999998E-2</v>
      </c>
      <c r="O3066" s="100"/>
    </row>
    <row r="3067" spans="2:15" x14ac:dyDescent="0.2">
      <c r="B3067" s="1">
        <v>3052</v>
      </c>
      <c r="C3067" s="101">
        <f ca="1"/>
        <v>-0.14499087529812923</v>
      </c>
      <c r="D3067" s="101">
        <f t="shared" ca="1" si="180"/>
        <v>0.65506603275290198</v>
      </c>
      <c r="E3067" s="101">
        <f t="shared" ca="1" si="181"/>
        <v>0</v>
      </c>
      <c r="F3067" s="21">
        <f t="shared" ca="1" si="182"/>
        <v>0</v>
      </c>
      <c r="H3067" s="21">
        <v>3052</v>
      </c>
      <c r="I3067" s="102">
        <v>0.66771379783402485</v>
      </c>
      <c r="J3067" s="103">
        <v>1.2297861133816568E-3</v>
      </c>
      <c r="K3067" s="103"/>
      <c r="L3067" s="103">
        <v>4.1200000000000001E-2</v>
      </c>
      <c r="O3067" s="100"/>
    </row>
    <row r="3068" spans="2:15" x14ac:dyDescent="0.2">
      <c r="B3068" s="1">
        <v>3053</v>
      </c>
      <c r="C3068" s="101">
        <f ca="1"/>
        <v>6.9613489515013033E-2</v>
      </c>
      <c r="D3068" s="101">
        <f t="shared" ca="1" si="180"/>
        <v>0.66908084875107543</v>
      </c>
      <c r="E3068" s="101">
        <f t="shared" ca="1" si="181"/>
        <v>0</v>
      </c>
      <c r="F3068" s="21">
        <f t="shared" ca="1" si="182"/>
        <v>0</v>
      </c>
      <c r="H3068" s="21">
        <v>3053</v>
      </c>
      <c r="I3068" s="102">
        <v>0.66769674140030233</v>
      </c>
      <c r="J3068" s="103">
        <v>1.3464122646545298E-3</v>
      </c>
      <c r="K3068" s="103"/>
      <c r="L3068" s="103">
        <v>3.8199999999999998E-2</v>
      </c>
      <c r="O3068" s="100"/>
    </row>
    <row r="3069" spans="2:15" x14ac:dyDescent="0.2">
      <c r="B3069" s="1">
        <v>3054</v>
      </c>
      <c r="C3069" s="101">
        <f ca="1"/>
        <v>-0.71741061255122529</v>
      </c>
      <c r="D3069" s="101">
        <f t="shared" ca="1" si="180"/>
        <v>0.61910309031628186</v>
      </c>
      <c r="E3069" s="101">
        <f t="shared" ca="1" si="181"/>
        <v>0</v>
      </c>
      <c r="F3069" s="21">
        <f t="shared" ca="1" si="182"/>
        <v>0</v>
      </c>
      <c r="H3069" s="21">
        <v>3054</v>
      </c>
      <c r="I3069" s="102">
        <v>0.66767839440115351</v>
      </c>
      <c r="J3069" s="103">
        <v>1.2902795799070747E-3</v>
      </c>
      <c r="K3069" s="103"/>
      <c r="L3069" s="103">
        <v>3.8800000000000001E-2</v>
      </c>
      <c r="O3069" s="100"/>
    </row>
    <row r="3070" spans="2:15" x14ac:dyDescent="0.2">
      <c r="B3070" s="1">
        <v>3055</v>
      </c>
      <c r="C3070" s="101">
        <f ca="1"/>
        <v>4.4682225656836286E-2</v>
      </c>
      <c r="D3070" s="101">
        <f t="shared" ca="1" si="180"/>
        <v>0.66743743133787781</v>
      </c>
      <c r="E3070" s="101">
        <f t="shared" ca="1" si="181"/>
        <v>0</v>
      </c>
      <c r="F3070" s="21">
        <f t="shared" ca="1" si="182"/>
        <v>0</v>
      </c>
      <c r="H3070" s="21">
        <v>3055</v>
      </c>
      <c r="I3070" s="102">
        <v>0.66770953260312538</v>
      </c>
      <c r="J3070" s="103">
        <v>1.3481868579909055E-3</v>
      </c>
      <c r="K3070" s="103"/>
      <c r="L3070" s="103">
        <v>4.0399999999999998E-2</v>
      </c>
      <c r="O3070" s="100"/>
    </row>
    <row r="3071" spans="2:15" x14ac:dyDescent="0.2">
      <c r="B3071" s="1">
        <v>3056</v>
      </c>
      <c r="C3071" s="101">
        <f ca="1"/>
        <v>0.78493801085808201</v>
      </c>
      <c r="D3071" s="101">
        <f t="shared" ca="1" si="180"/>
        <v>0.71799705122863899</v>
      </c>
      <c r="E3071" s="101">
        <f t="shared" ca="1" si="181"/>
        <v>0</v>
      </c>
      <c r="F3071" s="21">
        <f t="shared" ca="1" si="182"/>
        <v>0</v>
      </c>
      <c r="H3071" s="21">
        <v>3056</v>
      </c>
      <c r="I3071" s="102">
        <v>0.66768297906124086</v>
      </c>
      <c r="J3071" s="103">
        <v>1.379443172444531E-3</v>
      </c>
      <c r="K3071" s="103"/>
      <c r="L3071" s="103">
        <v>4.1799999999999997E-2</v>
      </c>
      <c r="O3071" s="100"/>
    </row>
    <row r="3072" spans="2:15" x14ac:dyDescent="0.2">
      <c r="B3072" s="1">
        <v>3057</v>
      </c>
      <c r="C3072" s="101">
        <f ca="1"/>
        <v>0.78819278682902905</v>
      </c>
      <c r="D3072" s="101">
        <f t="shared" ca="1" si="180"/>
        <v>0.71822760507951633</v>
      </c>
      <c r="E3072" s="101">
        <f t="shared" ca="1" si="181"/>
        <v>0</v>
      </c>
      <c r="F3072" s="21">
        <f t="shared" ca="1" si="182"/>
        <v>0</v>
      </c>
      <c r="H3072" s="21">
        <v>3057</v>
      </c>
      <c r="I3072" s="102">
        <v>0.66774970006814927</v>
      </c>
      <c r="J3072" s="103">
        <v>1.3328913084417659E-3</v>
      </c>
      <c r="K3072" s="103"/>
      <c r="L3072" s="103">
        <v>4.2200000000000001E-2</v>
      </c>
      <c r="O3072" s="100"/>
    </row>
    <row r="3073" spans="2:15" x14ac:dyDescent="0.2">
      <c r="B3073" s="1">
        <v>3058</v>
      </c>
      <c r="C3073" s="101">
        <f ca="1"/>
        <v>0.83744035359701507</v>
      </c>
      <c r="D3073" s="101">
        <f t="shared" ca="1" si="180"/>
        <v>0.72172513200273225</v>
      </c>
      <c r="E3073" s="101">
        <f t="shared" ca="1" si="181"/>
        <v>0</v>
      </c>
      <c r="F3073" s="21">
        <f t="shared" ca="1" si="182"/>
        <v>0</v>
      </c>
      <c r="H3073" s="21">
        <v>3058</v>
      </c>
      <c r="I3073" s="102">
        <v>0.66781201043698735</v>
      </c>
      <c r="J3073" s="103">
        <v>1.4376746616382554E-3</v>
      </c>
      <c r="K3073" s="103"/>
      <c r="L3073" s="103">
        <v>4.6199999999999998E-2</v>
      </c>
      <c r="O3073" s="100"/>
    </row>
    <row r="3074" spans="2:15" x14ac:dyDescent="0.2">
      <c r="B3074" s="1">
        <v>3059</v>
      </c>
      <c r="C3074" s="101">
        <f ca="1"/>
        <v>0.15430513198413143</v>
      </c>
      <c r="D3074" s="101">
        <f t="shared" ca="1" si="180"/>
        <v>0.67469382735892935</v>
      </c>
      <c r="E3074" s="101">
        <f t="shared" ca="1" si="181"/>
        <v>0</v>
      </c>
      <c r="F3074" s="21">
        <f t="shared" ca="1" si="182"/>
        <v>0</v>
      </c>
      <c r="H3074" s="21">
        <v>3059</v>
      </c>
      <c r="I3074" s="102">
        <v>0.66777461142936001</v>
      </c>
      <c r="J3074" s="103">
        <v>1.4847897452213564E-3</v>
      </c>
      <c r="K3074" s="103"/>
      <c r="L3074" s="103">
        <v>4.2599999999999999E-2</v>
      </c>
      <c r="O3074" s="100"/>
    </row>
    <row r="3075" spans="2:15" x14ac:dyDescent="0.2">
      <c r="B3075" s="1">
        <v>3060</v>
      </c>
      <c r="C3075" s="101">
        <f ca="1"/>
        <v>-0.39169445878586884</v>
      </c>
      <c r="D3075" s="101">
        <f t="shared" ca="1" si="180"/>
        <v>0.63931729176321628</v>
      </c>
      <c r="E3075" s="101">
        <f t="shared" ca="1" si="181"/>
        <v>0</v>
      </c>
      <c r="F3075" s="21">
        <f t="shared" ca="1" si="182"/>
        <v>0</v>
      </c>
      <c r="H3075" s="21">
        <v>3060</v>
      </c>
      <c r="I3075" s="102">
        <v>0.66804222583937178</v>
      </c>
      <c r="J3075" s="103">
        <v>1.726608815471246E-3</v>
      </c>
      <c r="K3075" s="103"/>
      <c r="L3075" s="103">
        <v>5.0799999999999998E-2</v>
      </c>
      <c r="O3075" s="100"/>
    </row>
    <row r="3076" spans="2:15" x14ac:dyDescent="0.2">
      <c r="B3076" s="1">
        <v>3061</v>
      </c>
      <c r="C3076" s="101">
        <f ca="1"/>
        <v>0.79791119405003608</v>
      </c>
      <c r="D3076" s="101">
        <f t="shared" ca="1" si="180"/>
        <v>0.71891645445455665</v>
      </c>
      <c r="E3076" s="101">
        <f t="shared" ca="1" si="181"/>
        <v>0</v>
      </c>
      <c r="F3076" s="21">
        <f t="shared" ca="1" si="182"/>
        <v>0</v>
      </c>
      <c r="H3076" s="21">
        <v>3061</v>
      </c>
      <c r="I3076" s="102">
        <v>0.66778560780834195</v>
      </c>
      <c r="J3076" s="103">
        <v>1.3132381014126504E-3</v>
      </c>
      <c r="K3076" s="103"/>
      <c r="L3076" s="103">
        <v>4.2999999999999997E-2</v>
      </c>
      <c r="O3076" s="100"/>
    </row>
    <row r="3077" spans="2:15" x14ac:dyDescent="0.2">
      <c r="B3077" s="1">
        <v>3062</v>
      </c>
      <c r="C3077" s="101">
        <f ca="1"/>
        <v>-0.36834034800706439</v>
      </c>
      <c r="D3077" s="101">
        <f t="shared" ca="1" si="180"/>
        <v>0.64079177222298056</v>
      </c>
      <c r="E3077" s="101">
        <f t="shared" ca="1" si="181"/>
        <v>0</v>
      </c>
      <c r="F3077" s="21">
        <f t="shared" ca="1" si="182"/>
        <v>0</v>
      </c>
      <c r="H3077" s="21">
        <v>3062</v>
      </c>
      <c r="I3077" s="102">
        <v>0.66762649687274445</v>
      </c>
      <c r="J3077" s="103">
        <v>1.2334697384072625E-3</v>
      </c>
      <c r="K3077" s="103"/>
      <c r="L3077" s="103">
        <v>3.7199999999999997E-2</v>
      </c>
      <c r="O3077" s="100"/>
    </row>
    <row r="3078" spans="2:15" x14ac:dyDescent="0.2">
      <c r="B3078" s="1">
        <v>3063</v>
      </c>
      <c r="C3078" s="101">
        <f ca="1"/>
        <v>-0.98783714536990441</v>
      </c>
      <c r="D3078" s="101">
        <f t="shared" ca="1" si="180"/>
        <v>0.60280669332811043</v>
      </c>
      <c r="E3078" s="101">
        <f t="shared" ca="1" si="181"/>
        <v>0</v>
      </c>
      <c r="F3078" s="21">
        <f t="shared" ca="1" si="182"/>
        <v>0</v>
      </c>
      <c r="H3078" s="21">
        <v>3063</v>
      </c>
      <c r="I3078" s="102">
        <v>0.66775567472515285</v>
      </c>
      <c r="J3078" s="103">
        <v>1.4941127138223677E-3</v>
      </c>
      <c r="K3078" s="103"/>
      <c r="L3078" s="103">
        <v>3.8600000000000002E-2</v>
      </c>
      <c r="O3078" s="100"/>
    </row>
    <row r="3079" spans="2:15" x14ac:dyDescent="0.2">
      <c r="B3079" s="1">
        <v>3064</v>
      </c>
      <c r="C3079" s="101">
        <f ca="1"/>
        <v>-1.3564031755010826</v>
      </c>
      <c r="D3079" s="101">
        <f t="shared" ca="1" si="180"/>
        <v>0.58128474332386026</v>
      </c>
      <c r="E3079" s="101">
        <f t="shared" ca="1" si="181"/>
        <v>0</v>
      </c>
      <c r="F3079" s="21">
        <f t="shared" ca="1" si="182"/>
        <v>0</v>
      </c>
      <c r="H3079" s="21">
        <v>3064</v>
      </c>
      <c r="I3079" s="102">
        <v>0.66795656959507854</v>
      </c>
      <c r="J3079" s="103">
        <v>1.6505177268776787E-3</v>
      </c>
      <c r="K3079" s="103"/>
      <c r="L3079" s="103">
        <v>4.7800000000000002E-2</v>
      </c>
      <c r="O3079" s="100"/>
    </row>
    <row r="3080" spans="2:15" x14ac:dyDescent="0.2">
      <c r="B3080" s="1">
        <v>3065</v>
      </c>
      <c r="C3080" s="101">
        <f ca="1"/>
        <v>-0.34654306429527237</v>
      </c>
      <c r="D3080" s="101">
        <f t="shared" ca="1" si="180"/>
        <v>0.64217102916705937</v>
      </c>
      <c r="E3080" s="101">
        <f t="shared" ca="1" si="181"/>
        <v>0</v>
      </c>
      <c r="F3080" s="21">
        <f t="shared" ca="1" si="182"/>
        <v>0</v>
      </c>
      <c r="H3080" s="21">
        <v>3065</v>
      </c>
      <c r="I3080" s="102">
        <v>0.66781795694443913</v>
      </c>
      <c r="J3080" s="103">
        <v>1.477937045917161E-3</v>
      </c>
      <c r="K3080" s="103"/>
      <c r="L3080" s="103">
        <v>4.8000000000000001E-2</v>
      </c>
      <c r="O3080" s="100"/>
    </row>
    <row r="3081" spans="2:15" x14ac:dyDescent="0.2">
      <c r="B3081" s="1">
        <v>3066</v>
      </c>
      <c r="C3081" s="101">
        <f ca="1"/>
        <v>-0.45214365531076089</v>
      </c>
      <c r="D3081" s="101">
        <f t="shared" ca="1" si="180"/>
        <v>0.6355165205802038</v>
      </c>
      <c r="E3081" s="101">
        <f t="shared" ca="1" si="181"/>
        <v>0</v>
      </c>
      <c r="F3081" s="21">
        <f t="shared" ca="1" si="182"/>
        <v>0</v>
      </c>
      <c r="H3081" s="21">
        <v>3066</v>
      </c>
      <c r="I3081" s="102">
        <v>0.66774221256320376</v>
      </c>
      <c r="J3081" s="103">
        <v>1.2852318402449693E-3</v>
      </c>
      <c r="K3081" s="103"/>
      <c r="L3081" s="103">
        <v>4.1399999999999999E-2</v>
      </c>
      <c r="O3081" s="100"/>
    </row>
    <row r="3082" spans="2:15" x14ac:dyDescent="0.2">
      <c r="B3082" s="1">
        <v>3067</v>
      </c>
      <c r="C3082" s="101">
        <f ca="1"/>
        <v>-0.17225756476673745</v>
      </c>
      <c r="D3082" s="101">
        <f t="shared" ca="1" si="180"/>
        <v>0.65330651975224441</v>
      </c>
      <c r="E3082" s="101">
        <f t="shared" ca="1" si="181"/>
        <v>0</v>
      </c>
      <c r="F3082" s="21">
        <f t="shared" ca="1" si="182"/>
        <v>0</v>
      </c>
      <c r="H3082" s="21">
        <v>3067</v>
      </c>
      <c r="I3082" s="102">
        <v>0.66772347350032024</v>
      </c>
      <c r="J3082" s="103">
        <v>1.5370023500635296E-3</v>
      </c>
      <c r="K3082" s="103"/>
      <c r="L3082" s="103">
        <v>4.36E-2</v>
      </c>
      <c r="O3082" s="100"/>
    </row>
    <row r="3083" spans="2:15" x14ac:dyDescent="0.2">
      <c r="B3083" s="1">
        <v>3068</v>
      </c>
      <c r="C3083" s="101">
        <f ca="1"/>
        <v>0.58434338364527361</v>
      </c>
      <c r="D3083" s="101">
        <f t="shared" ca="1" si="180"/>
        <v>0.7039297344423503</v>
      </c>
      <c r="E3083" s="101">
        <f t="shared" ca="1" si="181"/>
        <v>0</v>
      </c>
      <c r="F3083" s="21">
        <f t="shared" ca="1" si="182"/>
        <v>0</v>
      </c>
      <c r="H3083" s="21">
        <v>3068</v>
      </c>
      <c r="I3083" s="102">
        <v>0.66767389651346043</v>
      </c>
      <c r="J3083" s="103">
        <v>1.2834938273289125E-3</v>
      </c>
      <c r="K3083" s="103"/>
      <c r="L3083" s="103">
        <v>4.2000000000000003E-2</v>
      </c>
      <c r="O3083" s="100"/>
    </row>
    <row r="3084" spans="2:15" x14ac:dyDescent="0.2">
      <c r="B3084" s="1">
        <v>3069</v>
      </c>
      <c r="C3084" s="101">
        <f ca="1"/>
        <v>-1.1851704691528551</v>
      </c>
      <c r="D3084" s="101">
        <f t="shared" ca="1" si="180"/>
        <v>0.59118639079787705</v>
      </c>
      <c r="E3084" s="101">
        <f t="shared" ca="1" si="181"/>
        <v>0</v>
      </c>
      <c r="F3084" s="21">
        <f t="shared" ca="1" si="182"/>
        <v>0</v>
      </c>
      <c r="H3084" s="21">
        <v>3069</v>
      </c>
      <c r="I3084" s="102">
        <v>0.66770311975962227</v>
      </c>
      <c r="J3084" s="103">
        <v>1.3136384956018087E-3</v>
      </c>
      <c r="K3084" s="103"/>
      <c r="L3084" s="103">
        <v>3.8199999999999998E-2</v>
      </c>
      <c r="O3084" s="100"/>
    </row>
    <row r="3085" spans="2:15" x14ac:dyDescent="0.2">
      <c r="B3085" s="1">
        <v>3070</v>
      </c>
      <c r="C3085" s="101">
        <f ca="1"/>
        <v>-1.4172006148449099</v>
      </c>
      <c r="D3085" s="101">
        <f t="shared" ca="1" si="180"/>
        <v>0.57780912961455089</v>
      </c>
      <c r="E3085" s="101">
        <f t="shared" ca="1" si="181"/>
        <v>0</v>
      </c>
      <c r="F3085" s="21">
        <f t="shared" ca="1" si="182"/>
        <v>0</v>
      </c>
      <c r="H3085" s="21">
        <v>3070</v>
      </c>
      <c r="I3085" s="102">
        <v>0.66774188942249035</v>
      </c>
      <c r="J3085" s="103">
        <v>1.2898156833167104E-3</v>
      </c>
      <c r="K3085" s="103"/>
      <c r="L3085" s="103">
        <v>3.9E-2</v>
      </c>
      <c r="O3085" s="100"/>
    </row>
    <row r="3086" spans="2:15" x14ac:dyDescent="0.2">
      <c r="B3086" s="1">
        <v>3071</v>
      </c>
      <c r="C3086" s="101">
        <f ca="1"/>
        <v>1.6092148787699534</v>
      </c>
      <c r="D3086" s="101">
        <f t="shared" ca="1" si="180"/>
        <v>0.77881475969819758</v>
      </c>
      <c r="E3086" s="101">
        <f t="shared" ca="1" si="181"/>
        <v>0</v>
      </c>
      <c r="F3086" s="21">
        <f t="shared" ca="1" si="182"/>
        <v>0</v>
      </c>
      <c r="H3086" s="21">
        <v>3071</v>
      </c>
      <c r="I3086" s="102">
        <v>0.66792481956685201</v>
      </c>
      <c r="J3086" s="103">
        <v>1.5694696154141584E-3</v>
      </c>
      <c r="K3086" s="103"/>
      <c r="L3086" s="103">
        <v>4.8800000000000003E-2</v>
      </c>
      <c r="O3086" s="100"/>
    </row>
    <row r="3087" spans="2:15" x14ac:dyDescent="0.2">
      <c r="B3087" s="1">
        <v>3072</v>
      </c>
      <c r="C3087" s="101">
        <f ca="1"/>
        <v>1.3072630104315797</v>
      </c>
      <c r="D3087" s="101">
        <f t="shared" ca="1" si="180"/>
        <v>0.75595986984473251</v>
      </c>
      <c r="E3087" s="101">
        <f t="shared" ca="1" si="181"/>
        <v>0</v>
      </c>
      <c r="F3087" s="21">
        <f t="shared" ca="1" si="182"/>
        <v>0</v>
      </c>
      <c r="H3087" s="21">
        <v>3072</v>
      </c>
      <c r="I3087" s="102">
        <v>0.66763895251210559</v>
      </c>
      <c r="J3087" s="103">
        <v>1.1965666394964112E-3</v>
      </c>
      <c r="K3087" s="103"/>
      <c r="L3087" s="103">
        <v>3.6999999999999998E-2</v>
      </c>
      <c r="O3087" s="100"/>
    </row>
    <row r="3088" spans="2:15" x14ac:dyDescent="0.2">
      <c r="B3088" s="1">
        <v>3073</v>
      </c>
      <c r="C3088" s="101">
        <f ca="1"/>
        <v>1.9112820748168948</v>
      </c>
      <c r="D3088" s="101">
        <f t="shared" ref="D3088:D3151" ca="1" si="183">S0*EXP((μ-0.5*σ*σ)*T+σ*SQRT(T)*$C3088)</f>
        <v>0.80236974784837267</v>
      </c>
      <c r="E3088" s="101">
        <f t="shared" ref="E3088:E3151" ca="1" si="184">MAX(0,CP*(D3088-K))</f>
        <v>1.416974784837266E-2</v>
      </c>
      <c r="F3088" s="21">
        <f t="shared" ref="F3088:F3151" ca="1" si="185">(CP*(D3088-K)&gt;0)*1</f>
        <v>1</v>
      </c>
      <c r="H3088" s="21">
        <v>3073</v>
      </c>
      <c r="I3088" s="102">
        <v>0.66787449317902314</v>
      </c>
      <c r="J3088" s="103">
        <v>1.4877458295616923E-3</v>
      </c>
      <c r="K3088" s="103"/>
      <c r="L3088" s="103">
        <v>4.24E-2</v>
      </c>
      <c r="O3088" s="100"/>
    </row>
    <row r="3089" spans="2:15" x14ac:dyDescent="0.2">
      <c r="B3089" s="1">
        <v>3074</v>
      </c>
      <c r="C3089" s="101">
        <f ca="1"/>
        <v>0.24382704246017492</v>
      </c>
      <c r="D3089" s="101">
        <f t="shared" ca="1" si="183"/>
        <v>0.68067813514576414</v>
      </c>
      <c r="E3089" s="101">
        <f t="shared" ca="1" si="184"/>
        <v>0</v>
      </c>
      <c r="F3089" s="21">
        <f t="shared" ca="1" si="185"/>
        <v>0</v>
      </c>
      <c r="H3089" s="21">
        <v>3074</v>
      </c>
      <c r="I3089" s="102">
        <v>0.66765920027152126</v>
      </c>
      <c r="J3089" s="103">
        <v>1.3330612627161099E-3</v>
      </c>
      <c r="K3089" s="103"/>
      <c r="L3089" s="103">
        <v>4.0599999999999997E-2</v>
      </c>
      <c r="O3089" s="100"/>
    </row>
    <row r="3090" spans="2:15" x14ac:dyDescent="0.2">
      <c r="B3090" s="1">
        <v>3075</v>
      </c>
      <c r="C3090" s="101">
        <f ca="1"/>
        <v>-0.35819756194716035</v>
      </c>
      <c r="D3090" s="101">
        <f t="shared" ca="1" si="183"/>
        <v>0.64143320384427971</v>
      </c>
      <c r="E3090" s="101">
        <f t="shared" ca="1" si="184"/>
        <v>0</v>
      </c>
      <c r="F3090" s="21">
        <f t="shared" ca="1" si="185"/>
        <v>0</v>
      </c>
      <c r="H3090" s="21">
        <v>3075</v>
      </c>
      <c r="I3090" s="102">
        <v>0.66766652682149497</v>
      </c>
      <c r="J3090" s="103">
        <v>1.2907288935291852E-3</v>
      </c>
      <c r="K3090" s="103"/>
      <c r="L3090" s="103">
        <v>4.0599999999999997E-2</v>
      </c>
      <c r="O3090" s="100"/>
    </row>
    <row r="3091" spans="2:15" x14ac:dyDescent="0.2">
      <c r="B3091" s="1">
        <v>3076</v>
      </c>
      <c r="C3091" s="101">
        <f ca="1"/>
        <v>-0.92300609138234635</v>
      </c>
      <c r="D3091" s="101">
        <f t="shared" ca="1" si="183"/>
        <v>0.60667400745877442</v>
      </c>
      <c r="E3091" s="101">
        <f t="shared" ca="1" si="184"/>
        <v>0</v>
      </c>
      <c r="F3091" s="21">
        <f t="shared" ca="1" si="185"/>
        <v>0</v>
      </c>
      <c r="H3091" s="21">
        <v>3076</v>
      </c>
      <c r="I3091" s="102">
        <v>0.66786249819120691</v>
      </c>
      <c r="J3091" s="103">
        <v>1.6154769022421877E-3</v>
      </c>
      <c r="K3091" s="103"/>
      <c r="L3091" s="103">
        <v>4.6600000000000003E-2</v>
      </c>
      <c r="O3091" s="100"/>
    </row>
    <row r="3092" spans="2:15" x14ac:dyDescent="0.2">
      <c r="B3092" s="1">
        <v>3077</v>
      </c>
      <c r="C3092" s="101">
        <f ca="1"/>
        <v>0.97378099267245199</v>
      </c>
      <c r="D3092" s="101">
        <f t="shared" ca="1" si="183"/>
        <v>0.73149704748434807</v>
      </c>
      <c r="E3092" s="101">
        <f t="shared" ca="1" si="184"/>
        <v>0</v>
      </c>
      <c r="F3092" s="21">
        <f t="shared" ca="1" si="185"/>
        <v>0</v>
      </c>
      <c r="H3092" s="21">
        <v>3077</v>
      </c>
      <c r="I3092" s="102">
        <v>0.66776917757890752</v>
      </c>
      <c r="J3092" s="103">
        <v>1.4915510001727455E-3</v>
      </c>
      <c r="K3092" s="103"/>
      <c r="L3092" s="103">
        <v>4.2200000000000001E-2</v>
      </c>
      <c r="O3092" s="100"/>
    </row>
    <row r="3093" spans="2:15" x14ac:dyDescent="0.2">
      <c r="B3093" s="1">
        <v>3078</v>
      </c>
      <c r="C3093" s="101">
        <f ca="1"/>
        <v>-1.0736635279931157</v>
      </c>
      <c r="D3093" s="101">
        <f t="shared" ca="1" si="183"/>
        <v>0.59772485672143227</v>
      </c>
      <c r="E3093" s="101">
        <f t="shared" ca="1" si="184"/>
        <v>0</v>
      </c>
      <c r="F3093" s="21">
        <f t="shared" ca="1" si="185"/>
        <v>0</v>
      </c>
      <c r="H3093" s="21">
        <v>3078</v>
      </c>
      <c r="I3093" s="102">
        <v>0.66786944384490476</v>
      </c>
      <c r="J3093" s="103">
        <v>1.4459853992668679E-3</v>
      </c>
      <c r="K3093" s="103"/>
      <c r="L3093" s="103">
        <v>4.1399999999999999E-2</v>
      </c>
      <c r="O3093" s="100"/>
    </row>
    <row r="3094" spans="2:15" x14ac:dyDescent="0.2">
      <c r="B3094" s="1">
        <v>3079</v>
      </c>
      <c r="C3094" s="101">
        <f ca="1"/>
        <v>-0.16829725426500874</v>
      </c>
      <c r="D3094" s="101">
        <f t="shared" ca="1" si="183"/>
        <v>0.65356178398229969</v>
      </c>
      <c r="E3094" s="101">
        <f t="shared" ca="1" si="184"/>
        <v>0</v>
      </c>
      <c r="F3094" s="21">
        <f t="shared" ca="1" si="185"/>
        <v>0</v>
      </c>
      <c r="H3094" s="21">
        <v>3079</v>
      </c>
      <c r="I3094" s="102">
        <v>0.66753545120954039</v>
      </c>
      <c r="J3094" s="103">
        <v>1.1224374212495298E-3</v>
      </c>
      <c r="K3094" s="103"/>
      <c r="L3094" s="103">
        <v>3.7199999999999997E-2</v>
      </c>
      <c r="O3094" s="100"/>
    </row>
    <row r="3095" spans="2:15" x14ac:dyDescent="0.2">
      <c r="B3095" s="1">
        <v>3080</v>
      </c>
      <c r="C3095" s="101">
        <f ca="1"/>
        <v>1.7209949085443565</v>
      </c>
      <c r="D3095" s="101">
        <f t="shared" ca="1" si="183"/>
        <v>0.78744958964076894</v>
      </c>
      <c r="E3095" s="101">
        <f t="shared" ca="1" si="184"/>
        <v>0</v>
      </c>
      <c r="F3095" s="21">
        <f t="shared" ca="1" si="185"/>
        <v>0</v>
      </c>
      <c r="H3095" s="21">
        <v>3080</v>
      </c>
      <c r="I3095" s="102">
        <v>0.66758068299638307</v>
      </c>
      <c r="J3095" s="103">
        <v>1.2827985852298077E-3</v>
      </c>
      <c r="K3095" s="103"/>
      <c r="L3095" s="103">
        <v>3.6600000000000001E-2</v>
      </c>
      <c r="O3095" s="100"/>
    </row>
    <row r="3096" spans="2:15" x14ac:dyDescent="0.2">
      <c r="B3096" s="1">
        <v>3081</v>
      </c>
      <c r="C3096" s="101">
        <f ca="1"/>
        <v>1.3859399097575176</v>
      </c>
      <c r="D3096" s="101">
        <f t="shared" ca="1" si="183"/>
        <v>0.76184954311563124</v>
      </c>
      <c r="E3096" s="101">
        <f t="shared" ca="1" si="184"/>
        <v>0</v>
      </c>
      <c r="F3096" s="21">
        <f t="shared" ca="1" si="185"/>
        <v>0</v>
      </c>
      <c r="H3096" s="21">
        <v>3081</v>
      </c>
      <c r="I3096" s="102">
        <v>0.66785061396028189</v>
      </c>
      <c r="J3096" s="103">
        <v>1.5357614315500343E-3</v>
      </c>
      <c r="K3096" s="103"/>
      <c r="L3096" s="103">
        <v>4.2599999999999999E-2</v>
      </c>
      <c r="O3096" s="100"/>
    </row>
    <row r="3097" spans="2:15" x14ac:dyDescent="0.2">
      <c r="B3097" s="1">
        <v>3082</v>
      </c>
      <c r="C3097" s="101">
        <f ca="1"/>
        <v>-1.7599771503091721</v>
      </c>
      <c r="D3097" s="101">
        <f t="shared" ca="1" si="183"/>
        <v>0.55859888455775364</v>
      </c>
      <c r="E3097" s="101">
        <f t="shared" ca="1" si="184"/>
        <v>0</v>
      </c>
      <c r="F3097" s="21">
        <f t="shared" ca="1" si="185"/>
        <v>0</v>
      </c>
      <c r="H3097" s="21">
        <v>3082</v>
      </c>
      <c r="I3097" s="102">
        <v>0.66787095132472951</v>
      </c>
      <c r="J3097" s="103">
        <v>1.4939640915080028E-3</v>
      </c>
      <c r="K3097" s="103"/>
      <c r="L3097" s="103">
        <v>4.6800000000000001E-2</v>
      </c>
      <c r="O3097" s="100"/>
    </row>
    <row r="3098" spans="2:15" x14ac:dyDescent="0.2">
      <c r="B3098" s="1">
        <v>3083</v>
      </c>
      <c r="C3098" s="101">
        <f ca="1"/>
        <v>0.97896987776020983</v>
      </c>
      <c r="D3098" s="101">
        <f t="shared" ca="1" si="183"/>
        <v>0.731871551673692</v>
      </c>
      <c r="E3098" s="101">
        <f t="shared" ca="1" si="184"/>
        <v>0</v>
      </c>
      <c r="F3098" s="21">
        <f t="shared" ca="1" si="185"/>
        <v>0</v>
      </c>
      <c r="H3098" s="21">
        <v>3083</v>
      </c>
      <c r="I3098" s="102">
        <v>0.66777522463006767</v>
      </c>
      <c r="J3098" s="103">
        <v>1.4945407404642046E-3</v>
      </c>
      <c r="K3098" s="103"/>
      <c r="L3098" s="103">
        <v>4.3400000000000001E-2</v>
      </c>
      <c r="O3098" s="100"/>
    </row>
    <row r="3099" spans="2:15" x14ac:dyDescent="0.2">
      <c r="B3099" s="1">
        <v>3084</v>
      </c>
      <c r="C3099" s="101">
        <f ca="1"/>
        <v>1.1247239451274234</v>
      </c>
      <c r="D3099" s="101">
        <f t="shared" ca="1" si="183"/>
        <v>0.74246994901365571</v>
      </c>
      <c r="E3099" s="101">
        <f t="shared" ca="1" si="184"/>
        <v>0</v>
      </c>
      <c r="F3099" s="21">
        <f t="shared" ca="1" si="185"/>
        <v>0</v>
      </c>
      <c r="H3099" s="21">
        <v>3084</v>
      </c>
      <c r="I3099" s="102">
        <v>0.6676424783837499</v>
      </c>
      <c r="J3099" s="103">
        <v>1.3002612664497876E-3</v>
      </c>
      <c r="K3099" s="103"/>
      <c r="L3099" s="103">
        <v>3.9E-2</v>
      </c>
      <c r="O3099" s="100"/>
    </row>
    <row r="3100" spans="2:15" x14ac:dyDescent="0.2">
      <c r="B3100" s="1">
        <v>3085</v>
      </c>
      <c r="C3100" s="101">
        <f ca="1"/>
        <v>2.5505608939367798E-2</v>
      </c>
      <c r="D3100" s="101">
        <f t="shared" ca="1" si="183"/>
        <v>0.66617609544157597</v>
      </c>
      <c r="E3100" s="101">
        <f t="shared" ca="1" si="184"/>
        <v>0</v>
      </c>
      <c r="F3100" s="21">
        <f t="shared" ca="1" si="185"/>
        <v>0</v>
      </c>
      <c r="H3100" s="21">
        <v>3085</v>
      </c>
      <c r="I3100" s="102">
        <v>0.66795436185735668</v>
      </c>
      <c r="J3100" s="103">
        <v>1.6340515453710867E-3</v>
      </c>
      <c r="K3100" s="103"/>
      <c r="L3100" s="103">
        <v>4.5600000000000002E-2</v>
      </c>
      <c r="O3100" s="100"/>
    </row>
    <row r="3101" spans="2:15" x14ac:dyDescent="0.2">
      <c r="B3101" s="1">
        <v>3086</v>
      </c>
      <c r="C3101" s="101">
        <f ca="1"/>
        <v>1.8677351291383992</v>
      </c>
      <c r="D3101" s="101">
        <f t="shared" ca="1" si="183"/>
        <v>0.79893053766605482</v>
      </c>
      <c r="E3101" s="101">
        <f t="shared" ca="1" si="184"/>
        <v>1.0730537666054807E-2</v>
      </c>
      <c r="F3101" s="21">
        <f t="shared" ca="1" si="185"/>
        <v>1</v>
      </c>
      <c r="H3101" s="21">
        <v>3086</v>
      </c>
      <c r="I3101" s="102">
        <v>0.66764422038728921</v>
      </c>
      <c r="J3101" s="103">
        <v>1.2926879643172424E-3</v>
      </c>
      <c r="K3101" s="103"/>
      <c r="L3101" s="103">
        <v>3.9199999999999999E-2</v>
      </c>
      <c r="O3101" s="100"/>
    </row>
    <row r="3102" spans="2:15" x14ac:dyDescent="0.2">
      <c r="B3102" s="1">
        <v>3087</v>
      </c>
      <c r="C3102" s="101">
        <f ca="1"/>
        <v>-1.9681212877350889</v>
      </c>
      <c r="D3102" s="101">
        <f t="shared" ca="1" si="183"/>
        <v>0.54724688428842139</v>
      </c>
      <c r="E3102" s="101">
        <f t="shared" ca="1" si="184"/>
        <v>0</v>
      </c>
      <c r="F3102" s="21">
        <f t="shared" ca="1" si="185"/>
        <v>0</v>
      </c>
      <c r="H3102" s="21">
        <v>3087</v>
      </c>
      <c r="I3102" s="102">
        <v>0.66762066034844281</v>
      </c>
      <c r="J3102" s="103">
        <v>1.279249687172685E-3</v>
      </c>
      <c r="K3102" s="103"/>
      <c r="L3102" s="103">
        <v>3.8600000000000002E-2</v>
      </c>
      <c r="O3102" s="100"/>
    </row>
    <row r="3103" spans="2:15" x14ac:dyDescent="0.2">
      <c r="B3103" s="1">
        <v>3088</v>
      </c>
      <c r="C3103" s="101">
        <f ca="1"/>
        <v>-0.29825766032617751</v>
      </c>
      <c r="D3103" s="101">
        <f t="shared" ca="1" si="183"/>
        <v>0.64523694443221347</v>
      </c>
      <c r="E3103" s="101">
        <f t="shared" ca="1" si="184"/>
        <v>0</v>
      </c>
      <c r="F3103" s="21">
        <f t="shared" ca="1" si="185"/>
        <v>0</v>
      </c>
      <c r="H3103" s="21">
        <v>3088</v>
      </c>
      <c r="I3103" s="102">
        <v>0.66755400524116537</v>
      </c>
      <c r="J3103" s="103">
        <v>1.2633571234197687E-3</v>
      </c>
      <c r="K3103" s="103"/>
      <c r="L3103" s="103">
        <v>4.1399999999999999E-2</v>
      </c>
      <c r="O3103" s="100"/>
    </row>
    <row r="3104" spans="2:15" x14ac:dyDescent="0.2">
      <c r="B3104" s="1">
        <v>3089</v>
      </c>
      <c r="C3104" s="101">
        <f ca="1"/>
        <v>-0.87579999112637152</v>
      </c>
      <c r="D3104" s="101">
        <f t="shared" ca="1" si="183"/>
        <v>0.6095055555742227</v>
      </c>
      <c r="E3104" s="101">
        <f t="shared" ca="1" si="184"/>
        <v>0</v>
      </c>
      <c r="F3104" s="21">
        <f t="shared" ca="1" si="185"/>
        <v>0</v>
      </c>
      <c r="H3104" s="21">
        <v>3089</v>
      </c>
      <c r="I3104" s="102">
        <v>0.66772719520907031</v>
      </c>
      <c r="J3104" s="103">
        <v>1.2565454732844071E-3</v>
      </c>
      <c r="K3104" s="103"/>
      <c r="L3104" s="103">
        <v>4.02E-2</v>
      </c>
      <c r="O3104" s="100"/>
    </row>
    <row r="3105" spans="2:15" x14ac:dyDescent="0.2">
      <c r="B3105" s="1">
        <v>3090</v>
      </c>
      <c r="C3105" s="101">
        <f ca="1"/>
        <v>0.36836618463978121</v>
      </c>
      <c r="D3105" s="101">
        <f t="shared" ca="1" si="183"/>
        <v>0.68909163888185254</v>
      </c>
      <c r="E3105" s="101">
        <f t="shared" ca="1" si="184"/>
        <v>0</v>
      </c>
      <c r="F3105" s="21">
        <f t="shared" ca="1" si="185"/>
        <v>0</v>
      </c>
      <c r="H3105" s="21">
        <v>3090</v>
      </c>
      <c r="I3105" s="102">
        <v>0.66774784401626108</v>
      </c>
      <c r="J3105" s="103">
        <v>1.315010214105075E-3</v>
      </c>
      <c r="K3105" s="103"/>
      <c r="L3105" s="103">
        <v>0.04</v>
      </c>
      <c r="O3105" s="100"/>
    </row>
    <row r="3106" spans="2:15" x14ac:dyDescent="0.2">
      <c r="B3106" s="1">
        <v>3091</v>
      </c>
      <c r="C3106" s="101">
        <f ca="1"/>
        <v>0.84881420181163603</v>
      </c>
      <c r="D3106" s="101">
        <f t="shared" ca="1" si="183"/>
        <v>0.72253531253735226</v>
      </c>
      <c r="E3106" s="101">
        <f t="shared" ca="1" si="184"/>
        <v>0</v>
      </c>
      <c r="F3106" s="21">
        <f t="shared" ca="1" si="185"/>
        <v>0</v>
      </c>
      <c r="H3106" s="21">
        <v>3091</v>
      </c>
      <c r="I3106" s="102">
        <v>0.66765255359447295</v>
      </c>
      <c r="J3106" s="103">
        <v>1.2010009109833166E-3</v>
      </c>
      <c r="K3106" s="103"/>
      <c r="L3106" s="103">
        <v>4.1200000000000001E-2</v>
      </c>
      <c r="O3106" s="100"/>
    </row>
    <row r="3107" spans="2:15" x14ac:dyDescent="0.2">
      <c r="B3107" s="1">
        <v>3092</v>
      </c>
      <c r="C3107" s="101">
        <f ca="1"/>
        <v>-0.87968974077484519</v>
      </c>
      <c r="D3107" s="101">
        <f t="shared" ca="1" si="183"/>
        <v>0.60927173920905486</v>
      </c>
      <c r="E3107" s="101">
        <f t="shared" ca="1" si="184"/>
        <v>0</v>
      </c>
      <c r="F3107" s="21">
        <f t="shared" ca="1" si="185"/>
        <v>0</v>
      </c>
      <c r="H3107" s="21">
        <v>3092</v>
      </c>
      <c r="I3107" s="102">
        <v>0.66759682658092323</v>
      </c>
      <c r="J3107" s="103">
        <v>1.2356986415345806E-3</v>
      </c>
      <c r="K3107" s="103"/>
      <c r="L3107" s="103">
        <v>4.2599999999999999E-2</v>
      </c>
      <c r="O3107" s="100"/>
    </row>
    <row r="3108" spans="2:15" x14ac:dyDescent="0.2">
      <c r="B3108" s="1">
        <v>3093</v>
      </c>
      <c r="C3108" s="101">
        <f ca="1"/>
        <v>-0.16226823184764785</v>
      </c>
      <c r="D3108" s="101">
        <f t="shared" ca="1" si="183"/>
        <v>0.65395057980945648</v>
      </c>
      <c r="E3108" s="101">
        <f t="shared" ca="1" si="184"/>
        <v>0</v>
      </c>
      <c r="F3108" s="21">
        <f t="shared" ca="1" si="185"/>
        <v>0</v>
      </c>
      <c r="H3108" s="21">
        <v>3093</v>
      </c>
      <c r="I3108" s="102">
        <v>0.66758795707233276</v>
      </c>
      <c r="J3108" s="103">
        <v>1.1901477278146017E-3</v>
      </c>
      <c r="K3108" s="103"/>
      <c r="L3108" s="103">
        <v>3.7999999999999999E-2</v>
      </c>
      <c r="O3108" s="100"/>
    </row>
    <row r="3109" spans="2:15" x14ac:dyDescent="0.2">
      <c r="B3109" s="1">
        <v>3094</v>
      </c>
      <c r="C3109" s="101">
        <f ca="1"/>
        <v>-1.993947033906656E-2</v>
      </c>
      <c r="D3109" s="101">
        <f t="shared" ca="1" si="183"/>
        <v>0.66319646944439481</v>
      </c>
      <c r="E3109" s="101">
        <f t="shared" ca="1" si="184"/>
        <v>0</v>
      </c>
      <c r="F3109" s="21">
        <f t="shared" ca="1" si="185"/>
        <v>0</v>
      </c>
      <c r="H3109" s="21">
        <v>3094</v>
      </c>
      <c r="I3109" s="102">
        <v>0.66785744864692764</v>
      </c>
      <c r="J3109" s="103">
        <v>1.3892023486491523E-3</v>
      </c>
      <c r="K3109" s="103"/>
      <c r="L3109" s="103">
        <v>4.36E-2</v>
      </c>
      <c r="O3109" s="100"/>
    </row>
    <row r="3110" spans="2:15" x14ac:dyDescent="0.2">
      <c r="B3110" s="1">
        <v>3095</v>
      </c>
      <c r="C3110" s="101">
        <f ca="1"/>
        <v>0.11884503905567409</v>
      </c>
      <c r="D3110" s="101">
        <f t="shared" ca="1" si="183"/>
        <v>0.67233798522889365</v>
      </c>
      <c r="E3110" s="101">
        <f t="shared" ca="1" si="184"/>
        <v>0</v>
      </c>
      <c r="F3110" s="21">
        <f t="shared" ca="1" si="185"/>
        <v>0</v>
      </c>
      <c r="H3110" s="21">
        <v>3095</v>
      </c>
      <c r="I3110" s="102">
        <v>0.6678367034434356</v>
      </c>
      <c r="J3110" s="103">
        <v>1.4085586771049889E-3</v>
      </c>
      <c r="K3110" s="103"/>
      <c r="L3110" s="103">
        <v>4.5400000000000003E-2</v>
      </c>
      <c r="O3110" s="100"/>
    </row>
    <row r="3111" spans="2:15" x14ac:dyDescent="0.2">
      <c r="B3111" s="1">
        <v>3096</v>
      </c>
      <c r="C3111" s="101">
        <f ca="1"/>
        <v>-0.29518824431782703</v>
      </c>
      <c r="D3111" s="101">
        <f t="shared" ca="1" si="183"/>
        <v>0.64543233321527327</v>
      </c>
      <c r="E3111" s="101">
        <f t="shared" ca="1" si="184"/>
        <v>0</v>
      </c>
      <c r="F3111" s="21">
        <f t="shared" ca="1" si="185"/>
        <v>0</v>
      </c>
      <c r="H3111" s="21">
        <v>3096</v>
      </c>
      <c r="I3111" s="102">
        <v>0.66761838497839487</v>
      </c>
      <c r="J3111" s="103">
        <v>1.2146673783966283E-3</v>
      </c>
      <c r="K3111" s="103"/>
      <c r="L3111" s="103">
        <v>4.0399999999999998E-2</v>
      </c>
      <c r="O3111" s="100"/>
    </row>
    <row r="3112" spans="2:15" x14ac:dyDescent="0.2">
      <c r="B3112" s="1">
        <v>3097</v>
      </c>
      <c r="C3112" s="101">
        <f ca="1"/>
        <v>-8.918277465276675E-2</v>
      </c>
      <c r="D3112" s="101">
        <f t="shared" ca="1" si="183"/>
        <v>0.65868210554215245</v>
      </c>
      <c r="E3112" s="101">
        <f t="shared" ca="1" si="184"/>
        <v>0</v>
      </c>
      <c r="F3112" s="21">
        <f t="shared" ca="1" si="185"/>
        <v>0</v>
      </c>
      <c r="H3112" s="21">
        <v>3097</v>
      </c>
      <c r="I3112" s="102">
        <v>0.66770050241935464</v>
      </c>
      <c r="J3112" s="103">
        <v>1.4256429341113729E-3</v>
      </c>
      <c r="K3112" s="103"/>
      <c r="L3112" s="103">
        <v>4.24E-2</v>
      </c>
      <c r="O3112" s="100"/>
    </row>
    <row r="3113" spans="2:15" x14ac:dyDescent="0.2">
      <c r="B3113" s="1">
        <v>3098</v>
      </c>
      <c r="C3113" s="101">
        <f ca="1"/>
        <v>-0.51317220179956713</v>
      </c>
      <c r="D3113" s="101">
        <f t="shared" ca="1" si="183"/>
        <v>0.63170224370384764</v>
      </c>
      <c r="E3113" s="101">
        <f t="shared" ca="1" si="184"/>
        <v>0</v>
      </c>
      <c r="F3113" s="21">
        <f t="shared" ca="1" si="185"/>
        <v>0</v>
      </c>
      <c r="H3113" s="21">
        <v>3098</v>
      </c>
      <c r="I3113" s="102">
        <v>0.66783947784552689</v>
      </c>
      <c r="J3113" s="103">
        <v>1.4997331761718009E-3</v>
      </c>
      <c r="K3113" s="103"/>
      <c r="L3113" s="103">
        <v>4.5199999999999997E-2</v>
      </c>
      <c r="O3113" s="100"/>
    </row>
    <row r="3114" spans="2:15" x14ac:dyDescent="0.2">
      <c r="B3114" s="1">
        <v>3099</v>
      </c>
      <c r="C3114" s="101">
        <f ca="1"/>
        <v>-1.9818580105262138</v>
      </c>
      <c r="D3114" s="101">
        <f t="shared" ca="1" si="183"/>
        <v>0.54650586224143716</v>
      </c>
      <c r="E3114" s="101">
        <f t="shared" ca="1" si="184"/>
        <v>0</v>
      </c>
      <c r="F3114" s="21">
        <f t="shared" ca="1" si="185"/>
        <v>0</v>
      </c>
      <c r="H3114" s="21">
        <v>3099</v>
      </c>
      <c r="I3114" s="102">
        <v>0.66785995470217718</v>
      </c>
      <c r="J3114" s="103">
        <v>1.4271056922010067E-3</v>
      </c>
      <c r="K3114" s="103"/>
      <c r="L3114" s="103">
        <v>4.3200000000000002E-2</v>
      </c>
      <c r="O3114" s="100"/>
    </row>
    <row r="3115" spans="2:15" x14ac:dyDescent="0.2">
      <c r="B3115" s="1">
        <v>3100</v>
      </c>
      <c r="C3115" s="101">
        <f ca="1"/>
        <v>0.45570229975215704</v>
      </c>
      <c r="D3115" s="101">
        <f t="shared" ca="1" si="183"/>
        <v>0.69505377389523026</v>
      </c>
      <c r="E3115" s="101">
        <f t="shared" ca="1" si="184"/>
        <v>0</v>
      </c>
      <c r="F3115" s="21">
        <f t="shared" ca="1" si="185"/>
        <v>0</v>
      </c>
      <c r="H3115" s="21">
        <v>3100</v>
      </c>
      <c r="I3115" s="102">
        <v>0.66768214940254078</v>
      </c>
      <c r="J3115" s="103">
        <v>1.297457727084267E-3</v>
      </c>
      <c r="K3115" s="103"/>
      <c r="L3115" s="103">
        <v>4.0800000000000003E-2</v>
      </c>
      <c r="O3115" s="100"/>
    </row>
    <row r="3116" spans="2:15" x14ac:dyDescent="0.2">
      <c r="B3116" s="1">
        <v>3101</v>
      </c>
      <c r="C3116" s="101">
        <f ca="1"/>
        <v>2.209315021531481E-2</v>
      </c>
      <c r="D3116" s="101">
        <f t="shared" ca="1" si="183"/>
        <v>0.66595189200732674</v>
      </c>
      <c r="E3116" s="101">
        <f t="shared" ca="1" si="184"/>
        <v>0</v>
      </c>
      <c r="F3116" s="21">
        <f t="shared" ca="1" si="185"/>
        <v>0</v>
      </c>
      <c r="H3116" s="21">
        <v>3101</v>
      </c>
      <c r="I3116" s="102">
        <v>0.66764388213881753</v>
      </c>
      <c r="J3116" s="103">
        <v>1.2268140409539283E-3</v>
      </c>
      <c r="K3116" s="103"/>
      <c r="L3116" s="103">
        <v>4.1399999999999999E-2</v>
      </c>
      <c r="O3116" s="100"/>
    </row>
    <row r="3117" spans="2:15" x14ac:dyDescent="0.2">
      <c r="B3117" s="1">
        <v>3102</v>
      </c>
      <c r="C3117" s="101">
        <f ca="1"/>
        <v>-0.83819032695486673</v>
      </c>
      <c r="D3117" s="101">
        <f t="shared" ca="1" si="183"/>
        <v>0.61177093974266206</v>
      </c>
      <c r="E3117" s="101">
        <f t="shared" ca="1" si="184"/>
        <v>0</v>
      </c>
      <c r="F3117" s="21">
        <f t="shared" ca="1" si="185"/>
        <v>0</v>
      </c>
      <c r="H3117" s="21">
        <v>3102</v>
      </c>
      <c r="I3117" s="102">
        <v>0.66760260602616861</v>
      </c>
      <c r="J3117" s="103">
        <v>1.2055099048640309E-3</v>
      </c>
      <c r="K3117" s="103"/>
      <c r="L3117" s="103">
        <v>3.9E-2</v>
      </c>
      <c r="O3117" s="100"/>
    </row>
    <row r="3118" spans="2:15" x14ac:dyDescent="0.2">
      <c r="B3118" s="1">
        <v>3103</v>
      </c>
      <c r="C3118" s="101">
        <f ca="1"/>
        <v>0.30071766069535472</v>
      </c>
      <c r="D3118" s="101">
        <f t="shared" ca="1" si="183"/>
        <v>0.68450867957276684</v>
      </c>
      <c r="E3118" s="101">
        <f t="shared" ca="1" si="184"/>
        <v>0</v>
      </c>
      <c r="F3118" s="21">
        <f t="shared" ca="1" si="185"/>
        <v>0</v>
      </c>
      <c r="H3118" s="21">
        <v>3103</v>
      </c>
      <c r="I3118" s="102">
        <v>0.66778759078299676</v>
      </c>
      <c r="J3118" s="103">
        <v>1.5259563532589253E-3</v>
      </c>
      <c r="K3118" s="103"/>
      <c r="L3118" s="103">
        <v>4.5199999999999997E-2</v>
      </c>
      <c r="O3118" s="100"/>
    </row>
    <row r="3119" spans="2:15" x14ac:dyDescent="0.2">
      <c r="B3119" s="1">
        <v>3104</v>
      </c>
      <c r="C3119" s="101">
        <f ca="1"/>
        <v>-1.4310968014353267</v>
      </c>
      <c r="D3119" s="101">
        <f t="shared" ca="1" si="183"/>
        <v>0.57701764711037917</v>
      </c>
      <c r="E3119" s="101">
        <f t="shared" ca="1" si="184"/>
        <v>0</v>
      </c>
      <c r="F3119" s="21">
        <f t="shared" ca="1" si="185"/>
        <v>0</v>
      </c>
      <c r="H3119" s="21">
        <v>3104</v>
      </c>
      <c r="I3119" s="102">
        <v>0.66772483694847662</v>
      </c>
      <c r="J3119" s="103">
        <v>1.2638809490770463E-3</v>
      </c>
      <c r="K3119" s="103"/>
      <c r="L3119" s="103">
        <v>3.9199999999999999E-2</v>
      </c>
      <c r="O3119" s="100"/>
    </row>
    <row r="3120" spans="2:15" x14ac:dyDescent="0.2">
      <c r="B3120" s="1">
        <v>3105</v>
      </c>
      <c r="C3120" s="101">
        <f ca="1"/>
        <v>-2.3932853634361555E-3</v>
      </c>
      <c r="D3120" s="101">
        <f t="shared" ca="1" si="183"/>
        <v>0.66434530983978413</v>
      </c>
      <c r="E3120" s="101">
        <f t="shared" ca="1" si="184"/>
        <v>0</v>
      </c>
      <c r="F3120" s="21">
        <f t="shared" ca="1" si="185"/>
        <v>0</v>
      </c>
      <c r="H3120" s="21">
        <v>3105</v>
      </c>
      <c r="I3120" s="102">
        <v>0.66771162022510711</v>
      </c>
      <c r="J3120" s="103">
        <v>1.3744341090963705E-3</v>
      </c>
      <c r="K3120" s="103"/>
      <c r="L3120" s="103">
        <v>3.9800000000000002E-2</v>
      </c>
      <c r="O3120" s="100"/>
    </row>
    <row r="3121" spans="2:15" x14ac:dyDescent="0.2">
      <c r="B3121" s="1">
        <v>3106</v>
      </c>
      <c r="C3121" s="101">
        <f ca="1"/>
        <v>0.15977684992928562</v>
      </c>
      <c r="D3121" s="101">
        <f t="shared" ca="1" si="183"/>
        <v>0.67505808321932481</v>
      </c>
      <c r="E3121" s="101">
        <f t="shared" ca="1" si="184"/>
        <v>0</v>
      </c>
      <c r="F3121" s="21">
        <f t="shared" ca="1" si="185"/>
        <v>0</v>
      </c>
      <c r="H3121" s="21">
        <v>3106</v>
      </c>
      <c r="I3121" s="102">
        <v>0.66779793064200077</v>
      </c>
      <c r="J3121" s="103">
        <v>1.3478413237716458E-3</v>
      </c>
      <c r="K3121" s="103"/>
      <c r="L3121" s="103">
        <v>4.36E-2</v>
      </c>
      <c r="O3121" s="100"/>
    </row>
    <row r="3122" spans="2:15" x14ac:dyDescent="0.2">
      <c r="B3122" s="1">
        <v>3107</v>
      </c>
      <c r="C3122" s="101">
        <f ca="1"/>
        <v>-2.6476665200762008</v>
      </c>
      <c r="D3122" s="101">
        <f t="shared" ca="1" si="183"/>
        <v>0.51176667094332196</v>
      </c>
      <c r="E3122" s="101">
        <f t="shared" ca="1" si="184"/>
        <v>0</v>
      </c>
      <c r="F3122" s="21">
        <f t="shared" ca="1" si="185"/>
        <v>0</v>
      </c>
      <c r="H3122" s="21">
        <v>3107</v>
      </c>
      <c r="I3122" s="102">
        <v>0.66767084124048526</v>
      </c>
      <c r="J3122" s="103">
        <v>1.3688023965344541E-3</v>
      </c>
      <c r="K3122" s="103"/>
      <c r="L3122" s="103">
        <v>3.8199999999999998E-2</v>
      </c>
      <c r="O3122" s="100"/>
    </row>
    <row r="3123" spans="2:15" x14ac:dyDescent="0.2">
      <c r="B3123" s="1">
        <v>3108</v>
      </c>
      <c r="C3123" s="101">
        <f ca="1"/>
        <v>0.27166033222406599</v>
      </c>
      <c r="D3123" s="101">
        <f t="shared" ca="1" si="183"/>
        <v>0.68254951331488189</v>
      </c>
      <c r="E3123" s="101">
        <f t="shared" ca="1" si="184"/>
        <v>0</v>
      </c>
      <c r="F3123" s="21">
        <f t="shared" ca="1" si="185"/>
        <v>0</v>
      </c>
      <c r="H3123" s="21">
        <v>3108</v>
      </c>
      <c r="I3123" s="102">
        <v>0.66769994100268426</v>
      </c>
      <c r="J3123" s="103">
        <v>1.3111963995974423E-3</v>
      </c>
      <c r="K3123" s="103"/>
      <c r="L3123" s="103">
        <v>4.0800000000000003E-2</v>
      </c>
      <c r="O3123" s="100"/>
    </row>
    <row r="3124" spans="2:15" x14ac:dyDescent="0.2">
      <c r="B3124" s="1">
        <v>3109</v>
      </c>
      <c r="C3124" s="101">
        <f ca="1"/>
        <v>0.6334534449281205</v>
      </c>
      <c r="D3124" s="101">
        <f t="shared" ca="1" si="183"/>
        <v>0.70734804120519756</v>
      </c>
      <c r="E3124" s="101">
        <f t="shared" ca="1" si="184"/>
        <v>0</v>
      </c>
      <c r="F3124" s="21">
        <f t="shared" ca="1" si="185"/>
        <v>0</v>
      </c>
      <c r="H3124" s="21">
        <v>3109</v>
      </c>
      <c r="I3124" s="102">
        <v>0.66776028572286728</v>
      </c>
      <c r="J3124" s="103">
        <v>1.3484455624496159E-3</v>
      </c>
      <c r="K3124" s="103"/>
      <c r="L3124" s="103">
        <v>4.1399999999999999E-2</v>
      </c>
      <c r="O3124" s="100"/>
    </row>
    <row r="3125" spans="2:15" x14ac:dyDescent="0.2">
      <c r="B3125" s="1">
        <v>3110</v>
      </c>
      <c r="C3125" s="101">
        <f ca="1"/>
        <v>-0.23094466974515943</v>
      </c>
      <c r="D3125" s="101">
        <f t="shared" ca="1" si="183"/>
        <v>0.64953547118170862</v>
      </c>
      <c r="E3125" s="101">
        <f t="shared" ca="1" si="184"/>
        <v>0</v>
      </c>
      <c r="F3125" s="21">
        <f t="shared" ca="1" si="185"/>
        <v>0</v>
      </c>
      <c r="H3125" s="21">
        <v>3110</v>
      </c>
      <c r="I3125" s="102">
        <v>0.66760354366406927</v>
      </c>
      <c r="J3125" s="103">
        <v>1.3207946860272165E-3</v>
      </c>
      <c r="K3125" s="103"/>
      <c r="L3125" s="103">
        <v>3.8199999999999998E-2</v>
      </c>
      <c r="O3125" s="100"/>
    </row>
    <row r="3126" spans="2:15" x14ac:dyDescent="0.2">
      <c r="B3126" s="1">
        <v>3111</v>
      </c>
      <c r="C3126" s="101">
        <f ca="1"/>
        <v>0.40670091895587002</v>
      </c>
      <c r="D3126" s="101">
        <f t="shared" ca="1" si="183"/>
        <v>0.69170229527894322</v>
      </c>
      <c r="E3126" s="101">
        <f t="shared" ca="1" si="184"/>
        <v>0</v>
      </c>
      <c r="F3126" s="21">
        <f t="shared" ca="1" si="185"/>
        <v>0</v>
      </c>
      <c r="H3126" s="21">
        <v>3111</v>
      </c>
      <c r="I3126" s="102">
        <v>0.66757661282892145</v>
      </c>
      <c r="J3126" s="103">
        <v>1.1555962380363975E-3</v>
      </c>
      <c r="K3126" s="103"/>
      <c r="L3126" s="103">
        <v>3.44E-2</v>
      </c>
      <c r="O3126" s="100"/>
    </row>
    <row r="3127" spans="2:15" x14ac:dyDescent="0.2">
      <c r="B3127" s="1">
        <v>3112</v>
      </c>
      <c r="C3127" s="101">
        <f ca="1"/>
        <v>-0.76557672210188255</v>
      </c>
      <c r="D3127" s="101">
        <f t="shared" ca="1" si="183"/>
        <v>0.61616860360693182</v>
      </c>
      <c r="E3127" s="101">
        <f t="shared" ca="1" si="184"/>
        <v>0</v>
      </c>
      <c r="F3127" s="21">
        <f t="shared" ca="1" si="185"/>
        <v>0</v>
      </c>
      <c r="H3127" s="21">
        <v>3112</v>
      </c>
      <c r="I3127" s="102">
        <v>0.66779202587387132</v>
      </c>
      <c r="J3127" s="103">
        <v>1.3532048542188241E-3</v>
      </c>
      <c r="K3127" s="103"/>
      <c r="L3127" s="103">
        <v>4.4600000000000001E-2</v>
      </c>
      <c r="O3127" s="100"/>
    </row>
    <row r="3128" spans="2:15" x14ac:dyDescent="0.2">
      <c r="B3128" s="1">
        <v>3113</v>
      </c>
      <c r="C3128" s="101">
        <f ca="1"/>
        <v>3.740570589205016E-2</v>
      </c>
      <c r="D3128" s="101">
        <f t="shared" ca="1" si="183"/>
        <v>0.66695853962505103</v>
      </c>
      <c r="E3128" s="101">
        <f t="shared" ca="1" si="184"/>
        <v>0</v>
      </c>
      <c r="F3128" s="21">
        <f t="shared" ca="1" si="185"/>
        <v>0</v>
      </c>
      <c r="H3128" s="21">
        <v>3113</v>
      </c>
      <c r="I3128" s="102">
        <v>0.66770501716922859</v>
      </c>
      <c r="J3128" s="103">
        <v>1.2917564116619283E-3</v>
      </c>
      <c r="K3128" s="103"/>
      <c r="L3128" s="103">
        <v>4.24E-2</v>
      </c>
      <c r="O3128" s="100"/>
    </row>
    <row r="3129" spans="2:15" x14ac:dyDescent="0.2">
      <c r="B3129" s="1">
        <v>3114</v>
      </c>
      <c r="C3129" s="101">
        <f ca="1"/>
        <v>-0.30100556505478249</v>
      </c>
      <c r="D3129" s="101">
        <f t="shared" ca="1" si="183"/>
        <v>0.64506207216526501</v>
      </c>
      <c r="E3129" s="101">
        <f t="shared" ca="1" si="184"/>
        <v>0</v>
      </c>
      <c r="F3129" s="21">
        <f t="shared" ca="1" si="185"/>
        <v>0</v>
      </c>
      <c r="H3129" s="21">
        <v>3114</v>
      </c>
      <c r="I3129" s="102">
        <v>0.66764673135956443</v>
      </c>
      <c r="J3129" s="103">
        <v>1.2428091492897957E-3</v>
      </c>
      <c r="K3129" s="103"/>
      <c r="L3129" s="103">
        <v>3.8600000000000002E-2</v>
      </c>
      <c r="O3129" s="100"/>
    </row>
    <row r="3130" spans="2:15" x14ac:dyDescent="0.2">
      <c r="B3130" s="1">
        <v>3115</v>
      </c>
      <c r="C3130" s="101">
        <f ca="1"/>
        <v>-1.0677172143890119</v>
      </c>
      <c r="D3130" s="101">
        <f t="shared" ca="1" si="183"/>
        <v>0.59807555642720223</v>
      </c>
      <c r="E3130" s="101">
        <f t="shared" ca="1" si="184"/>
        <v>0</v>
      </c>
      <c r="F3130" s="21">
        <f t="shared" ca="1" si="185"/>
        <v>0</v>
      </c>
      <c r="H3130" s="21">
        <v>3115</v>
      </c>
      <c r="I3130" s="102">
        <v>0.66766429329224497</v>
      </c>
      <c r="J3130" s="103">
        <v>1.268222284295395E-3</v>
      </c>
      <c r="K3130" s="103"/>
      <c r="L3130" s="103">
        <v>4.0599999999999997E-2</v>
      </c>
      <c r="O3130" s="100"/>
    </row>
    <row r="3131" spans="2:15" x14ac:dyDescent="0.2">
      <c r="B3131" s="1">
        <v>3116</v>
      </c>
      <c r="C3131" s="101">
        <f ca="1"/>
        <v>2.8974315682269918</v>
      </c>
      <c r="D3131" s="101">
        <f t="shared" ca="1" si="183"/>
        <v>0.88434267355013685</v>
      </c>
      <c r="E3131" s="101">
        <f t="shared" ca="1" si="184"/>
        <v>9.6142673550136837E-2</v>
      </c>
      <c r="F3131" s="21">
        <f t="shared" ca="1" si="185"/>
        <v>1</v>
      </c>
      <c r="H3131" s="21">
        <v>3116</v>
      </c>
      <c r="I3131" s="102">
        <v>0.66778426881671316</v>
      </c>
      <c r="J3131" s="103">
        <v>1.4208932619987926E-3</v>
      </c>
      <c r="K3131" s="103"/>
      <c r="L3131" s="103">
        <v>4.5199999999999997E-2</v>
      </c>
      <c r="O3131" s="100"/>
    </row>
    <row r="3132" spans="2:15" x14ac:dyDescent="0.2">
      <c r="B3132" s="1">
        <v>3117</v>
      </c>
      <c r="C3132" s="101">
        <f ca="1"/>
        <v>-0.59760295358639537</v>
      </c>
      <c r="D3132" s="101">
        <f t="shared" ca="1" si="183"/>
        <v>0.62646304643659456</v>
      </c>
      <c r="E3132" s="101">
        <f t="shared" ca="1" si="184"/>
        <v>0</v>
      </c>
      <c r="F3132" s="21">
        <f t="shared" ca="1" si="185"/>
        <v>0</v>
      </c>
      <c r="H3132" s="21">
        <v>3117</v>
      </c>
      <c r="I3132" s="102">
        <v>0.66793657849860655</v>
      </c>
      <c r="J3132" s="103">
        <v>1.5533223642479814E-3</v>
      </c>
      <c r="K3132" s="103"/>
      <c r="L3132" s="103">
        <v>4.4600000000000001E-2</v>
      </c>
      <c r="O3132" s="100"/>
    </row>
    <row r="3133" spans="2:15" x14ac:dyDescent="0.2">
      <c r="B3133" s="1">
        <v>3118</v>
      </c>
      <c r="C3133" s="101">
        <f ca="1"/>
        <v>-0.13490587832859918</v>
      </c>
      <c r="D3133" s="101">
        <f t="shared" ca="1" si="183"/>
        <v>0.65571801502729055</v>
      </c>
      <c r="E3133" s="101">
        <f t="shared" ca="1" si="184"/>
        <v>0</v>
      </c>
      <c r="F3133" s="21">
        <f t="shared" ca="1" si="185"/>
        <v>0</v>
      </c>
      <c r="H3133" s="21">
        <v>3118</v>
      </c>
      <c r="I3133" s="102">
        <v>0.6677000679073356</v>
      </c>
      <c r="J3133" s="103">
        <v>1.3370936151335924E-3</v>
      </c>
      <c r="K3133" s="103"/>
      <c r="L3133" s="103">
        <v>4.3999999999999997E-2</v>
      </c>
      <c r="O3133" s="100"/>
    </row>
    <row r="3134" spans="2:15" x14ac:dyDescent="0.2">
      <c r="B3134" s="1">
        <v>3119</v>
      </c>
      <c r="C3134" s="101">
        <f ca="1"/>
        <v>-6.2672552703826281E-2</v>
      </c>
      <c r="D3134" s="101">
        <f t="shared" ca="1" si="183"/>
        <v>0.66040681559214087</v>
      </c>
      <c r="E3134" s="101">
        <f t="shared" ca="1" si="184"/>
        <v>0</v>
      </c>
      <c r="F3134" s="21">
        <f t="shared" ca="1" si="185"/>
        <v>0</v>
      </c>
      <c r="H3134" s="21">
        <v>3119</v>
      </c>
      <c r="I3134" s="102">
        <v>0.66781392564629294</v>
      </c>
      <c r="J3134" s="103">
        <v>1.5410499426066944E-3</v>
      </c>
      <c r="K3134" s="103"/>
      <c r="L3134" s="103">
        <v>4.36E-2</v>
      </c>
      <c r="O3134" s="100"/>
    </row>
    <row r="3135" spans="2:15" x14ac:dyDescent="0.2">
      <c r="B3135" s="1">
        <v>3120</v>
      </c>
      <c r="C3135" s="101">
        <f ca="1"/>
        <v>-0.19811816354590575</v>
      </c>
      <c r="D3135" s="101">
        <f t="shared" ca="1" si="183"/>
        <v>0.65164210843157644</v>
      </c>
      <c r="E3135" s="101">
        <f t="shared" ca="1" si="184"/>
        <v>0</v>
      </c>
      <c r="F3135" s="21">
        <f t="shared" ca="1" si="185"/>
        <v>0</v>
      </c>
      <c r="H3135" s="21">
        <v>3120</v>
      </c>
      <c r="I3135" s="102">
        <v>0.66765481918331604</v>
      </c>
      <c r="J3135" s="103">
        <v>1.3363738080744555E-3</v>
      </c>
      <c r="K3135" s="103"/>
      <c r="L3135" s="103">
        <v>3.9E-2</v>
      </c>
      <c r="O3135" s="100"/>
    </row>
    <row r="3136" spans="2:15" x14ac:dyDescent="0.2">
      <c r="B3136" s="1">
        <v>3121</v>
      </c>
      <c r="C3136" s="101">
        <f ca="1"/>
        <v>0.43459840496307017</v>
      </c>
      <c r="D3136" s="101">
        <f t="shared" ca="1" si="183"/>
        <v>0.69360837419939703</v>
      </c>
      <c r="E3136" s="101">
        <f t="shared" ca="1" si="184"/>
        <v>0</v>
      </c>
      <c r="F3136" s="21">
        <f t="shared" ca="1" si="185"/>
        <v>0</v>
      </c>
      <c r="H3136" s="21">
        <v>3121</v>
      </c>
      <c r="I3136" s="102">
        <v>0.66779730348748867</v>
      </c>
      <c r="J3136" s="103">
        <v>1.3977194158443784E-3</v>
      </c>
      <c r="K3136" s="103"/>
      <c r="L3136" s="103">
        <v>4.3200000000000002E-2</v>
      </c>
      <c r="O3136" s="100"/>
    </row>
    <row r="3137" spans="2:15" x14ac:dyDescent="0.2">
      <c r="B3137" s="1">
        <v>3122</v>
      </c>
      <c r="C3137" s="101">
        <f ca="1"/>
        <v>1.6272427849071951</v>
      </c>
      <c r="D3137" s="101">
        <f t="shared" ca="1" si="183"/>
        <v>0.78020095547622503</v>
      </c>
      <c r="E3137" s="101">
        <f t="shared" ca="1" si="184"/>
        <v>0</v>
      </c>
      <c r="F3137" s="21">
        <f t="shared" ca="1" si="185"/>
        <v>0</v>
      </c>
      <c r="H3137" s="21">
        <v>3122</v>
      </c>
      <c r="I3137" s="102">
        <v>0.66760592341811087</v>
      </c>
      <c r="J3137" s="103">
        <v>1.081038557305337E-3</v>
      </c>
      <c r="K3137" s="103"/>
      <c r="L3137" s="103">
        <v>3.8199999999999998E-2</v>
      </c>
      <c r="O3137" s="100"/>
    </row>
    <row r="3138" spans="2:15" x14ac:dyDescent="0.2">
      <c r="B3138" s="1">
        <v>3123</v>
      </c>
      <c r="C3138" s="101">
        <f ca="1"/>
        <v>0.3550007041781893</v>
      </c>
      <c r="D3138" s="101">
        <f t="shared" ca="1" si="183"/>
        <v>0.68818374685226213</v>
      </c>
      <c r="E3138" s="101">
        <f t="shared" ca="1" si="184"/>
        <v>0</v>
      </c>
      <c r="F3138" s="21">
        <f t="shared" ca="1" si="185"/>
        <v>0</v>
      </c>
      <c r="H3138" s="21">
        <v>3123</v>
      </c>
      <c r="I3138" s="102">
        <v>0.66786537945352331</v>
      </c>
      <c r="J3138" s="103">
        <v>1.5442889179452482E-3</v>
      </c>
      <c r="K3138" s="103"/>
      <c r="L3138" s="103">
        <v>4.7199999999999999E-2</v>
      </c>
      <c r="O3138" s="100"/>
    </row>
    <row r="3139" spans="2:15" x14ac:dyDescent="0.2">
      <c r="B3139" s="1">
        <v>3124</v>
      </c>
      <c r="C3139" s="101">
        <f ca="1"/>
        <v>-7.4457404164043728E-2</v>
      </c>
      <c r="D3139" s="101">
        <f t="shared" ca="1" si="183"/>
        <v>0.65963955629998261</v>
      </c>
      <c r="E3139" s="101">
        <f t="shared" ca="1" si="184"/>
        <v>0</v>
      </c>
      <c r="F3139" s="21">
        <f t="shared" ca="1" si="185"/>
        <v>0</v>
      </c>
      <c r="H3139" s="21">
        <v>3124</v>
      </c>
      <c r="I3139" s="102">
        <v>0.66772266990143603</v>
      </c>
      <c r="J3139" s="103">
        <v>1.3149301437777479E-3</v>
      </c>
      <c r="K3139" s="103"/>
      <c r="L3139" s="103">
        <v>4.4999999999999998E-2</v>
      </c>
      <c r="O3139" s="100"/>
    </row>
    <row r="3140" spans="2:15" x14ac:dyDescent="0.2">
      <c r="B3140" s="1">
        <v>3125</v>
      </c>
      <c r="C3140" s="101">
        <f ca="1"/>
        <v>1.2729072548253821</v>
      </c>
      <c r="D3140" s="101">
        <f t="shared" ca="1" si="183"/>
        <v>0.75340233555569247</v>
      </c>
      <c r="E3140" s="101">
        <f t="shared" ca="1" si="184"/>
        <v>0</v>
      </c>
      <c r="F3140" s="21">
        <f t="shared" ca="1" si="185"/>
        <v>0</v>
      </c>
      <c r="H3140" s="21">
        <v>3125</v>
      </c>
      <c r="I3140" s="102">
        <v>0.66771177433610007</v>
      </c>
      <c r="J3140" s="103">
        <v>1.4246217742227363E-3</v>
      </c>
      <c r="K3140" s="103"/>
      <c r="L3140" s="103">
        <v>3.9600000000000003E-2</v>
      </c>
      <c r="O3140" s="100"/>
    </row>
    <row r="3141" spans="2:15" x14ac:dyDescent="0.2">
      <c r="B3141" s="1">
        <v>3126</v>
      </c>
      <c r="C3141" s="101">
        <f ca="1"/>
        <v>0.3039525717393417</v>
      </c>
      <c r="D3141" s="101">
        <f t="shared" ca="1" si="183"/>
        <v>0.68472713834839216</v>
      </c>
      <c r="E3141" s="101">
        <f t="shared" ca="1" si="184"/>
        <v>0</v>
      </c>
      <c r="F3141" s="21">
        <f t="shared" ca="1" si="185"/>
        <v>0</v>
      </c>
      <c r="H3141" s="21">
        <v>3126</v>
      </c>
      <c r="I3141" s="102">
        <v>0.66781605147330925</v>
      </c>
      <c r="J3141" s="103">
        <v>1.3312654437177668E-3</v>
      </c>
      <c r="K3141" s="103"/>
      <c r="L3141" s="103">
        <v>4.3200000000000002E-2</v>
      </c>
      <c r="O3141" s="100"/>
    </row>
    <row r="3142" spans="2:15" x14ac:dyDescent="0.2">
      <c r="B3142" s="1">
        <v>3127</v>
      </c>
      <c r="C3142" s="101">
        <f ca="1"/>
        <v>0.13395619388859867</v>
      </c>
      <c r="D3142" s="101">
        <f t="shared" ca="1" si="183"/>
        <v>0.67334090899082122</v>
      </c>
      <c r="E3142" s="101">
        <f t="shared" ca="1" si="184"/>
        <v>0</v>
      </c>
      <c r="F3142" s="21">
        <f t="shared" ca="1" si="185"/>
        <v>0</v>
      </c>
      <c r="H3142" s="21">
        <v>3127</v>
      </c>
      <c r="I3142" s="102">
        <v>0.66773549574582935</v>
      </c>
      <c r="J3142" s="103">
        <v>1.2986014803332343E-3</v>
      </c>
      <c r="K3142" s="103"/>
      <c r="L3142" s="103">
        <v>4.5199999999999997E-2</v>
      </c>
      <c r="O3142" s="100"/>
    </row>
    <row r="3143" spans="2:15" x14ac:dyDescent="0.2">
      <c r="B3143" s="1">
        <v>3128</v>
      </c>
      <c r="C3143" s="101">
        <f ca="1"/>
        <v>-0.6902266923834306</v>
      </c>
      <c r="D3143" s="101">
        <f t="shared" ca="1" si="183"/>
        <v>0.62076541693753018</v>
      </c>
      <c r="E3143" s="101">
        <f t="shared" ca="1" si="184"/>
        <v>0</v>
      </c>
      <c r="F3143" s="21">
        <f t="shared" ca="1" si="185"/>
        <v>0</v>
      </c>
      <c r="H3143" s="21">
        <v>3128</v>
      </c>
      <c r="I3143" s="102">
        <v>0.66790752240203954</v>
      </c>
      <c r="J3143" s="103">
        <v>1.4010691533185491E-3</v>
      </c>
      <c r="K3143" s="103"/>
      <c r="L3143" s="103">
        <v>4.2799999999999998E-2</v>
      </c>
      <c r="O3143" s="100"/>
    </row>
    <row r="3144" spans="2:15" x14ac:dyDescent="0.2">
      <c r="B3144" s="1">
        <v>3129</v>
      </c>
      <c r="C3144" s="101">
        <f ca="1"/>
        <v>-0.65797356768224591</v>
      </c>
      <c r="D3144" s="101">
        <f t="shared" ca="1" si="183"/>
        <v>0.62274352150501089</v>
      </c>
      <c r="E3144" s="101">
        <f t="shared" ca="1" si="184"/>
        <v>0</v>
      </c>
      <c r="F3144" s="21">
        <f t="shared" ca="1" si="185"/>
        <v>0</v>
      </c>
      <c r="H3144" s="21">
        <v>3129</v>
      </c>
      <c r="I3144" s="102">
        <v>0.6676814958447197</v>
      </c>
      <c r="J3144" s="103">
        <v>1.2903461285333306E-3</v>
      </c>
      <c r="K3144" s="103"/>
      <c r="L3144" s="103">
        <v>4.1799999999999997E-2</v>
      </c>
      <c r="O3144" s="100"/>
    </row>
    <row r="3145" spans="2:15" x14ac:dyDescent="0.2">
      <c r="B3145" s="1">
        <v>3130</v>
      </c>
      <c r="C3145" s="101">
        <f ca="1"/>
        <v>-0.76400087094491631</v>
      </c>
      <c r="D3145" s="101">
        <f t="shared" ca="1" si="183"/>
        <v>0.61626439079309736</v>
      </c>
      <c r="E3145" s="101">
        <f t="shared" ca="1" si="184"/>
        <v>0</v>
      </c>
      <c r="F3145" s="21">
        <f t="shared" ca="1" si="185"/>
        <v>0</v>
      </c>
      <c r="H3145" s="21">
        <v>3130</v>
      </c>
      <c r="I3145" s="102">
        <v>0.66781643395697265</v>
      </c>
      <c r="J3145" s="103">
        <v>1.5065813077124598E-3</v>
      </c>
      <c r="K3145" s="103"/>
      <c r="L3145" s="103">
        <v>4.6199999999999998E-2</v>
      </c>
      <c r="O3145" s="100"/>
    </row>
    <row r="3146" spans="2:15" x14ac:dyDescent="0.2">
      <c r="B3146" s="1">
        <v>3131</v>
      </c>
      <c r="C3146" s="101">
        <f ca="1"/>
        <v>0.58030839761457087</v>
      </c>
      <c r="D3146" s="101">
        <f t="shared" ca="1" si="183"/>
        <v>0.70364961463347764</v>
      </c>
      <c r="E3146" s="101">
        <f t="shared" ca="1" si="184"/>
        <v>0</v>
      </c>
      <c r="F3146" s="21">
        <f t="shared" ca="1" si="185"/>
        <v>0</v>
      </c>
      <c r="H3146" s="21">
        <v>3131</v>
      </c>
      <c r="I3146" s="102">
        <v>0.66777563467347834</v>
      </c>
      <c r="J3146" s="103">
        <v>1.3018408481014138E-3</v>
      </c>
      <c r="K3146" s="103"/>
      <c r="L3146" s="103">
        <v>4.48E-2</v>
      </c>
      <c r="O3146" s="100"/>
    </row>
    <row r="3147" spans="2:15" x14ac:dyDescent="0.2">
      <c r="B3147" s="1">
        <v>3132</v>
      </c>
      <c r="C3147" s="101">
        <f ca="1"/>
        <v>-0.14676470912149125</v>
      </c>
      <c r="D3147" s="101">
        <f t="shared" ca="1" si="183"/>
        <v>0.65495142370137083</v>
      </c>
      <c r="E3147" s="101">
        <f t="shared" ca="1" si="184"/>
        <v>0</v>
      </c>
      <c r="F3147" s="21">
        <f t="shared" ca="1" si="185"/>
        <v>0</v>
      </c>
      <c r="H3147" s="21">
        <v>3132</v>
      </c>
      <c r="I3147" s="102">
        <v>0.66769495342108731</v>
      </c>
      <c r="J3147" s="103">
        <v>1.357149535655645E-3</v>
      </c>
      <c r="K3147" s="103"/>
      <c r="L3147" s="103">
        <v>4.1200000000000001E-2</v>
      </c>
      <c r="O3147" s="100"/>
    </row>
    <row r="3148" spans="2:15" x14ac:dyDescent="0.2">
      <c r="B3148" s="1">
        <v>3133</v>
      </c>
      <c r="C3148" s="101">
        <f ca="1"/>
        <v>-0.34791550474006661</v>
      </c>
      <c r="D3148" s="101">
        <f t="shared" ca="1" si="183"/>
        <v>0.64208409835819735</v>
      </c>
      <c r="E3148" s="101">
        <f t="shared" ca="1" si="184"/>
        <v>0</v>
      </c>
      <c r="F3148" s="21">
        <f t="shared" ca="1" si="185"/>
        <v>0</v>
      </c>
      <c r="H3148" s="21">
        <v>3133</v>
      </c>
      <c r="I3148" s="102">
        <v>0.66787633903119881</v>
      </c>
      <c r="J3148" s="103">
        <v>1.5121917383509864E-3</v>
      </c>
      <c r="K3148" s="103"/>
      <c r="L3148" s="103">
        <v>4.3200000000000002E-2</v>
      </c>
      <c r="O3148" s="100"/>
    </row>
    <row r="3149" spans="2:15" x14ac:dyDescent="0.2">
      <c r="B3149" s="1">
        <v>3134</v>
      </c>
      <c r="C3149" s="101">
        <f ca="1"/>
        <v>0.97775655325807753</v>
      </c>
      <c r="D3149" s="101">
        <f t="shared" ca="1" si="183"/>
        <v>0.73178396364620635</v>
      </c>
      <c r="E3149" s="101">
        <f t="shared" ca="1" si="184"/>
        <v>0</v>
      </c>
      <c r="F3149" s="21">
        <f t="shared" ca="1" si="185"/>
        <v>0</v>
      </c>
      <c r="H3149" s="21">
        <v>3134</v>
      </c>
      <c r="I3149" s="102">
        <v>0.66772516050384068</v>
      </c>
      <c r="J3149" s="103">
        <v>1.430258187224969E-3</v>
      </c>
      <c r="K3149" s="103"/>
      <c r="L3149" s="103">
        <v>3.9800000000000002E-2</v>
      </c>
      <c r="O3149" s="100"/>
    </row>
    <row r="3150" spans="2:15" x14ac:dyDescent="0.2">
      <c r="B3150" s="1">
        <v>3135</v>
      </c>
      <c r="C3150" s="101">
        <f ca="1"/>
        <v>-9.8621156518587258E-2</v>
      </c>
      <c r="D3150" s="101">
        <f t="shared" ca="1" si="183"/>
        <v>0.65806914833108443</v>
      </c>
      <c r="E3150" s="101">
        <f t="shared" ca="1" si="184"/>
        <v>0</v>
      </c>
      <c r="F3150" s="21">
        <f t="shared" ca="1" si="185"/>
        <v>0</v>
      </c>
      <c r="H3150" s="21">
        <v>3135</v>
      </c>
      <c r="I3150" s="102">
        <v>0.66763928461330357</v>
      </c>
      <c r="J3150" s="103">
        <v>1.2733718970368323E-3</v>
      </c>
      <c r="K3150" s="103"/>
      <c r="L3150" s="103">
        <v>4.02E-2</v>
      </c>
      <c r="O3150" s="100"/>
    </row>
    <row r="3151" spans="2:15" x14ac:dyDescent="0.2">
      <c r="B3151" s="1">
        <v>3136</v>
      </c>
      <c r="C3151" s="101">
        <f ca="1"/>
        <v>2.0209885098893845E-2</v>
      </c>
      <c r="D3151" s="101">
        <f t="shared" ca="1" si="183"/>
        <v>0.66582819110102731</v>
      </c>
      <c r="E3151" s="101">
        <f t="shared" ca="1" si="184"/>
        <v>0</v>
      </c>
      <c r="F3151" s="21">
        <f t="shared" ca="1" si="185"/>
        <v>0</v>
      </c>
      <c r="H3151" s="21">
        <v>3136</v>
      </c>
      <c r="I3151" s="102">
        <v>0.66756881118164946</v>
      </c>
      <c r="J3151" s="103">
        <v>1.2012523889714665E-3</v>
      </c>
      <c r="K3151" s="103"/>
      <c r="L3151" s="103">
        <v>3.7400000000000003E-2</v>
      </c>
      <c r="O3151" s="100"/>
    </row>
    <row r="3152" spans="2:15" x14ac:dyDescent="0.2">
      <c r="B3152" s="1">
        <v>3137</v>
      </c>
      <c r="C3152" s="101">
        <f ca="1"/>
        <v>0.48157511752722248</v>
      </c>
      <c r="D3152" s="101">
        <f t="shared" ref="D3152:D3215" ca="1" si="186">S0*EXP((μ-0.5*σ*σ)*T+σ*SQRT(T)*$C3152)</f>
        <v>0.69682990631608688</v>
      </c>
      <c r="E3152" s="101">
        <f t="shared" ref="E3152:E3215" ca="1" si="187">MAX(0,CP*(D3152-K))</f>
        <v>0</v>
      </c>
      <c r="F3152" s="21">
        <f t="shared" ref="F3152:F3215" ca="1" si="188">(CP*(D3152-K)&gt;0)*1</f>
        <v>0</v>
      </c>
      <c r="H3152" s="21">
        <v>3137</v>
      </c>
      <c r="I3152" s="102">
        <v>0.6676873752698137</v>
      </c>
      <c r="J3152" s="103">
        <v>1.2325998116161209E-3</v>
      </c>
      <c r="K3152" s="103"/>
      <c r="L3152" s="103">
        <v>4.0399999999999998E-2</v>
      </c>
      <c r="O3152" s="100"/>
    </row>
    <row r="3153" spans="2:15" x14ac:dyDescent="0.2">
      <c r="B3153" s="1">
        <v>3138</v>
      </c>
      <c r="C3153" s="101">
        <f ca="1"/>
        <v>-1.2058507983384008</v>
      </c>
      <c r="D3153" s="101">
        <f t="shared" ca="1" si="186"/>
        <v>0.58998163816202398</v>
      </c>
      <c r="E3153" s="101">
        <f t="shared" ca="1" si="187"/>
        <v>0</v>
      </c>
      <c r="F3153" s="21">
        <f t="shared" ca="1" si="188"/>
        <v>0</v>
      </c>
      <c r="H3153" s="21">
        <v>3138</v>
      </c>
      <c r="I3153" s="102">
        <v>0.66767839615972535</v>
      </c>
      <c r="J3153" s="103">
        <v>1.3404593491499069E-3</v>
      </c>
      <c r="K3153" s="103"/>
      <c r="L3153" s="103">
        <v>4.24E-2</v>
      </c>
      <c r="O3153" s="100"/>
    </row>
    <row r="3154" spans="2:15" x14ac:dyDescent="0.2">
      <c r="B3154" s="1">
        <v>3139</v>
      </c>
      <c r="C3154" s="101">
        <f ca="1"/>
        <v>-0.29174385733359587</v>
      </c>
      <c r="D3154" s="101">
        <f t="shared" ca="1" si="186"/>
        <v>0.64565166185123013</v>
      </c>
      <c r="E3154" s="101">
        <f t="shared" ca="1" si="187"/>
        <v>0</v>
      </c>
      <c r="F3154" s="21">
        <f t="shared" ca="1" si="188"/>
        <v>0</v>
      </c>
      <c r="H3154" s="21">
        <v>3139</v>
      </c>
      <c r="I3154" s="102">
        <v>0.66785329502511059</v>
      </c>
      <c r="J3154" s="103">
        <v>1.4840806490193704E-3</v>
      </c>
      <c r="K3154" s="103"/>
      <c r="L3154" s="103">
        <v>4.3999999999999997E-2</v>
      </c>
      <c r="O3154" s="100"/>
    </row>
    <row r="3155" spans="2:15" x14ac:dyDescent="0.2">
      <c r="B3155" s="1">
        <v>3140</v>
      </c>
      <c r="C3155" s="101">
        <f ca="1"/>
        <v>-1.8411558370800802</v>
      </c>
      <c r="D3155" s="101">
        <f t="shared" ca="1" si="186"/>
        <v>0.5541437243682954</v>
      </c>
      <c r="E3155" s="101">
        <f t="shared" ca="1" si="187"/>
        <v>0</v>
      </c>
      <c r="F3155" s="21">
        <f t="shared" ca="1" si="188"/>
        <v>0</v>
      </c>
      <c r="H3155" s="21">
        <v>3140</v>
      </c>
      <c r="I3155" s="102">
        <v>0.66765269351564371</v>
      </c>
      <c r="J3155" s="103">
        <v>1.316427084149337E-3</v>
      </c>
      <c r="K3155" s="103"/>
      <c r="L3155" s="103">
        <v>3.9800000000000002E-2</v>
      </c>
      <c r="O3155" s="100"/>
    </row>
    <row r="3156" spans="2:15" x14ac:dyDescent="0.2">
      <c r="B3156" s="1">
        <v>3141</v>
      </c>
      <c r="C3156" s="101">
        <f ca="1"/>
        <v>1.0182220150823282</v>
      </c>
      <c r="D3156" s="101">
        <f t="shared" ca="1" si="186"/>
        <v>0.73471076559858639</v>
      </c>
      <c r="E3156" s="101">
        <f t="shared" ca="1" si="187"/>
        <v>0</v>
      </c>
      <c r="F3156" s="21">
        <f t="shared" ca="1" si="188"/>
        <v>0</v>
      </c>
      <c r="H3156" s="21">
        <v>3141</v>
      </c>
      <c r="I3156" s="102">
        <v>0.66786200660238937</v>
      </c>
      <c r="J3156" s="103">
        <v>1.5386305843013354E-3</v>
      </c>
      <c r="K3156" s="103"/>
      <c r="L3156" s="103">
        <v>4.3799999999999999E-2</v>
      </c>
      <c r="O3156" s="100"/>
    </row>
    <row r="3157" spans="2:15" x14ac:dyDescent="0.2">
      <c r="B3157" s="1">
        <v>3142</v>
      </c>
      <c r="C3157" s="101">
        <f ca="1"/>
        <v>-0.90134592087136511</v>
      </c>
      <c r="D3157" s="101">
        <f t="shared" ca="1" si="186"/>
        <v>0.60797160554648866</v>
      </c>
      <c r="E3157" s="101">
        <f t="shared" ca="1" si="187"/>
        <v>0</v>
      </c>
      <c r="F3157" s="21">
        <f t="shared" ca="1" si="188"/>
        <v>0</v>
      </c>
      <c r="H3157" s="21">
        <v>3142</v>
      </c>
      <c r="I3157" s="102">
        <v>0.66776361924606176</v>
      </c>
      <c r="J3157" s="103">
        <v>1.3548087491577954E-3</v>
      </c>
      <c r="K3157" s="103"/>
      <c r="L3157" s="103">
        <v>3.8199999999999998E-2</v>
      </c>
      <c r="O3157" s="100"/>
    </row>
    <row r="3158" spans="2:15" x14ac:dyDescent="0.2">
      <c r="B3158" s="1">
        <v>3143</v>
      </c>
      <c r="C3158" s="101">
        <f ca="1"/>
        <v>-0.96577302859976932</v>
      </c>
      <c r="D3158" s="101">
        <f t="shared" ca="1" si="186"/>
        <v>0.60412009089110963</v>
      </c>
      <c r="E3158" s="101">
        <f t="shared" ca="1" si="187"/>
        <v>0</v>
      </c>
      <c r="F3158" s="21">
        <f t="shared" ca="1" si="188"/>
        <v>0</v>
      </c>
      <c r="H3158" s="21">
        <v>3143</v>
      </c>
      <c r="I3158" s="102">
        <v>0.66785914472262531</v>
      </c>
      <c r="J3158" s="103">
        <v>1.3934999075462719E-3</v>
      </c>
      <c r="K3158" s="103"/>
      <c r="L3158" s="103">
        <v>4.36E-2</v>
      </c>
      <c r="O3158" s="100"/>
    </row>
    <row r="3159" spans="2:15" x14ac:dyDescent="0.2">
      <c r="B3159" s="1">
        <v>3144</v>
      </c>
      <c r="C3159" s="101">
        <f ca="1"/>
        <v>0.11820122266788498</v>
      </c>
      <c r="D3159" s="101">
        <f t="shared" ca="1" si="186"/>
        <v>0.6722952884821104</v>
      </c>
      <c r="E3159" s="101">
        <f t="shared" ca="1" si="187"/>
        <v>0</v>
      </c>
      <c r="F3159" s="21">
        <f t="shared" ca="1" si="188"/>
        <v>0</v>
      </c>
      <c r="H3159" s="21">
        <v>3144</v>
      </c>
      <c r="I3159" s="102">
        <v>0.66756809772293968</v>
      </c>
      <c r="J3159" s="103">
        <v>1.2354312157282497E-3</v>
      </c>
      <c r="K3159" s="103"/>
      <c r="L3159" s="103">
        <v>3.7400000000000003E-2</v>
      </c>
      <c r="O3159" s="100"/>
    </row>
    <row r="3160" spans="2:15" x14ac:dyDescent="0.2">
      <c r="B3160" s="1">
        <v>3145</v>
      </c>
      <c r="C3160" s="101">
        <f ca="1"/>
        <v>-1.4847915995467083</v>
      </c>
      <c r="D3160" s="101">
        <f t="shared" ca="1" si="186"/>
        <v>0.57396953742017753</v>
      </c>
      <c r="E3160" s="101">
        <f t="shared" ca="1" si="187"/>
        <v>0</v>
      </c>
      <c r="F3160" s="21">
        <f t="shared" ca="1" si="188"/>
        <v>0</v>
      </c>
      <c r="H3160" s="21">
        <v>3145</v>
      </c>
      <c r="I3160" s="102">
        <v>0.66766169348121684</v>
      </c>
      <c r="J3160" s="103">
        <v>1.1726032049893659E-3</v>
      </c>
      <c r="K3160" s="103"/>
      <c r="L3160" s="103">
        <v>4.0599999999999997E-2</v>
      </c>
      <c r="O3160" s="100"/>
    </row>
    <row r="3161" spans="2:15" x14ac:dyDescent="0.2">
      <c r="B3161" s="1">
        <v>3146</v>
      </c>
      <c r="C3161" s="101">
        <f ca="1"/>
        <v>-0.20830416793069845</v>
      </c>
      <c r="D3161" s="101">
        <f t="shared" ca="1" si="186"/>
        <v>0.65098769269095458</v>
      </c>
      <c r="E3161" s="101">
        <f t="shared" ca="1" si="187"/>
        <v>0</v>
      </c>
      <c r="F3161" s="21">
        <f t="shared" ca="1" si="188"/>
        <v>0</v>
      </c>
      <c r="H3161" s="21">
        <v>3146</v>
      </c>
      <c r="I3161" s="102">
        <v>0.66761377582140757</v>
      </c>
      <c r="J3161" s="103">
        <v>1.1680062702852613E-3</v>
      </c>
      <c r="K3161" s="103"/>
      <c r="L3161" s="103">
        <v>3.8800000000000001E-2</v>
      </c>
      <c r="O3161" s="100"/>
    </row>
    <row r="3162" spans="2:15" x14ac:dyDescent="0.2">
      <c r="B3162" s="1">
        <v>3147</v>
      </c>
      <c r="C3162" s="101">
        <f ca="1"/>
        <v>0.2435527270643186</v>
      </c>
      <c r="D3162" s="101">
        <f t="shared" ca="1" si="186"/>
        <v>0.68065971703806372</v>
      </c>
      <c r="E3162" s="101">
        <f t="shared" ca="1" si="187"/>
        <v>0</v>
      </c>
      <c r="F3162" s="21">
        <f t="shared" ca="1" si="188"/>
        <v>0</v>
      </c>
      <c r="H3162" s="21">
        <v>3147</v>
      </c>
      <c r="I3162" s="102">
        <v>0.66778089953396746</v>
      </c>
      <c r="J3162" s="103">
        <v>1.4042302406029907E-3</v>
      </c>
      <c r="K3162" s="103"/>
      <c r="L3162" s="103">
        <v>4.3200000000000002E-2</v>
      </c>
      <c r="O3162" s="100"/>
    </row>
    <row r="3163" spans="2:15" x14ac:dyDescent="0.2">
      <c r="B3163" s="1">
        <v>3148</v>
      </c>
      <c r="C3163" s="101">
        <f ca="1"/>
        <v>0.87329254386731969</v>
      </c>
      <c r="D3163" s="101">
        <f t="shared" ca="1" si="186"/>
        <v>0.72428203699468718</v>
      </c>
      <c r="E3163" s="101">
        <f t="shared" ca="1" si="187"/>
        <v>0</v>
      </c>
      <c r="F3163" s="21">
        <f t="shared" ca="1" si="188"/>
        <v>0</v>
      </c>
      <c r="H3163" s="21">
        <v>3148</v>
      </c>
      <c r="I3163" s="102">
        <v>0.66781600975670186</v>
      </c>
      <c r="J3163" s="103">
        <v>1.3714293982911845E-3</v>
      </c>
      <c r="K3163" s="103"/>
      <c r="L3163" s="103">
        <v>4.1200000000000001E-2</v>
      </c>
      <c r="O3163" s="100"/>
    </row>
    <row r="3164" spans="2:15" x14ac:dyDescent="0.2">
      <c r="B3164" s="1">
        <v>3149</v>
      </c>
      <c r="C3164" s="101">
        <f ca="1"/>
        <v>-1.3182012842431334</v>
      </c>
      <c r="D3164" s="101">
        <f t="shared" ca="1" si="186"/>
        <v>0.58347932232224886</v>
      </c>
      <c r="E3164" s="101">
        <f t="shared" ca="1" si="187"/>
        <v>0</v>
      </c>
      <c r="F3164" s="21">
        <f t="shared" ca="1" si="188"/>
        <v>0</v>
      </c>
      <c r="H3164" s="21">
        <v>3149</v>
      </c>
      <c r="I3164" s="102">
        <v>0.66776078775964365</v>
      </c>
      <c r="J3164" s="103">
        <v>1.5236727114727416E-3</v>
      </c>
      <c r="K3164" s="103"/>
      <c r="L3164" s="103">
        <v>4.2599999999999999E-2</v>
      </c>
      <c r="O3164" s="100"/>
    </row>
    <row r="3165" spans="2:15" x14ac:dyDescent="0.2">
      <c r="B3165" s="1">
        <v>3150</v>
      </c>
      <c r="C3165" s="101">
        <f ca="1"/>
        <v>-0.27128374507210279</v>
      </c>
      <c r="D3165" s="101">
        <f t="shared" ca="1" si="186"/>
        <v>0.64695603998305617</v>
      </c>
      <c r="E3165" s="101">
        <f t="shared" ca="1" si="187"/>
        <v>0</v>
      </c>
      <c r="F3165" s="21">
        <f t="shared" ca="1" si="188"/>
        <v>0</v>
      </c>
      <c r="H3165" s="21">
        <v>3150</v>
      </c>
      <c r="I3165" s="102">
        <v>0.66764757513517059</v>
      </c>
      <c r="J3165" s="103">
        <v>1.2076048667016114E-3</v>
      </c>
      <c r="K3165" s="103"/>
      <c r="L3165" s="103">
        <v>3.9800000000000002E-2</v>
      </c>
      <c r="O3165" s="100"/>
    </row>
    <row r="3166" spans="2:15" x14ac:dyDescent="0.2">
      <c r="B3166" s="1">
        <v>3151</v>
      </c>
      <c r="C3166" s="101">
        <f ca="1"/>
        <v>2.2327818973046569</v>
      </c>
      <c r="D3166" s="101">
        <f t="shared" ca="1" si="186"/>
        <v>0.82822321598555426</v>
      </c>
      <c r="E3166" s="101">
        <f t="shared" ca="1" si="187"/>
        <v>4.002321598555425E-2</v>
      </c>
      <c r="F3166" s="21">
        <f t="shared" ca="1" si="188"/>
        <v>1</v>
      </c>
      <c r="H3166" s="21">
        <v>3151</v>
      </c>
      <c r="I3166" s="102">
        <v>0.66778738338166532</v>
      </c>
      <c r="J3166" s="103">
        <v>1.4249332182869072E-3</v>
      </c>
      <c r="K3166" s="103"/>
      <c r="L3166" s="103">
        <v>4.1399999999999999E-2</v>
      </c>
      <c r="O3166" s="100"/>
    </row>
    <row r="3167" spans="2:15" x14ac:dyDescent="0.2">
      <c r="B3167" s="1">
        <v>3152</v>
      </c>
      <c r="C3167" s="101">
        <f ca="1"/>
        <v>0.80095548117256665</v>
      </c>
      <c r="D3167" s="101">
        <f t="shared" ca="1" si="186"/>
        <v>0.71913237210434267</v>
      </c>
      <c r="E3167" s="101">
        <f t="shared" ca="1" si="187"/>
        <v>0</v>
      </c>
      <c r="F3167" s="21">
        <f t="shared" ca="1" si="188"/>
        <v>0</v>
      </c>
      <c r="H3167" s="21">
        <v>3152</v>
      </c>
      <c r="I3167" s="102">
        <v>0.66783071618524648</v>
      </c>
      <c r="J3167" s="103">
        <v>1.4868273580994689E-3</v>
      </c>
      <c r="K3167" s="103"/>
      <c r="L3167" s="103">
        <v>4.3400000000000001E-2</v>
      </c>
      <c r="O3167" s="100"/>
    </row>
    <row r="3168" spans="2:15" x14ac:dyDescent="0.2">
      <c r="B3168" s="1">
        <v>3153</v>
      </c>
      <c r="C3168" s="101">
        <f ca="1"/>
        <v>-1.255794159017585</v>
      </c>
      <c r="D3168" s="101">
        <f t="shared" ca="1" si="186"/>
        <v>0.58708225357112709</v>
      </c>
      <c r="E3168" s="101">
        <f t="shared" ca="1" si="187"/>
        <v>0</v>
      </c>
      <c r="F3168" s="21">
        <f t="shared" ca="1" si="188"/>
        <v>0</v>
      </c>
      <c r="H3168" s="21">
        <v>3153</v>
      </c>
      <c r="I3168" s="102">
        <v>0.66764855326511729</v>
      </c>
      <c r="J3168" s="103">
        <v>1.2218836337477992E-3</v>
      </c>
      <c r="K3168" s="103"/>
      <c r="L3168" s="103">
        <v>3.8600000000000002E-2</v>
      </c>
      <c r="O3168" s="100"/>
    </row>
    <row r="3169" spans="2:15" x14ac:dyDescent="0.2">
      <c r="B3169" s="1">
        <v>3154</v>
      </c>
      <c r="C3169" s="101">
        <f ca="1"/>
        <v>-0.73231594914218112</v>
      </c>
      <c r="D3169" s="101">
        <f t="shared" ca="1" si="186"/>
        <v>0.61819350292486541</v>
      </c>
      <c r="E3169" s="101">
        <f t="shared" ca="1" si="187"/>
        <v>0</v>
      </c>
      <c r="F3169" s="21">
        <f t="shared" ca="1" si="188"/>
        <v>0</v>
      </c>
      <c r="H3169" s="21">
        <v>3154</v>
      </c>
      <c r="I3169" s="102">
        <v>0.6676628056026338</v>
      </c>
      <c r="J3169" s="103">
        <v>1.2180919640785587E-3</v>
      </c>
      <c r="K3169" s="103"/>
      <c r="L3169" s="103">
        <v>4.1599999999999998E-2</v>
      </c>
      <c r="O3169" s="100"/>
    </row>
    <row r="3170" spans="2:15" x14ac:dyDescent="0.2">
      <c r="B3170" s="1">
        <v>3155</v>
      </c>
      <c r="C3170" s="101">
        <f ca="1"/>
        <v>0.62094171205765047</v>
      </c>
      <c r="D3170" s="101">
        <f t="shared" ca="1" si="186"/>
        <v>0.70647558919131304</v>
      </c>
      <c r="E3170" s="101">
        <f t="shared" ca="1" si="187"/>
        <v>0</v>
      </c>
      <c r="F3170" s="21">
        <f t="shared" ca="1" si="188"/>
        <v>0</v>
      </c>
      <c r="H3170" s="21">
        <v>3155</v>
      </c>
      <c r="I3170" s="102">
        <v>0.66774173271062631</v>
      </c>
      <c r="J3170" s="103">
        <v>1.4061953001840894E-3</v>
      </c>
      <c r="K3170" s="103"/>
      <c r="L3170" s="103">
        <v>4.0599999999999997E-2</v>
      </c>
      <c r="O3170" s="100"/>
    </row>
    <row r="3171" spans="2:15" x14ac:dyDescent="0.2">
      <c r="B3171" s="1">
        <v>3156</v>
      </c>
      <c r="C3171" s="101">
        <f ca="1"/>
        <v>-0.62670381568736977</v>
      </c>
      <c r="D3171" s="101">
        <f t="shared" ca="1" si="186"/>
        <v>0.62466733300403909</v>
      </c>
      <c r="E3171" s="101">
        <f t="shared" ca="1" si="187"/>
        <v>0</v>
      </c>
      <c r="F3171" s="21">
        <f t="shared" ca="1" si="188"/>
        <v>0</v>
      </c>
      <c r="H3171" s="21">
        <v>3156</v>
      </c>
      <c r="I3171" s="102">
        <v>0.66797294607178159</v>
      </c>
      <c r="J3171" s="103">
        <v>1.5391213134032726E-3</v>
      </c>
      <c r="K3171" s="103"/>
      <c r="L3171" s="103">
        <v>4.3799999999999999E-2</v>
      </c>
      <c r="O3171" s="100"/>
    </row>
    <row r="3172" spans="2:15" x14ac:dyDescent="0.2">
      <c r="B3172" s="1">
        <v>3157</v>
      </c>
      <c r="C3172" s="101">
        <f ca="1"/>
        <v>1.8114629442909531</v>
      </c>
      <c r="D3172" s="101">
        <f t="shared" ca="1" si="186"/>
        <v>0.79450814883502696</v>
      </c>
      <c r="E3172" s="101">
        <f t="shared" ca="1" si="187"/>
        <v>6.3081488350269499E-3</v>
      </c>
      <c r="F3172" s="21">
        <f t="shared" ca="1" si="188"/>
        <v>1</v>
      </c>
      <c r="H3172" s="21">
        <v>3157</v>
      </c>
      <c r="I3172" s="102">
        <v>0.66761561988331264</v>
      </c>
      <c r="J3172" s="103">
        <v>1.1059504463521988E-3</v>
      </c>
      <c r="K3172" s="103"/>
      <c r="L3172" s="103">
        <v>3.8199999999999998E-2</v>
      </c>
      <c r="O3172" s="100"/>
    </row>
    <row r="3173" spans="2:15" x14ac:dyDescent="0.2">
      <c r="B3173" s="1">
        <v>3158</v>
      </c>
      <c r="C3173" s="101">
        <f ca="1"/>
        <v>0.58305504635348848</v>
      </c>
      <c r="D3173" s="101">
        <f t="shared" ca="1" si="186"/>
        <v>0.70384028241383789</v>
      </c>
      <c r="E3173" s="101">
        <f t="shared" ca="1" si="187"/>
        <v>0</v>
      </c>
      <c r="F3173" s="21">
        <f t="shared" ca="1" si="188"/>
        <v>0</v>
      </c>
      <c r="H3173" s="21">
        <v>3158</v>
      </c>
      <c r="I3173" s="102">
        <v>0.66765104625804272</v>
      </c>
      <c r="J3173" s="103">
        <v>1.2862891820472535E-3</v>
      </c>
      <c r="K3173" s="103"/>
      <c r="L3173" s="103">
        <v>3.8399999999999997E-2</v>
      </c>
      <c r="O3173" s="100"/>
    </row>
    <row r="3174" spans="2:15" x14ac:dyDescent="0.2">
      <c r="B3174" s="1">
        <v>3159</v>
      </c>
      <c r="C3174" s="101">
        <f ca="1"/>
        <v>-0.75040345646731532</v>
      </c>
      <c r="D3174" s="101">
        <f t="shared" ca="1" si="186"/>
        <v>0.61709152045509197</v>
      </c>
      <c r="E3174" s="101">
        <f t="shared" ca="1" si="187"/>
        <v>0</v>
      </c>
      <c r="F3174" s="21">
        <f t="shared" ca="1" si="188"/>
        <v>0</v>
      </c>
      <c r="H3174" s="21">
        <v>3159</v>
      </c>
      <c r="I3174" s="102">
        <v>0.66761069229144787</v>
      </c>
      <c r="J3174" s="103">
        <v>1.1528791672950625E-3</v>
      </c>
      <c r="K3174" s="103"/>
      <c r="L3174" s="103">
        <v>3.9199999999999999E-2</v>
      </c>
      <c r="O3174" s="100"/>
    </row>
    <row r="3175" spans="2:15" x14ac:dyDescent="0.2">
      <c r="B3175" s="1">
        <v>3160</v>
      </c>
      <c r="C3175" s="101">
        <f ca="1"/>
        <v>-1.4599054185884719</v>
      </c>
      <c r="D3175" s="101">
        <f t="shared" ca="1" si="186"/>
        <v>0.57538025202411935</v>
      </c>
      <c r="E3175" s="101">
        <f t="shared" ca="1" si="187"/>
        <v>0</v>
      </c>
      <c r="F3175" s="21">
        <f t="shared" ca="1" si="188"/>
        <v>0</v>
      </c>
      <c r="H3175" s="21">
        <v>3160</v>
      </c>
      <c r="I3175" s="102">
        <v>0.66766586606044043</v>
      </c>
      <c r="J3175" s="103">
        <v>1.3211651347303543E-3</v>
      </c>
      <c r="K3175" s="103"/>
      <c r="L3175" s="103">
        <v>4.2599999999999999E-2</v>
      </c>
      <c r="O3175" s="100"/>
    </row>
    <row r="3176" spans="2:15" x14ac:dyDescent="0.2">
      <c r="B3176" s="1">
        <v>3161</v>
      </c>
      <c r="C3176" s="101">
        <f ca="1"/>
        <v>-0.77591162527309288</v>
      </c>
      <c r="D3176" s="101">
        <f t="shared" ca="1" si="186"/>
        <v>0.61554077149278086</v>
      </c>
      <c r="E3176" s="101">
        <f t="shared" ca="1" si="187"/>
        <v>0</v>
      </c>
      <c r="F3176" s="21">
        <f t="shared" ca="1" si="188"/>
        <v>0</v>
      </c>
      <c r="H3176" s="21">
        <v>3161</v>
      </c>
      <c r="I3176" s="102">
        <v>0.6678073232372812</v>
      </c>
      <c r="J3176" s="103">
        <v>1.5120026444309599E-3</v>
      </c>
      <c r="K3176" s="103"/>
      <c r="L3176" s="103">
        <v>4.2000000000000003E-2</v>
      </c>
      <c r="O3176" s="100"/>
    </row>
    <row r="3177" spans="2:15" x14ac:dyDescent="0.2">
      <c r="B3177" s="1">
        <v>3162</v>
      </c>
      <c r="C3177" s="101">
        <f ca="1"/>
        <v>-5.8529221976077496E-2</v>
      </c>
      <c r="D3177" s="101">
        <f t="shared" ca="1" si="186"/>
        <v>0.66067678142321129</v>
      </c>
      <c r="E3177" s="101">
        <f t="shared" ca="1" si="187"/>
        <v>0</v>
      </c>
      <c r="F3177" s="21">
        <f t="shared" ca="1" si="188"/>
        <v>0</v>
      </c>
      <c r="H3177" s="21">
        <v>3162</v>
      </c>
      <c r="I3177" s="102">
        <v>0.66775993443994641</v>
      </c>
      <c r="J3177" s="103">
        <v>1.4109744130677757E-3</v>
      </c>
      <c r="K3177" s="103"/>
      <c r="L3177" s="103">
        <v>4.36E-2</v>
      </c>
      <c r="O3177" s="100"/>
    </row>
    <row r="3178" spans="2:15" x14ac:dyDescent="0.2">
      <c r="B3178" s="1">
        <v>3163</v>
      </c>
      <c r="C3178" s="101">
        <f ca="1"/>
        <v>0.62054160982484552</v>
      </c>
      <c r="D3178" s="101">
        <f t="shared" ca="1" si="186"/>
        <v>0.7064477075416502</v>
      </c>
      <c r="E3178" s="101">
        <f t="shared" ca="1" si="187"/>
        <v>0</v>
      </c>
      <c r="F3178" s="21">
        <f t="shared" ca="1" si="188"/>
        <v>0</v>
      </c>
      <c r="H3178" s="21">
        <v>3163</v>
      </c>
      <c r="I3178" s="102">
        <v>0.66775186229764372</v>
      </c>
      <c r="J3178" s="103">
        <v>1.3243917558924212E-3</v>
      </c>
      <c r="K3178" s="103"/>
      <c r="L3178" s="103">
        <v>4.2200000000000001E-2</v>
      </c>
      <c r="O3178" s="100"/>
    </row>
    <row r="3179" spans="2:15" x14ac:dyDescent="0.2">
      <c r="B3179" s="1">
        <v>3164</v>
      </c>
      <c r="C3179" s="101">
        <f ca="1"/>
        <v>1.2929602756686969</v>
      </c>
      <c r="D3179" s="101">
        <f t="shared" ca="1" si="186"/>
        <v>0.75489408288296189</v>
      </c>
      <c r="E3179" s="101">
        <f t="shared" ca="1" si="187"/>
        <v>0</v>
      </c>
      <c r="F3179" s="21">
        <f t="shared" ca="1" si="188"/>
        <v>0</v>
      </c>
      <c r="H3179" s="21">
        <v>3164</v>
      </c>
      <c r="I3179" s="102">
        <v>0.66789259428519299</v>
      </c>
      <c r="J3179" s="103">
        <v>1.5011663873854622E-3</v>
      </c>
      <c r="K3179" s="103"/>
      <c r="L3179" s="103">
        <v>4.2999999999999997E-2</v>
      </c>
      <c r="O3179" s="100"/>
    </row>
    <row r="3180" spans="2:15" x14ac:dyDescent="0.2">
      <c r="B3180" s="1">
        <v>3165</v>
      </c>
      <c r="C3180" s="101">
        <f ca="1"/>
        <v>0.28909066448356241</v>
      </c>
      <c r="D3180" s="101">
        <f t="shared" ca="1" si="186"/>
        <v>0.68372406500355443</v>
      </c>
      <c r="E3180" s="101">
        <f t="shared" ca="1" si="187"/>
        <v>0</v>
      </c>
      <c r="F3180" s="21">
        <f t="shared" ca="1" si="188"/>
        <v>0</v>
      </c>
      <c r="H3180" s="21">
        <v>3165</v>
      </c>
      <c r="I3180" s="102">
        <v>0.66773506063745536</v>
      </c>
      <c r="J3180" s="103">
        <v>1.3593157553455667E-3</v>
      </c>
      <c r="K3180" s="103"/>
      <c r="L3180" s="103">
        <v>4.2999999999999997E-2</v>
      </c>
      <c r="O3180" s="100"/>
    </row>
    <row r="3181" spans="2:15" x14ac:dyDescent="0.2">
      <c r="B3181" s="1">
        <v>3166</v>
      </c>
      <c r="C3181" s="101">
        <f ca="1"/>
        <v>1.0436429042939577</v>
      </c>
      <c r="D3181" s="101">
        <f t="shared" ca="1" si="186"/>
        <v>0.73655540152813526</v>
      </c>
      <c r="E3181" s="101">
        <f t="shared" ca="1" si="187"/>
        <v>0</v>
      </c>
      <c r="F3181" s="21">
        <f t="shared" ca="1" si="188"/>
        <v>0</v>
      </c>
      <c r="H3181" s="21">
        <v>3166</v>
      </c>
      <c r="I3181" s="102">
        <v>0.66781967750217819</v>
      </c>
      <c r="J3181" s="103">
        <v>1.4314881871498788E-3</v>
      </c>
      <c r="K3181" s="103"/>
      <c r="L3181" s="103">
        <v>4.3400000000000001E-2</v>
      </c>
      <c r="O3181" s="100"/>
    </row>
    <row r="3182" spans="2:15" x14ac:dyDescent="0.2">
      <c r="B3182" s="1">
        <v>3167</v>
      </c>
      <c r="C3182" s="101">
        <f ca="1"/>
        <v>0.28284860243754606</v>
      </c>
      <c r="D3182" s="101">
        <f t="shared" ca="1" si="186"/>
        <v>0.68330320839442615</v>
      </c>
      <c r="E3182" s="101">
        <f t="shared" ca="1" si="187"/>
        <v>0</v>
      </c>
      <c r="F3182" s="21">
        <f t="shared" ca="1" si="188"/>
        <v>0</v>
      </c>
      <c r="H3182" s="21">
        <v>3167</v>
      </c>
      <c r="I3182" s="102">
        <v>0.66772523295455322</v>
      </c>
      <c r="J3182" s="103">
        <v>1.3480368158142622E-3</v>
      </c>
      <c r="K3182" s="103"/>
      <c r="L3182" s="103">
        <v>4.1000000000000002E-2</v>
      </c>
      <c r="O3182" s="100"/>
    </row>
    <row r="3183" spans="2:15" x14ac:dyDescent="0.2">
      <c r="B3183" s="1">
        <v>3168</v>
      </c>
      <c r="C3183" s="101">
        <f ca="1"/>
        <v>-0.31910504645637527</v>
      </c>
      <c r="D3183" s="101">
        <f t="shared" ca="1" si="186"/>
        <v>0.6439114336375904</v>
      </c>
      <c r="E3183" s="101">
        <f t="shared" ca="1" si="187"/>
        <v>0</v>
      </c>
      <c r="F3183" s="21">
        <f t="shared" ca="1" si="188"/>
        <v>0</v>
      </c>
      <c r="H3183" s="21">
        <v>3168</v>
      </c>
      <c r="I3183" s="102">
        <v>0.66767691130437856</v>
      </c>
      <c r="J3183" s="103">
        <v>1.4638510137170645E-3</v>
      </c>
      <c r="K3183" s="103"/>
      <c r="L3183" s="103">
        <v>4.1200000000000001E-2</v>
      </c>
      <c r="O3183" s="100"/>
    </row>
    <row r="3184" spans="2:15" x14ac:dyDescent="0.2">
      <c r="B3184" s="1">
        <v>3169</v>
      </c>
      <c r="C3184" s="101">
        <f ca="1"/>
        <v>-1.008817946477045</v>
      </c>
      <c r="D3184" s="101">
        <f t="shared" ca="1" si="186"/>
        <v>0.60156043030798279</v>
      </c>
      <c r="E3184" s="101">
        <f t="shared" ca="1" si="187"/>
        <v>0</v>
      </c>
      <c r="F3184" s="21">
        <f t="shared" ca="1" si="188"/>
        <v>0</v>
      </c>
      <c r="H3184" s="21">
        <v>3169</v>
      </c>
      <c r="I3184" s="102">
        <v>0.6678137003938448</v>
      </c>
      <c r="J3184" s="103">
        <v>1.4944792216212591E-3</v>
      </c>
      <c r="K3184" s="103"/>
      <c r="L3184" s="103">
        <v>4.2799999999999998E-2</v>
      </c>
      <c r="O3184" s="100"/>
    </row>
    <row r="3185" spans="2:15" x14ac:dyDescent="0.2">
      <c r="B3185" s="1">
        <v>3170</v>
      </c>
      <c r="C3185" s="101">
        <f ca="1"/>
        <v>1.1311137051699145</v>
      </c>
      <c r="D3185" s="101">
        <f t="shared" ca="1" si="186"/>
        <v>0.74293807117800459</v>
      </c>
      <c r="E3185" s="101">
        <f t="shared" ca="1" si="187"/>
        <v>0</v>
      </c>
      <c r="F3185" s="21">
        <f t="shared" ca="1" si="188"/>
        <v>0</v>
      </c>
      <c r="H3185" s="21">
        <v>3170</v>
      </c>
      <c r="I3185" s="102">
        <v>0.66760620851103381</v>
      </c>
      <c r="J3185" s="103">
        <v>1.1402724936023369E-3</v>
      </c>
      <c r="K3185" s="103"/>
      <c r="L3185" s="103">
        <v>3.44E-2</v>
      </c>
      <c r="O3185" s="100"/>
    </row>
    <row r="3186" spans="2:15" x14ac:dyDescent="0.2">
      <c r="B3186" s="1">
        <v>3171</v>
      </c>
      <c r="C3186" s="101">
        <f ca="1"/>
        <v>1.1328514411323509</v>
      </c>
      <c r="D3186" s="101">
        <f t="shared" ca="1" si="186"/>
        <v>0.74306543102417422</v>
      </c>
      <c r="E3186" s="101">
        <f t="shared" ca="1" si="187"/>
        <v>0</v>
      </c>
      <c r="F3186" s="21">
        <f t="shared" ca="1" si="188"/>
        <v>0</v>
      </c>
      <c r="H3186" s="21">
        <v>3171</v>
      </c>
      <c r="I3186" s="102">
        <v>0.66777558904275303</v>
      </c>
      <c r="J3186" s="103">
        <v>1.4387401266921685E-3</v>
      </c>
      <c r="K3186" s="103"/>
      <c r="L3186" s="103">
        <v>4.3799999999999999E-2</v>
      </c>
      <c r="O3186" s="100"/>
    </row>
    <row r="3187" spans="2:15" x14ac:dyDescent="0.2">
      <c r="B3187" s="1">
        <v>3172</v>
      </c>
      <c r="C3187" s="101">
        <f ca="1"/>
        <v>-0.77185637556837838</v>
      </c>
      <c r="D3187" s="101">
        <f t="shared" ca="1" si="186"/>
        <v>0.61578704641559423</v>
      </c>
      <c r="E3187" s="101">
        <f t="shared" ca="1" si="187"/>
        <v>0</v>
      </c>
      <c r="F3187" s="21">
        <f t="shared" ca="1" si="188"/>
        <v>0</v>
      </c>
      <c r="H3187" s="21">
        <v>3172</v>
      </c>
      <c r="I3187" s="102">
        <v>0.66771857729063522</v>
      </c>
      <c r="J3187" s="103">
        <v>1.2575650226580818E-3</v>
      </c>
      <c r="K3187" s="103"/>
      <c r="L3187" s="103">
        <v>0.04</v>
      </c>
      <c r="O3187" s="100"/>
    </row>
    <row r="3188" spans="2:15" x14ac:dyDescent="0.2">
      <c r="B3188" s="1">
        <v>3173</v>
      </c>
      <c r="C3188" s="101">
        <f ca="1"/>
        <v>-1.7719089446371123</v>
      </c>
      <c r="D3188" s="101">
        <f t="shared" ca="1" si="186"/>
        <v>0.55794181828833411</v>
      </c>
      <c r="E3188" s="101">
        <f t="shared" ca="1" si="187"/>
        <v>0</v>
      </c>
      <c r="F3188" s="21">
        <f t="shared" ca="1" si="188"/>
        <v>0</v>
      </c>
      <c r="H3188" s="21">
        <v>3173</v>
      </c>
      <c r="I3188" s="102">
        <v>0.66802184017244659</v>
      </c>
      <c r="J3188" s="103">
        <v>1.8118733817733428E-3</v>
      </c>
      <c r="K3188" s="103"/>
      <c r="L3188" s="103">
        <v>4.7800000000000002E-2</v>
      </c>
      <c r="O3188" s="100"/>
    </row>
    <row r="3189" spans="2:15" x14ac:dyDescent="0.2">
      <c r="B3189" s="1">
        <v>3174</v>
      </c>
      <c r="C3189" s="101">
        <f ca="1"/>
        <v>0.58002517351160754</v>
      </c>
      <c r="D3189" s="101">
        <f t="shared" ca="1" si="186"/>
        <v>0.70362995662589667</v>
      </c>
      <c r="E3189" s="101">
        <f t="shared" ca="1" si="187"/>
        <v>0</v>
      </c>
      <c r="F3189" s="21">
        <f t="shared" ca="1" si="188"/>
        <v>0</v>
      </c>
      <c r="H3189" s="21">
        <v>3174</v>
      </c>
      <c r="I3189" s="102">
        <v>0.66776300160912072</v>
      </c>
      <c r="J3189" s="103">
        <v>1.3427872760286253E-3</v>
      </c>
      <c r="K3189" s="103"/>
      <c r="L3189" s="103">
        <v>4.3200000000000002E-2</v>
      </c>
      <c r="O3189" s="100"/>
    </row>
    <row r="3190" spans="2:15" x14ac:dyDescent="0.2">
      <c r="B3190" s="1">
        <v>3175</v>
      </c>
      <c r="C3190" s="101">
        <f ca="1"/>
        <v>-0.14216907380089541</v>
      </c>
      <c r="D3190" s="101">
        <f t="shared" ca="1" si="186"/>
        <v>0.65524839329906159</v>
      </c>
      <c r="E3190" s="101">
        <f t="shared" ca="1" si="187"/>
        <v>0</v>
      </c>
      <c r="F3190" s="21">
        <f t="shared" ca="1" si="188"/>
        <v>0</v>
      </c>
      <c r="H3190" s="21">
        <v>3175</v>
      </c>
      <c r="I3190" s="102">
        <v>0.66783015474663909</v>
      </c>
      <c r="J3190" s="103">
        <v>1.4192871401814352E-3</v>
      </c>
      <c r="K3190" s="103"/>
      <c r="L3190" s="103">
        <v>4.0800000000000003E-2</v>
      </c>
      <c r="O3190" s="100"/>
    </row>
    <row r="3191" spans="2:15" x14ac:dyDescent="0.2">
      <c r="B3191" s="1">
        <v>3176</v>
      </c>
      <c r="C3191" s="101">
        <f ca="1"/>
        <v>1.1204881231757471</v>
      </c>
      <c r="D3191" s="101">
        <f t="shared" ca="1" si="186"/>
        <v>0.74215978975418562</v>
      </c>
      <c r="E3191" s="101">
        <f t="shared" ca="1" si="187"/>
        <v>0</v>
      </c>
      <c r="F3191" s="21">
        <f t="shared" ca="1" si="188"/>
        <v>0</v>
      </c>
      <c r="H3191" s="21">
        <v>3176</v>
      </c>
      <c r="I3191" s="102">
        <v>0.66762565302915722</v>
      </c>
      <c r="J3191" s="103">
        <v>1.2023562423189326E-3</v>
      </c>
      <c r="K3191" s="103"/>
      <c r="L3191" s="103">
        <v>3.8199999999999998E-2</v>
      </c>
      <c r="O3191" s="100"/>
    </row>
    <row r="3192" spans="2:15" x14ac:dyDescent="0.2">
      <c r="B3192" s="1">
        <v>3177</v>
      </c>
      <c r="C3192" s="101">
        <f ca="1"/>
        <v>0.5887248279983941</v>
      </c>
      <c r="D3192" s="101">
        <f t="shared" ca="1" si="186"/>
        <v>0.70423403262873296</v>
      </c>
      <c r="E3192" s="101">
        <f t="shared" ca="1" si="187"/>
        <v>0</v>
      </c>
      <c r="F3192" s="21">
        <f t="shared" ca="1" si="188"/>
        <v>0</v>
      </c>
      <c r="H3192" s="21">
        <v>3177</v>
      </c>
      <c r="I3192" s="102">
        <v>0.66754540624928482</v>
      </c>
      <c r="J3192" s="103">
        <v>1.0223640686156167E-3</v>
      </c>
      <c r="K3192" s="103"/>
      <c r="L3192" s="103">
        <v>3.6999999999999998E-2</v>
      </c>
      <c r="O3192" s="100"/>
    </row>
    <row r="3193" spans="2:15" x14ac:dyDescent="0.2">
      <c r="B3193" s="1">
        <v>3178</v>
      </c>
      <c r="C3193" s="101">
        <f ca="1"/>
        <v>-0.65433090414660344</v>
      </c>
      <c r="D3193" s="101">
        <f t="shared" ca="1" si="186"/>
        <v>0.6229673241445195</v>
      </c>
      <c r="E3193" s="101">
        <f t="shared" ca="1" si="187"/>
        <v>0</v>
      </c>
      <c r="F3193" s="21">
        <f t="shared" ca="1" si="188"/>
        <v>0</v>
      </c>
      <c r="H3193" s="21">
        <v>3178</v>
      </c>
      <c r="I3193" s="102">
        <v>0.66773425519767649</v>
      </c>
      <c r="J3193" s="103">
        <v>1.2680860930591941E-3</v>
      </c>
      <c r="K3193" s="103"/>
      <c r="L3193" s="103">
        <v>4.0599999999999997E-2</v>
      </c>
      <c r="O3193" s="100"/>
    </row>
    <row r="3194" spans="2:15" x14ac:dyDescent="0.2">
      <c r="B3194" s="1">
        <v>3179</v>
      </c>
      <c r="C3194" s="101">
        <f ca="1"/>
        <v>1.4045185460942491</v>
      </c>
      <c r="D3194" s="101">
        <f t="shared" ca="1" si="186"/>
        <v>0.76324700494841446</v>
      </c>
      <c r="E3194" s="101">
        <f t="shared" ca="1" si="187"/>
        <v>0</v>
      </c>
      <c r="F3194" s="21">
        <f t="shared" ca="1" si="188"/>
        <v>0</v>
      </c>
      <c r="H3194" s="21">
        <v>3179</v>
      </c>
      <c r="I3194" s="102">
        <v>0.66772393147609732</v>
      </c>
      <c r="J3194" s="103">
        <v>1.2835452255946366E-3</v>
      </c>
      <c r="K3194" s="103"/>
      <c r="L3194" s="103">
        <v>4.02E-2</v>
      </c>
      <c r="O3194" s="100"/>
    </row>
    <row r="3195" spans="2:15" x14ac:dyDescent="0.2">
      <c r="B3195" s="1">
        <v>3180</v>
      </c>
      <c r="C3195" s="101">
        <f ca="1"/>
        <v>-1.5759281906194096</v>
      </c>
      <c r="D3195" s="101">
        <f t="shared" ca="1" si="186"/>
        <v>0.56883277039727997</v>
      </c>
      <c r="E3195" s="101">
        <f t="shared" ca="1" si="187"/>
        <v>0</v>
      </c>
      <c r="F3195" s="21">
        <f t="shared" ca="1" si="188"/>
        <v>0</v>
      </c>
      <c r="H3195" s="21">
        <v>3180</v>
      </c>
      <c r="I3195" s="102">
        <v>0.66782287262637741</v>
      </c>
      <c r="J3195" s="103">
        <v>1.4266933595027164E-3</v>
      </c>
      <c r="K3195" s="103"/>
      <c r="L3195" s="103">
        <v>4.2999999999999997E-2</v>
      </c>
      <c r="O3195" s="100"/>
    </row>
    <row r="3196" spans="2:15" x14ac:dyDescent="0.2">
      <c r="B3196" s="1">
        <v>3181</v>
      </c>
      <c r="C3196" s="101">
        <f ca="1"/>
        <v>-0.4234352892212947</v>
      </c>
      <c r="D3196" s="101">
        <f t="shared" ca="1" si="186"/>
        <v>0.63731874674538813</v>
      </c>
      <c r="E3196" s="101">
        <f t="shared" ca="1" si="187"/>
        <v>0</v>
      </c>
      <c r="F3196" s="21">
        <f t="shared" ca="1" si="188"/>
        <v>0</v>
      </c>
      <c r="H3196" s="21">
        <v>3181</v>
      </c>
      <c r="I3196" s="102">
        <v>0.66766986638156056</v>
      </c>
      <c r="J3196" s="103">
        <v>1.2276653750072156E-3</v>
      </c>
      <c r="K3196" s="103"/>
      <c r="L3196" s="103">
        <v>4.24E-2</v>
      </c>
      <c r="O3196" s="100"/>
    </row>
    <row r="3197" spans="2:15" x14ac:dyDescent="0.2">
      <c r="B3197" s="1">
        <v>3182</v>
      </c>
      <c r="C3197" s="101">
        <f ca="1"/>
        <v>1.0137473638570149</v>
      </c>
      <c r="D3197" s="101">
        <f t="shared" ca="1" si="186"/>
        <v>0.73438654645658163</v>
      </c>
      <c r="E3197" s="101">
        <f t="shared" ca="1" si="187"/>
        <v>0</v>
      </c>
      <c r="F3197" s="21">
        <f t="shared" ca="1" si="188"/>
        <v>0</v>
      </c>
      <c r="H3197" s="21">
        <v>3182</v>
      </c>
      <c r="I3197" s="102">
        <v>0.66773330396157504</v>
      </c>
      <c r="J3197" s="103">
        <v>1.3483690508018344E-3</v>
      </c>
      <c r="K3197" s="103"/>
      <c r="L3197" s="103">
        <v>4.2599999999999999E-2</v>
      </c>
      <c r="O3197" s="100"/>
    </row>
    <row r="3198" spans="2:15" x14ac:dyDescent="0.2">
      <c r="B3198" s="1">
        <v>3183</v>
      </c>
      <c r="C3198" s="101">
        <f ca="1"/>
        <v>0.5566319642886397</v>
      </c>
      <c r="D3198" s="101">
        <f t="shared" ca="1" si="186"/>
        <v>0.70200817622478284</v>
      </c>
      <c r="E3198" s="101">
        <f t="shared" ca="1" si="187"/>
        <v>0</v>
      </c>
      <c r="F3198" s="21">
        <f t="shared" ca="1" si="188"/>
        <v>0</v>
      </c>
      <c r="H3198" s="21">
        <v>3183</v>
      </c>
      <c r="I3198" s="102">
        <v>0.66786335735116986</v>
      </c>
      <c r="J3198" s="103">
        <v>1.4344996291606445E-3</v>
      </c>
      <c r="K3198" s="103"/>
      <c r="L3198" s="103">
        <v>4.5199999999999997E-2</v>
      </c>
      <c r="O3198" s="100"/>
    </row>
    <row r="3199" spans="2:15" x14ac:dyDescent="0.2">
      <c r="B3199" s="1">
        <v>3184</v>
      </c>
      <c r="C3199" s="101">
        <f ca="1"/>
        <v>-3.4684935304232889</v>
      </c>
      <c r="D3199" s="101">
        <f t="shared" ca="1" si="186"/>
        <v>0.47196335073737139</v>
      </c>
      <c r="E3199" s="101">
        <f t="shared" ca="1" si="187"/>
        <v>0</v>
      </c>
      <c r="F3199" s="21">
        <f t="shared" ca="1" si="188"/>
        <v>0</v>
      </c>
      <c r="H3199" s="21">
        <v>3184</v>
      </c>
      <c r="I3199" s="102">
        <v>0.66784203527823716</v>
      </c>
      <c r="J3199" s="103">
        <v>1.4178040853148072E-3</v>
      </c>
      <c r="K3199" s="103"/>
      <c r="L3199" s="103">
        <v>4.58E-2</v>
      </c>
      <c r="O3199" s="100"/>
    </row>
    <row r="3200" spans="2:15" x14ac:dyDescent="0.2">
      <c r="B3200" s="1">
        <v>3185</v>
      </c>
      <c r="C3200" s="101">
        <f ca="1"/>
        <v>0.10813427004638375</v>
      </c>
      <c r="D3200" s="101">
        <f t="shared" ca="1" si="186"/>
        <v>0.67162801881991674</v>
      </c>
      <c r="E3200" s="101">
        <f t="shared" ca="1" si="187"/>
        <v>0</v>
      </c>
      <c r="F3200" s="21">
        <f t="shared" ca="1" si="188"/>
        <v>0</v>
      </c>
      <c r="H3200" s="21">
        <v>3185</v>
      </c>
      <c r="I3200" s="102">
        <v>0.66766905307164581</v>
      </c>
      <c r="J3200" s="103">
        <v>1.1642979834145673E-3</v>
      </c>
      <c r="K3200" s="103"/>
      <c r="L3200" s="103">
        <v>3.9199999999999999E-2</v>
      </c>
      <c r="O3200" s="100"/>
    </row>
    <row r="3201" spans="2:15" x14ac:dyDescent="0.2">
      <c r="B3201" s="1">
        <v>3186</v>
      </c>
      <c r="C3201" s="101">
        <f ca="1"/>
        <v>-0.63615550118312292</v>
      </c>
      <c r="D3201" s="101">
        <f t="shared" ca="1" si="186"/>
        <v>0.62408521032232622</v>
      </c>
      <c r="E3201" s="101">
        <f t="shared" ca="1" si="187"/>
        <v>0</v>
      </c>
      <c r="F3201" s="21">
        <f t="shared" ca="1" si="188"/>
        <v>0</v>
      </c>
      <c r="H3201" s="21">
        <v>3186</v>
      </c>
      <c r="I3201" s="102">
        <v>0.66778925863172789</v>
      </c>
      <c r="J3201" s="103">
        <v>1.4856289833877977E-3</v>
      </c>
      <c r="K3201" s="103"/>
      <c r="L3201" s="103">
        <v>4.5199999999999997E-2</v>
      </c>
      <c r="O3201" s="100"/>
    </row>
    <row r="3202" spans="2:15" x14ac:dyDescent="0.2">
      <c r="B3202" s="1">
        <v>3187</v>
      </c>
      <c r="C3202" s="101">
        <f ca="1"/>
        <v>-0.58481417522379142</v>
      </c>
      <c r="D3202" s="101">
        <f t="shared" ca="1" si="186"/>
        <v>0.62725382953794595</v>
      </c>
      <c r="E3202" s="101">
        <f t="shared" ca="1" si="187"/>
        <v>0</v>
      </c>
      <c r="F3202" s="21">
        <f t="shared" ca="1" si="188"/>
        <v>0</v>
      </c>
      <c r="H3202" s="21">
        <v>3187</v>
      </c>
      <c r="I3202" s="102">
        <v>0.66776078792726812</v>
      </c>
      <c r="J3202" s="103">
        <v>1.3663875866644819E-3</v>
      </c>
      <c r="K3202" s="103"/>
      <c r="L3202" s="103">
        <v>4.4200000000000003E-2</v>
      </c>
      <c r="O3202" s="100"/>
    </row>
    <row r="3203" spans="2:15" x14ac:dyDescent="0.2">
      <c r="B3203" s="1">
        <v>3188</v>
      </c>
      <c r="C3203" s="101">
        <f ca="1"/>
        <v>0.24408635623649388</v>
      </c>
      <c r="D3203" s="101">
        <f t="shared" ca="1" si="186"/>
        <v>0.68069554647168784</v>
      </c>
      <c r="E3203" s="101">
        <f t="shared" ca="1" si="187"/>
        <v>0</v>
      </c>
      <c r="F3203" s="21">
        <f t="shared" ca="1" si="188"/>
        <v>0</v>
      </c>
      <c r="H3203" s="21">
        <v>3188</v>
      </c>
      <c r="I3203" s="102">
        <v>0.66768109535964182</v>
      </c>
      <c r="J3203" s="103">
        <v>1.3099988920145752E-3</v>
      </c>
      <c r="K3203" s="103"/>
      <c r="L3203" s="103">
        <v>4.02E-2</v>
      </c>
      <c r="O3203" s="100"/>
    </row>
    <row r="3204" spans="2:15" x14ac:dyDescent="0.2">
      <c r="B3204" s="1">
        <v>3189</v>
      </c>
      <c r="C3204" s="101">
        <f ca="1"/>
        <v>0.84958924587838514</v>
      </c>
      <c r="D3204" s="101">
        <f t="shared" ca="1" si="186"/>
        <v>0.72259055346655099</v>
      </c>
      <c r="E3204" s="101">
        <f t="shared" ca="1" si="187"/>
        <v>0</v>
      </c>
      <c r="F3204" s="21">
        <f t="shared" ca="1" si="188"/>
        <v>0</v>
      </c>
      <c r="H3204" s="21">
        <v>3189</v>
      </c>
      <c r="I3204" s="102">
        <v>0.66759920098383141</v>
      </c>
      <c r="J3204" s="103">
        <v>1.1718928312715474E-3</v>
      </c>
      <c r="K3204" s="103"/>
      <c r="L3204" s="103">
        <v>3.7199999999999997E-2</v>
      </c>
      <c r="O3204" s="100"/>
    </row>
    <row r="3205" spans="2:15" x14ac:dyDescent="0.2">
      <c r="B3205" s="1">
        <v>3190</v>
      </c>
      <c r="C3205" s="101">
        <f ca="1"/>
        <v>-2.2625369900180461</v>
      </c>
      <c r="D3205" s="101">
        <f t="shared" ca="1" si="186"/>
        <v>0.53158254304816788</v>
      </c>
      <c r="E3205" s="101">
        <f t="shared" ca="1" si="187"/>
        <v>0</v>
      </c>
      <c r="F3205" s="21">
        <f t="shared" ca="1" si="188"/>
        <v>0</v>
      </c>
      <c r="H3205" s="21">
        <v>3190</v>
      </c>
      <c r="I3205" s="102">
        <v>0.66774192889310624</v>
      </c>
      <c r="J3205" s="103">
        <v>1.3967345554360216E-3</v>
      </c>
      <c r="K3205" s="103"/>
      <c r="L3205" s="103">
        <v>4.1000000000000002E-2</v>
      </c>
      <c r="O3205" s="100"/>
    </row>
    <row r="3206" spans="2:15" x14ac:dyDescent="0.2">
      <c r="B3206" s="1">
        <v>3191</v>
      </c>
      <c r="C3206" s="101">
        <f ca="1"/>
        <v>1.2964683486171609</v>
      </c>
      <c r="D3206" s="101">
        <f t="shared" ca="1" si="186"/>
        <v>0.75515535236338827</v>
      </c>
      <c r="E3206" s="101">
        <f t="shared" ca="1" si="187"/>
        <v>0</v>
      </c>
      <c r="F3206" s="21">
        <f t="shared" ca="1" si="188"/>
        <v>0</v>
      </c>
      <c r="H3206" s="21">
        <v>3191</v>
      </c>
      <c r="I3206" s="102">
        <v>0.66772971614161014</v>
      </c>
      <c r="J3206" s="103">
        <v>1.4449251928933414E-3</v>
      </c>
      <c r="K3206" s="103"/>
      <c r="L3206" s="103">
        <v>4.1799999999999997E-2</v>
      </c>
      <c r="O3206" s="100"/>
    </row>
    <row r="3207" spans="2:15" x14ac:dyDescent="0.2">
      <c r="B3207" s="1">
        <v>3192</v>
      </c>
      <c r="C3207" s="101">
        <f ca="1"/>
        <v>-0.79474507884645407</v>
      </c>
      <c r="D3207" s="101">
        <f t="shared" ca="1" si="186"/>
        <v>0.61439830795916295</v>
      </c>
      <c r="E3207" s="101">
        <f t="shared" ca="1" si="187"/>
        <v>0</v>
      </c>
      <c r="F3207" s="21">
        <f t="shared" ca="1" si="188"/>
        <v>0</v>
      </c>
      <c r="H3207" s="21">
        <v>3192</v>
      </c>
      <c r="I3207" s="102">
        <v>0.66773003537184428</v>
      </c>
      <c r="J3207" s="103">
        <v>1.4139911373054165E-3</v>
      </c>
      <c r="K3207" s="103"/>
      <c r="L3207" s="103">
        <v>4.24E-2</v>
      </c>
      <c r="O3207" s="100"/>
    </row>
    <row r="3208" spans="2:15" x14ac:dyDescent="0.2">
      <c r="B3208" s="1">
        <v>3193</v>
      </c>
      <c r="C3208" s="101">
        <f ca="1"/>
        <v>1.7262383697811694</v>
      </c>
      <c r="D3208" s="101">
        <f t="shared" ca="1" si="186"/>
        <v>0.78785698121407965</v>
      </c>
      <c r="E3208" s="101">
        <f t="shared" ca="1" si="187"/>
        <v>0</v>
      </c>
      <c r="F3208" s="21">
        <f t="shared" ca="1" si="188"/>
        <v>0</v>
      </c>
      <c r="H3208" s="21">
        <v>3193</v>
      </c>
      <c r="I3208" s="102">
        <v>0.66761207317316917</v>
      </c>
      <c r="J3208" s="103">
        <v>1.2201435272372399E-3</v>
      </c>
      <c r="K3208" s="103"/>
      <c r="L3208" s="103">
        <v>3.8199999999999998E-2</v>
      </c>
      <c r="O3208" s="100"/>
    </row>
    <row r="3209" spans="2:15" x14ac:dyDescent="0.2">
      <c r="B3209" s="1">
        <v>3194</v>
      </c>
      <c r="C3209" s="101">
        <f ca="1"/>
        <v>0.43289823004313116</v>
      </c>
      <c r="D3209" s="101">
        <f t="shared" ca="1" si="186"/>
        <v>0.69349206062093982</v>
      </c>
      <c r="E3209" s="101">
        <f t="shared" ca="1" si="187"/>
        <v>0</v>
      </c>
      <c r="F3209" s="21">
        <f t="shared" ca="1" si="188"/>
        <v>0</v>
      </c>
      <c r="H3209" s="21">
        <v>3194</v>
      </c>
      <c r="I3209" s="102">
        <v>0.66784353252059026</v>
      </c>
      <c r="J3209" s="103">
        <v>1.5275536015634591E-3</v>
      </c>
      <c r="K3209" s="103"/>
      <c r="L3209" s="103">
        <v>4.4200000000000003E-2</v>
      </c>
      <c r="O3209" s="100"/>
    </row>
    <row r="3210" spans="2:15" x14ac:dyDescent="0.2">
      <c r="B3210" s="1">
        <v>3195</v>
      </c>
      <c r="C3210" s="101">
        <f ca="1"/>
        <v>1.1048424859532713</v>
      </c>
      <c r="D3210" s="101">
        <f t="shared" ca="1" si="186"/>
        <v>0.74101529318386128</v>
      </c>
      <c r="E3210" s="101">
        <f t="shared" ca="1" si="187"/>
        <v>0</v>
      </c>
      <c r="F3210" s="21">
        <f t="shared" ca="1" si="188"/>
        <v>0</v>
      </c>
      <c r="H3210" s="21">
        <v>3195</v>
      </c>
      <c r="I3210" s="102">
        <v>0.66769809087127807</v>
      </c>
      <c r="J3210" s="103">
        <v>1.3536109222737826E-3</v>
      </c>
      <c r="K3210" s="103"/>
      <c r="L3210" s="103">
        <v>4.0599999999999997E-2</v>
      </c>
      <c r="O3210" s="100"/>
    </row>
    <row r="3211" spans="2:15" x14ac:dyDescent="0.2">
      <c r="B3211" s="1">
        <v>3196</v>
      </c>
      <c r="C3211" s="101">
        <f ca="1"/>
        <v>2.2701108120502531</v>
      </c>
      <c r="D3211" s="101">
        <f t="shared" ca="1" si="186"/>
        <v>0.83127849926914799</v>
      </c>
      <c r="E3211" s="101">
        <f t="shared" ca="1" si="187"/>
        <v>4.3078499269147974E-2</v>
      </c>
      <c r="F3211" s="21">
        <f t="shared" ca="1" si="188"/>
        <v>1</v>
      </c>
      <c r="H3211" s="21">
        <v>3196</v>
      </c>
      <c r="I3211" s="102">
        <v>0.66755598499403002</v>
      </c>
      <c r="J3211" s="103">
        <v>1.225718357234755E-3</v>
      </c>
      <c r="K3211" s="103"/>
      <c r="L3211" s="103">
        <v>3.8399999999999997E-2</v>
      </c>
      <c r="O3211" s="100"/>
    </row>
    <row r="3212" spans="2:15" x14ac:dyDescent="0.2">
      <c r="B3212" s="1">
        <v>3197</v>
      </c>
      <c r="C3212" s="101">
        <f ca="1"/>
        <v>0.25600160279061596</v>
      </c>
      <c r="D3212" s="101">
        <f t="shared" ca="1" si="186"/>
        <v>0.68149606260525941</v>
      </c>
      <c r="E3212" s="101">
        <f t="shared" ca="1" si="187"/>
        <v>0</v>
      </c>
      <c r="F3212" s="21">
        <f t="shared" ca="1" si="188"/>
        <v>0</v>
      </c>
      <c r="H3212" s="21">
        <v>3197</v>
      </c>
      <c r="I3212" s="102">
        <v>0.6675579739905394</v>
      </c>
      <c r="J3212" s="103">
        <v>1.2830545993728353E-3</v>
      </c>
      <c r="K3212" s="103"/>
      <c r="L3212" s="103">
        <v>3.6799999999999999E-2</v>
      </c>
      <c r="O3212" s="100"/>
    </row>
    <row r="3213" spans="2:15" x14ac:dyDescent="0.2">
      <c r="B3213" s="1">
        <v>3198</v>
      </c>
      <c r="C3213" s="101">
        <f ca="1"/>
        <v>4.0291070741625995E-2</v>
      </c>
      <c r="D3213" s="101">
        <f t="shared" ca="1" si="186"/>
        <v>0.66714839385606306</v>
      </c>
      <c r="E3213" s="101">
        <f t="shared" ca="1" si="187"/>
        <v>0</v>
      </c>
      <c r="F3213" s="21">
        <f t="shared" ca="1" si="188"/>
        <v>0</v>
      </c>
      <c r="H3213" s="21">
        <v>3198</v>
      </c>
      <c r="I3213" s="102">
        <v>0.667744607247447</v>
      </c>
      <c r="J3213" s="103">
        <v>1.289193935451588E-3</v>
      </c>
      <c r="K3213" s="103"/>
      <c r="L3213" s="103">
        <v>4.2999999999999997E-2</v>
      </c>
      <c r="O3213" s="100"/>
    </row>
    <row r="3214" spans="2:15" x14ac:dyDescent="0.2">
      <c r="B3214" s="1">
        <v>3199</v>
      </c>
      <c r="C3214" s="101">
        <f ca="1"/>
        <v>0.73660692596746868</v>
      </c>
      <c r="D3214" s="101">
        <f t="shared" ca="1" si="186"/>
        <v>0.71458218827192532</v>
      </c>
      <c r="E3214" s="101">
        <f t="shared" ca="1" si="187"/>
        <v>0</v>
      </c>
      <c r="F3214" s="21">
        <f t="shared" ca="1" si="188"/>
        <v>0</v>
      </c>
      <c r="H3214" s="21">
        <v>3199</v>
      </c>
      <c r="I3214" s="102">
        <v>0.66762248588508466</v>
      </c>
      <c r="J3214" s="103">
        <v>1.2028614934596123E-3</v>
      </c>
      <c r="K3214" s="103"/>
      <c r="L3214" s="103">
        <v>3.9199999999999999E-2</v>
      </c>
      <c r="O3214" s="100"/>
    </row>
    <row r="3215" spans="2:15" x14ac:dyDescent="0.2">
      <c r="B3215" s="1">
        <v>3200</v>
      </c>
      <c r="C3215" s="101">
        <f ca="1"/>
        <v>0.65534853371929247</v>
      </c>
      <c r="D3215" s="101">
        <f t="shared" ca="1" si="186"/>
        <v>0.70887739454932586</v>
      </c>
      <c r="E3215" s="101">
        <f t="shared" ca="1" si="187"/>
        <v>0</v>
      </c>
      <c r="F3215" s="21">
        <f t="shared" ca="1" si="188"/>
        <v>0</v>
      </c>
      <c r="H3215" s="21">
        <v>3200</v>
      </c>
      <c r="I3215" s="102">
        <v>0.66791824785902487</v>
      </c>
      <c r="J3215" s="103">
        <v>1.6756222642794192E-3</v>
      </c>
      <c r="K3215" s="103"/>
      <c r="L3215" s="103">
        <v>4.6199999999999998E-2</v>
      </c>
      <c r="O3215" s="100"/>
    </row>
    <row r="3216" spans="2:15" x14ac:dyDescent="0.2">
      <c r="B3216" s="1">
        <v>3201</v>
      </c>
      <c r="C3216" s="101">
        <f ca="1"/>
        <v>1.0501307492808318</v>
      </c>
      <c r="D3216" s="101">
        <f t="shared" ref="D3216:D3279" ca="1" si="189">S0*EXP((μ-0.5*σ*σ)*T+σ*SQRT(T)*$C3216)</f>
        <v>0.73702692548097914</v>
      </c>
      <c r="E3216" s="101">
        <f t="shared" ref="E3216:E3279" ca="1" si="190">MAX(0,CP*(D3216-K))</f>
        <v>0</v>
      </c>
      <c r="F3216" s="21">
        <f t="shared" ref="F3216:F3279" ca="1" si="191">(CP*(D3216-K)&gt;0)*1</f>
        <v>0</v>
      </c>
      <c r="H3216" s="21">
        <v>3201</v>
      </c>
      <c r="I3216" s="102">
        <v>0.66765099043564957</v>
      </c>
      <c r="J3216" s="103">
        <v>1.3067476537619168E-3</v>
      </c>
      <c r="K3216" s="103"/>
      <c r="L3216" s="103">
        <v>3.7400000000000003E-2</v>
      </c>
      <c r="O3216" s="100"/>
    </row>
    <row r="3217" spans="2:15" x14ac:dyDescent="0.2">
      <c r="B3217" s="1">
        <v>3202</v>
      </c>
      <c r="C3217" s="101">
        <f ca="1"/>
        <v>-1.5275753749580512</v>
      </c>
      <c r="D3217" s="101">
        <f t="shared" ca="1" si="189"/>
        <v>0.57155234759790219</v>
      </c>
      <c r="E3217" s="101">
        <f t="shared" ca="1" si="190"/>
        <v>0</v>
      </c>
      <c r="F3217" s="21">
        <f t="shared" ca="1" si="191"/>
        <v>0</v>
      </c>
      <c r="H3217" s="21">
        <v>3202</v>
      </c>
      <c r="I3217" s="102">
        <v>0.66782571614459885</v>
      </c>
      <c r="J3217" s="103">
        <v>1.6442783849887001E-3</v>
      </c>
      <c r="K3217" s="103"/>
      <c r="L3217" s="103">
        <v>4.3200000000000002E-2</v>
      </c>
      <c r="O3217" s="100"/>
    </row>
    <row r="3218" spans="2:15" x14ac:dyDescent="0.2">
      <c r="B3218" s="1">
        <v>3203</v>
      </c>
      <c r="C3218" s="101">
        <f ca="1"/>
        <v>1.7081482614012478</v>
      </c>
      <c r="D3218" s="101">
        <f t="shared" ca="1" si="189"/>
        <v>0.78645235739038166</v>
      </c>
      <c r="E3218" s="101">
        <f t="shared" ca="1" si="190"/>
        <v>0</v>
      </c>
      <c r="F3218" s="21">
        <f t="shared" ca="1" si="191"/>
        <v>0</v>
      </c>
      <c r="H3218" s="21">
        <v>3203</v>
      </c>
      <c r="I3218" s="102">
        <v>0.66773337143053146</v>
      </c>
      <c r="J3218" s="103">
        <v>1.4008843024271756E-3</v>
      </c>
      <c r="K3218" s="103"/>
      <c r="L3218" s="103">
        <v>4.24E-2</v>
      </c>
      <c r="O3218" s="100"/>
    </row>
    <row r="3219" spans="2:15" x14ac:dyDescent="0.2">
      <c r="B3219" s="1">
        <v>3204</v>
      </c>
      <c r="C3219" s="101">
        <f ca="1"/>
        <v>-1.0104985408469103</v>
      </c>
      <c r="D3219" s="101">
        <f t="shared" ca="1" si="189"/>
        <v>0.60146071425746339</v>
      </c>
      <c r="E3219" s="101">
        <f t="shared" ca="1" si="190"/>
        <v>0</v>
      </c>
      <c r="F3219" s="21">
        <f t="shared" ca="1" si="191"/>
        <v>0</v>
      </c>
      <c r="H3219" s="21">
        <v>3204</v>
      </c>
      <c r="I3219" s="102">
        <v>0.66760694959327704</v>
      </c>
      <c r="J3219" s="103">
        <v>1.2048418398234468E-3</v>
      </c>
      <c r="K3219" s="103"/>
      <c r="L3219" s="103">
        <v>3.7600000000000001E-2</v>
      </c>
      <c r="O3219" s="100"/>
    </row>
    <row r="3220" spans="2:15" x14ac:dyDescent="0.2">
      <c r="B3220" s="1">
        <v>3205</v>
      </c>
      <c r="C3220" s="101">
        <f ca="1"/>
        <v>-1.0455787481468091</v>
      </c>
      <c r="D3220" s="101">
        <f t="shared" ca="1" si="189"/>
        <v>0.59938304158820688</v>
      </c>
      <c r="E3220" s="101">
        <f t="shared" ca="1" si="190"/>
        <v>0</v>
      </c>
      <c r="F3220" s="21">
        <f t="shared" ca="1" si="191"/>
        <v>0</v>
      </c>
      <c r="H3220" s="21">
        <v>3205</v>
      </c>
      <c r="I3220" s="102">
        <v>0.66781571998753109</v>
      </c>
      <c r="J3220" s="103">
        <v>1.3456348644582379E-3</v>
      </c>
      <c r="K3220" s="103"/>
      <c r="L3220" s="103">
        <v>4.3400000000000001E-2</v>
      </c>
      <c r="O3220" s="100"/>
    </row>
    <row r="3221" spans="2:15" x14ac:dyDescent="0.2">
      <c r="B3221" s="1">
        <v>3206</v>
      </c>
      <c r="C3221" s="101">
        <f ca="1"/>
        <v>0.50317956499955685</v>
      </c>
      <c r="D3221" s="101">
        <f t="shared" ca="1" si="189"/>
        <v>0.69831649796434436</v>
      </c>
      <c r="E3221" s="101">
        <f t="shared" ca="1" si="190"/>
        <v>0</v>
      </c>
      <c r="F3221" s="21">
        <f t="shared" ca="1" si="191"/>
        <v>0</v>
      </c>
      <c r="H3221" s="21">
        <v>3206</v>
      </c>
      <c r="I3221" s="102">
        <v>0.667806785362138</v>
      </c>
      <c r="J3221" s="103">
        <v>1.508652558295609E-3</v>
      </c>
      <c r="K3221" s="103"/>
      <c r="L3221" s="103">
        <v>4.5999999999999999E-2</v>
      </c>
      <c r="O3221" s="100"/>
    </row>
    <row r="3222" spans="2:15" x14ac:dyDescent="0.2">
      <c r="B3222" s="1">
        <v>3207</v>
      </c>
      <c r="C3222" s="101">
        <f ca="1"/>
        <v>-0.55617351241875856</v>
      </c>
      <c r="D3222" s="101">
        <f t="shared" ca="1" si="189"/>
        <v>0.62902842311362128</v>
      </c>
      <c r="E3222" s="101">
        <f t="shared" ca="1" si="190"/>
        <v>0</v>
      </c>
      <c r="F3222" s="21">
        <f t="shared" ca="1" si="191"/>
        <v>0</v>
      </c>
      <c r="H3222" s="21">
        <v>3207</v>
      </c>
      <c r="I3222" s="102">
        <v>0.66771293220075423</v>
      </c>
      <c r="J3222" s="103">
        <v>1.3800801615072977E-3</v>
      </c>
      <c r="K3222" s="103"/>
      <c r="L3222" s="103">
        <v>4.1599999999999998E-2</v>
      </c>
      <c r="O3222" s="100"/>
    </row>
    <row r="3223" spans="2:15" x14ac:dyDescent="0.2">
      <c r="B3223" s="1">
        <v>3208</v>
      </c>
      <c r="C3223" s="101">
        <f ca="1"/>
        <v>0.39873520912343763</v>
      </c>
      <c r="D3223" s="101">
        <f t="shared" ca="1" si="189"/>
        <v>0.69115900493298799</v>
      </c>
      <c r="E3223" s="101">
        <f t="shared" ca="1" si="190"/>
        <v>0</v>
      </c>
      <c r="F3223" s="21">
        <f t="shared" ca="1" si="191"/>
        <v>0</v>
      </c>
      <c r="H3223" s="21">
        <v>3208</v>
      </c>
      <c r="I3223" s="102">
        <v>0.66771879710198279</v>
      </c>
      <c r="J3223" s="103">
        <v>1.285937066363428E-3</v>
      </c>
      <c r="K3223" s="103"/>
      <c r="L3223" s="103">
        <v>4.2000000000000003E-2</v>
      </c>
      <c r="O3223" s="100"/>
    </row>
    <row r="3224" spans="2:15" x14ac:dyDescent="0.2">
      <c r="B3224" s="1">
        <v>3209</v>
      </c>
      <c r="C3224" s="101">
        <f ca="1"/>
        <v>-1.9953869892651446</v>
      </c>
      <c r="D3224" s="101">
        <f t="shared" ca="1" si="189"/>
        <v>0.54577702763512181</v>
      </c>
      <c r="E3224" s="101">
        <f t="shared" ca="1" si="190"/>
        <v>0</v>
      </c>
      <c r="F3224" s="21">
        <f t="shared" ca="1" si="191"/>
        <v>0</v>
      </c>
      <c r="H3224" s="21">
        <v>3209</v>
      </c>
      <c r="I3224" s="102">
        <v>0.6678784396332792</v>
      </c>
      <c r="J3224" s="103">
        <v>1.605448437303602E-3</v>
      </c>
      <c r="K3224" s="103"/>
      <c r="L3224" s="103">
        <v>4.2799999999999998E-2</v>
      </c>
      <c r="O3224" s="100"/>
    </row>
    <row r="3225" spans="2:15" x14ac:dyDescent="0.2">
      <c r="B3225" s="1">
        <v>3210</v>
      </c>
      <c r="C3225" s="101">
        <f ca="1"/>
        <v>-0.90688768744189041</v>
      </c>
      <c r="D3225" s="101">
        <f t="shared" ca="1" si="189"/>
        <v>0.6076393503911115</v>
      </c>
      <c r="E3225" s="101">
        <f t="shared" ca="1" si="190"/>
        <v>0</v>
      </c>
      <c r="F3225" s="21">
        <f t="shared" ca="1" si="191"/>
        <v>0</v>
      </c>
      <c r="H3225" s="21">
        <v>3210</v>
      </c>
      <c r="I3225" s="102">
        <v>0.66788618362552499</v>
      </c>
      <c r="J3225" s="103">
        <v>1.6830490699266719E-3</v>
      </c>
      <c r="K3225" s="103"/>
      <c r="L3225" s="103">
        <v>4.5600000000000002E-2</v>
      </c>
      <c r="O3225" s="100"/>
    </row>
    <row r="3226" spans="2:15" x14ac:dyDescent="0.2">
      <c r="B3226" s="1">
        <v>3211</v>
      </c>
      <c r="C3226" s="101">
        <f ca="1"/>
        <v>0.69478253901824227</v>
      </c>
      <c r="D3226" s="101">
        <f t="shared" ca="1" si="189"/>
        <v>0.71164017170591021</v>
      </c>
      <c r="E3226" s="101">
        <f t="shared" ca="1" si="190"/>
        <v>0</v>
      </c>
      <c r="F3226" s="21">
        <f t="shared" ca="1" si="191"/>
        <v>0</v>
      </c>
      <c r="H3226" s="21">
        <v>3211</v>
      </c>
      <c r="I3226" s="102">
        <v>0.66772550565067801</v>
      </c>
      <c r="J3226" s="103">
        <v>1.3104120404272073E-3</v>
      </c>
      <c r="K3226" s="103"/>
      <c r="L3226" s="103">
        <v>4.2599999999999999E-2</v>
      </c>
      <c r="O3226" s="100"/>
    </row>
    <row r="3227" spans="2:15" x14ac:dyDescent="0.2">
      <c r="B3227" s="1">
        <v>3212</v>
      </c>
      <c r="C3227" s="101">
        <f ca="1"/>
        <v>0.15369685329685229</v>
      </c>
      <c r="D3227" s="101">
        <f t="shared" ca="1" si="189"/>
        <v>0.67465334598830295</v>
      </c>
      <c r="E3227" s="101">
        <f t="shared" ca="1" si="190"/>
        <v>0</v>
      </c>
      <c r="F3227" s="21">
        <f t="shared" ca="1" si="191"/>
        <v>0</v>
      </c>
      <c r="H3227" s="21">
        <v>3212</v>
      </c>
      <c r="I3227" s="102">
        <v>0.66772004514540084</v>
      </c>
      <c r="J3227" s="103">
        <v>1.3647353742293363E-3</v>
      </c>
      <c r="K3227" s="103"/>
      <c r="L3227" s="103">
        <v>4.1799999999999997E-2</v>
      </c>
      <c r="O3227" s="100"/>
    </row>
    <row r="3228" spans="2:15" x14ac:dyDescent="0.2">
      <c r="B3228" s="1">
        <v>3213</v>
      </c>
      <c r="C3228" s="101">
        <f ca="1"/>
        <v>1.3968031012134468</v>
      </c>
      <c r="D3228" s="101">
        <f t="shared" ca="1" si="189"/>
        <v>0.7626663478621768</v>
      </c>
      <c r="E3228" s="101">
        <f t="shared" ca="1" si="190"/>
        <v>0</v>
      </c>
      <c r="F3228" s="21">
        <f t="shared" ca="1" si="191"/>
        <v>0</v>
      </c>
      <c r="H3228" s="21">
        <v>3213</v>
      </c>
      <c r="I3228" s="102">
        <v>0.66770774080146389</v>
      </c>
      <c r="J3228" s="103">
        <v>1.1816212234800152E-3</v>
      </c>
      <c r="K3228" s="103"/>
      <c r="L3228" s="103">
        <v>3.5999999999999997E-2</v>
      </c>
      <c r="O3228" s="100"/>
    </row>
    <row r="3229" spans="2:15" x14ac:dyDescent="0.2">
      <c r="B3229" s="1">
        <v>3214</v>
      </c>
      <c r="C3229" s="101">
        <f ca="1"/>
        <v>5.0094788621252537E-2</v>
      </c>
      <c r="D3229" s="101">
        <f t="shared" ca="1" si="189"/>
        <v>0.66779387291941583</v>
      </c>
      <c r="E3229" s="101">
        <f t="shared" ca="1" si="190"/>
        <v>0</v>
      </c>
      <c r="F3229" s="21">
        <f t="shared" ca="1" si="191"/>
        <v>0</v>
      </c>
      <c r="H3229" s="21">
        <v>3214</v>
      </c>
      <c r="I3229" s="102">
        <v>0.66771134060738213</v>
      </c>
      <c r="J3229" s="103">
        <v>1.2832496594891178E-3</v>
      </c>
      <c r="K3229" s="103"/>
      <c r="L3229" s="103">
        <v>3.9800000000000002E-2</v>
      </c>
      <c r="O3229" s="100"/>
    </row>
    <row r="3230" spans="2:15" x14ac:dyDescent="0.2">
      <c r="B3230" s="1">
        <v>3215</v>
      </c>
      <c r="C3230" s="101">
        <f ca="1"/>
        <v>1.4145729425630356</v>
      </c>
      <c r="D3230" s="101">
        <f t="shared" ca="1" si="189"/>
        <v>0.76400435279656254</v>
      </c>
      <c r="E3230" s="101">
        <f t="shared" ca="1" si="190"/>
        <v>0</v>
      </c>
      <c r="F3230" s="21">
        <f t="shared" ca="1" si="191"/>
        <v>0</v>
      </c>
      <c r="H3230" s="21">
        <v>3215</v>
      </c>
      <c r="I3230" s="102">
        <v>0.66778782709326512</v>
      </c>
      <c r="J3230" s="103">
        <v>1.4043453399356395E-3</v>
      </c>
      <c r="K3230" s="103"/>
      <c r="L3230" s="103">
        <v>4.48E-2</v>
      </c>
      <c r="O3230" s="100"/>
    </row>
    <row r="3231" spans="2:15" x14ac:dyDescent="0.2">
      <c r="B3231" s="1">
        <v>3216</v>
      </c>
      <c r="C3231" s="101">
        <f ca="1"/>
        <v>-0.26283255741196643</v>
      </c>
      <c r="D3231" s="101">
        <f t="shared" ca="1" si="189"/>
        <v>0.64749559092152653</v>
      </c>
      <c r="E3231" s="101">
        <f t="shared" ca="1" si="190"/>
        <v>0</v>
      </c>
      <c r="F3231" s="21">
        <f t="shared" ca="1" si="191"/>
        <v>0</v>
      </c>
      <c r="H3231" s="21">
        <v>3216</v>
      </c>
      <c r="I3231" s="102">
        <v>0.66769719221754209</v>
      </c>
      <c r="J3231" s="103">
        <v>1.4719270221334206E-3</v>
      </c>
      <c r="K3231" s="103"/>
      <c r="L3231" s="103">
        <v>4.0800000000000003E-2</v>
      </c>
      <c r="O3231" s="100"/>
    </row>
    <row r="3232" spans="2:15" x14ac:dyDescent="0.2">
      <c r="B3232" s="1">
        <v>3217</v>
      </c>
      <c r="C3232" s="101">
        <f ca="1"/>
        <v>1.2830731634109684</v>
      </c>
      <c r="D3232" s="101">
        <f t="shared" ca="1" si="189"/>
        <v>0.75415821029489927</v>
      </c>
      <c r="E3232" s="101">
        <f t="shared" ca="1" si="190"/>
        <v>0</v>
      </c>
      <c r="F3232" s="21">
        <f t="shared" ca="1" si="191"/>
        <v>0</v>
      </c>
      <c r="H3232" s="21">
        <v>3217</v>
      </c>
      <c r="I3232" s="102">
        <v>0.66782134799965265</v>
      </c>
      <c r="J3232" s="103">
        <v>1.3590420615485182E-3</v>
      </c>
      <c r="K3232" s="103"/>
      <c r="L3232" s="103">
        <v>4.2799999999999998E-2</v>
      </c>
      <c r="O3232" s="100"/>
    </row>
    <row r="3233" spans="2:15" x14ac:dyDescent="0.2">
      <c r="B3233" s="1">
        <v>3218</v>
      </c>
      <c r="C3233" s="101">
        <f ca="1"/>
        <v>-0.49055123909767456</v>
      </c>
      <c r="D3233" s="101">
        <f t="shared" ca="1" si="189"/>
        <v>0.63311337371375032</v>
      </c>
      <c r="E3233" s="101">
        <f t="shared" ca="1" si="190"/>
        <v>0</v>
      </c>
      <c r="F3233" s="21">
        <f t="shared" ca="1" si="191"/>
        <v>0</v>
      </c>
      <c r="H3233" s="21">
        <v>3218</v>
      </c>
      <c r="I3233" s="102">
        <v>0.66780224887621142</v>
      </c>
      <c r="J3233" s="103">
        <v>1.4680190625243692E-3</v>
      </c>
      <c r="K3233" s="103"/>
      <c r="L3233" s="103">
        <v>3.9199999999999999E-2</v>
      </c>
      <c r="O3233" s="100"/>
    </row>
    <row r="3234" spans="2:15" x14ac:dyDescent="0.2">
      <c r="B3234" s="1">
        <v>3219</v>
      </c>
      <c r="C3234" s="101">
        <f ca="1"/>
        <v>-0.59674013132288872</v>
      </c>
      <c r="D3234" s="101">
        <f t="shared" ca="1" si="189"/>
        <v>0.62651636693288004</v>
      </c>
      <c r="E3234" s="101">
        <f t="shared" ca="1" si="190"/>
        <v>0</v>
      </c>
      <c r="F3234" s="21">
        <f t="shared" ca="1" si="191"/>
        <v>0</v>
      </c>
      <c r="H3234" s="21">
        <v>3219</v>
      </c>
      <c r="I3234" s="102">
        <v>0.66762919897903894</v>
      </c>
      <c r="J3234" s="103">
        <v>1.2765070513160624E-3</v>
      </c>
      <c r="K3234" s="103"/>
      <c r="L3234" s="103">
        <v>4.1000000000000002E-2</v>
      </c>
      <c r="O3234" s="100"/>
    </row>
    <row r="3235" spans="2:15" x14ac:dyDescent="0.2">
      <c r="B3235" s="1">
        <v>3220</v>
      </c>
      <c r="C3235" s="101">
        <f ca="1"/>
        <v>0.72265237322800457</v>
      </c>
      <c r="D3235" s="101">
        <f t="shared" ca="1" si="189"/>
        <v>0.71359924570954547</v>
      </c>
      <c r="E3235" s="101">
        <f t="shared" ca="1" si="190"/>
        <v>0</v>
      </c>
      <c r="F3235" s="21">
        <f t="shared" ca="1" si="191"/>
        <v>0</v>
      </c>
      <c r="H3235" s="21">
        <v>3220</v>
      </c>
      <c r="I3235" s="102">
        <v>0.66776647086185359</v>
      </c>
      <c r="J3235" s="103">
        <v>1.3676608257766902E-3</v>
      </c>
      <c r="K3235" s="103"/>
      <c r="L3235" s="103">
        <v>4.1799999999999997E-2</v>
      </c>
      <c r="O3235" s="100"/>
    </row>
    <row r="3236" spans="2:15" x14ac:dyDescent="0.2">
      <c r="B3236" s="1">
        <v>3221</v>
      </c>
      <c r="C3236" s="101">
        <f ca="1"/>
        <v>0.32256569721147438</v>
      </c>
      <c r="D3236" s="101">
        <f t="shared" ca="1" si="189"/>
        <v>0.68598546818669404</v>
      </c>
      <c r="E3236" s="101">
        <f t="shared" ca="1" si="190"/>
        <v>0</v>
      </c>
      <c r="F3236" s="21">
        <f t="shared" ca="1" si="191"/>
        <v>0</v>
      </c>
      <c r="H3236" s="21">
        <v>3221</v>
      </c>
      <c r="I3236" s="102">
        <v>0.66772833042439339</v>
      </c>
      <c r="J3236" s="103">
        <v>1.3188600462179555E-3</v>
      </c>
      <c r="K3236" s="103"/>
      <c r="L3236" s="103">
        <v>4.24E-2</v>
      </c>
      <c r="O3236" s="100"/>
    </row>
    <row r="3237" spans="2:15" x14ac:dyDescent="0.2">
      <c r="B3237" s="1">
        <v>3222</v>
      </c>
      <c r="C3237" s="101">
        <f ca="1"/>
        <v>0.33012561881420327</v>
      </c>
      <c r="D3237" s="101">
        <f t="shared" ca="1" si="189"/>
        <v>0.68649721252853002</v>
      </c>
      <c r="E3237" s="101">
        <f t="shared" ca="1" si="190"/>
        <v>0</v>
      </c>
      <c r="F3237" s="21">
        <f t="shared" ca="1" si="191"/>
        <v>0</v>
      </c>
      <c r="H3237" s="21">
        <v>3222</v>
      </c>
      <c r="I3237" s="102">
        <v>0.66786413051149451</v>
      </c>
      <c r="J3237" s="103">
        <v>1.4357137713795543E-3</v>
      </c>
      <c r="K3237" s="103"/>
      <c r="L3237" s="103">
        <v>4.1200000000000001E-2</v>
      </c>
      <c r="O3237" s="100"/>
    </row>
    <row r="3238" spans="2:15" x14ac:dyDescent="0.2">
      <c r="B3238" s="1">
        <v>3223</v>
      </c>
      <c r="C3238" s="101">
        <f ca="1"/>
        <v>-8.2872846057871676E-3</v>
      </c>
      <c r="D3238" s="101">
        <f t="shared" ca="1" si="189"/>
        <v>0.66395917711638042</v>
      </c>
      <c r="E3238" s="101">
        <f t="shared" ca="1" si="190"/>
        <v>0</v>
      </c>
      <c r="F3238" s="21">
        <f t="shared" ca="1" si="191"/>
        <v>0</v>
      </c>
      <c r="H3238" s="21">
        <v>3223</v>
      </c>
      <c r="I3238" s="102">
        <v>0.66784410079379553</v>
      </c>
      <c r="J3238" s="103">
        <v>1.532674609583169E-3</v>
      </c>
      <c r="K3238" s="103"/>
      <c r="L3238" s="103">
        <v>4.58E-2</v>
      </c>
      <c r="O3238" s="100"/>
    </row>
    <row r="3239" spans="2:15" x14ac:dyDescent="0.2">
      <c r="B3239" s="1">
        <v>3224</v>
      </c>
      <c r="C3239" s="101">
        <f ca="1"/>
        <v>0.48348861893726974</v>
      </c>
      <c r="D3239" s="101">
        <f t="shared" ca="1" si="189"/>
        <v>0.69696144559471185</v>
      </c>
      <c r="E3239" s="101">
        <f t="shared" ca="1" si="190"/>
        <v>0</v>
      </c>
      <c r="F3239" s="21">
        <f t="shared" ca="1" si="191"/>
        <v>0</v>
      </c>
      <c r="H3239" s="21">
        <v>3224</v>
      </c>
      <c r="I3239" s="102">
        <v>0.6678050952039486</v>
      </c>
      <c r="J3239" s="103">
        <v>1.6026301094901232E-3</v>
      </c>
      <c r="K3239" s="103"/>
      <c r="L3239" s="103">
        <v>4.3799999999999999E-2</v>
      </c>
      <c r="O3239" s="100"/>
    </row>
    <row r="3240" spans="2:15" x14ac:dyDescent="0.2">
      <c r="B3240" s="1">
        <v>3225</v>
      </c>
      <c r="C3240" s="101">
        <f ca="1"/>
        <v>-1.06198285839159</v>
      </c>
      <c r="D3240" s="101">
        <f t="shared" ca="1" si="189"/>
        <v>0.59841395025940158</v>
      </c>
      <c r="E3240" s="101">
        <f t="shared" ca="1" si="190"/>
        <v>0</v>
      </c>
      <c r="F3240" s="21">
        <f t="shared" ca="1" si="191"/>
        <v>0</v>
      </c>
      <c r="H3240" s="21">
        <v>3225</v>
      </c>
      <c r="I3240" s="102">
        <v>0.66772077920583683</v>
      </c>
      <c r="J3240" s="103">
        <v>1.2892723117322242E-3</v>
      </c>
      <c r="K3240" s="103"/>
      <c r="L3240" s="103">
        <v>4.2000000000000003E-2</v>
      </c>
      <c r="O3240" s="100"/>
    </row>
    <row r="3241" spans="2:15" x14ac:dyDescent="0.2">
      <c r="B3241" s="1">
        <v>3226</v>
      </c>
      <c r="C3241" s="101">
        <f ca="1"/>
        <v>-0.18266054372942347</v>
      </c>
      <c r="D3241" s="101">
        <f t="shared" ca="1" si="189"/>
        <v>0.65263646421010602</v>
      </c>
      <c r="E3241" s="101">
        <f t="shared" ca="1" si="190"/>
        <v>0</v>
      </c>
      <c r="F3241" s="21">
        <f t="shared" ca="1" si="191"/>
        <v>0</v>
      </c>
      <c r="H3241" s="21">
        <v>3226</v>
      </c>
      <c r="I3241" s="102">
        <v>0.66781632518374756</v>
      </c>
      <c r="J3241" s="103">
        <v>1.4821265518182622E-3</v>
      </c>
      <c r="K3241" s="103"/>
      <c r="L3241" s="103">
        <v>4.6800000000000001E-2</v>
      </c>
      <c r="O3241" s="100"/>
    </row>
    <row r="3242" spans="2:15" x14ac:dyDescent="0.2">
      <c r="B3242" s="1">
        <v>3227</v>
      </c>
      <c r="C3242" s="101">
        <f ca="1"/>
        <v>-0.11390548653323715</v>
      </c>
      <c r="D3242" s="101">
        <f t="shared" ca="1" si="189"/>
        <v>0.65707774701049726</v>
      </c>
      <c r="E3242" s="101">
        <f t="shared" ca="1" si="190"/>
        <v>0</v>
      </c>
      <c r="F3242" s="21">
        <f t="shared" ca="1" si="191"/>
        <v>0</v>
      </c>
      <c r="H3242" s="21">
        <v>3227</v>
      </c>
      <c r="I3242" s="102">
        <v>0.66779747755169805</v>
      </c>
      <c r="J3242" s="103">
        <v>1.4484552834285683E-3</v>
      </c>
      <c r="K3242" s="103"/>
      <c r="L3242" s="103">
        <v>4.5999999999999999E-2</v>
      </c>
      <c r="O3242" s="100"/>
    </row>
    <row r="3243" spans="2:15" x14ac:dyDescent="0.2">
      <c r="B3243" s="1">
        <v>3228</v>
      </c>
      <c r="C3243" s="101">
        <f ca="1"/>
        <v>0.78932169513748907</v>
      </c>
      <c r="D3243" s="101">
        <f t="shared" ca="1" si="189"/>
        <v>0.71830758921302285</v>
      </c>
      <c r="E3243" s="101">
        <f t="shared" ca="1" si="190"/>
        <v>0</v>
      </c>
      <c r="F3243" s="21">
        <f t="shared" ca="1" si="191"/>
        <v>0</v>
      </c>
      <c r="H3243" s="21">
        <v>3228</v>
      </c>
      <c r="I3243" s="102">
        <v>0.66767084542977917</v>
      </c>
      <c r="J3243" s="103">
        <v>1.2529233239438008E-3</v>
      </c>
      <c r="K3243" s="103"/>
      <c r="L3243" s="103">
        <v>4.24E-2</v>
      </c>
      <c r="O3243" s="100"/>
    </row>
    <row r="3244" spans="2:15" x14ac:dyDescent="0.2">
      <c r="B3244" s="1">
        <v>3229</v>
      </c>
      <c r="C3244" s="101">
        <f ca="1"/>
        <v>-0.63247941463023816</v>
      </c>
      <c r="D3244" s="101">
        <f t="shared" ca="1" si="189"/>
        <v>0.62431155342385447</v>
      </c>
      <c r="E3244" s="101">
        <f t="shared" ca="1" si="190"/>
        <v>0</v>
      </c>
      <c r="F3244" s="21">
        <f t="shared" ca="1" si="191"/>
        <v>0</v>
      </c>
      <c r="H3244" s="21">
        <v>3229</v>
      </c>
      <c r="I3244" s="102">
        <v>0.66769021561968489</v>
      </c>
      <c r="J3244" s="103">
        <v>1.4957092160115303E-3</v>
      </c>
      <c r="K3244" s="103"/>
      <c r="L3244" s="103">
        <v>4.3200000000000002E-2</v>
      </c>
      <c r="O3244" s="100"/>
    </row>
    <row r="3245" spans="2:15" x14ac:dyDescent="0.2">
      <c r="B3245" s="1">
        <v>3230</v>
      </c>
      <c r="C3245" s="101">
        <f ca="1"/>
        <v>-1.798672741266103</v>
      </c>
      <c r="D3245" s="101">
        <f t="shared" ca="1" si="189"/>
        <v>0.55647078537771599</v>
      </c>
      <c r="E3245" s="101">
        <f t="shared" ca="1" si="190"/>
        <v>0</v>
      </c>
      <c r="F3245" s="21">
        <f t="shared" ca="1" si="191"/>
        <v>0</v>
      </c>
      <c r="H3245" s="21">
        <v>3230</v>
      </c>
      <c r="I3245" s="102">
        <v>0.66776747695427352</v>
      </c>
      <c r="J3245" s="103">
        <v>1.5240387176933096E-3</v>
      </c>
      <c r="K3245" s="103"/>
      <c r="L3245" s="103">
        <v>4.2999999999999997E-2</v>
      </c>
      <c r="O3245" s="100"/>
    </row>
    <row r="3246" spans="2:15" x14ac:dyDescent="0.2">
      <c r="B3246" s="1">
        <v>3231</v>
      </c>
      <c r="C3246" s="101">
        <f ca="1"/>
        <v>-0.88037242416643191</v>
      </c>
      <c r="D3246" s="101">
        <f t="shared" ca="1" si="189"/>
        <v>0.6092307117472987</v>
      </c>
      <c r="E3246" s="101">
        <f t="shared" ca="1" si="190"/>
        <v>0</v>
      </c>
      <c r="F3246" s="21">
        <f t="shared" ca="1" si="191"/>
        <v>0</v>
      </c>
      <c r="H3246" s="21">
        <v>3231</v>
      </c>
      <c r="I3246" s="102">
        <v>0.66764785746575395</v>
      </c>
      <c r="J3246" s="103">
        <v>1.285993985923768E-3</v>
      </c>
      <c r="K3246" s="103"/>
      <c r="L3246" s="103">
        <v>3.8199999999999998E-2</v>
      </c>
      <c r="O3246" s="100"/>
    </row>
    <row r="3247" spans="2:15" x14ac:dyDescent="0.2">
      <c r="B3247" s="1">
        <v>3232</v>
      </c>
      <c r="C3247" s="101">
        <f ca="1"/>
        <v>1.044093591330981</v>
      </c>
      <c r="D3247" s="101">
        <f t="shared" ca="1" si="189"/>
        <v>0.73658814683312512</v>
      </c>
      <c r="E3247" s="101">
        <f t="shared" ca="1" si="190"/>
        <v>0</v>
      </c>
      <c r="F3247" s="21">
        <f t="shared" ca="1" si="191"/>
        <v>0</v>
      </c>
      <c r="H3247" s="21">
        <v>3232</v>
      </c>
      <c r="I3247" s="102">
        <v>0.66778106457012731</v>
      </c>
      <c r="J3247" s="103">
        <v>1.3197344447102302E-3</v>
      </c>
      <c r="K3247" s="103"/>
      <c r="L3247" s="103">
        <v>4.1799999999999997E-2</v>
      </c>
      <c r="O3247" s="100"/>
    </row>
    <row r="3248" spans="2:15" x14ac:dyDescent="0.2">
      <c r="B3248" s="1">
        <v>3233</v>
      </c>
      <c r="C3248" s="101">
        <f ca="1"/>
        <v>0.22086191377662698</v>
      </c>
      <c r="D3248" s="101">
        <f t="shared" ca="1" si="189"/>
        <v>0.67913793283298052</v>
      </c>
      <c r="E3248" s="101">
        <f t="shared" ca="1" si="190"/>
        <v>0</v>
      </c>
      <c r="F3248" s="21">
        <f t="shared" ca="1" si="191"/>
        <v>0</v>
      </c>
      <c r="H3248" s="21">
        <v>3233</v>
      </c>
      <c r="I3248" s="102">
        <v>0.66773436866442115</v>
      </c>
      <c r="J3248" s="103">
        <v>1.3960819803655643E-3</v>
      </c>
      <c r="K3248" s="103"/>
      <c r="L3248" s="103">
        <v>4.0599999999999997E-2</v>
      </c>
      <c r="O3248" s="100"/>
    </row>
    <row r="3249" spans="2:15" x14ac:dyDescent="0.2">
      <c r="B3249" s="1">
        <v>3234</v>
      </c>
      <c r="C3249" s="101">
        <f ca="1"/>
        <v>-0.44618546450523561</v>
      </c>
      <c r="D3249" s="101">
        <f t="shared" ca="1" si="189"/>
        <v>0.63589013857155141</v>
      </c>
      <c r="E3249" s="101">
        <f t="shared" ca="1" si="190"/>
        <v>0</v>
      </c>
      <c r="F3249" s="21">
        <f t="shared" ca="1" si="191"/>
        <v>0</v>
      </c>
      <c r="H3249" s="21">
        <v>3234</v>
      </c>
      <c r="I3249" s="102">
        <v>0.66794142831984771</v>
      </c>
      <c r="J3249" s="103">
        <v>1.4699440107360999E-3</v>
      </c>
      <c r="K3249" s="103"/>
      <c r="L3249" s="103">
        <v>4.58E-2</v>
      </c>
      <c r="O3249" s="100"/>
    </row>
    <row r="3250" spans="2:15" x14ac:dyDescent="0.2">
      <c r="B3250" s="1">
        <v>3235</v>
      </c>
      <c r="C3250" s="101">
        <f ca="1"/>
        <v>1.2369536532448409</v>
      </c>
      <c r="D3250" s="101">
        <f t="shared" ca="1" si="189"/>
        <v>0.75073511839402174</v>
      </c>
      <c r="E3250" s="101">
        <f t="shared" ca="1" si="190"/>
        <v>0</v>
      </c>
      <c r="F3250" s="21">
        <f t="shared" ca="1" si="191"/>
        <v>0</v>
      </c>
      <c r="H3250" s="21">
        <v>3235</v>
      </c>
      <c r="I3250" s="102">
        <v>0.66785366142433222</v>
      </c>
      <c r="J3250" s="103">
        <v>1.5773659114400977E-3</v>
      </c>
      <c r="K3250" s="103"/>
      <c r="L3250" s="103">
        <v>4.48E-2</v>
      </c>
      <c r="O3250" s="100"/>
    </row>
    <row r="3251" spans="2:15" x14ac:dyDescent="0.2">
      <c r="B3251" s="1">
        <v>3236</v>
      </c>
      <c r="C3251" s="101">
        <f ca="1"/>
        <v>-1.9659841629805155</v>
      </c>
      <c r="D3251" s="101">
        <f t="shared" ca="1" si="189"/>
        <v>0.54736226091864304</v>
      </c>
      <c r="E3251" s="101">
        <f t="shared" ca="1" si="190"/>
        <v>0</v>
      </c>
      <c r="F3251" s="21">
        <f t="shared" ca="1" si="191"/>
        <v>0</v>
      </c>
      <c r="H3251" s="21">
        <v>3236</v>
      </c>
      <c r="I3251" s="102">
        <v>0.66778985374294819</v>
      </c>
      <c r="J3251" s="103">
        <v>1.3585683767419977E-3</v>
      </c>
      <c r="K3251" s="103"/>
      <c r="L3251" s="103">
        <v>4.36E-2</v>
      </c>
      <c r="O3251" s="100"/>
    </row>
    <row r="3252" spans="2:15" x14ac:dyDescent="0.2">
      <c r="B3252" s="1">
        <v>3237</v>
      </c>
      <c r="C3252" s="101">
        <f ca="1"/>
        <v>1.6118950137436567</v>
      </c>
      <c r="D3252" s="101">
        <f t="shared" ca="1" si="189"/>
        <v>0.7790206837851481</v>
      </c>
      <c r="E3252" s="101">
        <f t="shared" ca="1" si="190"/>
        <v>0</v>
      </c>
      <c r="F3252" s="21">
        <f t="shared" ca="1" si="191"/>
        <v>0</v>
      </c>
      <c r="H3252" s="21">
        <v>3237</v>
      </c>
      <c r="I3252" s="102">
        <v>0.66772143794572125</v>
      </c>
      <c r="J3252" s="103">
        <v>1.3536732964465322E-3</v>
      </c>
      <c r="K3252" s="103"/>
      <c r="L3252" s="103">
        <v>4.0800000000000003E-2</v>
      </c>
      <c r="O3252" s="100"/>
    </row>
    <row r="3253" spans="2:15" x14ac:dyDescent="0.2">
      <c r="B3253" s="1">
        <v>3238</v>
      </c>
      <c r="C3253" s="101">
        <f ca="1"/>
        <v>-0.40342800679502216</v>
      </c>
      <c r="D3253" s="101">
        <f t="shared" ca="1" si="189"/>
        <v>0.6385777658411349</v>
      </c>
      <c r="E3253" s="101">
        <f t="shared" ca="1" si="190"/>
        <v>0</v>
      </c>
      <c r="F3253" s="21">
        <f t="shared" ca="1" si="191"/>
        <v>0</v>
      </c>
      <c r="H3253" s="21">
        <v>3238</v>
      </c>
      <c r="I3253" s="102">
        <v>0.66763803193834748</v>
      </c>
      <c r="J3253" s="103">
        <v>1.2238593620422407E-3</v>
      </c>
      <c r="K3253" s="103"/>
      <c r="L3253" s="103">
        <v>3.8800000000000001E-2</v>
      </c>
      <c r="O3253" s="100"/>
    </row>
    <row r="3254" spans="2:15" x14ac:dyDescent="0.2">
      <c r="B3254" s="1">
        <v>3239</v>
      </c>
      <c r="C3254" s="101">
        <f ca="1"/>
        <v>-0.81435340218210883</v>
      </c>
      <c r="D3254" s="101">
        <f t="shared" ca="1" si="189"/>
        <v>0.61321109279599317</v>
      </c>
      <c r="E3254" s="101">
        <f t="shared" ca="1" si="190"/>
        <v>0</v>
      </c>
      <c r="F3254" s="21">
        <f t="shared" ca="1" si="191"/>
        <v>0</v>
      </c>
      <c r="H3254" s="21">
        <v>3239</v>
      </c>
      <c r="I3254" s="102">
        <v>0.6677705612705932</v>
      </c>
      <c r="J3254" s="103">
        <v>1.3115353765177265E-3</v>
      </c>
      <c r="K3254" s="103"/>
      <c r="L3254" s="103">
        <v>4.1799999999999997E-2</v>
      </c>
      <c r="O3254" s="100"/>
    </row>
    <row r="3255" spans="2:15" x14ac:dyDescent="0.2">
      <c r="B3255" s="1">
        <v>3240</v>
      </c>
      <c r="C3255" s="101">
        <f ca="1"/>
        <v>-0.79736816725425164</v>
      </c>
      <c r="D3255" s="101">
        <f t="shared" ca="1" si="189"/>
        <v>0.61423935608414204</v>
      </c>
      <c r="E3255" s="101">
        <f t="shared" ca="1" si="190"/>
        <v>0</v>
      </c>
      <c r="F3255" s="21">
        <f t="shared" ca="1" si="191"/>
        <v>0</v>
      </c>
      <c r="H3255" s="21">
        <v>3240</v>
      </c>
      <c r="I3255" s="102">
        <v>0.66754976716626446</v>
      </c>
      <c r="J3255" s="103">
        <v>1.0588030488890422E-3</v>
      </c>
      <c r="K3255" s="103"/>
      <c r="L3255" s="103">
        <v>3.5999999999999997E-2</v>
      </c>
      <c r="O3255" s="100"/>
    </row>
    <row r="3256" spans="2:15" x14ac:dyDescent="0.2">
      <c r="B3256" s="1">
        <v>3241</v>
      </c>
      <c r="C3256" s="101">
        <f ca="1"/>
        <v>-0.96709079990530156</v>
      </c>
      <c r="D3256" s="101">
        <f t="shared" ca="1" si="189"/>
        <v>0.60404156841242462</v>
      </c>
      <c r="E3256" s="101">
        <f t="shared" ca="1" si="190"/>
        <v>0</v>
      </c>
      <c r="F3256" s="21">
        <f t="shared" ca="1" si="191"/>
        <v>0</v>
      </c>
      <c r="H3256" s="21">
        <v>3241</v>
      </c>
      <c r="I3256" s="102">
        <v>0.66780273673279489</v>
      </c>
      <c r="J3256" s="103">
        <v>1.4271697656965685E-3</v>
      </c>
      <c r="K3256" s="103"/>
      <c r="L3256" s="103">
        <v>4.58E-2</v>
      </c>
      <c r="O3256" s="100"/>
    </row>
    <row r="3257" spans="2:15" x14ac:dyDescent="0.2">
      <c r="B3257" s="1">
        <v>3242</v>
      </c>
      <c r="C3257" s="101">
        <f ca="1"/>
        <v>1.2310397679565774</v>
      </c>
      <c r="D3257" s="101">
        <f t="shared" ca="1" si="189"/>
        <v>0.75029730215942569</v>
      </c>
      <c r="E3257" s="101">
        <f t="shared" ca="1" si="190"/>
        <v>0</v>
      </c>
      <c r="F3257" s="21">
        <f t="shared" ca="1" si="191"/>
        <v>0</v>
      </c>
      <c r="H3257" s="21">
        <v>3242</v>
      </c>
      <c r="I3257" s="102">
        <v>0.66780963399280346</v>
      </c>
      <c r="J3257" s="103">
        <v>1.440881653719367E-3</v>
      </c>
      <c r="K3257" s="103"/>
      <c r="L3257" s="103">
        <v>4.24E-2</v>
      </c>
      <c r="O3257" s="100"/>
    </row>
    <row r="3258" spans="2:15" x14ac:dyDescent="0.2">
      <c r="B3258" s="1">
        <v>3243</v>
      </c>
      <c r="C3258" s="101">
        <f ca="1"/>
        <v>-1.5372058152184875</v>
      </c>
      <c r="D3258" s="101">
        <f t="shared" ca="1" si="189"/>
        <v>0.57100965388487346</v>
      </c>
      <c r="E3258" s="101">
        <f t="shared" ca="1" si="190"/>
        <v>0</v>
      </c>
      <c r="F3258" s="21">
        <f t="shared" ca="1" si="191"/>
        <v>0</v>
      </c>
      <c r="H3258" s="21">
        <v>3243</v>
      </c>
      <c r="I3258" s="102">
        <v>0.66770870691110906</v>
      </c>
      <c r="J3258" s="103">
        <v>1.3103891713134382E-3</v>
      </c>
      <c r="K3258" s="103"/>
      <c r="L3258" s="103">
        <v>3.9800000000000002E-2</v>
      </c>
      <c r="O3258" s="100"/>
    </row>
    <row r="3259" spans="2:15" x14ac:dyDescent="0.2">
      <c r="B3259" s="1">
        <v>3244</v>
      </c>
      <c r="C3259" s="101">
        <f ca="1"/>
        <v>0.14636958806375477</v>
      </c>
      <c r="D3259" s="101">
        <f t="shared" ca="1" si="189"/>
        <v>0.67416590218534211</v>
      </c>
      <c r="E3259" s="101">
        <f t="shared" ca="1" si="190"/>
        <v>0</v>
      </c>
      <c r="F3259" s="21">
        <f t="shared" ca="1" si="191"/>
        <v>0</v>
      </c>
      <c r="H3259" s="21">
        <v>3244</v>
      </c>
      <c r="I3259" s="102">
        <v>0.66764438423721917</v>
      </c>
      <c r="J3259" s="103">
        <v>1.3340641397629016E-3</v>
      </c>
      <c r="K3259" s="103"/>
      <c r="L3259" s="103">
        <v>4.1000000000000002E-2</v>
      </c>
      <c r="O3259" s="100"/>
    </row>
    <row r="3260" spans="2:15" x14ac:dyDescent="0.2">
      <c r="B3260" s="1">
        <v>3245</v>
      </c>
      <c r="C3260" s="101">
        <f ca="1"/>
        <v>0.16221452816623205</v>
      </c>
      <c r="D3260" s="101">
        <f t="shared" ca="1" si="189"/>
        <v>0.67522042437675933</v>
      </c>
      <c r="E3260" s="101">
        <f t="shared" ca="1" si="190"/>
        <v>0</v>
      </c>
      <c r="F3260" s="21">
        <f t="shared" ca="1" si="191"/>
        <v>0</v>
      </c>
      <c r="H3260" s="21">
        <v>3245</v>
      </c>
      <c r="I3260" s="102">
        <v>0.66768454535978894</v>
      </c>
      <c r="J3260" s="103">
        <v>1.3185590576222433E-3</v>
      </c>
      <c r="K3260" s="103"/>
      <c r="L3260" s="103">
        <v>4.02E-2</v>
      </c>
      <c r="O3260" s="100"/>
    </row>
    <row r="3261" spans="2:15" x14ac:dyDescent="0.2">
      <c r="B3261" s="1">
        <v>3246</v>
      </c>
      <c r="C3261" s="101">
        <f ca="1"/>
        <v>0.62642046968514575</v>
      </c>
      <c r="D3261" s="101">
        <f t="shared" ca="1" si="189"/>
        <v>0.70685749433510514</v>
      </c>
      <c r="E3261" s="101">
        <f t="shared" ca="1" si="190"/>
        <v>0</v>
      </c>
      <c r="F3261" s="21">
        <f t="shared" ca="1" si="191"/>
        <v>0</v>
      </c>
      <c r="H3261" s="21">
        <v>3246</v>
      </c>
      <c r="I3261" s="102">
        <v>0.66769999343367459</v>
      </c>
      <c r="J3261" s="103">
        <v>1.2488090363125955E-3</v>
      </c>
      <c r="K3261" s="103"/>
      <c r="L3261" s="103">
        <v>4.3400000000000001E-2</v>
      </c>
      <c r="O3261" s="100"/>
    </row>
    <row r="3262" spans="2:15" x14ac:dyDescent="0.2">
      <c r="B3262" s="1">
        <v>3247</v>
      </c>
      <c r="C3262" s="101">
        <f ca="1"/>
        <v>0.69228309773920549</v>
      </c>
      <c r="D3262" s="101">
        <f t="shared" ca="1" si="189"/>
        <v>0.71146473972861235</v>
      </c>
      <c r="E3262" s="101">
        <f t="shared" ca="1" si="190"/>
        <v>0</v>
      </c>
      <c r="F3262" s="21">
        <f t="shared" ca="1" si="191"/>
        <v>0</v>
      </c>
      <c r="H3262" s="21">
        <v>3247</v>
      </c>
      <c r="I3262" s="102">
        <v>0.66772305177149271</v>
      </c>
      <c r="J3262" s="103">
        <v>1.3153681612391584E-3</v>
      </c>
      <c r="K3262" s="103"/>
      <c r="L3262" s="103">
        <v>4.1799999999999997E-2</v>
      </c>
      <c r="O3262" s="100"/>
    </row>
    <row r="3263" spans="2:15" x14ac:dyDescent="0.2">
      <c r="B3263" s="1">
        <v>3248</v>
      </c>
      <c r="C3263" s="101">
        <f ca="1"/>
        <v>-1.1328246917293092</v>
      </c>
      <c r="D3263" s="101">
        <f t="shared" ca="1" si="189"/>
        <v>0.59424685071353056</v>
      </c>
      <c r="E3263" s="101">
        <f t="shared" ca="1" si="190"/>
        <v>0</v>
      </c>
      <c r="F3263" s="21">
        <f t="shared" ca="1" si="191"/>
        <v>0</v>
      </c>
      <c r="H3263" s="21">
        <v>3248</v>
      </c>
      <c r="I3263" s="102">
        <v>0.66765816247815801</v>
      </c>
      <c r="J3263" s="103">
        <v>1.3454014058409997E-3</v>
      </c>
      <c r="K3263" s="103"/>
      <c r="L3263" s="103">
        <v>3.8399999999999997E-2</v>
      </c>
      <c r="O3263" s="100"/>
    </row>
    <row r="3264" spans="2:15" x14ac:dyDescent="0.2">
      <c r="B3264" s="1">
        <v>3249</v>
      </c>
      <c r="C3264" s="101">
        <f ca="1"/>
        <v>0.29382352262156297</v>
      </c>
      <c r="D3264" s="101">
        <f t="shared" ca="1" si="189"/>
        <v>0.6840433397981478</v>
      </c>
      <c r="E3264" s="101">
        <f t="shared" ca="1" si="190"/>
        <v>0</v>
      </c>
      <c r="F3264" s="21">
        <f t="shared" ca="1" si="191"/>
        <v>0</v>
      </c>
      <c r="H3264" s="21">
        <v>3249</v>
      </c>
      <c r="I3264" s="102">
        <v>0.66769793566763525</v>
      </c>
      <c r="J3264" s="103">
        <v>1.2660268413301179E-3</v>
      </c>
      <c r="K3264" s="103"/>
      <c r="L3264" s="103">
        <v>4.02E-2</v>
      </c>
      <c r="O3264" s="100"/>
    </row>
    <row r="3265" spans="2:15" x14ac:dyDescent="0.2">
      <c r="B3265" s="1">
        <v>3250</v>
      </c>
      <c r="C3265" s="101">
        <f ca="1"/>
        <v>-8.5333609123904405E-2</v>
      </c>
      <c r="D3265" s="101">
        <f t="shared" ca="1" si="189"/>
        <v>0.65893224592149691</v>
      </c>
      <c r="E3265" s="101">
        <f t="shared" ca="1" si="190"/>
        <v>0</v>
      </c>
      <c r="F3265" s="21">
        <f t="shared" ca="1" si="191"/>
        <v>0</v>
      </c>
      <c r="H3265" s="21">
        <v>3250</v>
      </c>
      <c r="I3265" s="102">
        <v>0.66776504931888647</v>
      </c>
      <c r="J3265" s="103">
        <v>1.3995021960288411E-3</v>
      </c>
      <c r="K3265" s="103"/>
      <c r="L3265" s="103">
        <v>3.8199999999999998E-2</v>
      </c>
      <c r="O3265" s="100"/>
    </row>
    <row r="3266" spans="2:15" x14ac:dyDescent="0.2">
      <c r="B3266" s="1">
        <v>3251</v>
      </c>
      <c r="C3266" s="101">
        <f ca="1"/>
        <v>-0.32313062801623821</v>
      </c>
      <c r="D3266" s="101">
        <f t="shared" ca="1" si="189"/>
        <v>0.64365579444125276</v>
      </c>
      <c r="E3266" s="101">
        <f t="shared" ca="1" si="190"/>
        <v>0</v>
      </c>
      <c r="F3266" s="21">
        <f t="shared" ca="1" si="191"/>
        <v>0</v>
      </c>
      <c r="H3266" s="21">
        <v>3251</v>
      </c>
      <c r="I3266" s="102">
        <v>0.66778912472691843</v>
      </c>
      <c r="J3266" s="103">
        <v>1.3643320153118516E-3</v>
      </c>
      <c r="K3266" s="103"/>
      <c r="L3266" s="103">
        <v>4.48E-2</v>
      </c>
      <c r="O3266" s="100"/>
    </row>
    <row r="3267" spans="2:15" x14ac:dyDescent="0.2">
      <c r="B3267" s="1">
        <v>3252</v>
      </c>
      <c r="C3267" s="101">
        <f ca="1"/>
        <v>0.74166236807779606</v>
      </c>
      <c r="D3267" s="101">
        <f t="shared" ca="1" si="189"/>
        <v>0.71493862177554079</v>
      </c>
      <c r="E3267" s="101">
        <f t="shared" ca="1" si="190"/>
        <v>0</v>
      </c>
      <c r="F3267" s="21">
        <f t="shared" ca="1" si="191"/>
        <v>0</v>
      </c>
      <c r="H3267" s="21">
        <v>3252</v>
      </c>
      <c r="I3267" s="102">
        <v>0.66778071538663586</v>
      </c>
      <c r="J3267" s="103">
        <v>1.3878956436790128E-3</v>
      </c>
      <c r="K3267" s="103"/>
      <c r="L3267" s="103">
        <v>4.24E-2</v>
      </c>
      <c r="O3267" s="100"/>
    </row>
    <row r="3268" spans="2:15" x14ac:dyDescent="0.2">
      <c r="B3268" s="1">
        <v>3253</v>
      </c>
      <c r="C3268" s="101">
        <f ca="1"/>
        <v>-0.45133843993417022</v>
      </c>
      <c r="D3268" s="101">
        <f t="shared" ca="1" si="189"/>
        <v>0.63556700008114664</v>
      </c>
      <c r="E3268" s="101">
        <f t="shared" ca="1" si="190"/>
        <v>0</v>
      </c>
      <c r="F3268" s="21">
        <f t="shared" ca="1" si="191"/>
        <v>0</v>
      </c>
      <c r="H3268" s="21">
        <v>3253</v>
      </c>
      <c r="I3268" s="102">
        <v>0.66769970622411634</v>
      </c>
      <c r="J3268" s="103">
        <v>1.2709733873478514E-3</v>
      </c>
      <c r="K3268" s="103"/>
      <c r="L3268" s="103">
        <v>4.1200000000000001E-2</v>
      </c>
      <c r="O3268" s="100"/>
    </row>
    <row r="3269" spans="2:15" x14ac:dyDescent="0.2">
      <c r="B3269" s="1">
        <v>3254</v>
      </c>
      <c r="C3269" s="101">
        <f ca="1"/>
        <v>0.15625594211949295</v>
      </c>
      <c r="D3269" s="101">
        <f t="shared" ca="1" si="189"/>
        <v>0.6748236715207605</v>
      </c>
      <c r="E3269" s="101">
        <f t="shared" ca="1" si="190"/>
        <v>0</v>
      </c>
      <c r="F3269" s="21">
        <f t="shared" ca="1" si="191"/>
        <v>0</v>
      </c>
      <c r="H3269" s="21">
        <v>3254</v>
      </c>
      <c r="I3269" s="102">
        <v>0.66783352121378947</v>
      </c>
      <c r="J3269" s="103">
        <v>1.4173127810026588E-3</v>
      </c>
      <c r="K3269" s="103"/>
      <c r="L3269" s="103">
        <v>4.0399999999999998E-2</v>
      </c>
      <c r="O3269" s="100"/>
    </row>
    <row r="3270" spans="2:15" x14ac:dyDescent="0.2">
      <c r="B3270" s="1">
        <v>3255</v>
      </c>
      <c r="C3270" s="101">
        <f ca="1"/>
        <v>-2.212319532065179</v>
      </c>
      <c r="D3270" s="101">
        <f t="shared" ca="1" si="189"/>
        <v>0.53422227860420335</v>
      </c>
      <c r="E3270" s="101">
        <f t="shared" ca="1" si="190"/>
        <v>0</v>
      </c>
      <c r="F3270" s="21">
        <f t="shared" ca="1" si="191"/>
        <v>0</v>
      </c>
      <c r="H3270" s="21">
        <v>3255</v>
      </c>
      <c r="I3270" s="102">
        <v>0.66775185338738396</v>
      </c>
      <c r="J3270" s="103">
        <v>1.3538252859893369E-3</v>
      </c>
      <c r="K3270" s="103"/>
      <c r="L3270" s="103">
        <v>4.2799999999999998E-2</v>
      </c>
      <c r="O3270" s="100"/>
    </row>
    <row r="3271" spans="2:15" x14ac:dyDescent="0.2">
      <c r="B3271" s="1">
        <v>3256</v>
      </c>
      <c r="C3271" s="101">
        <f ca="1"/>
        <v>-0.48397541631839019</v>
      </c>
      <c r="D3271" s="101">
        <f t="shared" ca="1" si="189"/>
        <v>0.63352417457763044</v>
      </c>
      <c r="E3271" s="101">
        <f t="shared" ca="1" si="190"/>
        <v>0</v>
      </c>
      <c r="F3271" s="21">
        <f t="shared" ca="1" si="191"/>
        <v>0</v>
      </c>
      <c r="H3271" s="21">
        <v>3256</v>
      </c>
      <c r="I3271" s="102">
        <v>0.6676381362459074</v>
      </c>
      <c r="J3271" s="103">
        <v>1.193047365873877E-3</v>
      </c>
      <c r="K3271" s="103"/>
      <c r="L3271" s="103">
        <v>3.9399999999999998E-2</v>
      </c>
      <c r="O3271" s="100"/>
    </row>
    <row r="3272" spans="2:15" x14ac:dyDescent="0.2">
      <c r="B3272" s="1">
        <v>3257</v>
      </c>
      <c r="C3272" s="101">
        <f ca="1"/>
        <v>1.1321913902610827</v>
      </c>
      <c r="D3272" s="101">
        <f t="shared" ca="1" si="189"/>
        <v>0.74301705287728792</v>
      </c>
      <c r="E3272" s="101">
        <f t="shared" ca="1" si="190"/>
        <v>0</v>
      </c>
      <c r="F3272" s="21">
        <f t="shared" ca="1" si="191"/>
        <v>0</v>
      </c>
      <c r="H3272" s="21">
        <v>3257</v>
      </c>
      <c r="I3272" s="102">
        <v>0.66778522451749034</v>
      </c>
      <c r="J3272" s="103">
        <v>1.3877161430682094E-3</v>
      </c>
      <c r="K3272" s="103"/>
      <c r="L3272" s="103">
        <v>4.1799999999999997E-2</v>
      </c>
      <c r="O3272" s="100"/>
    </row>
    <row r="3273" spans="2:15" x14ac:dyDescent="0.2">
      <c r="B3273" s="1">
        <v>3258</v>
      </c>
      <c r="C3273" s="101">
        <f ca="1"/>
        <v>1.1011871656873895</v>
      </c>
      <c r="D3273" s="101">
        <f t="shared" ca="1" si="189"/>
        <v>0.74074815669556693</v>
      </c>
      <c r="E3273" s="101">
        <f t="shared" ca="1" si="190"/>
        <v>0</v>
      </c>
      <c r="F3273" s="21">
        <f t="shared" ca="1" si="191"/>
        <v>0</v>
      </c>
      <c r="H3273" s="21">
        <v>3258</v>
      </c>
      <c r="I3273" s="102">
        <v>0.66784544015464431</v>
      </c>
      <c r="J3273" s="103">
        <v>1.5289038112535072E-3</v>
      </c>
      <c r="K3273" s="103"/>
      <c r="L3273" s="103">
        <v>4.3400000000000001E-2</v>
      </c>
      <c r="O3273" s="100"/>
    </row>
    <row r="3274" spans="2:15" x14ac:dyDescent="0.2">
      <c r="B3274" s="1">
        <v>3259</v>
      </c>
      <c r="C3274" s="101">
        <f ca="1"/>
        <v>-1.3188726590880355</v>
      </c>
      <c r="D3274" s="101">
        <f t="shared" ca="1" si="189"/>
        <v>0.58344068250577197</v>
      </c>
      <c r="E3274" s="101">
        <f t="shared" ca="1" si="190"/>
        <v>0</v>
      </c>
      <c r="F3274" s="21">
        <f t="shared" ca="1" si="191"/>
        <v>0</v>
      </c>
      <c r="H3274" s="21">
        <v>3259</v>
      </c>
      <c r="I3274" s="102">
        <v>0.66762018077984919</v>
      </c>
      <c r="J3274" s="103">
        <v>1.3523789877233981E-3</v>
      </c>
      <c r="K3274" s="103"/>
      <c r="L3274" s="103">
        <v>3.8600000000000002E-2</v>
      </c>
      <c r="O3274" s="100"/>
    </row>
    <row r="3275" spans="2:15" x14ac:dyDescent="0.2">
      <c r="B3275" s="1">
        <v>3260</v>
      </c>
      <c r="C3275" s="101">
        <f ca="1"/>
        <v>-0.88893442608669282</v>
      </c>
      <c r="D3275" s="101">
        <f t="shared" ca="1" si="189"/>
        <v>0.60871639267744282</v>
      </c>
      <c r="E3275" s="101">
        <f t="shared" ca="1" si="190"/>
        <v>0</v>
      </c>
      <c r="F3275" s="21">
        <f t="shared" ca="1" si="191"/>
        <v>0</v>
      </c>
      <c r="H3275" s="21">
        <v>3260</v>
      </c>
      <c r="I3275" s="102">
        <v>0.6675559977491432</v>
      </c>
      <c r="J3275" s="103">
        <v>1.1192675956718863E-3</v>
      </c>
      <c r="K3275" s="103"/>
      <c r="L3275" s="103">
        <v>3.7600000000000001E-2</v>
      </c>
      <c r="O3275" s="100"/>
    </row>
    <row r="3276" spans="2:15" x14ac:dyDescent="0.2">
      <c r="B3276" s="1">
        <v>3261</v>
      </c>
      <c r="C3276" s="101">
        <f ca="1"/>
        <v>0.79383769807196836</v>
      </c>
      <c r="D3276" s="101">
        <f t="shared" ca="1" si="189"/>
        <v>0.71862764103660981</v>
      </c>
      <c r="E3276" s="101">
        <f t="shared" ca="1" si="190"/>
        <v>0</v>
      </c>
      <c r="F3276" s="21">
        <f t="shared" ca="1" si="191"/>
        <v>0</v>
      </c>
      <c r="H3276" s="21">
        <v>3261</v>
      </c>
      <c r="I3276" s="102">
        <v>0.6677779514665384</v>
      </c>
      <c r="J3276" s="103">
        <v>1.3706741222806751E-3</v>
      </c>
      <c r="K3276" s="103"/>
      <c r="L3276" s="103">
        <v>4.3200000000000002E-2</v>
      </c>
      <c r="O3276" s="100"/>
    </row>
    <row r="3277" spans="2:15" x14ac:dyDescent="0.2">
      <c r="B3277" s="1">
        <v>3262</v>
      </c>
      <c r="C3277" s="101">
        <f ca="1"/>
        <v>-0.75092678626649201</v>
      </c>
      <c r="D3277" s="101">
        <f t="shared" ca="1" si="189"/>
        <v>0.61705966581264371</v>
      </c>
      <c r="E3277" s="101">
        <f t="shared" ca="1" si="190"/>
        <v>0</v>
      </c>
      <c r="F3277" s="21">
        <f t="shared" ca="1" si="191"/>
        <v>0</v>
      </c>
      <c r="H3277" s="21">
        <v>3262</v>
      </c>
      <c r="I3277" s="102">
        <v>0.66782852141265647</v>
      </c>
      <c r="J3277" s="103">
        <v>1.4957980536717522E-3</v>
      </c>
      <c r="K3277" s="103"/>
      <c r="L3277" s="103">
        <v>4.36E-2</v>
      </c>
      <c r="O3277" s="100"/>
    </row>
    <row r="3278" spans="2:15" x14ac:dyDescent="0.2">
      <c r="B3278" s="1">
        <v>3263</v>
      </c>
      <c r="C3278" s="101">
        <f ca="1"/>
        <v>-1.17193412578447</v>
      </c>
      <c r="D3278" s="101">
        <f t="shared" ca="1" si="189"/>
        <v>0.59195877770381033</v>
      </c>
      <c r="E3278" s="101">
        <f t="shared" ca="1" si="190"/>
        <v>0</v>
      </c>
      <c r="F3278" s="21">
        <f t="shared" ca="1" si="191"/>
        <v>0</v>
      </c>
      <c r="H3278" s="21">
        <v>3263</v>
      </c>
      <c r="I3278" s="102">
        <v>0.66782611694079497</v>
      </c>
      <c r="J3278" s="103">
        <v>1.4087037351186802E-3</v>
      </c>
      <c r="K3278" s="103"/>
      <c r="L3278" s="103">
        <v>4.36E-2</v>
      </c>
      <c r="O3278" s="100"/>
    </row>
    <row r="3279" spans="2:15" x14ac:dyDescent="0.2">
      <c r="B3279" s="1">
        <v>3264</v>
      </c>
      <c r="C3279" s="101">
        <f ca="1"/>
        <v>0.87644177182268801</v>
      </c>
      <c r="D3279" s="101">
        <f t="shared" ca="1" si="189"/>
        <v>0.72450706582887059</v>
      </c>
      <c r="E3279" s="101">
        <f t="shared" ca="1" si="190"/>
        <v>0</v>
      </c>
      <c r="F3279" s="21">
        <f t="shared" ca="1" si="191"/>
        <v>0</v>
      </c>
      <c r="H3279" s="21">
        <v>3264</v>
      </c>
      <c r="I3279" s="102">
        <v>0.66777317187887297</v>
      </c>
      <c r="J3279" s="103">
        <v>1.5637656219674768E-3</v>
      </c>
      <c r="K3279" s="103"/>
      <c r="L3279" s="103">
        <v>4.02E-2</v>
      </c>
      <c r="O3279" s="100"/>
    </row>
    <row r="3280" spans="2:15" x14ac:dyDescent="0.2">
      <c r="B3280" s="1">
        <v>3265</v>
      </c>
      <c r="C3280" s="101">
        <f ca="1"/>
        <v>0.91170958215186193</v>
      </c>
      <c r="D3280" s="101">
        <f t="shared" ref="D3280:D3343" ca="1" si="192">S0*EXP((μ-0.5*σ*σ)*T+σ*SQRT(T)*$C3280)</f>
        <v>0.72703191632353914</v>
      </c>
      <c r="E3280" s="101">
        <f t="shared" ref="E3280:E3343" ca="1" si="193">MAX(0,CP*(D3280-K))</f>
        <v>0</v>
      </c>
      <c r="F3280" s="21">
        <f t="shared" ref="F3280:F3343" ca="1" si="194">(CP*(D3280-K)&gt;0)*1</f>
        <v>0</v>
      </c>
      <c r="H3280" s="21">
        <v>3265</v>
      </c>
      <c r="I3280" s="102">
        <v>0.66775084110277227</v>
      </c>
      <c r="J3280" s="103">
        <v>1.2851353895067645E-3</v>
      </c>
      <c r="K3280" s="103"/>
      <c r="L3280" s="103">
        <v>4.1799999999999997E-2</v>
      </c>
      <c r="O3280" s="100"/>
    </row>
    <row r="3281" spans="2:15" x14ac:dyDescent="0.2">
      <c r="B3281" s="1">
        <v>3266</v>
      </c>
      <c r="C3281" s="101">
        <f ca="1"/>
        <v>0.45073286006448615</v>
      </c>
      <c r="D3281" s="101">
        <f t="shared" ca="1" si="192"/>
        <v>0.69471314750591762</v>
      </c>
      <c r="E3281" s="101">
        <f t="shared" ca="1" si="193"/>
        <v>0</v>
      </c>
      <c r="F3281" s="21">
        <f t="shared" ca="1" si="194"/>
        <v>0</v>
      </c>
      <c r="H3281" s="21">
        <v>3266</v>
      </c>
      <c r="I3281" s="102">
        <v>0.6677602926684002</v>
      </c>
      <c r="J3281" s="103">
        <v>1.3807025550815674E-3</v>
      </c>
      <c r="K3281" s="103"/>
      <c r="L3281" s="103">
        <v>4.3999999999999997E-2</v>
      </c>
      <c r="O3281" s="100"/>
    </row>
    <row r="3282" spans="2:15" x14ac:dyDescent="0.2">
      <c r="B3282" s="1">
        <v>3267</v>
      </c>
      <c r="C3282" s="101">
        <f ca="1"/>
        <v>-0.61942824095224869</v>
      </c>
      <c r="D3282" s="101">
        <f t="shared" ca="1" si="192"/>
        <v>0.62511580037619319</v>
      </c>
      <c r="E3282" s="101">
        <f t="shared" ca="1" si="193"/>
        <v>0</v>
      </c>
      <c r="F3282" s="21">
        <f t="shared" ca="1" si="194"/>
        <v>0</v>
      </c>
      <c r="H3282" s="21">
        <v>3267</v>
      </c>
      <c r="I3282" s="102">
        <v>0.66782371943023022</v>
      </c>
      <c r="J3282" s="103">
        <v>1.4389394070996795E-3</v>
      </c>
      <c r="K3282" s="103"/>
      <c r="L3282" s="103">
        <v>4.4400000000000002E-2</v>
      </c>
      <c r="O3282" s="100"/>
    </row>
    <row r="3283" spans="2:15" x14ac:dyDescent="0.2">
      <c r="B3283" s="1">
        <v>3268</v>
      </c>
      <c r="C3283" s="101">
        <f ca="1"/>
        <v>0.52240085442889561</v>
      </c>
      <c r="D3283" s="101">
        <f t="shared" ca="1" si="192"/>
        <v>0.69964177142352801</v>
      </c>
      <c r="E3283" s="101">
        <f t="shared" ca="1" si="193"/>
        <v>0</v>
      </c>
      <c r="F3283" s="21">
        <f t="shared" ca="1" si="194"/>
        <v>0</v>
      </c>
      <c r="H3283" s="21">
        <v>3268</v>
      </c>
      <c r="I3283" s="102">
        <v>0.66782898621468223</v>
      </c>
      <c r="J3283" s="103">
        <v>1.4682441087076187E-3</v>
      </c>
      <c r="K3283" s="103"/>
      <c r="L3283" s="103">
        <v>4.1599999999999998E-2</v>
      </c>
      <c r="O3283" s="100"/>
    </row>
    <row r="3284" spans="2:15" x14ac:dyDescent="0.2">
      <c r="B3284" s="1">
        <v>3269</v>
      </c>
      <c r="C3284" s="101">
        <f ca="1"/>
        <v>-0.20346529944988589</v>
      </c>
      <c r="D3284" s="101">
        <f t="shared" ca="1" si="192"/>
        <v>0.6512984913584553</v>
      </c>
      <c r="E3284" s="101">
        <f t="shared" ca="1" si="193"/>
        <v>0</v>
      </c>
      <c r="F3284" s="21">
        <f t="shared" ca="1" si="194"/>
        <v>0</v>
      </c>
      <c r="H3284" s="21">
        <v>3269</v>
      </c>
      <c r="I3284" s="102">
        <v>0.66773015276670666</v>
      </c>
      <c r="J3284" s="103">
        <v>1.3527169551876576E-3</v>
      </c>
      <c r="K3284" s="103"/>
      <c r="L3284" s="103">
        <v>4.24E-2</v>
      </c>
      <c r="O3284" s="100"/>
    </row>
    <row r="3285" spans="2:15" x14ac:dyDescent="0.2">
      <c r="B3285" s="1">
        <v>3270</v>
      </c>
      <c r="C3285" s="101">
        <f ca="1"/>
        <v>0.38937154182979938</v>
      </c>
      <c r="D3285" s="101">
        <f t="shared" ca="1" si="192"/>
        <v>0.69052091441061791</v>
      </c>
      <c r="E3285" s="101">
        <f t="shared" ca="1" si="193"/>
        <v>0</v>
      </c>
      <c r="F3285" s="21">
        <f t="shared" ca="1" si="194"/>
        <v>0</v>
      </c>
      <c r="H3285" s="21">
        <v>3270</v>
      </c>
      <c r="I3285" s="102">
        <v>0.66769919141756262</v>
      </c>
      <c r="J3285" s="103">
        <v>1.3443791487502813E-3</v>
      </c>
      <c r="K3285" s="103"/>
      <c r="L3285" s="103">
        <v>4.1399999999999999E-2</v>
      </c>
      <c r="O3285" s="100"/>
    </row>
    <row r="3286" spans="2:15" x14ac:dyDescent="0.2">
      <c r="B3286" s="1">
        <v>3271</v>
      </c>
      <c r="C3286" s="101">
        <f ca="1"/>
        <v>0.7914963815834769</v>
      </c>
      <c r="D3286" s="101">
        <f t="shared" ca="1" si="192"/>
        <v>0.71846169274237448</v>
      </c>
      <c r="E3286" s="101">
        <f t="shared" ca="1" si="193"/>
        <v>0</v>
      </c>
      <c r="F3286" s="21">
        <f t="shared" ca="1" si="194"/>
        <v>0</v>
      </c>
      <c r="H3286" s="21">
        <v>3271</v>
      </c>
      <c r="I3286" s="102">
        <v>0.66786387798733138</v>
      </c>
      <c r="J3286" s="103">
        <v>1.5868876325636702E-3</v>
      </c>
      <c r="K3286" s="103"/>
      <c r="L3286" s="103">
        <v>4.1399999999999999E-2</v>
      </c>
      <c r="O3286" s="100"/>
    </row>
    <row r="3287" spans="2:15" x14ac:dyDescent="0.2">
      <c r="B3287" s="1">
        <v>3272</v>
      </c>
      <c r="C3287" s="101">
        <f ca="1"/>
        <v>0.12037385890076407</v>
      </c>
      <c r="D3287" s="101">
        <f t="shared" ca="1" si="192"/>
        <v>0.67243938468087039</v>
      </c>
      <c r="E3287" s="101">
        <f t="shared" ca="1" si="193"/>
        <v>0</v>
      </c>
      <c r="F3287" s="21">
        <f t="shared" ca="1" si="194"/>
        <v>0</v>
      </c>
      <c r="H3287" s="21">
        <v>3272</v>
      </c>
      <c r="I3287" s="102">
        <v>0.66782027507776109</v>
      </c>
      <c r="J3287" s="103">
        <v>1.4424993087882175E-3</v>
      </c>
      <c r="K3287" s="103"/>
      <c r="L3287" s="103">
        <v>4.1399999999999999E-2</v>
      </c>
      <c r="O3287" s="100"/>
    </row>
    <row r="3288" spans="2:15" x14ac:dyDescent="0.2">
      <c r="B3288" s="1">
        <v>3273</v>
      </c>
      <c r="C3288" s="101">
        <f ca="1"/>
        <v>-0.92294356161809299</v>
      </c>
      <c r="D3288" s="101">
        <f t="shared" ca="1" si="192"/>
        <v>0.6066777494470259</v>
      </c>
      <c r="E3288" s="101">
        <f t="shared" ca="1" si="193"/>
        <v>0</v>
      </c>
      <c r="F3288" s="21">
        <f t="shared" ca="1" si="194"/>
        <v>0</v>
      </c>
      <c r="H3288" s="21">
        <v>3273</v>
      </c>
      <c r="I3288" s="102">
        <v>0.66777458707558457</v>
      </c>
      <c r="J3288" s="103">
        <v>1.4013481602225962E-3</v>
      </c>
      <c r="K3288" s="103"/>
      <c r="L3288" s="103">
        <v>4.2999999999999997E-2</v>
      </c>
      <c r="O3288" s="100"/>
    </row>
    <row r="3289" spans="2:15" x14ac:dyDescent="0.2">
      <c r="B3289" s="1">
        <v>3274</v>
      </c>
      <c r="C3289" s="101">
        <f ca="1"/>
        <v>-1.8216975278909175</v>
      </c>
      <c r="D3289" s="101">
        <f t="shared" ca="1" si="192"/>
        <v>0.55520836558996156</v>
      </c>
      <c r="E3289" s="101">
        <f t="shared" ca="1" si="193"/>
        <v>0</v>
      </c>
      <c r="F3289" s="21">
        <f t="shared" ca="1" si="194"/>
        <v>0</v>
      </c>
      <c r="H3289" s="21">
        <v>3274</v>
      </c>
      <c r="I3289" s="102">
        <v>0.66782478256779843</v>
      </c>
      <c r="J3289" s="103">
        <v>1.6277322340450284E-3</v>
      </c>
      <c r="K3289" s="103"/>
      <c r="L3289" s="103">
        <v>4.1799999999999997E-2</v>
      </c>
      <c r="O3289" s="100"/>
    </row>
    <row r="3290" spans="2:15" x14ac:dyDescent="0.2">
      <c r="B3290" s="1">
        <v>3275</v>
      </c>
      <c r="C3290" s="101">
        <f ca="1"/>
        <v>-0.40899844485327047</v>
      </c>
      <c r="D3290" s="101">
        <f t="shared" ca="1" si="192"/>
        <v>0.63822697945397655</v>
      </c>
      <c r="E3290" s="101">
        <f t="shared" ca="1" si="193"/>
        <v>0</v>
      </c>
      <c r="F3290" s="21">
        <f t="shared" ca="1" si="194"/>
        <v>0</v>
      </c>
      <c r="H3290" s="21">
        <v>3275</v>
      </c>
      <c r="I3290" s="102">
        <v>0.66773174247509304</v>
      </c>
      <c r="J3290" s="103">
        <v>1.4003559483752677E-3</v>
      </c>
      <c r="K3290" s="103"/>
      <c r="L3290" s="103">
        <v>4.2200000000000001E-2</v>
      </c>
      <c r="O3290" s="100"/>
    </row>
    <row r="3291" spans="2:15" x14ac:dyDescent="0.2">
      <c r="B3291" s="1">
        <v>3276</v>
      </c>
      <c r="C3291" s="101">
        <f ca="1"/>
        <v>0.3514947524693236</v>
      </c>
      <c r="D3291" s="101">
        <f t="shared" ca="1" si="192"/>
        <v>0.68794579222872299</v>
      </c>
      <c r="E3291" s="101">
        <f t="shared" ca="1" si="193"/>
        <v>0</v>
      </c>
      <c r="F3291" s="21">
        <f t="shared" ca="1" si="194"/>
        <v>0</v>
      </c>
      <c r="H3291" s="21">
        <v>3276</v>
      </c>
      <c r="I3291" s="102">
        <v>0.66782936060358844</v>
      </c>
      <c r="J3291" s="103">
        <v>1.4796112759218538E-3</v>
      </c>
      <c r="K3291" s="103"/>
      <c r="L3291" s="103">
        <v>4.3999999999999997E-2</v>
      </c>
      <c r="O3291" s="100"/>
    </row>
    <row r="3292" spans="2:15" x14ac:dyDescent="0.2">
      <c r="B3292" s="1">
        <v>3277</v>
      </c>
      <c r="C3292" s="101">
        <f ca="1"/>
        <v>-0.63201254209678648</v>
      </c>
      <c r="D3292" s="101">
        <f t="shared" ca="1" si="192"/>
        <v>0.62434030545946784</v>
      </c>
      <c r="E3292" s="101">
        <f t="shared" ca="1" si="193"/>
        <v>0</v>
      </c>
      <c r="F3292" s="21">
        <f t="shared" ca="1" si="194"/>
        <v>0</v>
      </c>
      <c r="H3292" s="21">
        <v>3277</v>
      </c>
      <c r="I3292" s="102">
        <v>0.66789684829348217</v>
      </c>
      <c r="J3292" s="103">
        <v>1.4663363061983043E-3</v>
      </c>
      <c r="K3292" s="103"/>
      <c r="L3292" s="103">
        <v>4.24E-2</v>
      </c>
      <c r="O3292" s="100"/>
    </row>
    <row r="3293" spans="2:15" x14ac:dyDescent="0.2">
      <c r="B3293" s="1">
        <v>3278</v>
      </c>
      <c r="C3293" s="101">
        <f ca="1"/>
        <v>-0.45077726895272408</v>
      </c>
      <c r="D3293" s="101">
        <f t="shared" ca="1" si="192"/>
        <v>0.63560218264347823</v>
      </c>
      <c r="E3293" s="101">
        <f t="shared" ca="1" si="193"/>
        <v>0</v>
      </c>
      <c r="F3293" s="21">
        <f t="shared" ca="1" si="194"/>
        <v>0</v>
      </c>
      <c r="H3293" s="21">
        <v>3278</v>
      </c>
      <c r="I3293" s="102">
        <v>0.66785474622027108</v>
      </c>
      <c r="J3293" s="103">
        <v>1.4361961996907343E-3</v>
      </c>
      <c r="K3293" s="103"/>
      <c r="L3293" s="103">
        <v>4.2999999999999997E-2</v>
      </c>
      <c r="O3293" s="100"/>
    </row>
    <row r="3294" spans="2:15" x14ac:dyDescent="0.2">
      <c r="B3294" s="1">
        <v>3279</v>
      </c>
      <c r="C3294" s="101">
        <f ca="1"/>
        <v>1.0249744826840459</v>
      </c>
      <c r="D3294" s="101">
        <f t="shared" ca="1" si="192"/>
        <v>0.73520029914380336</v>
      </c>
      <c r="E3294" s="101">
        <f t="shared" ca="1" si="193"/>
        <v>0</v>
      </c>
      <c r="F3294" s="21">
        <f t="shared" ca="1" si="194"/>
        <v>0</v>
      </c>
      <c r="H3294" s="21">
        <v>3279</v>
      </c>
      <c r="I3294" s="102">
        <v>0.66757503552701947</v>
      </c>
      <c r="J3294" s="103">
        <v>1.2027325280690637E-3</v>
      </c>
      <c r="K3294" s="103"/>
      <c r="L3294" s="103">
        <v>3.7600000000000001E-2</v>
      </c>
      <c r="O3294" s="100"/>
    </row>
    <row r="3295" spans="2:15" x14ac:dyDescent="0.2">
      <c r="B3295" s="1">
        <v>3280</v>
      </c>
      <c r="C3295" s="101">
        <f ca="1"/>
        <v>-0.20149770099494604</v>
      </c>
      <c r="D3295" s="101">
        <f t="shared" ca="1" si="192"/>
        <v>0.65142491188409868</v>
      </c>
      <c r="E3295" s="101">
        <f t="shared" ca="1" si="193"/>
        <v>0</v>
      </c>
      <c r="F3295" s="21">
        <f t="shared" ca="1" si="194"/>
        <v>0</v>
      </c>
      <c r="H3295" s="21">
        <v>3280</v>
      </c>
      <c r="I3295" s="102">
        <v>0.66767677222685073</v>
      </c>
      <c r="J3295" s="103">
        <v>1.2268639611743666E-3</v>
      </c>
      <c r="K3295" s="103"/>
      <c r="L3295" s="103">
        <v>3.9E-2</v>
      </c>
      <c r="O3295" s="100"/>
    </row>
    <row r="3296" spans="2:15" x14ac:dyDescent="0.2">
      <c r="B3296" s="1">
        <v>3281</v>
      </c>
      <c r="C3296" s="101">
        <f ca="1"/>
        <v>-0.72546185299093791</v>
      </c>
      <c r="D3296" s="101">
        <f t="shared" ca="1" si="192"/>
        <v>0.61861160310101215</v>
      </c>
      <c r="E3296" s="101">
        <f t="shared" ca="1" si="193"/>
        <v>0</v>
      </c>
      <c r="F3296" s="21">
        <f t="shared" ca="1" si="194"/>
        <v>0</v>
      </c>
      <c r="H3296" s="21">
        <v>3281</v>
      </c>
      <c r="I3296" s="102">
        <v>0.6677066823723905</v>
      </c>
      <c r="J3296" s="103">
        <v>1.2999469977383199E-3</v>
      </c>
      <c r="K3296" s="103"/>
      <c r="L3296" s="103">
        <v>3.9800000000000002E-2</v>
      </c>
      <c r="O3296" s="100"/>
    </row>
    <row r="3297" spans="2:15" x14ac:dyDescent="0.2">
      <c r="B3297" s="1">
        <v>3282</v>
      </c>
      <c r="C3297" s="101">
        <f ca="1"/>
        <v>-0.68801006921330998</v>
      </c>
      <c r="D3297" s="101">
        <f t="shared" ca="1" si="192"/>
        <v>0.62090116253823013</v>
      </c>
      <c r="E3297" s="101">
        <f t="shared" ca="1" si="193"/>
        <v>0</v>
      </c>
      <c r="F3297" s="21">
        <f t="shared" ca="1" si="194"/>
        <v>0</v>
      </c>
      <c r="H3297" s="21">
        <v>3282</v>
      </c>
      <c r="I3297" s="102">
        <v>0.66770291013860983</v>
      </c>
      <c r="J3297" s="103">
        <v>1.3014162973166111E-3</v>
      </c>
      <c r="K3297" s="103"/>
      <c r="L3297" s="103">
        <v>3.9800000000000002E-2</v>
      </c>
      <c r="O3297" s="100"/>
    </row>
    <row r="3298" spans="2:15" x14ac:dyDescent="0.2">
      <c r="B3298" s="1">
        <v>3283</v>
      </c>
      <c r="C3298" s="101">
        <f ca="1"/>
        <v>6.1718393277922827E-2</v>
      </c>
      <c r="D3298" s="101">
        <f t="shared" ca="1" si="192"/>
        <v>0.66855998296807473</v>
      </c>
      <c r="E3298" s="101">
        <f t="shared" ca="1" si="193"/>
        <v>0</v>
      </c>
      <c r="F3298" s="21">
        <f t="shared" ca="1" si="194"/>
        <v>0</v>
      </c>
      <c r="H3298" s="21">
        <v>3283</v>
      </c>
      <c r="I3298" s="102">
        <v>0.66764742392342424</v>
      </c>
      <c r="J3298" s="103">
        <v>1.164732338037276E-3</v>
      </c>
      <c r="K3298" s="103"/>
      <c r="L3298" s="103">
        <v>3.5400000000000001E-2</v>
      </c>
      <c r="O3298" s="100"/>
    </row>
    <row r="3299" spans="2:15" x14ac:dyDescent="0.2">
      <c r="B3299" s="1">
        <v>3284</v>
      </c>
      <c r="C3299" s="101">
        <f ca="1"/>
        <v>-0.90873111059026368</v>
      </c>
      <c r="D3299" s="101">
        <f t="shared" ca="1" si="192"/>
        <v>0.60752886869237299</v>
      </c>
      <c r="E3299" s="101">
        <f t="shared" ca="1" si="193"/>
        <v>0</v>
      </c>
      <c r="F3299" s="21">
        <f t="shared" ca="1" si="194"/>
        <v>0</v>
      </c>
      <c r="H3299" s="21">
        <v>3284</v>
      </c>
      <c r="I3299" s="102">
        <v>0.6676595035112789</v>
      </c>
      <c r="J3299" s="103">
        <v>1.3494365948990142E-3</v>
      </c>
      <c r="K3299" s="103"/>
      <c r="L3299" s="103">
        <v>3.9800000000000002E-2</v>
      </c>
      <c r="O3299" s="100"/>
    </row>
    <row r="3300" spans="2:15" x14ac:dyDescent="0.2">
      <c r="B3300" s="1">
        <v>3285</v>
      </c>
      <c r="C3300" s="101">
        <f ca="1"/>
        <v>-1.2191215549732224</v>
      </c>
      <c r="D3300" s="101">
        <f t="shared" ca="1" si="192"/>
        <v>0.5892098309071917</v>
      </c>
      <c r="E3300" s="101">
        <f t="shared" ca="1" si="193"/>
        <v>0</v>
      </c>
      <c r="F3300" s="21">
        <f t="shared" ca="1" si="194"/>
        <v>0</v>
      </c>
      <c r="H3300" s="21">
        <v>3285</v>
      </c>
      <c r="I3300" s="102">
        <v>0.66765943382887061</v>
      </c>
      <c r="J3300" s="103">
        <v>1.3370695075026436E-3</v>
      </c>
      <c r="K3300" s="103"/>
      <c r="L3300" s="103">
        <v>4.0599999999999997E-2</v>
      </c>
      <c r="O3300" s="100"/>
    </row>
    <row r="3301" spans="2:15" x14ac:dyDescent="0.2">
      <c r="B3301" s="1">
        <v>3286</v>
      </c>
      <c r="C3301" s="101">
        <f ca="1"/>
        <v>0.51518718624742854</v>
      </c>
      <c r="D3301" s="101">
        <f t="shared" ca="1" si="192"/>
        <v>0.69914410735295163</v>
      </c>
      <c r="E3301" s="101">
        <f t="shared" ca="1" si="193"/>
        <v>0</v>
      </c>
      <c r="F3301" s="21">
        <f t="shared" ca="1" si="194"/>
        <v>0</v>
      </c>
      <c r="H3301" s="21">
        <v>3286</v>
      </c>
      <c r="I3301" s="102">
        <v>0.66771162431196651</v>
      </c>
      <c r="J3301" s="103">
        <v>1.3300597639603309E-3</v>
      </c>
      <c r="K3301" s="103"/>
      <c r="L3301" s="103">
        <v>4.0399999999999998E-2</v>
      </c>
      <c r="O3301" s="100"/>
    </row>
    <row r="3302" spans="2:15" x14ac:dyDescent="0.2">
      <c r="B3302" s="1">
        <v>3287</v>
      </c>
      <c r="C3302" s="101">
        <f ca="1"/>
        <v>-1.6339117258582549</v>
      </c>
      <c r="D3302" s="101">
        <f t="shared" ca="1" si="192"/>
        <v>0.56558857650808914</v>
      </c>
      <c r="E3302" s="101">
        <f t="shared" ca="1" si="193"/>
        <v>0</v>
      </c>
      <c r="F3302" s="21">
        <f t="shared" ca="1" si="194"/>
        <v>0</v>
      </c>
      <c r="H3302" s="21">
        <v>3287</v>
      </c>
      <c r="I3302" s="102">
        <v>0.66776437723357862</v>
      </c>
      <c r="J3302" s="103">
        <v>1.4189602309801614E-3</v>
      </c>
      <c r="K3302" s="103"/>
      <c r="L3302" s="103">
        <v>4.0399999999999998E-2</v>
      </c>
      <c r="O3302" s="100"/>
    </row>
    <row r="3303" spans="2:15" x14ac:dyDescent="0.2">
      <c r="B3303" s="1">
        <v>3288</v>
      </c>
      <c r="C3303" s="101">
        <f ca="1"/>
        <v>0.437865274458692</v>
      </c>
      <c r="D3303" s="101">
        <f t="shared" ca="1" si="192"/>
        <v>0.6938319243627119</v>
      </c>
      <c r="E3303" s="101">
        <f t="shared" ca="1" si="193"/>
        <v>0</v>
      </c>
      <c r="F3303" s="21">
        <f t="shared" ca="1" si="194"/>
        <v>0</v>
      </c>
      <c r="H3303" s="21">
        <v>3288</v>
      </c>
      <c r="I3303" s="102">
        <v>0.66757257761303468</v>
      </c>
      <c r="J3303" s="103">
        <v>1.2502157470071129E-3</v>
      </c>
      <c r="K3303" s="103"/>
      <c r="L3303" s="103">
        <v>3.9600000000000003E-2</v>
      </c>
      <c r="O3303" s="100"/>
    </row>
    <row r="3304" spans="2:15" x14ac:dyDescent="0.2">
      <c r="B3304" s="1">
        <v>3289</v>
      </c>
      <c r="C3304" s="101">
        <f ca="1"/>
        <v>1.6007198410947572</v>
      </c>
      <c r="D3304" s="101">
        <f t="shared" ca="1" si="192"/>
        <v>0.77816241605456304</v>
      </c>
      <c r="E3304" s="101">
        <f t="shared" ca="1" si="193"/>
        <v>0</v>
      </c>
      <c r="F3304" s="21">
        <f t="shared" ca="1" si="194"/>
        <v>0</v>
      </c>
      <c r="H3304" s="21">
        <v>3289</v>
      </c>
      <c r="I3304" s="102">
        <v>0.66771027278121275</v>
      </c>
      <c r="J3304" s="103">
        <v>1.2388376292502502E-3</v>
      </c>
      <c r="K3304" s="103"/>
      <c r="L3304" s="103">
        <v>3.9199999999999999E-2</v>
      </c>
      <c r="O3304" s="100"/>
    </row>
    <row r="3305" spans="2:15" x14ac:dyDescent="0.2">
      <c r="B3305" s="1">
        <v>3290</v>
      </c>
      <c r="C3305" s="101">
        <f ca="1"/>
        <v>-0.12534317497561198</v>
      </c>
      <c r="D3305" s="101">
        <f t="shared" ca="1" si="192"/>
        <v>0.65633683104418672</v>
      </c>
      <c r="E3305" s="101">
        <f t="shared" ca="1" si="193"/>
        <v>0</v>
      </c>
      <c r="F3305" s="21">
        <f t="shared" ca="1" si="194"/>
        <v>0</v>
      </c>
      <c r="H3305" s="21">
        <v>3290</v>
      </c>
      <c r="I3305" s="102">
        <v>0.66772494161109031</v>
      </c>
      <c r="J3305" s="103">
        <v>1.3925641644211546E-3</v>
      </c>
      <c r="K3305" s="103"/>
      <c r="L3305" s="103">
        <v>3.9399999999999998E-2</v>
      </c>
      <c r="O3305" s="100"/>
    </row>
    <row r="3306" spans="2:15" x14ac:dyDescent="0.2">
      <c r="B3306" s="1">
        <v>3291</v>
      </c>
      <c r="C3306" s="101">
        <f ca="1"/>
        <v>-1.8777938884802854</v>
      </c>
      <c r="D3306" s="101">
        <f t="shared" ca="1" si="192"/>
        <v>0.5521446490916917</v>
      </c>
      <c r="E3306" s="101">
        <f t="shared" ca="1" si="193"/>
        <v>0</v>
      </c>
      <c r="F3306" s="21">
        <f t="shared" ca="1" si="194"/>
        <v>0</v>
      </c>
      <c r="H3306" s="21">
        <v>3291</v>
      </c>
      <c r="I3306" s="102">
        <v>0.66766159897655275</v>
      </c>
      <c r="J3306" s="103">
        <v>1.3230840077169729E-3</v>
      </c>
      <c r="K3306" s="103"/>
      <c r="L3306" s="103">
        <v>3.9800000000000002E-2</v>
      </c>
      <c r="O3306" s="100"/>
    </row>
    <row r="3307" spans="2:15" x14ac:dyDescent="0.2">
      <c r="B3307" s="1">
        <v>3292</v>
      </c>
      <c r="C3307" s="101">
        <f ca="1"/>
        <v>0.2194415767004414</v>
      </c>
      <c r="D3307" s="101">
        <f t="shared" ca="1" si="192"/>
        <v>0.67904278960319009</v>
      </c>
      <c r="E3307" s="101">
        <f t="shared" ca="1" si="193"/>
        <v>0</v>
      </c>
      <c r="F3307" s="21">
        <f t="shared" ca="1" si="194"/>
        <v>0</v>
      </c>
      <c r="H3307" s="21">
        <v>3292</v>
      </c>
      <c r="I3307" s="102">
        <v>0.66769943673178189</v>
      </c>
      <c r="J3307" s="103">
        <v>1.3598615044352587E-3</v>
      </c>
      <c r="K3307" s="103"/>
      <c r="L3307" s="103">
        <v>3.9199999999999999E-2</v>
      </c>
      <c r="O3307" s="100"/>
    </row>
    <row r="3308" spans="2:15" x14ac:dyDescent="0.2">
      <c r="B3308" s="1">
        <v>3293</v>
      </c>
      <c r="C3308" s="101">
        <f ca="1"/>
        <v>0.1164644849655523</v>
      </c>
      <c r="D3308" s="101">
        <f t="shared" ca="1" si="192"/>
        <v>0.67218012467833954</v>
      </c>
      <c r="E3308" s="101">
        <f t="shared" ca="1" si="193"/>
        <v>0</v>
      </c>
      <c r="F3308" s="21">
        <f t="shared" ca="1" si="194"/>
        <v>0</v>
      </c>
      <c r="H3308" s="21">
        <v>3293</v>
      </c>
      <c r="I3308" s="102">
        <v>0.66767457514642814</v>
      </c>
      <c r="J3308" s="103">
        <v>1.2332387159028448E-3</v>
      </c>
      <c r="K3308" s="103"/>
      <c r="L3308" s="103">
        <v>4.1799999999999997E-2</v>
      </c>
      <c r="O3308" s="100"/>
    </row>
    <row r="3309" spans="2:15" x14ac:dyDescent="0.2">
      <c r="B3309" s="1">
        <v>3294</v>
      </c>
      <c r="C3309" s="101">
        <f ca="1"/>
        <v>-0.15122177280925986</v>
      </c>
      <c r="D3309" s="101">
        <f t="shared" ca="1" si="192"/>
        <v>0.65466353715773962</v>
      </c>
      <c r="E3309" s="101">
        <f t="shared" ca="1" si="193"/>
        <v>0</v>
      </c>
      <c r="F3309" s="21">
        <f t="shared" ca="1" si="194"/>
        <v>0</v>
      </c>
      <c r="H3309" s="21">
        <v>3294</v>
      </c>
      <c r="I3309" s="102">
        <v>0.66782678987085009</v>
      </c>
      <c r="J3309" s="103">
        <v>1.4547612255701372E-3</v>
      </c>
      <c r="K3309" s="103"/>
      <c r="L3309" s="103">
        <v>4.6600000000000003E-2</v>
      </c>
      <c r="O3309" s="100"/>
    </row>
    <row r="3310" spans="2:15" x14ac:dyDescent="0.2">
      <c r="B3310" s="1">
        <v>3295</v>
      </c>
      <c r="C3310" s="101">
        <f ca="1"/>
        <v>4.0481993478001542E-2</v>
      </c>
      <c r="D3310" s="101">
        <f t="shared" ca="1" si="192"/>
        <v>0.66716095829457134</v>
      </c>
      <c r="E3310" s="101">
        <f t="shared" ca="1" si="193"/>
        <v>0</v>
      </c>
      <c r="F3310" s="21">
        <f t="shared" ca="1" si="194"/>
        <v>0</v>
      </c>
      <c r="H3310" s="21">
        <v>3295</v>
      </c>
      <c r="I3310" s="102">
        <v>0.66776565352730999</v>
      </c>
      <c r="J3310" s="103">
        <v>1.3963441741672454E-3</v>
      </c>
      <c r="K3310" s="103"/>
      <c r="L3310" s="103">
        <v>4.1799999999999997E-2</v>
      </c>
      <c r="O3310" s="100"/>
    </row>
    <row r="3311" spans="2:15" x14ac:dyDescent="0.2">
      <c r="B3311" s="1">
        <v>3296</v>
      </c>
      <c r="C3311" s="101">
        <f ca="1"/>
        <v>-1.59331050469448</v>
      </c>
      <c r="D3311" s="101">
        <f t="shared" ca="1" si="192"/>
        <v>0.56785827715696091</v>
      </c>
      <c r="E3311" s="101">
        <f t="shared" ca="1" si="193"/>
        <v>0</v>
      </c>
      <c r="F3311" s="21">
        <f t="shared" ca="1" si="194"/>
        <v>0</v>
      </c>
      <c r="H3311" s="21">
        <v>3296</v>
      </c>
      <c r="I3311" s="102">
        <v>0.6677047177784472</v>
      </c>
      <c r="J3311" s="103">
        <v>1.2987122672842907E-3</v>
      </c>
      <c r="K3311" s="103"/>
      <c r="L3311" s="103">
        <v>3.8199999999999998E-2</v>
      </c>
      <c r="O3311" s="100"/>
    </row>
    <row r="3312" spans="2:15" x14ac:dyDescent="0.2">
      <c r="B3312" s="1">
        <v>3297</v>
      </c>
      <c r="C3312" s="101">
        <f ca="1"/>
        <v>1.7091967596130788</v>
      </c>
      <c r="D3312" s="101">
        <f t="shared" ca="1" si="192"/>
        <v>0.78653370063135108</v>
      </c>
      <c r="E3312" s="101">
        <f t="shared" ca="1" si="193"/>
        <v>0</v>
      </c>
      <c r="F3312" s="21">
        <f t="shared" ca="1" si="194"/>
        <v>0</v>
      </c>
      <c r="H3312" s="21">
        <v>3297</v>
      </c>
      <c r="I3312" s="102">
        <v>0.66779215290961635</v>
      </c>
      <c r="J3312" s="103">
        <v>1.4179457493084307E-3</v>
      </c>
      <c r="K3312" s="103"/>
      <c r="L3312" s="103">
        <v>4.2999999999999997E-2</v>
      </c>
      <c r="O3312" s="100"/>
    </row>
    <row r="3313" spans="2:15" x14ac:dyDescent="0.2">
      <c r="B3313" s="1">
        <v>3298</v>
      </c>
      <c r="C3313" s="101">
        <f ca="1"/>
        <v>-0.75043807495454784</v>
      </c>
      <c r="D3313" s="101">
        <f t="shared" ca="1" si="192"/>
        <v>0.61708941320624955</v>
      </c>
      <c r="E3313" s="101">
        <f t="shared" ca="1" si="193"/>
        <v>0</v>
      </c>
      <c r="F3313" s="21">
        <f t="shared" ca="1" si="194"/>
        <v>0</v>
      </c>
      <c r="H3313" s="21">
        <v>3298</v>
      </c>
      <c r="I3313" s="102">
        <v>0.66790185152801318</v>
      </c>
      <c r="J3313" s="103">
        <v>1.513338805251992E-3</v>
      </c>
      <c r="K3313" s="103"/>
      <c r="L3313" s="103">
        <v>4.6199999999999998E-2</v>
      </c>
      <c r="O3313" s="100"/>
    </row>
    <row r="3314" spans="2:15" x14ac:dyDescent="0.2">
      <c r="B3314" s="1">
        <v>3299</v>
      </c>
      <c r="C3314" s="101">
        <f ca="1"/>
        <v>1.994389210936228</v>
      </c>
      <c r="D3314" s="101">
        <f t="shared" ca="1" si="192"/>
        <v>0.80897444804359941</v>
      </c>
      <c r="E3314" s="101">
        <f t="shared" ca="1" si="193"/>
        <v>2.0774448043599403E-2</v>
      </c>
      <c r="F3314" s="21">
        <f t="shared" ca="1" si="194"/>
        <v>1</v>
      </c>
      <c r="H3314" s="21">
        <v>3299</v>
      </c>
      <c r="I3314" s="102">
        <v>0.6678098554720141</v>
      </c>
      <c r="J3314" s="103">
        <v>1.5024224224210714E-3</v>
      </c>
      <c r="K3314" s="103"/>
      <c r="L3314" s="103">
        <v>4.1799999999999997E-2</v>
      </c>
      <c r="O3314" s="100"/>
    </row>
    <row r="3315" spans="2:15" x14ac:dyDescent="0.2">
      <c r="B3315" s="1">
        <v>3300</v>
      </c>
      <c r="C3315" s="101">
        <f ca="1"/>
        <v>0.56775511415845503</v>
      </c>
      <c r="D3315" s="101">
        <f t="shared" ca="1" si="192"/>
        <v>0.70277884388698553</v>
      </c>
      <c r="E3315" s="101">
        <f t="shared" ca="1" si="193"/>
        <v>0</v>
      </c>
      <c r="F3315" s="21">
        <f t="shared" ca="1" si="194"/>
        <v>0</v>
      </c>
      <c r="H3315" s="21">
        <v>3300</v>
      </c>
      <c r="I3315" s="102">
        <v>0.66775127410424628</v>
      </c>
      <c r="J3315" s="103">
        <v>1.2172556059643496E-3</v>
      </c>
      <c r="K3315" s="103"/>
      <c r="L3315" s="103">
        <v>3.9600000000000003E-2</v>
      </c>
      <c r="O3315" s="100"/>
    </row>
    <row r="3316" spans="2:15" x14ac:dyDescent="0.2">
      <c r="B3316" s="1">
        <v>3301</v>
      </c>
      <c r="C3316" s="101">
        <f ca="1"/>
        <v>0.26644460607333975</v>
      </c>
      <c r="D3316" s="101">
        <f t="shared" ca="1" si="192"/>
        <v>0.68219844136738961</v>
      </c>
      <c r="E3316" s="101">
        <f t="shared" ca="1" si="193"/>
        <v>0</v>
      </c>
      <c r="F3316" s="21">
        <f t="shared" ca="1" si="194"/>
        <v>0</v>
      </c>
      <c r="H3316" s="21">
        <v>3301</v>
      </c>
      <c r="I3316" s="102">
        <v>0.66773074904243934</v>
      </c>
      <c r="J3316" s="103">
        <v>1.422097360785616E-3</v>
      </c>
      <c r="K3316" s="103"/>
      <c r="L3316" s="103">
        <v>4.1599999999999998E-2</v>
      </c>
      <c r="O3316" s="100"/>
    </row>
    <row r="3317" spans="2:15" x14ac:dyDescent="0.2">
      <c r="B3317" s="1">
        <v>3302</v>
      </c>
      <c r="C3317" s="101">
        <f ca="1"/>
        <v>-0.71569224097440842</v>
      </c>
      <c r="D3317" s="101">
        <f t="shared" ca="1" si="192"/>
        <v>0.61920803870145313</v>
      </c>
      <c r="E3317" s="101">
        <f t="shared" ca="1" si="193"/>
        <v>0</v>
      </c>
      <c r="F3317" s="21">
        <f t="shared" ca="1" si="194"/>
        <v>0</v>
      </c>
      <c r="H3317" s="21">
        <v>3302</v>
      </c>
      <c r="I3317" s="102">
        <v>0.66765186914311414</v>
      </c>
      <c r="J3317" s="103">
        <v>1.2605166168438507E-3</v>
      </c>
      <c r="K3317" s="103"/>
      <c r="L3317" s="103">
        <v>4.2599999999999999E-2</v>
      </c>
      <c r="O3317" s="100"/>
    </row>
    <row r="3318" spans="2:15" x14ac:dyDescent="0.2">
      <c r="B3318" s="1">
        <v>3303</v>
      </c>
      <c r="C3318" s="101">
        <f ca="1"/>
        <v>-0.91753100046106328</v>
      </c>
      <c r="D3318" s="101">
        <f t="shared" ca="1" si="192"/>
        <v>0.60700174251980665</v>
      </c>
      <c r="E3318" s="101">
        <f t="shared" ca="1" si="193"/>
        <v>0</v>
      </c>
      <c r="F3318" s="21">
        <f t="shared" ca="1" si="194"/>
        <v>0</v>
      </c>
      <c r="H3318" s="21">
        <v>3303</v>
      </c>
      <c r="I3318" s="102">
        <v>0.66789787491145203</v>
      </c>
      <c r="J3318" s="103">
        <v>1.4646284825322652E-3</v>
      </c>
      <c r="K3318" s="103"/>
      <c r="L3318" s="103">
        <v>4.1599999999999998E-2</v>
      </c>
      <c r="O3318" s="100"/>
    </row>
    <row r="3319" spans="2:15" x14ac:dyDescent="0.2">
      <c r="B3319" s="1">
        <v>3304</v>
      </c>
      <c r="C3319" s="101">
        <f ca="1"/>
        <v>-1.0146480171835104</v>
      </c>
      <c r="D3319" s="101">
        <f t="shared" ca="1" si="192"/>
        <v>0.60121458084033941</v>
      </c>
      <c r="E3319" s="101">
        <f t="shared" ca="1" si="193"/>
        <v>0</v>
      </c>
      <c r="F3319" s="21">
        <f t="shared" ca="1" si="194"/>
        <v>0</v>
      </c>
      <c r="H3319" s="21">
        <v>3304</v>
      </c>
      <c r="I3319" s="102">
        <v>0.6677250044413322</v>
      </c>
      <c r="J3319" s="103">
        <v>1.3509685064543437E-3</v>
      </c>
      <c r="K3319" s="103"/>
      <c r="L3319" s="103">
        <v>3.8600000000000002E-2</v>
      </c>
      <c r="O3319" s="100"/>
    </row>
    <row r="3320" spans="2:15" x14ac:dyDescent="0.2">
      <c r="B3320" s="1">
        <v>3305</v>
      </c>
      <c r="C3320" s="101">
        <f ca="1"/>
        <v>0.49773318506354197</v>
      </c>
      <c r="D3320" s="101">
        <f t="shared" ca="1" si="192"/>
        <v>0.69794143646727302</v>
      </c>
      <c r="E3320" s="101">
        <f t="shared" ca="1" si="193"/>
        <v>0</v>
      </c>
      <c r="F3320" s="21">
        <f t="shared" ca="1" si="194"/>
        <v>0</v>
      </c>
      <c r="H3320" s="21">
        <v>3305</v>
      </c>
      <c r="I3320" s="102">
        <v>0.66765476566009152</v>
      </c>
      <c r="J3320" s="103">
        <v>1.188935160278714E-3</v>
      </c>
      <c r="K3320" s="103"/>
      <c r="L3320" s="103">
        <v>4.0800000000000003E-2</v>
      </c>
      <c r="O3320" s="100"/>
    </row>
    <row r="3321" spans="2:15" x14ac:dyDescent="0.2">
      <c r="B3321" s="1">
        <v>3306</v>
      </c>
      <c r="C3321" s="101">
        <f ca="1"/>
        <v>0.45082834286812229</v>
      </c>
      <c r="D3321" s="101">
        <f t="shared" ca="1" si="192"/>
        <v>0.69471969072748208</v>
      </c>
      <c r="E3321" s="101">
        <f t="shared" ca="1" si="193"/>
        <v>0</v>
      </c>
      <c r="F3321" s="21">
        <f t="shared" ca="1" si="194"/>
        <v>0</v>
      </c>
      <c r="H3321" s="21">
        <v>3306</v>
      </c>
      <c r="I3321" s="102">
        <v>0.66765579872020486</v>
      </c>
      <c r="J3321" s="103">
        <v>1.2074115246448905E-3</v>
      </c>
      <c r="K3321" s="103"/>
      <c r="L3321" s="103">
        <v>3.8600000000000002E-2</v>
      </c>
      <c r="O3321" s="100"/>
    </row>
    <row r="3322" spans="2:15" x14ac:dyDescent="0.2">
      <c r="B3322" s="1">
        <v>3307</v>
      </c>
      <c r="C3322" s="101">
        <f ca="1"/>
        <v>1.5321043633308389</v>
      </c>
      <c r="D3322" s="101">
        <f t="shared" ca="1" si="192"/>
        <v>0.77291334622695107</v>
      </c>
      <c r="E3322" s="101">
        <f t="shared" ca="1" si="193"/>
        <v>0</v>
      </c>
      <c r="F3322" s="21">
        <f t="shared" ca="1" si="194"/>
        <v>0</v>
      </c>
      <c r="H3322" s="21">
        <v>3307</v>
      </c>
      <c r="I3322" s="102">
        <v>0.66774760842532332</v>
      </c>
      <c r="J3322" s="103">
        <v>1.4806257636664913E-3</v>
      </c>
      <c r="K3322" s="103"/>
      <c r="L3322" s="103">
        <v>4.3999999999999997E-2</v>
      </c>
      <c r="O3322" s="100"/>
    </row>
    <row r="3323" spans="2:15" x14ac:dyDescent="0.2">
      <c r="B3323" s="1">
        <v>3308</v>
      </c>
      <c r="C3323" s="101">
        <f ca="1"/>
        <v>0.25656855011930108</v>
      </c>
      <c r="D3323" s="101">
        <f t="shared" ca="1" si="192"/>
        <v>0.681534175954017</v>
      </c>
      <c r="E3323" s="101">
        <f t="shared" ca="1" si="193"/>
        <v>0</v>
      </c>
      <c r="F3323" s="21">
        <f t="shared" ca="1" si="194"/>
        <v>0</v>
      </c>
      <c r="H3323" s="21">
        <v>3308</v>
      </c>
      <c r="I3323" s="102">
        <v>0.66769858316687491</v>
      </c>
      <c r="J3323" s="103">
        <v>1.3614968201998031E-3</v>
      </c>
      <c r="K3323" s="103"/>
      <c r="L3323" s="103">
        <v>4.2000000000000003E-2</v>
      </c>
      <c r="O3323" s="100"/>
    </row>
    <row r="3324" spans="2:15" x14ac:dyDescent="0.2">
      <c r="B3324" s="1">
        <v>3309</v>
      </c>
      <c r="C3324" s="101">
        <f ca="1"/>
        <v>1.1780337765444688</v>
      </c>
      <c r="D3324" s="101">
        <f t="shared" ca="1" si="192"/>
        <v>0.74638454972704438</v>
      </c>
      <c r="E3324" s="101">
        <f t="shared" ca="1" si="193"/>
        <v>0</v>
      </c>
      <c r="F3324" s="21">
        <f t="shared" ca="1" si="194"/>
        <v>0</v>
      </c>
      <c r="H3324" s="21">
        <v>3309</v>
      </c>
      <c r="I3324" s="102">
        <v>0.66785756144442776</v>
      </c>
      <c r="J3324" s="103">
        <v>1.6717733289043999E-3</v>
      </c>
      <c r="K3324" s="103"/>
      <c r="L3324" s="103">
        <v>4.36E-2</v>
      </c>
      <c r="O3324" s="100"/>
    </row>
    <row r="3325" spans="2:15" x14ac:dyDescent="0.2">
      <c r="B3325" s="1">
        <v>3310</v>
      </c>
      <c r="C3325" s="101">
        <f ca="1"/>
        <v>-0.67793119233923338</v>
      </c>
      <c r="D3325" s="101">
        <f t="shared" ca="1" si="192"/>
        <v>0.6215187655678891</v>
      </c>
      <c r="E3325" s="101">
        <f t="shared" ca="1" si="193"/>
        <v>0</v>
      </c>
      <c r="F3325" s="21">
        <f t="shared" ca="1" si="194"/>
        <v>0</v>
      </c>
      <c r="H3325" s="21">
        <v>3310</v>
      </c>
      <c r="I3325" s="102">
        <v>0.66784227469339008</v>
      </c>
      <c r="J3325" s="103">
        <v>1.359355304374374E-3</v>
      </c>
      <c r="K3325" s="103"/>
      <c r="L3325" s="103">
        <v>4.4600000000000001E-2</v>
      </c>
      <c r="O3325" s="100"/>
    </row>
    <row r="3326" spans="2:15" x14ac:dyDescent="0.2">
      <c r="B3326" s="1">
        <v>3311</v>
      </c>
      <c r="C3326" s="101">
        <f ca="1"/>
        <v>-0.46641344742733365</v>
      </c>
      <c r="D3326" s="101">
        <f t="shared" ca="1" si="192"/>
        <v>0.63462260239354062</v>
      </c>
      <c r="E3326" s="101">
        <f t="shared" ca="1" si="193"/>
        <v>0</v>
      </c>
      <c r="F3326" s="21">
        <f t="shared" ca="1" si="194"/>
        <v>0</v>
      </c>
      <c r="H3326" s="21">
        <v>3311</v>
      </c>
      <c r="I3326" s="102">
        <v>0.66770621782546735</v>
      </c>
      <c r="J3326" s="103">
        <v>1.3007535622907638E-3</v>
      </c>
      <c r="K3326" s="103"/>
      <c r="L3326" s="103">
        <v>3.9199999999999999E-2</v>
      </c>
      <c r="O3326" s="100"/>
    </row>
    <row r="3327" spans="2:15" x14ac:dyDescent="0.2">
      <c r="B3327" s="1">
        <v>3312</v>
      </c>
      <c r="C3327" s="101">
        <f ca="1"/>
        <v>-1.4207129799360765</v>
      </c>
      <c r="D3327" s="101">
        <f t="shared" ca="1" si="192"/>
        <v>0.57760897402590594</v>
      </c>
      <c r="E3327" s="101">
        <f t="shared" ca="1" si="193"/>
        <v>0</v>
      </c>
      <c r="F3327" s="21">
        <f t="shared" ca="1" si="194"/>
        <v>0</v>
      </c>
      <c r="H3327" s="21">
        <v>3312</v>
      </c>
      <c r="I3327" s="102">
        <v>0.66776417688034284</v>
      </c>
      <c r="J3327" s="103">
        <v>1.4502881760265346E-3</v>
      </c>
      <c r="K3327" s="103"/>
      <c r="L3327" s="103">
        <v>4.2599999999999999E-2</v>
      </c>
      <c r="O3327" s="100"/>
    </row>
    <row r="3328" spans="2:15" x14ac:dyDescent="0.2">
      <c r="B3328" s="1">
        <v>3313</v>
      </c>
      <c r="C3328" s="101">
        <f ca="1"/>
        <v>-0.71609072280123909</v>
      </c>
      <c r="D3328" s="101">
        <f t="shared" ca="1" si="192"/>
        <v>0.61918370010830803</v>
      </c>
      <c r="E3328" s="101">
        <f t="shared" ca="1" si="193"/>
        <v>0</v>
      </c>
      <c r="F3328" s="21">
        <f t="shared" ca="1" si="194"/>
        <v>0</v>
      </c>
      <c r="H3328" s="21">
        <v>3313</v>
      </c>
      <c r="I3328" s="102">
        <v>0.66775799661409185</v>
      </c>
      <c r="J3328" s="103">
        <v>1.3582863031501417E-3</v>
      </c>
      <c r="K3328" s="103"/>
      <c r="L3328" s="103">
        <v>4.1200000000000001E-2</v>
      </c>
      <c r="O3328" s="100"/>
    </row>
    <row r="3329" spans="2:15" x14ac:dyDescent="0.2">
      <c r="B3329" s="1">
        <v>3314</v>
      </c>
      <c r="C3329" s="101">
        <f ca="1"/>
        <v>2.0773516799621699</v>
      </c>
      <c r="D3329" s="101">
        <f t="shared" ca="1" si="192"/>
        <v>0.81562187564320687</v>
      </c>
      <c r="E3329" s="101">
        <f t="shared" ca="1" si="193"/>
        <v>2.7421875643206861E-2</v>
      </c>
      <c r="F3329" s="21">
        <f t="shared" ca="1" si="194"/>
        <v>1</v>
      </c>
      <c r="H3329" s="21">
        <v>3314</v>
      </c>
      <c r="I3329" s="102">
        <v>0.66759634996545902</v>
      </c>
      <c r="J3329" s="103">
        <v>1.2789233211208178E-3</v>
      </c>
      <c r="K3329" s="103"/>
      <c r="L3329" s="103">
        <v>0.04</v>
      </c>
      <c r="O3329" s="100"/>
    </row>
    <row r="3330" spans="2:15" x14ac:dyDescent="0.2">
      <c r="B3330" s="1">
        <v>3315</v>
      </c>
      <c r="C3330" s="101">
        <f ca="1"/>
        <v>-2.1497728660207209</v>
      </c>
      <c r="D3330" s="101">
        <f t="shared" ca="1" si="192"/>
        <v>0.5375284508849838</v>
      </c>
      <c r="E3330" s="101">
        <f t="shared" ca="1" si="193"/>
        <v>0</v>
      </c>
      <c r="F3330" s="21">
        <f t="shared" ca="1" si="194"/>
        <v>0</v>
      </c>
      <c r="H3330" s="21">
        <v>3315</v>
      </c>
      <c r="I3330" s="102">
        <v>0.66789304334655941</v>
      </c>
      <c r="J3330" s="103">
        <v>1.6184274485657579E-3</v>
      </c>
      <c r="K3330" s="103"/>
      <c r="L3330" s="103">
        <v>4.4400000000000002E-2</v>
      </c>
      <c r="O3330" s="100"/>
    </row>
    <row r="3331" spans="2:15" x14ac:dyDescent="0.2">
      <c r="B3331" s="1">
        <v>3316</v>
      </c>
      <c r="C3331" s="101">
        <f ca="1"/>
        <v>-0.5218049974656026</v>
      </c>
      <c r="D3331" s="101">
        <f t="shared" ca="1" si="192"/>
        <v>0.63116454637018193</v>
      </c>
      <c r="E3331" s="101">
        <f t="shared" ca="1" si="193"/>
        <v>0</v>
      </c>
      <c r="F3331" s="21">
        <f t="shared" ca="1" si="194"/>
        <v>0</v>
      </c>
      <c r="H3331" s="21">
        <v>3316</v>
      </c>
      <c r="I3331" s="102">
        <v>0.6677553529591872</v>
      </c>
      <c r="J3331" s="103">
        <v>1.3359057562219903E-3</v>
      </c>
      <c r="K3331" s="103"/>
      <c r="L3331" s="103">
        <v>4.2000000000000003E-2</v>
      </c>
      <c r="O3331" s="100"/>
    </row>
    <row r="3332" spans="2:15" x14ac:dyDescent="0.2">
      <c r="B3332" s="1">
        <v>3317</v>
      </c>
      <c r="C3332" s="101">
        <f ca="1"/>
        <v>0.15057015526911532</v>
      </c>
      <c r="D3332" s="101">
        <f t="shared" ca="1" si="192"/>
        <v>0.67444530038229344</v>
      </c>
      <c r="E3332" s="101">
        <f t="shared" ca="1" si="193"/>
        <v>0</v>
      </c>
      <c r="F3332" s="21">
        <f t="shared" ca="1" si="194"/>
        <v>0</v>
      </c>
      <c r="H3332" s="21">
        <v>3317</v>
      </c>
      <c r="I3332" s="102">
        <v>0.66771774602242817</v>
      </c>
      <c r="J3332" s="103">
        <v>1.2892651879444115E-3</v>
      </c>
      <c r="K3332" s="103"/>
      <c r="L3332" s="103">
        <v>3.9E-2</v>
      </c>
      <c r="O3332" s="100"/>
    </row>
    <row r="3333" spans="2:15" x14ac:dyDescent="0.2">
      <c r="B3333" s="1">
        <v>3318</v>
      </c>
      <c r="C3333" s="101">
        <f ca="1"/>
        <v>2.6141794419280346E-2</v>
      </c>
      <c r="D3333" s="101">
        <f t="shared" ca="1" si="192"/>
        <v>0.66621790208738629</v>
      </c>
      <c r="E3333" s="101">
        <f t="shared" ca="1" si="193"/>
        <v>0</v>
      </c>
      <c r="F3333" s="21">
        <f t="shared" ca="1" si="194"/>
        <v>0</v>
      </c>
      <c r="H3333" s="21">
        <v>3318</v>
      </c>
      <c r="I3333" s="102">
        <v>0.66774170802231825</v>
      </c>
      <c r="J3333" s="103">
        <v>1.2306726188620119E-3</v>
      </c>
      <c r="K3333" s="103"/>
      <c r="L3333" s="103">
        <v>4.0599999999999997E-2</v>
      </c>
      <c r="O3333" s="100"/>
    </row>
    <row r="3334" spans="2:15" x14ac:dyDescent="0.2">
      <c r="B3334" s="1">
        <v>3319</v>
      </c>
      <c r="C3334" s="101">
        <f ca="1"/>
        <v>0.42554382438909266</v>
      </c>
      <c r="D3334" s="101">
        <f t="shared" ca="1" si="192"/>
        <v>0.69298915040764009</v>
      </c>
      <c r="E3334" s="101">
        <f t="shared" ca="1" si="193"/>
        <v>0</v>
      </c>
      <c r="F3334" s="21">
        <f t="shared" ca="1" si="194"/>
        <v>0</v>
      </c>
      <c r="H3334" s="21">
        <v>3319</v>
      </c>
      <c r="I3334" s="102">
        <v>0.66784861325949973</v>
      </c>
      <c r="J3334" s="103">
        <v>1.4672710659698288E-3</v>
      </c>
      <c r="K3334" s="103"/>
      <c r="L3334" s="103">
        <v>4.2599999999999999E-2</v>
      </c>
      <c r="O3334" s="100"/>
    </row>
    <row r="3335" spans="2:15" x14ac:dyDescent="0.2">
      <c r="B3335" s="1">
        <v>3320</v>
      </c>
      <c r="C3335" s="101">
        <f ca="1"/>
        <v>0.89668392707985045</v>
      </c>
      <c r="D3335" s="101">
        <f t="shared" ca="1" si="192"/>
        <v>0.72595514374512882</v>
      </c>
      <c r="E3335" s="101">
        <f t="shared" ca="1" si="193"/>
        <v>0</v>
      </c>
      <c r="F3335" s="21">
        <f t="shared" ca="1" si="194"/>
        <v>0</v>
      </c>
      <c r="H3335" s="21">
        <v>3320</v>
      </c>
      <c r="I3335" s="102">
        <v>0.66772201688965505</v>
      </c>
      <c r="J3335" s="103">
        <v>1.3272250586544097E-3</v>
      </c>
      <c r="K3335" s="103"/>
      <c r="L3335" s="103">
        <v>4.2000000000000003E-2</v>
      </c>
      <c r="O3335" s="100"/>
    </row>
    <row r="3336" spans="2:15" x14ac:dyDescent="0.2">
      <c r="B3336" s="1">
        <v>3321</v>
      </c>
      <c r="C3336" s="101">
        <f ca="1"/>
        <v>-0.8638976936270919</v>
      </c>
      <c r="D3336" s="101">
        <f t="shared" ca="1" si="192"/>
        <v>0.61022157093431328</v>
      </c>
      <c r="E3336" s="101">
        <f t="shared" ca="1" si="193"/>
        <v>0</v>
      </c>
      <c r="F3336" s="21">
        <f t="shared" ca="1" si="194"/>
        <v>0</v>
      </c>
      <c r="H3336" s="21">
        <v>3321</v>
      </c>
      <c r="I3336" s="102">
        <v>0.66779972003931476</v>
      </c>
      <c r="J3336" s="103">
        <v>1.5522386492919438E-3</v>
      </c>
      <c r="K3336" s="103"/>
      <c r="L3336" s="103">
        <v>4.5600000000000002E-2</v>
      </c>
      <c r="O3336" s="100"/>
    </row>
    <row r="3337" spans="2:15" x14ac:dyDescent="0.2">
      <c r="B3337" s="1">
        <v>3322</v>
      </c>
      <c r="C3337" s="101">
        <f ca="1"/>
        <v>-1.4791599881688968</v>
      </c>
      <c r="D3337" s="101">
        <f t="shared" ca="1" si="192"/>
        <v>0.57428847159279861</v>
      </c>
      <c r="E3337" s="101">
        <f t="shared" ca="1" si="193"/>
        <v>0</v>
      </c>
      <c r="F3337" s="21">
        <f t="shared" ca="1" si="194"/>
        <v>0</v>
      </c>
      <c r="H3337" s="21">
        <v>3322</v>
      </c>
      <c r="I3337" s="102">
        <v>0.66776260771748019</v>
      </c>
      <c r="J3337" s="103">
        <v>1.454436284085417E-3</v>
      </c>
      <c r="K3337" s="103"/>
      <c r="L3337" s="103">
        <v>4.2000000000000003E-2</v>
      </c>
      <c r="O3337" s="100"/>
    </row>
    <row r="3338" spans="2:15" x14ac:dyDescent="0.2">
      <c r="B3338" s="1">
        <v>3323</v>
      </c>
      <c r="C3338" s="101">
        <f ca="1"/>
        <v>-1.5086659605258745</v>
      </c>
      <c r="D3338" s="101">
        <f t="shared" ca="1" si="192"/>
        <v>0.57261943032646312</v>
      </c>
      <c r="E3338" s="101">
        <f t="shared" ca="1" si="193"/>
        <v>0</v>
      </c>
      <c r="F3338" s="21">
        <f t="shared" ca="1" si="194"/>
        <v>0</v>
      </c>
      <c r="H3338" s="21">
        <v>3323</v>
      </c>
      <c r="I3338" s="102">
        <v>0.66784292953936697</v>
      </c>
      <c r="J3338" s="103">
        <v>1.5414523280952235E-3</v>
      </c>
      <c r="K3338" s="103"/>
      <c r="L3338" s="103">
        <v>4.3200000000000002E-2</v>
      </c>
      <c r="O3338" s="100"/>
    </row>
    <row r="3339" spans="2:15" x14ac:dyDescent="0.2">
      <c r="B3339" s="1">
        <v>3324</v>
      </c>
      <c r="C3339" s="101">
        <f ca="1"/>
        <v>1.2007975086746869</v>
      </c>
      <c r="D3339" s="101">
        <f t="shared" ca="1" si="192"/>
        <v>0.74806239802368191</v>
      </c>
      <c r="E3339" s="101">
        <f t="shared" ca="1" si="193"/>
        <v>0</v>
      </c>
      <c r="F3339" s="21">
        <f t="shared" ca="1" si="194"/>
        <v>0</v>
      </c>
      <c r="H3339" s="21">
        <v>3324</v>
      </c>
      <c r="I3339" s="102">
        <v>0.66789985335477409</v>
      </c>
      <c r="J3339" s="103">
        <v>1.4662552189212835E-3</v>
      </c>
      <c r="K3339" s="103"/>
      <c r="L3339" s="103">
        <v>4.3200000000000002E-2</v>
      </c>
      <c r="O3339" s="100"/>
    </row>
    <row r="3340" spans="2:15" x14ac:dyDescent="0.2">
      <c r="B3340" s="1">
        <v>3325</v>
      </c>
      <c r="C3340" s="101">
        <f ca="1"/>
        <v>0.74131821008100729</v>
      </c>
      <c r="D3340" s="101">
        <f t="shared" ca="1" si="192"/>
        <v>0.71491435130742331</v>
      </c>
      <c r="E3340" s="101">
        <f t="shared" ca="1" si="193"/>
        <v>0</v>
      </c>
      <c r="F3340" s="21">
        <f t="shared" ca="1" si="194"/>
        <v>0</v>
      </c>
      <c r="H3340" s="21">
        <v>3325</v>
      </c>
      <c r="I3340" s="102">
        <v>0.66764386643311702</v>
      </c>
      <c r="J3340" s="103">
        <v>1.2584773283003232E-3</v>
      </c>
      <c r="K3340" s="103"/>
      <c r="L3340" s="103">
        <v>3.78E-2</v>
      </c>
      <c r="O3340" s="100"/>
    </row>
    <row r="3341" spans="2:15" x14ac:dyDescent="0.2">
      <c r="B3341" s="1">
        <v>3326</v>
      </c>
      <c r="C3341" s="101">
        <f ca="1"/>
        <v>-9.7202990308882034E-2</v>
      </c>
      <c r="D3341" s="101">
        <f t="shared" ca="1" si="192"/>
        <v>0.65816121192862309</v>
      </c>
      <c r="E3341" s="101">
        <f t="shared" ca="1" si="193"/>
        <v>0</v>
      </c>
      <c r="F3341" s="21">
        <f t="shared" ca="1" si="194"/>
        <v>0</v>
      </c>
      <c r="H3341" s="21">
        <v>3326</v>
      </c>
      <c r="I3341" s="102">
        <v>0.66773984418458399</v>
      </c>
      <c r="J3341" s="103">
        <v>1.4222509686527072E-3</v>
      </c>
      <c r="K3341" s="103"/>
      <c r="L3341" s="103">
        <v>4.3799999999999999E-2</v>
      </c>
      <c r="O3341" s="100"/>
    </row>
    <row r="3342" spans="2:15" x14ac:dyDescent="0.2">
      <c r="B3342" s="1">
        <v>3327</v>
      </c>
      <c r="C3342" s="101">
        <f ca="1"/>
        <v>-0.68093911613970814</v>
      </c>
      <c r="D3342" s="101">
        <f t="shared" ca="1" si="192"/>
        <v>0.62133438482968428</v>
      </c>
      <c r="E3342" s="101">
        <f t="shared" ca="1" si="193"/>
        <v>0</v>
      </c>
      <c r="F3342" s="21">
        <f t="shared" ca="1" si="194"/>
        <v>0</v>
      </c>
      <c r="H3342" s="21">
        <v>3327</v>
      </c>
      <c r="I3342" s="102">
        <v>0.66768498828597689</v>
      </c>
      <c r="J3342" s="103">
        <v>1.3748969206754124E-3</v>
      </c>
      <c r="K3342" s="103"/>
      <c r="L3342" s="103">
        <v>4.1799999999999997E-2</v>
      </c>
      <c r="O3342" s="100"/>
    </row>
    <row r="3343" spans="2:15" x14ac:dyDescent="0.2">
      <c r="B3343" s="1">
        <v>3328</v>
      </c>
      <c r="C3343" s="101">
        <f ca="1"/>
        <v>-0.17202209709524693</v>
      </c>
      <c r="D3343" s="101">
        <f t="shared" ca="1" si="192"/>
        <v>0.653321694176626</v>
      </c>
      <c r="E3343" s="101">
        <f t="shared" ca="1" si="193"/>
        <v>0</v>
      </c>
      <c r="F3343" s="21">
        <f t="shared" ca="1" si="194"/>
        <v>0</v>
      </c>
      <c r="H3343" s="21">
        <v>3328</v>
      </c>
      <c r="I3343" s="102">
        <v>0.66765819280058381</v>
      </c>
      <c r="J3343" s="103">
        <v>1.3323097010244818E-3</v>
      </c>
      <c r="K3343" s="103"/>
      <c r="L3343" s="103">
        <v>4.0599999999999997E-2</v>
      </c>
      <c r="O3343" s="100"/>
    </row>
    <row r="3344" spans="2:15" x14ac:dyDescent="0.2">
      <c r="B3344" s="1">
        <v>3329</v>
      </c>
      <c r="C3344" s="101">
        <f ca="1"/>
        <v>0.84139880382159038</v>
      </c>
      <c r="D3344" s="101">
        <f t="shared" ref="D3344:D3407" ca="1" si="195">S0*EXP((μ-0.5*σ*σ)*T+σ*SQRT(T)*$C3344)</f>
        <v>0.72200699671554402</v>
      </c>
      <c r="E3344" s="101">
        <f t="shared" ref="E3344:E3407" ca="1" si="196">MAX(0,CP*(D3344-K))</f>
        <v>0</v>
      </c>
      <c r="F3344" s="21">
        <f t="shared" ref="F3344:F3407" ca="1" si="197">(CP*(D3344-K)&gt;0)*1</f>
        <v>0</v>
      </c>
      <c r="H3344" s="21">
        <v>3329</v>
      </c>
      <c r="I3344" s="102">
        <v>0.6678320139526519</v>
      </c>
      <c r="J3344" s="103">
        <v>1.4070930466168849E-3</v>
      </c>
      <c r="K3344" s="103"/>
      <c r="L3344" s="103">
        <v>4.36E-2</v>
      </c>
      <c r="O3344" s="100"/>
    </row>
    <row r="3345" spans="2:15" x14ac:dyDescent="0.2">
      <c r="B3345" s="1">
        <v>3330</v>
      </c>
      <c r="C3345" s="101">
        <f ca="1"/>
        <v>0.12867536791281445</v>
      </c>
      <c r="D3345" s="101">
        <f t="shared" ca="1" si="195"/>
        <v>0.67299025188109141</v>
      </c>
      <c r="E3345" s="101">
        <f t="shared" ca="1" si="196"/>
        <v>0</v>
      </c>
      <c r="F3345" s="21">
        <f t="shared" ca="1" si="197"/>
        <v>0</v>
      </c>
      <c r="H3345" s="21">
        <v>3330</v>
      </c>
      <c r="I3345" s="102">
        <v>0.66786623653376009</v>
      </c>
      <c r="J3345" s="103">
        <v>1.4947715970524279E-3</v>
      </c>
      <c r="K3345" s="103"/>
      <c r="L3345" s="103">
        <v>4.36E-2</v>
      </c>
      <c r="O3345" s="100"/>
    </row>
    <row r="3346" spans="2:15" x14ac:dyDescent="0.2">
      <c r="B3346" s="1">
        <v>3331</v>
      </c>
      <c r="C3346" s="101">
        <f ca="1"/>
        <v>1.3982748565989997</v>
      </c>
      <c r="D3346" s="101">
        <f t="shared" ca="1" si="195"/>
        <v>0.76277707667486716</v>
      </c>
      <c r="E3346" s="101">
        <f t="shared" ca="1" si="196"/>
        <v>0</v>
      </c>
      <c r="F3346" s="21">
        <f t="shared" ca="1" si="197"/>
        <v>0</v>
      </c>
      <c r="H3346" s="21">
        <v>3331</v>
      </c>
      <c r="I3346" s="102">
        <v>0.66771680912341713</v>
      </c>
      <c r="J3346" s="103">
        <v>1.355228289096825E-3</v>
      </c>
      <c r="K3346" s="103"/>
      <c r="L3346" s="103">
        <v>0.04</v>
      </c>
      <c r="O3346" s="100"/>
    </row>
    <row r="3347" spans="2:15" x14ac:dyDescent="0.2">
      <c r="B3347" s="1">
        <v>3332</v>
      </c>
      <c r="C3347" s="101">
        <f ca="1"/>
        <v>-1.1179996366184664</v>
      </c>
      <c r="D3347" s="101">
        <f t="shared" ca="1" si="195"/>
        <v>0.59511649108478626</v>
      </c>
      <c r="E3347" s="101">
        <f t="shared" ca="1" si="196"/>
        <v>0</v>
      </c>
      <c r="F3347" s="21">
        <f t="shared" ca="1" si="197"/>
        <v>0</v>
      </c>
      <c r="H3347" s="21">
        <v>3332</v>
      </c>
      <c r="I3347" s="102">
        <v>0.6675292431389791</v>
      </c>
      <c r="J3347" s="103">
        <v>1.1261466585407367E-3</v>
      </c>
      <c r="K3347" s="103"/>
      <c r="L3347" s="103">
        <v>3.7400000000000003E-2</v>
      </c>
      <c r="O3347" s="100"/>
    </row>
    <row r="3348" spans="2:15" x14ac:dyDescent="0.2">
      <c r="B3348" s="1">
        <v>3333</v>
      </c>
      <c r="C3348" s="101">
        <f ca="1"/>
        <v>1.8316026992182589E-2</v>
      </c>
      <c r="D3348" s="101">
        <f t="shared" ca="1" si="195"/>
        <v>0.66570381757355479</v>
      </c>
      <c r="E3348" s="101">
        <f t="shared" ca="1" si="196"/>
        <v>0</v>
      </c>
      <c r="F3348" s="21">
        <f t="shared" ca="1" si="197"/>
        <v>0</v>
      </c>
      <c r="H3348" s="21">
        <v>3333</v>
      </c>
      <c r="I3348" s="102">
        <v>0.66768221667658256</v>
      </c>
      <c r="J3348" s="103">
        <v>1.2364108226137311E-3</v>
      </c>
      <c r="K3348" s="103"/>
      <c r="L3348" s="103">
        <v>4.3999999999999997E-2</v>
      </c>
      <c r="O3348" s="100"/>
    </row>
    <row r="3349" spans="2:15" x14ac:dyDescent="0.2">
      <c r="B3349" s="1">
        <v>3334</v>
      </c>
      <c r="C3349" s="101">
        <f ca="1"/>
        <v>-1.4745488995765685</v>
      </c>
      <c r="D3349" s="101">
        <f t="shared" ca="1" si="195"/>
        <v>0.57454974261059188</v>
      </c>
      <c r="E3349" s="101">
        <f t="shared" ca="1" si="196"/>
        <v>0</v>
      </c>
      <c r="F3349" s="21">
        <f t="shared" ca="1" si="197"/>
        <v>0</v>
      </c>
      <c r="H3349" s="21">
        <v>3334</v>
      </c>
      <c r="I3349" s="102">
        <v>0.66804669338049549</v>
      </c>
      <c r="J3349" s="103">
        <v>1.7096186172783103E-3</v>
      </c>
      <c r="K3349" s="103"/>
      <c r="L3349" s="103">
        <v>4.9799999999999997E-2</v>
      </c>
      <c r="O3349" s="100"/>
    </row>
    <row r="3350" spans="2:15" x14ac:dyDescent="0.2">
      <c r="B3350" s="1">
        <v>3335</v>
      </c>
      <c r="C3350" s="101">
        <f ca="1"/>
        <v>0.32751103272573512</v>
      </c>
      <c r="D3350" s="101">
        <f t="shared" ca="1" si="195"/>
        <v>0.68632018344441692</v>
      </c>
      <c r="E3350" s="101">
        <f t="shared" ca="1" si="196"/>
        <v>0</v>
      </c>
      <c r="F3350" s="21">
        <f t="shared" ca="1" si="197"/>
        <v>0</v>
      </c>
      <c r="H3350" s="21">
        <v>3335</v>
      </c>
      <c r="I3350" s="102">
        <v>0.66772846806132236</v>
      </c>
      <c r="J3350" s="103">
        <v>1.4093587190416766E-3</v>
      </c>
      <c r="K3350" s="103"/>
      <c r="L3350" s="103">
        <v>4.0399999999999998E-2</v>
      </c>
      <c r="O3350" s="100"/>
    </row>
    <row r="3351" spans="2:15" x14ac:dyDescent="0.2">
      <c r="B3351" s="1">
        <v>3336</v>
      </c>
      <c r="C3351" s="101">
        <f ca="1"/>
        <v>0.2301024628244531</v>
      </c>
      <c r="D3351" s="101">
        <f t="shared" ca="1" si="195"/>
        <v>0.6797572492753845</v>
      </c>
      <c r="E3351" s="101">
        <f t="shared" ca="1" si="196"/>
        <v>0</v>
      </c>
      <c r="F3351" s="21">
        <f t="shared" ca="1" si="197"/>
        <v>0</v>
      </c>
      <c r="H3351" s="21">
        <v>3336</v>
      </c>
      <c r="I3351" s="102">
        <v>0.66770664903399957</v>
      </c>
      <c r="J3351" s="103">
        <v>1.2475306746766014E-3</v>
      </c>
      <c r="K3351" s="103"/>
      <c r="L3351" s="103">
        <v>4.2599999999999999E-2</v>
      </c>
      <c r="O3351" s="100"/>
    </row>
    <row r="3352" spans="2:15" x14ac:dyDescent="0.2">
      <c r="B3352" s="1">
        <v>3337</v>
      </c>
      <c r="C3352" s="101">
        <f ca="1"/>
        <v>-1.0669920156935502</v>
      </c>
      <c r="D3352" s="101">
        <f t="shared" ca="1" si="195"/>
        <v>0.59811834102970574</v>
      </c>
      <c r="E3352" s="101">
        <f t="shared" ca="1" si="196"/>
        <v>0</v>
      </c>
      <c r="F3352" s="21">
        <f t="shared" ca="1" si="197"/>
        <v>0</v>
      </c>
      <c r="H3352" s="21">
        <v>3337</v>
      </c>
      <c r="I3352" s="102">
        <v>0.66769668385341707</v>
      </c>
      <c r="J3352" s="103">
        <v>1.2836260422004957E-3</v>
      </c>
      <c r="K3352" s="103"/>
      <c r="L3352" s="103">
        <v>4.1799999999999997E-2</v>
      </c>
      <c r="O3352" s="100"/>
    </row>
    <row r="3353" spans="2:15" x14ac:dyDescent="0.2">
      <c r="B3353" s="1">
        <v>3338</v>
      </c>
      <c r="C3353" s="101">
        <f ca="1"/>
        <v>1.2995664287818809</v>
      </c>
      <c r="D3353" s="101">
        <f t="shared" ca="1" si="195"/>
        <v>0.75538616214942444</v>
      </c>
      <c r="E3353" s="101">
        <f t="shared" ca="1" si="196"/>
        <v>0</v>
      </c>
      <c r="F3353" s="21">
        <f t="shared" ca="1" si="197"/>
        <v>0</v>
      </c>
      <c r="H3353" s="21">
        <v>3338</v>
      </c>
      <c r="I3353" s="102">
        <v>0.66791500116313673</v>
      </c>
      <c r="J3353" s="103">
        <v>1.4655512849948188E-3</v>
      </c>
      <c r="K3353" s="103"/>
      <c r="L3353" s="103">
        <v>4.2999999999999997E-2</v>
      </c>
      <c r="O3353" s="100"/>
    </row>
    <row r="3354" spans="2:15" x14ac:dyDescent="0.2">
      <c r="B3354" s="1">
        <v>3339</v>
      </c>
      <c r="C3354" s="101">
        <f ca="1"/>
        <v>-1.323949483120026</v>
      </c>
      <c r="D3354" s="101">
        <f t="shared" ca="1" si="195"/>
        <v>0.58314857751287552</v>
      </c>
      <c r="E3354" s="101">
        <f t="shared" ca="1" si="196"/>
        <v>0</v>
      </c>
      <c r="F3354" s="21">
        <f t="shared" ca="1" si="197"/>
        <v>0</v>
      </c>
      <c r="H3354" s="21">
        <v>3339</v>
      </c>
      <c r="I3354" s="102">
        <v>0.66764858758557033</v>
      </c>
      <c r="J3354" s="103">
        <v>1.3534174969910277E-3</v>
      </c>
      <c r="K3354" s="103"/>
      <c r="L3354" s="103">
        <v>4.3799999999999999E-2</v>
      </c>
      <c r="O3354" s="100"/>
    </row>
    <row r="3355" spans="2:15" x14ac:dyDescent="0.2">
      <c r="B3355" s="1">
        <v>3340</v>
      </c>
      <c r="C3355" s="101">
        <f ca="1"/>
        <v>0.59647930326793275</v>
      </c>
      <c r="D3355" s="101">
        <f t="shared" ca="1" si="195"/>
        <v>0.70477291556742827</v>
      </c>
      <c r="E3355" s="101">
        <f t="shared" ca="1" si="196"/>
        <v>0</v>
      </c>
      <c r="F3355" s="21">
        <f t="shared" ca="1" si="197"/>
        <v>0</v>
      </c>
      <c r="H3355" s="21">
        <v>3340</v>
      </c>
      <c r="I3355" s="102">
        <v>0.6677241712767934</v>
      </c>
      <c r="J3355" s="103">
        <v>1.3632877868466548E-3</v>
      </c>
      <c r="K3355" s="103"/>
      <c r="L3355" s="103">
        <v>4.1799999999999997E-2</v>
      </c>
      <c r="O3355" s="100"/>
    </row>
    <row r="3356" spans="2:15" x14ac:dyDescent="0.2">
      <c r="B3356" s="1">
        <v>3341</v>
      </c>
      <c r="C3356" s="101">
        <f ca="1"/>
        <v>0.71136903757299585</v>
      </c>
      <c r="D3356" s="101">
        <f t="shared" ca="1" si="195"/>
        <v>0.71280544930497181</v>
      </c>
      <c r="E3356" s="101">
        <f t="shared" ca="1" si="196"/>
        <v>0</v>
      </c>
      <c r="F3356" s="21">
        <f t="shared" ca="1" si="197"/>
        <v>0</v>
      </c>
      <c r="H3356" s="21">
        <v>3341</v>
      </c>
      <c r="I3356" s="102">
        <v>0.66787186654468311</v>
      </c>
      <c r="J3356" s="103">
        <v>1.4542291106174976E-3</v>
      </c>
      <c r="K3356" s="103"/>
      <c r="L3356" s="103">
        <v>4.2200000000000001E-2</v>
      </c>
      <c r="O3356" s="100"/>
    </row>
    <row r="3357" spans="2:15" x14ac:dyDescent="0.2">
      <c r="B3357" s="1">
        <v>3342</v>
      </c>
      <c r="C3357" s="101">
        <f ca="1"/>
        <v>-0.57118874539207209</v>
      </c>
      <c r="D3357" s="101">
        <f t="shared" ca="1" si="195"/>
        <v>0.62809744458788197</v>
      </c>
      <c r="E3357" s="101">
        <f t="shared" ca="1" si="196"/>
        <v>0</v>
      </c>
      <c r="F3357" s="21">
        <f t="shared" ca="1" si="197"/>
        <v>0</v>
      </c>
      <c r="H3357" s="21">
        <v>3342</v>
      </c>
      <c r="I3357" s="102">
        <v>0.66777904837987578</v>
      </c>
      <c r="J3357" s="103">
        <v>1.4090527606207956E-3</v>
      </c>
      <c r="K3357" s="103"/>
      <c r="L3357" s="103">
        <v>4.4200000000000003E-2</v>
      </c>
      <c r="O3357" s="100"/>
    </row>
    <row r="3358" spans="2:15" x14ac:dyDescent="0.2">
      <c r="B3358" s="1">
        <v>3343</v>
      </c>
      <c r="C3358" s="101">
        <f ca="1"/>
        <v>0.63342297861157482</v>
      </c>
      <c r="D3358" s="101">
        <f t="shared" ca="1" si="195"/>
        <v>0.7073459154592816</v>
      </c>
      <c r="E3358" s="101">
        <f t="shared" ca="1" si="196"/>
        <v>0</v>
      </c>
      <c r="F3358" s="21">
        <f t="shared" ca="1" si="197"/>
        <v>0</v>
      </c>
      <c r="H3358" s="21">
        <v>3343</v>
      </c>
      <c r="I3358" s="102">
        <v>0.66773661701286946</v>
      </c>
      <c r="J3358" s="103">
        <v>1.3148154180649034E-3</v>
      </c>
      <c r="K3358" s="103"/>
      <c r="L3358" s="103">
        <v>4.2000000000000003E-2</v>
      </c>
      <c r="O3358" s="100"/>
    </row>
    <row r="3359" spans="2:15" x14ac:dyDescent="0.2">
      <c r="B3359" s="1">
        <v>3344</v>
      </c>
      <c r="C3359" s="101">
        <f ca="1"/>
        <v>-0.22024615989133189</v>
      </c>
      <c r="D3359" s="101">
        <f t="shared" ca="1" si="195"/>
        <v>0.65022129765249403</v>
      </c>
      <c r="E3359" s="101">
        <f t="shared" ca="1" si="196"/>
        <v>0</v>
      </c>
      <c r="F3359" s="21">
        <f t="shared" ca="1" si="197"/>
        <v>0</v>
      </c>
      <c r="H3359" s="21">
        <v>3344</v>
      </c>
      <c r="I3359" s="102">
        <v>0.66777266986941086</v>
      </c>
      <c r="J3359" s="103">
        <v>1.4390346994815387E-3</v>
      </c>
      <c r="K3359" s="103"/>
      <c r="L3359" s="103">
        <v>4.1399999999999999E-2</v>
      </c>
      <c r="O3359" s="100"/>
    </row>
    <row r="3360" spans="2:15" x14ac:dyDescent="0.2">
      <c r="B3360" s="1">
        <v>3345</v>
      </c>
      <c r="C3360" s="101">
        <f ca="1"/>
        <v>1.8646859598201164</v>
      </c>
      <c r="D3360" s="101">
        <f t="shared" ca="1" si="195"/>
        <v>0.79869027618342447</v>
      </c>
      <c r="E3360" s="101">
        <f t="shared" ca="1" si="196"/>
        <v>1.0490276183424463E-2</v>
      </c>
      <c r="F3360" s="21">
        <f t="shared" ca="1" si="197"/>
        <v>1</v>
      </c>
      <c r="H3360" s="21">
        <v>3345</v>
      </c>
      <c r="I3360" s="102">
        <v>0.6676589609008573</v>
      </c>
      <c r="J3360" s="103">
        <v>1.3689071812043867E-3</v>
      </c>
      <c r="K3360" s="103"/>
      <c r="L3360" s="103">
        <v>4.1599999999999998E-2</v>
      </c>
      <c r="O3360" s="100"/>
    </row>
    <row r="3361" spans="2:15" x14ac:dyDescent="0.2">
      <c r="B3361" s="1">
        <v>3346</v>
      </c>
      <c r="C3361" s="101">
        <f ca="1"/>
        <v>0.5224941614208849</v>
      </c>
      <c r="D3361" s="101">
        <f t="shared" ca="1" si="195"/>
        <v>0.69964821090382812</v>
      </c>
      <c r="E3361" s="101">
        <f t="shared" ca="1" si="196"/>
        <v>0</v>
      </c>
      <c r="F3361" s="21">
        <f t="shared" ca="1" si="197"/>
        <v>0</v>
      </c>
      <c r="H3361" s="21">
        <v>3346</v>
      </c>
      <c r="I3361" s="102">
        <v>0.66767092775538772</v>
      </c>
      <c r="J3361" s="103">
        <v>1.3857620340809642E-3</v>
      </c>
      <c r="K3361" s="103"/>
      <c r="L3361" s="103">
        <v>4.2999999999999997E-2</v>
      </c>
      <c r="O3361" s="100"/>
    </row>
    <row r="3362" spans="2:15" x14ac:dyDescent="0.2">
      <c r="B3362" s="1">
        <v>3347</v>
      </c>
      <c r="C3362" s="101">
        <f ca="1"/>
        <v>1.6399611228964532</v>
      </c>
      <c r="D3362" s="101">
        <f t="shared" ca="1" si="195"/>
        <v>0.78118037372583737</v>
      </c>
      <c r="E3362" s="101">
        <f t="shared" ca="1" si="196"/>
        <v>0</v>
      </c>
      <c r="F3362" s="21">
        <f t="shared" ca="1" si="197"/>
        <v>0</v>
      </c>
      <c r="H3362" s="21">
        <v>3347</v>
      </c>
      <c r="I3362" s="102">
        <v>0.66792719559945513</v>
      </c>
      <c r="J3362" s="103">
        <v>1.5169571116505659E-3</v>
      </c>
      <c r="K3362" s="103"/>
      <c r="L3362" s="103">
        <v>4.5199999999999997E-2</v>
      </c>
      <c r="O3362" s="100"/>
    </row>
    <row r="3363" spans="2:15" x14ac:dyDescent="0.2">
      <c r="B3363" s="1">
        <v>3348</v>
      </c>
      <c r="C3363" s="101">
        <f ca="1"/>
        <v>-7.5521280485690664E-2</v>
      </c>
      <c r="D3363" s="101">
        <f t="shared" ca="1" si="195"/>
        <v>0.65957033592511849</v>
      </c>
      <c r="E3363" s="101">
        <f t="shared" ca="1" si="196"/>
        <v>0</v>
      </c>
      <c r="F3363" s="21">
        <f t="shared" ca="1" si="197"/>
        <v>0</v>
      </c>
      <c r="H3363" s="21">
        <v>3348</v>
      </c>
      <c r="I3363" s="102">
        <v>0.66771066874431961</v>
      </c>
      <c r="J3363" s="103">
        <v>1.3169056176110217E-3</v>
      </c>
      <c r="K3363" s="103"/>
      <c r="L3363" s="103">
        <v>0.04</v>
      </c>
      <c r="O3363" s="100"/>
    </row>
    <row r="3364" spans="2:15" x14ac:dyDescent="0.2">
      <c r="B3364" s="1">
        <v>3349</v>
      </c>
      <c r="C3364" s="101">
        <f ca="1"/>
        <v>0.47484127146107258</v>
      </c>
      <c r="D3364" s="101">
        <f t="shared" ca="1" si="195"/>
        <v>0.69636720084214565</v>
      </c>
      <c r="E3364" s="101">
        <f t="shared" ca="1" si="196"/>
        <v>0</v>
      </c>
      <c r="F3364" s="21">
        <f t="shared" ca="1" si="197"/>
        <v>0</v>
      </c>
      <c r="H3364" s="21">
        <v>3349</v>
      </c>
      <c r="I3364" s="102">
        <v>0.66794028066638922</v>
      </c>
      <c r="J3364" s="103">
        <v>1.6097124569230516E-3</v>
      </c>
      <c r="K3364" s="103"/>
      <c r="L3364" s="103">
        <v>4.7199999999999999E-2</v>
      </c>
      <c r="O3364" s="100"/>
    </row>
    <row r="3365" spans="2:15" x14ac:dyDescent="0.2">
      <c r="B3365" s="1">
        <v>3350</v>
      </c>
      <c r="C3365" s="101">
        <f ca="1"/>
        <v>-0.68781488856034367</v>
      </c>
      <c r="D3365" s="101">
        <f t="shared" ca="1" si="195"/>
        <v>0.62091311678787031</v>
      </c>
      <c r="E3365" s="101">
        <f t="shared" ca="1" si="196"/>
        <v>0</v>
      </c>
      <c r="F3365" s="21">
        <f t="shared" ca="1" si="197"/>
        <v>0</v>
      </c>
      <c r="H3365" s="21">
        <v>3350</v>
      </c>
      <c r="I3365" s="102">
        <v>0.66775859819060823</v>
      </c>
      <c r="J3365" s="103">
        <v>1.3848193277314117E-3</v>
      </c>
      <c r="K3365" s="103"/>
      <c r="L3365" s="103">
        <v>4.3400000000000001E-2</v>
      </c>
      <c r="O3365" s="100"/>
    </row>
    <row r="3366" spans="2:15" x14ac:dyDescent="0.2">
      <c r="B3366" s="1">
        <v>3351</v>
      </c>
      <c r="C3366" s="101">
        <f ca="1"/>
        <v>0.21187421412216412</v>
      </c>
      <c r="D3366" s="101">
        <f t="shared" ca="1" si="195"/>
        <v>0.67853610406924125</v>
      </c>
      <c r="E3366" s="101">
        <f t="shared" ca="1" si="196"/>
        <v>0</v>
      </c>
      <c r="F3366" s="21">
        <f t="shared" ca="1" si="197"/>
        <v>0</v>
      </c>
      <c r="H3366" s="21">
        <v>3351</v>
      </c>
      <c r="I3366" s="102">
        <v>0.66775633164474213</v>
      </c>
      <c r="J3366" s="103">
        <v>1.5020231213109625E-3</v>
      </c>
      <c r="K3366" s="103"/>
      <c r="L3366" s="103">
        <v>4.2200000000000001E-2</v>
      </c>
      <c r="O3366" s="100"/>
    </row>
    <row r="3367" spans="2:15" x14ac:dyDescent="0.2">
      <c r="B3367" s="1">
        <v>3352</v>
      </c>
      <c r="C3367" s="101">
        <f ca="1"/>
        <v>0.71555814234951687</v>
      </c>
      <c r="D3367" s="101">
        <f t="shared" ca="1" si="195"/>
        <v>0.71310005481632754</v>
      </c>
      <c r="E3367" s="101">
        <f t="shared" ca="1" si="196"/>
        <v>0</v>
      </c>
      <c r="F3367" s="21">
        <f t="shared" ca="1" si="197"/>
        <v>0</v>
      </c>
      <c r="H3367" s="21">
        <v>3352</v>
      </c>
      <c r="I3367" s="102">
        <v>0.66782983994914769</v>
      </c>
      <c r="J3367" s="103">
        <v>1.5846126495790156E-3</v>
      </c>
      <c r="K3367" s="103"/>
      <c r="L3367" s="103">
        <v>0.04</v>
      </c>
      <c r="O3367" s="100"/>
    </row>
    <row r="3368" spans="2:15" x14ac:dyDescent="0.2">
      <c r="B3368" s="1">
        <v>3353</v>
      </c>
      <c r="C3368" s="101">
        <f ca="1"/>
        <v>-1.6152648182309017</v>
      </c>
      <c r="D3368" s="101">
        <f t="shared" ca="1" si="195"/>
        <v>0.56662985241918939</v>
      </c>
      <c r="E3368" s="101">
        <f t="shared" ca="1" si="196"/>
        <v>0</v>
      </c>
      <c r="F3368" s="21">
        <f t="shared" ca="1" si="197"/>
        <v>0</v>
      </c>
      <c r="H3368" s="21">
        <v>3353</v>
      </c>
      <c r="I3368" s="102">
        <v>0.66773737970031877</v>
      </c>
      <c r="J3368" s="103">
        <v>1.2571900919931397E-3</v>
      </c>
      <c r="K3368" s="103"/>
      <c r="L3368" s="103">
        <v>3.6999999999999998E-2</v>
      </c>
      <c r="O3368" s="100"/>
    </row>
    <row r="3369" spans="2:15" x14ac:dyDescent="0.2">
      <c r="B3369" s="1">
        <v>3354</v>
      </c>
      <c r="C3369" s="101">
        <f ca="1"/>
        <v>-0.12281391222085788</v>
      </c>
      <c r="D3369" s="101">
        <f t="shared" ca="1" si="195"/>
        <v>0.65650060083806583</v>
      </c>
      <c r="E3369" s="101">
        <f t="shared" ca="1" si="196"/>
        <v>0</v>
      </c>
      <c r="F3369" s="21">
        <f t="shared" ca="1" si="197"/>
        <v>0</v>
      </c>
      <c r="H3369" s="21">
        <v>3354</v>
      </c>
      <c r="I3369" s="102">
        <v>0.66776216917019515</v>
      </c>
      <c r="J3369" s="103">
        <v>1.3718866174180788E-3</v>
      </c>
      <c r="K3369" s="103"/>
      <c r="L3369" s="103">
        <v>4.2200000000000001E-2</v>
      </c>
      <c r="O3369" s="100"/>
    </row>
    <row r="3370" spans="2:15" x14ac:dyDescent="0.2">
      <c r="B3370" s="1">
        <v>3355</v>
      </c>
      <c r="C3370" s="101">
        <f ca="1"/>
        <v>-1.5376868549970444</v>
      </c>
      <c r="D3370" s="101">
        <f t="shared" ca="1" si="195"/>
        <v>0.57098255989034996</v>
      </c>
      <c r="E3370" s="101">
        <f t="shared" ca="1" si="196"/>
        <v>0</v>
      </c>
      <c r="F3370" s="21">
        <f t="shared" ca="1" si="197"/>
        <v>0</v>
      </c>
      <c r="H3370" s="21">
        <v>3355</v>
      </c>
      <c r="I3370" s="102">
        <v>0.66775967581919127</v>
      </c>
      <c r="J3370" s="103">
        <v>1.5578282898468746E-3</v>
      </c>
      <c r="K3370" s="103"/>
      <c r="L3370" s="103">
        <v>4.4600000000000001E-2</v>
      </c>
      <c r="O3370" s="100"/>
    </row>
    <row r="3371" spans="2:15" x14ac:dyDescent="0.2">
      <c r="B3371" s="1">
        <v>3356</v>
      </c>
      <c r="C3371" s="101">
        <f ca="1"/>
        <v>-0.28913705085745639</v>
      </c>
      <c r="D3371" s="101">
        <f t="shared" ca="1" si="195"/>
        <v>0.64581770532220584</v>
      </c>
      <c r="E3371" s="101">
        <f t="shared" ca="1" si="196"/>
        <v>0</v>
      </c>
      <c r="F3371" s="21">
        <f t="shared" ca="1" si="197"/>
        <v>0</v>
      </c>
      <c r="H3371" s="21">
        <v>3356</v>
      </c>
      <c r="I3371" s="102">
        <v>0.6677812563754546</v>
      </c>
      <c r="J3371" s="103">
        <v>1.4105002272668868E-3</v>
      </c>
      <c r="K3371" s="103"/>
      <c r="L3371" s="103">
        <v>4.0399999999999998E-2</v>
      </c>
      <c r="O3371" s="100"/>
    </row>
    <row r="3372" spans="2:15" x14ac:dyDescent="0.2">
      <c r="B3372" s="1">
        <v>3357</v>
      </c>
      <c r="C3372" s="101">
        <f ca="1"/>
        <v>-0.99211712712050448</v>
      </c>
      <c r="D3372" s="101">
        <f t="shared" ca="1" si="195"/>
        <v>0.60255225225934794</v>
      </c>
      <c r="E3372" s="101">
        <f t="shared" ca="1" si="196"/>
        <v>0</v>
      </c>
      <c r="F3372" s="21">
        <f t="shared" ca="1" si="197"/>
        <v>0</v>
      </c>
      <c r="H3372" s="21">
        <v>3357</v>
      </c>
      <c r="I3372" s="102">
        <v>0.66767609548568252</v>
      </c>
      <c r="J3372" s="103">
        <v>1.4701659454647018E-3</v>
      </c>
      <c r="K3372" s="103"/>
      <c r="L3372" s="103">
        <v>4.1200000000000001E-2</v>
      </c>
      <c r="O3372" s="100"/>
    </row>
    <row r="3373" spans="2:15" x14ac:dyDescent="0.2">
      <c r="B3373" s="1">
        <v>3358</v>
      </c>
      <c r="C3373" s="101">
        <f ca="1"/>
        <v>-0.29694698198794284</v>
      </c>
      <c r="D3373" s="101">
        <f t="shared" ca="1" si="195"/>
        <v>0.64532037060546954</v>
      </c>
      <c r="E3373" s="101">
        <f t="shared" ca="1" si="196"/>
        <v>0</v>
      </c>
      <c r="F3373" s="21">
        <f t="shared" ca="1" si="197"/>
        <v>0</v>
      </c>
      <c r="H3373" s="21">
        <v>3358</v>
      </c>
      <c r="I3373" s="102">
        <v>0.66776984201158307</v>
      </c>
      <c r="J3373" s="103">
        <v>1.3351247763455714E-3</v>
      </c>
      <c r="K3373" s="103"/>
      <c r="L3373" s="103">
        <v>4.3200000000000002E-2</v>
      </c>
      <c r="O3373" s="100"/>
    </row>
    <row r="3374" spans="2:15" x14ac:dyDescent="0.2">
      <c r="B3374" s="1">
        <v>3359</v>
      </c>
      <c r="C3374" s="101">
        <f ca="1"/>
        <v>0.32723401854446027</v>
      </c>
      <c r="D3374" s="101">
        <f t="shared" ca="1" si="195"/>
        <v>0.68630142996998789</v>
      </c>
      <c r="E3374" s="101">
        <f t="shared" ca="1" si="196"/>
        <v>0</v>
      </c>
      <c r="F3374" s="21">
        <f t="shared" ca="1" si="197"/>
        <v>0</v>
      </c>
      <c r="H3374" s="21">
        <v>3359</v>
      </c>
      <c r="I3374" s="102">
        <v>0.66778386950064972</v>
      </c>
      <c r="J3374" s="103">
        <v>1.3790150530843298E-3</v>
      </c>
      <c r="K3374" s="103"/>
      <c r="L3374" s="103">
        <v>4.3799999999999999E-2</v>
      </c>
      <c r="O3374" s="100"/>
    </row>
    <row r="3375" spans="2:15" x14ac:dyDescent="0.2">
      <c r="B3375" s="1">
        <v>3360</v>
      </c>
      <c r="C3375" s="101">
        <f ca="1"/>
        <v>-0.40408323519741746</v>
      </c>
      <c r="D3375" s="101">
        <f t="shared" ca="1" si="195"/>
        <v>0.63853649423467707</v>
      </c>
      <c r="E3375" s="101">
        <f t="shared" ca="1" si="196"/>
        <v>0</v>
      </c>
      <c r="F3375" s="21">
        <f t="shared" ca="1" si="197"/>
        <v>0</v>
      </c>
      <c r="H3375" s="21">
        <v>3360</v>
      </c>
      <c r="I3375" s="102">
        <v>0.66771827975659415</v>
      </c>
      <c r="J3375" s="103">
        <v>1.191121691027574E-3</v>
      </c>
      <c r="K3375" s="103"/>
      <c r="L3375" s="103">
        <v>4.1799999999999997E-2</v>
      </c>
      <c r="O3375" s="100"/>
    </row>
    <row r="3376" spans="2:15" x14ac:dyDescent="0.2">
      <c r="B3376" s="1">
        <v>3361</v>
      </c>
      <c r="C3376" s="101">
        <f ca="1"/>
        <v>0.60366024126242335</v>
      </c>
      <c r="D3376" s="101">
        <f t="shared" ca="1" si="195"/>
        <v>0.70527230932081919</v>
      </c>
      <c r="E3376" s="101">
        <f t="shared" ca="1" si="196"/>
        <v>0</v>
      </c>
      <c r="F3376" s="21">
        <f t="shared" ca="1" si="197"/>
        <v>0</v>
      </c>
      <c r="H3376" s="21">
        <v>3361</v>
      </c>
      <c r="I3376" s="102">
        <v>0.66783491369662362</v>
      </c>
      <c r="J3376" s="103">
        <v>1.4789375005339821E-3</v>
      </c>
      <c r="K3376" s="103"/>
      <c r="L3376" s="103">
        <v>4.3799999999999999E-2</v>
      </c>
      <c r="O3376" s="100"/>
    </row>
    <row r="3377" spans="2:15" x14ac:dyDescent="0.2">
      <c r="B3377" s="1">
        <v>3362</v>
      </c>
      <c r="C3377" s="101">
        <f ca="1"/>
        <v>0.6623428966227064</v>
      </c>
      <c r="D3377" s="101">
        <f t="shared" ca="1" si="195"/>
        <v>0.70936664137401018</v>
      </c>
      <c r="E3377" s="101">
        <f t="shared" ca="1" si="196"/>
        <v>0</v>
      </c>
      <c r="F3377" s="21">
        <f t="shared" ca="1" si="197"/>
        <v>0</v>
      </c>
      <c r="H3377" s="21">
        <v>3362</v>
      </c>
      <c r="I3377" s="102">
        <v>0.66759756423933136</v>
      </c>
      <c r="J3377" s="103">
        <v>1.119727071142395E-3</v>
      </c>
      <c r="K3377" s="103"/>
      <c r="L3377" s="103">
        <v>3.8800000000000001E-2</v>
      </c>
      <c r="O3377" s="100"/>
    </row>
    <row r="3378" spans="2:15" x14ac:dyDescent="0.2">
      <c r="B3378" s="1">
        <v>3363</v>
      </c>
      <c r="C3378" s="101">
        <f ca="1"/>
        <v>2.633072673727765</v>
      </c>
      <c r="D3378" s="101">
        <f t="shared" ca="1" si="195"/>
        <v>0.86158000216323005</v>
      </c>
      <c r="E3378" s="101">
        <f t="shared" ca="1" si="196"/>
        <v>7.338000216323004E-2</v>
      </c>
      <c r="F3378" s="21">
        <f t="shared" ca="1" si="197"/>
        <v>1</v>
      </c>
      <c r="H3378" s="21">
        <v>3363</v>
      </c>
      <c r="I3378" s="102">
        <v>0.66768691406640757</v>
      </c>
      <c r="J3378" s="103">
        <v>1.2778909372539009E-3</v>
      </c>
      <c r="K3378" s="103"/>
      <c r="L3378" s="103">
        <v>3.7999999999999999E-2</v>
      </c>
      <c r="O3378" s="100"/>
    </row>
    <row r="3379" spans="2:15" x14ac:dyDescent="0.2">
      <c r="B3379" s="1">
        <v>3364</v>
      </c>
      <c r="C3379" s="101">
        <f ca="1"/>
        <v>1.0578362419301233</v>
      </c>
      <c r="D3379" s="101">
        <f t="shared" ca="1" si="195"/>
        <v>0.7375873378664628</v>
      </c>
      <c r="E3379" s="101">
        <f t="shared" ca="1" si="196"/>
        <v>0</v>
      </c>
      <c r="F3379" s="21">
        <f t="shared" ca="1" si="197"/>
        <v>0</v>
      </c>
      <c r="H3379" s="21">
        <v>3364</v>
      </c>
      <c r="I3379" s="102">
        <v>0.66764580746614377</v>
      </c>
      <c r="J3379" s="103">
        <v>1.2902350691963015E-3</v>
      </c>
      <c r="K3379" s="103"/>
      <c r="L3379" s="103">
        <v>3.5799999999999998E-2</v>
      </c>
      <c r="O3379" s="100"/>
    </row>
    <row r="3380" spans="2:15" x14ac:dyDescent="0.2">
      <c r="B3380" s="1">
        <v>3365</v>
      </c>
      <c r="C3380" s="101">
        <f ca="1"/>
        <v>-1.1716261714378415</v>
      </c>
      <c r="D3380" s="101">
        <f t="shared" ca="1" si="195"/>
        <v>0.59197675992353738</v>
      </c>
      <c r="E3380" s="101">
        <f t="shared" ca="1" si="196"/>
        <v>0</v>
      </c>
      <c r="F3380" s="21">
        <f t="shared" ca="1" si="197"/>
        <v>0</v>
      </c>
      <c r="H3380" s="21">
        <v>3365</v>
      </c>
      <c r="I3380" s="102">
        <v>0.66754940269824248</v>
      </c>
      <c r="J3380" s="103">
        <v>1.2221318715372514E-3</v>
      </c>
      <c r="K3380" s="103"/>
      <c r="L3380" s="103">
        <v>4.0599999999999997E-2</v>
      </c>
      <c r="O3380" s="100"/>
    </row>
    <row r="3381" spans="2:15" x14ac:dyDescent="0.2">
      <c r="B3381" s="1">
        <v>3366</v>
      </c>
      <c r="C3381" s="101">
        <f ca="1"/>
        <v>0.2209359965805639</v>
      </c>
      <c r="D3381" s="101">
        <f t="shared" ca="1" si="195"/>
        <v>0.67914289573712738</v>
      </c>
      <c r="E3381" s="101">
        <f t="shared" ca="1" si="196"/>
        <v>0</v>
      </c>
      <c r="F3381" s="21">
        <f t="shared" ca="1" si="197"/>
        <v>0</v>
      </c>
      <c r="H3381" s="21">
        <v>3366</v>
      </c>
      <c r="I3381" s="102">
        <v>0.66766288355648362</v>
      </c>
      <c r="J3381" s="103">
        <v>1.2684722338144078E-3</v>
      </c>
      <c r="K3381" s="103"/>
      <c r="L3381" s="103">
        <v>4.2200000000000001E-2</v>
      </c>
      <c r="O3381" s="100"/>
    </row>
    <row r="3382" spans="2:15" x14ac:dyDescent="0.2">
      <c r="B3382" s="1">
        <v>3367</v>
      </c>
      <c r="C3382" s="101">
        <f ca="1"/>
        <v>0.56109589069159471</v>
      </c>
      <c r="D3382" s="101">
        <f t="shared" ca="1" si="195"/>
        <v>0.70231735787880978</v>
      </c>
      <c r="E3382" s="101">
        <f t="shared" ca="1" si="196"/>
        <v>0</v>
      </c>
      <c r="F3382" s="21">
        <f t="shared" ca="1" si="197"/>
        <v>0</v>
      </c>
      <c r="H3382" s="21">
        <v>3367</v>
      </c>
      <c r="I3382" s="102">
        <v>0.66774611742967627</v>
      </c>
      <c r="J3382" s="103">
        <v>1.4116920849209912E-3</v>
      </c>
      <c r="K3382" s="103"/>
      <c r="L3382" s="103">
        <v>4.2599999999999999E-2</v>
      </c>
      <c r="O3382" s="100"/>
    </row>
    <row r="3383" spans="2:15" x14ac:dyDescent="0.2">
      <c r="B3383" s="1">
        <v>3368</v>
      </c>
      <c r="C3383" s="101">
        <f ca="1"/>
        <v>0.2315755802651302</v>
      </c>
      <c r="D3383" s="101">
        <f t="shared" ca="1" si="195"/>
        <v>0.6798560321531264</v>
      </c>
      <c r="E3383" s="101">
        <f t="shared" ca="1" si="196"/>
        <v>0</v>
      </c>
      <c r="F3383" s="21">
        <f t="shared" ca="1" si="197"/>
        <v>0</v>
      </c>
      <c r="H3383" s="21">
        <v>3368</v>
      </c>
      <c r="I3383" s="102">
        <v>0.66776657177481569</v>
      </c>
      <c r="J3383" s="103">
        <v>1.3249800462984765E-3</v>
      </c>
      <c r="K3383" s="103"/>
      <c r="L3383" s="103">
        <v>4.2799999999999998E-2</v>
      </c>
      <c r="O3383" s="100"/>
    </row>
    <row r="3384" spans="2:15" x14ac:dyDescent="0.2">
      <c r="B3384" s="1">
        <v>3369</v>
      </c>
      <c r="C3384" s="101">
        <f ca="1"/>
        <v>-1.3543479542278856</v>
      </c>
      <c r="D3384" s="101">
        <f t="shared" ca="1" si="195"/>
        <v>0.58140259898123103</v>
      </c>
      <c r="E3384" s="101">
        <f t="shared" ca="1" si="196"/>
        <v>0</v>
      </c>
      <c r="F3384" s="21">
        <f t="shared" ca="1" si="197"/>
        <v>0</v>
      </c>
      <c r="H3384" s="21">
        <v>3369</v>
      </c>
      <c r="I3384" s="102">
        <v>0.667795475724004</v>
      </c>
      <c r="J3384" s="103">
        <v>1.4136326491498694E-3</v>
      </c>
      <c r="K3384" s="103"/>
      <c r="L3384" s="103">
        <v>4.2000000000000003E-2</v>
      </c>
      <c r="O3384" s="100"/>
    </row>
    <row r="3385" spans="2:15" x14ac:dyDescent="0.2">
      <c r="B3385" s="1">
        <v>3370</v>
      </c>
      <c r="C3385" s="101">
        <f ca="1"/>
        <v>1.3588787617355234</v>
      </c>
      <c r="D3385" s="101">
        <f t="shared" ca="1" si="195"/>
        <v>0.7598186137629438</v>
      </c>
      <c r="E3385" s="101">
        <f t="shared" ca="1" si="196"/>
        <v>0</v>
      </c>
      <c r="F3385" s="21">
        <f t="shared" ca="1" si="197"/>
        <v>0</v>
      </c>
      <c r="H3385" s="21">
        <v>3370</v>
      </c>
      <c r="I3385" s="102">
        <v>0.66778520753199966</v>
      </c>
      <c r="J3385" s="103">
        <v>1.3269637903181256E-3</v>
      </c>
      <c r="K3385" s="103"/>
      <c r="L3385" s="103">
        <v>3.8800000000000001E-2</v>
      </c>
      <c r="O3385" s="100"/>
    </row>
    <row r="3386" spans="2:15" x14ac:dyDescent="0.2">
      <c r="B3386" s="1">
        <v>3371</v>
      </c>
      <c r="C3386" s="101">
        <f ca="1"/>
        <v>-5.9730541749611794E-2</v>
      </c>
      <c r="D3386" s="101">
        <f t="shared" ca="1" si="195"/>
        <v>0.66059849601167209</v>
      </c>
      <c r="E3386" s="101">
        <f t="shared" ca="1" si="196"/>
        <v>0</v>
      </c>
      <c r="F3386" s="21">
        <f t="shared" ca="1" si="197"/>
        <v>0</v>
      </c>
      <c r="H3386" s="21">
        <v>3371</v>
      </c>
      <c r="I3386" s="102">
        <v>0.66763977533864149</v>
      </c>
      <c r="J3386" s="103">
        <v>1.2902198472537533E-3</v>
      </c>
      <c r="K3386" s="103"/>
      <c r="L3386" s="103">
        <v>3.8600000000000002E-2</v>
      </c>
      <c r="O3386" s="100"/>
    </row>
    <row r="3387" spans="2:15" x14ac:dyDescent="0.2">
      <c r="B3387" s="1">
        <v>3372</v>
      </c>
      <c r="C3387" s="101">
        <f ca="1"/>
        <v>1.2826917061112684</v>
      </c>
      <c r="D3387" s="101">
        <f t="shared" ca="1" si="195"/>
        <v>0.75412983377558096</v>
      </c>
      <c r="E3387" s="101">
        <f t="shared" ca="1" si="196"/>
        <v>0</v>
      </c>
      <c r="F3387" s="21">
        <f t="shared" ca="1" si="197"/>
        <v>0</v>
      </c>
      <c r="H3387" s="21">
        <v>3372</v>
      </c>
      <c r="I3387" s="102">
        <v>0.66763570869666256</v>
      </c>
      <c r="J3387" s="103">
        <v>1.2670488928156632E-3</v>
      </c>
      <c r="K3387" s="103"/>
      <c r="L3387" s="103">
        <v>3.6999999999999998E-2</v>
      </c>
      <c r="O3387" s="100"/>
    </row>
    <row r="3388" spans="2:15" x14ac:dyDescent="0.2">
      <c r="B3388" s="1">
        <v>3373</v>
      </c>
      <c r="C3388" s="101">
        <f ca="1"/>
        <v>-1.229557199113215</v>
      </c>
      <c r="D3388" s="101">
        <f t="shared" ca="1" si="195"/>
        <v>0.58860361875644218</v>
      </c>
      <c r="E3388" s="101">
        <f t="shared" ca="1" si="196"/>
        <v>0</v>
      </c>
      <c r="F3388" s="21">
        <f t="shared" ca="1" si="197"/>
        <v>0</v>
      </c>
      <c r="H3388" s="21">
        <v>3373</v>
      </c>
      <c r="I3388" s="102">
        <v>0.66770691174578978</v>
      </c>
      <c r="J3388" s="103">
        <v>1.3406886555125288E-3</v>
      </c>
      <c r="K3388" s="103"/>
      <c r="L3388" s="103">
        <v>4.02E-2</v>
      </c>
      <c r="O3388" s="100"/>
    </row>
    <row r="3389" spans="2:15" x14ac:dyDescent="0.2">
      <c r="B3389" s="1">
        <v>3374</v>
      </c>
      <c r="C3389" s="101">
        <f ca="1"/>
        <v>-0.82799909338401001</v>
      </c>
      <c r="D3389" s="101">
        <f t="shared" ca="1" si="195"/>
        <v>0.61238624809534736</v>
      </c>
      <c r="E3389" s="101">
        <f t="shared" ca="1" si="196"/>
        <v>0</v>
      </c>
      <c r="F3389" s="21">
        <f t="shared" ca="1" si="197"/>
        <v>0</v>
      </c>
      <c r="H3389" s="21">
        <v>3374</v>
      </c>
      <c r="I3389" s="102">
        <v>0.66770860901708595</v>
      </c>
      <c r="J3389" s="103">
        <v>1.3721336487645536E-3</v>
      </c>
      <c r="K3389" s="103"/>
      <c r="L3389" s="103">
        <v>4.2000000000000003E-2</v>
      </c>
      <c r="O3389" s="100"/>
    </row>
    <row r="3390" spans="2:15" x14ac:dyDescent="0.2">
      <c r="B3390" s="1">
        <v>3375</v>
      </c>
      <c r="C3390" s="101">
        <f ca="1"/>
        <v>-1.2443913712442263</v>
      </c>
      <c r="D3390" s="101">
        <f t="shared" ca="1" si="195"/>
        <v>0.58774296704250095</v>
      </c>
      <c r="E3390" s="101">
        <f t="shared" ca="1" si="196"/>
        <v>0</v>
      </c>
      <c r="F3390" s="21">
        <f t="shared" ca="1" si="197"/>
        <v>0</v>
      </c>
      <c r="H3390" s="21">
        <v>3375</v>
      </c>
      <c r="I3390" s="102">
        <v>0.66782940247745182</v>
      </c>
      <c r="J3390" s="103">
        <v>1.4515315849576683E-3</v>
      </c>
      <c r="K3390" s="103"/>
      <c r="L3390" s="103">
        <v>4.5400000000000003E-2</v>
      </c>
      <c r="O3390" s="100"/>
    </row>
    <row r="3391" spans="2:15" x14ac:dyDescent="0.2">
      <c r="B3391" s="1">
        <v>3376</v>
      </c>
      <c r="C3391" s="101">
        <f ca="1"/>
        <v>-0.20410612562228087</v>
      </c>
      <c r="D3391" s="101">
        <f t="shared" ca="1" si="195"/>
        <v>0.65125732281637883</v>
      </c>
      <c r="E3391" s="101">
        <f t="shared" ca="1" si="196"/>
        <v>0</v>
      </c>
      <c r="F3391" s="21">
        <f t="shared" ca="1" si="197"/>
        <v>0</v>
      </c>
      <c r="H3391" s="21">
        <v>3376</v>
      </c>
      <c r="I3391" s="102">
        <v>0.66779473291864166</v>
      </c>
      <c r="J3391" s="103">
        <v>1.4829569716905619E-3</v>
      </c>
      <c r="K3391" s="103"/>
      <c r="L3391" s="103">
        <v>4.36E-2</v>
      </c>
      <c r="O3391" s="100"/>
    </row>
    <row r="3392" spans="2:15" x14ac:dyDescent="0.2">
      <c r="B3392" s="1">
        <v>3377</v>
      </c>
      <c r="C3392" s="101">
        <f ca="1"/>
        <v>0.31267406413852278</v>
      </c>
      <c r="D3392" s="101">
        <f t="shared" ca="1" si="195"/>
        <v>0.68531646227429033</v>
      </c>
      <c r="E3392" s="101">
        <f t="shared" ca="1" si="196"/>
        <v>0</v>
      </c>
      <c r="F3392" s="21">
        <f t="shared" ca="1" si="197"/>
        <v>0</v>
      </c>
      <c r="H3392" s="21">
        <v>3377</v>
      </c>
      <c r="I3392" s="102">
        <v>0.66772484899967643</v>
      </c>
      <c r="J3392" s="103">
        <v>1.3610502617061094E-3</v>
      </c>
      <c r="K3392" s="103"/>
      <c r="L3392" s="103">
        <v>0.04</v>
      </c>
      <c r="O3392" s="100"/>
    </row>
    <row r="3393" spans="2:15" x14ac:dyDescent="0.2">
      <c r="B3393" s="1">
        <v>3378</v>
      </c>
      <c r="C3393" s="101">
        <f ca="1"/>
        <v>0.24017015709434786</v>
      </c>
      <c r="D3393" s="101">
        <f t="shared" ca="1" si="195"/>
        <v>0.68043264519402347</v>
      </c>
      <c r="E3393" s="101">
        <f t="shared" ca="1" si="196"/>
        <v>0</v>
      </c>
      <c r="F3393" s="21">
        <f t="shared" ca="1" si="197"/>
        <v>0</v>
      </c>
      <c r="H3393" s="21">
        <v>3378</v>
      </c>
      <c r="I3393" s="102">
        <v>0.66775827279089883</v>
      </c>
      <c r="J3393" s="103">
        <v>1.4832485142955562E-3</v>
      </c>
      <c r="K3393" s="103"/>
      <c r="L3393" s="103">
        <v>4.3400000000000001E-2</v>
      </c>
      <c r="O3393" s="100"/>
    </row>
    <row r="3394" spans="2:15" x14ac:dyDescent="0.2">
      <c r="B3394" s="1">
        <v>3379</v>
      </c>
      <c r="C3394" s="101">
        <f ca="1"/>
        <v>-1.7647535392913729</v>
      </c>
      <c r="D3394" s="101">
        <f t="shared" ca="1" si="195"/>
        <v>0.55833576305071697</v>
      </c>
      <c r="E3394" s="101">
        <f t="shared" ca="1" si="196"/>
        <v>0</v>
      </c>
      <c r="F3394" s="21">
        <f t="shared" ca="1" si="197"/>
        <v>0</v>
      </c>
      <c r="H3394" s="21">
        <v>3379</v>
      </c>
      <c r="I3394" s="102">
        <v>0.66771362392747668</v>
      </c>
      <c r="J3394" s="103">
        <v>1.2314642305833456E-3</v>
      </c>
      <c r="K3394" s="103"/>
      <c r="L3394" s="103">
        <v>3.7199999999999997E-2</v>
      </c>
      <c r="O3394" s="100"/>
    </row>
    <row r="3395" spans="2:15" x14ac:dyDescent="0.2">
      <c r="B3395" s="1">
        <v>3380</v>
      </c>
      <c r="C3395" s="101">
        <f ca="1"/>
        <v>-6.4735924334835021E-2</v>
      </c>
      <c r="D3395" s="101">
        <f t="shared" ca="1" si="195"/>
        <v>0.66027241421878957</v>
      </c>
      <c r="E3395" s="101">
        <f t="shared" ca="1" si="196"/>
        <v>0</v>
      </c>
      <c r="F3395" s="21">
        <f t="shared" ca="1" si="197"/>
        <v>0</v>
      </c>
      <c r="H3395" s="21">
        <v>3380</v>
      </c>
      <c r="I3395" s="102">
        <v>0.66773468515430745</v>
      </c>
      <c r="J3395" s="103">
        <v>1.3025868570890619E-3</v>
      </c>
      <c r="K3395" s="103"/>
      <c r="L3395" s="103">
        <v>4.02E-2</v>
      </c>
      <c r="O3395" s="100"/>
    </row>
    <row r="3396" spans="2:15" x14ac:dyDescent="0.2">
      <c r="B3396" s="1">
        <v>3381</v>
      </c>
      <c r="C3396" s="101">
        <f ca="1"/>
        <v>0.69228268780486835</v>
      </c>
      <c r="D3396" s="101">
        <f t="shared" ca="1" si="195"/>
        <v>0.71146471095949282</v>
      </c>
      <c r="E3396" s="101">
        <f t="shared" ca="1" si="196"/>
        <v>0</v>
      </c>
      <c r="F3396" s="21">
        <f t="shared" ca="1" si="197"/>
        <v>0</v>
      </c>
      <c r="H3396" s="21">
        <v>3381</v>
      </c>
      <c r="I3396" s="102">
        <v>0.6679276883198797</v>
      </c>
      <c r="J3396" s="103">
        <v>1.4645331622535145E-3</v>
      </c>
      <c r="K3396" s="103"/>
      <c r="L3396" s="103">
        <v>4.5199999999999997E-2</v>
      </c>
      <c r="O3396" s="100"/>
    </row>
    <row r="3397" spans="2:15" x14ac:dyDescent="0.2">
      <c r="B3397" s="1">
        <v>3382</v>
      </c>
      <c r="C3397" s="101">
        <f ca="1"/>
        <v>0.64312804321557426</v>
      </c>
      <c r="D3397" s="101">
        <f t="shared" ca="1" si="195"/>
        <v>0.70802339639315703</v>
      </c>
      <c r="E3397" s="101">
        <f t="shared" ca="1" si="196"/>
        <v>0</v>
      </c>
      <c r="F3397" s="21">
        <f t="shared" ca="1" si="197"/>
        <v>0</v>
      </c>
      <c r="H3397" s="21">
        <v>3382</v>
      </c>
      <c r="I3397" s="102">
        <v>0.66781444772204723</v>
      </c>
      <c r="J3397" s="103">
        <v>1.5144898746753555E-3</v>
      </c>
      <c r="K3397" s="103"/>
      <c r="L3397" s="103">
        <v>4.5999999999999999E-2</v>
      </c>
      <c r="O3397" s="100"/>
    </row>
    <row r="3398" spans="2:15" x14ac:dyDescent="0.2">
      <c r="B3398" s="1">
        <v>3383</v>
      </c>
      <c r="C3398" s="101">
        <f ca="1"/>
        <v>-1.3581186120237259</v>
      </c>
      <c r="D3398" s="101">
        <f t="shared" ca="1" si="195"/>
        <v>0.58118639074911338</v>
      </c>
      <c r="E3398" s="101">
        <f t="shared" ca="1" si="196"/>
        <v>0</v>
      </c>
      <c r="F3398" s="21">
        <f t="shared" ca="1" si="197"/>
        <v>0</v>
      </c>
      <c r="H3398" s="21">
        <v>3383</v>
      </c>
      <c r="I3398" s="102">
        <v>0.66772890708648525</v>
      </c>
      <c r="J3398" s="103">
        <v>1.3040354662204076E-3</v>
      </c>
      <c r="K3398" s="103"/>
      <c r="L3398" s="103">
        <v>3.9800000000000002E-2</v>
      </c>
      <c r="O3398" s="100"/>
    </row>
    <row r="3399" spans="2:15" x14ac:dyDescent="0.2">
      <c r="B3399" s="1">
        <v>3384</v>
      </c>
      <c r="C3399" s="101">
        <f ca="1"/>
        <v>-0.21873750330923669</v>
      </c>
      <c r="D3399" s="101">
        <f t="shared" ca="1" si="195"/>
        <v>0.65031806811091175</v>
      </c>
      <c r="E3399" s="101">
        <f t="shared" ca="1" si="196"/>
        <v>0</v>
      </c>
      <c r="F3399" s="21">
        <f t="shared" ca="1" si="197"/>
        <v>0</v>
      </c>
      <c r="H3399" s="21">
        <v>3384</v>
      </c>
      <c r="I3399" s="102">
        <v>0.66776385679173067</v>
      </c>
      <c r="J3399" s="103">
        <v>1.3813325796730965E-3</v>
      </c>
      <c r="K3399" s="103"/>
      <c r="L3399" s="103">
        <v>4.48E-2</v>
      </c>
      <c r="O3399" s="100"/>
    </row>
    <row r="3400" spans="2:15" x14ac:dyDescent="0.2">
      <c r="B3400" s="1">
        <v>3385</v>
      </c>
      <c r="C3400" s="101">
        <f ca="1"/>
        <v>-5.5144170489513228E-2</v>
      </c>
      <c r="D3400" s="101">
        <f t="shared" ca="1" si="195"/>
        <v>0.66089742217698677</v>
      </c>
      <c r="E3400" s="101">
        <f t="shared" ca="1" si="196"/>
        <v>0</v>
      </c>
      <c r="F3400" s="21">
        <f t="shared" ca="1" si="197"/>
        <v>0</v>
      </c>
      <c r="H3400" s="21">
        <v>3385</v>
      </c>
      <c r="I3400" s="102">
        <v>0.66772317912647383</v>
      </c>
      <c r="J3400" s="103">
        <v>1.3538527626784475E-3</v>
      </c>
      <c r="K3400" s="103"/>
      <c r="L3400" s="103">
        <v>3.9199999999999999E-2</v>
      </c>
      <c r="O3400" s="100"/>
    </row>
    <row r="3401" spans="2:15" x14ac:dyDescent="0.2">
      <c r="B3401" s="1">
        <v>3386</v>
      </c>
      <c r="C3401" s="101">
        <f ca="1"/>
        <v>0.22184474831554862</v>
      </c>
      <c r="D3401" s="101">
        <f t="shared" ca="1" si="195"/>
        <v>0.67920377715820568</v>
      </c>
      <c r="E3401" s="101">
        <f t="shared" ca="1" si="196"/>
        <v>0</v>
      </c>
      <c r="F3401" s="21">
        <f t="shared" ca="1" si="197"/>
        <v>0</v>
      </c>
      <c r="H3401" s="21">
        <v>3386</v>
      </c>
      <c r="I3401" s="102">
        <v>0.66740597058064599</v>
      </c>
      <c r="J3401" s="103">
        <v>1.0147984117572977E-3</v>
      </c>
      <c r="K3401" s="103"/>
      <c r="L3401" s="103">
        <v>3.44E-2</v>
      </c>
      <c r="O3401" s="100"/>
    </row>
    <row r="3402" spans="2:15" x14ac:dyDescent="0.2">
      <c r="B3402" s="1">
        <v>3387</v>
      </c>
      <c r="C3402" s="101">
        <f ca="1"/>
        <v>0.97302840635936272</v>
      </c>
      <c r="D3402" s="101">
        <f t="shared" ca="1" si="195"/>
        <v>0.73144274600343029</v>
      </c>
      <c r="E3402" s="101">
        <f t="shared" ca="1" si="196"/>
        <v>0</v>
      </c>
      <c r="F3402" s="21">
        <f t="shared" ca="1" si="197"/>
        <v>0</v>
      </c>
      <c r="H3402" s="21">
        <v>3387</v>
      </c>
      <c r="I3402" s="102">
        <v>0.66784825316327301</v>
      </c>
      <c r="J3402" s="103">
        <v>1.4092098923262216E-3</v>
      </c>
      <c r="K3402" s="103"/>
      <c r="L3402" s="103">
        <v>4.3799999999999999E-2</v>
      </c>
      <c r="O3402" s="100"/>
    </row>
    <row r="3403" spans="2:15" x14ac:dyDescent="0.2">
      <c r="B3403" s="1">
        <v>3388</v>
      </c>
      <c r="C3403" s="101">
        <f ca="1"/>
        <v>0.55024552996766785</v>
      </c>
      <c r="D3403" s="101">
        <f t="shared" ca="1" si="195"/>
        <v>0.70156607396689552</v>
      </c>
      <c r="E3403" s="101">
        <f t="shared" ca="1" si="196"/>
        <v>0</v>
      </c>
      <c r="F3403" s="21">
        <f t="shared" ca="1" si="197"/>
        <v>0</v>
      </c>
      <c r="H3403" s="21">
        <v>3388</v>
      </c>
      <c r="I3403" s="102">
        <v>0.66768826816633464</v>
      </c>
      <c r="J3403" s="103">
        <v>1.3927468292946137E-3</v>
      </c>
      <c r="K3403" s="103"/>
      <c r="L3403" s="103">
        <v>4.2999999999999997E-2</v>
      </c>
      <c r="O3403" s="100"/>
    </row>
    <row r="3404" spans="2:15" x14ac:dyDescent="0.2">
      <c r="B3404" s="1">
        <v>3389</v>
      </c>
      <c r="C3404" s="101">
        <f ca="1"/>
        <v>0.33623220383463032</v>
      </c>
      <c r="D3404" s="101">
        <f t="shared" ca="1" si="195"/>
        <v>0.68691085668609586</v>
      </c>
      <c r="E3404" s="101">
        <f t="shared" ca="1" si="196"/>
        <v>0</v>
      </c>
      <c r="F3404" s="21">
        <f t="shared" ca="1" si="197"/>
        <v>0</v>
      </c>
      <c r="H3404" s="21">
        <v>3389</v>
      </c>
      <c r="I3404" s="102">
        <v>0.66773226083550463</v>
      </c>
      <c r="J3404" s="103">
        <v>1.2935997670284057E-3</v>
      </c>
      <c r="K3404" s="103"/>
      <c r="L3404" s="103">
        <v>3.7999999999999999E-2</v>
      </c>
      <c r="O3404" s="100"/>
    </row>
    <row r="3405" spans="2:15" x14ac:dyDescent="0.2">
      <c r="B3405" s="1">
        <v>3390</v>
      </c>
      <c r="C3405" s="101">
        <f ca="1"/>
        <v>-0.6133299186468073</v>
      </c>
      <c r="D3405" s="101">
        <f t="shared" ca="1" si="195"/>
        <v>0.62549194978309453</v>
      </c>
      <c r="E3405" s="101">
        <f t="shared" ca="1" si="196"/>
        <v>0</v>
      </c>
      <c r="F3405" s="21">
        <f t="shared" ca="1" si="197"/>
        <v>0</v>
      </c>
      <c r="H3405" s="21">
        <v>3390</v>
      </c>
      <c r="I3405" s="102">
        <v>0.66775611183094019</v>
      </c>
      <c r="J3405" s="103">
        <v>1.4787510846093516E-3</v>
      </c>
      <c r="K3405" s="103"/>
      <c r="L3405" s="103">
        <v>4.1000000000000002E-2</v>
      </c>
      <c r="O3405" s="100"/>
    </row>
    <row r="3406" spans="2:15" x14ac:dyDescent="0.2">
      <c r="B3406" s="1">
        <v>3391</v>
      </c>
      <c r="C3406" s="101">
        <f ca="1"/>
        <v>-0.20555883501185637</v>
      </c>
      <c r="D3406" s="101">
        <f t="shared" ca="1" si="195"/>
        <v>0.65116400616463943</v>
      </c>
      <c r="E3406" s="101">
        <f t="shared" ca="1" si="196"/>
        <v>0</v>
      </c>
      <c r="F3406" s="21">
        <f t="shared" ca="1" si="197"/>
        <v>0</v>
      </c>
      <c r="H3406" s="21">
        <v>3391</v>
      </c>
      <c r="I3406" s="102">
        <v>0.66767833350337524</v>
      </c>
      <c r="J3406" s="103">
        <v>1.3103923817290638E-3</v>
      </c>
      <c r="K3406" s="103"/>
      <c r="L3406" s="103">
        <v>4.2599999999999999E-2</v>
      </c>
      <c r="O3406" s="100"/>
    </row>
    <row r="3407" spans="2:15" x14ac:dyDescent="0.2">
      <c r="B3407" s="1">
        <v>3392</v>
      </c>
      <c r="C3407" s="101">
        <f ca="1"/>
        <v>-0.51687521132385861</v>
      </c>
      <c r="D3407" s="101">
        <f t="shared" ca="1" si="195"/>
        <v>0.63147154410769801</v>
      </c>
      <c r="E3407" s="101">
        <f t="shared" ca="1" si="196"/>
        <v>0</v>
      </c>
      <c r="F3407" s="21">
        <f t="shared" ca="1" si="197"/>
        <v>0</v>
      </c>
      <c r="H3407" s="21">
        <v>3392</v>
      </c>
      <c r="I3407" s="102">
        <v>0.66763784017431094</v>
      </c>
      <c r="J3407" s="103">
        <v>1.3267694168185152E-3</v>
      </c>
      <c r="K3407" s="103"/>
      <c r="L3407" s="103">
        <v>3.9800000000000002E-2</v>
      </c>
      <c r="O3407" s="100"/>
    </row>
    <row r="3408" spans="2:15" x14ac:dyDescent="0.2">
      <c r="B3408" s="1">
        <v>3393</v>
      </c>
      <c r="C3408" s="101">
        <f ca="1"/>
        <v>-0.63951971438348476</v>
      </c>
      <c r="D3408" s="101">
        <f t="shared" ref="D3408:D3471" ca="1" si="198">S0*EXP((μ-0.5*σ*σ)*T+σ*SQRT(T)*$C3408)</f>
        <v>0.62387814172409417</v>
      </c>
      <c r="E3408" s="101">
        <f t="shared" ref="E3408:E3471" ca="1" si="199">MAX(0,CP*(D3408-K))</f>
        <v>0</v>
      </c>
      <c r="F3408" s="21">
        <f t="shared" ref="F3408:F3471" ca="1" si="200">(CP*(D3408-K)&gt;0)*1</f>
        <v>0</v>
      </c>
      <c r="H3408" s="21">
        <v>3393</v>
      </c>
      <c r="I3408" s="102">
        <v>0.66786755597046266</v>
      </c>
      <c r="J3408" s="103">
        <v>1.4636017265487592E-3</v>
      </c>
      <c r="K3408" s="103"/>
      <c r="L3408" s="103">
        <v>4.6800000000000001E-2</v>
      </c>
      <c r="O3408" s="100"/>
    </row>
    <row r="3409" spans="2:15" x14ac:dyDescent="0.2">
      <c r="B3409" s="1">
        <v>3394</v>
      </c>
      <c r="C3409" s="101">
        <f ca="1"/>
        <v>0.8681789190776662</v>
      </c>
      <c r="D3409" s="101">
        <f t="shared" ca="1" si="198"/>
        <v>0.72391679059305458</v>
      </c>
      <c r="E3409" s="101">
        <f t="shared" ca="1" si="199"/>
        <v>0</v>
      </c>
      <c r="F3409" s="21">
        <f t="shared" ca="1" si="200"/>
        <v>0</v>
      </c>
      <c r="H3409" s="21">
        <v>3394</v>
      </c>
      <c r="I3409" s="102">
        <v>0.66788197263911753</v>
      </c>
      <c r="J3409" s="103">
        <v>1.5017875458516602E-3</v>
      </c>
      <c r="K3409" s="103"/>
      <c r="L3409" s="103">
        <v>4.2200000000000001E-2</v>
      </c>
      <c r="O3409" s="100"/>
    </row>
    <row r="3410" spans="2:15" x14ac:dyDescent="0.2">
      <c r="B3410" s="1">
        <v>3395</v>
      </c>
      <c r="C3410" s="101">
        <f ca="1"/>
        <v>-0.11229625764791017</v>
      </c>
      <c r="D3410" s="101">
        <f t="shared" ca="1" si="198"/>
        <v>0.65718205749175962</v>
      </c>
      <c r="E3410" s="101">
        <f t="shared" ca="1" si="199"/>
        <v>0</v>
      </c>
      <c r="F3410" s="21">
        <f t="shared" ca="1" si="200"/>
        <v>0</v>
      </c>
      <c r="H3410" s="21">
        <v>3395</v>
      </c>
      <c r="I3410" s="102">
        <v>0.66780819465394203</v>
      </c>
      <c r="J3410" s="103">
        <v>1.3528042149351918E-3</v>
      </c>
      <c r="K3410" s="103"/>
      <c r="L3410" s="103">
        <v>4.36E-2</v>
      </c>
      <c r="O3410" s="100"/>
    </row>
    <row r="3411" spans="2:15" x14ac:dyDescent="0.2">
      <c r="B3411" s="1">
        <v>3396</v>
      </c>
      <c r="C3411" s="101">
        <f ca="1"/>
        <v>0.14463525674582589</v>
      </c>
      <c r="D3411" s="101">
        <f t="shared" ca="1" si="198"/>
        <v>0.67405057794515655</v>
      </c>
      <c r="E3411" s="101">
        <f t="shared" ca="1" si="199"/>
        <v>0</v>
      </c>
      <c r="F3411" s="21">
        <f t="shared" ca="1" si="200"/>
        <v>0</v>
      </c>
      <c r="H3411" s="21">
        <v>3396</v>
      </c>
      <c r="I3411" s="102">
        <v>0.6676753853946763</v>
      </c>
      <c r="J3411" s="103">
        <v>1.2218485509851659E-3</v>
      </c>
      <c r="K3411" s="103"/>
      <c r="L3411" s="103">
        <v>4.0800000000000003E-2</v>
      </c>
      <c r="O3411" s="100"/>
    </row>
    <row r="3412" spans="2:15" x14ac:dyDescent="0.2">
      <c r="B3412" s="1">
        <v>3397</v>
      </c>
      <c r="C3412" s="101">
        <f ca="1"/>
        <v>-1.166511497997071</v>
      </c>
      <c r="D3412" s="101">
        <f t="shared" ca="1" si="198"/>
        <v>0.59227549830771398</v>
      </c>
      <c r="E3412" s="101">
        <f t="shared" ca="1" si="199"/>
        <v>0</v>
      </c>
      <c r="F3412" s="21">
        <f t="shared" ca="1" si="200"/>
        <v>0</v>
      </c>
      <c r="H3412" s="21">
        <v>3397</v>
      </c>
      <c r="I3412" s="102">
        <v>0.66765474344086839</v>
      </c>
      <c r="J3412" s="103">
        <v>1.3533714583989359E-3</v>
      </c>
      <c r="K3412" s="103"/>
      <c r="L3412" s="103">
        <v>4.1599999999999998E-2</v>
      </c>
      <c r="O3412" s="100"/>
    </row>
    <row r="3413" spans="2:15" x14ac:dyDescent="0.2">
      <c r="B3413" s="1">
        <v>3398</v>
      </c>
      <c r="C3413" s="101">
        <f ca="1"/>
        <v>-0.30785057869819149</v>
      </c>
      <c r="D3413" s="101">
        <f t="shared" ca="1" si="198"/>
        <v>0.64462667247447158</v>
      </c>
      <c r="E3413" s="101">
        <f t="shared" ca="1" si="199"/>
        <v>0</v>
      </c>
      <c r="F3413" s="21">
        <f t="shared" ca="1" si="200"/>
        <v>0</v>
      </c>
      <c r="H3413" s="21">
        <v>3398</v>
      </c>
      <c r="I3413" s="102">
        <v>0.66777051049602831</v>
      </c>
      <c r="J3413" s="103">
        <v>1.4441985203574592E-3</v>
      </c>
      <c r="K3413" s="103"/>
      <c r="L3413" s="103">
        <v>4.24E-2</v>
      </c>
      <c r="O3413" s="100"/>
    </row>
    <row r="3414" spans="2:15" x14ac:dyDescent="0.2">
      <c r="B3414" s="1">
        <v>3399</v>
      </c>
      <c r="C3414" s="101">
        <f ca="1"/>
        <v>0.41733789310431652</v>
      </c>
      <c r="D3414" s="101">
        <f t="shared" ca="1" si="198"/>
        <v>0.69242844150043925</v>
      </c>
      <c r="E3414" s="101">
        <f t="shared" ca="1" si="199"/>
        <v>0</v>
      </c>
      <c r="F3414" s="21">
        <f t="shared" ca="1" si="200"/>
        <v>0</v>
      </c>
      <c r="H3414" s="21">
        <v>3399</v>
      </c>
      <c r="I3414" s="102">
        <v>0.66758722800482651</v>
      </c>
      <c r="J3414" s="103">
        <v>1.144120458149326E-3</v>
      </c>
      <c r="K3414" s="103"/>
      <c r="L3414" s="103">
        <v>3.7600000000000001E-2</v>
      </c>
      <c r="O3414" s="100"/>
    </row>
    <row r="3415" spans="2:15" x14ac:dyDescent="0.2">
      <c r="B3415" s="1">
        <v>3400</v>
      </c>
      <c r="C3415" s="101">
        <f ca="1"/>
        <v>-0.76825233676187676</v>
      </c>
      <c r="D3415" s="101">
        <f t="shared" ca="1" si="198"/>
        <v>0.61600600204115741</v>
      </c>
      <c r="E3415" s="101">
        <f t="shared" ca="1" si="199"/>
        <v>0</v>
      </c>
      <c r="F3415" s="21">
        <f t="shared" ca="1" si="200"/>
        <v>0</v>
      </c>
      <c r="H3415" s="21">
        <v>3400</v>
      </c>
      <c r="I3415" s="102">
        <v>0.6676912549081041</v>
      </c>
      <c r="J3415" s="103">
        <v>1.3418099870681167E-3</v>
      </c>
      <c r="K3415" s="103"/>
      <c r="L3415" s="103">
        <v>4.6399999999999997E-2</v>
      </c>
      <c r="O3415" s="100"/>
    </row>
    <row r="3416" spans="2:15" x14ac:dyDescent="0.2">
      <c r="B3416" s="1">
        <v>3401</v>
      </c>
      <c r="C3416" s="101">
        <f ca="1"/>
        <v>0.7124056393622793</v>
      </c>
      <c r="D3416" s="101">
        <f t="shared" ca="1" si="198"/>
        <v>0.71287833865370986</v>
      </c>
      <c r="E3416" s="101">
        <f t="shared" ca="1" si="199"/>
        <v>0</v>
      </c>
      <c r="F3416" s="21">
        <f t="shared" ca="1" si="200"/>
        <v>0</v>
      </c>
      <c r="H3416" s="21">
        <v>3401</v>
      </c>
      <c r="I3416" s="102">
        <v>0.66767929288906414</v>
      </c>
      <c r="J3416" s="103">
        <v>1.3315605819542034E-3</v>
      </c>
      <c r="K3416" s="103"/>
      <c r="L3416" s="103">
        <v>4.02E-2</v>
      </c>
      <c r="O3416" s="100"/>
    </row>
    <row r="3417" spans="2:15" x14ac:dyDescent="0.2">
      <c r="B3417" s="1">
        <v>3402</v>
      </c>
      <c r="C3417" s="101">
        <f ca="1"/>
        <v>-0.95008260728092364</v>
      </c>
      <c r="D3417" s="101">
        <f t="shared" ca="1" si="198"/>
        <v>0.60505582597394725</v>
      </c>
      <c r="E3417" s="101">
        <f t="shared" ca="1" si="199"/>
        <v>0</v>
      </c>
      <c r="F3417" s="21">
        <f t="shared" ca="1" si="200"/>
        <v>0</v>
      </c>
      <c r="H3417" s="21">
        <v>3402</v>
      </c>
      <c r="I3417" s="102">
        <v>0.66767111511025778</v>
      </c>
      <c r="J3417" s="103">
        <v>1.1999231642584858E-3</v>
      </c>
      <c r="K3417" s="103"/>
      <c r="L3417" s="103">
        <v>4.0399999999999998E-2</v>
      </c>
      <c r="O3417" s="100"/>
    </row>
    <row r="3418" spans="2:15" x14ac:dyDescent="0.2">
      <c r="B3418" s="1">
        <v>3403</v>
      </c>
      <c r="C3418" s="101">
        <f ca="1"/>
        <v>0.25478025178493807</v>
      </c>
      <c r="D3418" s="101">
        <f t="shared" ca="1" si="198"/>
        <v>0.68141396384759778</v>
      </c>
      <c r="E3418" s="101">
        <f t="shared" ca="1" si="199"/>
        <v>0</v>
      </c>
      <c r="F3418" s="21">
        <f t="shared" ca="1" si="200"/>
        <v>0</v>
      </c>
      <c r="H3418" s="21">
        <v>3403</v>
      </c>
      <c r="I3418" s="102">
        <v>0.66784687771471507</v>
      </c>
      <c r="J3418" s="103">
        <v>1.4663318184906752E-3</v>
      </c>
      <c r="K3418" s="103"/>
      <c r="L3418" s="103">
        <v>4.2799999999999998E-2</v>
      </c>
      <c r="O3418" s="100"/>
    </row>
    <row r="3419" spans="2:15" x14ac:dyDescent="0.2">
      <c r="B3419" s="1">
        <v>3404</v>
      </c>
      <c r="C3419" s="101">
        <f ca="1"/>
        <v>0.8518999363065447</v>
      </c>
      <c r="D3419" s="101">
        <f t="shared" ca="1" si="198"/>
        <v>0.72275527199011302</v>
      </c>
      <c r="E3419" s="101">
        <f t="shared" ca="1" si="199"/>
        <v>0</v>
      </c>
      <c r="F3419" s="21">
        <f t="shared" ca="1" si="200"/>
        <v>0</v>
      </c>
      <c r="H3419" s="21">
        <v>3404</v>
      </c>
      <c r="I3419" s="102">
        <v>0.66770910386930205</v>
      </c>
      <c r="J3419" s="103">
        <v>1.2777362791209707E-3</v>
      </c>
      <c r="K3419" s="103"/>
      <c r="L3419" s="103">
        <v>4.0599999999999997E-2</v>
      </c>
      <c r="O3419" s="100"/>
    </row>
    <row r="3420" spans="2:15" x14ac:dyDescent="0.2">
      <c r="B3420" s="1">
        <v>3405</v>
      </c>
      <c r="C3420" s="101">
        <f ca="1"/>
        <v>0.22076790823428746</v>
      </c>
      <c r="D3420" s="101">
        <f t="shared" ca="1" si="198"/>
        <v>0.67913163533068022</v>
      </c>
      <c r="E3420" s="101">
        <f t="shared" ca="1" si="199"/>
        <v>0</v>
      </c>
      <c r="F3420" s="21">
        <f t="shared" ca="1" si="200"/>
        <v>0</v>
      </c>
      <c r="H3420" s="21">
        <v>3405</v>
      </c>
      <c r="I3420" s="102">
        <v>0.66771327501683575</v>
      </c>
      <c r="J3420" s="103">
        <v>1.2642342852069242E-3</v>
      </c>
      <c r="K3420" s="103"/>
      <c r="L3420" s="103">
        <v>3.9800000000000002E-2</v>
      </c>
      <c r="O3420" s="100"/>
    </row>
    <row r="3421" spans="2:15" x14ac:dyDescent="0.2">
      <c r="B3421" s="1">
        <v>3406</v>
      </c>
      <c r="C3421" s="101">
        <f ca="1"/>
        <v>-0.7684415324198508</v>
      </c>
      <c r="D3421" s="101">
        <f t="shared" ca="1" si="198"/>
        <v>0.61599450592993021</v>
      </c>
      <c r="E3421" s="101">
        <f t="shared" ca="1" si="199"/>
        <v>0</v>
      </c>
      <c r="F3421" s="21">
        <f t="shared" ca="1" si="200"/>
        <v>0</v>
      </c>
      <c r="H3421" s="21">
        <v>3406</v>
      </c>
      <c r="I3421" s="102">
        <v>0.66782285288490251</v>
      </c>
      <c r="J3421" s="103">
        <v>1.418665413722837E-3</v>
      </c>
      <c r="K3421" s="103"/>
      <c r="L3421" s="103">
        <v>4.2799999999999998E-2</v>
      </c>
      <c r="O3421" s="100"/>
    </row>
    <row r="3422" spans="2:15" x14ac:dyDescent="0.2">
      <c r="B3422" s="1">
        <v>3407</v>
      </c>
      <c r="C3422" s="101">
        <f ca="1"/>
        <v>-1.0346394430746633</v>
      </c>
      <c r="D3422" s="101">
        <f t="shared" ca="1" si="198"/>
        <v>0.60003016546396581</v>
      </c>
      <c r="E3422" s="101">
        <f t="shared" ca="1" si="199"/>
        <v>0</v>
      </c>
      <c r="F3422" s="21">
        <f t="shared" ca="1" si="200"/>
        <v>0</v>
      </c>
      <c r="H3422" s="21">
        <v>3407</v>
      </c>
      <c r="I3422" s="102">
        <v>0.66777189794331659</v>
      </c>
      <c r="J3422" s="103">
        <v>1.4235411796138036E-3</v>
      </c>
      <c r="K3422" s="103"/>
      <c r="L3422" s="103">
        <v>4.2799999999999998E-2</v>
      </c>
      <c r="O3422" s="100"/>
    </row>
    <row r="3423" spans="2:15" x14ac:dyDescent="0.2">
      <c r="B3423" s="1">
        <v>3408</v>
      </c>
      <c r="C3423" s="101">
        <f ca="1"/>
        <v>1.4563687455910921</v>
      </c>
      <c r="D3423" s="101">
        <f t="shared" ca="1" si="198"/>
        <v>0.76716068690271777</v>
      </c>
      <c r="E3423" s="101">
        <f t="shared" ca="1" si="199"/>
        <v>0</v>
      </c>
      <c r="F3423" s="21">
        <f t="shared" ca="1" si="200"/>
        <v>0</v>
      </c>
      <c r="H3423" s="21">
        <v>3408</v>
      </c>
      <c r="I3423" s="102">
        <v>0.66775958180704276</v>
      </c>
      <c r="J3423" s="103">
        <v>1.3818225137682764E-3</v>
      </c>
      <c r="K3423" s="103"/>
      <c r="L3423" s="103">
        <v>4.2999999999999997E-2</v>
      </c>
      <c r="O3423" s="100"/>
    </row>
    <row r="3424" spans="2:15" x14ac:dyDescent="0.2">
      <c r="B3424" s="1">
        <v>3409</v>
      </c>
      <c r="C3424" s="101">
        <f ca="1"/>
        <v>-0.45627030203690067</v>
      </c>
      <c r="D3424" s="101">
        <f t="shared" ca="1" si="198"/>
        <v>0.6352578812015296</v>
      </c>
      <c r="E3424" s="101">
        <f t="shared" ca="1" si="199"/>
        <v>0</v>
      </c>
      <c r="F3424" s="21">
        <f t="shared" ca="1" si="200"/>
        <v>0</v>
      </c>
      <c r="H3424" s="21">
        <v>3409</v>
      </c>
      <c r="I3424" s="102">
        <v>0.66779760097976371</v>
      </c>
      <c r="J3424" s="103">
        <v>1.4320423685147909E-3</v>
      </c>
      <c r="K3424" s="103"/>
      <c r="L3424" s="103">
        <v>0.04</v>
      </c>
      <c r="O3424" s="100"/>
    </row>
    <row r="3425" spans="2:15" x14ac:dyDescent="0.2">
      <c r="B3425" s="1">
        <v>3410</v>
      </c>
      <c r="C3425" s="101">
        <f ca="1"/>
        <v>-0.48803559169013444</v>
      </c>
      <c r="D3425" s="101">
        <f t="shared" ca="1" si="198"/>
        <v>0.63327049826275805</v>
      </c>
      <c r="E3425" s="101">
        <f t="shared" ca="1" si="199"/>
        <v>0</v>
      </c>
      <c r="F3425" s="21">
        <f t="shared" ca="1" si="200"/>
        <v>0</v>
      </c>
      <c r="H3425" s="21">
        <v>3410</v>
      </c>
      <c r="I3425" s="102">
        <v>0.66766189011275467</v>
      </c>
      <c r="J3425" s="103">
        <v>1.1683994778964736E-3</v>
      </c>
      <c r="K3425" s="103"/>
      <c r="L3425" s="103">
        <v>4.2200000000000001E-2</v>
      </c>
      <c r="O3425" s="100"/>
    </row>
    <row r="3426" spans="2:15" x14ac:dyDescent="0.2">
      <c r="B3426" s="1">
        <v>3411</v>
      </c>
      <c r="C3426" s="101">
        <f ca="1"/>
        <v>-0.39074699509223509</v>
      </c>
      <c r="D3426" s="101">
        <f t="shared" ca="1" si="198"/>
        <v>0.63937704455802047</v>
      </c>
      <c r="E3426" s="101">
        <f t="shared" ca="1" si="199"/>
        <v>0</v>
      </c>
      <c r="F3426" s="21">
        <f t="shared" ca="1" si="200"/>
        <v>0</v>
      </c>
      <c r="H3426" s="21">
        <v>3411</v>
      </c>
      <c r="I3426" s="102">
        <v>0.66766204642579086</v>
      </c>
      <c r="J3426" s="103">
        <v>1.3859378701977132E-3</v>
      </c>
      <c r="K3426" s="103"/>
      <c r="L3426" s="103">
        <v>4.02E-2</v>
      </c>
      <c r="O3426" s="100"/>
    </row>
    <row r="3427" spans="2:15" x14ac:dyDescent="0.2">
      <c r="B3427" s="1">
        <v>3412</v>
      </c>
      <c r="C3427" s="101">
        <f ca="1"/>
        <v>-0.54532721223107761</v>
      </c>
      <c r="D3427" s="101">
        <f t="shared" ca="1" si="198"/>
        <v>0.6297017766349251</v>
      </c>
      <c r="E3427" s="101">
        <f t="shared" ca="1" si="199"/>
        <v>0</v>
      </c>
      <c r="F3427" s="21">
        <f t="shared" ca="1" si="200"/>
        <v>0</v>
      </c>
      <c r="H3427" s="21">
        <v>3412</v>
      </c>
      <c r="I3427" s="102">
        <v>0.66770964193700966</v>
      </c>
      <c r="J3427" s="103">
        <v>1.3517336734260917E-3</v>
      </c>
      <c r="K3427" s="103"/>
      <c r="L3427" s="103">
        <v>3.9399999999999998E-2</v>
      </c>
      <c r="O3427" s="100"/>
    </row>
    <row r="3428" spans="2:15" x14ac:dyDescent="0.2">
      <c r="B3428" s="1">
        <v>3413</v>
      </c>
      <c r="C3428" s="101">
        <f ca="1"/>
        <v>-1.0549012559003232</v>
      </c>
      <c r="D3428" s="101">
        <f t="shared" ca="1" si="198"/>
        <v>0.59883211157123362</v>
      </c>
      <c r="E3428" s="101">
        <f t="shared" ca="1" si="199"/>
        <v>0</v>
      </c>
      <c r="F3428" s="21">
        <f t="shared" ca="1" si="200"/>
        <v>0</v>
      </c>
      <c r="H3428" s="21">
        <v>3413</v>
      </c>
      <c r="I3428" s="102">
        <v>0.66784498416747806</v>
      </c>
      <c r="J3428" s="103">
        <v>1.4034666724328879E-3</v>
      </c>
      <c r="K3428" s="103"/>
      <c r="L3428" s="103">
        <v>4.24E-2</v>
      </c>
      <c r="O3428" s="100"/>
    </row>
    <row r="3429" spans="2:15" x14ac:dyDescent="0.2">
      <c r="B3429" s="1">
        <v>3414</v>
      </c>
      <c r="C3429" s="101">
        <f ca="1"/>
        <v>0.20658796919981279</v>
      </c>
      <c r="D3429" s="101">
        <f t="shared" ca="1" si="198"/>
        <v>0.67818237893691191</v>
      </c>
      <c r="E3429" s="101">
        <f t="shared" ca="1" si="199"/>
        <v>0</v>
      </c>
      <c r="F3429" s="21">
        <f t="shared" ca="1" si="200"/>
        <v>0</v>
      </c>
      <c r="H3429" s="21">
        <v>3414</v>
      </c>
      <c r="I3429" s="102">
        <v>0.66775204730479509</v>
      </c>
      <c r="J3429" s="103">
        <v>1.4396531461173417E-3</v>
      </c>
      <c r="K3429" s="103"/>
      <c r="L3429" s="103">
        <v>4.4200000000000003E-2</v>
      </c>
      <c r="O3429" s="100"/>
    </row>
    <row r="3430" spans="2:15" x14ac:dyDescent="0.2">
      <c r="B3430" s="1">
        <v>3415</v>
      </c>
      <c r="C3430" s="101">
        <f ca="1"/>
        <v>-0.47188630025820671</v>
      </c>
      <c r="D3430" s="101">
        <f t="shared" ca="1" si="198"/>
        <v>0.63428009418474807</v>
      </c>
      <c r="E3430" s="101">
        <f t="shared" ca="1" si="199"/>
        <v>0</v>
      </c>
      <c r="F3430" s="21">
        <f t="shared" ca="1" si="200"/>
        <v>0</v>
      </c>
      <c r="H3430" s="21">
        <v>3415</v>
      </c>
      <c r="I3430" s="102">
        <v>0.66772653633384993</v>
      </c>
      <c r="J3430" s="103">
        <v>1.4467830087316407E-3</v>
      </c>
      <c r="K3430" s="103"/>
      <c r="L3430" s="103">
        <v>4.1200000000000001E-2</v>
      </c>
      <c r="O3430" s="100"/>
    </row>
    <row r="3431" spans="2:15" x14ac:dyDescent="0.2">
      <c r="B3431" s="1">
        <v>3416</v>
      </c>
      <c r="C3431" s="101">
        <f ca="1"/>
        <v>1.0676466841854595</v>
      </c>
      <c r="D3431" s="101">
        <f t="shared" ca="1" si="198"/>
        <v>0.73830145769608002</v>
      </c>
      <c r="E3431" s="101">
        <f t="shared" ca="1" si="199"/>
        <v>0</v>
      </c>
      <c r="F3431" s="21">
        <f t="shared" ca="1" si="200"/>
        <v>0</v>
      </c>
      <c r="H3431" s="21">
        <v>3416</v>
      </c>
      <c r="I3431" s="102">
        <v>0.66771112291907964</v>
      </c>
      <c r="J3431" s="103">
        <v>1.3124108485886232E-3</v>
      </c>
      <c r="K3431" s="103"/>
      <c r="L3431" s="103">
        <v>4.1200000000000001E-2</v>
      </c>
      <c r="O3431" s="100"/>
    </row>
    <row r="3432" spans="2:15" x14ac:dyDescent="0.2">
      <c r="B3432" s="1">
        <v>3417</v>
      </c>
      <c r="C3432" s="101">
        <f ca="1"/>
        <v>-0.77218816035154203</v>
      </c>
      <c r="D3432" s="101">
        <f t="shared" ca="1" si="198"/>
        <v>0.61576689345727276</v>
      </c>
      <c r="E3432" s="101">
        <f t="shared" ca="1" si="199"/>
        <v>0</v>
      </c>
      <c r="F3432" s="21">
        <f t="shared" ca="1" si="200"/>
        <v>0</v>
      </c>
      <c r="H3432" s="21">
        <v>3417</v>
      </c>
      <c r="I3432" s="102">
        <v>0.66787670247645814</v>
      </c>
      <c r="J3432" s="103">
        <v>1.4677931811792671E-3</v>
      </c>
      <c r="K3432" s="103"/>
      <c r="L3432" s="103">
        <v>4.3999999999999997E-2</v>
      </c>
      <c r="O3432" s="100"/>
    </row>
    <row r="3433" spans="2:15" x14ac:dyDescent="0.2">
      <c r="B3433" s="1">
        <v>3418</v>
      </c>
      <c r="C3433" s="101">
        <f ca="1"/>
        <v>-1.8319900746844811</v>
      </c>
      <c r="D3433" s="101">
        <f t="shared" ca="1" si="198"/>
        <v>0.55464496498694127</v>
      </c>
      <c r="E3433" s="101">
        <f t="shared" ca="1" si="199"/>
        <v>0</v>
      </c>
      <c r="F3433" s="21">
        <f t="shared" ca="1" si="200"/>
        <v>0</v>
      </c>
      <c r="H3433" s="21">
        <v>3418</v>
      </c>
      <c r="I3433" s="102">
        <v>0.66772078912464139</v>
      </c>
      <c r="J3433" s="103">
        <v>1.3360009681475436E-3</v>
      </c>
      <c r="K3433" s="103"/>
      <c r="L3433" s="103">
        <v>4.2599999999999999E-2</v>
      </c>
      <c r="O3433" s="100"/>
    </row>
    <row r="3434" spans="2:15" x14ac:dyDescent="0.2">
      <c r="B3434" s="1">
        <v>3419</v>
      </c>
      <c r="C3434" s="101">
        <f ca="1"/>
        <v>-1.0284241941372576</v>
      </c>
      <c r="D3434" s="101">
        <f t="shared" ca="1" si="198"/>
        <v>0.60039814498390076</v>
      </c>
      <c r="E3434" s="101">
        <f t="shared" ca="1" si="199"/>
        <v>0</v>
      </c>
      <c r="F3434" s="21">
        <f t="shared" ca="1" si="200"/>
        <v>0</v>
      </c>
      <c r="H3434" s="21">
        <v>3419</v>
      </c>
      <c r="I3434" s="102">
        <v>0.66763642028062753</v>
      </c>
      <c r="J3434" s="103">
        <v>1.1737463604418897E-3</v>
      </c>
      <c r="K3434" s="103"/>
      <c r="L3434" s="103">
        <v>3.8199999999999998E-2</v>
      </c>
      <c r="O3434" s="100"/>
    </row>
    <row r="3435" spans="2:15" x14ac:dyDescent="0.2">
      <c r="B3435" s="1">
        <v>3420</v>
      </c>
      <c r="C3435" s="101">
        <f ca="1"/>
        <v>0.4602904386947691</v>
      </c>
      <c r="D3435" s="101">
        <f t="shared" ca="1" si="198"/>
        <v>0.69536841260159354</v>
      </c>
      <c r="E3435" s="101">
        <f t="shared" ca="1" si="199"/>
        <v>0</v>
      </c>
      <c r="F3435" s="21">
        <f t="shared" ca="1" si="200"/>
        <v>0</v>
      </c>
      <c r="H3435" s="21">
        <v>3420</v>
      </c>
      <c r="I3435" s="102">
        <v>0.66783245157751614</v>
      </c>
      <c r="J3435" s="103">
        <v>1.3470657549426346E-3</v>
      </c>
      <c r="K3435" s="103"/>
      <c r="L3435" s="103">
        <v>4.36E-2</v>
      </c>
      <c r="O3435" s="100"/>
    </row>
    <row r="3436" spans="2:15" x14ac:dyDescent="0.2">
      <c r="B3436" s="1">
        <v>3421</v>
      </c>
      <c r="C3436" s="101">
        <f ca="1"/>
        <v>-1.2237464399003544</v>
      </c>
      <c r="D3436" s="101">
        <f t="shared" ca="1" si="198"/>
        <v>0.58894109187015709</v>
      </c>
      <c r="E3436" s="101">
        <f t="shared" ca="1" si="199"/>
        <v>0</v>
      </c>
      <c r="F3436" s="21">
        <f t="shared" ca="1" si="200"/>
        <v>0</v>
      </c>
      <c r="H3436" s="21">
        <v>3421</v>
      </c>
      <c r="I3436" s="102">
        <v>0.66784435397243702</v>
      </c>
      <c r="J3436" s="103">
        <v>1.4511882463394631E-3</v>
      </c>
      <c r="K3436" s="103"/>
      <c r="L3436" s="103">
        <v>4.2000000000000003E-2</v>
      </c>
      <c r="O3436" s="100"/>
    </row>
    <row r="3437" spans="2:15" x14ac:dyDescent="0.2">
      <c r="B3437" s="1">
        <v>3422</v>
      </c>
      <c r="C3437" s="101">
        <f ca="1"/>
        <v>-1.0784592209888491</v>
      </c>
      <c r="D3437" s="101">
        <f t="shared" ca="1" si="198"/>
        <v>0.59744216774569592</v>
      </c>
      <c r="E3437" s="101">
        <f t="shared" ca="1" si="199"/>
        <v>0</v>
      </c>
      <c r="F3437" s="21">
        <f t="shared" ca="1" si="200"/>
        <v>0</v>
      </c>
      <c r="H3437" s="21">
        <v>3422</v>
      </c>
      <c r="I3437" s="102">
        <v>0.66776111361636969</v>
      </c>
      <c r="J3437" s="103">
        <v>1.3322020316022724E-3</v>
      </c>
      <c r="K3437" s="103"/>
      <c r="L3437" s="103">
        <v>4.24E-2</v>
      </c>
      <c r="O3437" s="100"/>
    </row>
    <row r="3438" spans="2:15" x14ac:dyDescent="0.2">
      <c r="B3438" s="1">
        <v>3423</v>
      </c>
      <c r="C3438" s="101">
        <f ca="1"/>
        <v>2.7115735468669883E-2</v>
      </c>
      <c r="D3438" s="101">
        <f t="shared" ca="1" si="198"/>
        <v>0.66628190927298059</v>
      </c>
      <c r="E3438" s="101">
        <f t="shared" ca="1" si="199"/>
        <v>0</v>
      </c>
      <c r="F3438" s="21">
        <f t="shared" ca="1" si="200"/>
        <v>0</v>
      </c>
      <c r="H3438" s="21">
        <v>3423</v>
      </c>
      <c r="I3438" s="102">
        <v>0.66766811647011315</v>
      </c>
      <c r="J3438" s="103">
        <v>1.3004198498436303E-3</v>
      </c>
      <c r="K3438" s="103"/>
      <c r="L3438" s="103">
        <v>4.2999999999999997E-2</v>
      </c>
      <c r="O3438" s="100"/>
    </row>
    <row r="3439" spans="2:15" x14ac:dyDescent="0.2">
      <c r="B3439" s="1">
        <v>3424</v>
      </c>
      <c r="C3439" s="101">
        <f ca="1"/>
        <v>1.9709114387276339</v>
      </c>
      <c r="D3439" s="101">
        <f t="shared" ca="1" si="198"/>
        <v>0.80710312916030846</v>
      </c>
      <c r="E3439" s="101">
        <f t="shared" ca="1" si="199"/>
        <v>1.8903129160308452E-2</v>
      </c>
      <c r="F3439" s="21">
        <f t="shared" ca="1" si="200"/>
        <v>1</v>
      </c>
      <c r="H3439" s="21">
        <v>3424</v>
      </c>
      <c r="I3439" s="102">
        <v>0.66769507235608339</v>
      </c>
      <c r="J3439" s="103">
        <v>1.4200910535817205E-3</v>
      </c>
      <c r="K3439" s="103"/>
      <c r="L3439" s="103">
        <v>4.3200000000000002E-2</v>
      </c>
      <c r="O3439" s="100"/>
    </row>
    <row r="3440" spans="2:15" x14ac:dyDescent="0.2">
      <c r="B3440" s="1">
        <v>3425</v>
      </c>
      <c r="C3440" s="101">
        <f ca="1"/>
        <v>0.17821780054137434</v>
      </c>
      <c r="D3440" s="101">
        <f t="shared" ca="1" si="198"/>
        <v>0.67628715828065977</v>
      </c>
      <c r="E3440" s="101">
        <f t="shared" ca="1" si="199"/>
        <v>0</v>
      </c>
      <c r="F3440" s="21">
        <f t="shared" ca="1" si="200"/>
        <v>0</v>
      </c>
      <c r="H3440" s="21">
        <v>3425</v>
      </c>
      <c r="I3440" s="102">
        <v>0.66783885531204323</v>
      </c>
      <c r="J3440" s="103">
        <v>1.4519055145229239E-3</v>
      </c>
      <c r="K3440" s="103"/>
      <c r="L3440" s="103">
        <v>4.3400000000000001E-2</v>
      </c>
      <c r="O3440" s="100"/>
    </row>
    <row r="3441" spans="2:15" x14ac:dyDescent="0.2">
      <c r="B3441" s="1">
        <v>3426</v>
      </c>
      <c r="C3441" s="101">
        <f ca="1"/>
        <v>1.0888188279316744</v>
      </c>
      <c r="D3441" s="101">
        <f t="shared" ca="1" si="198"/>
        <v>0.73984497335662203</v>
      </c>
      <c r="E3441" s="101">
        <f t="shared" ca="1" si="199"/>
        <v>0</v>
      </c>
      <c r="F3441" s="21">
        <f t="shared" ca="1" si="200"/>
        <v>0</v>
      </c>
      <c r="H3441" s="21">
        <v>3426</v>
      </c>
      <c r="I3441" s="102">
        <v>0.66770992937284968</v>
      </c>
      <c r="J3441" s="103">
        <v>1.3230957887874122E-3</v>
      </c>
      <c r="K3441" s="103"/>
      <c r="L3441" s="103">
        <v>4.3400000000000001E-2</v>
      </c>
      <c r="O3441" s="100"/>
    </row>
    <row r="3442" spans="2:15" x14ac:dyDescent="0.2">
      <c r="B3442" s="1">
        <v>3427</v>
      </c>
      <c r="C3442" s="101">
        <f ca="1"/>
        <v>-1.3974730120045769</v>
      </c>
      <c r="D3442" s="101">
        <f t="shared" ca="1" si="198"/>
        <v>0.57893461599509166</v>
      </c>
      <c r="E3442" s="101">
        <f t="shared" ca="1" si="199"/>
        <v>0</v>
      </c>
      <c r="F3442" s="21">
        <f t="shared" ca="1" si="200"/>
        <v>0</v>
      </c>
      <c r="H3442" s="21">
        <v>3427</v>
      </c>
      <c r="I3442" s="102">
        <v>0.6677529139393108</v>
      </c>
      <c r="J3442" s="103">
        <v>1.4906023338481229E-3</v>
      </c>
      <c r="K3442" s="103"/>
      <c r="L3442" s="103">
        <v>4.1599999999999998E-2</v>
      </c>
      <c r="O3442" s="100"/>
    </row>
    <row r="3443" spans="2:15" x14ac:dyDescent="0.2">
      <c r="B3443" s="1">
        <v>3428</v>
      </c>
      <c r="C3443" s="101">
        <f ca="1"/>
        <v>0.47328239085528812</v>
      </c>
      <c r="D3443" s="101">
        <f t="shared" ca="1" si="198"/>
        <v>0.69626012865554521</v>
      </c>
      <c r="E3443" s="101">
        <f t="shared" ca="1" si="199"/>
        <v>0</v>
      </c>
      <c r="F3443" s="21">
        <f t="shared" ca="1" si="200"/>
        <v>0</v>
      </c>
      <c r="H3443" s="21">
        <v>3428</v>
      </c>
      <c r="I3443" s="102">
        <v>0.66779277671089943</v>
      </c>
      <c r="J3443" s="103">
        <v>1.3405863347612935E-3</v>
      </c>
      <c r="K3443" s="103"/>
      <c r="L3443" s="103">
        <v>4.2799999999999998E-2</v>
      </c>
      <c r="O3443" s="100"/>
    </row>
    <row r="3444" spans="2:15" x14ac:dyDescent="0.2">
      <c r="B3444" s="1">
        <v>3429</v>
      </c>
      <c r="C3444" s="101">
        <f ca="1"/>
        <v>0.7785729295431405</v>
      </c>
      <c r="D3444" s="101">
        <f t="shared" ca="1" si="198"/>
        <v>0.71754639104789086</v>
      </c>
      <c r="E3444" s="101">
        <f t="shared" ca="1" si="199"/>
        <v>0</v>
      </c>
      <c r="F3444" s="21">
        <f t="shared" ca="1" si="200"/>
        <v>0</v>
      </c>
      <c r="H3444" s="21">
        <v>3429</v>
      </c>
      <c r="I3444" s="102">
        <v>0.66763615927863773</v>
      </c>
      <c r="J3444" s="103">
        <v>1.2613950026709481E-3</v>
      </c>
      <c r="K3444" s="103"/>
      <c r="L3444" s="103">
        <v>3.7400000000000003E-2</v>
      </c>
      <c r="O3444" s="100"/>
    </row>
    <row r="3445" spans="2:15" x14ac:dyDescent="0.2">
      <c r="B3445" s="1">
        <v>3430</v>
      </c>
      <c r="C3445" s="101">
        <f ca="1"/>
        <v>-0.53662256006544817</v>
      </c>
      <c r="D3445" s="101">
        <f t="shared" ca="1" si="198"/>
        <v>0.63024269497315577</v>
      </c>
      <c r="E3445" s="101">
        <f t="shared" ca="1" si="199"/>
        <v>0</v>
      </c>
      <c r="F3445" s="21">
        <f t="shared" ca="1" si="200"/>
        <v>0</v>
      </c>
      <c r="H3445" s="21">
        <v>3430</v>
      </c>
      <c r="I3445" s="102">
        <v>0.66767360267706155</v>
      </c>
      <c r="J3445" s="103">
        <v>1.2328527193574026E-3</v>
      </c>
      <c r="K3445" s="103"/>
      <c r="L3445" s="103">
        <v>3.78E-2</v>
      </c>
      <c r="O3445" s="100"/>
    </row>
    <row r="3446" spans="2:15" x14ac:dyDescent="0.2">
      <c r="B3446" s="1">
        <v>3431</v>
      </c>
      <c r="C3446" s="101">
        <f ca="1"/>
        <v>0.77294280425684736</v>
      </c>
      <c r="D3446" s="101">
        <f t="shared" ca="1" si="198"/>
        <v>0.71714800295064451</v>
      </c>
      <c r="E3446" s="101">
        <f t="shared" ca="1" si="199"/>
        <v>0</v>
      </c>
      <c r="F3446" s="21">
        <f t="shared" ca="1" si="200"/>
        <v>0</v>
      </c>
      <c r="H3446" s="21">
        <v>3431</v>
      </c>
      <c r="I3446" s="102">
        <v>0.66768376577633981</v>
      </c>
      <c r="J3446" s="103">
        <v>1.3476748817463618E-3</v>
      </c>
      <c r="K3446" s="103"/>
      <c r="L3446" s="103">
        <v>4.2999999999999997E-2</v>
      </c>
      <c r="O3446" s="100"/>
    </row>
    <row r="3447" spans="2:15" x14ac:dyDescent="0.2">
      <c r="B3447" s="1">
        <v>3432</v>
      </c>
      <c r="C3447" s="101">
        <f ca="1"/>
        <v>-0.43637650393234073</v>
      </c>
      <c r="D3447" s="101">
        <f t="shared" ca="1" si="198"/>
        <v>0.63650570383061167</v>
      </c>
      <c r="E3447" s="101">
        <f t="shared" ca="1" si="199"/>
        <v>0</v>
      </c>
      <c r="F3447" s="21">
        <f t="shared" ca="1" si="200"/>
        <v>0</v>
      </c>
      <c r="H3447" s="21">
        <v>3432</v>
      </c>
      <c r="I3447" s="102">
        <v>0.66774183172233037</v>
      </c>
      <c r="J3447" s="103">
        <v>1.3268127540224412E-3</v>
      </c>
      <c r="K3447" s="103"/>
      <c r="L3447" s="103">
        <v>3.9199999999999999E-2</v>
      </c>
      <c r="O3447" s="100"/>
    </row>
    <row r="3448" spans="2:15" x14ac:dyDescent="0.2">
      <c r="B3448" s="1">
        <v>3433</v>
      </c>
      <c r="C3448" s="101">
        <f ca="1"/>
        <v>-0.60499418181203646</v>
      </c>
      <c r="D3448" s="101">
        <f t="shared" ca="1" si="198"/>
        <v>0.62600647087378702</v>
      </c>
      <c r="E3448" s="101">
        <f t="shared" ca="1" si="199"/>
        <v>0</v>
      </c>
      <c r="F3448" s="21">
        <f t="shared" ca="1" si="200"/>
        <v>0</v>
      </c>
      <c r="H3448" s="21">
        <v>3433</v>
      </c>
      <c r="I3448" s="102">
        <v>0.66775819113234036</v>
      </c>
      <c r="J3448" s="103">
        <v>1.4035542612353539E-3</v>
      </c>
      <c r="K3448" s="103"/>
      <c r="L3448" s="103">
        <v>3.9800000000000002E-2</v>
      </c>
      <c r="O3448" s="100"/>
    </row>
    <row r="3449" spans="2:15" x14ac:dyDescent="0.2">
      <c r="B3449" s="1">
        <v>3434</v>
      </c>
      <c r="C3449" s="101">
        <f ca="1"/>
        <v>1.3799822032884275</v>
      </c>
      <c r="D3449" s="101">
        <f t="shared" ca="1" si="198"/>
        <v>0.76140195390590182</v>
      </c>
      <c r="E3449" s="101">
        <f t="shared" ca="1" si="199"/>
        <v>0</v>
      </c>
      <c r="F3449" s="21">
        <f t="shared" ca="1" si="200"/>
        <v>0</v>
      </c>
      <c r="H3449" s="21">
        <v>3434</v>
      </c>
      <c r="I3449" s="102">
        <v>0.66780399599143503</v>
      </c>
      <c r="J3449" s="103">
        <v>1.3880856441759667E-3</v>
      </c>
      <c r="K3449" s="103"/>
      <c r="L3449" s="103">
        <v>4.4200000000000003E-2</v>
      </c>
      <c r="O3449" s="100"/>
    </row>
    <row r="3450" spans="2:15" x14ac:dyDescent="0.2">
      <c r="B3450" s="1">
        <v>3435</v>
      </c>
      <c r="C3450" s="101">
        <f ca="1"/>
        <v>0.12758545539297347</v>
      </c>
      <c r="D3450" s="101">
        <f t="shared" ca="1" si="198"/>
        <v>0.6729179023084334</v>
      </c>
      <c r="E3450" s="101">
        <f t="shared" ca="1" si="199"/>
        <v>0</v>
      </c>
      <c r="F3450" s="21">
        <f t="shared" ca="1" si="200"/>
        <v>0</v>
      </c>
      <c r="H3450" s="21">
        <v>3435</v>
      </c>
      <c r="I3450" s="102">
        <v>0.66775004180451025</v>
      </c>
      <c r="J3450" s="103">
        <v>1.3516763066382378E-3</v>
      </c>
      <c r="K3450" s="103"/>
      <c r="L3450" s="103">
        <v>3.9800000000000002E-2</v>
      </c>
      <c r="O3450" s="100"/>
    </row>
    <row r="3451" spans="2:15" x14ac:dyDescent="0.2">
      <c r="B3451" s="1">
        <v>3436</v>
      </c>
      <c r="C3451" s="101">
        <f ca="1"/>
        <v>1.4933655150326968</v>
      </c>
      <c r="D3451" s="101">
        <f t="shared" ca="1" si="198"/>
        <v>0.76996548590022795</v>
      </c>
      <c r="E3451" s="101">
        <f t="shared" ca="1" si="199"/>
        <v>0</v>
      </c>
      <c r="F3451" s="21">
        <f t="shared" ca="1" si="200"/>
        <v>0</v>
      </c>
      <c r="H3451" s="21">
        <v>3436</v>
      </c>
      <c r="I3451" s="102">
        <v>0.66780781362580621</v>
      </c>
      <c r="J3451" s="103">
        <v>1.4358562519437082E-3</v>
      </c>
      <c r="K3451" s="103"/>
      <c r="L3451" s="103">
        <v>4.6800000000000001E-2</v>
      </c>
      <c r="O3451" s="100"/>
    </row>
    <row r="3452" spans="2:15" x14ac:dyDescent="0.2">
      <c r="B3452" s="1">
        <v>3437</v>
      </c>
      <c r="C3452" s="101">
        <f ca="1"/>
        <v>-1.1057541273880389</v>
      </c>
      <c r="D3452" s="101">
        <f t="shared" ca="1" si="198"/>
        <v>0.59583577451723369</v>
      </c>
      <c r="E3452" s="101">
        <f t="shared" ca="1" si="199"/>
        <v>0</v>
      </c>
      <c r="F3452" s="21">
        <f t="shared" ca="1" si="200"/>
        <v>0</v>
      </c>
      <c r="H3452" s="21">
        <v>3437</v>
      </c>
      <c r="I3452" s="102">
        <v>0.6677194571888061</v>
      </c>
      <c r="J3452" s="103">
        <v>1.4747734889966218E-3</v>
      </c>
      <c r="K3452" s="103"/>
      <c r="L3452" s="103">
        <v>4.3999999999999997E-2</v>
      </c>
      <c r="O3452" s="100"/>
    </row>
    <row r="3453" spans="2:15" x14ac:dyDescent="0.2">
      <c r="B3453" s="1">
        <v>3438</v>
      </c>
      <c r="C3453" s="101">
        <f ca="1"/>
        <v>-1.3411866123536558</v>
      </c>
      <c r="D3453" s="101">
        <f t="shared" ca="1" si="198"/>
        <v>0.58215789636820137</v>
      </c>
      <c r="E3453" s="101">
        <f t="shared" ca="1" si="199"/>
        <v>0</v>
      </c>
      <c r="F3453" s="21">
        <f t="shared" ca="1" si="200"/>
        <v>0</v>
      </c>
      <c r="H3453" s="21">
        <v>3438</v>
      </c>
      <c r="I3453" s="102">
        <v>0.66784437514432438</v>
      </c>
      <c r="J3453" s="103">
        <v>1.5926693229173575E-3</v>
      </c>
      <c r="K3453" s="103"/>
      <c r="L3453" s="103">
        <v>4.1399999999999999E-2</v>
      </c>
      <c r="O3453" s="100"/>
    </row>
    <row r="3454" spans="2:15" x14ac:dyDescent="0.2">
      <c r="B3454" s="1">
        <v>3439</v>
      </c>
      <c r="C3454" s="101">
        <f ca="1"/>
        <v>-1.9594359972472266</v>
      </c>
      <c r="D3454" s="101">
        <f t="shared" ca="1" si="198"/>
        <v>0.54771592722070306</v>
      </c>
      <c r="E3454" s="101">
        <f t="shared" ca="1" si="199"/>
        <v>0</v>
      </c>
      <c r="F3454" s="21">
        <f t="shared" ca="1" si="200"/>
        <v>0</v>
      </c>
      <c r="H3454" s="21">
        <v>3439</v>
      </c>
      <c r="I3454" s="102">
        <v>0.66775480135830645</v>
      </c>
      <c r="J3454" s="103">
        <v>1.3969799846464319E-3</v>
      </c>
      <c r="K3454" s="103"/>
      <c r="L3454" s="103">
        <v>4.1399999999999999E-2</v>
      </c>
      <c r="O3454" s="100"/>
    </row>
    <row r="3455" spans="2:15" x14ac:dyDescent="0.2">
      <c r="B3455" s="1">
        <v>3440</v>
      </c>
      <c r="C3455" s="101">
        <f ca="1"/>
        <v>3.4041856918339761E-3</v>
      </c>
      <c r="D3455" s="101">
        <f t="shared" ca="1" si="198"/>
        <v>0.66472533779855625</v>
      </c>
      <c r="E3455" s="101">
        <f t="shared" ca="1" si="199"/>
        <v>0</v>
      </c>
      <c r="F3455" s="21">
        <f t="shared" ca="1" si="200"/>
        <v>0</v>
      </c>
      <c r="H3455" s="21">
        <v>3440</v>
      </c>
      <c r="I3455" s="102">
        <v>0.66772980932458992</v>
      </c>
      <c r="J3455" s="103">
        <v>1.2522670622555118E-3</v>
      </c>
      <c r="K3455" s="103"/>
      <c r="L3455" s="103">
        <v>4.2999999999999997E-2</v>
      </c>
      <c r="O3455" s="100"/>
    </row>
    <row r="3456" spans="2:15" x14ac:dyDescent="0.2">
      <c r="B3456" s="1">
        <v>3441</v>
      </c>
      <c r="C3456" s="101">
        <f ca="1"/>
        <v>0.34422627454122401</v>
      </c>
      <c r="D3456" s="101">
        <f t="shared" ca="1" si="198"/>
        <v>0.68745273092916015</v>
      </c>
      <c r="E3456" s="101">
        <f t="shared" ca="1" si="199"/>
        <v>0</v>
      </c>
      <c r="F3456" s="21">
        <f t="shared" ca="1" si="200"/>
        <v>0</v>
      </c>
      <c r="H3456" s="21">
        <v>3441</v>
      </c>
      <c r="I3456" s="102">
        <v>0.66771221274840309</v>
      </c>
      <c r="J3456" s="103">
        <v>1.321884858230149E-3</v>
      </c>
      <c r="K3456" s="103"/>
      <c r="L3456" s="103">
        <v>4.0599999999999997E-2</v>
      </c>
      <c r="O3456" s="100"/>
    </row>
    <row r="3457" spans="2:15" x14ac:dyDescent="0.2">
      <c r="B3457" s="1">
        <v>3442</v>
      </c>
      <c r="C3457" s="101">
        <f ca="1"/>
        <v>0.36220335008101984</v>
      </c>
      <c r="D3457" s="101">
        <f t="shared" ca="1" si="198"/>
        <v>0.68867286036833697</v>
      </c>
      <c r="E3457" s="101">
        <f t="shared" ca="1" si="199"/>
        <v>0</v>
      </c>
      <c r="F3457" s="21">
        <f t="shared" ca="1" si="200"/>
        <v>0</v>
      </c>
      <c r="H3457" s="21">
        <v>3442</v>
      </c>
      <c r="I3457" s="102">
        <v>0.66762250852704397</v>
      </c>
      <c r="J3457" s="103">
        <v>1.118137382972291E-3</v>
      </c>
      <c r="K3457" s="103"/>
      <c r="L3457" s="103">
        <v>3.7600000000000001E-2</v>
      </c>
      <c r="O3457" s="100"/>
    </row>
    <row r="3458" spans="2:15" x14ac:dyDescent="0.2">
      <c r="B3458" s="1">
        <v>3443</v>
      </c>
      <c r="C3458" s="101">
        <f ca="1"/>
        <v>-0.86476361600827645</v>
      </c>
      <c r="D3458" s="101">
        <f t="shared" ca="1" si="198"/>
        <v>0.61016945063831673</v>
      </c>
      <c r="E3458" s="101">
        <f t="shared" ca="1" si="199"/>
        <v>0</v>
      </c>
      <c r="F3458" s="21">
        <f t="shared" ca="1" si="200"/>
        <v>0</v>
      </c>
      <c r="H3458" s="21">
        <v>3443</v>
      </c>
      <c r="I3458" s="102">
        <v>0.66757058733114005</v>
      </c>
      <c r="J3458" s="103">
        <v>1.1916926869828862E-3</v>
      </c>
      <c r="K3458" s="103"/>
      <c r="L3458" s="103">
        <v>3.8199999999999998E-2</v>
      </c>
      <c r="O3458" s="100"/>
    </row>
    <row r="3459" spans="2:15" x14ac:dyDescent="0.2">
      <c r="B3459" s="1">
        <v>3444</v>
      </c>
      <c r="C3459" s="101">
        <f ca="1"/>
        <v>-1.050760023469927</v>
      </c>
      <c r="D3459" s="101">
        <f t="shared" ca="1" si="198"/>
        <v>0.59907678245727591</v>
      </c>
      <c r="E3459" s="101">
        <f t="shared" ca="1" si="199"/>
        <v>0</v>
      </c>
      <c r="F3459" s="21">
        <f t="shared" ca="1" si="200"/>
        <v>0</v>
      </c>
      <c r="H3459" s="21">
        <v>3444</v>
      </c>
      <c r="I3459" s="102">
        <v>0.66768575671969255</v>
      </c>
      <c r="J3459" s="103">
        <v>1.3006042194269477E-3</v>
      </c>
      <c r="K3459" s="103"/>
      <c r="L3459" s="103">
        <v>4.24E-2</v>
      </c>
      <c r="O3459" s="100"/>
    </row>
    <row r="3460" spans="2:15" x14ac:dyDescent="0.2">
      <c r="B3460" s="1">
        <v>3445</v>
      </c>
      <c r="C3460" s="101">
        <f ca="1"/>
        <v>-0.20777668989315903</v>
      </c>
      <c r="D3460" s="101">
        <f t="shared" ca="1" si="198"/>
        <v>0.65102156519933729</v>
      </c>
      <c r="E3460" s="101">
        <f t="shared" ca="1" si="199"/>
        <v>0</v>
      </c>
      <c r="F3460" s="21">
        <f t="shared" ca="1" si="200"/>
        <v>0</v>
      </c>
      <c r="H3460" s="21">
        <v>3445</v>
      </c>
      <c r="I3460" s="102">
        <v>0.667754832737399</v>
      </c>
      <c r="J3460" s="103">
        <v>1.4447365681776038E-3</v>
      </c>
      <c r="K3460" s="103"/>
      <c r="L3460" s="103">
        <v>4.4200000000000003E-2</v>
      </c>
      <c r="O3460" s="100"/>
    </row>
    <row r="3461" spans="2:15" x14ac:dyDescent="0.2">
      <c r="B3461" s="1">
        <v>3446</v>
      </c>
      <c r="C3461" s="101">
        <f ca="1"/>
        <v>-1.2858896464966509</v>
      </c>
      <c r="D3461" s="101">
        <f t="shared" ca="1" si="198"/>
        <v>0.58534199108265994</v>
      </c>
      <c r="E3461" s="101">
        <f t="shared" ca="1" si="199"/>
        <v>0</v>
      </c>
      <c r="F3461" s="21">
        <f t="shared" ca="1" si="200"/>
        <v>0</v>
      </c>
      <c r="H3461" s="21">
        <v>3446</v>
      </c>
      <c r="I3461" s="102">
        <v>0.66776155869883047</v>
      </c>
      <c r="J3461" s="103">
        <v>1.3091659059075356E-3</v>
      </c>
      <c r="K3461" s="103"/>
      <c r="L3461" s="103">
        <v>3.8600000000000002E-2</v>
      </c>
      <c r="O3461" s="100"/>
    </row>
    <row r="3462" spans="2:15" x14ac:dyDescent="0.2">
      <c r="B3462" s="1">
        <v>3447</v>
      </c>
      <c r="C3462" s="101">
        <f ca="1"/>
        <v>-0.96600884630815087</v>
      </c>
      <c r="D3462" s="101">
        <f t="shared" ca="1" si="198"/>
        <v>0.60410603839274968</v>
      </c>
      <c r="E3462" s="101">
        <f t="shared" ca="1" si="199"/>
        <v>0</v>
      </c>
      <c r="F3462" s="21">
        <f t="shared" ca="1" si="200"/>
        <v>0</v>
      </c>
      <c r="H3462" s="21">
        <v>3447</v>
      </c>
      <c r="I3462" s="102">
        <v>0.66769025343458543</v>
      </c>
      <c r="J3462" s="103">
        <v>1.2051710764528431E-3</v>
      </c>
      <c r="K3462" s="103"/>
      <c r="L3462" s="103">
        <v>3.7999999999999999E-2</v>
      </c>
      <c r="O3462" s="100"/>
    </row>
    <row r="3463" spans="2:15" x14ac:dyDescent="0.2">
      <c r="B3463" s="1">
        <v>3448</v>
      </c>
      <c r="C3463" s="101">
        <f ca="1"/>
        <v>0.37594581252365022</v>
      </c>
      <c r="D3463" s="101">
        <f t="shared" ca="1" si="198"/>
        <v>0.68960704091721936</v>
      </c>
      <c r="E3463" s="101">
        <f t="shared" ca="1" si="199"/>
        <v>0</v>
      </c>
      <c r="F3463" s="21">
        <f t="shared" ca="1" si="200"/>
        <v>0</v>
      </c>
      <c r="H3463" s="21">
        <v>3448</v>
      </c>
      <c r="I3463" s="102">
        <v>0.66770143032846196</v>
      </c>
      <c r="J3463" s="103">
        <v>1.3847450598023848E-3</v>
      </c>
      <c r="K3463" s="103"/>
      <c r="L3463" s="103">
        <v>3.8399999999999997E-2</v>
      </c>
      <c r="O3463" s="100"/>
    </row>
    <row r="3464" spans="2:15" x14ac:dyDescent="0.2">
      <c r="B3464" s="1">
        <v>3449</v>
      </c>
      <c r="C3464" s="101">
        <f ca="1"/>
        <v>0.89024730785847228</v>
      </c>
      <c r="D3464" s="101">
        <f t="shared" ca="1" si="198"/>
        <v>0.72549436902695796</v>
      </c>
      <c r="E3464" s="101">
        <f t="shared" ca="1" si="199"/>
        <v>0</v>
      </c>
      <c r="F3464" s="21">
        <f t="shared" ca="1" si="200"/>
        <v>0</v>
      </c>
      <c r="H3464" s="21">
        <v>3449</v>
      </c>
      <c r="I3464" s="102">
        <v>0.66778434341182513</v>
      </c>
      <c r="J3464" s="103">
        <v>1.309207205737998E-3</v>
      </c>
      <c r="K3464" s="103"/>
      <c r="L3464" s="103">
        <v>4.48E-2</v>
      </c>
      <c r="O3464" s="100"/>
    </row>
    <row r="3465" spans="2:15" x14ac:dyDescent="0.2">
      <c r="B3465" s="1">
        <v>3450</v>
      </c>
      <c r="C3465" s="101">
        <f ca="1"/>
        <v>-1.7637968898947098</v>
      </c>
      <c r="D3465" s="101">
        <f t="shared" ca="1" si="198"/>
        <v>0.55838845298300799</v>
      </c>
      <c r="E3465" s="101">
        <f t="shared" ca="1" si="199"/>
        <v>0</v>
      </c>
      <c r="F3465" s="21">
        <f t="shared" ca="1" si="200"/>
        <v>0</v>
      </c>
      <c r="H3465" s="21">
        <v>3450</v>
      </c>
      <c r="I3465" s="102">
        <v>0.66764087476678979</v>
      </c>
      <c r="J3465" s="103">
        <v>1.2133343392828847E-3</v>
      </c>
      <c r="K3465" s="103"/>
      <c r="L3465" s="103">
        <v>4.1799999999999997E-2</v>
      </c>
      <c r="O3465" s="100"/>
    </row>
    <row r="3466" spans="2:15" x14ac:dyDescent="0.2">
      <c r="B3466" s="1">
        <v>3451</v>
      </c>
      <c r="C3466" s="101">
        <f ca="1"/>
        <v>-1.1348530795546319</v>
      </c>
      <c r="D3466" s="101">
        <f t="shared" ca="1" si="198"/>
        <v>0.59412796399555767</v>
      </c>
      <c r="E3466" s="101">
        <f t="shared" ca="1" si="199"/>
        <v>0</v>
      </c>
      <c r="F3466" s="21">
        <f t="shared" ca="1" si="200"/>
        <v>0</v>
      </c>
      <c r="H3466" s="21">
        <v>3451</v>
      </c>
      <c r="I3466" s="102">
        <v>0.66773006688168257</v>
      </c>
      <c r="J3466" s="103">
        <v>1.3360634887849103E-3</v>
      </c>
      <c r="K3466" s="103"/>
      <c r="L3466" s="103">
        <v>3.9800000000000002E-2</v>
      </c>
      <c r="O3466" s="100"/>
    </row>
    <row r="3467" spans="2:15" x14ac:dyDescent="0.2">
      <c r="B3467" s="1">
        <v>3452</v>
      </c>
      <c r="C3467" s="101">
        <f ca="1"/>
        <v>-7.4209220352347421E-2</v>
      </c>
      <c r="D3467" s="101">
        <f t="shared" ca="1" si="198"/>
        <v>0.65965570525251216</v>
      </c>
      <c r="E3467" s="101">
        <f t="shared" ca="1" si="199"/>
        <v>0</v>
      </c>
      <c r="F3467" s="21">
        <f t="shared" ca="1" si="200"/>
        <v>0</v>
      </c>
      <c r="H3467" s="21">
        <v>3452</v>
      </c>
      <c r="I3467" s="102">
        <v>0.66785227806336156</v>
      </c>
      <c r="J3467" s="103">
        <v>1.6244005785323533E-3</v>
      </c>
      <c r="K3467" s="103"/>
      <c r="L3467" s="103">
        <v>4.4999999999999998E-2</v>
      </c>
      <c r="O3467" s="100"/>
    </row>
    <row r="3468" spans="2:15" x14ac:dyDescent="0.2">
      <c r="B3468" s="1">
        <v>3453</v>
      </c>
      <c r="C3468" s="101">
        <f ca="1"/>
        <v>-4.3532302509389449E-2</v>
      </c>
      <c r="D3468" s="101">
        <f t="shared" ca="1" si="198"/>
        <v>0.6616548544302574</v>
      </c>
      <c r="E3468" s="101">
        <f t="shared" ca="1" si="199"/>
        <v>0</v>
      </c>
      <c r="F3468" s="21">
        <f t="shared" ca="1" si="200"/>
        <v>0</v>
      </c>
      <c r="H3468" s="21">
        <v>3453</v>
      </c>
      <c r="I3468" s="102">
        <v>0.6677075456241196</v>
      </c>
      <c r="J3468" s="103">
        <v>1.3041193705169343E-3</v>
      </c>
      <c r="K3468" s="103"/>
      <c r="L3468" s="103">
        <v>4.3200000000000002E-2</v>
      </c>
      <c r="O3468" s="100"/>
    </row>
    <row r="3469" spans="2:15" x14ac:dyDescent="0.2">
      <c r="B3469" s="1">
        <v>3454</v>
      </c>
      <c r="C3469" s="101">
        <f ca="1"/>
        <v>-0.53139843408234233</v>
      </c>
      <c r="D3469" s="101">
        <f t="shared" ca="1" si="198"/>
        <v>0.63056755200121484</v>
      </c>
      <c r="E3469" s="101">
        <f t="shared" ca="1" si="199"/>
        <v>0</v>
      </c>
      <c r="F3469" s="21">
        <f t="shared" ca="1" si="200"/>
        <v>0</v>
      </c>
      <c r="H3469" s="21">
        <v>3454</v>
      </c>
      <c r="I3469" s="102">
        <v>0.66777487814236725</v>
      </c>
      <c r="J3469" s="103">
        <v>1.4645858330690615E-3</v>
      </c>
      <c r="K3469" s="103"/>
      <c r="L3469" s="103">
        <v>3.9600000000000003E-2</v>
      </c>
      <c r="O3469" s="100"/>
    </row>
    <row r="3470" spans="2:15" x14ac:dyDescent="0.2">
      <c r="B3470" s="1">
        <v>3455</v>
      </c>
      <c r="C3470" s="101">
        <f ca="1"/>
        <v>-2.2561194881648943</v>
      </c>
      <c r="D3470" s="101">
        <f t="shared" ca="1" si="198"/>
        <v>0.53191915775149357</v>
      </c>
      <c r="E3470" s="101">
        <f t="shared" ca="1" si="199"/>
        <v>0</v>
      </c>
      <c r="F3470" s="21">
        <f t="shared" ca="1" si="200"/>
        <v>0</v>
      </c>
      <c r="H3470" s="21">
        <v>3455</v>
      </c>
      <c r="I3470" s="102">
        <v>0.6678835951548262</v>
      </c>
      <c r="J3470" s="103">
        <v>1.6137634278411148E-3</v>
      </c>
      <c r="K3470" s="103"/>
      <c r="L3470" s="103">
        <v>4.9599999999999998E-2</v>
      </c>
      <c r="O3470" s="100"/>
    </row>
    <row r="3471" spans="2:15" x14ac:dyDescent="0.2">
      <c r="B3471" s="1">
        <v>3456</v>
      </c>
      <c r="C3471" s="101">
        <f ca="1"/>
        <v>1.5526043921821877</v>
      </c>
      <c r="D3471" s="101">
        <f t="shared" ca="1" si="198"/>
        <v>0.77447787429079051</v>
      </c>
      <c r="E3471" s="101">
        <f t="shared" ca="1" si="199"/>
        <v>0</v>
      </c>
      <c r="F3471" s="21">
        <f t="shared" ca="1" si="200"/>
        <v>0</v>
      </c>
      <c r="H3471" s="21">
        <v>3456</v>
      </c>
      <c r="I3471" s="102">
        <v>0.66758041999321227</v>
      </c>
      <c r="J3471" s="103">
        <v>1.1458251563947989E-3</v>
      </c>
      <c r="K3471" s="103"/>
      <c r="L3471" s="103">
        <v>3.9199999999999999E-2</v>
      </c>
      <c r="O3471" s="100"/>
    </row>
    <row r="3472" spans="2:15" x14ac:dyDescent="0.2">
      <c r="B3472" s="1">
        <v>3457</v>
      </c>
      <c r="C3472" s="101">
        <f ca="1"/>
        <v>-1.2463792610153599</v>
      </c>
      <c r="D3472" s="101">
        <f t="shared" ref="D3472:D3535" ca="1" si="201">S0*EXP((μ-0.5*σ*σ)*T+σ*SQRT(T)*$C3472)</f>
        <v>0.58762772894986737</v>
      </c>
      <c r="E3472" s="101">
        <f t="shared" ref="E3472:E3535" ca="1" si="202">MAX(0,CP*(D3472-K))</f>
        <v>0</v>
      </c>
      <c r="F3472" s="21">
        <f t="shared" ref="F3472:F3535" ca="1" si="203">(CP*(D3472-K)&gt;0)*1</f>
        <v>0</v>
      </c>
      <c r="H3472" s="21">
        <v>3457</v>
      </c>
      <c r="I3472" s="102">
        <v>0.66778374451694522</v>
      </c>
      <c r="J3472" s="103">
        <v>1.35928329056396E-3</v>
      </c>
      <c r="K3472" s="103"/>
      <c r="L3472" s="103">
        <v>4.1000000000000002E-2</v>
      </c>
      <c r="O3472" s="100"/>
    </row>
    <row r="3473" spans="2:15" x14ac:dyDescent="0.2">
      <c r="B3473" s="1">
        <v>3458</v>
      </c>
      <c r="C3473" s="101">
        <f ca="1"/>
        <v>0.2719307464626381</v>
      </c>
      <c r="D3473" s="101">
        <f t="shared" ca="1" si="201"/>
        <v>0.68256771989638798</v>
      </c>
      <c r="E3473" s="101">
        <f t="shared" ca="1" si="202"/>
        <v>0</v>
      </c>
      <c r="F3473" s="21">
        <f t="shared" ca="1" si="203"/>
        <v>0</v>
      </c>
      <c r="H3473" s="21">
        <v>3458</v>
      </c>
      <c r="I3473" s="102">
        <v>0.66780283578683652</v>
      </c>
      <c r="J3473" s="103">
        <v>1.3863553755287391E-3</v>
      </c>
      <c r="K3473" s="103"/>
      <c r="L3473" s="103">
        <v>4.4600000000000001E-2</v>
      </c>
      <c r="O3473" s="100"/>
    </row>
    <row r="3474" spans="2:15" x14ac:dyDescent="0.2">
      <c r="B3474" s="1">
        <v>3459</v>
      </c>
      <c r="C3474" s="101">
        <f ca="1"/>
        <v>1.3135426356149567</v>
      </c>
      <c r="D3474" s="101">
        <f t="shared" ca="1" si="201"/>
        <v>0.75642827954392367</v>
      </c>
      <c r="E3474" s="101">
        <f t="shared" ca="1" si="202"/>
        <v>0</v>
      </c>
      <c r="F3474" s="21">
        <f t="shared" ca="1" si="203"/>
        <v>0</v>
      </c>
      <c r="H3474" s="21">
        <v>3459</v>
      </c>
      <c r="I3474" s="102">
        <v>0.66785154951781578</v>
      </c>
      <c r="J3474" s="103">
        <v>1.4015062447241592E-3</v>
      </c>
      <c r="K3474" s="103"/>
      <c r="L3474" s="103">
        <v>4.6199999999999998E-2</v>
      </c>
      <c r="O3474" s="100"/>
    </row>
    <row r="3475" spans="2:15" x14ac:dyDescent="0.2">
      <c r="B3475" s="1">
        <v>3460</v>
      </c>
      <c r="C3475" s="101">
        <f ca="1"/>
        <v>1.1925214372895614</v>
      </c>
      <c r="D3475" s="101">
        <f t="shared" ca="1" si="201"/>
        <v>0.74745195702391876</v>
      </c>
      <c r="E3475" s="101">
        <f t="shared" ca="1" si="202"/>
        <v>0</v>
      </c>
      <c r="F3475" s="21">
        <f t="shared" ca="1" si="203"/>
        <v>0</v>
      </c>
      <c r="H3475" s="21">
        <v>3460</v>
      </c>
      <c r="I3475" s="102">
        <v>0.667730914466099</v>
      </c>
      <c r="J3475" s="103">
        <v>1.282798915832566E-3</v>
      </c>
      <c r="K3475" s="103"/>
      <c r="L3475" s="103">
        <v>4.1000000000000002E-2</v>
      </c>
      <c r="O3475" s="100"/>
    </row>
    <row r="3476" spans="2:15" x14ac:dyDescent="0.2">
      <c r="B3476" s="1">
        <v>3461</v>
      </c>
      <c r="C3476" s="101">
        <f ca="1"/>
        <v>-0.33123048449382708</v>
      </c>
      <c r="D3476" s="101">
        <f t="shared" ca="1" si="201"/>
        <v>0.6431417313509068</v>
      </c>
      <c r="E3476" s="101">
        <f t="shared" ca="1" si="202"/>
        <v>0</v>
      </c>
      <c r="F3476" s="21">
        <f t="shared" ca="1" si="203"/>
        <v>0</v>
      </c>
      <c r="H3476" s="21">
        <v>3461</v>
      </c>
      <c r="I3476" s="102">
        <v>0.66763430475302654</v>
      </c>
      <c r="J3476" s="103">
        <v>1.3427580085278144E-3</v>
      </c>
      <c r="K3476" s="103"/>
      <c r="L3476" s="103">
        <v>3.9399999999999998E-2</v>
      </c>
      <c r="O3476" s="100"/>
    </row>
    <row r="3477" spans="2:15" x14ac:dyDescent="0.2">
      <c r="B3477" s="1">
        <v>3462</v>
      </c>
      <c r="C3477" s="101">
        <f ca="1"/>
        <v>0.63083979354690101</v>
      </c>
      <c r="D3477" s="101">
        <f t="shared" ca="1" si="201"/>
        <v>0.70716570045690641</v>
      </c>
      <c r="E3477" s="101">
        <f t="shared" ca="1" si="202"/>
        <v>0</v>
      </c>
      <c r="F3477" s="21">
        <f t="shared" ca="1" si="203"/>
        <v>0</v>
      </c>
      <c r="H3477" s="21">
        <v>3462</v>
      </c>
      <c r="I3477" s="102">
        <v>0.66771119563880998</v>
      </c>
      <c r="J3477" s="103">
        <v>1.3207315851570315E-3</v>
      </c>
      <c r="K3477" s="103"/>
      <c r="L3477" s="103">
        <v>4.1200000000000001E-2</v>
      </c>
      <c r="O3477" s="100"/>
    </row>
    <row r="3478" spans="2:15" x14ac:dyDescent="0.2">
      <c r="B3478" s="1">
        <v>3463</v>
      </c>
      <c r="C3478" s="101">
        <f ca="1"/>
        <v>0.43399700492482085</v>
      </c>
      <c r="D3478" s="101">
        <f t="shared" ca="1" si="201"/>
        <v>0.69356722856164577</v>
      </c>
      <c r="E3478" s="101">
        <f t="shared" ca="1" si="202"/>
        <v>0</v>
      </c>
      <c r="F3478" s="21">
        <f t="shared" ca="1" si="203"/>
        <v>0</v>
      </c>
      <c r="H3478" s="21">
        <v>3463</v>
      </c>
      <c r="I3478" s="102">
        <v>0.66776070389791597</v>
      </c>
      <c r="J3478" s="103">
        <v>1.3681117705917759E-3</v>
      </c>
      <c r="K3478" s="103"/>
      <c r="L3478" s="103">
        <v>4.1399999999999999E-2</v>
      </c>
      <c r="O3478" s="100"/>
    </row>
    <row r="3479" spans="2:15" x14ac:dyDescent="0.2">
      <c r="B3479" s="1">
        <v>3464</v>
      </c>
      <c r="C3479" s="101">
        <f ca="1"/>
        <v>0.88478190821746949</v>
      </c>
      <c r="D3479" s="101">
        <f t="shared" ca="1" si="201"/>
        <v>0.72510335007381899</v>
      </c>
      <c r="E3479" s="101">
        <f t="shared" ca="1" si="202"/>
        <v>0</v>
      </c>
      <c r="F3479" s="21">
        <f t="shared" ca="1" si="203"/>
        <v>0</v>
      </c>
      <c r="H3479" s="21">
        <v>3464</v>
      </c>
      <c r="I3479" s="102">
        <v>0.66784806060927104</v>
      </c>
      <c r="J3479" s="103">
        <v>1.4671536554451471E-3</v>
      </c>
      <c r="K3479" s="103"/>
      <c r="L3479" s="103">
        <v>4.2599999999999999E-2</v>
      </c>
      <c r="O3479" s="100"/>
    </row>
    <row r="3480" spans="2:15" x14ac:dyDescent="0.2">
      <c r="B3480" s="1">
        <v>3465</v>
      </c>
      <c r="C3480" s="101">
        <f ca="1"/>
        <v>-3.9789077394123004E-2</v>
      </c>
      <c r="D3480" s="101">
        <f t="shared" ca="1" si="201"/>
        <v>0.66189920678646497</v>
      </c>
      <c r="E3480" s="101">
        <f t="shared" ca="1" si="202"/>
        <v>0</v>
      </c>
      <c r="F3480" s="21">
        <f t="shared" ca="1" si="203"/>
        <v>0</v>
      </c>
      <c r="H3480" s="21">
        <v>3465</v>
      </c>
      <c r="I3480" s="102">
        <v>0.66779011595052151</v>
      </c>
      <c r="J3480" s="103">
        <v>1.4418470909816736E-3</v>
      </c>
      <c r="K3480" s="103"/>
      <c r="L3480" s="103">
        <v>3.9399999999999998E-2</v>
      </c>
      <c r="O3480" s="100"/>
    </row>
    <row r="3481" spans="2:15" x14ac:dyDescent="0.2">
      <c r="B3481" s="1">
        <v>3466</v>
      </c>
      <c r="C3481" s="101">
        <f ca="1"/>
        <v>2.3160909671848655</v>
      </c>
      <c r="D3481" s="101">
        <f t="shared" ca="1" si="201"/>
        <v>0.83505736215157955</v>
      </c>
      <c r="E3481" s="101">
        <f t="shared" ca="1" si="202"/>
        <v>4.685736215157954E-2</v>
      </c>
      <c r="F3481" s="21">
        <f t="shared" ca="1" si="203"/>
        <v>1</v>
      </c>
      <c r="H3481" s="21">
        <v>3466</v>
      </c>
      <c r="I3481" s="102">
        <v>0.66760459438383046</v>
      </c>
      <c r="J3481" s="103">
        <v>1.193812478024935E-3</v>
      </c>
      <c r="K3481" s="103"/>
      <c r="L3481" s="103">
        <v>3.8199999999999998E-2</v>
      </c>
      <c r="O3481" s="100"/>
    </row>
    <row r="3482" spans="2:15" x14ac:dyDescent="0.2">
      <c r="B3482" s="1">
        <v>3467</v>
      </c>
      <c r="C3482" s="101">
        <f ca="1"/>
        <v>-0.66760083152706451</v>
      </c>
      <c r="D3482" s="101">
        <f t="shared" ca="1" si="201"/>
        <v>0.62215241628252094</v>
      </c>
      <c r="E3482" s="101">
        <f t="shared" ca="1" si="202"/>
        <v>0</v>
      </c>
      <c r="F3482" s="21">
        <f t="shared" ca="1" si="203"/>
        <v>0</v>
      </c>
      <c r="H3482" s="21">
        <v>3467</v>
      </c>
      <c r="I3482" s="102">
        <v>0.66781619990458529</v>
      </c>
      <c r="J3482" s="103">
        <v>1.5611374972564682E-3</v>
      </c>
      <c r="K3482" s="103"/>
      <c r="L3482" s="103">
        <v>4.2000000000000003E-2</v>
      </c>
      <c r="O3482" s="100"/>
    </row>
    <row r="3483" spans="2:15" x14ac:dyDescent="0.2">
      <c r="B3483" s="1">
        <v>3468</v>
      </c>
      <c r="C3483" s="101">
        <f ca="1"/>
        <v>-0.65042018476255425</v>
      </c>
      <c r="D3483" s="101">
        <f t="shared" ca="1" si="201"/>
        <v>0.62320768547064054</v>
      </c>
      <c r="E3483" s="101">
        <f t="shared" ca="1" si="202"/>
        <v>0</v>
      </c>
      <c r="F3483" s="21">
        <f t="shared" ca="1" si="203"/>
        <v>0</v>
      </c>
      <c r="H3483" s="21">
        <v>3468</v>
      </c>
      <c r="I3483" s="102">
        <v>0.66780487472126182</v>
      </c>
      <c r="J3483" s="103">
        <v>1.5673575087149546E-3</v>
      </c>
      <c r="K3483" s="103"/>
      <c r="L3483" s="103">
        <v>4.4200000000000003E-2</v>
      </c>
      <c r="O3483" s="100"/>
    </row>
    <row r="3484" spans="2:15" x14ac:dyDescent="0.2">
      <c r="B3484" s="1">
        <v>3469</v>
      </c>
      <c r="C3484" s="101">
        <f ca="1"/>
        <v>-0.3710718384449333</v>
      </c>
      <c r="D3484" s="101">
        <f t="shared" ca="1" si="201"/>
        <v>0.64061914193080538</v>
      </c>
      <c r="E3484" s="101">
        <f t="shared" ca="1" si="202"/>
        <v>0</v>
      </c>
      <c r="F3484" s="21">
        <f t="shared" ca="1" si="203"/>
        <v>0</v>
      </c>
      <c r="H3484" s="21">
        <v>3469</v>
      </c>
      <c r="I3484" s="102">
        <v>0.66773702265564361</v>
      </c>
      <c r="J3484" s="103">
        <v>1.2504870770393525E-3</v>
      </c>
      <c r="K3484" s="103"/>
      <c r="L3484" s="103">
        <v>4.1599999999999998E-2</v>
      </c>
      <c r="O3484" s="100"/>
    </row>
    <row r="3485" spans="2:15" x14ac:dyDescent="0.2">
      <c r="B3485" s="1">
        <v>3470</v>
      </c>
      <c r="C3485" s="101">
        <f ca="1"/>
        <v>-0.45759157759878</v>
      </c>
      <c r="D3485" s="101">
        <f t="shared" ca="1" si="201"/>
        <v>0.63517509192950372</v>
      </c>
      <c r="E3485" s="101">
        <f t="shared" ca="1" si="202"/>
        <v>0</v>
      </c>
      <c r="F3485" s="21">
        <f t="shared" ca="1" si="203"/>
        <v>0</v>
      </c>
      <c r="H3485" s="21">
        <v>3470</v>
      </c>
      <c r="I3485" s="102">
        <v>0.6677719893448234</v>
      </c>
      <c r="J3485" s="103">
        <v>1.2235680726181159E-3</v>
      </c>
      <c r="K3485" s="103"/>
      <c r="L3485" s="103">
        <v>4.1200000000000001E-2</v>
      </c>
      <c r="O3485" s="100"/>
    </row>
    <row r="3486" spans="2:15" x14ac:dyDescent="0.2">
      <c r="B3486" s="1">
        <v>3471</v>
      </c>
      <c r="C3486" s="101">
        <f ca="1"/>
        <v>-0.82086018414895967</v>
      </c>
      <c r="D3486" s="101">
        <f t="shared" ca="1" si="201"/>
        <v>0.61281763714091841</v>
      </c>
      <c r="E3486" s="101">
        <f t="shared" ca="1" si="202"/>
        <v>0</v>
      </c>
      <c r="F3486" s="21">
        <f t="shared" ca="1" si="203"/>
        <v>0</v>
      </c>
      <c r="H3486" s="21">
        <v>3471</v>
      </c>
      <c r="I3486" s="102">
        <v>0.6678368126308214</v>
      </c>
      <c r="J3486" s="103">
        <v>1.4735961727599574E-3</v>
      </c>
      <c r="K3486" s="103"/>
      <c r="L3486" s="103">
        <v>4.5199999999999997E-2</v>
      </c>
      <c r="O3486" s="100"/>
    </row>
    <row r="3487" spans="2:15" x14ac:dyDescent="0.2">
      <c r="B3487" s="1">
        <v>3472</v>
      </c>
      <c r="C3487" s="101">
        <f ca="1"/>
        <v>-0.24880067703243539</v>
      </c>
      <c r="D3487" s="101">
        <f t="shared" ca="1" si="201"/>
        <v>0.6483924251663693</v>
      </c>
      <c r="E3487" s="101">
        <f t="shared" ca="1" si="202"/>
        <v>0</v>
      </c>
      <c r="F3487" s="21">
        <f t="shared" ca="1" si="203"/>
        <v>0</v>
      </c>
      <c r="H3487" s="21">
        <v>3472</v>
      </c>
      <c r="I3487" s="102">
        <v>0.66766841036589275</v>
      </c>
      <c r="J3487" s="103">
        <v>1.1443515173463492E-3</v>
      </c>
      <c r="K3487" s="103"/>
      <c r="L3487" s="103">
        <v>3.8199999999999998E-2</v>
      </c>
      <c r="O3487" s="100"/>
    </row>
    <row r="3488" spans="2:15" x14ac:dyDescent="0.2">
      <c r="B3488" s="1">
        <v>3473</v>
      </c>
      <c r="C3488" s="101">
        <f ca="1"/>
        <v>0.44891103945891675</v>
      </c>
      <c r="D3488" s="101">
        <f t="shared" ca="1" si="201"/>
        <v>0.69458831404641819</v>
      </c>
      <c r="E3488" s="101">
        <f t="shared" ca="1" si="202"/>
        <v>0</v>
      </c>
      <c r="F3488" s="21">
        <f t="shared" ca="1" si="203"/>
        <v>0</v>
      </c>
      <c r="H3488" s="21">
        <v>3473</v>
      </c>
      <c r="I3488" s="102">
        <v>0.66764487841683418</v>
      </c>
      <c r="J3488" s="103">
        <v>1.2178379182984991E-3</v>
      </c>
      <c r="K3488" s="103"/>
      <c r="L3488" s="103">
        <v>3.8600000000000002E-2</v>
      </c>
      <c r="O3488" s="100"/>
    </row>
    <row r="3489" spans="2:15" x14ac:dyDescent="0.2">
      <c r="B3489" s="1">
        <v>3474</v>
      </c>
      <c r="C3489" s="101">
        <f ca="1"/>
        <v>8.6398199953199223E-2</v>
      </c>
      <c r="D3489" s="101">
        <f t="shared" ca="1" si="201"/>
        <v>0.67018954078260695</v>
      </c>
      <c r="E3489" s="101">
        <f t="shared" ca="1" si="202"/>
        <v>0</v>
      </c>
      <c r="F3489" s="21">
        <f t="shared" ca="1" si="203"/>
        <v>0</v>
      </c>
      <c r="H3489" s="21">
        <v>3474</v>
      </c>
      <c r="I3489" s="102">
        <v>0.66763120027279699</v>
      </c>
      <c r="J3489" s="103">
        <v>1.2332949469920837E-3</v>
      </c>
      <c r="K3489" s="103"/>
      <c r="L3489" s="103">
        <v>3.8199999999999998E-2</v>
      </c>
      <c r="O3489" s="100"/>
    </row>
    <row r="3490" spans="2:15" x14ac:dyDescent="0.2">
      <c r="B3490" s="1">
        <v>3475</v>
      </c>
      <c r="C3490" s="101">
        <f ca="1"/>
        <v>1.5806988291598845</v>
      </c>
      <c r="D3490" s="101">
        <f t="shared" ca="1" si="201"/>
        <v>0.77662714025884672</v>
      </c>
      <c r="E3490" s="101">
        <f t="shared" ca="1" si="202"/>
        <v>0</v>
      </c>
      <c r="F3490" s="21">
        <f t="shared" ca="1" si="203"/>
        <v>0</v>
      </c>
      <c r="H3490" s="21">
        <v>3475</v>
      </c>
      <c r="I3490" s="102">
        <v>0.66757934337084057</v>
      </c>
      <c r="J3490" s="103">
        <v>1.2130801397124955E-3</v>
      </c>
      <c r="K3490" s="103"/>
      <c r="L3490" s="103">
        <v>3.8600000000000002E-2</v>
      </c>
      <c r="O3490" s="100"/>
    </row>
    <row r="3491" spans="2:15" x14ac:dyDescent="0.2">
      <c r="B3491" s="1">
        <v>3476</v>
      </c>
      <c r="C3491" s="101">
        <f ca="1"/>
        <v>-0.85399866191002183</v>
      </c>
      <c r="D3491" s="101">
        <f t="shared" ca="1" si="201"/>
        <v>0.61081771499774584</v>
      </c>
      <c r="E3491" s="101">
        <f t="shared" ca="1" si="202"/>
        <v>0</v>
      </c>
      <c r="F3491" s="21">
        <f t="shared" ca="1" si="203"/>
        <v>0</v>
      </c>
      <c r="H3491" s="21">
        <v>3476</v>
      </c>
      <c r="I3491" s="102">
        <v>0.6676280979180047</v>
      </c>
      <c r="J3491" s="103">
        <v>1.3733926081823892E-3</v>
      </c>
      <c r="K3491" s="103"/>
      <c r="L3491" s="103">
        <v>3.9199999999999999E-2</v>
      </c>
      <c r="O3491" s="100"/>
    </row>
    <row r="3492" spans="2:15" x14ac:dyDescent="0.2">
      <c r="B3492" s="1">
        <v>3477</v>
      </c>
      <c r="C3492" s="101">
        <f ca="1"/>
        <v>-1.0333907727765552</v>
      </c>
      <c r="D3492" s="101">
        <f t="shared" ca="1" si="201"/>
        <v>0.60010407602735794</v>
      </c>
      <c r="E3492" s="101">
        <f t="shared" ca="1" si="202"/>
        <v>0</v>
      </c>
      <c r="F3492" s="21">
        <f t="shared" ca="1" si="203"/>
        <v>0</v>
      </c>
      <c r="H3492" s="21">
        <v>3477</v>
      </c>
      <c r="I3492" s="102">
        <v>0.66779905333791745</v>
      </c>
      <c r="J3492" s="103">
        <v>1.3656267101701822E-3</v>
      </c>
      <c r="K3492" s="103"/>
      <c r="L3492" s="103">
        <v>4.0399999999999998E-2</v>
      </c>
      <c r="O3492" s="100"/>
    </row>
    <row r="3493" spans="2:15" x14ac:dyDescent="0.2">
      <c r="B3493" s="1">
        <v>3478</v>
      </c>
      <c r="C3493" s="101">
        <f ca="1"/>
        <v>2.1477365711645282</v>
      </c>
      <c r="D3493" s="101">
        <f t="shared" ca="1" si="201"/>
        <v>0.82130432671068854</v>
      </c>
      <c r="E3493" s="101">
        <f t="shared" ca="1" si="202"/>
        <v>3.3104326710688525E-2</v>
      </c>
      <c r="F3493" s="21">
        <f t="shared" ca="1" si="203"/>
        <v>1</v>
      </c>
      <c r="H3493" s="21">
        <v>3478</v>
      </c>
      <c r="I3493" s="102">
        <v>0.66780778900253657</v>
      </c>
      <c r="J3493" s="103">
        <v>1.4155598604641672E-3</v>
      </c>
      <c r="K3493" s="103"/>
      <c r="L3493" s="103">
        <v>4.3799999999999999E-2</v>
      </c>
      <c r="O3493" s="100"/>
    </row>
    <row r="3494" spans="2:15" x14ac:dyDescent="0.2">
      <c r="B3494" s="1">
        <v>3479</v>
      </c>
      <c r="C3494" s="101">
        <f ca="1"/>
        <v>0.44435701536157918</v>
      </c>
      <c r="D3494" s="101">
        <f t="shared" ca="1" si="201"/>
        <v>0.69427636464602993</v>
      </c>
      <c r="E3494" s="101">
        <f t="shared" ca="1" si="202"/>
        <v>0</v>
      </c>
      <c r="F3494" s="21">
        <f t="shared" ca="1" si="203"/>
        <v>0</v>
      </c>
      <c r="H3494" s="21">
        <v>3479</v>
      </c>
      <c r="I3494" s="102">
        <v>0.6678399346945334</v>
      </c>
      <c r="J3494" s="103">
        <v>1.5517069096630024E-3</v>
      </c>
      <c r="K3494" s="103"/>
      <c r="L3494" s="103">
        <v>4.5199999999999997E-2</v>
      </c>
      <c r="O3494" s="100"/>
    </row>
    <row r="3495" spans="2:15" x14ac:dyDescent="0.2">
      <c r="B3495" s="1">
        <v>3480</v>
      </c>
      <c r="C3495" s="101">
        <f ca="1"/>
        <v>0.4464245674113716</v>
      </c>
      <c r="D3495" s="101">
        <f t="shared" ca="1" si="201"/>
        <v>0.69441797402560845</v>
      </c>
      <c r="E3495" s="101">
        <f t="shared" ca="1" si="202"/>
        <v>0</v>
      </c>
      <c r="F3495" s="21">
        <f t="shared" ca="1" si="203"/>
        <v>0</v>
      </c>
      <c r="H3495" s="21">
        <v>3480</v>
      </c>
      <c r="I3495" s="102">
        <v>0.66761343154127795</v>
      </c>
      <c r="J3495" s="103">
        <v>1.0789930890520501E-3</v>
      </c>
      <c r="K3495" s="103"/>
      <c r="L3495" s="103">
        <v>0.04</v>
      </c>
      <c r="O3495" s="100"/>
    </row>
    <row r="3496" spans="2:15" x14ac:dyDescent="0.2">
      <c r="B3496" s="1">
        <v>3481</v>
      </c>
      <c r="C3496" s="101">
        <f ca="1"/>
        <v>-2.4559725949400031</v>
      </c>
      <c r="D3496" s="101">
        <f t="shared" ca="1" si="201"/>
        <v>0.52153570771691571</v>
      </c>
      <c r="E3496" s="101">
        <f t="shared" ca="1" si="202"/>
        <v>0</v>
      </c>
      <c r="F3496" s="21">
        <f t="shared" ca="1" si="203"/>
        <v>0</v>
      </c>
      <c r="H3496" s="21">
        <v>3481</v>
      </c>
      <c r="I3496" s="102">
        <v>0.66772960074304133</v>
      </c>
      <c r="J3496" s="103">
        <v>1.3685487801812913E-3</v>
      </c>
      <c r="K3496" s="103"/>
      <c r="L3496" s="103">
        <v>4.1799999999999997E-2</v>
      </c>
      <c r="O3496" s="100"/>
    </row>
    <row r="3497" spans="2:15" x14ac:dyDescent="0.2">
      <c r="B3497" s="1">
        <v>3482</v>
      </c>
      <c r="C3497" s="101">
        <f ca="1"/>
        <v>-2.3440301694480197</v>
      </c>
      <c r="D3497" s="101">
        <f t="shared" ca="1" si="201"/>
        <v>0.52732649537814269</v>
      </c>
      <c r="E3497" s="101">
        <f t="shared" ca="1" si="202"/>
        <v>0</v>
      </c>
      <c r="F3497" s="21">
        <f t="shared" ca="1" si="203"/>
        <v>0</v>
      </c>
      <c r="H3497" s="21">
        <v>3482</v>
      </c>
      <c r="I3497" s="102">
        <v>0.66783517046113228</v>
      </c>
      <c r="J3497" s="103">
        <v>1.4387865092833653E-3</v>
      </c>
      <c r="K3497" s="103"/>
      <c r="L3497" s="103">
        <v>4.58E-2</v>
      </c>
      <c r="O3497" s="100"/>
    </row>
    <row r="3498" spans="2:15" x14ac:dyDescent="0.2">
      <c r="B3498" s="1">
        <v>3483</v>
      </c>
      <c r="C3498" s="101">
        <f ca="1"/>
        <v>1.8868341971913862</v>
      </c>
      <c r="D3498" s="101">
        <f t="shared" ca="1" si="201"/>
        <v>0.80043710747055619</v>
      </c>
      <c r="E3498" s="101">
        <f t="shared" ca="1" si="202"/>
        <v>1.2237107470556174E-2</v>
      </c>
      <c r="F3498" s="21">
        <f t="shared" ca="1" si="203"/>
        <v>1</v>
      </c>
      <c r="H3498" s="21">
        <v>3483</v>
      </c>
      <c r="I3498" s="102">
        <v>0.66764079387087871</v>
      </c>
      <c r="J3498" s="103">
        <v>1.1849447402789261E-3</v>
      </c>
      <c r="K3498" s="103"/>
      <c r="L3498" s="103">
        <v>0.04</v>
      </c>
      <c r="O3498" s="100"/>
    </row>
    <row r="3499" spans="2:15" x14ac:dyDescent="0.2">
      <c r="B3499" s="1">
        <v>3484</v>
      </c>
      <c r="C3499" s="101">
        <f ca="1"/>
        <v>2.0101409180516256</v>
      </c>
      <c r="D3499" s="101">
        <f t="shared" ca="1" si="201"/>
        <v>0.81023238470215431</v>
      </c>
      <c r="E3499" s="101">
        <f t="shared" ca="1" si="202"/>
        <v>2.2032384702154295E-2</v>
      </c>
      <c r="F3499" s="21">
        <f t="shared" ca="1" si="203"/>
        <v>1</v>
      </c>
      <c r="H3499" s="21">
        <v>3484</v>
      </c>
      <c r="I3499" s="102">
        <v>0.66779040028531178</v>
      </c>
      <c r="J3499" s="103">
        <v>1.5449520748757714E-3</v>
      </c>
      <c r="K3499" s="103"/>
      <c r="L3499" s="103">
        <v>4.6399999999999997E-2</v>
      </c>
      <c r="O3499" s="100"/>
    </row>
    <row r="3500" spans="2:15" x14ac:dyDescent="0.2">
      <c r="B3500" s="1">
        <v>3485</v>
      </c>
      <c r="C3500" s="101">
        <f ca="1"/>
        <v>-0.7724536477720898</v>
      </c>
      <c r="D3500" s="101">
        <f t="shared" ca="1" si="201"/>
        <v>0.61575076794584227</v>
      </c>
      <c r="E3500" s="101">
        <f t="shared" ca="1" si="202"/>
        <v>0</v>
      </c>
      <c r="F3500" s="21">
        <f t="shared" ca="1" si="203"/>
        <v>0</v>
      </c>
      <c r="H3500" s="21">
        <v>3485</v>
      </c>
      <c r="I3500" s="102">
        <v>0.66780691501870681</v>
      </c>
      <c r="J3500" s="103">
        <v>1.4664833616905733E-3</v>
      </c>
      <c r="K3500" s="103"/>
      <c r="L3500" s="103">
        <v>4.2599999999999999E-2</v>
      </c>
      <c r="O3500" s="100"/>
    </row>
    <row r="3501" spans="2:15" x14ac:dyDescent="0.2">
      <c r="B3501" s="1">
        <v>3486</v>
      </c>
      <c r="C3501" s="101">
        <f ca="1"/>
        <v>-6.0570027719276422E-2</v>
      </c>
      <c r="D3501" s="101">
        <f t="shared" ca="1" si="201"/>
        <v>0.66054379543031683</v>
      </c>
      <c r="E3501" s="101">
        <f t="shared" ca="1" si="202"/>
        <v>0</v>
      </c>
      <c r="F3501" s="21">
        <f t="shared" ca="1" si="203"/>
        <v>0</v>
      </c>
      <c r="H3501" s="21">
        <v>3486</v>
      </c>
      <c r="I3501" s="102">
        <v>0.66754766902701124</v>
      </c>
      <c r="J3501" s="103">
        <v>1.1566763995506147E-3</v>
      </c>
      <c r="K3501" s="103"/>
      <c r="L3501" s="103">
        <v>3.5799999999999998E-2</v>
      </c>
      <c r="O3501" s="100"/>
    </row>
    <row r="3502" spans="2:15" x14ac:dyDescent="0.2">
      <c r="B3502" s="1">
        <v>3487</v>
      </c>
      <c r="C3502" s="101">
        <f ca="1"/>
        <v>-0.48923986533721903</v>
      </c>
      <c r="D3502" s="101">
        <f t="shared" ca="1" si="201"/>
        <v>0.6331952758005267</v>
      </c>
      <c r="E3502" s="101">
        <f t="shared" ca="1" si="202"/>
        <v>0</v>
      </c>
      <c r="F3502" s="21">
        <f t="shared" ca="1" si="203"/>
        <v>0</v>
      </c>
      <c r="H3502" s="21">
        <v>3487</v>
      </c>
      <c r="I3502" s="102">
        <v>0.66789186679366352</v>
      </c>
      <c r="J3502" s="103">
        <v>1.5462561064562633E-3</v>
      </c>
      <c r="K3502" s="103"/>
      <c r="L3502" s="103">
        <v>4.3799999999999999E-2</v>
      </c>
      <c r="O3502" s="100"/>
    </row>
    <row r="3503" spans="2:15" x14ac:dyDescent="0.2">
      <c r="B3503" s="1">
        <v>3488</v>
      </c>
      <c r="C3503" s="101">
        <f ca="1"/>
        <v>-0.3658796194711183</v>
      </c>
      <c r="D3503" s="101">
        <f t="shared" ca="1" si="201"/>
        <v>0.64094733018405492</v>
      </c>
      <c r="E3503" s="101">
        <f t="shared" ca="1" si="202"/>
        <v>0</v>
      </c>
      <c r="F3503" s="21">
        <f t="shared" ca="1" si="203"/>
        <v>0</v>
      </c>
      <c r="H3503" s="21">
        <v>3488</v>
      </c>
      <c r="I3503" s="102">
        <v>0.66776104902519318</v>
      </c>
      <c r="J3503" s="103">
        <v>1.3643238455462508E-3</v>
      </c>
      <c r="K3503" s="103"/>
      <c r="L3503" s="103">
        <v>4.0399999999999998E-2</v>
      </c>
      <c r="O3503" s="100"/>
    </row>
    <row r="3504" spans="2:15" x14ac:dyDescent="0.2">
      <c r="B3504" s="1">
        <v>3489</v>
      </c>
      <c r="C3504" s="101">
        <f ca="1"/>
        <v>-0.55910421131775978</v>
      </c>
      <c r="D3504" s="101">
        <f t="shared" ca="1" si="201"/>
        <v>0.62884660481124155</v>
      </c>
      <c r="E3504" s="101">
        <f t="shared" ca="1" si="202"/>
        <v>0</v>
      </c>
      <c r="F3504" s="21">
        <f t="shared" ca="1" si="203"/>
        <v>0</v>
      </c>
      <c r="H3504" s="21">
        <v>3489</v>
      </c>
      <c r="I3504" s="102">
        <v>0.66785906531561423</v>
      </c>
      <c r="J3504" s="103">
        <v>1.4327086336894822E-3</v>
      </c>
      <c r="K3504" s="103"/>
      <c r="L3504" s="103">
        <v>4.6399999999999997E-2</v>
      </c>
      <c r="O3504" s="100"/>
    </row>
    <row r="3505" spans="2:15" x14ac:dyDescent="0.2">
      <c r="B3505" s="1">
        <v>3490</v>
      </c>
      <c r="C3505" s="101">
        <f ca="1"/>
        <v>-0.83093049465127855</v>
      </c>
      <c r="D3505" s="101">
        <f t="shared" ca="1" si="201"/>
        <v>0.61220919773572247</v>
      </c>
      <c r="E3505" s="101">
        <f t="shared" ca="1" si="202"/>
        <v>0</v>
      </c>
      <c r="F3505" s="21">
        <f t="shared" ca="1" si="203"/>
        <v>0</v>
      </c>
      <c r="H3505" s="21">
        <v>3490</v>
      </c>
      <c r="I3505" s="102">
        <v>0.66791912461565039</v>
      </c>
      <c r="J3505" s="103">
        <v>1.4812368597738438E-3</v>
      </c>
      <c r="K3505" s="103"/>
      <c r="L3505" s="103">
        <v>4.48E-2</v>
      </c>
      <c r="O3505" s="100"/>
    </row>
    <row r="3506" spans="2:15" x14ac:dyDescent="0.2">
      <c r="B3506" s="1">
        <v>3491</v>
      </c>
      <c r="C3506" s="101">
        <f ca="1"/>
        <v>-0.42697262019332516</v>
      </c>
      <c r="D3506" s="101">
        <f t="shared" ca="1" si="201"/>
        <v>0.63709640780865107</v>
      </c>
      <c r="E3506" s="101">
        <f t="shared" ca="1" si="202"/>
        <v>0</v>
      </c>
      <c r="F3506" s="21">
        <f t="shared" ca="1" si="203"/>
        <v>0</v>
      </c>
      <c r="H3506" s="21">
        <v>3491</v>
      </c>
      <c r="I3506" s="102">
        <v>0.66769511837466311</v>
      </c>
      <c r="J3506" s="103">
        <v>1.3435412523400184E-3</v>
      </c>
      <c r="K3506" s="103"/>
      <c r="L3506" s="103">
        <v>3.9E-2</v>
      </c>
      <c r="O3506" s="100"/>
    </row>
    <row r="3507" spans="2:15" x14ac:dyDescent="0.2">
      <c r="B3507" s="1">
        <v>3492</v>
      </c>
      <c r="C3507" s="101">
        <f ca="1"/>
        <v>1.1037223539301049</v>
      </c>
      <c r="D3507" s="101">
        <f t="shared" ca="1" si="201"/>
        <v>0.7409334219581315</v>
      </c>
      <c r="E3507" s="101">
        <f t="shared" ca="1" si="202"/>
        <v>0</v>
      </c>
      <c r="F3507" s="21">
        <f t="shared" ca="1" si="203"/>
        <v>0</v>
      </c>
      <c r="H3507" s="21">
        <v>3492</v>
      </c>
      <c r="I3507" s="102">
        <v>0.66791746678406538</v>
      </c>
      <c r="J3507" s="103">
        <v>1.5204749706193182E-3</v>
      </c>
      <c r="K3507" s="103"/>
      <c r="L3507" s="103">
        <v>4.82E-2</v>
      </c>
      <c r="O3507" s="100"/>
    </row>
    <row r="3508" spans="2:15" x14ac:dyDescent="0.2">
      <c r="B3508" s="1">
        <v>3493</v>
      </c>
      <c r="C3508" s="101">
        <f ca="1"/>
        <v>-0.73316702134101308</v>
      </c>
      <c r="D3508" s="101">
        <f t="shared" ca="1" si="201"/>
        <v>0.61814160720846933</v>
      </c>
      <c r="E3508" s="101">
        <f t="shared" ca="1" si="202"/>
        <v>0</v>
      </c>
      <c r="F3508" s="21">
        <f t="shared" ca="1" si="203"/>
        <v>0</v>
      </c>
      <c r="H3508" s="21">
        <v>3493</v>
      </c>
      <c r="I3508" s="102">
        <v>0.66772517482328875</v>
      </c>
      <c r="J3508" s="103">
        <v>1.2669781781629841E-3</v>
      </c>
      <c r="K3508" s="103"/>
      <c r="L3508" s="103">
        <v>4.2799999999999998E-2</v>
      </c>
      <c r="O3508" s="100"/>
    </row>
    <row r="3509" spans="2:15" x14ac:dyDescent="0.2">
      <c r="B3509" s="1">
        <v>3494</v>
      </c>
      <c r="C3509" s="101">
        <f ca="1"/>
        <v>1.8770845584913483</v>
      </c>
      <c r="D3509" s="101">
        <f t="shared" ca="1" si="201"/>
        <v>0.79966768331061611</v>
      </c>
      <c r="E3509" s="101">
        <f t="shared" ca="1" si="202"/>
        <v>1.1467683310616095E-2</v>
      </c>
      <c r="F3509" s="21">
        <f t="shared" ca="1" si="203"/>
        <v>1</v>
      </c>
      <c r="H3509" s="21">
        <v>3494</v>
      </c>
      <c r="I3509" s="102">
        <v>0.66771098093543046</v>
      </c>
      <c r="J3509" s="103">
        <v>1.3741936306616788E-3</v>
      </c>
      <c r="K3509" s="103"/>
      <c r="L3509" s="103">
        <v>4.3799999999999999E-2</v>
      </c>
      <c r="O3509" s="100"/>
    </row>
    <row r="3510" spans="2:15" x14ac:dyDescent="0.2">
      <c r="B3510" s="1">
        <v>3495</v>
      </c>
      <c r="C3510" s="101">
        <f ca="1"/>
        <v>-0.11977448497355987</v>
      </c>
      <c r="D3510" s="101">
        <f t="shared" ca="1" si="201"/>
        <v>0.65669745784886335</v>
      </c>
      <c r="E3510" s="101">
        <f t="shared" ca="1" si="202"/>
        <v>0</v>
      </c>
      <c r="F3510" s="21">
        <f t="shared" ca="1" si="203"/>
        <v>0</v>
      </c>
      <c r="H3510" s="21">
        <v>3495</v>
      </c>
      <c r="I3510" s="102">
        <v>0.66777087789134726</v>
      </c>
      <c r="J3510" s="103">
        <v>1.4831248057774538E-3</v>
      </c>
      <c r="K3510" s="103"/>
      <c r="L3510" s="103">
        <v>4.2799999999999998E-2</v>
      </c>
      <c r="O3510" s="100"/>
    </row>
    <row r="3511" spans="2:15" x14ac:dyDescent="0.2">
      <c r="B3511" s="1">
        <v>3496</v>
      </c>
      <c r="C3511" s="101">
        <f ca="1"/>
        <v>0.40511692739431526</v>
      </c>
      <c r="D3511" s="101">
        <f t="shared" ca="1" si="201"/>
        <v>0.69159422729416875</v>
      </c>
      <c r="E3511" s="101">
        <f t="shared" ca="1" si="202"/>
        <v>0</v>
      </c>
      <c r="F3511" s="21">
        <f t="shared" ca="1" si="203"/>
        <v>0</v>
      </c>
      <c r="H3511" s="21">
        <v>3496</v>
      </c>
      <c r="I3511" s="102">
        <v>0.66779047927320678</v>
      </c>
      <c r="J3511" s="103">
        <v>1.4274303324720782E-3</v>
      </c>
      <c r="K3511" s="103"/>
      <c r="L3511" s="103">
        <v>4.1399999999999999E-2</v>
      </c>
      <c r="O3511" s="100"/>
    </row>
    <row r="3512" spans="2:15" x14ac:dyDescent="0.2">
      <c r="B3512" s="1">
        <v>3497</v>
      </c>
      <c r="C3512" s="101">
        <f ca="1"/>
        <v>1.0175463697556866</v>
      </c>
      <c r="D3512" s="101">
        <f t="shared" ca="1" si="201"/>
        <v>0.73466180129191661</v>
      </c>
      <c r="E3512" s="101">
        <f t="shared" ca="1" si="202"/>
        <v>0</v>
      </c>
      <c r="F3512" s="21">
        <f t="shared" ca="1" si="203"/>
        <v>0</v>
      </c>
      <c r="H3512" s="21">
        <v>3497</v>
      </c>
      <c r="I3512" s="102">
        <v>0.66776914874177651</v>
      </c>
      <c r="J3512" s="103">
        <v>1.5822866006352985E-3</v>
      </c>
      <c r="K3512" s="103"/>
      <c r="L3512" s="103">
        <v>4.5199999999999997E-2</v>
      </c>
      <c r="O3512" s="100"/>
    </row>
    <row r="3513" spans="2:15" x14ac:dyDescent="0.2">
      <c r="B3513" s="1">
        <v>3498</v>
      </c>
      <c r="C3513" s="101">
        <f ca="1"/>
        <v>0.18874191719993408</v>
      </c>
      <c r="D3513" s="101">
        <f t="shared" ca="1" si="201"/>
        <v>0.67698958518558694</v>
      </c>
      <c r="E3513" s="101">
        <f t="shared" ca="1" si="202"/>
        <v>0</v>
      </c>
      <c r="F3513" s="21">
        <f t="shared" ca="1" si="203"/>
        <v>0</v>
      </c>
      <c r="H3513" s="21">
        <v>3498</v>
      </c>
      <c r="I3513" s="102">
        <v>0.66757801180443099</v>
      </c>
      <c r="J3513" s="103">
        <v>1.1505828675249126E-3</v>
      </c>
      <c r="K3513" s="103"/>
      <c r="L3513" s="103">
        <v>0.04</v>
      </c>
      <c r="O3513" s="100"/>
    </row>
    <row r="3514" spans="2:15" x14ac:dyDescent="0.2">
      <c r="B3514" s="1">
        <v>3499</v>
      </c>
      <c r="C3514" s="101">
        <f ca="1"/>
        <v>0.20674569813684848</v>
      </c>
      <c r="D3514" s="101">
        <f t="shared" ca="1" si="201"/>
        <v>0.67819293058156593</v>
      </c>
      <c r="E3514" s="101">
        <f t="shared" ca="1" si="202"/>
        <v>0</v>
      </c>
      <c r="F3514" s="21">
        <f t="shared" ca="1" si="203"/>
        <v>0</v>
      </c>
      <c r="H3514" s="21">
        <v>3499</v>
      </c>
      <c r="I3514" s="102">
        <v>0.66761930278995674</v>
      </c>
      <c r="J3514" s="103">
        <v>1.3019607839847764E-3</v>
      </c>
      <c r="K3514" s="103"/>
      <c r="L3514" s="103">
        <v>4.0800000000000003E-2</v>
      </c>
      <c r="O3514" s="100"/>
    </row>
    <row r="3515" spans="2:15" x14ac:dyDescent="0.2">
      <c r="B3515" s="1">
        <v>3500</v>
      </c>
      <c r="C3515" s="101">
        <f ca="1"/>
        <v>-2.4818094213484407</v>
      </c>
      <c r="D3515" s="101">
        <f t="shared" ca="1" si="201"/>
        <v>0.52020822517876075</v>
      </c>
      <c r="E3515" s="101">
        <f t="shared" ca="1" si="202"/>
        <v>0</v>
      </c>
      <c r="F3515" s="21">
        <f t="shared" ca="1" si="203"/>
        <v>0</v>
      </c>
      <c r="H3515" s="21">
        <v>3500</v>
      </c>
      <c r="I3515" s="102">
        <v>0.66774582135772187</v>
      </c>
      <c r="J3515" s="103">
        <v>1.3079157403898868E-3</v>
      </c>
      <c r="K3515" s="103"/>
      <c r="L3515" s="103">
        <v>4.3799999999999999E-2</v>
      </c>
      <c r="O3515" s="100"/>
    </row>
    <row r="3516" spans="2:15" x14ac:dyDescent="0.2">
      <c r="B3516" s="1">
        <v>3501</v>
      </c>
      <c r="C3516" s="101">
        <f ca="1"/>
        <v>-1.1454174826092445</v>
      </c>
      <c r="D3516" s="101">
        <f t="shared" ca="1" si="201"/>
        <v>0.59350915361541501</v>
      </c>
      <c r="E3516" s="101">
        <f t="shared" ca="1" si="202"/>
        <v>0</v>
      </c>
      <c r="F3516" s="21">
        <f t="shared" ca="1" si="203"/>
        <v>0</v>
      </c>
      <c r="H3516" s="21">
        <v>3501</v>
      </c>
      <c r="I3516" s="102">
        <v>0.66765513798772591</v>
      </c>
      <c r="J3516" s="103">
        <v>1.2943998165455097E-3</v>
      </c>
      <c r="K3516" s="103"/>
      <c r="L3516" s="103">
        <v>4.1799999999999997E-2</v>
      </c>
      <c r="O3516" s="100"/>
    </row>
    <row r="3517" spans="2:15" x14ac:dyDescent="0.2">
      <c r="B3517" s="1">
        <v>3502</v>
      </c>
      <c r="C3517" s="101">
        <f ca="1"/>
        <v>0.19273878989753543</v>
      </c>
      <c r="D3517" s="101">
        <f t="shared" ca="1" si="201"/>
        <v>0.67725654556985915</v>
      </c>
      <c r="E3517" s="101">
        <f t="shared" ca="1" si="202"/>
        <v>0</v>
      </c>
      <c r="F3517" s="21">
        <f t="shared" ca="1" si="203"/>
        <v>0</v>
      </c>
      <c r="H3517" s="21">
        <v>3502</v>
      </c>
      <c r="I3517" s="102">
        <v>0.6676187885112842</v>
      </c>
      <c r="J3517" s="103">
        <v>1.2149725254448538E-3</v>
      </c>
      <c r="K3517" s="103"/>
      <c r="L3517" s="103">
        <v>3.7199999999999997E-2</v>
      </c>
      <c r="O3517" s="100"/>
    </row>
    <row r="3518" spans="2:15" x14ac:dyDescent="0.2">
      <c r="B3518" s="1">
        <v>3503</v>
      </c>
      <c r="C3518" s="101">
        <f ca="1"/>
        <v>0.49890104590345968</v>
      </c>
      <c r="D3518" s="101">
        <f t="shared" ca="1" si="201"/>
        <v>0.69802184349253071</v>
      </c>
      <c r="E3518" s="101">
        <f t="shared" ca="1" si="202"/>
        <v>0</v>
      </c>
      <c r="F3518" s="21">
        <f t="shared" ca="1" si="203"/>
        <v>0</v>
      </c>
      <c r="H3518" s="21">
        <v>3503</v>
      </c>
      <c r="I3518" s="102">
        <v>0.66756084514875647</v>
      </c>
      <c r="J3518" s="103">
        <v>1.1928673501376129E-3</v>
      </c>
      <c r="K3518" s="103"/>
      <c r="L3518" s="103">
        <v>3.6999999999999998E-2</v>
      </c>
      <c r="O3518" s="100"/>
    </row>
    <row r="3519" spans="2:15" x14ac:dyDescent="0.2">
      <c r="B3519" s="1">
        <v>3504</v>
      </c>
      <c r="C3519" s="101">
        <f ca="1"/>
        <v>-1.3703536240998253</v>
      </c>
      <c r="D3519" s="101">
        <f t="shared" ca="1" si="201"/>
        <v>0.58048539288398138</v>
      </c>
      <c r="E3519" s="101">
        <f t="shared" ca="1" si="202"/>
        <v>0</v>
      </c>
      <c r="F3519" s="21">
        <f t="shared" ca="1" si="203"/>
        <v>0</v>
      </c>
      <c r="H3519" s="21">
        <v>3504</v>
      </c>
      <c r="I3519" s="102">
        <v>0.667726017245444</v>
      </c>
      <c r="J3519" s="103">
        <v>1.3757448880716372E-3</v>
      </c>
      <c r="K3519" s="103"/>
      <c r="L3519" s="103">
        <v>4.36E-2</v>
      </c>
      <c r="O3519" s="100"/>
    </row>
    <row r="3520" spans="2:15" x14ac:dyDescent="0.2">
      <c r="B3520" s="1">
        <v>3505</v>
      </c>
      <c r="C3520" s="101">
        <f ca="1"/>
        <v>1.0751101006024546</v>
      </c>
      <c r="D3520" s="101">
        <f t="shared" ca="1" si="201"/>
        <v>0.73884519630770695</v>
      </c>
      <c r="E3520" s="101">
        <f t="shared" ca="1" si="202"/>
        <v>0</v>
      </c>
      <c r="F3520" s="21">
        <f t="shared" ca="1" si="203"/>
        <v>0</v>
      </c>
      <c r="H3520" s="21">
        <v>3505</v>
      </c>
      <c r="I3520" s="102">
        <v>0.66763441302198745</v>
      </c>
      <c r="J3520" s="103">
        <v>1.1915907622382874E-3</v>
      </c>
      <c r="K3520" s="103"/>
      <c r="L3520" s="103">
        <v>0.04</v>
      </c>
      <c r="O3520" s="100"/>
    </row>
    <row r="3521" spans="2:15" x14ac:dyDescent="0.2">
      <c r="B3521" s="1">
        <v>3506</v>
      </c>
      <c r="C3521" s="101">
        <f ca="1"/>
        <v>-0.33012391370941691</v>
      </c>
      <c r="D3521" s="101">
        <f t="shared" ca="1" si="201"/>
        <v>0.64321193642362795</v>
      </c>
      <c r="E3521" s="101">
        <f t="shared" ca="1" si="202"/>
        <v>0</v>
      </c>
      <c r="F3521" s="21">
        <f t="shared" ca="1" si="203"/>
        <v>0</v>
      </c>
      <c r="H3521" s="21">
        <v>3506</v>
      </c>
      <c r="I3521" s="102">
        <v>0.66759625087821495</v>
      </c>
      <c r="J3521" s="103">
        <v>1.1803297841684881E-3</v>
      </c>
      <c r="K3521" s="103"/>
      <c r="L3521" s="103">
        <v>3.6600000000000001E-2</v>
      </c>
      <c r="O3521" s="100"/>
    </row>
    <row r="3522" spans="2:15" x14ac:dyDescent="0.2">
      <c r="B3522" s="1">
        <v>3507</v>
      </c>
      <c r="C3522" s="101">
        <f ca="1"/>
        <v>7.4688320776133937E-2</v>
      </c>
      <c r="D3522" s="101">
        <f t="shared" ca="1" si="201"/>
        <v>0.66941586649689955</v>
      </c>
      <c r="E3522" s="101">
        <f t="shared" ca="1" si="202"/>
        <v>0</v>
      </c>
      <c r="F3522" s="21">
        <f t="shared" ca="1" si="203"/>
        <v>0</v>
      </c>
      <c r="H3522" s="21">
        <v>3507</v>
      </c>
      <c r="I3522" s="102">
        <v>0.6677936041627599</v>
      </c>
      <c r="J3522" s="103">
        <v>1.3624944283380791E-3</v>
      </c>
      <c r="K3522" s="103"/>
      <c r="L3522" s="103">
        <v>4.1200000000000001E-2</v>
      </c>
      <c r="O3522" s="100"/>
    </row>
    <row r="3523" spans="2:15" x14ac:dyDescent="0.2">
      <c r="B3523" s="1">
        <v>3508</v>
      </c>
      <c r="C3523" s="101">
        <f ca="1"/>
        <v>0.15839002694531051</v>
      </c>
      <c r="D3523" s="101">
        <f t="shared" ca="1" si="201"/>
        <v>0.67496574290080913</v>
      </c>
      <c r="E3523" s="101">
        <f t="shared" ca="1" si="202"/>
        <v>0</v>
      </c>
      <c r="F3523" s="21">
        <f t="shared" ca="1" si="203"/>
        <v>0</v>
      </c>
      <c r="H3523" s="21">
        <v>3508</v>
      </c>
      <c r="I3523" s="102">
        <v>0.66770239311282542</v>
      </c>
      <c r="J3523" s="103">
        <v>1.2550497238000978E-3</v>
      </c>
      <c r="K3523" s="103"/>
      <c r="L3523" s="103">
        <v>4.2200000000000001E-2</v>
      </c>
      <c r="O3523" s="100"/>
    </row>
    <row r="3524" spans="2:15" x14ac:dyDescent="0.2">
      <c r="B3524" s="1">
        <v>3509</v>
      </c>
      <c r="C3524" s="101">
        <f ca="1"/>
        <v>-0.30063153751799221</v>
      </c>
      <c r="D3524" s="101">
        <f t="shared" ca="1" si="201"/>
        <v>0.64508587189343458</v>
      </c>
      <c r="E3524" s="101">
        <f t="shared" ca="1" si="202"/>
        <v>0</v>
      </c>
      <c r="F3524" s="21">
        <f t="shared" ca="1" si="203"/>
        <v>0</v>
      </c>
      <c r="H3524" s="21">
        <v>3509</v>
      </c>
      <c r="I3524" s="102">
        <v>0.66767250581129223</v>
      </c>
      <c r="J3524" s="103">
        <v>1.4532610221176358E-3</v>
      </c>
      <c r="K3524" s="103"/>
      <c r="L3524" s="103">
        <v>4.02E-2</v>
      </c>
      <c r="O3524" s="100"/>
    </row>
    <row r="3525" spans="2:15" x14ac:dyDescent="0.2">
      <c r="B3525" s="1">
        <v>3510</v>
      </c>
      <c r="C3525" s="101">
        <f ca="1"/>
        <v>0.82975572180900692</v>
      </c>
      <c r="D3525" s="101">
        <f t="shared" ca="1" si="201"/>
        <v>0.7211782555800309</v>
      </c>
      <c r="E3525" s="101">
        <f t="shared" ca="1" si="202"/>
        <v>0</v>
      </c>
      <c r="F3525" s="21">
        <f t="shared" ca="1" si="203"/>
        <v>0</v>
      </c>
      <c r="H3525" s="21">
        <v>3510</v>
      </c>
      <c r="I3525" s="102">
        <v>0.66772054188767527</v>
      </c>
      <c r="J3525" s="103">
        <v>1.3784713973212686E-3</v>
      </c>
      <c r="K3525" s="103"/>
      <c r="L3525" s="103">
        <v>4.1000000000000002E-2</v>
      </c>
      <c r="O3525" s="100"/>
    </row>
    <row r="3526" spans="2:15" x14ac:dyDescent="0.2">
      <c r="B3526" s="1">
        <v>3511</v>
      </c>
      <c r="C3526" s="101">
        <f ca="1"/>
        <v>4.887024071977962E-2</v>
      </c>
      <c r="D3526" s="101">
        <f t="shared" ca="1" si="201"/>
        <v>0.66771321428222086</v>
      </c>
      <c r="E3526" s="101">
        <f t="shared" ca="1" si="202"/>
        <v>0</v>
      </c>
      <c r="F3526" s="21">
        <f t="shared" ca="1" si="203"/>
        <v>0</v>
      </c>
      <c r="H3526" s="21">
        <v>3511</v>
      </c>
      <c r="I3526" s="102">
        <v>0.66779878254190139</v>
      </c>
      <c r="J3526" s="103">
        <v>1.4846051571177439E-3</v>
      </c>
      <c r="K3526" s="103"/>
      <c r="L3526" s="103">
        <v>3.9600000000000003E-2</v>
      </c>
      <c r="O3526" s="100"/>
    </row>
    <row r="3527" spans="2:15" x14ac:dyDescent="0.2">
      <c r="B3527" s="1">
        <v>3512</v>
      </c>
      <c r="C3527" s="101">
        <f ca="1"/>
        <v>-0.84911615059183387</v>
      </c>
      <c r="D3527" s="101">
        <f t="shared" ca="1" si="201"/>
        <v>0.61111196628368047</v>
      </c>
      <c r="E3527" s="101">
        <f t="shared" ca="1" si="202"/>
        <v>0</v>
      </c>
      <c r="F3527" s="21">
        <f t="shared" ca="1" si="203"/>
        <v>0</v>
      </c>
      <c r="H3527" s="21">
        <v>3512</v>
      </c>
      <c r="I3527" s="102">
        <v>0.66771549909428174</v>
      </c>
      <c r="J3527" s="103">
        <v>1.2702884113305541E-3</v>
      </c>
      <c r="K3527" s="103"/>
      <c r="L3527" s="103">
        <v>0.04</v>
      </c>
      <c r="O3527" s="100"/>
    </row>
    <row r="3528" spans="2:15" x14ac:dyDescent="0.2">
      <c r="B3528" s="1">
        <v>3513</v>
      </c>
      <c r="C3528" s="101">
        <f ca="1"/>
        <v>0.81280852650989666</v>
      </c>
      <c r="D3528" s="101">
        <f t="shared" ca="1" si="201"/>
        <v>0.71997367347934083</v>
      </c>
      <c r="E3528" s="101">
        <f t="shared" ca="1" si="202"/>
        <v>0</v>
      </c>
      <c r="F3528" s="21">
        <f t="shared" ca="1" si="203"/>
        <v>0</v>
      </c>
      <c r="H3528" s="21">
        <v>3513</v>
      </c>
      <c r="I3528" s="102">
        <v>0.66771185031432634</v>
      </c>
      <c r="J3528" s="103">
        <v>1.297992320403186E-3</v>
      </c>
      <c r="K3528" s="103"/>
      <c r="L3528" s="103">
        <v>4.1599999999999998E-2</v>
      </c>
      <c r="O3528" s="100"/>
    </row>
    <row r="3529" spans="2:15" x14ac:dyDescent="0.2">
      <c r="B3529" s="1">
        <v>3514</v>
      </c>
      <c r="C3529" s="101">
        <f ca="1"/>
        <v>0.33069769532081145</v>
      </c>
      <c r="D3529" s="101">
        <f t="shared" ca="1" si="201"/>
        <v>0.68653595292362724</v>
      </c>
      <c r="E3529" s="101">
        <f t="shared" ca="1" si="202"/>
        <v>0</v>
      </c>
      <c r="F3529" s="21">
        <f t="shared" ca="1" si="203"/>
        <v>0</v>
      </c>
      <c r="H3529" s="21">
        <v>3514</v>
      </c>
      <c r="I3529" s="102">
        <v>0.66784066358689675</v>
      </c>
      <c r="J3529" s="103">
        <v>1.4214499860115803E-3</v>
      </c>
      <c r="K3529" s="103"/>
      <c r="L3529" s="103">
        <v>4.3999999999999997E-2</v>
      </c>
      <c r="O3529" s="100"/>
    </row>
    <row r="3530" spans="2:15" x14ac:dyDescent="0.2">
      <c r="B3530" s="1">
        <v>3515</v>
      </c>
      <c r="C3530" s="101">
        <f ca="1"/>
        <v>1.9267101113200136</v>
      </c>
      <c r="D3530" s="101">
        <f t="shared" ca="1" si="201"/>
        <v>0.80359175742671418</v>
      </c>
      <c r="E3530" s="101">
        <f t="shared" ca="1" si="202"/>
        <v>1.539175742671417E-2</v>
      </c>
      <c r="F3530" s="21">
        <f t="shared" ca="1" si="203"/>
        <v>1</v>
      </c>
      <c r="H3530" s="21">
        <v>3515</v>
      </c>
      <c r="I3530" s="102">
        <v>0.66779390699862484</v>
      </c>
      <c r="J3530" s="103">
        <v>1.4087248944478381E-3</v>
      </c>
      <c r="K3530" s="103"/>
      <c r="L3530" s="103">
        <v>4.36E-2</v>
      </c>
      <c r="O3530" s="100"/>
    </row>
    <row r="3531" spans="2:15" x14ac:dyDescent="0.2">
      <c r="B3531" s="1">
        <v>3516</v>
      </c>
      <c r="C3531" s="101">
        <f ca="1"/>
        <v>-1.0779515600999321</v>
      </c>
      <c r="D3531" s="101">
        <f t="shared" ca="1" si="201"/>
        <v>0.59747208621378123</v>
      </c>
      <c r="E3531" s="101">
        <f t="shared" ca="1" si="202"/>
        <v>0</v>
      </c>
      <c r="F3531" s="21">
        <f t="shared" ca="1" si="203"/>
        <v>0</v>
      </c>
      <c r="H3531" s="21">
        <v>3516</v>
      </c>
      <c r="I3531" s="102">
        <v>0.66771800164754957</v>
      </c>
      <c r="J3531" s="103">
        <v>1.4636790138649965E-3</v>
      </c>
      <c r="K3531" s="103"/>
      <c r="L3531" s="103">
        <v>4.2000000000000003E-2</v>
      </c>
      <c r="O3531" s="100"/>
    </row>
    <row r="3532" spans="2:15" x14ac:dyDescent="0.2">
      <c r="B3532" s="1">
        <v>3517</v>
      </c>
      <c r="C3532" s="101">
        <f ca="1"/>
        <v>0.16068573797187277</v>
      </c>
      <c r="D3532" s="101">
        <f t="shared" ca="1" si="201"/>
        <v>0.6751186075368022</v>
      </c>
      <c r="E3532" s="101">
        <f t="shared" ca="1" si="202"/>
        <v>0</v>
      </c>
      <c r="F3532" s="21">
        <f t="shared" ca="1" si="203"/>
        <v>0</v>
      </c>
      <c r="H3532" s="21">
        <v>3517</v>
      </c>
      <c r="I3532" s="102">
        <v>0.66782231371882028</v>
      </c>
      <c r="J3532" s="103">
        <v>1.3997301136702827E-3</v>
      </c>
      <c r="K3532" s="103"/>
      <c r="L3532" s="103">
        <v>4.2999999999999997E-2</v>
      </c>
      <c r="O3532" s="100"/>
    </row>
    <row r="3533" spans="2:15" x14ac:dyDescent="0.2">
      <c r="B3533" s="1">
        <v>3518</v>
      </c>
      <c r="C3533" s="101">
        <f ca="1"/>
        <v>0.66059505991153022</v>
      </c>
      <c r="D3533" s="101">
        <f t="shared" ca="1" si="201"/>
        <v>0.709244350772399</v>
      </c>
      <c r="E3533" s="101">
        <f t="shared" ca="1" si="202"/>
        <v>0</v>
      </c>
      <c r="F3533" s="21">
        <f t="shared" ca="1" si="203"/>
        <v>0</v>
      </c>
      <c r="H3533" s="21">
        <v>3518</v>
      </c>
      <c r="I3533" s="102">
        <v>0.66781954003008503</v>
      </c>
      <c r="J3533" s="103">
        <v>1.5162872692335439E-3</v>
      </c>
      <c r="K3533" s="103"/>
      <c r="L3533" s="103">
        <v>4.5600000000000002E-2</v>
      </c>
      <c r="O3533" s="100"/>
    </row>
    <row r="3534" spans="2:15" x14ac:dyDescent="0.2">
      <c r="B3534" s="1">
        <v>3519</v>
      </c>
      <c r="C3534" s="101">
        <f ca="1"/>
        <v>-0.45521200751553231</v>
      </c>
      <c r="D3534" s="101">
        <f t="shared" ca="1" si="201"/>
        <v>0.63532420023356384</v>
      </c>
      <c r="E3534" s="101">
        <f t="shared" ca="1" si="202"/>
        <v>0</v>
      </c>
      <c r="F3534" s="21">
        <f t="shared" ca="1" si="203"/>
        <v>0</v>
      </c>
      <c r="H3534" s="21">
        <v>3519</v>
      </c>
      <c r="I3534" s="102">
        <v>0.66762701794074975</v>
      </c>
      <c r="J3534" s="103">
        <v>1.2517976096525967E-3</v>
      </c>
      <c r="K3534" s="103"/>
      <c r="L3534" s="103">
        <v>3.7999999999999999E-2</v>
      </c>
      <c r="O3534" s="100"/>
    </row>
    <row r="3535" spans="2:15" x14ac:dyDescent="0.2">
      <c r="B3535" s="1">
        <v>3520</v>
      </c>
      <c r="C3535" s="101">
        <f ca="1"/>
        <v>0.37834149293710512</v>
      </c>
      <c r="D3535" s="101">
        <f t="shared" ca="1" si="201"/>
        <v>0.68977002334607163</v>
      </c>
      <c r="E3535" s="101">
        <f t="shared" ca="1" si="202"/>
        <v>0</v>
      </c>
      <c r="F3535" s="21">
        <f t="shared" ca="1" si="203"/>
        <v>0</v>
      </c>
      <c r="H3535" s="21">
        <v>3520</v>
      </c>
      <c r="I3535" s="102">
        <v>0.66765459691015572</v>
      </c>
      <c r="J3535" s="103">
        <v>1.2804926273989425E-3</v>
      </c>
      <c r="K3535" s="103"/>
      <c r="L3535" s="103">
        <v>3.8800000000000001E-2</v>
      </c>
      <c r="O3535" s="100"/>
    </row>
    <row r="3536" spans="2:15" x14ac:dyDescent="0.2">
      <c r="B3536" s="1">
        <v>3521</v>
      </c>
      <c r="C3536" s="101">
        <f ca="1"/>
        <v>0.26694137177441846</v>
      </c>
      <c r="D3536" s="101">
        <f t="shared" ref="D3536:D3599" ca="1" si="204">S0*EXP((μ-0.5*σ*σ)*T+σ*SQRT(T)*$C3536)</f>
        <v>0.68223187102023897</v>
      </c>
      <c r="E3536" s="101">
        <f t="shared" ref="E3536:E3599" ca="1" si="205">MAX(0,CP*(D3536-K))</f>
        <v>0</v>
      </c>
      <c r="F3536" s="21">
        <f t="shared" ref="F3536:F3599" ca="1" si="206">(CP*(D3536-K)&gt;0)*1</f>
        <v>0</v>
      </c>
      <c r="H3536" s="21">
        <v>3521</v>
      </c>
      <c r="I3536" s="102">
        <v>0.66800242963971179</v>
      </c>
      <c r="J3536" s="103">
        <v>1.6109509162473483E-3</v>
      </c>
      <c r="K3536" s="103"/>
      <c r="L3536" s="103">
        <v>4.58E-2</v>
      </c>
      <c r="O3536" s="100"/>
    </row>
    <row r="3537" spans="2:15" x14ac:dyDescent="0.2">
      <c r="B3537" s="1">
        <v>3522</v>
      </c>
      <c r="C3537" s="101">
        <f ca="1"/>
        <v>0.83329207836755093</v>
      </c>
      <c r="D3537" s="101">
        <f t="shared" ca="1" si="204"/>
        <v>0.72142986872216064</v>
      </c>
      <c r="E3537" s="101">
        <f t="shared" ca="1" si="205"/>
        <v>0</v>
      </c>
      <c r="F3537" s="21">
        <f t="shared" ca="1" si="206"/>
        <v>0</v>
      </c>
      <c r="H3537" s="21">
        <v>3522</v>
      </c>
      <c r="I3537" s="102">
        <v>0.66779337739667843</v>
      </c>
      <c r="J3537" s="103">
        <v>1.3773034270668798E-3</v>
      </c>
      <c r="K3537" s="103"/>
      <c r="L3537" s="103">
        <v>4.1000000000000002E-2</v>
      </c>
      <c r="O3537" s="100"/>
    </row>
    <row r="3538" spans="2:15" x14ac:dyDescent="0.2">
      <c r="B3538" s="1">
        <v>3523</v>
      </c>
      <c r="C3538" s="101">
        <f ca="1"/>
        <v>-0.30998451826626083</v>
      </c>
      <c r="D3538" s="101">
        <f t="shared" ca="1" si="204"/>
        <v>0.64449099630283979</v>
      </c>
      <c r="E3538" s="101">
        <f t="shared" ca="1" si="205"/>
        <v>0</v>
      </c>
      <c r="F3538" s="21">
        <f t="shared" ca="1" si="206"/>
        <v>0</v>
      </c>
      <c r="H3538" s="21">
        <v>3523</v>
      </c>
      <c r="I3538" s="102">
        <v>0.66772314127653398</v>
      </c>
      <c r="J3538" s="103">
        <v>1.278095043881743E-3</v>
      </c>
      <c r="K3538" s="103"/>
      <c r="L3538" s="103">
        <v>4.1399999999999999E-2</v>
      </c>
      <c r="O3538" s="100"/>
    </row>
    <row r="3539" spans="2:15" x14ac:dyDescent="0.2">
      <c r="B3539" s="1">
        <v>3524</v>
      </c>
      <c r="C3539" s="101">
        <f ca="1"/>
        <v>-0.29136133026918054</v>
      </c>
      <c r="D3539" s="101">
        <f t="shared" ca="1" si="204"/>
        <v>0.64567602467002971</v>
      </c>
      <c r="E3539" s="101">
        <f t="shared" ca="1" si="205"/>
        <v>0</v>
      </c>
      <c r="F3539" s="21">
        <f t="shared" ca="1" si="206"/>
        <v>0</v>
      </c>
      <c r="H3539" s="21">
        <v>3524</v>
      </c>
      <c r="I3539" s="102">
        <v>0.66766962019992271</v>
      </c>
      <c r="J3539" s="103">
        <v>1.3877044805925176E-3</v>
      </c>
      <c r="K3539" s="103"/>
      <c r="L3539" s="103">
        <v>4.1599999999999998E-2</v>
      </c>
      <c r="O3539" s="100"/>
    </row>
    <row r="3540" spans="2:15" x14ac:dyDescent="0.2">
      <c r="B3540" s="1">
        <v>3525</v>
      </c>
      <c r="C3540" s="101">
        <f ca="1"/>
        <v>0.49252033341713197</v>
      </c>
      <c r="D3540" s="101">
        <f t="shared" ca="1" si="204"/>
        <v>0.69758264542134074</v>
      </c>
      <c r="E3540" s="101">
        <f t="shared" ca="1" si="205"/>
        <v>0</v>
      </c>
      <c r="F3540" s="21">
        <f t="shared" ca="1" si="206"/>
        <v>0</v>
      </c>
      <c r="H3540" s="21">
        <v>3525</v>
      </c>
      <c r="I3540" s="102">
        <v>0.66763342153877681</v>
      </c>
      <c r="J3540" s="103">
        <v>1.3162016895841299E-3</v>
      </c>
      <c r="K3540" s="103"/>
      <c r="L3540" s="103">
        <v>3.8800000000000001E-2</v>
      </c>
      <c r="O3540" s="100"/>
    </row>
    <row r="3541" spans="2:15" x14ac:dyDescent="0.2">
      <c r="B3541" s="1">
        <v>3526</v>
      </c>
      <c r="C3541" s="101">
        <f ca="1"/>
        <v>0.50824858608761336</v>
      </c>
      <c r="D3541" s="101">
        <f t="shared" ca="1" si="204"/>
        <v>0.69866575396980179</v>
      </c>
      <c r="E3541" s="101">
        <f t="shared" ca="1" si="205"/>
        <v>0</v>
      </c>
      <c r="F3541" s="21">
        <f t="shared" ca="1" si="206"/>
        <v>0</v>
      </c>
      <c r="H3541" s="21">
        <v>3526</v>
      </c>
      <c r="I3541" s="102">
        <v>0.66779437304727751</v>
      </c>
      <c r="J3541" s="103">
        <v>1.3601105690610256E-3</v>
      </c>
      <c r="K3541" s="103"/>
      <c r="L3541" s="103">
        <v>4.2000000000000003E-2</v>
      </c>
      <c r="O3541" s="100"/>
    </row>
    <row r="3542" spans="2:15" x14ac:dyDescent="0.2">
      <c r="B3542" s="1">
        <v>3527</v>
      </c>
      <c r="C3542" s="101">
        <f ca="1"/>
        <v>-0.31420058277991475</v>
      </c>
      <c r="D3542" s="101">
        <f t="shared" ca="1" si="204"/>
        <v>0.64422302227793937</v>
      </c>
      <c r="E3542" s="101">
        <f t="shared" ca="1" si="205"/>
        <v>0</v>
      </c>
      <c r="F3542" s="21">
        <f t="shared" ca="1" si="206"/>
        <v>0</v>
      </c>
      <c r="H3542" s="21">
        <v>3527</v>
      </c>
      <c r="I3542" s="102">
        <v>0.66765532176338305</v>
      </c>
      <c r="J3542" s="103">
        <v>1.2392032220999872E-3</v>
      </c>
      <c r="K3542" s="103"/>
      <c r="L3542" s="103">
        <v>3.9E-2</v>
      </c>
      <c r="O3542" s="100"/>
    </row>
    <row r="3543" spans="2:15" x14ac:dyDescent="0.2">
      <c r="B3543" s="1">
        <v>3528</v>
      </c>
      <c r="C3543" s="101">
        <f ca="1"/>
        <v>0.95645132271972666</v>
      </c>
      <c r="D3543" s="101">
        <f t="shared" ca="1" si="204"/>
        <v>0.73024767877015617</v>
      </c>
      <c r="E3543" s="101">
        <f t="shared" ca="1" si="205"/>
        <v>0</v>
      </c>
      <c r="F3543" s="21">
        <f t="shared" ca="1" si="206"/>
        <v>0</v>
      </c>
      <c r="H3543" s="21">
        <v>3528</v>
      </c>
      <c r="I3543" s="102">
        <v>0.66780692944280018</v>
      </c>
      <c r="J3543" s="103">
        <v>1.4585628264603327E-3</v>
      </c>
      <c r="K3543" s="103"/>
      <c r="L3543" s="103">
        <v>4.3200000000000002E-2</v>
      </c>
      <c r="O3543" s="100"/>
    </row>
    <row r="3544" spans="2:15" x14ac:dyDescent="0.2">
      <c r="B3544" s="1">
        <v>3529</v>
      </c>
      <c r="C3544" s="101">
        <f ca="1"/>
        <v>-0.72065245653163068</v>
      </c>
      <c r="D3544" s="101">
        <f t="shared" ca="1" si="204"/>
        <v>0.61890514531230723</v>
      </c>
      <c r="E3544" s="101">
        <f t="shared" ca="1" si="205"/>
        <v>0</v>
      </c>
      <c r="F3544" s="21">
        <f t="shared" ca="1" si="206"/>
        <v>0</v>
      </c>
      <c r="H3544" s="21">
        <v>3529</v>
      </c>
      <c r="I3544" s="102">
        <v>0.66768190739784017</v>
      </c>
      <c r="J3544" s="103">
        <v>1.3151994246378691E-3</v>
      </c>
      <c r="K3544" s="103"/>
      <c r="L3544" s="103">
        <v>3.9399999999999998E-2</v>
      </c>
      <c r="O3544" s="100"/>
    </row>
    <row r="3545" spans="2:15" x14ac:dyDescent="0.2">
      <c r="B3545" s="1">
        <v>3530</v>
      </c>
      <c r="C3545" s="101">
        <f ca="1"/>
        <v>7.5789262800090171E-2</v>
      </c>
      <c r="D3545" s="101">
        <f t="shared" ca="1" si="204"/>
        <v>0.6694885679236634</v>
      </c>
      <c r="E3545" s="101">
        <f t="shared" ca="1" si="205"/>
        <v>0</v>
      </c>
      <c r="F3545" s="21">
        <f t="shared" ca="1" si="206"/>
        <v>0</v>
      </c>
      <c r="H3545" s="21">
        <v>3530</v>
      </c>
      <c r="I3545" s="102">
        <v>0.66790684100223208</v>
      </c>
      <c r="J3545" s="103">
        <v>1.5318677645982338E-3</v>
      </c>
      <c r="K3545" s="103"/>
      <c r="L3545" s="103">
        <v>4.58E-2</v>
      </c>
      <c r="O3545" s="100"/>
    </row>
    <row r="3546" spans="2:15" x14ac:dyDescent="0.2">
      <c r="B3546" s="1">
        <v>3531</v>
      </c>
      <c r="C3546" s="101">
        <f ca="1"/>
        <v>-0.72898878748052132</v>
      </c>
      <c r="D3546" s="101">
        <f t="shared" ca="1" si="204"/>
        <v>0.61839642463274846</v>
      </c>
      <c r="E3546" s="101">
        <f t="shared" ca="1" si="205"/>
        <v>0</v>
      </c>
      <c r="F3546" s="21">
        <f t="shared" ca="1" si="206"/>
        <v>0</v>
      </c>
      <c r="H3546" s="21">
        <v>3531</v>
      </c>
      <c r="I3546" s="102">
        <v>0.66783102182350496</v>
      </c>
      <c r="J3546" s="103">
        <v>1.4624280370283509E-3</v>
      </c>
      <c r="K3546" s="103"/>
      <c r="L3546" s="103">
        <v>4.02E-2</v>
      </c>
      <c r="O3546" s="100"/>
    </row>
    <row r="3547" spans="2:15" x14ac:dyDescent="0.2">
      <c r="B3547" s="1">
        <v>3532</v>
      </c>
      <c r="C3547" s="101">
        <f ca="1"/>
        <v>-0.68520324242412101</v>
      </c>
      <c r="D3547" s="101">
        <f t="shared" ca="1" si="204"/>
        <v>0.62107309469428151</v>
      </c>
      <c r="E3547" s="101">
        <f t="shared" ca="1" si="205"/>
        <v>0</v>
      </c>
      <c r="F3547" s="21">
        <f t="shared" ca="1" si="206"/>
        <v>0</v>
      </c>
      <c r="H3547" s="21">
        <v>3532</v>
      </c>
      <c r="I3547" s="102">
        <v>0.66766345456926479</v>
      </c>
      <c r="J3547" s="103">
        <v>1.3271967906960612E-3</v>
      </c>
      <c r="K3547" s="103"/>
      <c r="L3547" s="103">
        <v>3.8399999999999997E-2</v>
      </c>
      <c r="O3547" s="100"/>
    </row>
    <row r="3548" spans="2:15" x14ac:dyDescent="0.2">
      <c r="B3548" s="1">
        <v>3533</v>
      </c>
      <c r="C3548" s="101">
        <f ca="1"/>
        <v>-0.59527092007019811</v>
      </c>
      <c r="D3548" s="101">
        <f t="shared" ca="1" si="204"/>
        <v>0.62660717136315269</v>
      </c>
      <c r="E3548" s="101">
        <f t="shared" ca="1" si="205"/>
        <v>0</v>
      </c>
      <c r="F3548" s="21">
        <f t="shared" ca="1" si="206"/>
        <v>0</v>
      </c>
      <c r="H3548" s="21">
        <v>3533</v>
      </c>
      <c r="I3548" s="102">
        <v>0.66775152536192095</v>
      </c>
      <c r="J3548" s="103">
        <v>1.3570676789930027E-3</v>
      </c>
      <c r="K3548" s="103"/>
      <c r="L3548" s="103">
        <v>4.1000000000000002E-2</v>
      </c>
      <c r="O3548" s="100"/>
    </row>
    <row r="3549" spans="2:15" x14ac:dyDescent="0.2">
      <c r="B3549" s="1">
        <v>3534</v>
      </c>
      <c r="C3549" s="101">
        <f ca="1"/>
        <v>0.58886907081654782</v>
      </c>
      <c r="D3549" s="101">
        <f t="shared" ca="1" si="204"/>
        <v>0.70424405275508639</v>
      </c>
      <c r="E3549" s="101">
        <f t="shared" ca="1" si="205"/>
        <v>0</v>
      </c>
      <c r="F3549" s="21">
        <f t="shared" ca="1" si="206"/>
        <v>0</v>
      </c>
      <c r="H3549" s="21">
        <v>3534</v>
      </c>
      <c r="I3549" s="102">
        <v>0.66782094475356002</v>
      </c>
      <c r="J3549" s="103">
        <v>1.5081335189114883E-3</v>
      </c>
      <c r="K3549" s="103"/>
      <c r="L3549" s="103">
        <v>4.4200000000000003E-2</v>
      </c>
      <c r="O3549" s="100"/>
    </row>
    <row r="3550" spans="2:15" x14ac:dyDescent="0.2">
      <c r="B3550" s="1">
        <v>3535</v>
      </c>
      <c r="C3550" s="101">
        <f ca="1"/>
        <v>0.80181797971854996</v>
      </c>
      <c r="D3550" s="101">
        <f t="shared" ca="1" si="204"/>
        <v>0.71919355705104004</v>
      </c>
      <c r="E3550" s="101">
        <f t="shared" ca="1" si="205"/>
        <v>0</v>
      </c>
      <c r="F3550" s="21">
        <f t="shared" ca="1" si="206"/>
        <v>0</v>
      </c>
      <c r="H3550" s="21">
        <v>3535</v>
      </c>
      <c r="I3550" s="102">
        <v>0.66786474980669641</v>
      </c>
      <c r="J3550" s="103">
        <v>1.4368887588373223E-3</v>
      </c>
      <c r="K3550" s="103"/>
      <c r="L3550" s="103">
        <v>4.5600000000000002E-2</v>
      </c>
      <c r="O3550" s="100"/>
    </row>
    <row r="3551" spans="2:15" x14ac:dyDescent="0.2">
      <c r="B3551" s="1">
        <v>3536</v>
      </c>
      <c r="C3551" s="101">
        <f ca="1"/>
        <v>1.3779477095085266</v>
      </c>
      <c r="D3551" s="101">
        <f t="shared" ca="1" si="204"/>
        <v>0.76124916716166036</v>
      </c>
      <c r="E3551" s="101">
        <f t="shared" ca="1" si="205"/>
        <v>0</v>
      </c>
      <c r="F3551" s="21">
        <f t="shared" ca="1" si="206"/>
        <v>0</v>
      </c>
      <c r="H3551" s="21">
        <v>3536</v>
      </c>
      <c r="I3551" s="102">
        <v>0.66757974684837018</v>
      </c>
      <c r="J3551" s="103">
        <v>1.1623802755294332E-3</v>
      </c>
      <c r="K3551" s="103"/>
      <c r="L3551" s="103">
        <v>3.4599999999999999E-2</v>
      </c>
      <c r="O3551" s="100"/>
    </row>
    <row r="3552" spans="2:15" x14ac:dyDescent="0.2">
      <c r="B3552" s="1">
        <v>3537</v>
      </c>
      <c r="C3552" s="101">
        <f ca="1"/>
        <v>-4.509937829986066E-2</v>
      </c>
      <c r="D3552" s="101">
        <f t="shared" ca="1" si="204"/>
        <v>0.66155258476385603</v>
      </c>
      <c r="E3552" s="101">
        <f t="shared" ca="1" si="205"/>
        <v>0</v>
      </c>
      <c r="F3552" s="21">
        <f t="shared" ca="1" si="206"/>
        <v>0</v>
      </c>
      <c r="H3552" s="21">
        <v>3537</v>
      </c>
      <c r="I3552" s="102">
        <v>0.66772524557869006</v>
      </c>
      <c r="J3552" s="103">
        <v>1.3751847315187171E-3</v>
      </c>
      <c r="K3552" s="103"/>
      <c r="L3552" s="103">
        <v>3.9800000000000002E-2</v>
      </c>
      <c r="O3552" s="100"/>
    </row>
    <row r="3553" spans="2:15" x14ac:dyDescent="0.2">
      <c r="B3553" s="1">
        <v>3538</v>
      </c>
      <c r="C3553" s="101">
        <f ca="1"/>
        <v>0.35934037097884458</v>
      </c>
      <c r="D3553" s="101">
        <f t="shared" ca="1" si="204"/>
        <v>0.68847840106553437</v>
      </c>
      <c r="E3553" s="101">
        <f t="shared" ca="1" si="205"/>
        <v>0</v>
      </c>
      <c r="F3553" s="21">
        <f t="shared" ca="1" si="206"/>
        <v>0</v>
      </c>
      <c r="H3553" s="21">
        <v>3538</v>
      </c>
      <c r="I3553" s="102">
        <v>0.66772096252963953</v>
      </c>
      <c r="J3553" s="103">
        <v>1.4056284904926236E-3</v>
      </c>
      <c r="K3553" s="103"/>
      <c r="L3553" s="103">
        <v>4.1599999999999998E-2</v>
      </c>
      <c r="O3553" s="100"/>
    </row>
    <row r="3554" spans="2:15" x14ac:dyDescent="0.2">
      <c r="B3554" s="1">
        <v>3539</v>
      </c>
      <c r="C3554" s="101">
        <f ca="1"/>
        <v>-0.78942206497655898</v>
      </c>
      <c r="D3554" s="101">
        <f t="shared" ca="1" si="204"/>
        <v>0.61472099426243143</v>
      </c>
      <c r="E3554" s="101">
        <f t="shared" ca="1" si="205"/>
        <v>0</v>
      </c>
      <c r="F3554" s="21">
        <f t="shared" ca="1" si="206"/>
        <v>0</v>
      </c>
      <c r="H3554" s="21">
        <v>3539</v>
      </c>
      <c r="I3554" s="102">
        <v>0.66770819679625271</v>
      </c>
      <c r="J3554" s="103">
        <v>1.3830761812032122E-3</v>
      </c>
      <c r="K3554" s="103"/>
      <c r="L3554" s="103">
        <v>4.2200000000000001E-2</v>
      </c>
      <c r="O3554" s="100"/>
    </row>
    <row r="3555" spans="2:15" x14ac:dyDescent="0.2">
      <c r="B3555" s="1">
        <v>3540</v>
      </c>
      <c r="C3555" s="101">
        <f ca="1"/>
        <v>-0.17090203103554669</v>
      </c>
      <c r="D3555" s="101">
        <f t="shared" ca="1" si="204"/>
        <v>0.65339388028170509</v>
      </c>
      <c r="E3555" s="101">
        <f t="shared" ca="1" si="205"/>
        <v>0</v>
      </c>
      <c r="F3555" s="21">
        <f t="shared" ca="1" si="206"/>
        <v>0</v>
      </c>
      <c r="H3555" s="21">
        <v>3540</v>
      </c>
      <c r="I3555" s="102">
        <v>0.66783720371990818</v>
      </c>
      <c r="J3555" s="103">
        <v>1.4582070021065797E-3</v>
      </c>
      <c r="K3555" s="103"/>
      <c r="L3555" s="103">
        <v>4.48E-2</v>
      </c>
      <c r="O3555" s="100"/>
    </row>
    <row r="3556" spans="2:15" x14ac:dyDescent="0.2">
      <c r="B3556" s="1">
        <v>3541</v>
      </c>
      <c r="C3556" s="101">
        <f ca="1"/>
        <v>-0.36544461451510962</v>
      </c>
      <c r="D3556" s="101">
        <f t="shared" ca="1" si="204"/>
        <v>0.64097483348152684</v>
      </c>
      <c r="E3556" s="101">
        <f t="shared" ca="1" si="205"/>
        <v>0</v>
      </c>
      <c r="F3556" s="21">
        <f t="shared" ca="1" si="206"/>
        <v>0</v>
      </c>
      <c r="H3556" s="21">
        <v>3541</v>
      </c>
      <c r="I3556" s="102">
        <v>0.66795989283644319</v>
      </c>
      <c r="J3556" s="103">
        <v>1.7671088276395618E-3</v>
      </c>
      <c r="K3556" s="103"/>
      <c r="L3556" s="103">
        <v>4.7E-2</v>
      </c>
      <c r="O3556" s="100"/>
    </row>
    <row r="3557" spans="2:15" x14ac:dyDescent="0.2">
      <c r="B3557" s="1">
        <v>3542</v>
      </c>
      <c r="C3557" s="101">
        <f ca="1"/>
        <v>-0.99189615721632629</v>
      </c>
      <c r="D3557" s="101">
        <f t="shared" ca="1" si="204"/>
        <v>0.60256538609190746</v>
      </c>
      <c r="E3557" s="101">
        <f t="shared" ca="1" si="205"/>
        <v>0</v>
      </c>
      <c r="F3557" s="21">
        <f t="shared" ca="1" si="206"/>
        <v>0</v>
      </c>
      <c r="H3557" s="21">
        <v>3542</v>
      </c>
      <c r="I3557" s="102">
        <v>0.66771880501200909</v>
      </c>
      <c r="J3557" s="103">
        <v>1.3734866755134515E-3</v>
      </c>
      <c r="K3557" s="103"/>
      <c r="L3557" s="103">
        <v>4.2599999999999999E-2</v>
      </c>
      <c r="O3557" s="100"/>
    </row>
    <row r="3558" spans="2:15" x14ac:dyDescent="0.2">
      <c r="B3558" s="1">
        <v>3543</v>
      </c>
      <c r="C3558" s="101">
        <f ca="1"/>
        <v>0.49523965567601524</v>
      </c>
      <c r="D3558" s="101">
        <f t="shared" ca="1" si="204"/>
        <v>0.69776978838128834</v>
      </c>
      <c r="E3558" s="101">
        <f t="shared" ca="1" si="205"/>
        <v>0</v>
      </c>
      <c r="F3558" s="21">
        <f t="shared" ca="1" si="206"/>
        <v>0</v>
      </c>
      <c r="H3558" s="21">
        <v>3543</v>
      </c>
      <c r="I3558" s="102">
        <v>0.66772544731980521</v>
      </c>
      <c r="J3558" s="103">
        <v>1.4374209026598887E-3</v>
      </c>
      <c r="K3558" s="103"/>
      <c r="L3558" s="103">
        <v>4.3400000000000001E-2</v>
      </c>
      <c r="O3558" s="100"/>
    </row>
    <row r="3559" spans="2:15" x14ac:dyDescent="0.2">
      <c r="B3559" s="1">
        <v>3544</v>
      </c>
      <c r="C3559" s="101">
        <f ca="1"/>
        <v>0.47823585383919803</v>
      </c>
      <c r="D3559" s="101">
        <f t="shared" ca="1" si="204"/>
        <v>0.69660041573120346</v>
      </c>
      <c r="E3559" s="101">
        <f t="shared" ca="1" si="205"/>
        <v>0</v>
      </c>
      <c r="F3559" s="21">
        <f t="shared" ca="1" si="206"/>
        <v>0</v>
      </c>
      <c r="H3559" s="21">
        <v>3544</v>
      </c>
      <c r="I3559" s="102">
        <v>0.66792722183058473</v>
      </c>
      <c r="J3559" s="103">
        <v>1.5430635903428264E-3</v>
      </c>
      <c r="K3559" s="103"/>
      <c r="L3559" s="103">
        <v>4.7399999999999998E-2</v>
      </c>
      <c r="O3559" s="100"/>
    </row>
    <row r="3560" spans="2:15" x14ac:dyDescent="0.2">
      <c r="B3560" s="1">
        <v>3545</v>
      </c>
      <c r="C3560" s="101">
        <f ca="1"/>
        <v>0.42067965032844767</v>
      </c>
      <c r="D3560" s="101">
        <f t="shared" ca="1" si="204"/>
        <v>0.69265672802467737</v>
      </c>
      <c r="E3560" s="101">
        <f t="shared" ca="1" si="205"/>
        <v>0</v>
      </c>
      <c r="F3560" s="21">
        <f t="shared" ca="1" si="206"/>
        <v>0</v>
      </c>
      <c r="H3560" s="21">
        <v>3545</v>
      </c>
      <c r="I3560" s="102">
        <v>0.66771392573155841</v>
      </c>
      <c r="J3560" s="103">
        <v>1.3194973281125521E-3</v>
      </c>
      <c r="K3560" s="103"/>
      <c r="L3560" s="103">
        <v>4.1799999999999997E-2</v>
      </c>
      <c r="O3560" s="100"/>
    </row>
    <row r="3561" spans="2:15" x14ac:dyDescent="0.2">
      <c r="B3561" s="1">
        <v>3546</v>
      </c>
      <c r="C3561" s="101">
        <f ca="1"/>
        <v>0.20604670489143417</v>
      </c>
      <c r="D3561" s="101">
        <f t="shared" ca="1" si="204"/>
        <v>0.67814617104846908</v>
      </c>
      <c r="E3561" s="101">
        <f t="shared" ca="1" si="205"/>
        <v>0</v>
      </c>
      <c r="F3561" s="21">
        <f t="shared" ca="1" si="206"/>
        <v>0</v>
      </c>
      <c r="H3561" s="21">
        <v>3546</v>
      </c>
      <c r="I3561" s="102">
        <v>0.66781374136829996</v>
      </c>
      <c r="J3561" s="103">
        <v>1.4442995961303409E-3</v>
      </c>
      <c r="K3561" s="103"/>
      <c r="L3561" s="103">
        <v>4.2799999999999998E-2</v>
      </c>
      <c r="O3561" s="100"/>
    </row>
    <row r="3562" spans="2:15" x14ac:dyDescent="0.2">
      <c r="B3562" s="1">
        <v>3547</v>
      </c>
      <c r="C3562" s="101">
        <f ca="1"/>
        <v>0.37235003301158642</v>
      </c>
      <c r="D3562" s="101">
        <f t="shared" ca="1" si="204"/>
        <v>0.68936248587414017</v>
      </c>
      <c r="E3562" s="101">
        <f t="shared" ca="1" si="205"/>
        <v>0</v>
      </c>
      <c r="F3562" s="21">
        <f t="shared" ca="1" si="206"/>
        <v>0</v>
      </c>
      <c r="H3562" s="21">
        <v>3547</v>
      </c>
      <c r="I3562" s="102">
        <v>0.66776216324494353</v>
      </c>
      <c r="J3562" s="103">
        <v>1.2977929510349642E-3</v>
      </c>
      <c r="K3562" s="103"/>
      <c r="L3562" s="103">
        <v>4.3200000000000002E-2</v>
      </c>
      <c r="O3562" s="100"/>
    </row>
    <row r="3563" spans="2:15" x14ac:dyDescent="0.2">
      <c r="B3563" s="1">
        <v>3548</v>
      </c>
      <c r="C3563" s="101">
        <f ca="1"/>
        <v>0.3993628651191265</v>
      </c>
      <c r="D3563" s="101">
        <f t="shared" ca="1" si="204"/>
        <v>0.69120179786043545</v>
      </c>
      <c r="E3563" s="101">
        <f t="shared" ca="1" si="205"/>
        <v>0</v>
      </c>
      <c r="F3563" s="21">
        <f t="shared" ca="1" si="206"/>
        <v>0</v>
      </c>
      <c r="H3563" s="21">
        <v>3548</v>
      </c>
      <c r="I3563" s="102">
        <v>0.66773260753806996</v>
      </c>
      <c r="J3563" s="103">
        <v>1.4178124846977685E-3</v>
      </c>
      <c r="K3563" s="103"/>
      <c r="L3563" s="103">
        <v>4.2799999999999998E-2</v>
      </c>
      <c r="O3563" s="100"/>
    </row>
    <row r="3564" spans="2:15" x14ac:dyDescent="0.2">
      <c r="B3564" s="1">
        <v>3549</v>
      </c>
      <c r="C3564" s="101">
        <f ca="1"/>
        <v>1.5074270692158853</v>
      </c>
      <c r="D3564" s="101">
        <f t="shared" ca="1" si="204"/>
        <v>0.77103420780879905</v>
      </c>
      <c r="E3564" s="101">
        <f t="shared" ca="1" si="205"/>
        <v>0</v>
      </c>
      <c r="F3564" s="21">
        <f t="shared" ca="1" si="206"/>
        <v>0</v>
      </c>
      <c r="H3564" s="21">
        <v>3549</v>
      </c>
      <c r="I3564" s="102">
        <v>0.66745139602258574</v>
      </c>
      <c r="J3564" s="103">
        <v>1.0782409881373966E-3</v>
      </c>
      <c r="K3564" s="103"/>
      <c r="L3564" s="103">
        <v>3.3799999999999997E-2</v>
      </c>
      <c r="O3564" s="100"/>
    </row>
    <row r="3565" spans="2:15" x14ac:dyDescent="0.2">
      <c r="B3565" s="1">
        <v>3550</v>
      </c>
      <c r="C3565" s="101">
        <f ca="1"/>
        <v>1.0626894999114669</v>
      </c>
      <c r="D3565" s="101">
        <f t="shared" ca="1" si="204"/>
        <v>0.73794052891667972</v>
      </c>
      <c r="E3565" s="101">
        <f t="shared" ca="1" si="205"/>
        <v>0</v>
      </c>
      <c r="F3565" s="21">
        <f t="shared" ca="1" si="206"/>
        <v>0</v>
      </c>
      <c r="H3565" s="21">
        <v>3550</v>
      </c>
      <c r="I3565" s="102">
        <v>0.6676805907120591</v>
      </c>
      <c r="J3565" s="103">
        <v>1.3238326162383802E-3</v>
      </c>
      <c r="K3565" s="103"/>
      <c r="L3565" s="103">
        <v>4.24E-2</v>
      </c>
      <c r="O3565" s="100"/>
    </row>
    <row r="3566" spans="2:15" x14ac:dyDescent="0.2">
      <c r="B3566" s="1">
        <v>3551</v>
      </c>
      <c r="C3566" s="101">
        <f ca="1"/>
        <v>0.79865986888579144</v>
      </c>
      <c r="D3566" s="101">
        <f t="shared" ca="1" si="204"/>
        <v>0.71896954859532491</v>
      </c>
      <c r="E3566" s="101">
        <f t="shared" ca="1" si="205"/>
        <v>0</v>
      </c>
      <c r="F3566" s="21">
        <f t="shared" ca="1" si="206"/>
        <v>0</v>
      </c>
      <c r="H3566" s="21">
        <v>3551</v>
      </c>
      <c r="I3566" s="102">
        <v>0.66775073613519065</v>
      </c>
      <c r="J3566" s="103">
        <v>1.4437412366077595E-3</v>
      </c>
      <c r="K3566" s="103"/>
      <c r="L3566" s="103">
        <v>4.36E-2</v>
      </c>
      <c r="O3566" s="100"/>
    </row>
    <row r="3567" spans="2:15" x14ac:dyDescent="0.2">
      <c r="B3567" s="1">
        <v>3552</v>
      </c>
      <c r="C3567" s="101">
        <f ca="1"/>
        <v>-0.7621466773368315</v>
      </c>
      <c r="D3567" s="101">
        <f t="shared" ca="1" si="204"/>
        <v>0.61637711592989886</v>
      </c>
      <c r="E3567" s="101">
        <f t="shared" ca="1" si="205"/>
        <v>0</v>
      </c>
      <c r="F3567" s="21">
        <f t="shared" ca="1" si="206"/>
        <v>0</v>
      </c>
      <c r="H3567" s="21">
        <v>3552</v>
      </c>
      <c r="I3567" s="102">
        <v>0.66772971669632719</v>
      </c>
      <c r="J3567" s="103">
        <v>1.4040536230690835E-3</v>
      </c>
      <c r="K3567" s="103"/>
      <c r="L3567" s="103">
        <v>4.2000000000000003E-2</v>
      </c>
      <c r="O3567" s="100"/>
    </row>
    <row r="3568" spans="2:15" x14ac:dyDescent="0.2">
      <c r="B3568" s="1">
        <v>3553</v>
      </c>
      <c r="C3568" s="101">
        <f ca="1"/>
        <v>-0.54883118575265699</v>
      </c>
      <c r="D3568" s="101">
        <f t="shared" ca="1" si="204"/>
        <v>0.62948416626707315</v>
      </c>
      <c r="E3568" s="101">
        <f t="shared" ca="1" si="205"/>
        <v>0</v>
      </c>
      <c r="F3568" s="21">
        <f t="shared" ca="1" si="206"/>
        <v>0</v>
      </c>
      <c r="H3568" s="21">
        <v>3553</v>
      </c>
      <c r="I3568" s="102">
        <v>0.66804926783567775</v>
      </c>
      <c r="J3568" s="103">
        <v>1.7169422866581225E-3</v>
      </c>
      <c r="K3568" s="103"/>
      <c r="L3568" s="103">
        <v>4.8399999999999999E-2</v>
      </c>
      <c r="O3568" s="100"/>
    </row>
    <row r="3569" spans="2:15" x14ac:dyDescent="0.2">
      <c r="B3569" s="1">
        <v>3554</v>
      </c>
      <c r="C3569" s="101">
        <f ca="1"/>
        <v>0.26724479465640744</v>
      </c>
      <c r="D3569" s="101">
        <f t="shared" ca="1" si="204"/>
        <v>0.68225229054983072</v>
      </c>
      <c r="E3569" s="101">
        <f t="shared" ca="1" si="205"/>
        <v>0</v>
      </c>
      <c r="F3569" s="21">
        <f t="shared" ca="1" si="206"/>
        <v>0</v>
      </c>
      <c r="H3569" s="21">
        <v>3554</v>
      </c>
      <c r="I3569" s="102">
        <v>0.66791990732172257</v>
      </c>
      <c r="J3569" s="103">
        <v>1.5840169687967784E-3</v>
      </c>
      <c r="K3569" s="103"/>
      <c r="L3569" s="103">
        <v>4.6600000000000003E-2</v>
      </c>
      <c r="O3569" s="100"/>
    </row>
    <row r="3570" spans="2:15" x14ac:dyDescent="0.2">
      <c r="B3570" s="1">
        <v>3555</v>
      </c>
      <c r="C3570" s="101">
        <f ca="1"/>
        <v>0.88940614559663866</v>
      </c>
      <c r="D3570" s="101">
        <f t="shared" ca="1" si="204"/>
        <v>0.7254341748182892</v>
      </c>
      <c r="E3570" s="101">
        <f t="shared" ca="1" si="205"/>
        <v>0</v>
      </c>
      <c r="F3570" s="21">
        <f t="shared" ca="1" si="206"/>
        <v>0</v>
      </c>
      <c r="H3570" s="21">
        <v>3555</v>
      </c>
      <c r="I3570" s="102">
        <v>0.66785982484163131</v>
      </c>
      <c r="J3570" s="103">
        <v>1.4012989990418892E-3</v>
      </c>
      <c r="K3570" s="103"/>
      <c r="L3570" s="103">
        <v>4.5400000000000003E-2</v>
      </c>
      <c r="O3570" s="100"/>
    </row>
    <row r="3571" spans="2:15" x14ac:dyDescent="0.2">
      <c r="B3571" s="1">
        <v>3556</v>
      </c>
      <c r="C3571" s="101">
        <f ca="1"/>
        <v>-2.20197234876421</v>
      </c>
      <c r="D3571" s="101">
        <f t="shared" ca="1" si="204"/>
        <v>0.53476781620712355</v>
      </c>
      <c r="E3571" s="101">
        <f t="shared" ca="1" si="205"/>
        <v>0</v>
      </c>
      <c r="F3571" s="21">
        <f t="shared" ca="1" si="206"/>
        <v>0</v>
      </c>
      <c r="H3571" s="21">
        <v>3556</v>
      </c>
      <c r="I3571" s="102">
        <v>0.66765058328054827</v>
      </c>
      <c r="J3571" s="103">
        <v>1.1808829438221468E-3</v>
      </c>
      <c r="K3571" s="103"/>
      <c r="L3571" s="103">
        <v>3.6400000000000002E-2</v>
      </c>
      <c r="O3571" s="100"/>
    </row>
    <row r="3572" spans="2:15" x14ac:dyDescent="0.2">
      <c r="B3572" s="1">
        <v>3557</v>
      </c>
      <c r="C3572" s="101">
        <f ca="1"/>
        <v>0.54983640302739467</v>
      </c>
      <c r="D3572" s="101">
        <f t="shared" ca="1" si="204"/>
        <v>0.70153776155977099</v>
      </c>
      <c r="E3572" s="101">
        <f t="shared" ca="1" si="205"/>
        <v>0</v>
      </c>
      <c r="F3572" s="21">
        <f t="shared" ca="1" si="206"/>
        <v>0</v>
      </c>
      <c r="H3572" s="21">
        <v>3557</v>
      </c>
      <c r="I3572" s="102">
        <v>0.66790681989831269</v>
      </c>
      <c r="J3572" s="103">
        <v>1.6465847678433479E-3</v>
      </c>
      <c r="K3572" s="103"/>
      <c r="L3572" s="103">
        <v>4.6600000000000003E-2</v>
      </c>
      <c r="O3572" s="100"/>
    </row>
    <row r="3573" spans="2:15" x14ac:dyDescent="0.2">
      <c r="B3573" s="1">
        <v>3558</v>
      </c>
      <c r="C3573" s="101">
        <f ca="1"/>
        <v>0.71401794064609836</v>
      </c>
      <c r="D3573" s="101">
        <f t="shared" ca="1" si="204"/>
        <v>0.71299172351013385</v>
      </c>
      <c r="E3573" s="101">
        <f t="shared" ca="1" si="205"/>
        <v>0</v>
      </c>
      <c r="F3573" s="21">
        <f t="shared" ca="1" si="206"/>
        <v>0</v>
      </c>
      <c r="H3573" s="21">
        <v>3558</v>
      </c>
      <c r="I3573" s="102">
        <v>0.66761970397049275</v>
      </c>
      <c r="J3573" s="103">
        <v>1.3469333092717109E-3</v>
      </c>
      <c r="K3573" s="103"/>
      <c r="L3573" s="103">
        <v>4.1000000000000002E-2</v>
      </c>
      <c r="O3573" s="100"/>
    </row>
    <row r="3574" spans="2:15" x14ac:dyDescent="0.2">
      <c r="B3574" s="1">
        <v>3559</v>
      </c>
      <c r="C3574" s="101">
        <f ca="1"/>
        <v>1.093495056770319</v>
      </c>
      <c r="D3574" s="101">
        <f t="shared" ca="1" si="204"/>
        <v>0.7401863199329386</v>
      </c>
      <c r="E3574" s="101">
        <f t="shared" ca="1" si="205"/>
        <v>0</v>
      </c>
      <c r="F3574" s="21">
        <f t="shared" ca="1" si="206"/>
        <v>0</v>
      </c>
      <c r="H3574" s="21">
        <v>3559</v>
      </c>
      <c r="I3574" s="102">
        <v>0.66777059614485912</v>
      </c>
      <c r="J3574" s="103">
        <v>1.4716839137007185E-3</v>
      </c>
      <c r="K3574" s="103"/>
      <c r="L3574" s="103">
        <v>4.2000000000000003E-2</v>
      </c>
      <c r="O3574" s="100"/>
    </row>
    <row r="3575" spans="2:15" x14ac:dyDescent="0.2">
      <c r="B3575" s="1">
        <v>3560</v>
      </c>
      <c r="C3575" s="101">
        <f ca="1"/>
        <v>0.87335244572181081</v>
      </c>
      <c r="D3575" s="101">
        <f t="shared" ca="1" si="204"/>
        <v>0.72428631664383092</v>
      </c>
      <c r="E3575" s="101">
        <f t="shared" ca="1" si="205"/>
        <v>0</v>
      </c>
      <c r="F3575" s="21">
        <f t="shared" ca="1" si="206"/>
        <v>0</v>
      </c>
      <c r="H3575" s="21">
        <v>3560</v>
      </c>
      <c r="I3575" s="102">
        <v>0.66786646093357471</v>
      </c>
      <c r="J3575" s="103">
        <v>1.5152500734849045E-3</v>
      </c>
      <c r="K3575" s="103"/>
      <c r="L3575" s="103">
        <v>4.2599999999999999E-2</v>
      </c>
      <c r="O3575" s="100"/>
    </row>
    <row r="3576" spans="2:15" x14ac:dyDescent="0.2">
      <c r="B3576" s="1">
        <v>3561</v>
      </c>
      <c r="C3576" s="101">
        <f ca="1"/>
        <v>-0.24713564322784662</v>
      </c>
      <c r="D3576" s="101">
        <f t="shared" ca="1" si="204"/>
        <v>0.64849892662441866</v>
      </c>
      <c r="E3576" s="101">
        <f t="shared" ca="1" si="205"/>
        <v>0</v>
      </c>
      <c r="F3576" s="21">
        <f t="shared" ca="1" si="206"/>
        <v>0</v>
      </c>
      <c r="H3576" s="21">
        <v>3561</v>
      </c>
      <c r="I3576" s="102">
        <v>0.66774341509796309</v>
      </c>
      <c r="J3576" s="103">
        <v>1.3154012385630789E-3</v>
      </c>
      <c r="K3576" s="103"/>
      <c r="L3576" s="103">
        <v>4.0599999999999997E-2</v>
      </c>
      <c r="O3576" s="100"/>
    </row>
    <row r="3577" spans="2:15" x14ac:dyDescent="0.2">
      <c r="B3577" s="1">
        <v>3562</v>
      </c>
      <c r="C3577" s="101">
        <f ca="1"/>
        <v>-2.1761982650396527</v>
      </c>
      <c r="D3577" s="101">
        <f t="shared" ca="1" si="204"/>
        <v>0.53612913420976138</v>
      </c>
      <c r="E3577" s="101">
        <f t="shared" ca="1" si="205"/>
        <v>0</v>
      </c>
      <c r="F3577" s="21">
        <f t="shared" ca="1" si="206"/>
        <v>0</v>
      </c>
      <c r="H3577" s="21">
        <v>3562</v>
      </c>
      <c r="I3577" s="102">
        <v>0.66768730988135472</v>
      </c>
      <c r="J3577" s="103">
        <v>1.3129858462177144E-3</v>
      </c>
      <c r="K3577" s="103"/>
      <c r="L3577" s="103">
        <v>3.8600000000000002E-2</v>
      </c>
      <c r="O3577" s="100"/>
    </row>
    <row r="3578" spans="2:15" x14ac:dyDescent="0.2">
      <c r="B3578" s="1">
        <v>3563</v>
      </c>
      <c r="C3578" s="101">
        <f ca="1"/>
        <v>0.67204421162132111</v>
      </c>
      <c r="D3578" s="101">
        <f t="shared" ca="1" si="204"/>
        <v>0.71004579509448162</v>
      </c>
      <c r="E3578" s="101">
        <f t="shared" ca="1" si="205"/>
        <v>0</v>
      </c>
      <c r="F3578" s="21">
        <f t="shared" ca="1" si="206"/>
        <v>0</v>
      </c>
      <c r="H3578" s="21">
        <v>3563</v>
      </c>
      <c r="I3578" s="102">
        <v>0.66771119611132013</v>
      </c>
      <c r="J3578" s="103">
        <v>1.4127952963402704E-3</v>
      </c>
      <c r="K3578" s="103"/>
      <c r="L3578" s="103">
        <v>4.3799999999999999E-2</v>
      </c>
      <c r="O3578" s="100"/>
    </row>
    <row r="3579" spans="2:15" x14ac:dyDescent="0.2">
      <c r="B3579" s="1">
        <v>3564</v>
      </c>
      <c r="C3579" s="101">
        <f ca="1"/>
        <v>-3.309840924164368E-2</v>
      </c>
      <c r="D3579" s="101">
        <f t="shared" ca="1" si="204"/>
        <v>0.66233618880982648</v>
      </c>
      <c r="E3579" s="101">
        <f t="shared" ca="1" si="205"/>
        <v>0</v>
      </c>
      <c r="F3579" s="21">
        <f t="shared" ca="1" si="206"/>
        <v>0</v>
      </c>
      <c r="H3579" s="21">
        <v>3564</v>
      </c>
      <c r="I3579" s="102">
        <v>0.66772439702131436</v>
      </c>
      <c r="J3579" s="103">
        <v>1.335542208385575E-3</v>
      </c>
      <c r="K3579" s="103"/>
      <c r="L3579" s="103">
        <v>4.0399999999999998E-2</v>
      </c>
      <c r="O3579" s="100"/>
    </row>
    <row r="3580" spans="2:15" x14ac:dyDescent="0.2">
      <c r="B3580" s="1">
        <v>3565</v>
      </c>
      <c r="C3580" s="101">
        <f ca="1"/>
        <v>1.2788720720269298</v>
      </c>
      <c r="D3580" s="101">
        <f t="shared" ca="1" si="204"/>
        <v>0.75384575095586215</v>
      </c>
      <c r="E3580" s="101">
        <f t="shared" ca="1" si="205"/>
        <v>0</v>
      </c>
      <c r="F3580" s="21">
        <f t="shared" ca="1" si="206"/>
        <v>0</v>
      </c>
      <c r="H3580" s="21">
        <v>3565</v>
      </c>
      <c r="I3580" s="102">
        <v>0.66758283663349116</v>
      </c>
      <c r="J3580" s="103">
        <v>1.2606352670435912E-3</v>
      </c>
      <c r="K3580" s="103"/>
      <c r="L3580" s="103">
        <v>3.9E-2</v>
      </c>
      <c r="O3580" s="100"/>
    </row>
    <row r="3581" spans="2:15" x14ac:dyDescent="0.2">
      <c r="B3581" s="1">
        <v>3566</v>
      </c>
      <c r="C3581" s="101">
        <f ca="1"/>
        <v>-0.46526694174296912</v>
      </c>
      <c r="D3581" s="101">
        <f t="shared" ca="1" si="204"/>
        <v>0.63469437772498194</v>
      </c>
      <c r="E3581" s="101">
        <f t="shared" ca="1" si="205"/>
        <v>0</v>
      </c>
      <c r="F3581" s="21">
        <f t="shared" ca="1" si="206"/>
        <v>0</v>
      </c>
      <c r="H3581" s="21">
        <v>3566</v>
      </c>
      <c r="I3581" s="102">
        <v>0.66775468127789395</v>
      </c>
      <c r="J3581" s="103">
        <v>1.3842947885338924E-3</v>
      </c>
      <c r="K3581" s="103"/>
      <c r="L3581" s="103">
        <v>4.2200000000000001E-2</v>
      </c>
      <c r="O3581" s="100"/>
    </row>
    <row r="3582" spans="2:15" x14ac:dyDescent="0.2">
      <c r="B3582" s="1">
        <v>3567</v>
      </c>
      <c r="C3582" s="101">
        <f ca="1"/>
        <v>-0.6644835435494475</v>
      </c>
      <c r="D3582" s="101">
        <f t="shared" ca="1" si="204"/>
        <v>0.62234375347204074</v>
      </c>
      <c r="E3582" s="101">
        <f t="shared" ca="1" si="205"/>
        <v>0</v>
      </c>
      <c r="F3582" s="21">
        <f t="shared" ca="1" si="206"/>
        <v>0</v>
      </c>
      <c r="H3582" s="21">
        <v>3567</v>
      </c>
      <c r="I3582" s="102">
        <v>0.66783150102379318</v>
      </c>
      <c r="J3582" s="103">
        <v>1.4394593679142728E-3</v>
      </c>
      <c r="K3582" s="103"/>
      <c r="L3582" s="103">
        <v>4.2000000000000003E-2</v>
      </c>
      <c r="O3582" s="100"/>
    </row>
    <row r="3583" spans="2:15" x14ac:dyDescent="0.2">
      <c r="B3583" s="1">
        <v>3568</v>
      </c>
      <c r="C3583" s="101">
        <f ca="1"/>
        <v>-6.7026344203782534E-2</v>
      </c>
      <c r="D3583" s="101">
        <f t="shared" ca="1" si="204"/>
        <v>0.66012325568795605</v>
      </c>
      <c r="E3583" s="101">
        <f t="shared" ca="1" si="205"/>
        <v>0</v>
      </c>
      <c r="F3583" s="21">
        <f t="shared" ca="1" si="206"/>
        <v>0</v>
      </c>
      <c r="H3583" s="21">
        <v>3568</v>
      </c>
      <c r="I3583" s="102">
        <v>0.6676265196328699</v>
      </c>
      <c r="J3583" s="103">
        <v>1.2031606910578407E-3</v>
      </c>
      <c r="K3583" s="103"/>
      <c r="L3583" s="103">
        <v>3.7400000000000003E-2</v>
      </c>
      <c r="O3583" s="100"/>
    </row>
    <row r="3584" spans="2:15" x14ac:dyDescent="0.2">
      <c r="B3584" s="1">
        <v>3569</v>
      </c>
      <c r="C3584" s="101">
        <f ca="1"/>
        <v>-0.69549488741744092</v>
      </c>
      <c r="D3584" s="101">
        <f t="shared" ca="1" si="204"/>
        <v>0.62044291270306362</v>
      </c>
      <c r="E3584" s="101">
        <f t="shared" ca="1" si="205"/>
        <v>0</v>
      </c>
      <c r="F3584" s="21">
        <f t="shared" ca="1" si="206"/>
        <v>0</v>
      </c>
      <c r="H3584" s="21">
        <v>3569</v>
      </c>
      <c r="I3584" s="102">
        <v>0.6676796070321237</v>
      </c>
      <c r="J3584" s="103">
        <v>1.3401282533330012E-3</v>
      </c>
      <c r="K3584" s="103"/>
      <c r="L3584" s="103">
        <v>3.8600000000000002E-2</v>
      </c>
      <c r="O3584" s="100"/>
    </row>
    <row r="3585" spans="2:15" x14ac:dyDescent="0.2">
      <c r="B3585" s="1">
        <v>3570</v>
      </c>
      <c r="C3585" s="101">
        <f ca="1"/>
        <v>-1.9584699248871473</v>
      </c>
      <c r="D3585" s="101">
        <f t="shared" ca="1" si="204"/>
        <v>0.54776812410988207</v>
      </c>
      <c r="E3585" s="101">
        <f t="shared" ca="1" si="205"/>
        <v>0</v>
      </c>
      <c r="F3585" s="21">
        <f t="shared" ca="1" si="206"/>
        <v>0</v>
      </c>
      <c r="H3585" s="21">
        <v>3570</v>
      </c>
      <c r="I3585" s="102">
        <v>0.66781695232555649</v>
      </c>
      <c r="J3585" s="103">
        <v>1.4234265122059385E-3</v>
      </c>
      <c r="K3585" s="103"/>
      <c r="L3585" s="103">
        <v>4.7E-2</v>
      </c>
      <c r="O3585" s="100"/>
    </row>
    <row r="3586" spans="2:15" x14ac:dyDescent="0.2">
      <c r="B3586" s="1">
        <v>3571</v>
      </c>
      <c r="C3586" s="101">
        <f ca="1"/>
        <v>0.28065730321336396</v>
      </c>
      <c r="D3586" s="101">
        <f t="shared" ca="1" si="204"/>
        <v>0.6831555265494057</v>
      </c>
      <c r="E3586" s="101">
        <f t="shared" ca="1" si="205"/>
        <v>0</v>
      </c>
      <c r="F3586" s="21">
        <f t="shared" ca="1" si="206"/>
        <v>0</v>
      </c>
      <c r="H3586" s="21">
        <v>3571</v>
      </c>
      <c r="I3586" s="102">
        <v>0.66770874354369392</v>
      </c>
      <c r="J3586" s="103">
        <v>1.2389064391127127E-3</v>
      </c>
      <c r="K3586" s="103"/>
      <c r="L3586" s="103">
        <v>3.9399999999999998E-2</v>
      </c>
      <c r="O3586" s="100"/>
    </row>
    <row r="3587" spans="2:15" x14ac:dyDescent="0.2">
      <c r="B3587" s="1">
        <v>3572</v>
      </c>
      <c r="C3587" s="101">
        <f ca="1"/>
        <v>-0.10852124556787567</v>
      </c>
      <c r="D3587" s="101">
        <f t="shared" ca="1" si="204"/>
        <v>0.65742681938634884</v>
      </c>
      <c r="E3587" s="101">
        <f t="shared" ca="1" si="205"/>
        <v>0</v>
      </c>
      <c r="F3587" s="21">
        <f t="shared" ca="1" si="206"/>
        <v>0</v>
      </c>
      <c r="H3587" s="21">
        <v>3572</v>
      </c>
      <c r="I3587" s="102">
        <v>0.66776334601782306</v>
      </c>
      <c r="J3587" s="103">
        <v>1.3781095495132543E-3</v>
      </c>
      <c r="K3587" s="103"/>
      <c r="L3587" s="103">
        <v>4.3400000000000001E-2</v>
      </c>
      <c r="O3587" s="100"/>
    </row>
    <row r="3588" spans="2:15" x14ac:dyDescent="0.2">
      <c r="B3588" s="1">
        <v>3573</v>
      </c>
      <c r="C3588" s="101">
        <f ca="1"/>
        <v>-0.31684400323156159</v>
      </c>
      <c r="D3588" s="101">
        <f t="shared" ca="1" si="204"/>
        <v>0.64405506270283974</v>
      </c>
      <c r="E3588" s="101">
        <f t="shared" ca="1" si="205"/>
        <v>0</v>
      </c>
      <c r="F3588" s="21">
        <f t="shared" ca="1" si="206"/>
        <v>0</v>
      </c>
      <c r="H3588" s="21">
        <v>3573</v>
      </c>
      <c r="I3588" s="102">
        <v>0.66782271889831168</v>
      </c>
      <c r="J3588" s="103">
        <v>1.4154614854820999E-3</v>
      </c>
      <c r="K3588" s="103"/>
      <c r="L3588" s="103">
        <v>4.1599999999999998E-2</v>
      </c>
      <c r="O3588" s="100"/>
    </row>
    <row r="3589" spans="2:15" x14ac:dyDescent="0.2">
      <c r="B3589" s="1">
        <v>3574</v>
      </c>
      <c r="C3589" s="101">
        <f ca="1"/>
        <v>-0.36984305314957372</v>
      </c>
      <c r="D3589" s="101">
        <f t="shared" ca="1" si="204"/>
        <v>0.64069679544923863</v>
      </c>
      <c r="E3589" s="101">
        <f t="shared" ca="1" si="205"/>
        <v>0</v>
      </c>
      <c r="F3589" s="21">
        <f t="shared" ca="1" si="206"/>
        <v>0</v>
      </c>
      <c r="H3589" s="21">
        <v>3574</v>
      </c>
      <c r="I3589" s="102">
        <v>0.66787538540681157</v>
      </c>
      <c r="J3589" s="103">
        <v>1.6169076898109418E-3</v>
      </c>
      <c r="K3589" s="103"/>
      <c r="L3589" s="103">
        <v>4.2999999999999997E-2</v>
      </c>
      <c r="O3589" s="100"/>
    </row>
    <row r="3590" spans="2:15" x14ac:dyDescent="0.2">
      <c r="B3590" s="1">
        <v>3575</v>
      </c>
      <c r="C3590" s="101">
        <f ca="1"/>
        <v>-0.23416063953589292</v>
      </c>
      <c r="D3590" s="101">
        <f t="shared" ca="1" si="204"/>
        <v>0.64932945333157099</v>
      </c>
      <c r="E3590" s="101">
        <f t="shared" ca="1" si="205"/>
        <v>0</v>
      </c>
      <c r="F3590" s="21">
        <f t="shared" ca="1" si="206"/>
        <v>0</v>
      </c>
      <c r="H3590" s="21">
        <v>3575</v>
      </c>
      <c r="I3590" s="102">
        <v>0.66776893565020679</v>
      </c>
      <c r="J3590" s="103">
        <v>1.421994146521951E-3</v>
      </c>
      <c r="K3590" s="103"/>
      <c r="L3590" s="103">
        <v>4.58E-2</v>
      </c>
      <c r="O3590" s="100"/>
    </row>
    <row r="3591" spans="2:15" x14ac:dyDescent="0.2">
      <c r="B3591" s="1">
        <v>3576</v>
      </c>
      <c r="C3591" s="101">
        <f ca="1"/>
        <v>-0.77260165525980529</v>
      </c>
      <c r="D3591" s="101">
        <f t="shared" ca="1" si="204"/>
        <v>0.61574177826280363</v>
      </c>
      <c r="E3591" s="101">
        <f t="shared" ca="1" si="205"/>
        <v>0</v>
      </c>
      <c r="F3591" s="21">
        <f t="shared" ca="1" si="206"/>
        <v>0</v>
      </c>
      <c r="H3591" s="21">
        <v>3576</v>
      </c>
      <c r="I3591" s="102">
        <v>0.66769178766606052</v>
      </c>
      <c r="J3591" s="103">
        <v>1.380201482798957E-3</v>
      </c>
      <c r="K3591" s="103"/>
      <c r="L3591" s="103">
        <v>4.1799999999999997E-2</v>
      </c>
      <c r="O3591" s="100"/>
    </row>
    <row r="3592" spans="2:15" x14ac:dyDescent="0.2">
      <c r="B3592" s="1">
        <v>3577</v>
      </c>
      <c r="C3592" s="101">
        <f ca="1"/>
        <v>-2.1803254817526483</v>
      </c>
      <c r="D3592" s="101">
        <f t="shared" ca="1" si="204"/>
        <v>0.53591091288813986</v>
      </c>
      <c r="E3592" s="101">
        <f t="shared" ca="1" si="205"/>
        <v>0</v>
      </c>
      <c r="F3592" s="21">
        <f t="shared" ca="1" si="206"/>
        <v>0</v>
      </c>
      <c r="H3592" s="21">
        <v>3577</v>
      </c>
      <c r="I3592" s="102">
        <v>0.66772673016535011</v>
      </c>
      <c r="J3592" s="103">
        <v>1.3153902054785745E-3</v>
      </c>
      <c r="K3592" s="103"/>
      <c r="L3592" s="103">
        <v>3.9E-2</v>
      </c>
      <c r="O3592" s="100"/>
    </row>
    <row r="3593" spans="2:15" x14ac:dyDescent="0.2">
      <c r="B3593" s="1">
        <v>3578</v>
      </c>
      <c r="C3593" s="101">
        <f ca="1"/>
        <v>0.24918324286088717</v>
      </c>
      <c r="D3593" s="101">
        <f t="shared" ca="1" si="204"/>
        <v>0.68103786149639811</v>
      </c>
      <c r="E3593" s="101">
        <f t="shared" ca="1" si="205"/>
        <v>0</v>
      </c>
      <c r="F3593" s="21">
        <f t="shared" ca="1" si="206"/>
        <v>0</v>
      </c>
      <c r="H3593" s="21">
        <v>3578</v>
      </c>
      <c r="I3593" s="102">
        <v>0.66777402718917223</v>
      </c>
      <c r="J3593" s="103">
        <v>1.4106011692706065E-3</v>
      </c>
      <c r="K3593" s="103"/>
      <c r="L3593" s="103">
        <v>4.1799999999999997E-2</v>
      </c>
      <c r="O3593" s="100"/>
    </row>
    <row r="3594" spans="2:15" x14ac:dyDescent="0.2">
      <c r="B3594" s="1">
        <v>3579</v>
      </c>
      <c r="C3594" s="101">
        <f ca="1"/>
        <v>2.1186839937699227</v>
      </c>
      <c r="D3594" s="101">
        <f t="shared" ca="1" si="204"/>
        <v>0.81895401464793727</v>
      </c>
      <c r="E3594" s="101">
        <f t="shared" ca="1" si="205"/>
        <v>3.0754014647937256E-2</v>
      </c>
      <c r="F3594" s="21">
        <f t="shared" ca="1" si="206"/>
        <v>1</v>
      </c>
      <c r="H3594" s="21">
        <v>3579</v>
      </c>
      <c r="I3594" s="102">
        <v>0.66780467242204689</v>
      </c>
      <c r="J3594" s="103">
        <v>1.4524598970164964E-3</v>
      </c>
      <c r="K3594" s="103"/>
      <c r="L3594" s="103">
        <v>4.2000000000000003E-2</v>
      </c>
      <c r="O3594" s="100"/>
    </row>
    <row r="3595" spans="2:15" x14ac:dyDescent="0.2">
      <c r="B3595" s="1">
        <v>3580</v>
      </c>
      <c r="C3595" s="101">
        <f ca="1"/>
        <v>1.5176406807116907</v>
      </c>
      <c r="D3595" s="101">
        <f t="shared" ca="1" si="204"/>
        <v>0.77181140401518711</v>
      </c>
      <c r="E3595" s="101">
        <f t="shared" ca="1" si="205"/>
        <v>0</v>
      </c>
      <c r="F3595" s="21">
        <f t="shared" ca="1" si="206"/>
        <v>0</v>
      </c>
      <c r="H3595" s="21">
        <v>3580</v>
      </c>
      <c r="I3595" s="102">
        <v>0.66772310469361607</v>
      </c>
      <c r="J3595" s="103">
        <v>1.2602691590254454E-3</v>
      </c>
      <c r="K3595" s="103"/>
      <c r="L3595" s="103">
        <v>3.8600000000000002E-2</v>
      </c>
      <c r="O3595" s="100"/>
    </row>
    <row r="3596" spans="2:15" x14ac:dyDescent="0.2">
      <c r="B3596" s="1">
        <v>3581</v>
      </c>
      <c r="C3596" s="101">
        <f ca="1"/>
        <v>-9.2979632884642782E-2</v>
      </c>
      <c r="D3596" s="101">
        <f t="shared" ca="1" si="204"/>
        <v>0.65843545741484433</v>
      </c>
      <c r="E3596" s="101">
        <f t="shared" ca="1" si="205"/>
        <v>0</v>
      </c>
      <c r="F3596" s="21">
        <f t="shared" ca="1" si="206"/>
        <v>0</v>
      </c>
      <c r="H3596" s="21">
        <v>3581</v>
      </c>
      <c r="I3596" s="102">
        <v>0.66760432491409527</v>
      </c>
      <c r="J3596" s="103">
        <v>1.27499545127606E-3</v>
      </c>
      <c r="K3596" s="103"/>
      <c r="L3596" s="103">
        <v>3.6400000000000002E-2</v>
      </c>
      <c r="O3596" s="100"/>
    </row>
    <row r="3597" spans="2:15" x14ac:dyDescent="0.2">
      <c r="B3597" s="1">
        <v>3582</v>
      </c>
      <c r="C3597" s="101">
        <f ca="1"/>
        <v>-7.7403592169270327E-2</v>
      </c>
      <c r="D3597" s="101">
        <f t="shared" ca="1" si="204"/>
        <v>0.65944788241581409</v>
      </c>
      <c r="E3597" s="101">
        <f t="shared" ca="1" si="205"/>
        <v>0</v>
      </c>
      <c r="F3597" s="21">
        <f t="shared" ca="1" si="206"/>
        <v>0</v>
      </c>
      <c r="H3597" s="21">
        <v>3582</v>
      </c>
      <c r="I3597" s="102">
        <v>0.66774348712773046</v>
      </c>
      <c r="J3597" s="103">
        <v>1.5001768713180964E-3</v>
      </c>
      <c r="K3597" s="103"/>
      <c r="L3597" s="103">
        <v>4.0599999999999997E-2</v>
      </c>
      <c r="O3597" s="100"/>
    </row>
    <row r="3598" spans="2:15" x14ac:dyDescent="0.2">
      <c r="B3598" s="1">
        <v>3583</v>
      </c>
      <c r="C3598" s="101">
        <f ca="1"/>
        <v>-1.8833347432311884E-2</v>
      </c>
      <c r="D3598" s="101">
        <f t="shared" ca="1" si="204"/>
        <v>0.6632688343809191</v>
      </c>
      <c r="E3598" s="101">
        <f t="shared" ca="1" si="205"/>
        <v>0</v>
      </c>
      <c r="F3598" s="21">
        <f t="shared" ca="1" si="206"/>
        <v>0</v>
      </c>
      <c r="H3598" s="21">
        <v>3583</v>
      </c>
      <c r="I3598" s="102">
        <v>0.66768987133679958</v>
      </c>
      <c r="J3598" s="103">
        <v>1.2925781471001111E-3</v>
      </c>
      <c r="K3598" s="103"/>
      <c r="L3598" s="103">
        <v>4.24E-2</v>
      </c>
      <c r="O3598" s="100"/>
    </row>
    <row r="3599" spans="2:15" x14ac:dyDescent="0.2">
      <c r="B3599" s="1">
        <v>3584</v>
      </c>
      <c r="C3599" s="101">
        <f ca="1"/>
        <v>-0.60366438889061136</v>
      </c>
      <c r="D3599" s="101">
        <f t="shared" ca="1" si="204"/>
        <v>0.62608859111644477</v>
      </c>
      <c r="E3599" s="101">
        <f t="shared" ca="1" si="205"/>
        <v>0</v>
      </c>
      <c r="F3599" s="21">
        <f t="shared" ca="1" si="206"/>
        <v>0</v>
      </c>
      <c r="H3599" s="21">
        <v>3584</v>
      </c>
      <c r="I3599" s="102">
        <v>0.66766651471472327</v>
      </c>
      <c r="J3599" s="103">
        <v>1.3061513810707741E-3</v>
      </c>
      <c r="K3599" s="103"/>
      <c r="L3599" s="103">
        <v>3.9800000000000002E-2</v>
      </c>
      <c r="O3599" s="100"/>
    </row>
    <row r="3600" spans="2:15" x14ac:dyDescent="0.2">
      <c r="B3600" s="1">
        <v>3585</v>
      </c>
      <c r="C3600" s="101">
        <f ca="1"/>
        <v>-1.0792159302739743</v>
      </c>
      <c r="D3600" s="101">
        <f t="shared" ref="D3600:D3663" ca="1" si="207">S0*EXP((μ-0.5*σ*σ)*T+σ*SQRT(T)*$C3600)</f>
        <v>0.59739757464951049</v>
      </c>
      <c r="E3600" s="101">
        <f t="shared" ref="E3600:E3663" ca="1" si="208">MAX(0,CP*(D3600-K))</f>
        <v>0</v>
      </c>
      <c r="F3600" s="21">
        <f t="shared" ref="F3600:F3663" ca="1" si="209">(CP*(D3600-K)&gt;0)*1</f>
        <v>0</v>
      </c>
      <c r="H3600" s="21">
        <v>3585</v>
      </c>
      <c r="I3600" s="102">
        <v>0.66779280988629763</v>
      </c>
      <c r="J3600" s="103">
        <v>1.3456328810535767E-3</v>
      </c>
      <c r="K3600" s="103"/>
      <c r="L3600" s="103">
        <v>4.5400000000000003E-2</v>
      </c>
      <c r="O3600" s="100"/>
    </row>
    <row r="3601" spans="2:15" x14ac:dyDescent="0.2">
      <c r="B3601" s="1">
        <v>3586</v>
      </c>
      <c r="C3601" s="101">
        <f ca="1"/>
        <v>1.030284951665295</v>
      </c>
      <c r="D3601" s="101">
        <f t="shared" ca="1" si="207"/>
        <v>0.73558552125386423</v>
      </c>
      <c r="E3601" s="101">
        <f t="shared" ca="1" si="208"/>
        <v>0</v>
      </c>
      <c r="F3601" s="21">
        <f t="shared" ca="1" si="209"/>
        <v>0</v>
      </c>
      <c r="H3601" s="21">
        <v>3586</v>
      </c>
      <c r="I3601" s="102">
        <v>0.66776407985271424</v>
      </c>
      <c r="J3601" s="103">
        <v>1.4389892615550063E-3</v>
      </c>
      <c r="K3601" s="103"/>
      <c r="L3601" s="103">
        <v>4.1200000000000001E-2</v>
      </c>
      <c r="O3601" s="100"/>
    </row>
    <row r="3602" spans="2:15" x14ac:dyDescent="0.2">
      <c r="B3602" s="1">
        <v>3587</v>
      </c>
      <c r="C3602" s="101">
        <f ca="1"/>
        <v>-0.42620146892228017</v>
      </c>
      <c r="D3602" s="101">
        <f t="shared" ca="1" si="207"/>
        <v>0.63714487190882985</v>
      </c>
      <c r="E3602" s="101">
        <f t="shared" ca="1" si="208"/>
        <v>0</v>
      </c>
      <c r="F3602" s="21">
        <f t="shared" ca="1" si="209"/>
        <v>0</v>
      </c>
      <c r="H3602" s="21">
        <v>3587</v>
      </c>
      <c r="I3602" s="102">
        <v>0.66772695084731815</v>
      </c>
      <c r="J3602" s="103">
        <v>1.3327261251508534E-3</v>
      </c>
      <c r="K3602" s="103"/>
      <c r="L3602" s="103">
        <v>4.5400000000000003E-2</v>
      </c>
      <c r="O3602" s="100"/>
    </row>
    <row r="3603" spans="2:15" x14ac:dyDescent="0.2">
      <c r="B3603" s="1">
        <v>3588</v>
      </c>
      <c r="C3603" s="101">
        <f ca="1"/>
        <v>-1.2060528206012526</v>
      </c>
      <c r="D3603" s="101">
        <f t="shared" ca="1" si="207"/>
        <v>0.58996988127621175</v>
      </c>
      <c r="E3603" s="101">
        <f t="shared" ca="1" si="208"/>
        <v>0</v>
      </c>
      <c r="F3603" s="21">
        <f t="shared" ca="1" si="209"/>
        <v>0</v>
      </c>
      <c r="H3603" s="21">
        <v>3588</v>
      </c>
      <c r="I3603" s="102">
        <v>0.66757114408346474</v>
      </c>
      <c r="J3603" s="103">
        <v>1.0753708249308725E-3</v>
      </c>
      <c r="K3603" s="103"/>
      <c r="L3603" s="103">
        <v>3.8800000000000001E-2</v>
      </c>
      <c r="O3603" s="100"/>
    </row>
    <row r="3604" spans="2:15" x14ac:dyDescent="0.2">
      <c r="B3604" s="1">
        <v>3589</v>
      </c>
      <c r="C3604" s="101">
        <f ca="1"/>
        <v>0.6470061108285593</v>
      </c>
      <c r="D3604" s="101">
        <f t="shared" ca="1" si="207"/>
        <v>0.70829429386748444</v>
      </c>
      <c r="E3604" s="101">
        <f t="shared" ca="1" si="208"/>
        <v>0</v>
      </c>
      <c r="F3604" s="21">
        <f t="shared" ca="1" si="209"/>
        <v>0</v>
      </c>
      <c r="H3604" s="21">
        <v>3589</v>
      </c>
      <c r="I3604" s="102">
        <v>0.66768510868608122</v>
      </c>
      <c r="J3604" s="103">
        <v>1.2562988294485609E-3</v>
      </c>
      <c r="K3604" s="103"/>
      <c r="L3604" s="103">
        <v>0.04</v>
      </c>
      <c r="O3604" s="100"/>
    </row>
    <row r="3605" spans="2:15" x14ac:dyDescent="0.2">
      <c r="B3605" s="1">
        <v>3590</v>
      </c>
      <c r="C3605" s="101">
        <f ca="1"/>
        <v>2.455549951097876</v>
      </c>
      <c r="D3605" s="101">
        <f t="shared" ca="1" si="207"/>
        <v>0.84662413746477683</v>
      </c>
      <c r="E3605" s="101">
        <f t="shared" ca="1" si="208"/>
        <v>5.8424137464776815E-2</v>
      </c>
      <c r="F3605" s="21">
        <f t="shared" ca="1" si="209"/>
        <v>1</v>
      </c>
      <c r="H3605" s="21">
        <v>3590</v>
      </c>
      <c r="I3605" s="102">
        <v>0.66776735271734333</v>
      </c>
      <c r="J3605" s="103">
        <v>1.4231928637451492E-3</v>
      </c>
      <c r="K3605" s="103"/>
      <c r="L3605" s="103">
        <v>4.2599999999999999E-2</v>
      </c>
      <c r="O3605" s="100"/>
    </row>
    <row r="3606" spans="2:15" x14ac:dyDescent="0.2">
      <c r="B3606" s="1">
        <v>3591</v>
      </c>
      <c r="C3606" s="101">
        <f ca="1"/>
        <v>1.9069411644004668</v>
      </c>
      <c r="D3606" s="101">
        <f t="shared" ca="1" si="207"/>
        <v>0.80202625215825019</v>
      </c>
      <c r="E3606" s="101">
        <f t="shared" ca="1" si="208"/>
        <v>1.3826252158250174E-2</v>
      </c>
      <c r="F3606" s="21">
        <f t="shared" ca="1" si="209"/>
        <v>1</v>
      </c>
      <c r="H3606" s="21">
        <v>3591</v>
      </c>
      <c r="I3606" s="102">
        <v>0.66774918039338371</v>
      </c>
      <c r="J3606" s="103">
        <v>1.3789711101596287E-3</v>
      </c>
      <c r="K3606" s="103"/>
      <c r="L3606" s="103">
        <v>4.6600000000000003E-2</v>
      </c>
      <c r="O3606" s="100"/>
    </row>
    <row r="3607" spans="2:15" x14ac:dyDescent="0.2">
      <c r="B3607" s="1">
        <v>3592</v>
      </c>
      <c r="C3607" s="101">
        <f ca="1"/>
        <v>-9.7903887191910857E-2</v>
      </c>
      <c r="D3607" s="101">
        <f t="shared" ca="1" si="207"/>
        <v>0.65811570994808122</v>
      </c>
      <c r="E3607" s="101">
        <f t="shared" ca="1" si="208"/>
        <v>0</v>
      </c>
      <c r="F3607" s="21">
        <f t="shared" ca="1" si="209"/>
        <v>0</v>
      </c>
      <c r="H3607" s="21">
        <v>3592</v>
      </c>
      <c r="I3607" s="102">
        <v>0.66787964602615835</v>
      </c>
      <c r="J3607" s="103">
        <v>1.4317270004561675E-3</v>
      </c>
      <c r="K3607" s="103"/>
      <c r="L3607" s="103">
        <v>4.5199999999999997E-2</v>
      </c>
      <c r="O3607" s="100"/>
    </row>
    <row r="3608" spans="2:15" x14ac:dyDescent="0.2">
      <c r="B3608" s="1">
        <v>3593</v>
      </c>
      <c r="C3608" s="101">
        <f ca="1"/>
        <v>0.45007225818785296</v>
      </c>
      <c r="D3608" s="101">
        <f t="shared" ca="1" si="207"/>
        <v>0.69466787963467225</v>
      </c>
      <c r="E3608" s="101">
        <f t="shared" ca="1" si="208"/>
        <v>0</v>
      </c>
      <c r="F3608" s="21">
        <f t="shared" ca="1" si="209"/>
        <v>0</v>
      </c>
      <c r="H3608" s="21">
        <v>3593</v>
      </c>
      <c r="I3608" s="102">
        <v>0.66770038047314417</v>
      </c>
      <c r="J3608" s="103">
        <v>1.2536290409916918E-3</v>
      </c>
      <c r="K3608" s="103"/>
      <c r="L3608" s="103">
        <v>4.2799999999999998E-2</v>
      </c>
      <c r="O3608" s="100"/>
    </row>
    <row r="3609" spans="2:15" x14ac:dyDescent="0.2">
      <c r="B3609" s="1">
        <v>3594</v>
      </c>
      <c r="C3609" s="101">
        <f ca="1"/>
        <v>0.45764858105076511</v>
      </c>
      <c r="D3609" s="101">
        <f t="shared" ca="1" si="207"/>
        <v>0.69518722574731806</v>
      </c>
      <c r="E3609" s="101">
        <f t="shared" ca="1" si="208"/>
        <v>0</v>
      </c>
      <c r="F3609" s="21">
        <f t="shared" ca="1" si="209"/>
        <v>0</v>
      </c>
      <c r="H3609" s="21">
        <v>3594</v>
      </c>
      <c r="I3609" s="102">
        <v>0.66783510390086387</v>
      </c>
      <c r="J3609" s="103">
        <v>1.5490562410436287E-3</v>
      </c>
      <c r="K3609" s="103"/>
      <c r="L3609" s="103">
        <v>4.58E-2</v>
      </c>
      <c r="O3609" s="100"/>
    </row>
    <row r="3610" spans="2:15" x14ac:dyDescent="0.2">
      <c r="B3610" s="1">
        <v>3595</v>
      </c>
      <c r="C3610" s="101">
        <f ca="1"/>
        <v>-0.23894323760603639</v>
      </c>
      <c r="D3610" s="101">
        <f t="shared" ca="1" si="207"/>
        <v>0.64902319673638742</v>
      </c>
      <c r="E3610" s="101">
        <f t="shared" ca="1" si="208"/>
        <v>0</v>
      </c>
      <c r="F3610" s="21">
        <f t="shared" ca="1" si="209"/>
        <v>0</v>
      </c>
      <c r="H3610" s="21">
        <v>3595</v>
      </c>
      <c r="I3610" s="102">
        <v>0.66794722982210386</v>
      </c>
      <c r="J3610" s="103">
        <v>1.6004147099755947E-3</v>
      </c>
      <c r="K3610" s="103"/>
      <c r="L3610" s="103">
        <v>4.82E-2</v>
      </c>
      <c r="O3610" s="100"/>
    </row>
    <row r="3611" spans="2:15" x14ac:dyDescent="0.2">
      <c r="B3611" s="1">
        <v>3596</v>
      </c>
      <c r="C3611" s="101">
        <f ca="1"/>
        <v>-9.2926157910225723E-2</v>
      </c>
      <c r="D3611" s="101">
        <f t="shared" ca="1" si="207"/>
        <v>0.65843893056725433</v>
      </c>
      <c r="E3611" s="101">
        <f t="shared" ca="1" si="208"/>
        <v>0</v>
      </c>
      <c r="F3611" s="21">
        <f t="shared" ca="1" si="209"/>
        <v>0</v>
      </c>
      <c r="H3611" s="21">
        <v>3596</v>
      </c>
      <c r="I3611" s="102">
        <v>0.66773053101881918</v>
      </c>
      <c r="J3611" s="103">
        <v>1.3482981412878911E-3</v>
      </c>
      <c r="K3611" s="103"/>
      <c r="L3611" s="103">
        <v>4.3999999999999997E-2</v>
      </c>
      <c r="O3611" s="100"/>
    </row>
    <row r="3612" spans="2:15" x14ac:dyDescent="0.2">
      <c r="B3612" s="1">
        <v>3597</v>
      </c>
      <c r="C3612" s="101">
        <f ca="1"/>
        <v>0.25133385788704143</v>
      </c>
      <c r="D3612" s="101">
        <f t="shared" ca="1" si="207"/>
        <v>0.68118235186517873</v>
      </c>
      <c r="E3612" s="101">
        <f t="shared" ca="1" si="208"/>
        <v>0</v>
      </c>
      <c r="F3612" s="21">
        <f t="shared" ca="1" si="209"/>
        <v>0</v>
      </c>
      <c r="H3612" s="21">
        <v>3597</v>
      </c>
      <c r="I3612" s="102">
        <v>0.66786201704266401</v>
      </c>
      <c r="J3612" s="103">
        <v>1.6686381923031214E-3</v>
      </c>
      <c r="K3612" s="103"/>
      <c r="L3612" s="103">
        <v>4.5600000000000002E-2</v>
      </c>
      <c r="O3612" s="100"/>
    </row>
    <row r="3613" spans="2:15" x14ac:dyDescent="0.2">
      <c r="B3613" s="1">
        <v>3598</v>
      </c>
      <c r="C3613" s="101">
        <f ca="1"/>
        <v>-1.2338185329773159</v>
      </c>
      <c r="D3613" s="101">
        <f t="shared" ca="1" si="207"/>
        <v>0.58835625497201482</v>
      </c>
      <c r="E3613" s="101">
        <f t="shared" ca="1" si="208"/>
        <v>0</v>
      </c>
      <c r="F3613" s="21">
        <f t="shared" ca="1" si="209"/>
        <v>0</v>
      </c>
      <c r="H3613" s="21">
        <v>3598</v>
      </c>
      <c r="I3613" s="102">
        <v>0.66770586547669053</v>
      </c>
      <c r="J3613" s="103">
        <v>1.1898064865970067E-3</v>
      </c>
      <c r="K3613" s="103"/>
      <c r="L3613" s="103">
        <v>3.9800000000000002E-2</v>
      </c>
      <c r="O3613" s="100"/>
    </row>
    <row r="3614" spans="2:15" x14ac:dyDescent="0.2">
      <c r="B3614" s="1">
        <v>3599</v>
      </c>
      <c r="C3614" s="101">
        <f ca="1"/>
        <v>0.80593832580263813</v>
      </c>
      <c r="D3614" s="101">
        <f t="shared" ca="1" si="207"/>
        <v>0.71948592290156022</v>
      </c>
      <c r="E3614" s="101">
        <f t="shared" ca="1" si="208"/>
        <v>0</v>
      </c>
      <c r="F3614" s="21">
        <f t="shared" ca="1" si="209"/>
        <v>0</v>
      </c>
      <c r="H3614" s="21">
        <v>3599</v>
      </c>
      <c r="I3614" s="102">
        <v>0.66776060911893842</v>
      </c>
      <c r="J3614" s="103">
        <v>1.4374095358080942E-3</v>
      </c>
      <c r="K3614" s="103"/>
      <c r="L3614" s="103">
        <v>4.36E-2</v>
      </c>
      <c r="O3614" s="100"/>
    </row>
    <row r="3615" spans="2:15" x14ac:dyDescent="0.2">
      <c r="B3615" s="1">
        <v>3600</v>
      </c>
      <c r="C3615" s="101">
        <f ca="1"/>
        <v>1.0793746476982145</v>
      </c>
      <c r="D3615" s="101">
        <f t="shared" ca="1" si="207"/>
        <v>0.73915606473647477</v>
      </c>
      <c r="E3615" s="101">
        <f t="shared" ca="1" si="208"/>
        <v>0</v>
      </c>
      <c r="F3615" s="21">
        <f t="shared" ca="1" si="209"/>
        <v>0</v>
      </c>
      <c r="H3615" s="21">
        <v>3600</v>
      </c>
      <c r="I3615" s="102">
        <v>0.66779402649697028</v>
      </c>
      <c r="J3615" s="103">
        <v>1.4308770463866615E-3</v>
      </c>
      <c r="K3615" s="103"/>
      <c r="L3615" s="103">
        <v>4.5199999999999997E-2</v>
      </c>
      <c r="O3615" s="100"/>
    </row>
    <row r="3616" spans="2:15" x14ac:dyDescent="0.2">
      <c r="B3616" s="1">
        <v>3601</v>
      </c>
      <c r="C3616" s="101">
        <f ca="1"/>
        <v>-1.0758326492348511</v>
      </c>
      <c r="D3616" s="101">
        <f t="shared" ca="1" si="207"/>
        <v>0.59759697820668389</v>
      </c>
      <c r="E3616" s="101">
        <f t="shared" ca="1" si="208"/>
        <v>0</v>
      </c>
      <c r="F3616" s="21">
        <f t="shared" ca="1" si="209"/>
        <v>0</v>
      </c>
      <c r="H3616" s="21">
        <v>3601</v>
      </c>
      <c r="I3616" s="102">
        <v>0.6679192682640307</v>
      </c>
      <c r="J3616" s="103">
        <v>1.6379033830213523E-3</v>
      </c>
      <c r="K3616" s="103"/>
      <c r="L3616" s="103">
        <v>4.5999999999999999E-2</v>
      </c>
      <c r="O3616" s="100"/>
    </row>
    <row r="3617" spans="2:15" x14ac:dyDescent="0.2">
      <c r="B3617" s="1">
        <v>3602</v>
      </c>
      <c r="C3617" s="101">
        <f ca="1"/>
        <v>-1.1216004791525716</v>
      </c>
      <c r="D3617" s="101">
        <f t="shared" ca="1" si="207"/>
        <v>0.59490514807452477</v>
      </c>
      <c r="E3617" s="101">
        <f t="shared" ca="1" si="208"/>
        <v>0</v>
      </c>
      <c r="F3617" s="21">
        <f t="shared" ca="1" si="209"/>
        <v>0</v>
      </c>
      <c r="H3617" s="21">
        <v>3602</v>
      </c>
      <c r="I3617" s="102">
        <v>0.66769272506468291</v>
      </c>
      <c r="J3617" s="103">
        <v>1.3526734327971384E-3</v>
      </c>
      <c r="K3617" s="103"/>
      <c r="L3617" s="103">
        <v>3.9800000000000002E-2</v>
      </c>
      <c r="O3617" s="100"/>
    </row>
    <row r="3618" spans="2:15" x14ac:dyDescent="0.2">
      <c r="B3618" s="1">
        <v>3603</v>
      </c>
      <c r="C3618" s="101">
        <f ca="1"/>
        <v>-0.79327806464746586</v>
      </c>
      <c r="D3618" s="101">
        <f t="shared" ca="1" si="207"/>
        <v>0.61448722288126678</v>
      </c>
      <c r="E3618" s="101">
        <f t="shared" ca="1" si="208"/>
        <v>0</v>
      </c>
      <c r="F3618" s="21">
        <f t="shared" ca="1" si="209"/>
        <v>0</v>
      </c>
      <c r="H3618" s="21">
        <v>3603</v>
      </c>
      <c r="I3618" s="102">
        <v>0.6677982331831257</v>
      </c>
      <c r="J3618" s="103">
        <v>1.4504131586401861E-3</v>
      </c>
      <c r="K3618" s="103"/>
      <c r="L3618" s="103">
        <v>4.24E-2</v>
      </c>
      <c r="O3618" s="100"/>
    </row>
    <row r="3619" spans="2:15" x14ac:dyDescent="0.2">
      <c r="B3619" s="1">
        <v>3604</v>
      </c>
      <c r="C3619" s="101">
        <f ca="1"/>
        <v>1.8228533452252342</v>
      </c>
      <c r="D3619" s="101">
        <f t="shared" ca="1" si="207"/>
        <v>0.79540133146680314</v>
      </c>
      <c r="E3619" s="101">
        <f t="shared" ca="1" si="208"/>
        <v>7.2013314668031292E-3</v>
      </c>
      <c r="F3619" s="21">
        <f t="shared" ca="1" si="209"/>
        <v>1</v>
      </c>
      <c r="H3619" s="21">
        <v>3604</v>
      </c>
      <c r="I3619" s="102">
        <v>0.66767894346716705</v>
      </c>
      <c r="J3619" s="103">
        <v>1.3693621684540314E-3</v>
      </c>
      <c r="K3619" s="103"/>
      <c r="L3619" s="103">
        <v>4.02E-2</v>
      </c>
      <c r="O3619" s="100"/>
    </row>
    <row r="3620" spans="2:15" x14ac:dyDescent="0.2">
      <c r="B3620" s="1">
        <v>3605</v>
      </c>
      <c r="C3620" s="101">
        <f ca="1"/>
        <v>1.1702952639454138</v>
      </c>
      <c r="D3620" s="101">
        <f t="shared" ca="1" si="207"/>
        <v>0.74581502407554767</v>
      </c>
      <c r="E3620" s="101">
        <f t="shared" ca="1" si="208"/>
        <v>0</v>
      </c>
      <c r="F3620" s="21">
        <f t="shared" ca="1" si="209"/>
        <v>0</v>
      </c>
      <c r="H3620" s="21">
        <v>3605</v>
      </c>
      <c r="I3620" s="102">
        <v>0.66776954905984354</v>
      </c>
      <c r="J3620" s="103">
        <v>1.4310478569350654E-3</v>
      </c>
      <c r="K3620" s="103"/>
      <c r="L3620" s="103">
        <v>3.9800000000000002E-2</v>
      </c>
      <c r="O3620" s="100"/>
    </row>
    <row r="3621" spans="2:15" x14ac:dyDescent="0.2">
      <c r="B3621" s="1">
        <v>3606</v>
      </c>
      <c r="C3621" s="101">
        <f ca="1"/>
        <v>0.79368495686300855</v>
      </c>
      <c r="D3621" s="101">
        <f t="shared" ca="1" si="207"/>
        <v>0.71861681384629905</v>
      </c>
      <c r="E3621" s="101">
        <f t="shared" ca="1" si="208"/>
        <v>0</v>
      </c>
      <c r="F3621" s="21">
        <f t="shared" ca="1" si="209"/>
        <v>0</v>
      </c>
      <c r="H3621" s="21">
        <v>3606</v>
      </c>
      <c r="I3621" s="102">
        <v>0.66796230789419919</v>
      </c>
      <c r="J3621" s="103">
        <v>1.6569504437452889E-3</v>
      </c>
      <c r="K3621" s="103"/>
      <c r="L3621" s="103">
        <v>4.8800000000000003E-2</v>
      </c>
      <c r="O3621" s="100"/>
    </row>
    <row r="3622" spans="2:15" x14ac:dyDescent="0.2">
      <c r="B3622" s="1">
        <v>3607</v>
      </c>
      <c r="C3622" s="101">
        <f ca="1"/>
        <v>-0.38162142375840552</v>
      </c>
      <c r="D3622" s="101">
        <f t="shared" ca="1" si="207"/>
        <v>0.63995284432708299</v>
      </c>
      <c r="E3622" s="101">
        <f t="shared" ca="1" si="208"/>
        <v>0</v>
      </c>
      <c r="F3622" s="21">
        <f t="shared" ca="1" si="209"/>
        <v>0</v>
      </c>
      <c r="H3622" s="21">
        <v>3607</v>
      </c>
      <c r="I3622" s="102">
        <v>0.66780765289373023</v>
      </c>
      <c r="J3622" s="103">
        <v>1.5242996926920027E-3</v>
      </c>
      <c r="K3622" s="103"/>
      <c r="L3622" s="103">
        <v>4.3400000000000001E-2</v>
      </c>
      <c r="O3622" s="100"/>
    </row>
    <row r="3623" spans="2:15" x14ac:dyDescent="0.2">
      <c r="B3623" s="1">
        <v>3608</v>
      </c>
      <c r="C3623" s="101">
        <f ca="1"/>
        <v>-1.7870640093899062</v>
      </c>
      <c r="D3623" s="101">
        <f t="shared" ca="1" si="207"/>
        <v>0.55710836544212283</v>
      </c>
      <c r="E3623" s="101">
        <f t="shared" ca="1" si="208"/>
        <v>0</v>
      </c>
      <c r="F3623" s="21">
        <f t="shared" ca="1" si="209"/>
        <v>0</v>
      </c>
      <c r="H3623" s="21">
        <v>3608</v>
      </c>
      <c r="I3623" s="102">
        <v>0.66758758638256632</v>
      </c>
      <c r="J3623" s="103">
        <v>1.0712804234125307E-3</v>
      </c>
      <c r="K3623" s="103"/>
      <c r="L3623" s="103">
        <v>3.7199999999999997E-2</v>
      </c>
      <c r="O3623" s="100"/>
    </row>
    <row r="3624" spans="2:15" x14ac:dyDescent="0.2">
      <c r="B3624" s="1">
        <v>3609</v>
      </c>
      <c r="C3624" s="101">
        <f ca="1"/>
        <v>-0.36884493174571142</v>
      </c>
      <c r="D3624" s="101">
        <f t="shared" ca="1" si="207"/>
        <v>0.64075987901024523</v>
      </c>
      <c r="E3624" s="101">
        <f t="shared" ca="1" si="208"/>
        <v>0</v>
      </c>
      <c r="F3624" s="21">
        <f t="shared" ca="1" si="209"/>
        <v>0</v>
      </c>
      <c r="H3624" s="21">
        <v>3609</v>
      </c>
      <c r="I3624" s="102">
        <v>0.66776072925459251</v>
      </c>
      <c r="J3624" s="103">
        <v>1.3250982678925662E-3</v>
      </c>
      <c r="K3624" s="103"/>
      <c r="L3624" s="103">
        <v>4.3999999999999997E-2</v>
      </c>
      <c r="O3624" s="100"/>
    </row>
    <row r="3625" spans="2:15" x14ac:dyDescent="0.2">
      <c r="B3625" s="1">
        <v>3610</v>
      </c>
      <c r="C3625" s="101">
        <f ca="1"/>
        <v>-1.1355403359192719</v>
      </c>
      <c r="D3625" s="101">
        <f t="shared" ca="1" si="207"/>
        <v>0.59408768830973968</v>
      </c>
      <c r="E3625" s="101">
        <f t="shared" ca="1" si="208"/>
        <v>0</v>
      </c>
      <c r="F3625" s="21">
        <f t="shared" ca="1" si="209"/>
        <v>0</v>
      </c>
      <c r="H3625" s="21">
        <v>3610</v>
      </c>
      <c r="I3625" s="102">
        <v>0.66779015474135928</v>
      </c>
      <c r="J3625" s="103">
        <v>1.4090671225667829E-3</v>
      </c>
      <c r="K3625" s="103"/>
      <c r="L3625" s="103">
        <v>4.1599999999999998E-2</v>
      </c>
      <c r="O3625" s="100"/>
    </row>
    <row r="3626" spans="2:15" x14ac:dyDescent="0.2">
      <c r="B3626" s="1">
        <v>3611</v>
      </c>
      <c r="C3626" s="101">
        <f ca="1"/>
        <v>0.98699038528438476</v>
      </c>
      <c r="D3626" s="101">
        <f t="shared" ca="1" si="207"/>
        <v>0.73245080351840453</v>
      </c>
      <c r="E3626" s="101">
        <f t="shared" ca="1" si="208"/>
        <v>0</v>
      </c>
      <c r="F3626" s="21">
        <f t="shared" ca="1" si="209"/>
        <v>0</v>
      </c>
      <c r="H3626" s="21">
        <v>3611</v>
      </c>
      <c r="I3626" s="102">
        <v>0.66768065627521223</v>
      </c>
      <c r="J3626" s="103">
        <v>1.2976641401201056E-3</v>
      </c>
      <c r="K3626" s="103"/>
      <c r="L3626" s="103">
        <v>4.0800000000000003E-2</v>
      </c>
      <c r="O3626" s="100"/>
    </row>
    <row r="3627" spans="2:15" x14ac:dyDescent="0.2">
      <c r="B3627" s="1">
        <v>3612</v>
      </c>
      <c r="C3627" s="101">
        <f ca="1"/>
        <v>0.88825578316861709</v>
      </c>
      <c r="D3627" s="101">
        <f t="shared" ca="1" si="207"/>
        <v>0.7253518620969025</v>
      </c>
      <c r="E3627" s="101">
        <f t="shared" ca="1" si="208"/>
        <v>0</v>
      </c>
      <c r="F3627" s="21">
        <f t="shared" ca="1" si="209"/>
        <v>0</v>
      </c>
      <c r="H3627" s="21">
        <v>3612</v>
      </c>
      <c r="I3627" s="102">
        <v>0.66767935292795444</v>
      </c>
      <c r="J3627" s="103">
        <v>1.3910739201314941E-3</v>
      </c>
      <c r="K3627" s="103"/>
      <c r="L3627" s="103">
        <v>4.1799999999999997E-2</v>
      </c>
      <c r="O3627" s="100"/>
    </row>
    <row r="3628" spans="2:15" x14ac:dyDescent="0.2">
      <c r="B3628" s="1">
        <v>3613</v>
      </c>
      <c r="C3628" s="101">
        <f ca="1"/>
        <v>0.79226351151389729</v>
      </c>
      <c r="D3628" s="101">
        <f t="shared" ca="1" si="207"/>
        <v>0.71851606130822254</v>
      </c>
      <c r="E3628" s="101">
        <f t="shared" ca="1" si="208"/>
        <v>0</v>
      </c>
      <c r="F3628" s="21">
        <f t="shared" ca="1" si="209"/>
        <v>0</v>
      </c>
      <c r="H3628" s="21">
        <v>3613</v>
      </c>
      <c r="I3628" s="102">
        <v>0.6678404368356039</v>
      </c>
      <c r="J3628" s="103">
        <v>1.4410483601807506E-3</v>
      </c>
      <c r="K3628" s="103"/>
      <c r="L3628" s="103">
        <v>4.4400000000000002E-2</v>
      </c>
      <c r="O3628" s="100"/>
    </row>
    <row r="3629" spans="2:15" x14ac:dyDescent="0.2">
      <c r="B3629" s="1">
        <v>3614</v>
      </c>
      <c r="C3629" s="101">
        <f ca="1"/>
        <v>-6.7703858154313123E-2</v>
      </c>
      <c r="D3629" s="101">
        <f t="shared" ca="1" si="207"/>
        <v>0.66007914054777217</v>
      </c>
      <c r="E3629" s="101">
        <f t="shared" ca="1" si="208"/>
        <v>0</v>
      </c>
      <c r="F3629" s="21">
        <f t="shared" ca="1" si="209"/>
        <v>0</v>
      </c>
      <c r="H3629" s="21">
        <v>3614</v>
      </c>
      <c r="I3629" s="102">
        <v>0.66766233937106645</v>
      </c>
      <c r="J3629" s="103">
        <v>1.2175102401423442E-3</v>
      </c>
      <c r="K3629" s="103"/>
      <c r="L3629" s="103">
        <v>3.7199999999999997E-2</v>
      </c>
      <c r="O3629" s="100"/>
    </row>
    <row r="3630" spans="2:15" x14ac:dyDescent="0.2">
      <c r="B3630" s="1">
        <v>3615</v>
      </c>
      <c r="C3630" s="101">
        <f ca="1"/>
        <v>-1.0513294709606389</v>
      </c>
      <c r="D3630" s="101">
        <f t="shared" ca="1" si="207"/>
        <v>0.59904313262719888</v>
      </c>
      <c r="E3630" s="101">
        <f t="shared" ca="1" si="208"/>
        <v>0</v>
      </c>
      <c r="F3630" s="21">
        <f t="shared" ca="1" si="209"/>
        <v>0</v>
      </c>
      <c r="H3630" s="21">
        <v>3615</v>
      </c>
      <c r="I3630" s="102">
        <v>0.66769819956789755</v>
      </c>
      <c r="J3630" s="103">
        <v>1.3949907588837959E-3</v>
      </c>
      <c r="K3630" s="103"/>
      <c r="L3630" s="103">
        <v>3.7600000000000001E-2</v>
      </c>
      <c r="O3630" s="100"/>
    </row>
    <row r="3631" spans="2:15" x14ac:dyDescent="0.2">
      <c r="B3631" s="1">
        <v>3616</v>
      </c>
      <c r="C3631" s="101">
        <f ca="1"/>
        <v>1.6644326211173854</v>
      </c>
      <c r="D3631" s="101">
        <f t="shared" ca="1" si="207"/>
        <v>0.78306834360248578</v>
      </c>
      <c r="E3631" s="101">
        <f t="shared" ca="1" si="208"/>
        <v>0</v>
      </c>
      <c r="F3631" s="21">
        <f t="shared" ca="1" si="209"/>
        <v>0</v>
      </c>
      <c r="H3631" s="21">
        <v>3616</v>
      </c>
      <c r="I3631" s="102">
        <v>0.66782555471052518</v>
      </c>
      <c r="J3631" s="103">
        <v>1.4153885974963489E-3</v>
      </c>
      <c r="K3631" s="103"/>
      <c r="L3631" s="103">
        <v>4.1399999999999999E-2</v>
      </c>
      <c r="O3631" s="100"/>
    </row>
    <row r="3632" spans="2:15" x14ac:dyDescent="0.2">
      <c r="B3632" s="1">
        <v>3617</v>
      </c>
      <c r="C3632" s="101">
        <f ca="1"/>
        <v>-2.7295785268713062</v>
      </c>
      <c r="D3632" s="101">
        <f t="shared" ca="1" si="207"/>
        <v>0.50764830326379329</v>
      </c>
      <c r="E3632" s="101">
        <f t="shared" ca="1" si="208"/>
        <v>0</v>
      </c>
      <c r="F3632" s="21">
        <f t="shared" ca="1" si="209"/>
        <v>0</v>
      </c>
      <c r="H3632" s="21">
        <v>3617</v>
      </c>
      <c r="I3632" s="102">
        <v>0.66777057737033196</v>
      </c>
      <c r="J3632" s="103">
        <v>1.3922099216895423E-3</v>
      </c>
      <c r="K3632" s="103"/>
      <c r="L3632" s="103">
        <v>0.04</v>
      </c>
      <c r="O3632" s="100"/>
    </row>
    <row r="3633" spans="2:15" x14ac:dyDescent="0.2">
      <c r="B3633" s="1">
        <v>3618</v>
      </c>
      <c r="C3633" s="101">
        <f ca="1"/>
        <v>9.419141652683273E-2</v>
      </c>
      <c r="D3633" s="101">
        <f t="shared" ca="1" si="207"/>
        <v>0.67070493581808266</v>
      </c>
      <c r="E3633" s="101">
        <f t="shared" ca="1" si="208"/>
        <v>0</v>
      </c>
      <c r="F3633" s="21">
        <f t="shared" ca="1" si="209"/>
        <v>0</v>
      </c>
      <c r="H3633" s="21">
        <v>3618</v>
      </c>
      <c r="I3633" s="102">
        <v>0.66771918087465565</v>
      </c>
      <c r="J3633" s="103">
        <v>1.3253864439302097E-3</v>
      </c>
      <c r="K3633" s="103"/>
      <c r="L3633" s="103">
        <v>4.1799999999999997E-2</v>
      </c>
      <c r="O3633" s="100"/>
    </row>
    <row r="3634" spans="2:15" x14ac:dyDescent="0.2">
      <c r="B3634" s="1">
        <v>3619</v>
      </c>
      <c r="C3634" s="101">
        <f ca="1"/>
        <v>6.691984519050187E-2</v>
      </c>
      <c r="D3634" s="101">
        <f t="shared" ca="1" si="207"/>
        <v>0.66890309447624874</v>
      </c>
      <c r="E3634" s="101">
        <f t="shared" ca="1" si="208"/>
        <v>0</v>
      </c>
      <c r="F3634" s="21">
        <f t="shared" ca="1" si="209"/>
        <v>0</v>
      </c>
      <c r="H3634" s="21">
        <v>3619</v>
      </c>
      <c r="I3634" s="102">
        <v>0.66781099078475037</v>
      </c>
      <c r="J3634" s="103">
        <v>1.4886088736407259E-3</v>
      </c>
      <c r="K3634" s="103"/>
      <c r="L3634" s="103">
        <v>4.3999999999999997E-2</v>
      </c>
      <c r="O3634" s="100"/>
    </row>
    <row r="3635" spans="2:15" x14ac:dyDescent="0.2">
      <c r="B3635" s="1">
        <v>3620</v>
      </c>
      <c r="C3635" s="101">
        <f ca="1"/>
        <v>0.28757292445556859</v>
      </c>
      <c r="D3635" s="101">
        <f t="shared" ca="1" si="207"/>
        <v>0.68362171104454283</v>
      </c>
      <c r="E3635" s="101">
        <f t="shared" ca="1" si="208"/>
        <v>0</v>
      </c>
      <c r="F3635" s="21">
        <f t="shared" ca="1" si="209"/>
        <v>0</v>
      </c>
      <c r="H3635" s="21">
        <v>3620</v>
      </c>
      <c r="I3635" s="102">
        <v>0.66766787234846769</v>
      </c>
      <c r="J3635" s="103">
        <v>1.2226320681104437E-3</v>
      </c>
      <c r="K3635" s="103"/>
      <c r="L3635" s="103">
        <v>3.6400000000000002E-2</v>
      </c>
      <c r="O3635" s="100"/>
    </row>
    <row r="3636" spans="2:15" x14ac:dyDescent="0.2">
      <c r="B3636" s="1">
        <v>3621</v>
      </c>
      <c r="C3636" s="101">
        <f ca="1"/>
        <v>-1.5262705027884653</v>
      </c>
      <c r="D3636" s="101">
        <f t="shared" ca="1" si="207"/>
        <v>0.5716259193048685</v>
      </c>
      <c r="E3636" s="101">
        <f t="shared" ca="1" si="208"/>
        <v>0</v>
      </c>
      <c r="F3636" s="21">
        <f t="shared" ca="1" si="209"/>
        <v>0</v>
      </c>
      <c r="H3636" s="21">
        <v>3621</v>
      </c>
      <c r="I3636" s="102">
        <v>0.66773900984039625</v>
      </c>
      <c r="J3636" s="103">
        <v>1.3082885886250271E-3</v>
      </c>
      <c r="K3636" s="103"/>
      <c r="L3636" s="103">
        <v>4.0800000000000003E-2</v>
      </c>
      <c r="O3636" s="100"/>
    </row>
    <row r="3637" spans="2:15" x14ac:dyDescent="0.2">
      <c r="B3637" s="1">
        <v>3622</v>
      </c>
      <c r="C3637" s="101">
        <f ca="1"/>
        <v>-1.5323943105073603</v>
      </c>
      <c r="D3637" s="101">
        <f t="shared" ca="1" si="207"/>
        <v>0.57128072692834519</v>
      </c>
      <c r="E3637" s="101">
        <f t="shared" ca="1" si="208"/>
        <v>0</v>
      </c>
      <c r="F3637" s="21">
        <f t="shared" ca="1" si="209"/>
        <v>0</v>
      </c>
      <c r="H3637" s="21">
        <v>3622</v>
      </c>
      <c r="I3637" s="102">
        <v>0.66778065426861855</v>
      </c>
      <c r="J3637" s="103">
        <v>1.4888978545423983E-3</v>
      </c>
      <c r="K3637" s="103"/>
      <c r="L3637" s="103">
        <v>4.2799999999999998E-2</v>
      </c>
      <c r="O3637" s="100"/>
    </row>
    <row r="3638" spans="2:15" x14ac:dyDescent="0.2">
      <c r="B3638" s="1">
        <v>3623</v>
      </c>
      <c r="C3638" s="101">
        <f ca="1"/>
        <v>4.3600989015091546E-2</v>
      </c>
      <c r="D3638" s="101">
        <f t="shared" ca="1" si="207"/>
        <v>0.66736624985104653</v>
      </c>
      <c r="E3638" s="101">
        <f t="shared" ca="1" si="208"/>
        <v>0</v>
      </c>
      <c r="F3638" s="21">
        <f t="shared" ca="1" si="209"/>
        <v>0</v>
      </c>
      <c r="H3638" s="21">
        <v>3623</v>
      </c>
      <c r="I3638" s="102">
        <v>0.66775880730043313</v>
      </c>
      <c r="J3638" s="103">
        <v>1.4254619401833722E-3</v>
      </c>
      <c r="K3638" s="103"/>
      <c r="L3638" s="103">
        <v>4.36E-2</v>
      </c>
      <c r="O3638" s="100"/>
    </row>
    <row r="3639" spans="2:15" x14ac:dyDescent="0.2">
      <c r="B3639" s="1">
        <v>3624</v>
      </c>
      <c r="C3639" s="101">
        <f ca="1"/>
        <v>-0.10051007698645799</v>
      </c>
      <c r="D3639" s="101">
        <f t="shared" ca="1" si="207"/>
        <v>0.6579465446119952</v>
      </c>
      <c r="E3639" s="101">
        <f t="shared" ca="1" si="208"/>
        <v>0</v>
      </c>
      <c r="F3639" s="21">
        <f t="shared" ca="1" si="209"/>
        <v>0</v>
      </c>
      <c r="H3639" s="21">
        <v>3624</v>
      </c>
      <c r="I3639" s="102">
        <v>0.66770567162794414</v>
      </c>
      <c r="J3639" s="103">
        <v>1.3046121277824601E-3</v>
      </c>
      <c r="K3639" s="103"/>
      <c r="L3639" s="103">
        <v>3.9399999999999998E-2</v>
      </c>
      <c r="O3639" s="100"/>
    </row>
    <row r="3640" spans="2:15" x14ac:dyDescent="0.2">
      <c r="B3640" s="1">
        <v>3625</v>
      </c>
      <c r="C3640" s="101">
        <f ca="1"/>
        <v>0.45597196273646862</v>
      </c>
      <c r="D3640" s="101">
        <f t="shared" ca="1" si="207"/>
        <v>0.69507226251193444</v>
      </c>
      <c r="E3640" s="101">
        <f t="shared" ca="1" si="208"/>
        <v>0</v>
      </c>
      <c r="F3640" s="21">
        <f t="shared" ca="1" si="209"/>
        <v>0</v>
      </c>
      <c r="H3640" s="21">
        <v>3625</v>
      </c>
      <c r="I3640" s="102">
        <v>0.66784240737972544</v>
      </c>
      <c r="J3640" s="103">
        <v>1.5201003571672868E-3</v>
      </c>
      <c r="K3640" s="103"/>
      <c r="L3640" s="103">
        <v>4.2799999999999998E-2</v>
      </c>
      <c r="O3640" s="100"/>
    </row>
    <row r="3641" spans="2:15" x14ac:dyDescent="0.2">
      <c r="B3641" s="1">
        <v>3626</v>
      </c>
      <c r="C3641" s="101">
        <f ca="1"/>
        <v>0.54141260154208537</v>
      </c>
      <c r="D3641" s="101">
        <f t="shared" ca="1" si="207"/>
        <v>0.70095507143971836</v>
      </c>
      <c r="E3641" s="101">
        <f t="shared" ca="1" si="208"/>
        <v>0</v>
      </c>
      <c r="F3641" s="21">
        <f t="shared" ca="1" si="209"/>
        <v>0</v>
      </c>
      <c r="H3641" s="21">
        <v>3626</v>
      </c>
      <c r="I3641" s="102">
        <v>0.66786575355076461</v>
      </c>
      <c r="J3641" s="103">
        <v>1.4362762622902106E-3</v>
      </c>
      <c r="K3641" s="103"/>
      <c r="L3641" s="103">
        <v>4.4200000000000003E-2</v>
      </c>
      <c r="O3641" s="100"/>
    </row>
    <row r="3642" spans="2:15" x14ac:dyDescent="0.2">
      <c r="B3642" s="1">
        <v>3627</v>
      </c>
      <c r="C3642" s="101">
        <f ca="1"/>
        <v>-3.5158786046221295E-2</v>
      </c>
      <c r="D3642" s="101">
        <f t="shared" ca="1" si="207"/>
        <v>0.66220159040729998</v>
      </c>
      <c r="E3642" s="101">
        <f t="shared" ca="1" si="208"/>
        <v>0</v>
      </c>
      <c r="F3642" s="21">
        <f t="shared" ca="1" si="209"/>
        <v>0</v>
      </c>
      <c r="H3642" s="21">
        <v>3627</v>
      </c>
      <c r="I3642" s="102">
        <v>0.66766748983470903</v>
      </c>
      <c r="J3642" s="103">
        <v>1.2643769663983867E-3</v>
      </c>
      <c r="K3642" s="103"/>
      <c r="L3642" s="103">
        <v>0.04</v>
      </c>
      <c r="O3642" s="100"/>
    </row>
    <row r="3643" spans="2:15" x14ac:dyDescent="0.2">
      <c r="B3643" s="1">
        <v>3628</v>
      </c>
      <c r="C3643" s="101">
        <f ca="1"/>
        <v>0.97966260245042203</v>
      </c>
      <c r="D3643" s="101">
        <f t="shared" ca="1" si="207"/>
        <v>0.73192156310360845</v>
      </c>
      <c r="E3643" s="101">
        <f t="shared" ca="1" si="208"/>
        <v>0</v>
      </c>
      <c r="F3643" s="21">
        <f t="shared" ca="1" si="209"/>
        <v>0</v>
      </c>
      <c r="H3643" s="21">
        <v>3628</v>
      </c>
      <c r="I3643" s="102">
        <v>0.66781291117722374</v>
      </c>
      <c r="J3643" s="103">
        <v>1.4213101401914826E-3</v>
      </c>
      <c r="K3643" s="103"/>
      <c r="L3643" s="103">
        <v>4.3400000000000001E-2</v>
      </c>
      <c r="O3643" s="100"/>
    </row>
    <row r="3644" spans="2:15" x14ac:dyDescent="0.2">
      <c r="B3644" s="1">
        <v>3629</v>
      </c>
      <c r="C3644" s="101">
        <f ca="1"/>
        <v>0.14683611515662395</v>
      </c>
      <c r="D3644" s="101">
        <f t="shared" ca="1" si="207"/>
        <v>0.67419692723937108</v>
      </c>
      <c r="E3644" s="101">
        <f t="shared" ca="1" si="208"/>
        <v>0</v>
      </c>
      <c r="F3644" s="21">
        <f t="shared" ca="1" si="209"/>
        <v>0</v>
      </c>
      <c r="H3644" s="21">
        <v>3629</v>
      </c>
      <c r="I3644" s="102">
        <v>0.6677206404687549</v>
      </c>
      <c r="J3644" s="103">
        <v>1.2648427619145145E-3</v>
      </c>
      <c r="K3644" s="103"/>
      <c r="L3644" s="103">
        <v>3.9399999999999998E-2</v>
      </c>
      <c r="O3644" s="100"/>
    </row>
    <row r="3645" spans="2:15" x14ac:dyDescent="0.2">
      <c r="B3645" s="1">
        <v>3630</v>
      </c>
      <c r="C3645" s="101">
        <f ca="1"/>
        <v>1.2506885097979934</v>
      </c>
      <c r="D3645" s="101">
        <f t="shared" ca="1" si="207"/>
        <v>0.75175292201204413</v>
      </c>
      <c r="E3645" s="101">
        <f t="shared" ca="1" si="208"/>
        <v>0</v>
      </c>
      <c r="F3645" s="21">
        <f t="shared" ca="1" si="209"/>
        <v>0</v>
      </c>
      <c r="H3645" s="21">
        <v>3630</v>
      </c>
      <c r="I3645" s="102">
        <v>0.66785607968377392</v>
      </c>
      <c r="J3645" s="103">
        <v>1.517822095220174E-3</v>
      </c>
      <c r="K3645" s="103"/>
      <c r="L3645" s="103">
        <v>4.2000000000000003E-2</v>
      </c>
      <c r="O3645" s="100"/>
    </row>
    <row r="3646" spans="2:15" x14ac:dyDescent="0.2">
      <c r="B3646" s="1">
        <v>3631</v>
      </c>
      <c r="C3646" s="101">
        <f ca="1"/>
        <v>0.2730323293714132</v>
      </c>
      <c r="D3646" s="101">
        <f t="shared" ca="1" si="207"/>
        <v>0.68264189282576093</v>
      </c>
      <c r="E3646" s="101">
        <f t="shared" ca="1" si="208"/>
        <v>0</v>
      </c>
      <c r="F3646" s="21">
        <f t="shared" ca="1" si="209"/>
        <v>0</v>
      </c>
      <c r="H3646" s="21">
        <v>3631</v>
      </c>
      <c r="I3646" s="102">
        <v>0.667732603787762</v>
      </c>
      <c r="J3646" s="103">
        <v>1.3570599669982212E-3</v>
      </c>
      <c r="K3646" s="103"/>
      <c r="L3646" s="103">
        <v>4.36E-2</v>
      </c>
      <c r="O3646" s="100"/>
    </row>
    <row r="3647" spans="2:15" x14ac:dyDescent="0.2">
      <c r="B3647" s="1">
        <v>3632</v>
      </c>
      <c r="C3647" s="101">
        <f ca="1"/>
        <v>-1.3825484395235357</v>
      </c>
      <c r="D3647" s="101">
        <f t="shared" ca="1" si="207"/>
        <v>0.57978753940995698</v>
      </c>
      <c r="E3647" s="101">
        <f t="shared" ca="1" si="208"/>
        <v>0</v>
      </c>
      <c r="F3647" s="21">
        <f t="shared" ca="1" si="209"/>
        <v>0</v>
      </c>
      <c r="H3647" s="21">
        <v>3632</v>
      </c>
      <c r="I3647" s="102">
        <v>0.66767545160019792</v>
      </c>
      <c r="J3647" s="103">
        <v>1.363459142197131E-3</v>
      </c>
      <c r="K3647" s="103"/>
      <c r="L3647" s="103">
        <v>0.04</v>
      </c>
      <c r="O3647" s="100"/>
    </row>
    <row r="3648" spans="2:15" x14ac:dyDescent="0.2">
      <c r="B3648" s="1">
        <v>3633</v>
      </c>
      <c r="C3648" s="101">
        <f ca="1"/>
        <v>0.1685303839319669</v>
      </c>
      <c r="D3648" s="101">
        <f t="shared" ca="1" si="207"/>
        <v>0.67564122072809296</v>
      </c>
      <c r="E3648" s="101">
        <f t="shared" ca="1" si="208"/>
        <v>0</v>
      </c>
      <c r="F3648" s="21">
        <f t="shared" ca="1" si="209"/>
        <v>0</v>
      </c>
      <c r="H3648" s="21">
        <v>3633</v>
      </c>
      <c r="I3648" s="102">
        <v>0.6678203403832198</v>
      </c>
      <c r="J3648" s="103">
        <v>1.430655284698434E-3</v>
      </c>
      <c r="K3648" s="103"/>
      <c r="L3648" s="103">
        <v>4.48E-2</v>
      </c>
      <c r="O3648" s="100"/>
    </row>
    <row r="3649" spans="2:15" x14ac:dyDescent="0.2">
      <c r="B3649" s="1">
        <v>3634</v>
      </c>
      <c r="C3649" s="101">
        <f ca="1"/>
        <v>-2.0807066429651004</v>
      </c>
      <c r="D3649" s="101">
        <f t="shared" ca="1" si="207"/>
        <v>0.54120301881728616</v>
      </c>
      <c r="E3649" s="101">
        <f t="shared" ca="1" si="208"/>
        <v>0</v>
      </c>
      <c r="F3649" s="21">
        <f t="shared" ca="1" si="209"/>
        <v>0</v>
      </c>
      <c r="H3649" s="21">
        <v>3634</v>
      </c>
      <c r="I3649" s="102">
        <v>0.66774130393916342</v>
      </c>
      <c r="J3649" s="103">
        <v>1.455138351793643E-3</v>
      </c>
      <c r="K3649" s="103"/>
      <c r="L3649" s="103">
        <v>4.2799999999999998E-2</v>
      </c>
      <c r="O3649" s="100"/>
    </row>
    <row r="3650" spans="2:15" x14ac:dyDescent="0.2">
      <c r="B3650" s="1">
        <v>3635</v>
      </c>
      <c r="C3650" s="101">
        <f ca="1"/>
        <v>-1.5246552545390815</v>
      </c>
      <c r="D3650" s="101">
        <f t="shared" ca="1" si="207"/>
        <v>0.57171700384942492</v>
      </c>
      <c r="E3650" s="101">
        <f t="shared" ca="1" si="208"/>
        <v>0</v>
      </c>
      <c r="F3650" s="21">
        <f t="shared" ca="1" si="209"/>
        <v>0</v>
      </c>
      <c r="H3650" s="21">
        <v>3635</v>
      </c>
      <c r="I3650" s="102">
        <v>0.66781477291570623</v>
      </c>
      <c r="J3650" s="103">
        <v>1.4530360907206439E-3</v>
      </c>
      <c r="K3650" s="103"/>
      <c r="L3650" s="103">
        <v>4.48E-2</v>
      </c>
      <c r="O3650" s="100"/>
    </row>
    <row r="3651" spans="2:15" x14ac:dyDescent="0.2">
      <c r="B3651" s="1">
        <v>3636</v>
      </c>
      <c r="C3651" s="101">
        <f ca="1"/>
        <v>-1.7572526113379845</v>
      </c>
      <c r="D3651" s="101">
        <f t="shared" ca="1" si="207"/>
        <v>0.55874902937623516</v>
      </c>
      <c r="E3651" s="101">
        <f t="shared" ca="1" si="208"/>
        <v>0</v>
      </c>
      <c r="F3651" s="21">
        <f t="shared" ca="1" si="209"/>
        <v>0</v>
      </c>
      <c r="H3651" s="21">
        <v>3636</v>
      </c>
      <c r="I3651" s="102">
        <v>0.66781629143382948</v>
      </c>
      <c r="J3651" s="103">
        <v>1.4626890885808862E-3</v>
      </c>
      <c r="K3651" s="103"/>
      <c r="L3651" s="103">
        <v>4.1599999999999998E-2</v>
      </c>
      <c r="O3651" s="100"/>
    </row>
    <row r="3652" spans="2:15" x14ac:dyDescent="0.2">
      <c r="B3652" s="1">
        <v>3637</v>
      </c>
      <c r="C3652" s="101">
        <f ca="1"/>
        <v>0.93617227526483004</v>
      </c>
      <c r="D3652" s="101">
        <f t="shared" ca="1" si="207"/>
        <v>0.72878838630924636</v>
      </c>
      <c r="E3652" s="101">
        <f t="shared" ca="1" si="208"/>
        <v>0</v>
      </c>
      <c r="F3652" s="21">
        <f t="shared" ca="1" si="209"/>
        <v>0</v>
      </c>
      <c r="H3652" s="21">
        <v>3637</v>
      </c>
      <c r="I3652" s="102">
        <v>0.6679065243478951</v>
      </c>
      <c r="J3652" s="103">
        <v>1.4443091375987709E-3</v>
      </c>
      <c r="K3652" s="103"/>
      <c r="L3652" s="103">
        <v>4.5400000000000003E-2</v>
      </c>
      <c r="O3652" s="100"/>
    </row>
    <row r="3653" spans="2:15" x14ac:dyDescent="0.2">
      <c r="B3653" s="1">
        <v>3638</v>
      </c>
      <c r="C3653" s="101">
        <f ca="1"/>
        <v>-0.28135060314574162</v>
      </c>
      <c r="D3653" s="101">
        <f t="shared" ca="1" si="207"/>
        <v>0.64631392617795935</v>
      </c>
      <c r="E3653" s="101">
        <f t="shared" ca="1" si="208"/>
        <v>0</v>
      </c>
      <c r="F3653" s="21">
        <f t="shared" ca="1" si="209"/>
        <v>0</v>
      </c>
      <c r="H3653" s="21">
        <v>3638</v>
      </c>
      <c r="I3653" s="102">
        <v>0.66773664057577575</v>
      </c>
      <c r="J3653" s="103">
        <v>1.4203565351346517E-3</v>
      </c>
      <c r="K3653" s="103"/>
      <c r="L3653" s="103">
        <v>4.0800000000000003E-2</v>
      </c>
      <c r="O3653" s="100"/>
    </row>
    <row r="3654" spans="2:15" x14ac:dyDescent="0.2">
      <c r="B3654" s="1">
        <v>3639</v>
      </c>
      <c r="C3654" s="101">
        <f ca="1"/>
        <v>-0.13672071153972401</v>
      </c>
      <c r="D3654" s="101">
        <f t="shared" ca="1" si="207"/>
        <v>0.6556006404984972</v>
      </c>
      <c r="E3654" s="101">
        <f t="shared" ca="1" si="208"/>
        <v>0</v>
      </c>
      <c r="F3654" s="21">
        <f t="shared" ca="1" si="209"/>
        <v>0</v>
      </c>
      <c r="H3654" s="21">
        <v>3639</v>
      </c>
      <c r="I3654" s="102">
        <v>0.66767276338710313</v>
      </c>
      <c r="J3654" s="103">
        <v>1.2311934793622313E-3</v>
      </c>
      <c r="K3654" s="103"/>
      <c r="L3654" s="103">
        <v>4.1799999999999997E-2</v>
      </c>
      <c r="O3654" s="100"/>
    </row>
    <row r="3655" spans="2:15" x14ac:dyDescent="0.2">
      <c r="B3655" s="1">
        <v>3640</v>
      </c>
      <c r="C3655" s="101">
        <f ca="1"/>
        <v>-1.750055766219389</v>
      </c>
      <c r="D3655" s="101">
        <f t="shared" ca="1" si="207"/>
        <v>0.55914582968566351</v>
      </c>
      <c r="E3655" s="101">
        <f t="shared" ca="1" si="208"/>
        <v>0</v>
      </c>
      <c r="F3655" s="21">
        <f t="shared" ca="1" si="209"/>
        <v>0</v>
      </c>
      <c r="H3655" s="21">
        <v>3640</v>
      </c>
      <c r="I3655" s="102">
        <v>0.66770329426347774</v>
      </c>
      <c r="J3655" s="103">
        <v>1.3322186006593378E-3</v>
      </c>
      <c r="K3655" s="103"/>
      <c r="L3655" s="103">
        <v>4.2999999999999997E-2</v>
      </c>
      <c r="O3655" s="100"/>
    </row>
    <row r="3656" spans="2:15" x14ac:dyDescent="0.2">
      <c r="B3656" s="1">
        <v>3641</v>
      </c>
      <c r="C3656" s="101">
        <f ca="1"/>
        <v>-1.2920883950337563</v>
      </c>
      <c r="D3656" s="101">
        <f t="shared" ca="1" si="207"/>
        <v>0.58498419149851755</v>
      </c>
      <c r="E3656" s="101">
        <f t="shared" ca="1" si="208"/>
        <v>0</v>
      </c>
      <c r="F3656" s="21">
        <f t="shared" ca="1" si="209"/>
        <v>0</v>
      </c>
      <c r="H3656" s="21">
        <v>3641</v>
      </c>
      <c r="I3656" s="102">
        <v>0.66766668225293957</v>
      </c>
      <c r="J3656" s="103">
        <v>1.3782141186087732E-3</v>
      </c>
      <c r="K3656" s="103"/>
      <c r="L3656" s="103">
        <v>4.0599999999999997E-2</v>
      </c>
      <c r="O3656" s="100"/>
    </row>
    <row r="3657" spans="2:15" x14ac:dyDescent="0.2">
      <c r="B3657" s="1">
        <v>3642</v>
      </c>
      <c r="C3657" s="101">
        <f ca="1"/>
        <v>1.6095796066937584</v>
      </c>
      <c r="D3657" s="101">
        <f t="shared" ca="1" si="207"/>
        <v>0.77884277981239547</v>
      </c>
      <c r="E3657" s="101">
        <f t="shared" ca="1" si="208"/>
        <v>0</v>
      </c>
      <c r="F3657" s="21">
        <f t="shared" ca="1" si="209"/>
        <v>0</v>
      </c>
      <c r="H3657" s="21">
        <v>3642</v>
      </c>
      <c r="I3657" s="102">
        <v>0.66766021488762928</v>
      </c>
      <c r="J3657" s="103">
        <v>1.3076739134281333E-3</v>
      </c>
      <c r="K3657" s="103"/>
      <c r="L3657" s="103">
        <v>4.0599999999999997E-2</v>
      </c>
      <c r="O3657" s="100"/>
    </row>
    <row r="3658" spans="2:15" x14ac:dyDescent="0.2">
      <c r="B3658" s="1">
        <v>3643</v>
      </c>
      <c r="C3658" s="101">
        <f ca="1"/>
        <v>-2.1085643457208976</v>
      </c>
      <c r="D3658" s="101">
        <f t="shared" ca="1" si="207"/>
        <v>0.5397178772814567</v>
      </c>
      <c r="E3658" s="101">
        <f t="shared" ca="1" si="208"/>
        <v>0</v>
      </c>
      <c r="F3658" s="21">
        <f t="shared" ca="1" si="209"/>
        <v>0</v>
      </c>
      <c r="H3658" s="21">
        <v>3643</v>
      </c>
      <c r="I3658" s="102">
        <v>0.66784283272594369</v>
      </c>
      <c r="J3658" s="103">
        <v>1.4098700506247519E-3</v>
      </c>
      <c r="K3658" s="103"/>
      <c r="L3658" s="103">
        <v>4.3200000000000002E-2</v>
      </c>
      <c r="O3658" s="100"/>
    </row>
    <row r="3659" spans="2:15" x14ac:dyDescent="0.2">
      <c r="B3659" s="1">
        <v>3644</v>
      </c>
      <c r="C3659" s="101">
        <f ca="1"/>
        <v>-1.4567263906561803</v>
      </c>
      <c r="D3659" s="101">
        <f t="shared" ca="1" si="207"/>
        <v>0.57556071008743703</v>
      </c>
      <c r="E3659" s="101">
        <f t="shared" ca="1" si="208"/>
        <v>0</v>
      </c>
      <c r="F3659" s="21">
        <f t="shared" ca="1" si="209"/>
        <v>0</v>
      </c>
      <c r="H3659" s="21">
        <v>3644</v>
      </c>
      <c r="I3659" s="102">
        <v>0.66775014943783106</v>
      </c>
      <c r="J3659" s="103">
        <v>1.3164839700725813E-3</v>
      </c>
      <c r="K3659" s="103"/>
      <c r="L3659" s="103">
        <v>4.0800000000000003E-2</v>
      </c>
      <c r="O3659" s="100"/>
    </row>
    <row r="3660" spans="2:15" x14ac:dyDescent="0.2">
      <c r="B3660" s="1">
        <v>3645</v>
      </c>
      <c r="C3660" s="101">
        <f ca="1"/>
        <v>-0.91003289231422668</v>
      </c>
      <c r="D3660" s="101">
        <f t="shared" ca="1" si="207"/>
        <v>0.60745086123778547</v>
      </c>
      <c r="E3660" s="101">
        <f t="shared" ca="1" si="208"/>
        <v>0</v>
      </c>
      <c r="F3660" s="21">
        <f t="shared" ca="1" si="209"/>
        <v>0</v>
      </c>
      <c r="H3660" s="21">
        <v>3645</v>
      </c>
      <c r="I3660" s="102">
        <v>0.66782826490026037</v>
      </c>
      <c r="J3660" s="103">
        <v>1.4654079855229241E-3</v>
      </c>
      <c r="K3660" s="103"/>
      <c r="L3660" s="103">
        <v>4.4200000000000003E-2</v>
      </c>
      <c r="O3660" s="100"/>
    </row>
    <row r="3661" spans="2:15" x14ac:dyDescent="0.2">
      <c r="B3661" s="1">
        <v>3646</v>
      </c>
      <c r="C3661" s="101">
        <f ca="1"/>
        <v>-0.52348358697704145</v>
      </c>
      <c r="D3661" s="101">
        <f t="shared" ca="1" si="207"/>
        <v>0.63106004787241987</v>
      </c>
      <c r="E3661" s="101">
        <f t="shared" ca="1" si="208"/>
        <v>0</v>
      </c>
      <c r="F3661" s="21">
        <f t="shared" ca="1" si="209"/>
        <v>0</v>
      </c>
      <c r="H3661" s="21">
        <v>3646</v>
      </c>
      <c r="I3661" s="102">
        <v>0.66774057116604746</v>
      </c>
      <c r="J3661" s="103">
        <v>1.3717333675008249E-3</v>
      </c>
      <c r="K3661" s="103"/>
      <c r="L3661" s="103">
        <v>4.36E-2</v>
      </c>
      <c r="O3661" s="100"/>
    </row>
    <row r="3662" spans="2:15" x14ac:dyDescent="0.2">
      <c r="B3662" s="1">
        <v>3647</v>
      </c>
      <c r="C3662" s="101">
        <f ca="1"/>
        <v>0.45809343270379238</v>
      </c>
      <c r="D3662" s="101">
        <f t="shared" ca="1" si="207"/>
        <v>0.69521773175822665</v>
      </c>
      <c r="E3662" s="101">
        <f t="shared" ca="1" si="208"/>
        <v>0</v>
      </c>
      <c r="F3662" s="21">
        <f t="shared" ca="1" si="209"/>
        <v>0</v>
      </c>
      <c r="H3662" s="21">
        <v>3647</v>
      </c>
      <c r="I3662" s="102">
        <v>0.66777506725633662</v>
      </c>
      <c r="J3662" s="103">
        <v>1.4513757669766436E-3</v>
      </c>
      <c r="K3662" s="103"/>
      <c r="L3662" s="103">
        <v>4.0599999999999997E-2</v>
      </c>
      <c r="O3662" s="100"/>
    </row>
    <row r="3663" spans="2:15" x14ac:dyDescent="0.2">
      <c r="B3663" s="1">
        <v>3648</v>
      </c>
      <c r="C3663" s="101">
        <f ca="1"/>
        <v>3.745991092401376E-2</v>
      </c>
      <c r="D3663" s="101">
        <f t="shared" ca="1" si="207"/>
        <v>0.66696210576599835</v>
      </c>
      <c r="E3663" s="101">
        <f t="shared" ca="1" si="208"/>
        <v>0</v>
      </c>
      <c r="F3663" s="21">
        <f t="shared" ca="1" si="209"/>
        <v>0</v>
      </c>
      <c r="H3663" s="21">
        <v>3648</v>
      </c>
      <c r="I3663" s="102">
        <v>0.66777744769324088</v>
      </c>
      <c r="J3663" s="103">
        <v>1.3899231784657992E-3</v>
      </c>
      <c r="K3663" s="103"/>
      <c r="L3663" s="103">
        <v>4.3400000000000001E-2</v>
      </c>
      <c r="O3663" s="100"/>
    </row>
    <row r="3664" spans="2:15" x14ac:dyDescent="0.2">
      <c r="B3664" s="1">
        <v>3649</v>
      </c>
      <c r="C3664" s="101">
        <f ca="1"/>
        <v>-2.0713329691387008</v>
      </c>
      <c r="D3664" s="101">
        <f t="shared" ref="D3664:D3727" ca="1" si="210">S0*EXP((μ-0.5*σ*σ)*T+σ*SQRT(T)*$C3664)</f>
        <v>0.54170366365818079</v>
      </c>
      <c r="E3664" s="101">
        <f t="shared" ref="E3664:E3727" ca="1" si="211">MAX(0,CP*(D3664-K))</f>
        <v>0</v>
      </c>
      <c r="F3664" s="21">
        <f t="shared" ref="F3664:F3727" ca="1" si="212">(CP*(D3664-K)&gt;0)*1</f>
        <v>0</v>
      </c>
      <c r="H3664" s="21">
        <v>3649</v>
      </c>
      <c r="I3664" s="102">
        <v>0.66779491269067592</v>
      </c>
      <c r="J3664" s="103">
        <v>1.2240123797852924E-3</v>
      </c>
      <c r="K3664" s="103"/>
      <c r="L3664" s="103">
        <v>3.9199999999999999E-2</v>
      </c>
      <c r="O3664" s="100"/>
    </row>
    <row r="3665" spans="2:15" x14ac:dyDescent="0.2">
      <c r="B3665" s="1">
        <v>3650</v>
      </c>
      <c r="C3665" s="101">
        <f ca="1"/>
        <v>-0.86158736482394338</v>
      </c>
      <c r="D3665" s="101">
        <f t="shared" ca="1" si="210"/>
        <v>0.61036065255292082</v>
      </c>
      <c r="E3665" s="101">
        <f t="shared" ca="1" si="211"/>
        <v>0</v>
      </c>
      <c r="F3665" s="21">
        <f t="shared" ca="1" si="212"/>
        <v>0</v>
      </c>
      <c r="H3665" s="21">
        <v>3650</v>
      </c>
      <c r="I3665" s="102">
        <v>0.66773721679550235</v>
      </c>
      <c r="J3665" s="103">
        <v>1.2186226167349994E-3</v>
      </c>
      <c r="K3665" s="103"/>
      <c r="L3665" s="103">
        <v>4.2599999999999999E-2</v>
      </c>
      <c r="O3665" s="100"/>
    </row>
    <row r="3666" spans="2:15" x14ac:dyDescent="0.2">
      <c r="B3666" s="1">
        <v>3651</v>
      </c>
      <c r="C3666" s="101">
        <f ca="1"/>
        <v>0.170075081907862</v>
      </c>
      <c r="D3666" s="101">
        <f t="shared" ca="1" si="210"/>
        <v>0.67574417673810061</v>
      </c>
      <c r="E3666" s="101">
        <f t="shared" ca="1" si="211"/>
        <v>0</v>
      </c>
      <c r="F3666" s="21">
        <f t="shared" ca="1" si="212"/>
        <v>0</v>
      </c>
      <c r="H3666" s="21">
        <v>3651</v>
      </c>
      <c r="I3666" s="102">
        <v>0.66766234621957343</v>
      </c>
      <c r="J3666" s="103">
        <v>1.2326908702612876E-3</v>
      </c>
      <c r="K3666" s="103"/>
      <c r="L3666" s="103">
        <v>4.0599999999999997E-2</v>
      </c>
      <c r="O3666" s="100"/>
    </row>
    <row r="3667" spans="2:15" x14ac:dyDescent="0.2">
      <c r="B3667" s="1">
        <v>3652</v>
      </c>
      <c r="C3667" s="101">
        <f ca="1"/>
        <v>-1.6025431767646205</v>
      </c>
      <c r="D3667" s="101">
        <f t="shared" ca="1" si="210"/>
        <v>0.567341350979637</v>
      </c>
      <c r="E3667" s="101">
        <f t="shared" ca="1" si="211"/>
        <v>0</v>
      </c>
      <c r="F3667" s="21">
        <f t="shared" ca="1" si="212"/>
        <v>0</v>
      </c>
      <c r="H3667" s="21">
        <v>3652</v>
      </c>
      <c r="I3667" s="102">
        <v>0.66770702841304685</v>
      </c>
      <c r="J3667" s="103">
        <v>1.3388811292274507E-3</v>
      </c>
      <c r="K3667" s="103"/>
      <c r="L3667" s="103">
        <v>4.1799999999999997E-2</v>
      </c>
      <c r="O3667" s="100"/>
    </row>
    <row r="3668" spans="2:15" x14ac:dyDescent="0.2">
      <c r="B3668" s="1">
        <v>3653</v>
      </c>
      <c r="C3668" s="101">
        <f ca="1"/>
        <v>0.24283864133320937</v>
      </c>
      <c r="D3668" s="101">
        <f t="shared" ca="1" si="210"/>
        <v>0.68061177417020913</v>
      </c>
      <c r="E3668" s="101">
        <f t="shared" ca="1" si="211"/>
        <v>0</v>
      </c>
      <c r="F3668" s="21">
        <f t="shared" ca="1" si="212"/>
        <v>0</v>
      </c>
      <c r="H3668" s="21">
        <v>3653</v>
      </c>
      <c r="I3668" s="102">
        <v>0.66764386616806126</v>
      </c>
      <c r="J3668" s="103">
        <v>1.2970989715871556E-3</v>
      </c>
      <c r="K3668" s="103"/>
      <c r="L3668" s="103">
        <v>4.0800000000000003E-2</v>
      </c>
      <c r="O3668" s="100"/>
    </row>
    <row r="3669" spans="2:15" x14ac:dyDescent="0.2">
      <c r="B3669" s="1">
        <v>3654</v>
      </c>
      <c r="C3669" s="101">
        <f ca="1"/>
        <v>1.3421502680446478</v>
      </c>
      <c r="D3669" s="101">
        <f t="shared" ca="1" si="210"/>
        <v>0.75856585515316166</v>
      </c>
      <c r="E3669" s="101">
        <f t="shared" ca="1" si="211"/>
        <v>0</v>
      </c>
      <c r="F3669" s="21">
        <f t="shared" ca="1" si="212"/>
        <v>0</v>
      </c>
      <c r="H3669" s="21">
        <v>3654</v>
      </c>
      <c r="I3669" s="102">
        <v>0.66784038719592476</v>
      </c>
      <c r="J3669" s="103">
        <v>1.45885193562542E-3</v>
      </c>
      <c r="K3669" s="103"/>
      <c r="L3669" s="103">
        <v>4.3799999999999999E-2</v>
      </c>
      <c r="O3669" s="100"/>
    </row>
    <row r="3670" spans="2:15" x14ac:dyDescent="0.2">
      <c r="B3670" s="1">
        <v>3655</v>
      </c>
      <c r="C3670" s="101">
        <f ca="1"/>
        <v>-0.64837766423695298</v>
      </c>
      <c r="D3670" s="101">
        <f t="shared" ca="1" si="210"/>
        <v>0.62333326009322088</v>
      </c>
      <c r="E3670" s="101">
        <f t="shared" ca="1" si="211"/>
        <v>0</v>
      </c>
      <c r="F3670" s="21">
        <f t="shared" ca="1" si="212"/>
        <v>0</v>
      </c>
      <c r="H3670" s="21">
        <v>3655</v>
      </c>
      <c r="I3670" s="102">
        <v>0.66771724437698754</v>
      </c>
      <c r="J3670" s="103">
        <v>1.3159889563534519E-3</v>
      </c>
      <c r="K3670" s="103"/>
      <c r="L3670" s="103">
        <v>0.04</v>
      </c>
      <c r="O3670" s="100"/>
    </row>
    <row r="3671" spans="2:15" x14ac:dyDescent="0.2">
      <c r="B3671" s="1">
        <v>3656</v>
      </c>
      <c r="C3671" s="101">
        <f ca="1"/>
        <v>-1.5166848720902657E-2</v>
      </c>
      <c r="D3671" s="101">
        <f t="shared" ca="1" si="210"/>
        <v>0.6635087610729129</v>
      </c>
      <c r="E3671" s="101">
        <f t="shared" ca="1" si="211"/>
        <v>0</v>
      </c>
      <c r="F3671" s="21">
        <f t="shared" ca="1" si="212"/>
        <v>0</v>
      </c>
      <c r="H3671" s="21">
        <v>3656</v>
      </c>
      <c r="I3671" s="102">
        <v>0.6678308418413782</v>
      </c>
      <c r="J3671" s="103">
        <v>1.4063794613082584E-3</v>
      </c>
      <c r="K3671" s="103"/>
      <c r="L3671" s="103">
        <v>4.4600000000000001E-2</v>
      </c>
      <c r="O3671" s="100"/>
    </row>
    <row r="3672" spans="2:15" x14ac:dyDescent="0.2">
      <c r="B3672" s="1">
        <v>3657</v>
      </c>
      <c r="C3672" s="101">
        <f ca="1"/>
        <v>1.051809950671305</v>
      </c>
      <c r="D3672" s="101">
        <f t="shared" ca="1" si="210"/>
        <v>0.73714901573810376</v>
      </c>
      <c r="E3672" s="101">
        <f t="shared" ca="1" si="211"/>
        <v>0</v>
      </c>
      <c r="F3672" s="21">
        <f t="shared" ca="1" si="212"/>
        <v>0</v>
      </c>
      <c r="H3672" s="21">
        <v>3657</v>
      </c>
      <c r="I3672" s="102">
        <v>0.66767284378264968</v>
      </c>
      <c r="J3672" s="103">
        <v>1.2645867378371794E-3</v>
      </c>
      <c r="K3672" s="103"/>
      <c r="L3672" s="103">
        <v>4.2799999999999998E-2</v>
      </c>
      <c r="O3672" s="100"/>
    </row>
    <row r="3673" spans="2:15" x14ac:dyDescent="0.2">
      <c r="B3673" s="1">
        <v>3658</v>
      </c>
      <c r="C3673" s="101">
        <f ca="1"/>
        <v>1.5161386144475675</v>
      </c>
      <c r="D3673" s="101">
        <f t="shared" ca="1" si="210"/>
        <v>0.77169705642654374</v>
      </c>
      <c r="E3673" s="101">
        <f t="shared" ca="1" si="211"/>
        <v>0</v>
      </c>
      <c r="F3673" s="21">
        <f t="shared" ca="1" si="212"/>
        <v>0</v>
      </c>
      <c r="H3673" s="21">
        <v>3658</v>
      </c>
      <c r="I3673" s="102">
        <v>0.66770452102476285</v>
      </c>
      <c r="J3673" s="103">
        <v>1.235110907616302E-3</v>
      </c>
      <c r="K3673" s="103"/>
      <c r="L3673" s="103">
        <v>3.9600000000000003E-2</v>
      </c>
      <c r="O3673" s="100"/>
    </row>
    <row r="3674" spans="2:15" x14ac:dyDescent="0.2">
      <c r="B3674" s="1">
        <v>3659</v>
      </c>
      <c r="C3674" s="101">
        <f ca="1"/>
        <v>0.76581608561945946</v>
      </c>
      <c r="D3674" s="101">
        <f t="shared" ca="1" si="210"/>
        <v>0.71664403297472612</v>
      </c>
      <c r="E3674" s="101">
        <f t="shared" ca="1" si="211"/>
        <v>0</v>
      </c>
      <c r="F3674" s="21">
        <f t="shared" ca="1" si="212"/>
        <v>0</v>
      </c>
      <c r="H3674" s="21">
        <v>3659</v>
      </c>
      <c r="I3674" s="102">
        <v>0.66779487216298206</v>
      </c>
      <c r="J3674" s="103">
        <v>1.3392542136745958E-3</v>
      </c>
      <c r="K3674" s="103"/>
      <c r="L3674" s="103">
        <v>4.36E-2</v>
      </c>
      <c r="O3674" s="100"/>
    </row>
    <row r="3675" spans="2:15" x14ac:dyDescent="0.2">
      <c r="B3675" s="1">
        <v>3660</v>
      </c>
      <c r="C3675" s="101">
        <f ca="1"/>
        <v>2.9446132368988431</v>
      </c>
      <c r="D3675" s="101">
        <f t="shared" ca="1" si="210"/>
        <v>0.88846805192898715</v>
      </c>
      <c r="E3675" s="101">
        <f t="shared" ca="1" si="211"/>
        <v>0.10026805192898713</v>
      </c>
      <c r="F3675" s="21">
        <f t="shared" ca="1" si="212"/>
        <v>1</v>
      </c>
      <c r="H3675" s="21">
        <v>3660</v>
      </c>
      <c r="I3675" s="102">
        <v>0.66770885196419305</v>
      </c>
      <c r="J3675" s="103">
        <v>1.4130853494620692E-3</v>
      </c>
      <c r="K3675" s="103"/>
      <c r="L3675" s="103">
        <v>4.0399999999999998E-2</v>
      </c>
      <c r="O3675" s="100"/>
    </row>
    <row r="3676" spans="2:15" x14ac:dyDescent="0.2">
      <c r="B3676" s="1">
        <v>3661</v>
      </c>
      <c r="C3676" s="101">
        <f ca="1"/>
        <v>1.5912986650536449</v>
      </c>
      <c r="D3676" s="101">
        <f t="shared" ca="1" si="210"/>
        <v>0.77743959218141045</v>
      </c>
      <c r="E3676" s="101">
        <f t="shared" ca="1" si="211"/>
        <v>0</v>
      </c>
      <c r="F3676" s="21">
        <f t="shared" ca="1" si="212"/>
        <v>0</v>
      </c>
      <c r="H3676" s="21">
        <v>3661</v>
      </c>
      <c r="I3676" s="102">
        <v>0.66768667982461205</v>
      </c>
      <c r="J3676" s="103">
        <v>1.3290908818164074E-3</v>
      </c>
      <c r="K3676" s="103"/>
      <c r="L3676" s="103">
        <v>4.02E-2</v>
      </c>
      <c r="O3676" s="100"/>
    </row>
    <row r="3677" spans="2:15" x14ac:dyDescent="0.2">
      <c r="B3677" s="1">
        <v>3662</v>
      </c>
      <c r="C3677" s="101">
        <f ca="1"/>
        <v>1.4541124008106106</v>
      </c>
      <c r="D3677" s="101">
        <f t="shared" ca="1" si="210"/>
        <v>0.76698995983809903</v>
      </c>
      <c r="E3677" s="101">
        <f t="shared" ca="1" si="211"/>
        <v>0</v>
      </c>
      <c r="F3677" s="21">
        <f t="shared" ca="1" si="212"/>
        <v>0</v>
      </c>
      <c r="H3677" s="21">
        <v>3662</v>
      </c>
      <c r="I3677" s="102">
        <v>0.66789530661062457</v>
      </c>
      <c r="J3677" s="103">
        <v>1.4844678860397682E-3</v>
      </c>
      <c r="K3677" s="103"/>
      <c r="L3677" s="103">
        <v>4.5999999999999999E-2</v>
      </c>
      <c r="O3677" s="100"/>
    </row>
    <row r="3678" spans="2:15" x14ac:dyDescent="0.2">
      <c r="B3678" s="1">
        <v>3663</v>
      </c>
      <c r="C3678" s="101">
        <f ca="1"/>
        <v>0.49496610180122386</v>
      </c>
      <c r="D3678" s="101">
        <f t="shared" ca="1" si="210"/>
        <v>0.69775096021290084</v>
      </c>
      <c r="E3678" s="101">
        <f t="shared" ca="1" si="211"/>
        <v>0</v>
      </c>
      <c r="F3678" s="21">
        <f t="shared" ca="1" si="212"/>
        <v>0</v>
      </c>
      <c r="H3678" s="21">
        <v>3663</v>
      </c>
      <c r="I3678" s="102">
        <v>0.66796550102593844</v>
      </c>
      <c r="J3678" s="103">
        <v>1.5458395331742071E-3</v>
      </c>
      <c r="K3678" s="103"/>
      <c r="L3678" s="103">
        <v>4.9000000000000002E-2</v>
      </c>
      <c r="O3678" s="100"/>
    </row>
    <row r="3679" spans="2:15" x14ac:dyDescent="0.2">
      <c r="B3679" s="1">
        <v>3664</v>
      </c>
      <c r="C3679" s="101">
        <f ca="1"/>
        <v>-0.35021793390416445</v>
      </c>
      <c r="D3679" s="101">
        <f t="shared" ca="1" si="210"/>
        <v>0.64193828820158882</v>
      </c>
      <c r="E3679" s="101">
        <f t="shared" ca="1" si="211"/>
        <v>0</v>
      </c>
      <c r="F3679" s="21">
        <f t="shared" ca="1" si="212"/>
        <v>0</v>
      </c>
      <c r="H3679" s="21">
        <v>3664</v>
      </c>
      <c r="I3679" s="102">
        <v>0.6676782537003243</v>
      </c>
      <c r="J3679" s="103">
        <v>1.3557930096927899E-3</v>
      </c>
      <c r="K3679" s="103"/>
      <c r="L3679" s="103">
        <v>4.1200000000000001E-2</v>
      </c>
      <c r="O3679" s="100"/>
    </row>
    <row r="3680" spans="2:15" x14ac:dyDescent="0.2">
      <c r="B3680" s="1">
        <v>3665</v>
      </c>
      <c r="C3680" s="101">
        <f ca="1"/>
        <v>1.3335650646923418</v>
      </c>
      <c r="D3680" s="101">
        <f t="shared" ca="1" si="210"/>
        <v>0.75792373115981493</v>
      </c>
      <c r="E3680" s="101">
        <f t="shared" ca="1" si="211"/>
        <v>0</v>
      </c>
      <c r="F3680" s="21">
        <f t="shared" ca="1" si="212"/>
        <v>0</v>
      </c>
      <c r="H3680" s="21">
        <v>3665</v>
      </c>
      <c r="I3680" s="102">
        <v>0.66770854798057167</v>
      </c>
      <c r="J3680" s="103">
        <v>1.3380095446908508E-3</v>
      </c>
      <c r="K3680" s="103"/>
      <c r="L3680" s="103">
        <v>4.24E-2</v>
      </c>
      <c r="O3680" s="100"/>
    </row>
    <row r="3681" spans="2:15" x14ac:dyDescent="0.2">
      <c r="B3681" s="1">
        <v>3666</v>
      </c>
      <c r="C3681" s="101">
        <f ca="1"/>
        <v>0.15244499834732791</v>
      </c>
      <c r="D3681" s="101">
        <f t="shared" ca="1" si="210"/>
        <v>0.6745700418117202</v>
      </c>
      <c r="E3681" s="101">
        <f t="shared" ca="1" si="211"/>
        <v>0</v>
      </c>
      <c r="F3681" s="21">
        <f t="shared" ca="1" si="212"/>
        <v>0</v>
      </c>
      <c r="H3681" s="21">
        <v>3666</v>
      </c>
      <c r="I3681" s="102">
        <v>0.66777479852283006</v>
      </c>
      <c r="J3681" s="103">
        <v>1.3492684567330514E-3</v>
      </c>
      <c r="K3681" s="103"/>
      <c r="L3681" s="103">
        <v>4.3400000000000001E-2</v>
      </c>
      <c r="O3681" s="100"/>
    </row>
    <row r="3682" spans="2:15" x14ac:dyDescent="0.2">
      <c r="B3682" s="1">
        <v>3667</v>
      </c>
      <c r="C3682" s="101">
        <f ca="1"/>
        <v>-0.32390277114631422</v>
      </c>
      <c r="D3682" s="101">
        <f t="shared" ca="1" si="210"/>
        <v>0.64360677212167861</v>
      </c>
      <c r="E3682" s="101">
        <f t="shared" ca="1" si="211"/>
        <v>0</v>
      </c>
      <c r="F3682" s="21">
        <f t="shared" ca="1" si="212"/>
        <v>0</v>
      </c>
      <c r="H3682" s="21">
        <v>3667</v>
      </c>
      <c r="I3682" s="102">
        <v>0.66781418372829437</v>
      </c>
      <c r="J3682" s="103">
        <v>1.4423414497864075E-3</v>
      </c>
      <c r="K3682" s="103"/>
      <c r="L3682" s="103">
        <v>4.3999999999999997E-2</v>
      </c>
      <c r="O3682" s="100"/>
    </row>
    <row r="3683" spans="2:15" x14ac:dyDescent="0.2">
      <c r="B3683" s="1">
        <v>3668</v>
      </c>
      <c r="C3683" s="101">
        <f ca="1"/>
        <v>-0.74835952101703462</v>
      </c>
      <c r="D3683" s="101">
        <f t="shared" ca="1" si="210"/>
        <v>0.61721594883221365</v>
      </c>
      <c r="E3683" s="101">
        <f t="shared" ca="1" si="211"/>
        <v>0</v>
      </c>
      <c r="F3683" s="21">
        <f t="shared" ca="1" si="212"/>
        <v>0</v>
      </c>
      <c r="H3683" s="21">
        <v>3668</v>
      </c>
      <c r="I3683" s="102">
        <v>0.6677249416190203</v>
      </c>
      <c r="J3683" s="103">
        <v>1.3958314511681661E-3</v>
      </c>
      <c r="K3683" s="103"/>
      <c r="L3683" s="103">
        <v>3.9800000000000002E-2</v>
      </c>
      <c r="O3683" s="100"/>
    </row>
    <row r="3684" spans="2:15" x14ac:dyDescent="0.2">
      <c r="B3684" s="1">
        <v>3669</v>
      </c>
      <c r="C3684" s="101">
        <f ca="1"/>
        <v>0.77698745645442291</v>
      </c>
      <c r="D3684" s="101">
        <f t="shared" ca="1" si="210"/>
        <v>0.71743418046972396</v>
      </c>
      <c r="E3684" s="101">
        <f t="shared" ca="1" si="211"/>
        <v>0</v>
      </c>
      <c r="F3684" s="21">
        <f t="shared" ca="1" si="212"/>
        <v>0</v>
      </c>
      <c r="H3684" s="21">
        <v>3669</v>
      </c>
      <c r="I3684" s="102">
        <v>0.66766710466341561</v>
      </c>
      <c r="J3684" s="103">
        <v>1.2530923819865623E-3</v>
      </c>
      <c r="K3684" s="103"/>
      <c r="L3684" s="103">
        <v>4.02E-2</v>
      </c>
      <c r="O3684" s="100"/>
    </row>
    <row r="3685" spans="2:15" x14ac:dyDescent="0.2">
      <c r="B3685" s="1">
        <v>3670</v>
      </c>
      <c r="C3685" s="101">
        <f ca="1"/>
        <v>-0.47137438829691275</v>
      </c>
      <c r="D3685" s="101">
        <f t="shared" ca="1" si="210"/>
        <v>0.63431212339461118</v>
      </c>
      <c r="E3685" s="101">
        <f t="shared" ca="1" si="211"/>
        <v>0</v>
      </c>
      <c r="F3685" s="21">
        <f t="shared" ca="1" si="212"/>
        <v>0</v>
      </c>
      <c r="H3685" s="21">
        <v>3670</v>
      </c>
      <c r="I3685" s="102">
        <v>0.66774631795939199</v>
      </c>
      <c r="J3685" s="103">
        <v>1.4619307540870985E-3</v>
      </c>
      <c r="K3685" s="103"/>
      <c r="L3685" s="103">
        <v>4.5999999999999999E-2</v>
      </c>
      <c r="O3685" s="100"/>
    </row>
    <row r="3686" spans="2:15" x14ac:dyDescent="0.2">
      <c r="B3686" s="1">
        <v>3671</v>
      </c>
      <c r="C3686" s="101">
        <f ca="1"/>
        <v>1.2913085595354437</v>
      </c>
      <c r="D3686" s="101">
        <f t="shared" ca="1" si="210"/>
        <v>0.75477109991946723</v>
      </c>
      <c r="E3686" s="101">
        <f t="shared" ca="1" si="211"/>
        <v>0</v>
      </c>
      <c r="F3686" s="21">
        <f t="shared" ca="1" si="212"/>
        <v>0</v>
      </c>
      <c r="H3686" s="21">
        <v>3671</v>
      </c>
      <c r="I3686" s="102">
        <v>0.66764332343353239</v>
      </c>
      <c r="J3686" s="103">
        <v>1.2193142601178938E-3</v>
      </c>
      <c r="K3686" s="103"/>
      <c r="L3686" s="103">
        <v>4.0599999999999997E-2</v>
      </c>
      <c r="O3686" s="100"/>
    </row>
    <row r="3687" spans="2:15" x14ac:dyDescent="0.2">
      <c r="B3687" s="1">
        <v>3672</v>
      </c>
      <c r="C3687" s="101">
        <f ca="1"/>
        <v>-1.6275978516336551</v>
      </c>
      <c r="D3687" s="101">
        <f t="shared" ca="1" si="210"/>
        <v>0.56594093983710714</v>
      </c>
      <c r="E3687" s="101">
        <f t="shared" ca="1" si="211"/>
        <v>0</v>
      </c>
      <c r="F3687" s="21">
        <f t="shared" ca="1" si="212"/>
        <v>0</v>
      </c>
      <c r="H3687" s="21">
        <v>3672</v>
      </c>
      <c r="I3687" s="102">
        <v>0.66784531098077582</v>
      </c>
      <c r="J3687" s="103">
        <v>1.6071164712824508E-3</v>
      </c>
      <c r="K3687" s="103"/>
      <c r="L3687" s="103">
        <v>4.6199999999999998E-2</v>
      </c>
      <c r="O3687" s="100"/>
    </row>
    <row r="3688" spans="2:15" x14ac:dyDescent="0.2">
      <c r="B3688" s="1">
        <v>3673</v>
      </c>
      <c r="C3688" s="101">
        <f ca="1"/>
        <v>7.189443694745129E-2</v>
      </c>
      <c r="D3688" s="101">
        <f t="shared" ca="1" si="210"/>
        <v>0.66923140598749997</v>
      </c>
      <c r="E3688" s="101">
        <f t="shared" ca="1" si="211"/>
        <v>0</v>
      </c>
      <c r="F3688" s="21">
        <f t="shared" ca="1" si="212"/>
        <v>0</v>
      </c>
      <c r="H3688" s="21">
        <v>3673</v>
      </c>
      <c r="I3688" s="102">
        <v>0.6675673366231516</v>
      </c>
      <c r="J3688" s="103">
        <v>1.2247771634299658E-3</v>
      </c>
      <c r="K3688" s="103"/>
      <c r="L3688" s="103">
        <v>3.7999999999999999E-2</v>
      </c>
      <c r="O3688" s="100"/>
    </row>
    <row r="3689" spans="2:15" x14ac:dyDescent="0.2">
      <c r="B3689" s="1">
        <v>3674</v>
      </c>
      <c r="C3689" s="101">
        <f ca="1"/>
        <v>0.1536301326979625</v>
      </c>
      <c r="D3689" s="101">
        <f t="shared" ca="1" si="210"/>
        <v>0.6746489058337628</v>
      </c>
      <c r="E3689" s="101">
        <f t="shared" ca="1" si="211"/>
        <v>0</v>
      </c>
      <c r="F3689" s="21">
        <f t="shared" ca="1" si="212"/>
        <v>0</v>
      </c>
      <c r="H3689" s="21">
        <v>3674</v>
      </c>
      <c r="I3689" s="102">
        <v>0.66760025600992301</v>
      </c>
      <c r="J3689" s="103">
        <v>1.1548581523494145E-3</v>
      </c>
      <c r="K3689" s="103"/>
      <c r="L3689" s="103">
        <v>3.7199999999999997E-2</v>
      </c>
      <c r="O3689" s="100"/>
    </row>
    <row r="3690" spans="2:15" x14ac:dyDescent="0.2">
      <c r="B3690" s="1">
        <v>3675</v>
      </c>
      <c r="C3690" s="101">
        <f ca="1"/>
        <v>0.85859880897210072</v>
      </c>
      <c r="D3690" s="101">
        <f t="shared" ca="1" si="210"/>
        <v>0.72323301615048385</v>
      </c>
      <c r="E3690" s="101">
        <f t="shared" ca="1" si="211"/>
        <v>0</v>
      </c>
      <c r="F3690" s="21">
        <f t="shared" ca="1" si="212"/>
        <v>0</v>
      </c>
      <c r="H3690" s="21">
        <v>3675</v>
      </c>
      <c r="I3690" s="102">
        <v>0.66769598756692516</v>
      </c>
      <c r="J3690" s="103">
        <v>1.3073728197347206E-3</v>
      </c>
      <c r="K3690" s="103"/>
      <c r="L3690" s="103">
        <v>4.2000000000000003E-2</v>
      </c>
      <c r="O3690" s="100"/>
    </row>
    <row r="3691" spans="2:15" x14ac:dyDescent="0.2">
      <c r="B3691" s="1">
        <v>3676</v>
      </c>
      <c r="C3691" s="101">
        <f ca="1"/>
        <v>-0.45544041168359001</v>
      </c>
      <c r="D3691" s="101">
        <f t="shared" ca="1" si="210"/>
        <v>0.63530988648343223</v>
      </c>
      <c r="E3691" s="101">
        <f t="shared" ca="1" si="211"/>
        <v>0</v>
      </c>
      <c r="F3691" s="21">
        <f t="shared" ca="1" si="212"/>
        <v>0</v>
      </c>
      <c r="H3691" s="21">
        <v>3676</v>
      </c>
      <c r="I3691" s="102">
        <v>0.66791910111835029</v>
      </c>
      <c r="J3691" s="103">
        <v>1.5175204684412646E-3</v>
      </c>
      <c r="K3691" s="103"/>
      <c r="L3691" s="103">
        <v>4.82E-2</v>
      </c>
      <c r="O3691" s="100"/>
    </row>
    <row r="3692" spans="2:15" x14ac:dyDescent="0.2">
      <c r="B3692" s="1">
        <v>3677</v>
      </c>
      <c r="C3692" s="101">
        <f ca="1"/>
        <v>-0.64277185909612466</v>
      </c>
      <c r="D3692" s="101">
        <f t="shared" ca="1" si="210"/>
        <v>0.62367803629353091</v>
      </c>
      <c r="E3692" s="101">
        <f t="shared" ca="1" si="211"/>
        <v>0</v>
      </c>
      <c r="F3692" s="21">
        <f t="shared" ca="1" si="212"/>
        <v>0</v>
      </c>
      <c r="H3692" s="21">
        <v>3677</v>
      </c>
      <c r="I3692" s="102">
        <v>0.66758246991572479</v>
      </c>
      <c r="J3692" s="103">
        <v>1.1205859422062274E-3</v>
      </c>
      <c r="K3692" s="103"/>
      <c r="L3692" s="103">
        <v>3.8600000000000002E-2</v>
      </c>
      <c r="O3692" s="100"/>
    </row>
    <row r="3693" spans="2:15" x14ac:dyDescent="0.2">
      <c r="B3693" s="1">
        <v>3678</v>
      </c>
      <c r="C3693" s="101">
        <f ca="1"/>
        <v>-7.8833957370854635E-2</v>
      </c>
      <c r="D3693" s="101">
        <f t="shared" ca="1" si="210"/>
        <v>0.65935484542032363</v>
      </c>
      <c r="E3693" s="101">
        <f t="shared" ca="1" si="211"/>
        <v>0</v>
      </c>
      <c r="F3693" s="21">
        <f t="shared" ca="1" si="212"/>
        <v>0</v>
      </c>
      <c r="H3693" s="21">
        <v>3678</v>
      </c>
      <c r="I3693" s="102">
        <v>0.6676295482860698</v>
      </c>
      <c r="J3693" s="103">
        <v>1.1149553536755523E-3</v>
      </c>
      <c r="K3693" s="103"/>
      <c r="L3693" s="103">
        <v>3.9199999999999999E-2</v>
      </c>
      <c r="O3693" s="100"/>
    </row>
    <row r="3694" spans="2:15" x14ac:dyDescent="0.2">
      <c r="B3694" s="1">
        <v>3679</v>
      </c>
      <c r="C3694" s="101">
        <f ca="1"/>
        <v>-0.78167090946752238</v>
      </c>
      <c r="D3694" s="101">
        <f t="shared" ca="1" si="210"/>
        <v>0.6151911799816443</v>
      </c>
      <c r="E3694" s="101">
        <f t="shared" ca="1" si="211"/>
        <v>0</v>
      </c>
      <c r="F3694" s="21">
        <f t="shared" ca="1" si="212"/>
        <v>0</v>
      </c>
      <c r="H3694" s="21">
        <v>3679</v>
      </c>
      <c r="I3694" s="102">
        <v>0.66784983537961018</v>
      </c>
      <c r="J3694" s="103">
        <v>1.4550253855755888E-3</v>
      </c>
      <c r="K3694" s="103"/>
      <c r="L3694" s="103">
        <v>4.6600000000000003E-2</v>
      </c>
      <c r="O3694" s="100"/>
    </row>
    <row r="3695" spans="2:15" x14ac:dyDescent="0.2">
      <c r="B3695" s="1">
        <v>3680</v>
      </c>
      <c r="C3695" s="101">
        <f ca="1"/>
        <v>-0.59506083172924795</v>
      </c>
      <c r="D3695" s="101">
        <f t="shared" ca="1" si="210"/>
        <v>0.62662015692404727</v>
      </c>
      <c r="E3695" s="101">
        <f t="shared" ca="1" si="211"/>
        <v>0</v>
      </c>
      <c r="F3695" s="21">
        <f t="shared" ca="1" si="212"/>
        <v>0</v>
      </c>
      <c r="H3695" s="21">
        <v>3680</v>
      </c>
      <c r="I3695" s="102">
        <v>0.66782216041213927</v>
      </c>
      <c r="J3695" s="103">
        <v>1.3644248417533787E-3</v>
      </c>
      <c r="K3695" s="103"/>
      <c r="L3695" s="103">
        <v>0.04</v>
      </c>
      <c r="O3695" s="100"/>
    </row>
    <row r="3696" spans="2:15" x14ac:dyDescent="0.2">
      <c r="B3696" s="1">
        <v>3681</v>
      </c>
      <c r="C3696" s="101">
        <f ca="1"/>
        <v>-0.2241894944267897</v>
      </c>
      <c r="D3696" s="101">
        <f t="shared" ca="1" si="210"/>
        <v>0.64996842652139508</v>
      </c>
      <c r="E3696" s="101">
        <f t="shared" ca="1" si="211"/>
        <v>0</v>
      </c>
      <c r="F3696" s="21">
        <f t="shared" ca="1" si="212"/>
        <v>0</v>
      </c>
      <c r="H3696" s="21">
        <v>3681</v>
      </c>
      <c r="I3696" s="102">
        <v>0.66776478608872969</v>
      </c>
      <c r="J3696" s="103">
        <v>1.3703085191040583E-3</v>
      </c>
      <c r="K3696" s="103"/>
      <c r="L3696" s="103">
        <v>4.2999999999999997E-2</v>
      </c>
      <c r="O3696" s="100"/>
    </row>
    <row r="3697" spans="2:15" x14ac:dyDescent="0.2">
      <c r="B3697" s="1">
        <v>3682</v>
      </c>
      <c r="C3697" s="101">
        <f ca="1"/>
        <v>0.42577831936099553</v>
      </c>
      <c r="D3697" s="101">
        <f t="shared" ca="1" si="210"/>
        <v>0.6930051800522441</v>
      </c>
      <c r="E3697" s="101">
        <f t="shared" ca="1" si="211"/>
        <v>0</v>
      </c>
      <c r="F3697" s="21">
        <f t="shared" ca="1" si="212"/>
        <v>0</v>
      </c>
      <c r="H3697" s="21">
        <v>3682</v>
      </c>
      <c r="I3697" s="102">
        <v>0.66768577632917236</v>
      </c>
      <c r="J3697" s="103">
        <v>1.3066797059621724E-3</v>
      </c>
      <c r="K3697" s="103"/>
      <c r="L3697" s="103">
        <v>3.9199999999999999E-2</v>
      </c>
      <c r="O3697" s="100"/>
    </row>
    <row r="3698" spans="2:15" x14ac:dyDescent="0.2">
      <c r="B3698" s="1">
        <v>3683</v>
      </c>
      <c r="C3698" s="101">
        <f ca="1"/>
        <v>1.0078503605967273</v>
      </c>
      <c r="D3698" s="101">
        <f t="shared" ca="1" si="210"/>
        <v>0.73395948667370792</v>
      </c>
      <c r="E3698" s="101">
        <f t="shared" ca="1" si="211"/>
        <v>0</v>
      </c>
      <c r="F3698" s="21">
        <f t="shared" ca="1" si="212"/>
        <v>0</v>
      </c>
      <c r="H3698" s="21">
        <v>3683</v>
      </c>
      <c r="I3698" s="102">
        <v>0.66781439033460299</v>
      </c>
      <c r="J3698" s="103">
        <v>1.4043424366142457E-3</v>
      </c>
      <c r="K3698" s="103"/>
      <c r="L3698" s="103">
        <v>4.2799999999999998E-2</v>
      </c>
      <c r="O3698" s="100"/>
    </row>
    <row r="3699" spans="2:15" x14ac:dyDescent="0.2">
      <c r="B3699" s="1">
        <v>3684</v>
      </c>
      <c r="C3699" s="101">
        <f ca="1"/>
        <v>1.3697768390678116</v>
      </c>
      <c r="D3699" s="101">
        <f t="shared" ca="1" si="210"/>
        <v>0.76063585856853388</v>
      </c>
      <c r="E3699" s="101">
        <f t="shared" ca="1" si="211"/>
        <v>0</v>
      </c>
      <c r="F3699" s="21">
        <f t="shared" ca="1" si="212"/>
        <v>0</v>
      </c>
      <c r="H3699" s="21">
        <v>3684</v>
      </c>
      <c r="I3699" s="102">
        <v>0.66783238273157053</v>
      </c>
      <c r="J3699" s="103">
        <v>1.4805224547922832E-3</v>
      </c>
      <c r="K3699" s="103"/>
      <c r="L3699" s="103">
        <v>4.4600000000000001E-2</v>
      </c>
      <c r="O3699" s="100"/>
    </row>
    <row r="3700" spans="2:15" x14ac:dyDescent="0.2">
      <c r="B3700" s="1">
        <v>3685</v>
      </c>
      <c r="C3700" s="101">
        <f ca="1"/>
        <v>1.0009871919408422</v>
      </c>
      <c r="D3700" s="101">
        <f t="shared" ca="1" si="210"/>
        <v>0.73346277008797289</v>
      </c>
      <c r="E3700" s="101">
        <f t="shared" ca="1" si="211"/>
        <v>0</v>
      </c>
      <c r="F3700" s="21">
        <f t="shared" ca="1" si="212"/>
        <v>0</v>
      </c>
      <c r="H3700" s="21">
        <v>3685</v>
      </c>
      <c r="I3700" s="102">
        <v>0.66775397487560084</v>
      </c>
      <c r="J3700" s="103">
        <v>1.4245441782864729E-3</v>
      </c>
      <c r="K3700" s="103"/>
      <c r="L3700" s="103">
        <v>4.1599999999999998E-2</v>
      </c>
      <c r="O3700" s="100"/>
    </row>
    <row r="3701" spans="2:15" x14ac:dyDescent="0.2">
      <c r="B3701" s="1">
        <v>3686</v>
      </c>
      <c r="C3701" s="101">
        <f ca="1"/>
        <v>-0.97224932470510383</v>
      </c>
      <c r="D3701" s="101">
        <f t="shared" ca="1" si="210"/>
        <v>0.60373428383709182</v>
      </c>
      <c r="E3701" s="101">
        <f t="shared" ca="1" si="211"/>
        <v>0</v>
      </c>
      <c r="F3701" s="21">
        <f t="shared" ca="1" si="212"/>
        <v>0</v>
      </c>
      <c r="H3701" s="21">
        <v>3686</v>
      </c>
      <c r="I3701" s="102">
        <v>0.66773384790705581</v>
      </c>
      <c r="J3701" s="103">
        <v>1.3256191341499642E-3</v>
      </c>
      <c r="K3701" s="103"/>
      <c r="L3701" s="103">
        <v>3.9800000000000002E-2</v>
      </c>
      <c r="O3701" s="100"/>
    </row>
    <row r="3702" spans="2:15" x14ac:dyDescent="0.2">
      <c r="B3702" s="1">
        <v>3687</v>
      </c>
      <c r="C3702" s="101">
        <f ca="1"/>
        <v>-7.9750679332876884E-2</v>
      </c>
      <c r="D3702" s="101">
        <f t="shared" ca="1" si="210"/>
        <v>0.6592952248531917</v>
      </c>
      <c r="E3702" s="101">
        <f t="shared" ca="1" si="211"/>
        <v>0</v>
      </c>
      <c r="F3702" s="21">
        <f t="shared" ca="1" si="212"/>
        <v>0</v>
      </c>
      <c r="H3702" s="21">
        <v>3687</v>
      </c>
      <c r="I3702" s="102">
        <v>0.66782557370262696</v>
      </c>
      <c r="J3702" s="103">
        <v>1.4137037809753398E-3</v>
      </c>
      <c r="K3702" s="103"/>
      <c r="L3702" s="103">
        <v>4.3200000000000002E-2</v>
      </c>
      <c r="O3702" s="100"/>
    </row>
    <row r="3703" spans="2:15" x14ac:dyDescent="0.2">
      <c r="B3703" s="1">
        <v>3688</v>
      </c>
      <c r="C3703" s="101">
        <f ca="1"/>
        <v>1.6620253816662267</v>
      </c>
      <c r="D3703" s="101">
        <f t="shared" ca="1" si="210"/>
        <v>0.78288242352183957</v>
      </c>
      <c r="E3703" s="101">
        <f t="shared" ca="1" si="211"/>
        <v>0</v>
      </c>
      <c r="F3703" s="21">
        <f t="shared" ca="1" si="212"/>
        <v>0</v>
      </c>
      <c r="H3703" s="21">
        <v>3688</v>
      </c>
      <c r="I3703" s="102">
        <v>0.66786239041460171</v>
      </c>
      <c r="J3703" s="103">
        <v>1.3323456756535173E-3</v>
      </c>
      <c r="K3703" s="103"/>
      <c r="L3703" s="103">
        <v>4.4999999999999998E-2</v>
      </c>
      <c r="O3703" s="100"/>
    </row>
    <row r="3704" spans="2:15" x14ac:dyDescent="0.2">
      <c r="B3704" s="1">
        <v>3689</v>
      </c>
      <c r="C3704" s="101">
        <f ca="1"/>
        <v>0.43369394134037836</v>
      </c>
      <c r="D3704" s="101">
        <f t="shared" ca="1" si="210"/>
        <v>0.69354649496101495</v>
      </c>
      <c r="E3704" s="101">
        <f t="shared" ca="1" si="211"/>
        <v>0</v>
      </c>
      <c r="F3704" s="21">
        <f t="shared" ca="1" si="212"/>
        <v>0</v>
      </c>
      <c r="H3704" s="21">
        <v>3689</v>
      </c>
      <c r="I3704" s="102">
        <v>0.667987566389319</v>
      </c>
      <c r="J3704" s="103">
        <v>1.6913378700648221E-3</v>
      </c>
      <c r="K3704" s="103"/>
      <c r="L3704" s="103">
        <v>4.6800000000000001E-2</v>
      </c>
      <c r="O3704" s="100"/>
    </row>
    <row r="3705" spans="2:15" x14ac:dyDescent="0.2">
      <c r="B3705" s="1">
        <v>3690</v>
      </c>
      <c r="C3705" s="101">
        <f ca="1"/>
        <v>0.40159001358774887</v>
      </c>
      <c r="D3705" s="101">
        <f t="shared" ca="1" si="210"/>
        <v>0.69135366388864627</v>
      </c>
      <c r="E3705" s="101">
        <f t="shared" ca="1" si="211"/>
        <v>0</v>
      </c>
      <c r="F3705" s="21">
        <f t="shared" ca="1" si="212"/>
        <v>0</v>
      </c>
      <c r="H3705" s="21">
        <v>3690</v>
      </c>
      <c r="I3705" s="102">
        <v>0.66769366831371701</v>
      </c>
      <c r="J3705" s="103">
        <v>1.4071807992114983E-3</v>
      </c>
      <c r="K3705" s="103"/>
      <c r="L3705" s="103">
        <v>4.2599999999999999E-2</v>
      </c>
      <c r="O3705" s="100"/>
    </row>
    <row r="3706" spans="2:15" x14ac:dyDescent="0.2">
      <c r="B3706" s="1">
        <v>3691</v>
      </c>
      <c r="C3706" s="101">
        <f ca="1"/>
        <v>0.67362181234214336</v>
      </c>
      <c r="D3706" s="101">
        <f t="shared" ca="1" si="210"/>
        <v>0.71015629862373852</v>
      </c>
      <c r="E3706" s="101">
        <f t="shared" ca="1" si="211"/>
        <v>0</v>
      </c>
      <c r="F3706" s="21">
        <f t="shared" ca="1" si="212"/>
        <v>0</v>
      </c>
      <c r="H3706" s="21">
        <v>3691</v>
      </c>
      <c r="I3706" s="102">
        <v>0.6676090742552826</v>
      </c>
      <c r="J3706" s="103">
        <v>1.1466593042810708E-3</v>
      </c>
      <c r="K3706" s="103"/>
      <c r="L3706" s="103">
        <v>4.0599999999999997E-2</v>
      </c>
      <c r="O3706" s="100"/>
    </row>
    <row r="3707" spans="2:15" x14ac:dyDescent="0.2">
      <c r="B3707" s="1">
        <v>3692</v>
      </c>
      <c r="C3707" s="101">
        <f ca="1"/>
        <v>1.0541179488598167</v>
      </c>
      <c r="D3707" s="101">
        <f t="shared" ca="1" si="210"/>
        <v>0.7373168571374904</v>
      </c>
      <c r="E3707" s="101">
        <f t="shared" ca="1" si="211"/>
        <v>0</v>
      </c>
      <c r="F3707" s="21">
        <f t="shared" ca="1" si="212"/>
        <v>0</v>
      </c>
      <c r="H3707" s="21">
        <v>3692</v>
      </c>
      <c r="I3707" s="102">
        <v>0.66788311243489062</v>
      </c>
      <c r="J3707" s="103">
        <v>1.5313070535859369E-3</v>
      </c>
      <c r="K3707" s="103"/>
      <c r="L3707" s="103">
        <v>4.5199999999999997E-2</v>
      </c>
      <c r="O3707" s="100"/>
    </row>
    <row r="3708" spans="2:15" x14ac:dyDescent="0.2">
      <c r="B3708" s="1">
        <v>3693</v>
      </c>
      <c r="C3708" s="101">
        <f ca="1"/>
        <v>-0.32982142326587632</v>
      </c>
      <c r="D3708" s="101">
        <f t="shared" ca="1" si="210"/>
        <v>0.64323112890527101</v>
      </c>
      <c r="E3708" s="101">
        <f t="shared" ca="1" si="211"/>
        <v>0</v>
      </c>
      <c r="F3708" s="21">
        <f t="shared" ca="1" si="212"/>
        <v>0</v>
      </c>
      <c r="H3708" s="21">
        <v>3693</v>
      </c>
      <c r="I3708" s="102">
        <v>0.66776986416502659</v>
      </c>
      <c r="J3708" s="103">
        <v>1.3367625949134696E-3</v>
      </c>
      <c r="K3708" s="103"/>
      <c r="L3708" s="103">
        <v>4.36E-2</v>
      </c>
      <c r="O3708" s="100"/>
    </row>
    <row r="3709" spans="2:15" x14ac:dyDescent="0.2">
      <c r="B3709" s="1">
        <v>3694</v>
      </c>
      <c r="C3709" s="101">
        <f ca="1"/>
        <v>-0.34469038256392398</v>
      </c>
      <c r="D3709" s="101">
        <f t="shared" ca="1" si="210"/>
        <v>0.6422883972776241</v>
      </c>
      <c r="E3709" s="101">
        <f t="shared" ca="1" si="211"/>
        <v>0</v>
      </c>
      <c r="F3709" s="21">
        <f t="shared" ca="1" si="212"/>
        <v>0</v>
      </c>
      <c r="H3709" s="21">
        <v>3694</v>
      </c>
      <c r="I3709" s="102">
        <v>0.66763056769529416</v>
      </c>
      <c r="J3709" s="103">
        <v>1.2356687614378237E-3</v>
      </c>
      <c r="K3709" s="103"/>
      <c r="L3709" s="103">
        <v>3.9199999999999999E-2</v>
      </c>
      <c r="O3709" s="100"/>
    </row>
    <row r="3710" spans="2:15" x14ac:dyDescent="0.2">
      <c r="B3710" s="1">
        <v>3695</v>
      </c>
      <c r="C3710" s="101">
        <f ca="1"/>
        <v>-1.1098706487600321</v>
      </c>
      <c r="D3710" s="101">
        <f t="shared" ca="1" si="210"/>
        <v>0.59559387907883421</v>
      </c>
      <c r="E3710" s="101">
        <f t="shared" ca="1" si="211"/>
        <v>0</v>
      </c>
      <c r="F3710" s="21">
        <f t="shared" ca="1" si="212"/>
        <v>0</v>
      </c>
      <c r="H3710" s="21">
        <v>3695</v>
      </c>
      <c r="I3710" s="102">
        <v>0.66772060985759141</v>
      </c>
      <c r="J3710" s="103">
        <v>1.3443071686595673E-3</v>
      </c>
      <c r="K3710" s="103"/>
      <c r="L3710" s="103">
        <v>4.0399999999999998E-2</v>
      </c>
      <c r="O3710" s="100"/>
    </row>
    <row r="3711" spans="2:15" x14ac:dyDescent="0.2">
      <c r="B3711" s="1">
        <v>3696</v>
      </c>
      <c r="C3711" s="101">
        <f ca="1"/>
        <v>1.2891739116306875E-2</v>
      </c>
      <c r="D3711" s="101">
        <f t="shared" ca="1" si="210"/>
        <v>0.66534772206417414</v>
      </c>
      <c r="E3711" s="101">
        <f t="shared" ca="1" si="211"/>
        <v>0</v>
      </c>
      <c r="F3711" s="21">
        <f t="shared" ca="1" si="212"/>
        <v>0</v>
      </c>
      <c r="H3711" s="21">
        <v>3696</v>
      </c>
      <c r="I3711" s="102">
        <v>0.6677017548405898</v>
      </c>
      <c r="J3711" s="103">
        <v>1.3527744347440372E-3</v>
      </c>
      <c r="K3711" s="103"/>
      <c r="L3711" s="103">
        <v>4.1399999999999999E-2</v>
      </c>
      <c r="O3711" s="100"/>
    </row>
    <row r="3712" spans="2:15" x14ac:dyDescent="0.2">
      <c r="B3712" s="1">
        <v>3697</v>
      </c>
      <c r="C3712" s="101">
        <f ca="1"/>
        <v>-0.48540412353789103</v>
      </c>
      <c r="D3712" s="101">
        <f t="shared" ca="1" si="210"/>
        <v>0.63343489857638391</v>
      </c>
      <c r="E3712" s="101">
        <f t="shared" ca="1" si="211"/>
        <v>0</v>
      </c>
      <c r="F3712" s="21">
        <f t="shared" ca="1" si="212"/>
        <v>0</v>
      </c>
      <c r="H3712" s="21">
        <v>3697</v>
      </c>
      <c r="I3712" s="102">
        <v>0.66768646151245026</v>
      </c>
      <c r="J3712" s="103">
        <v>1.3153223106628865E-3</v>
      </c>
      <c r="K3712" s="103"/>
      <c r="L3712" s="103">
        <v>4.1200000000000001E-2</v>
      </c>
      <c r="O3712" s="100"/>
    </row>
    <row r="3713" spans="2:15" x14ac:dyDescent="0.2">
      <c r="B3713" s="1">
        <v>3698</v>
      </c>
      <c r="C3713" s="101">
        <f ca="1"/>
        <v>0.59982658939700151</v>
      </c>
      <c r="D3713" s="101">
        <f t="shared" ca="1" si="210"/>
        <v>0.70500565643243374</v>
      </c>
      <c r="E3713" s="101">
        <f t="shared" ca="1" si="211"/>
        <v>0</v>
      </c>
      <c r="F3713" s="21">
        <f t="shared" ca="1" si="212"/>
        <v>0</v>
      </c>
      <c r="H3713" s="21">
        <v>3698</v>
      </c>
      <c r="I3713" s="102">
        <v>0.66767284246966485</v>
      </c>
      <c r="J3713" s="103">
        <v>1.2289014529089739E-3</v>
      </c>
      <c r="K3713" s="103"/>
      <c r="L3713" s="103">
        <v>3.78E-2</v>
      </c>
      <c r="O3713" s="100"/>
    </row>
    <row r="3714" spans="2:15" x14ac:dyDescent="0.2">
      <c r="B3714" s="1">
        <v>3699</v>
      </c>
      <c r="C3714" s="101">
        <f ca="1"/>
        <v>-0.50213812798885304</v>
      </c>
      <c r="D3714" s="101">
        <f t="shared" ca="1" si="210"/>
        <v>0.63239017263262121</v>
      </c>
      <c r="E3714" s="101">
        <f t="shared" ca="1" si="211"/>
        <v>0</v>
      </c>
      <c r="F3714" s="21">
        <f t="shared" ca="1" si="212"/>
        <v>0</v>
      </c>
      <c r="H3714" s="21">
        <v>3699</v>
      </c>
      <c r="I3714" s="102">
        <v>0.66770486995040546</v>
      </c>
      <c r="J3714" s="103">
        <v>1.335554665390218E-3</v>
      </c>
      <c r="K3714" s="103"/>
      <c r="L3714" s="103">
        <v>4.02E-2</v>
      </c>
      <c r="O3714" s="100"/>
    </row>
    <row r="3715" spans="2:15" x14ac:dyDescent="0.2">
      <c r="B3715" s="1">
        <v>3700</v>
      </c>
      <c r="C3715" s="101">
        <f ca="1"/>
        <v>-1.6160007010693285</v>
      </c>
      <c r="D3715" s="101">
        <f t="shared" ca="1" si="210"/>
        <v>0.56658872312427144</v>
      </c>
      <c r="E3715" s="101">
        <f t="shared" ca="1" si="211"/>
        <v>0</v>
      </c>
      <c r="F3715" s="21">
        <f t="shared" ca="1" si="212"/>
        <v>0</v>
      </c>
      <c r="H3715" s="21">
        <v>3700</v>
      </c>
      <c r="I3715" s="102">
        <v>0.66778857939654768</v>
      </c>
      <c r="J3715" s="103">
        <v>1.4344244441728046E-3</v>
      </c>
      <c r="K3715" s="103"/>
      <c r="L3715" s="103">
        <v>4.4200000000000003E-2</v>
      </c>
      <c r="O3715" s="100"/>
    </row>
    <row r="3716" spans="2:15" x14ac:dyDescent="0.2">
      <c r="B3716" s="1">
        <v>3701</v>
      </c>
      <c r="C3716" s="101">
        <f ca="1"/>
        <v>0.71116746417640209</v>
      </c>
      <c r="D3716" s="101">
        <f t="shared" ca="1" si="210"/>
        <v>0.71279127640219031</v>
      </c>
      <c r="E3716" s="101">
        <f t="shared" ca="1" si="211"/>
        <v>0</v>
      </c>
      <c r="F3716" s="21">
        <f t="shared" ca="1" si="212"/>
        <v>0</v>
      </c>
      <c r="H3716" s="21">
        <v>3701</v>
      </c>
      <c r="I3716" s="102">
        <v>0.66766104302549256</v>
      </c>
      <c r="J3716" s="103">
        <v>1.2482786877114924E-3</v>
      </c>
      <c r="K3716" s="103"/>
      <c r="L3716" s="103">
        <v>4.02E-2</v>
      </c>
      <c r="O3716" s="100"/>
    </row>
    <row r="3717" spans="2:15" x14ac:dyDescent="0.2">
      <c r="B3717" s="1">
        <v>3702</v>
      </c>
      <c r="C3717" s="101">
        <f ca="1"/>
        <v>-1.8572571048443307</v>
      </c>
      <c r="D3717" s="101">
        <f t="shared" ca="1" si="210"/>
        <v>0.55326430393187831</v>
      </c>
      <c r="E3717" s="101">
        <f t="shared" ca="1" si="211"/>
        <v>0</v>
      </c>
      <c r="F3717" s="21">
        <f t="shared" ca="1" si="212"/>
        <v>0</v>
      </c>
      <c r="H3717" s="21">
        <v>3702</v>
      </c>
      <c r="I3717" s="102">
        <v>0.66783376305318765</v>
      </c>
      <c r="J3717" s="103">
        <v>1.4869462661058481E-3</v>
      </c>
      <c r="K3717" s="103"/>
      <c r="L3717" s="103">
        <v>4.4999999999999998E-2</v>
      </c>
      <c r="O3717" s="100"/>
    </row>
    <row r="3718" spans="2:15" x14ac:dyDescent="0.2">
      <c r="B3718" s="1">
        <v>3703</v>
      </c>
      <c r="C3718" s="101">
        <f ca="1"/>
        <v>-2.4162107344698294</v>
      </c>
      <c r="D3718" s="101">
        <f t="shared" ca="1" si="210"/>
        <v>0.52358527231623475</v>
      </c>
      <c r="E3718" s="101">
        <f t="shared" ca="1" si="211"/>
        <v>0</v>
      </c>
      <c r="F3718" s="21">
        <f t="shared" ca="1" si="212"/>
        <v>0</v>
      </c>
      <c r="H3718" s="21">
        <v>3703</v>
      </c>
      <c r="I3718" s="102">
        <v>0.66773394862497271</v>
      </c>
      <c r="J3718" s="103">
        <v>1.3477145181637728E-3</v>
      </c>
      <c r="K3718" s="103"/>
      <c r="L3718" s="103">
        <v>4.3400000000000001E-2</v>
      </c>
      <c r="O3718" s="100"/>
    </row>
    <row r="3719" spans="2:15" x14ac:dyDescent="0.2">
      <c r="B3719" s="1">
        <v>3704</v>
      </c>
      <c r="C3719" s="101">
        <f ca="1"/>
        <v>-0.27827395254338266</v>
      </c>
      <c r="D3719" s="101">
        <f t="shared" ca="1" si="210"/>
        <v>0.64651010245831664</v>
      </c>
      <c r="E3719" s="101">
        <f t="shared" ca="1" si="211"/>
        <v>0</v>
      </c>
      <c r="F3719" s="21">
        <f t="shared" ca="1" si="212"/>
        <v>0</v>
      </c>
      <c r="H3719" s="21">
        <v>3704</v>
      </c>
      <c r="I3719" s="102">
        <v>0.66787499371597536</v>
      </c>
      <c r="J3719" s="103">
        <v>1.4428058686547108E-3</v>
      </c>
      <c r="K3719" s="103"/>
      <c r="L3719" s="103">
        <v>4.58E-2</v>
      </c>
      <c r="O3719" s="100"/>
    </row>
    <row r="3720" spans="2:15" x14ac:dyDescent="0.2">
      <c r="B3720" s="1">
        <v>3705</v>
      </c>
      <c r="C3720" s="101">
        <f ca="1"/>
        <v>0.40464553936165409</v>
      </c>
      <c r="D3720" s="101">
        <f t="shared" ca="1" si="210"/>
        <v>0.69156207005794057</v>
      </c>
      <c r="E3720" s="101">
        <f t="shared" ca="1" si="211"/>
        <v>0</v>
      </c>
      <c r="F3720" s="21">
        <f t="shared" ca="1" si="212"/>
        <v>0</v>
      </c>
      <c r="H3720" s="21">
        <v>3705</v>
      </c>
      <c r="I3720" s="102">
        <v>0.6676700137191488</v>
      </c>
      <c r="J3720" s="103">
        <v>1.3441171603395651E-3</v>
      </c>
      <c r="K3720" s="103"/>
      <c r="L3720" s="103">
        <v>4.0800000000000003E-2</v>
      </c>
      <c r="O3720" s="100"/>
    </row>
    <row r="3721" spans="2:15" x14ac:dyDescent="0.2">
      <c r="B3721" s="1">
        <v>3706</v>
      </c>
      <c r="C3721" s="101">
        <f ca="1"/>
        <v>-1.1831274137234553</v>
      </c>
      <c r="D3721" s="101">
        <f t="shared" ca="1" si="210"/>
        <v>0.59130554441768746</v>
      </c>
      <c r="E3721" s="101">
        <f t="shared" ca="1" si="211"/>
        <v>0</v>
      </c>
      <c r="F3721" s="21">
        <f t="shared" ca="1" si="212"/>
        <v>0</v>
      </c>
      <c r="H3721" s="21">
        <v>3706</v>
      </c>
      <c r="I3721" s="102">
        <v>0.6678467948707858</v>
      </c>
      <c r="J3721" s="103">
        <v>1.3304108749700775E-3</v>
      </c>
      <c r="K3721" s="103"/>
      <c r="L3721" s="103">
        <v>4.02E-2</v>
      </c>
      <c r="O3721" s="100"/>
    </row>
    <row r="3722" spans="2:15" x14ac:dyDescent="0.2">
      <c r="B3722" s="1">
        <v>3707</v>
      </c>
      <c r="C3722" s="101">
        <f ca="1"/>
        <v>-1.732178053598644</v>
      </c>
      <c r="D3722" s="101">
        <f t="shared" ca="1" si="210"/>
        <v>0.56013274283173475</v>
      </c>
      <c r="E3722" s="101">
        <f t="shared" ca="1" si="211"/>
        <v>0</v>
      </c>
      <c r="F3722" s="21">
        <f t="shared" ca="1" si="212"/>
        <v>0</v>
      </c>
      <c r="H3722" s="21">
        <v>3707</v>
      </c>
      <c r="I3722" s="102">
        <v>0.66770142936370824</v>
      </c>
      <c r="J3722" s="103">
        <v>1.3844104451002351E-3</v>
      </c>
      <c r="K3722" s="103"/>
      <c r="L3722" s="103">
        <v>3.9800000000000002E-2</v>
      </c>
      <c r="O3722" s="100"/>
    </row>
    <row r="3723" spans="2:15" x14ac:dyDescent="0.2">
      <c r="B3723" s="1">
        <v>3708</v>
      </c>
      <c r="C3723" s="101">
        <f ca="1"/>
        <v>0.19211257217526223</v>
      </c>
      <c r="D3723" s="101">
        <f t="shared" ca="1" si="210"/>
        <v>0.67721471208418238</v>
      </c>
      <c r="E3723" s="101">
        <f t="shared" ca="1" si="211"/>
        <v>0</v>
      </c>
      <c r="F3723" s="21">
        <f t="shared" ca="1" si="212"/>
        <v>0</v>
      </c>
      <c r="H3723" s="21">
        <v>3708</v>
      </c>
      <c r="I3723" s="102">
        <v>0.66766647120142075</v>
      </c>
      <c r="J3723" s="103">
        <v>1.1649412041775135E-3</v>
      </c>
      <c r="K3723" s="103"/>
      <c r="L3723" s="103">
        <v>3.8800000000000001E-2</v>
      </c>
      <c r="O3723" s="100"/>
    </row>
    <row r="3724" spans="2:15" x14ac:dyDescent="0.2">
      <c r="B3724" s="1">
        <v>3709</v>
      </c>
      <c r="C3724" s="101">
        <f ca="1"/>
        <v>-0.97082944383969227</v>
      </c>
      <c r="D3724" s="101">
        <f t="shared" ca="1" si="210"/>
        <v>0.6038188481373451</v>
      </c>
      <c r="E3724" s="101">
        <f t="shared" ca="1" si="211"/>
        <v>0</v>
      </c>
      <c r="F3724" s="21">
        <f t="shared" ca="1" si="212"/>
        <v>0</v>
      </c>
      <c r="H3724" s="21">
        <v>3709</v>
      </c>
      <c r="I3724" s="102">
        <v>0.66769684304411303</v>
      </c>
      <c r="J3724" s="103">
        <v>1.2018242141004758E-3</v>
      </c>
      <c r="K3724" s="103"/>
      <c r="L3724" s="103">
        <v>4.1200000000000001E-2</v>
      </c>
      <c r="O3724" s="100"/>
    </row>
    <row r="3725" spans="2:15" x14ac:dyDescent="0.2">
      <c r="B3725" s="1">
        <v>3710</v>
      </c>
      <c r="C3725" s="101">
        <f ca="1"/>
        <v>0.9639586073032903</v>
      </c>
      <c r="D3725" s="101">
        <f t="shared" ca="1" si="210"/>
        <v>0.7307886482683762</v>
      </c>
      <c r="E3725" s="101">
        <f t="shared" ca="1" si="211"/>
        <v>0</v>
      </c>
      <c r="F3725" s="21">
        <f t="shared" ca="1" si="212"/>
        <v>0</v>
      </c>
      <c r="H3725" s="21">
        <v>3710</v>
      </c>
      <c r="I3725" s="102">
        <v>0.66773591366427332</v>
      </c>
      <c r="J3725" s="103">
        <v>1.3764561216631072E-3</v>
      </c>
      <c r="K3725" s="103"/>
      <c r="L3725" s="103">
        <v>3.9800000000000002E-2</v>
      </c>
      <c r="O3725" s="100"/>
    </row>
    <row r="3726" spans="2:15" x14ac:dyDescent="0.2">
      <c r="B3726" s="1">
        <v>3711</v>
      </c>
      <c r="C3726" s="101">
        <f ca="1"/>
        <v>0.30394541748335963</v>
      </c>
      <c r="D3726" s="101">
        <f t="shared" ca="1" si="210"/>
        <v>0.68472665513299547</v>
      </c>
      <c r="E3726" s="101">
        <f t="shared" ca="1" si="211"/>
        <v>0</v>
      </c>
      <c r="F3726" s="21">
        <f t="shared" ca="1" si="212"/>
        <v>0</v>
      </c>
      <c r="H3726" s="21">
        <v>3711</v>
      </c>
      <c r="I3726" s="102">
        <v>0.66767819893480695</v>
      </c>
      <c r="J3726" s="103">
        <v>1.1932175900228029E-3</v>
      </c>
      <c r="K3726" s="103"/>
      <c r="L3726" s="103">
        <v>3.9199999999999999E-2</v>
      </c>
      <c r="O3726" s="100"/>
    </row>
    <row r="3727" spans="2:15" x14ac:dyDescent="0.2">
      <c r="B3727" s="1">
        <v>3712</v>
      </c>
      <c r="C3727" s="101">
        <f ca="1"/>
        <v>0.61899039342926221</v>
      </c>
      <c r="D3727" s="101">
        <f t="shared" ca="1" si="210"/>
        <v>0.70633961939230461</v>
      </c>
      <c r="E3727" s="101">
        <f t="shared" ca="1" si="211"/>
        <v>0</v>
      </c>
      <c r="F3727" s="21">
        <f t="shared" ca="1" si="212"/>
        <v>0</v>
      </c>
      <c r="H3727" s="21">
        <v>3712</v>
      </c>
      <c r="I3727" s="102">
        <v>0.6677826502686528</v>
      </c>
      <c r="J3727" s="103">
        <v>1.3699978616995311E-3</v>
      </c>
      <c r="K3727" s="103"/>
      <c r="L3727" s="103">
        <v>4.2599999999999999E-2</v>
      </c>
      <c r="O3727" s="100"/>
    </row>
    <row r="3728" spans="2:15" x14ac:dyDescent="0.2">
      <c r="B3728" s="1">
        <v>3713</v>
      </c>
      <c r="C3728" s="101">
        <f ca="1"/>
        <v>-0.76867527072399056</v>
      </c>
      <c r="D3728" s="101">
        <f t="shared" ref="D3728:D3791" ca="1" si="213">S0*EXP((μ-0.5*σ*σ)*T+σ*SQRT(T)*$C3728)</f>
        <v>0.61598030356650924</v>
      </c>
      <c r="E3728" s="101">
        <f t="shared" ref="E3728:E3791" ca="1" si="214">MAX(0,CP*(D3728-K))</f>
        <v>0</v>
      </c>
      <c r="F3728" s="21">
        <f t="shared" ref="F3728:F3791" ca="1" si="215">(CP*(D3728-K)&gt;0)*1</f>
        <v>0</v>
      </c>
      <c r="H3728" s="21">
        <v>3713</v>
      </c>
      <c r="I3728" s="102">
        <v>0.66762721829206972</v>
      </c>
      <c r="J3728" s="103">
        <v>1.4196534483380833E-3</v>
      </c>
      <c r="K3728" s="103"/>
      <c r="L3728" s="103">
        <v>4.2799999999999998E-2</v>
      </c>
      <c r="O3728" s="100"/>
    </row>
    <row r="3729" spans="2:15" x14ac:dyDescent="0.2">
      <c r="B3729" s="1">
        <v>3714</v>
      </c>
      <c r="C3729" s="101">
        <f ca="1"/>
        <v>0.23407461393117868</v>
      </c>
      <c r="D3729" s="101">
        <f t="shared" ca="1" si="213"/>
        <v>0.68002364275761784</v>
      </c>
      <c r="E3729" s="101">
        <f t="shared" ca="1" si="214"/>
        <v>0</v>
      </c>
      <c r="F3729" s="21">
        <f t="shared" ca="1" si="215"/>
        <v>0</v>
      </c>
      <c r="H3729" s="21">
        <v>3714</v>
      </c>
      <c r="I3729" s="102">
        <v>0.66772817903951853</v>
      </c>
      <c r="J3729" s="103">
        <v>1.4024350335323172E-3</v>
      </c>
      <c r="K3729" s="103"/>
      <c r="L3729" s="103">
        <v>4.0399999999999998E-2</v>
      </c>
      <c r="O3729" s="100"/>
    </row>
    <row r="3730" spans="2:15" x14ac:dyDescent="0.2">
      <c r="B3730" s="1">
        <v>3715</v>
      </c>
      <c r="C3730" s="101">
        <f ca="1"/>
        <v>-0.16780079021106431</v>
      </c>
      <c r="D3730" s="101">
        <f t="shared" ca="1" si="213"/>
        <v>0.65359379091035341</v>
      </c>
      <c r="E3730" s="101">
        <f t="shared" ca="1" si="214"/>
        <v>0</v>
      </c>
      <c r="F3730" s="21">
        <f t="shared" ca="1" si="215"/>
        <v>0</v>
      </c>
      <c r="H3730" s="21">
        <v>3715</v>
      </c>
      <c r="I3730" s="102">
        <v>0.66786908849687177</v>
      </c>
      <c r="J3730" s="103">
        <v>1.5021523102912698E-3</v>
      </c>
      <c r="K3730" s="103"/>
      <c r="L3730" s="103">
        <v>4.3799999999999999E-2</v>
      </c>
      <c r="O3730" s="100"/>
    </row>
    <row r="3731" spans="2:15" x14ac:dyDescent="0.2">
      <c r="B3731" s="1">
        <v>3716</v>
      </c>
      <c r="C3731" s="101">
        <f ca="1"/>
        <v>0.4765233033385658</v>
      </c>
      <c r="D3731" s="101">
        <f t="shared" ca="1" si="213"/>
        <v>0.69648275017955186</v>
      </c>
      <c r="E3731" s="101">
        <f t="shared" ca="1" si="214"/>
        <v>0</v>
      </c>
      <c r="F3731" s="21">
        <f t="shared" ca="1" si="215"/>
        <v>0</v>
      </c>
      <c r="H3731" s="21">
        <v>3716</v>
      </c>
      <c r="I3731" s="102">
        <v>0.6676930904520737</v>
      </c>
      <c r="J3731" s="103">
        <v>1.2295303969764556E-3</v>
      </c>
      <c r="K3731" s="103"/>
      <c r="L3731" s="103">
        <v>3.9800000000000002E-2</v>
      </c>
      <c r="O3731" s="100"/>
    </row>
    <row r="3732" spans="2:15" x14ac:dyDescent="0.2">
      <c r="B3732" s="1">
        <v>3717</v>
      </c>
      <c r="C3732" s="101">
        <f ca="1"/>
        <v>-0.52014586848537814</v>
      </c>
      <c r="D3732" s="101">
        <f t="shared" ca="1" si="213"/>
        <v>0.63126785038117761</v>
      </c>
      <c r="E3732" s="101">
        <f t="shared" ca="1" si="214"/>
        <v>0</v>
      </c>
      <c r="F3732" s="21">
        <f t="shared" ca="1" si="215"/>
        <v>0</v>
      </c>
      <c r="H3732" s="21">
        <v>3717</v>
      </c>
      <c r="I3732" s="102">
        <v>0.66770630182771629</v>
      </c>
      <c r="J3732" s="103">
        <v>1.3499818292077418E-3</v>
      </c>
      <c r="K3732" s="103"/>
      <c r="L3732" s="103">
        <v>4.0399999999999998E-2</v>
      </c>
      <c r="O3732" s="100"/>
    </row>
    <row r="3733" spans="2:15" x14ac:dyDescent="0.2">
      <c r="B3733" s="1">
        <v>3718</v>
      </c>
      <c r="C3733" s="101">
        <f ca="1"/>
        <v>-0.4002597008508047</v>
      </c>
      <c r="D3733" s="101">
        <f t="shared" ca="1" si="213"/>
        <v>0.6387773691203118</v>
      </c>
      <c r="E3733" s="101">
        <f t="shared" ca="1" si="214"/>
        <v>0</v>
      </c>
      <c r="F3733" s="21">
        <f t="shared" ca="1" si="215"/>
        <v>0</v>
      </c>
      <c r="H3733" s="21">
        <v>3718</v>
      </c>
      <c r="I3733" s="102">
        <v>0.66776031985903905</v>
      </c>
      <c r="J3733" s="103">
        <v>1.5417981733758181E-3</v>
      </c>
      <c r="K3733" s="103"/>
      <c r="L3733" s="103">
        <v>4.24E-2</v>
      </c>
      <c r="O3733" s="100"/>
    </row>
    <row r="3734" spans="2:15" x14ac:dyDescent="0.2">
      <c r="B3734" s="1">
        <v>3719</v>
      </c>
      <c r="C3734" s="101">
        <f ca="1"/>
        <v>1.0646772347078861</v>
      </c>
      <c r="D3734" s="101">
        <f t="shared" ca="1" si="213"/>
        <v>0.73808523316498365</v>
      </c>
      <c r="E3734" s="101">
        <f t="shared" ca="1" si="214"/>
        <v>0</v>
      </c>
      <c r="F3734" s="21">
        <f t="shared" ca="1" si="215"/>
        <v>0</v>
      </c>
      <c r="H3734" s="21">
        <v>3719</v>
      </c>
      <c r="I3734" s="102">
        <v>0.66784209515243453</v>
      </c>
      <c r="J3734" s="103">
        <v>1.4435985978332835E-3</v>
      </c>
      <c r="K3734" s="103"/>
      <c r="L3734" s="103">
        <v>4.3799999999999999E-2</v>
      </c>
      <c r="O3734" s="100"/>
    </row>
    <row r="3735" spans="2:15" x14ac:dyDescent="0.2">
      <c r="B3735" s="1">
        <v>3720</v>
      </c>
      <c r="C3735" s="101">
        <f ca="1"/>
        <v>-5.6892192495740221E-2</v>
      </c>
      <c r="D3735" s="101">
        <f t="shared" ca="1" si="213"/>
        <v>0.66078347530365178</v>
      </c>
      <c r="E3735" s="101">
        <f t="shared" ca="1" si="214"/>
        <v>0</v>
      </c>
      <c r="F3735" s="21">
        <f t="shared" ca="1" si="215"/>
        <v>0</v>
      </c>
      <c r="H3735" s="21">
        <v>3720</v>
      </c>
      <c r="I3735" s="102">
        <v>0.6677658370692825</v>
      </c>
      <c r="J3735" s="103">
        <v>1.3750274537600714E-3</v>
      </c>
      <c r="K3735" s="103"/>
      <c r="L3735" s="103">
        <v>4.2799999999999998E-2</v>
      </c>
      <c r="O3735" s="100"/>
    </row>
    <row r="3736" spans="2:15" x14ac:dyDescent="0.2">
      <c r="B3736" s="1">
        <v>3721</v>
      </c>
      <c r="C3736" s="101">
        <f ca="1"/>
        <v>2.395094150055161</v>
      </c>
      <c r="D3736" s="101">
        <f t="shared" ca="1" si="213"/>
        <v>0.84159036911584539</v>
      </c>
      <c r="E3736" s="101">
        <f t="shared" ca="1" si="214"/>
        <v>5.3390369115845382E-2</v>
      </c>
      <c r="F3736" s="21">
        <f t="shared" ca="1" si="215"/>
        <v>1</v>
      </c>
      <c r="H3736" s="21">
        <v>3721</v>
      </c>
      <c r="I3736" s="102">
        <v>0.66775560766700814</v>
      </c>
      <c r="J3736" s="103">
        <v>1.3867322311706253E-3</v>
      </c>
      <c r="K3736" s="103"/>
      <c r="L3736" s="103">
        <v>4.24E-2</v>
      </c>
      <c r="O3736" s="100"/>
    </row>
    <row r="3737" spans="2:15" x14ac:dyDescent="0.2">
      <c r="B3737" s="1">
        <v>3722</v>
      </c>
      <c r="C3737" s="101">
        <f ca="1"/>
        <v>-0.21362152942952128</v>
      </c>
      <c r="D3737" s="101">
        <f t="shared" ca="1" si="213"/>
        <v>0.6506463316343496</v>
      </c>
      <c r="E3737" s="101">
        <f t="shared" ca="1" si="214"/>
        <v>0</v>
      </c>
      <c r="F3737" s="21">
        <f t="shared" ca="1" si="215"/>
        <v>0</v>
      </c>
      <c r="H3737" s="21">
        <v>3722</v>
      </c>
      <c r="I3737" s="102">
        <v>0.66759168176010919</v>
      </c>
      <c r="J3737" s="103">
        <v>1.2985530119887048E-3</v>
      </c>
      <c r="K3737" s="103"/>
      <c r="L3737" s="103">
        <v>3.8199999999999998E-2</v>
      </c>
      <c r="O3737" s="100"/>
    </row>
    <row r="3738" spans="2:15" x14ac:dyDescent="0.2">
      <c r="B3738" s="1">
        <v>3723</v>
      </c>
      <c r="C3738" s="101">
        <f ca="1"/>
        <v>2.9933372156299409</v>
      </c>
      <c r="D3738" s="101">
        <f t="shared" ca="1" si="213"/>
        <v>0.89274848323787204</v>
      </c>
      <c r="E3738" s="101">
        <f t="shared" ca="1" si="214"/>
        <v>0.10454848323787203</v>
      </c>
      <c r="F3738" s="21">
        <f t="shared" ca="1" si="215"/>
        <v>1</v>
      </c>
      <c r="H3738" s="21">
        <v>3723</v>
      </c>
      <c r="I3738" s="102">
        <v>0.66780314527927875</v>
      </c>
      <c r="J3738" s="103">
        <v>1.4314989831343962E-3</v>
      </c>
      <c r="K3738" s="103"/>
      <c r="L3738" s="103">
        <v>4.1200000000000001E-2</v>
      </c>
      <c r="O3738" s="100"/>
    </row>
    <row r="3739" spans="2:15" x14ac:dyDescent="0.2">
      <c r="B3739" s="1">
        <v>3724</v>
      </c>
      <c r="C3739" s="101">
        <f ca="1"/>
        <v>0.3500639943795284</v>
      </c>
      <c r="D3739" s="101">
        <f t="shared" ca="1" si="213"/>
        <v>0.6878487080002863</v>
      </c>
      <c r="E3739" s="101">
        <f t="shared" ca="1" si="214"/>
        <v>0</v>
      </c>
      <c r="F3739" s="21">
        <f t="shared" ca="1" si="215"/>
        <v>0</v>
      </c>
      <c r="H3739" s="21">
        <v>3724</v>
      </c>
      <c r="I3739" s="102">
        <v>0.66760264408273595</v>
      </c>
      <c r="J3739" s="103">
        <v>1.1256795841863702E-3</v>
      </c>
      <c r="K3739" s="103"/>
      <c r="L3739" s="103">
        <v>3.56E-2</v>
      </c>
      <c r="O3739" s="100"/>
    </row>
    <row r="3740" spans="2:15" x14ac:dyDescent="0.2">
      <c r="B3740" s="1">
        <v>3725</v>
      </c>
      <c r="C3740" s="101">
        <f ca="1"/>
        <v>0.4540469710338052</v>
      </c>
      <c r="D3740" s="101">
        <f t="shared" ca="1" si="213"/>
        <v>0.69494029212549058</v>
      </c>
      <c r="E3740" s="101">
        <f t="shared" ca="1" si="214"/>
        <v>0</v>
      </c>
      <c r="F3740" s="21">
        <f t="shared" ca="1" si="215"/>
        <v>0</v>
      </c>
      <c r="H3740" s="21">
        <v>3725</v>
      </c>
      <c r="I3740" s="102">
        <v>0.66757520950368543</v>
      </c>
      <c r="J3740" s="103">
        <v>1.2665477183638626E-3</v>
      </c>
      <c r="K3740" s="103"/>
      <c r="L3740" s="103">
        <v>3.78E-2</v>
      </c>
      <c r="O3740" s="100"/>
    </row>
    <row r="3741" spans="2:15" x14ac:dyDescent="0.2">
      <c r="B3741" s="1">
        <v>3726</v>
      </c>
      <c r="C3741" s="101">
        <f ca="1"/>
        <v>0.76208077821038112</v>
      </c>
      <c r="D3741" s="101">
        <f t="shared" ca="1" si="213"/>
        <v>0.71638003005351292</v>
      </c>
      <c r="E3741" s="101">
        <f t="shared" ca="1" si="214"/>
        <v>0</v>
      </c>
      <c r="F3741" s="21">
        <f t="shared" ca="1" si="215"/>
        <v>0</v>
      </c>
      <c r="H3741" s="21">
        <v>3726</v>
      </c>
      <c r="I3741" s="102">
        <v>0.6676823270723935</v>
      </c>
      <c r="J3741" s="103">
        <v>1.3279993429103245E-3</v>
      </c>
      <c r="K3741" s="103"/>
      <c r="L3741" s="103">
        <v>3.8399999999999997E-2</v>
      </c>
      <c r="O3741" s="100"/>
    </row>
    <row r="3742" spans="2:15" x14ac:dyDescent="0.2">
      <c r="B3742" s="1">
        <v>3727</v>
      </c>
      <c r="C3742" s="101">
        <f ca="1"/>
        <v>-0.67887281009556655</v>
      </c>
      <c r="D3742" s="101">
        <f t="shared" ca="1" si="213"/>
        <v>0.62146104007935821</v>
      </c>
      <c r="E3742" s="101">
        <f t="shared" ca="1" si="214"/>
        <v>0</v>
      </c>
      <c r="F3742" s="21">
        <f t="shared" ca="1" si="215"/>
        <v>0</v>
      </c>
      <c r="H3742" s="21">
        <v>3727</v>
      </c>
      <c r="I3742" s="102">
        <v>0.66753500518408004</v>
      </c>
      <c r="J3742" s="103">
        <v>1.1253905708733204E-3</v>
      </c>
      <c r="K3742" s="103"/>
      <c r="L3742" s="103">
        <v>3.7199999999999997E-2</v>
      </c>
      <c r="O3742" s="100"/>
    </row>
    <row r="3743" spans="2:15" x14ac:dyDescent="0.2">
      <c r="B3743" s="1">
        <v>3728</v>
      </c>
      <c r="C3743" s="101">
        <f ca="1"/>
        <v>0.25603527337651266</v>
      </c>
      <c r="D3743" s="101">
        <f t="shared" ca="1" si="213"/>
        <v>0.68149832606954575</v>
      </c>
      <c r="E3743" s="101">
        <f t="shared" ca="1" si="214"/>
        <v>0</v>
      </c>
      <c r="F3743" s="21">
        <f t="shared" ca="1" si="215"/>
        <v>0</v>
      </c>
      <c r="H3743" s="21">
        <v>3728</v>
      </c>
      <c r="I3743" s="102">
        <v>0.6677135549186638</v>
      </c>
      <c r="J3743" s="103">
        <v>1.2969426186177013E-3</v>
      </c>
      <c r="K3743" s="103"/>
      <c r="L3743" s="103">
        <v>4.1599999999999998E-2</v>
      </c>
      <c r="O3743" s="100"/>
    </row>
    <row r="3744" spans="2:15" x14ac:dyDescent="0.2">
      <c r="B3744" s="1">
        <v>3729</v>
      </c>
      <c r="C3744" s="101">
        <f ca="1"/>
        <v>1.7493179221115098</v>
      </c>
      <c r="D3744" s="101">
        <f t="shared" ca="1" si="213"/>
        <v>0.78965265779910498</v>
      </c>
      <c r="E3744" s="101">
        <f t="shared" ca="1" si="214"/>
        <v>1.4526577991049727E-3</v>
      </c>
      <c r="F3744" s="21">
        <f t="shared" ca="1" si="215"/>
        <v>1</v>
      </c>
      <c r="H3744" s="21">
        <v>3729</v>
      </c>
      <c r="I3744" s="102">
        <v>0.66754928224650634</v>
      </c>
      <c r="J3744" s="103">
        <v>1.1060179539482398E-3</v>
      </c>
      <c r="K3744" s="103"/>
      <c r="L3744" s="103">
        <v>3.9199999999999999E-2</v>
      </c>
      <c r="O3744" s="100"/>
    </row>
    <row r="3745" spans="2:15" x14ac:dyDescent="0.2">
      <c r="B3745" s="1">
        <v>3730</v>
      </c>
      <c r="C3745" s="101">
        <f ca="1"/>
        <v>0.21355337928233192</v>
      </c>
      <c r="D3745" s="101">
        <f t="shared" ca="1" si="213"/>
        <v>0.67864850275780486</v>
      </c>
      <c r="E3745" s="101">
        <f t="shared" ca="1" si="214"/>
        <v>0</v>
      </c>
      <c r="F3745" s="21">
        <f t="shared" ca="1" si="215"/>
        <v>0</v>
      </c>
      <c r="H3745" s="21">
        <v>3730</v>
      </c>
      <c r="I3745" s="102">
        <v>0.66778281430132613</v>
      </c>
      <c r="J3745" s="103">
        <v>1.4196970626106009E-3</v>
      </c>
      <c r="K3745" s="103"/>
      <c r="L3745" s="103">
        <v>4.2599999999999999E-2</v>
      </c>
      <c r="O3745" s="100"/>
    </row>
    <row r="3746" spans="2:15" x14ac:dyDescent="0.2">
      <c r="B3746" s="1">
        <v>3731</v>
      </c>
      <c r="C3746" s="101">
        <f ca="1"/>
        <v>-0.37392903634466007</v>
      </c>
      <c r="D3746" s="101">
        <f t="shared" ca="1" si="213"/>
        <v>0.6404386166889896</v>
      </c>
      <c r="E3746" s="101">
        <f t="shared" ca="1" si="214"/>
        <v>0</v>
      </c>
      <c r="F3746" s="21">
        <f t="shared" ca="1" si="215"/>
        <v>0</v>
      </c>
      <c r="H3746" s="21">
        <v>3731</v>
      </c>
      <c r="I3746" s="102">
        <v>0.66761901062573492</v>
      </c>
      <c r="J3746" s="103">
        <v>1.272606697019464E-3</v>
      </c>
      <c r="K3746" s="103"/>
      <c r="L3746" s="103">
        <v>4.02E-2</v>
      </c>
      <c r="O3746" s="100"/>
    </row>
    <row r="3747" spans="2:15" x14ac:dyDescent="0.2">
      <c r="B3747" s="1">
        <v>3732</v>
      </c>
      <c r="C3747" s="101">
        <f ca="1"/>
        <v>-0.44273555973727263</v>
      </c>
      <c r="D3747" s="101">
        <f t="shared" ca="1" si="213"/>
        <v>0.63610657083209277</v>
      </c>
      <c r="E3747" s="101">
        <f t="shared" ca="1" si="214"/>
        <v>0</v>
      </c>
      <c r="F3747" s="21">
        <f t="shared" ca="1" si="215"/>
        <v>0</v>
      </c>
      <c r="H3747" s="21">
        <v>3732</v>
      </c>
      <c r="I3747" s="102">
        <v>0.66801492368983029</v>
      </c>
      <c r="J3747" s="103">
        <v>1.8050370438891135E-3</v>
      </c>
      <c r="K3747" s="103"/>
      <c r="L3747" s="103">
        <v>4.9200000000000001E-2</v>
      </c>
      <c r="O3747" s="100"/>
    </row>
    <row r="3748" spans="2:15" x14ac:dyDescent="0.2">
      <c r="B3748" s="1">
        <v>3733</v>
      </c>
      <c r="C3748" s="101">
        <f ca="1"/>
        <v>1.1116684830198349</v>
      </c>
      <c r="D3748" s="101">
        <f t="shared" ca="1" si="213"/>
        <v>0.74151440561647164</v>
      </c>
      <c r="E3748" s="101">
        <f t="shared" ca="1" si="214"/>
        <v>0</v>
      </c>
      <c r="F3748" s="21">
        <f t="shared" ca="1" si="215"/>
        <v>0</v>
      </c>
      <c r="H3748" s="21">
        <v>3733</v>
      </c>
      <c r="I3748" s="102">
        <v>0.6677452461013299</v>
      </c>
      <c r="J3748" s="103">
        <v>1.4557274139998205E-3</v>
      </c>
      <c r="K3748" s="103"/>
      <c r="L3748" s="103">
        <v>4.2999999999999997E-2</v>
      </c>
      <c r="O3748" s="100"/>
    </row>
    <row r="3749" spans="2:15" x14ac:dyDescent="0.2">
      <c r="B3749" s="1">
        <v>3734</v>
      </c>
      <c r="C3749" s="101">
        <f ca="1"/>
        <v>-0.44596410921913093</v>
      </c>
      <c r="D3749" s="101">
        <f t="shared" ca="1" si="213"/>
        <v>0.63590402324370721</v>
      </c>
      <c r="E3749" s="101">
        <f t="shared" ca="1" si="214"/>
        <v>0</v>
      </c>
      <c r="F3749" s="21">
        <f t="shared" ca="1" si="215"/>
        <v>0</v>
      </c>
      <c r="H3749" s="21">
        <v>3734</v>
      </c>
      <c r="I3749" s="102">
        <v>0.66781781213560309</v>
      </c>
      <c r="J3749" s="103">
        <v>1.4094439784863547E-3</v>
      </c>
      <c r="K3749" s="103"/>
      <c r="L3749" s="103">
        <v>4.4400000000000002E-2</v>
      </c>
      <c r="O3749" s="100"/>
    </row>
    <row r="3750" spans="2:15" x14ac:dyDescent="0.2">
      <c r="B3750" s="1">
        <v>3735</v>
      </c>
      <c r="C3750" s="101">
        <f ca="1"/>
        <v>0.54593493424088213</v>
      </c>
      <c r="D3750" s="101">
        <f t="shared" ca="1" si="213"/>
        <v>0.70126782946530963</v>
      </c>
      <c r="E3750" s="101">
        <f t="shared" ca="1" si="214"/>
        <v>0</v>
      </c>
      <c r="F3750" s="21">
        <f t="shared" ca="1" si="215"/>
        <v>0</v>
      </c>
      <c r="H3750" s="21">
        <v>3735</v>
      </c>
      <c r="I3750" s="102">
        <v>0.66779377867523304</v>
      </c>
      <c r="J3750" s="103">
        <v>1.4486770128300421E-3</v>
      </c>
      <c r="K3750" s="103"/>
      <c r="L3750" s="103">
        <v>4.2799999999999998E-2</v>
      </c>
      <c r="O3750" s="100"/>
    </row>
    <row r="3751" spans="2:15" x14ac:dyDescent="0.2">
      <c r="B3751" s="1">
        <v>3736</v>
      </c>
      <c r="C3751" s="101">
        <f ca="1"/>
        <v>0.16361114646598418</v>
      </c>
      <c r="D3751" s="101">
        <f t="shared" ca="1" si="213"/>
        <v>0.67531345204061954</v>
      </c>
      <c r="E3751" s="101">
        <f t="shared" ca="1" si="214"/>
        <v>0</v>
      </c>
      <c r="F3751" s="21">
        <f t="shared" ca="1" si="215"/>
        <v>0</v>
      </c>
      <c r="H3751" s="21">
        <v>3736</v>
      </c>
      <c r="I3751" s="102">
        <v>0.66758358465716117</v>
      </c>
      <c r="J3751" s="103">
        <v>1.1379690024122366E-3</v>
      </c>
      <c r="K3751" s="103"/>
      <c r="L3751" s="103">
        <v>0.04</v>
      </c>
      <c r="O3751" s="100"/>
    </row>
    <row r="3752" spans="2:15" x14ac:dyDescent="0.2">
      <c r="B3752" s="1">
        <v>3737</v>
      </c>
      <c r="C3752" s="101">
        <f ca="1"/>
        <v>1.1053182086923816</v>
      </c>
      <c r="D3752" s="101">
        <f t="shared" ca="1" si="213"/>
        <v>0.74105006682536123</v>
      </c>
      <c r="E3752" s="101">
        <f t="shared" ca="1" si="214"/>
        <v>0</v>
      </c>
      <c r="F3752" s="21">
        <f t="shared" ca="1" si="215"/>
        <v>0</v>
      </c>
      <c r="H3752" s="21">
        <v>3737</v>
      </c>
      <c r="I3752" s="102">
        <v>0.66784656294866296</v>
      </c>
      <c r="J3752" s="103">
        <v>1.5292032986639929E-3</v>
      </c>
      <c r="K3752" s="103"/>
      <c r="L3752" s="103">
        <v>4.2200000000000001E-2</v>
      </c>
      <c r="O3752" s="100"/>
    </row>
    <row r="3753" spans="2:15" x14ac:dyDescent="0.2">
      <c r="B3753" s="1">
        <v>3738</v>
      </c>
      <c r="C3753" s="101">
        <f ca="1"/>
        <v>-0.25389859438809226</v>
      </c>
      <c r="D3753" s="101">
        <f t="shared" ca="1" si="213"/>
        <v>0.6480664530646203</v>
      </c>
      <c r="E3753" s="101">
        <f t="shared" ca="1" si="214"/>
        <v>0</v>
      </c>
      <c r="F3753" s="21">
        <f t="shared" ca="1" si="215"/>
        <v>0</v>
      </c>
      <c r="H3753" s="21">
        <v>3738</v>
      </c>
      <c r="I3753" s="102">
        <v>0.66784646928095981</v>
      </c>
      <c r="J3753" s="103">
        <v>1.5601991152240919E-3</v>
      </c>
      <c r="K3753" s="103"/>
      <c r="L3753" s="103">
        <v>4.7E-2</v>
      </c>
      <c r="O3753" s="100"/>
    </row>
    <row r="3754" spans="2:15" x14ac:dyDescent="0.2">
      <c r="B3754" s="1">
        <v>3739</v>
      </c>
      <c r="C3754" s="101">
        <f ca="1"/>
        <v>-0.93717777516057932</v>
      </c>
      <c r="D3754" s="101">
        <f t="shared" ca="1" si="213"/>
        <v>0.6058265220604625</v>
      </c>
      <c r="E3754" s="101">
        <f t="shared" ca="1" si="214"/>
        <v>0</v>
      </c>
      <c r="F3754" s="21">
        <f t="shared" ca="1" si="215"/>
        <v>0</v>
      </c>
      <c r="H3754" s="21">
        <v>3739</v>
      </c>
      <c r="I3754" s="102">
        <v>0.66766009584547759</v>
      </c>
      <c r="J3754" s="103">
        <v>1.1949787639487235E-3</v>
      </c>
      <c r="K3754" s="103"/>
      <c r="L3754" s="103">
        <v>4.2799999999999998E-2</v>
      </c>
      <c r="O3754" s="100"/>
    </row>
    <row r="3755" spans="2:15" x14ac:dyDescent="0.2">
      <c r="B3755" s="1">
        <v>3740</v>
      </c>
      <c r="C3755" s="101">
        <f ca="1"/>
        <v>0.65091701769305288</v>
      </c>
      <c r="D3755" s="101">
        <f t="shared" ca="1" si="213"/>
        <v>0.70856759025459481</v>
      </c>
      <c r="E3755" s="101">
        <f t="shared" ca="1" si="214"/>
        <v>0</v>
      </c>
      <c r="F3755" s="21">
        <f t="shared" ca="1" si="215"/>
        <v>0</v>
      </c>
      <c r="H3755" s="21">
        <v>3740</v>
      </c>
      <c r="I3755" s="102">
        <v>0.66771491019724005</v>
      </c>
      <c r="J3755" s="103">
        <v>1.2619005395617907E-3</v>
      </c>
      <c r="K3755" s="103"/>
      <c r="L3755" s="103">
        <v>3.8399999999999997E-2</v>
      </c>
      <c r="O3755" s="100"/>
    </row>
    <row r="3756" spans="2:15" x14ac:dyDescent="0.2">
      <c r="B3756" s="1">
        <v>3741</v>
      </c>
      <c r="C3756" s="101">
        <f ca="1"/>
        <v>-1.831120030233377</v>
      </c>
      <c r="D3756" s="101">
        <f t="shared" ca="1" si="213"/>
        <v>0.55469256795733979</v>
      </c>
      <c r="E3756" s="101">
        <f t="shared" ca="1" si="214"/>
        <v>0</v>
      </c>
      <c r="F3756" s="21">
        <f t="shared" ca="1" si="215"/>
        <v>0</v>
      </c>
      <c r="H3756" s="21">
        <v>3741</v>
      </c>
      <c r="I3756" s="102">
        <v>0.66782222209975994</v>
      </c>
      <c r="J3756" s="103">
        <v>1.3468053844336158E-3</v>
      </c>
      <c r="K3756" s="103"/>
      <c r="L3756" s="103">
        <v>4.36E-2</v>
      </c>
      <c r="O3756" s="100"/>
    </row>
    <row r="3757" spans="2:15" x14ac:dyDescent="0.2">
      <c r="B3757" s="1">
        <v>3742</v>
      </c>
      <c r="C3757" s="101">
        <f ca="1"/>
        <v>0.21802778307174595</v>
      </c>
      <c r="D3757" s="101">
        <f t="shared" ca="1" si="213"/>
        <v>0.67894809793225852</v>
      </c>
      <c r="E3757" s="101">
        <f t="shared" ca="1" si="214"/>
        <v>0</v>
      </c>
      <c r="F3757" s="21">
        <f t="shared" ca="1" si="215"/>
        <v>0</v>
      </c>
      <c r="H3757" s="21">
        <v>3742</v>
      </c>
      <c r="I3757" s="102">
        <v>0.66768790802327571</v>
      </c>
      <c r="J3757" s="103">
        <v>1.3157041621757841E-3</v>
      </c>
      <c r="K3757" s="103"/>
      <c r="L3757" s="103">
        <v>4.2200000000000001E-2</v>
      </c>
      <c r="O3757" s="100"/>
    </row>
    <row r="3758" spans="2:15" x14ac:dyDescent="0.2">
      <c r="B3758" s="1">
        <v>3743</v>
      </c>
      <c r="C3758" s="101">
        <f ca="1"/>
        <v>-1.4662597015767507</v>
      </c>
      <c r="D3758" s="101">
        <f t="shared" ca="1" si="213"/>
        <v>0.57501971961933207</v>
      </c>
      <c r="E3758" s="101">
        <f t="shared" ca="1" si="214"/>
        <v>0</v>
      </c>
      <c r="F3758" s="21">
        <f t="shared" ca="1" si="215"/>
        <v>0</v>
      </c>
      <c r="H3758" s="21">
        <v>3743</v>
      </c>
      <c r="I3758" s="102">
        <v>0.66769505827386966</v>
      </c>
      <c r="J3758" s="103">
        <v>1.3656878765488103E-3</v>
      </c>
      <c r="K3758" s="103"/>
      <c r="L3758" s="103">
        <v>3.8399999999999997E-2</v>
      </c>
      <c r="O3758" s="100"/>
    </row>
    <row r="3759" spans="2:15" x14ac:dyDescent="0.2">
      <c r="B3759" s="1">
        <v>3744</v>
      </c>
      <c r="C3759" s="101">
        <f ca="1"/>
        <v>-0.67720510616715213</v>
      </c>
      <c r="D3759" s="101">
        <f t="shared" ca="1" si="213"/>
        <v>0.62156328164285435</v>
      </c>
      <c r="E3759" s="101">
        <f t="shared" ca="1" si="214"/>
        <v>0</v>
      </c>
      <c r="F3759" s="21">
        <f t="shared" ca="1" si="215"/>
        <v>0</v>
      </c>
      <c r="H3759" s="21">
        <v>3744</v>
      </c>
      <c r="I3759" s="102">
        <v>0.66790289327615593</v>
      </c>
      <c r="J3759" s="103">
        <v>1.5881925747070077E-3</v>
      </c>
      <c r="K3759" s="103"/>
      <c r="L3759" s="103">
        <v>4.2000000000000003E-2</v>
      </c>
      <c r="O3759" s="100"/>
    </row>
    <row r="3760" spans="2:15" x14ac:dyDescent="0.2">
      <c r="B3760" s="1">
        <v>3745</v>
      </c>
      <c r="C3760" s="101">
        <f ca="1"/>
        <v>1.0376433629443622</v>
      </c>
      <c r="D3760" s="101">
        <f t="shared" ca="1" si="213"/>
        <v>0.73611963500007227</v>
      </c>
      <c r="E3760" s="101">
        <f t="shared" ca="1" si="214"/>
        <v>0</v>
      </c>
      <c r="F3760" s="21">
        <f t="shared" ca="1" si="215"/>
        <v>0</v>
      </c>
      <c r="H3760" s="21">
        <v>3745</v>
      </c>
      <c r="I3760" s="102">
        <v>0.66777662431209539</v>
      </c>
      <c r="J3760" s="103">
        <v>1.3857992820737585E-3</v>
      </c>
      <c r="K3760" s="103"/>
      <c r="L3760" s="103">
        <v>4.5999999999999999E-2</v>
      </c>
      <c r="O3760" s="100"/>
    </row>
    <row r="3761" spans="2:15" x14ac:dyDescent="0.2">
      <c r="B3761" s="1">
        <v>3746</v>
      </c>
      <c r="C3761" s="101">
        <f ca="1"/>
        <v>-0.86885685831591752</v>
      </c>
      <c r="D3761" s="101">
        <f t="shared" ca="1" si="213"/>
        <v>0.60992313661279296</v>
      </c>
      <c r="E3761" s="101">
        <f t="shared" ca="1" si="214"/>
        <v>0</v>
      </c>
      <c r="F3761" s="21">
        <f t="shared" ca="1" si="215"/>
        <v>0</v>
      </c>
      <c r="H3761" s="21">
        <v>3746</v>
      </c>
      <c r="I3761" s="102">
        <v>0.66780208083399262</v>
      </c>
      <c r="J3761" s="103">
        <v>1.3565744342057349E-3</v>
      </c>
      <c r="K3761" s="103"/>
      <c r="L3761" s="103">
        <v>4.1599999999999998E-2</v>
      </c>
      <c r="O3761" s="100"/>
    </row>
    <row r="3762" spans="2:15" x14ac:dyDescent="0.2">
      <c r="B3762" s="1">
        <v>3747</v>
      </c>
      <c r="C3762" s="101">
        <f ca="1"/>
        <v>0.60411388305888547</v>
      </c>
      <c r="D3762" s="101">
        <f t="shared" ca="1" si="213"/>
        <v>0.70530386943108714</v>
      </c>
      <c r="E3762" s="101">
        <f t="shared" ca="1" si="214"/>
        <v>0</v>
      </c>
      <c r="F3762" s="21">
        <f t="shared" ca="1" si="215"/>
        <v>0</v>
      </c>
      <c r="H3762" s="21">
        <v>3747</v>
      </c>
      <c r="I3762" s="102">
        <v>0.66765900265550449</v>
      </c>
      <c r="J3762" s="103">
        <v>1.1908628387492278E-3</v>
      </c>
      <c r="K3762" s="103"/>
      <c r="L3762" s="103">
        <v>3.8600000000000002E-2</v>
      </c>
      <c r="O3762" s="100"/>
    </row>
    <row r="3763" spans="2:15" x14ac:dyDescent="0.2">
      <c r="B3763" s="1">
        <v>3748</v>
      </c>
      <c r="C3763" s="101">
        <f ca="1"/>
        <v>0.78487623683344299</v>
      </c>
      <c r="D3763" s="101">
        <f t="shared" ca="1" si="213"/>
        <v>0.7179926761472647</v>
      </c>
      <c r="E3763" s="101">
        <f t="shared" ca="1" si="214"/>
        <v>0</v>
      </c>
      <c r="F3763" s="21">
        <f t="shared" ca="1" si="215"/>
        <v>0</v>
      </c>
      <c r="H3763" s="21">
        <v>3748</v>
      </c>
      <c r="I3763" s="102">
        <v>0.66766875756061439</v>
      </c>
      <c r="J3763" s="103">
        <v>1.3608938676620322E-3</v>
      </c>
      <c r="K3763" s="103"/>
      <c r="L3763" s="103">
        <v>4.1200000000000001E-2</v>
      </c>
      <c r="O3763" s="100"/>
    </row>
    <row r="3764" spans="2:15" x14ac:dyDescent="0.2">
      <c r="B3764" s="1">
        <v>3749</v>
      </c>
      <c r="C3764" s="101">
        <f ca="1"/>
        <v>-1.5350477748821507</v>
      </c>
      <c r="D3764" s="101">
        <f t="shared" ca="1" si="213"/>
        <v>0.57113121876739803</v>
      </c>
      <c r="E3764" s="101">
        <f t="shared" ca="1" si="214"/>
        <v>0</v>
      </c>
      <c r="F3764" s="21">
        <f t="shared" ca="1" si="215"/>
        <v>0</v>
      </c>
      <c r="H3764" s="21">
        <v>3749</v>
      </c>
      <c r="I3764" s="102">
        <v>0.667618071447726</v>
      </c>
      <c r="J3764" s="103">
        <v>1.0971572395861661E-3</v>
      </c>
      <c r="K3764" s="103"/>
      <c r="L3764" s="103">
        <v>3.7400000000000003E-2</v>
      </c>
      <c r="O3764" s="100"/>
    </row>
    <row r="3765" spans="2:15" x14ac:dyDescent="0.2">
      <c r="B3765" s="1">
        <v>3750</v>
      </c>
      <c r="C3765" s="101">
        <f ca="1"/>
        <v>0.51445344410170557</v>
      </c>
      <c r="D3765" s="101">
        <f t="shared" ca="1" si="213"/>
        <v>0.69909350702271134</v>
      </c>
      <c r="E3765" s="101">
        <f t="shared" ca="1" si="214"/>
        <v>0</v>
      </c>
      <c r="F3765" s="21">
        <f t="shared" ca="1" si="215"/>
        <v>0</v>
      </c>
      <c r="H3765" s="21">
        <v>3750</v>
      </c>
      <c r="I3765" s="102">
        <v>0.66782275014589099</v>
      </c>
      <c r="J3765" s="103">
        <v>1.5113267615965904E-3</v>
      </c>
      <c r="K3765" s="103"/>
      <c r="L3765" s="103">
        <v>4.24E-2</v>
      </c>
      <c r="O3765" s="100"/>
    </row>
    <row r="3766" spans="2:15" x14ac:dyDescent="0.2">
      <c r="B3766" s="1">
        <v>3751</v>
      </c>
      <c r="C3766" s="101">
        <f ca="1"/>
        <v>-0.30973011686957608</v>
      </c>
      <c r="D3766" s="101">
        <f t="shared" ca="1" si="213"/>
        <v>0.64450716967930599</v>
      </c>
      <c r="E3766" s="101">
        <f t="shared" ca="1" si="214"/>
        <v>0</v>
      </c>
      <c r="F3766" s="21">
        <f t="shared" ca="1" si="215"/>
        <v>0</v>
      </c>
      <c r="H3766" s="21">
        <v>3751</v>
      </c>
      <c r="I3766" s="102">
        <v>0.66782525351958222</v>
      </c>
      <c r="J3766" s="103">
        <v>1.6132380980752711E-3</v>
      </c>
      <c r="K3766" s="103"/>
      <c r="L3766" s="103">
        <v>4.36E-2</v>
      </c>
      <c r="O3766" s="100"/>
    </row>
    <row r="3767" spans="2:15" x14ac:dyDescent="0.2">
      <c r="B3767" s="1">
        <v>3752</v>
      </c>
      <c r="C3767" s="101">
        <f ca="1"/>
        <v>0.943462200603992</v>
      </c>
      <c r="D3767" s="101">
        <f t="shared" ca="1" si="213"/>
        <v>0.72931263768846299</v>
      </c>
      <c r="E3767" s="101">
        <f t="shared" ca="1" si="214"/>
        <v>0</v>
      </c>
      <c r="F3767" s="21">
        <f t="shared" ca="1" si="215"/>
        <v>0</v>
      </c>
      <c r="H3767" s="21">
        <v>3752</v>
      </c>
      <c r="I3767" s="102">
        <v>0.66787819218389421</v>
      </c>
      <c r="J3767" s="103">
        <v>1.5583723466271317E-3</v>
      </c>
      <c r="K3767" s="103"/>
      <c r="L3767" s="103">
        <v>4.48E-2</v>
      </c>
      <c r="O3767" s="100"/>
    </row>
    <row r="3768" spans="2:15" x14ac:dyDescent="0.2">
      <c r="B3768" s="1">
        <v>3753</v>
      </c>
      <c r="C3768" s="101">
        <f ca="1"/>
        <v>0.3262934485226085</v>
      </c>
      <c r="D3768" s="101">
        <f t="shared" ca="1" si="213"/>
        <v>0.68623775851261259</v>
      </c>
      <c r="E3768" s="101">
        <f t="shared" ca="1" si="214"/>
        <v>0</v>
      </c>
      <c r="F3768" s="21">
        <f t="shared" ca="1" si="215"/>
        <v>0</v>
      </c>
      <c r="H3768" s="21">
        <v>3753</v>
      </c>
      <c r="I3768" s="102">
        <v>0.66763467648678643</v>
      </c>
      <c r="J3768" s="103">
        <v>1.276679602582797E-3</v>
      </c>
      <c r="K3768" s="103"/>
      <c r="L3768" s="103">
        <v>4.0399999999999998E-2</v>
      </c>
      <c r="O3768" s="100"/>
    </row>
    <row r="3769" spans="2:15" x14ac:dyDescent="0.2">
      <c r="B3769" s="1">
        <v>3754</v>
      </c>
      <c r="C3769" s="101">
        <f ca="1"/>
        <v>0.36788013245050627</v>
      </c>
      <c r="D3769" s="101">
        <f t="shared" ca="1" si="213"/>
        <v>0.68905860129075558</v>
      </c>
      <c r="E3769" s="101">
        <f t="shared" ca="1" si="214"/>
        <v>0</v>
      </c>
      <c r="F3769" s="21">
        <f t="shared" ca="1" si="215"/>
        <v>0</v>
      </c>
      <c r="H3769" s="21">
        <v>3754</v>
      </c>
      <c r="I3769" s="102">
        <v>0.66779066553149102</v>
      </c>
      <c r="J3769" s="103">
        <v>1.5171652987321566E-3</v>
      </c>
      <c r="K3769" s="103"/>
      <c r="L3769" s="103">
        <v>4.2599999999999999E-2</v>
      </c>
      <c r="O3769" s="100"/>
    </row>
    <row r="3770" spans="2:15" x14ac:dyDescent="0.2">
      <c r="B3770" s="1">
        <v>3755</v>
      </c>
      <c r="C3770" s="101">
        <f ca="1"/>
        <v>0.274157074459632</v>
      </c>
      <c r="D3770" s="101">
        <f t="shared" ca="1" si="213"/>
        <v>0.68271763365134708</v>
      </c>
      <c r="E3770" s="101">
        <f t="shared" ca="1" si="214"/>
        <v>0</v>
      </c>
      <c r="F3770" s="21">
        <f t="shared" ca="1" si="215"/>
        <v>0</v>
      </c>
      <c r="H3770" s="21">
        <v>3755</v>
      </c>
      <c r="I3770" s="102">
        <v>0.66765803896900477</v>
      </c>
      <c r="J3770" s="103">
        <v>1.3135894580816015E-3</v>
      </c>
      <c r="K3770" s="103"/>
      <c r="L3770" s="103">
        <v>3.9399999999999998E-2</v>
      </c>
      <c r="O3770" s="100"/>
    </row>
    <row r="3771" spans="2:15" x14ac:dyDescent="0.2">
      <c r="B3771" s="1">
        <v>3756</v>
      </c>
      <c r="C3771" s="101">
        <f ca="1"/>
        <v>-1.9027046495511661</v>
      </c>
      <c r="D3771" s="101">
        <f t="shared" ca="1" si="213"/>
        <v>0.55078956797585588</v>
      </c>
      <c r="E3771" s="101">
        <f t="shared" ca="1" si="214"/>
        <v>0</v>
      </c>
      <c r="F3771" s="21">
        <f t="shared" ca="1" si="215"/>
        <v>0</v>
      </c>
      <c r="H3771" s="21">
        <v>3756</v>
      </c>
      <c r="I3771" s="102">
        <v>0.66770824183999755</v>
      </c>
      <c r="J3771" s="103">
        <v>1.3237158794828366E-3</v>
      </c>
      <c r="K3771" s="103"/>
      <c r="L3771" s="103">
        <v>4.0800000000000003E-2</v>
      </c>
      <c r="O3771" s="100"/>
    </row>
    <row r="3772" spans="2:15" x14ac:dyDescent="0.2">
      <c r="B3772" s="1">
        <v>3757</v>
      </c>
      <c r="C3772" s="101">
        <f ca="1"/>
        <v>0.28385709487516259</v>
      </c>
      <c r="D3772" s="101">
        <f t="shared" ca="1" si="213"/>
        <v>0.68337118611664815</v>
      </c>
      <c r="E3772" s="101">
        <f t="shared" ca="1" si="214"/>
        <v>0</v>
      </c>
      <c r="F3772" s="21">
        <f t="shared" ca="1" si="215"/>
        <v>0</v>
      </c>
      <c r="H3772" s="21">
        <v>3757</v>
      </c>
      <c r="I3772" s="102">
        <v>0.66759610566830097</v>
      </c>
      <c r="J3772" s="103">
        <v>1.2531475417072481E-3</v>
      </c>
      <c r="K3772" s="103"/>
      <c r="L3772" s="103">
        <v>4.0599999999999997E-2</v>
      </c>
      <c r="O3772" s="100"/>
    </row>
    <row r="3773" spans="2:15" x14ac:dyDescent="0.2">
      <c r="B3773" s="1">
        <v>3758</v>
      </c>
      <c r="C3773" s="101">
        <f ca="1"/>
        <v>1.0772176073899689</v>
      </c>
      <c r="D3773" s="101">
        <f t="shared" ca="1" si="213"/>
        <v>0.73899880878026281</v>
      </c>
      <c r="E3773" s="101">
        <f t="shared" ca="1" si="214"/>
        <v>0</v>
      </c>
      <c r="F3773" s="21">
        <f t="shared" ca="1" si="215"/>
        <v>0</v>
      </c>
      <c r="H3773" s="21">
        <v>3758</v>
      </c>
      <c r="I3773" s="102">
        <v>0.66759401888851566</v>
      </c>
      <c r="J3773" s="103">
        <v>1.1382632342074477E-3</v>
      </c>
      <c r="K3773" s="103"/>
      <c r="L3773" s="103">
        <v>3.8199999999999998E-2</v>
      </c>
      <c r="O3773" s="100"/>
    </row>
    <row r="3774" spans="2:15" x14ac:dyDescent="0.2">
      <c r="B3774" s="1">
        <v>3759</v>
      </c>
      <c r="C3774" s="101">
        <f ca="1"/>
        <v>-2.1925973092176974</v>
      </c>
      <c r="D3774" s="101">
        <f t="shared" ca="1" si="213"/>
        <v>0.53526258021319528</v>
      </c>
      <c r="E3774" s="101">
        <f t="shared" ca="1" si="214"/>
        <v>0</v>
      </c>
      <c r="F3774" s="21">
        <f t="shared" ca="1" si="215"/>
        <v>0</v>
      </c>
      <c r="H3774" s="21">
        <v>3759</v>
      </c>
      <c r="I3774" s="102">
        <v>0.66785700653614555</v>
      </c>
      <c r="J3774" s="103">
        <v>1.5155450685376411E-3</v>
      </c>
      <c r="K3774" s="103"/>
      <c r="L3774" s="103">
        <v>4.2999999999999997E-2</v>
      </c>
      <c r="O3774" s="100"/>
    </row>
    <row r="3775" spans="2:15" x14ac:dyDescent="0.2">
      <c r="B3775" s="1">
        <v>3760</v>
      </c>
      <c r="C3775" s="101">
        <f ca="1"/>
        <v>1.9259681911082278</v>
      </c>
      <c r="D3775" s="101">
        <f t="shared" ca="1" si="213"/>
        <v>0.803532949524845</v>
      </c>
      <c r="E3775" s="101">
        <f t="shared" ca="1" si="214"/>
        <v>1.5332949524844985E-2</v>
      </c>
      <c r="F3775" s="21">
        <f t="shared" ca="1" si="215"/>
        <v>1</v>
      </c>
      <c r="H3775" s="21">
        <v>3760</v>
      </c>
      <c r="I3775" s="102">
        <v>0.6676694197198616</v>
      </c>
      <c r="J3775" s="103">
        <v>1.2680128976374824E-3</v>
      </c>
      <c r="K3775" s="103"/>
      <c r="L3775" s="103">
        <v>3.78E-2</v>
      </c>
      <c r="O3775" s="100"/>
    </row>
    <row r="3776" spans="2:15" x14ac:dyDescent="0.2">
      <c r="B3776" s="1">
        <v>3761</v>
      </c>
      <c r="C3776" s="101">
        <f ca="1"/>
        <v>2.2113661190445346</v>
      </c>
      <c r="D3776" s="101">
        <f t="shared" ca="1" si="213"/>
        <v>0.82647545708037617</v>
      </c>
      <c r="E3776" s="101">
        <f t="shared" ca="1" si="214"/>
        <v>3.8275457080376163E-2</v>
      </c>
      <c r="F3776" s="21">
        <f t="shared" ca="1" si="215"/>
        <v>1</v>
      </c>
      <c r="H3776" s="21">
        <v>3761</v>
      </c>
      <c r="I3776" s="102">
        <v>0.66777358748278737</v>
      </c>
      <c r="J3776" s="103">
        <v>1.3560845869764152E-3</v>
      </c>
      <c r="K3776" s="103"/>
      <c r="L3776" s="103">
        <v>4.1799999999999997E-2</v>
      </c>
      <c r="O3776" s="100"/>
    </row>
    <row r="3777" spans="2:15" x14ac:dyDescent="0.2">
      <c r="B3777" s="1">
        <v>3762</v>
      </c>
      <c r="C3777" s="101">
        <f ca="1"/>
        <v>-0.11415581337779657</v>
      </c>
      <c r="D3777" s="101">
        <f t="shared" ca="1" si="213"/>
        <v>0.65706152227135262</v>
      </c>
      <c r="E3777" s="101">
        <f t="shared" ca="1" si="214"/>
        <v>0</v>
      </c>
      <c r="F3777" s="21">
        <f t="shared" ca="1" si="215"/>
        <v>0</v>
      </c>
      <c r="H3777" s="21">
        <v>3762</v>
      </c>
      <c r="I3777" s="102">
        <v>0.66781092670441067</v>
      </c>
      <c r="J3777" s="103">
        <v>1.4638037236687361E-3</v>
      </c>
      <c r="K3777" s="103"/>
      <c r="L3777" s="103">
        <v>4.24E-2</v>
      </c>
      <c r="O3777" s="100"/>
    </row>
    <row r="3778" spans="2:15" x14ac:dyDescent="0.2">
      <c r="B3778" s="1">
        <v>3763</v>
      </c>
      <c r="C3778" s="101">
        <f ca="1"/>
        <v>-0.10387571479325342</v>
      </c>
      <c r="D3778" s="101">
        <f t="shared" ca="1" si="213"/>
        <v>0.65772814855171324</v>
      </c>
      <c r="E3778" s="101">
        <f t="shared" ca="1" si="214"/>
        <v>0</v>
      </c>
      <c r="F3778" s="21">
        <f t="shared" ca="1" si="215"/>
        <v>0</v>
      </c>
      <c r="H3778" s="21">
        <v>3763</v>
      </c>
      <c r="I3778" s="102">
        <v>0.66781036678330497</v>
      </c>
      <c r="J3778" s="103">
        <v>1.4214562999554136E-3</v>
      </c>
      <c r="K3778" s="103"/>
      <c r="L3778" s="103">
        <v>4.1599999999999998E-2</v>
      </c>
      <c r="O3778" s="100"/>
    </row>
    <row r="3779" spans="2:15" x14ac:dyDescent="0.2">
      <c r="B3779" s="1">
        <v>3764</v>
      </c>
      <c r="C3779" s="101">
        <f ca="1"/>
        <v>0.62676250525389843</v>
      </c>
      <c r="D3779" s="101">
        <f t="shared" ca="1" si="213"/>
        <v>0.70688134329071128</v>
      </c>
      <c r="E3779" s="101">
        <f t="shared" ca="1" si="214"/>
        <v>0</v>
      </c>
      <c r="F3779" s="21">
        <f t="shared" ca="1" si="215"/>
        <v>0</v>
      </c>
      <c r="H3779" s="21">
        <v>3764</v>
      </c>
      <c r="I3779" s="102">
        <v>0.66776217171779895</v>
      </c>
      <c r="J3779" s="103">
        <v>1.3324537397518454E-3</v>
      </c>
      <c r="K3779" s="103"/>
      <c r="L3779" s="103">
        <v>4.3200000000000002E-2</v>
      </c>
      <c r="O3779" s="100"/>
    </row>
    <row r="3780" spans="2:15" x14ac:dyDescent="0.2">
      <c r="B3780" s="1">
        <v>3765</v>
      </c>
      <c r="C3780" s="101">
        <f ca="1"/>
        <v>-0.35370532331755578</v>
      </c>
      <c r="D3780" s="101">
        <f t="shared" ca="1" si="213"/>
        <v>0.64171749894934083</v>
      </c>
      <c r="E3780" s="101">
        <f t="shared" ca="1" si="214"/>
        <v>0</v>
      </c>
      <c r="F3780" s="21">
        <f t="shared" ca="1" si="215"/>
        <v>0</v>
      </c>
      <c r="H3780" s="21">
        <v>3765</v>
      </c>
      <c r="I3780" s="102">
        <v>0.66787547650033441</v>
      </c>
      <c r="J3780" s="103">
        <v>1.4632917624734579E-3</v>
      </c>
      <c r="K3780" s="103"/>
      <c r="L3780" s="103">
        <v>4.3400000000000001E-2</v>
      </c>
      <c r="O3780" s="100"/>
    </row>
    <row r="3781" spans="2:15" x14ac:dyDescent="0.2">
      <c r="B3781" s="1">
        <v>3766</v>
      </c>
      <c r="C3781" s="101">
        <f ca="1"/>
        <v>1.6396577544488951</v>
      </c>
      <c r="D3781" s="101">
        <f t="shared" ca="1" si="213"/>
        <v>0.78115699751393941</v>
      </c>
      <c r="E3781" s="101">
        <f t="shared" ca="1" si="214"/>
        <v>0</v>
      </c>
      <c r="F3781" s="21">
        <f t="shared" ca="1" si="215"/>
        <v>0</v>
      </c>
      <c r="H3781" s="21">
        <v>3766</v>
      </c>
      <c r="I3781" s="102">
        <v>0.66792878336927342</v>
      </c>
      <c r="J3781" s="103">
        <v>1.5842827092832057E-3</v>
      </c>
      <c r="K3781" s="103"/>
      <c r="L3781" s="103">
        <v>4.0800000000000003E-2</v>
      </c>
      <c r="O3781" s="100"/>
    </row>
    <row r="3782" spans="2:15" x14ac:dyDescent="0.2">
      <c r="B3782" s="1">
        <v>3767</v>
      </c>
      <c r="C3782" s="101">
        <f ca="1"/>
        <v>1.6026819700451251</v>
      </c>
      <c r="D3782" s="101">
        <f t="shared" ca="1" si="213"/>
        <v>0.77831304163256665</v>
      </c>
      <c r="E3782" s="101">
        <f t="shared" ca="1" si="214"/>
        <v>0</v>
      </c>
      <c r="F3782" s="21">
        <f t="shared" ca="1" si="215"/>
        <v>0</v>
      </c>
      <c r="H3782" s="21">
        <v>3767</v>
      </c>
      <c r="I3782" s="102">
        <v>0.66765238772500324</v>
      </c>
      <c r="J3782" s="103">
        <v>1.3220546736137804E-3</v>
      </c>
      <c r="K3782" s="103"/>
      <c r="L3782" s="103">
        <v>3.6200000000000003E-2</v>
      </c>
      <c r="O3782" s="100"/>
    </row>
    <row r="3783" spans="2:15" x14ac:dyDescent="0.2">
      <c r="B3783" s="1">
        <v>3768</v>
      </c>
      <c r="C3783" s="101">
        <f ca="1"/>
        <v>-2.065373888237771</v>
      </c>
      <c r="D3783" s="101">
        <f t="shared" ca="1" si="213"/>
        <v>0.54202217698108324</v>
      </c>
      <c r="E3783" s="101">
        <f t="shared" ca="1" si="214"/>
        <v>0</v>
      </c>
      <c r="F3783" s="21">
        <f t="shared" ca="1" si="215"/>
        <v>0</v>
      </c>
      <c r="H3783" s="21">
        <v>3768</v>
      </c>
      <c r="I3783" s="102">
        <v>0.66763811972147113</v>
      </c>
      <c r="J3783" s="103">
        <v>1.2255121200229905E-3</v>
      </c>
      <c r="K3783" s="103"/>
      <c r="L3783" s="103">
        <v>4.02E-2</v>
      </c>
      <c r="O3783" s="100"/>
    </row>
    <row r="3784" spans="2:15" x14ac:dyDescent="0.2">
      <c r="B3784" s="1">
        <v>3769</v>
      </c>
      <c r="C3784" s="101">
        <f ca="1"/>
        <v>1.2604549548929225</v>
      </c>
      <c r="D3784" s="101">
        <f t="shared" ca="1" si="213"/>
        <v>0.75247749101241412</v>
      </c>
      <c r="E3784" s="101">
        <f t="shared" ca="1" si="214"/>
        <v>0</v>
      </c>
      <c r="F3784" s="21">
        <f t="shared" ca="1" si="215"/>
        <v>0</v>
      </c>
      <c r="H3784" s="21">
        <v>3769</v>
      </c>
      <c r="I3784" s="102">
        <v>0.6676786389003434</v>
      </c>
      <c r="J3784" s="103">
        <v>1.2257243416421428E-3</v>
      </c>
      <c r="K3784" s="103"/>
      <c r="L3784" s="103">
        <v>3.8600000000000002E-2</v>
      </c>
      <c r="O3784" s="100"/>
    </row>
    <row r="3785" spans="2:15" x14ac:dyDescent="0.2">
      <c r="B3785" s="1">
        <v>3770</v>
      </c>
      <c r="C3785" s="101">
        <f ca="1"/>
        <v>1.046685032118494</v>
      </c>
      <c r="D3785" s="101">
        <f t="shared" ca="1" si="213"/>
        <v>0.73677645988666185</v>
      </c>
      <c r="E3785" s="101">
        <f t="shared" ca="1" si="214"/>
        <v>0</v>
      </c>
      <c r="F3785" s="21">
        <f t="shared" ca="1" si="215"/>
        <v>0</v>
      </c>
      <c r="H3785" s="21">
        <v>3770</v>
      </c>
      <c r="I3785" s="102">
        <v>0.66771925114723718</v>
      </c>
      <c r="J3785" s="103">
        <v>1.2366825179850726E-3</v>
      </c>
      <c r="K3785" s="103"/>
      <c r="L3785" s="103">
        <v>0.04</v>
      </c>
      <c r="O3785" s="100"/>
    </row>
    <row r="3786" spans="2:15" x14ac:dyDescent="0.2">
      <c r="B3786" s="1">
        <v>3771</v>
      </c>
      <c r="C3786" s="101">
        <f ca="1"/>
        <v>-0.37797854341760623</v>
      </c>
      <c r="D3786" s="101">
        <f t="shared" ca="1" si="213"/>
        <v>0.64018284537358949</v>
      </c>
      <c r="E3786" s="101">
        <f t="shared" ca="1" si="214"/>
        <v>0</v>
      </c>
      <c r="F3786" s="21">
        <f t="shared" ca="1" si="215"/>
        <v>0</v>
      </c>
      <c r="H3786" s="21">
        <v>3771</v>
      </c>
      <c r="I3786" s="102">
        <v>0.66766390910123841</v>
      </c>
      <c r="J3786" s="103">
        <v>1.3129891499971476E-3</v>
      </c>
      <c r="K3786" s="103"/>
      <c r="L3786" s="103">
        <v>4.2200000000000001E-2</v>
      </c>
      <c r="O3786" s="100"/>
    </row>
    <row r="3787" spans="2:15" x14ac:dyDescent="0.2">
      <c r="B3787" s="1">
        <v>3772</v>
      </c>
      <c r="C3787" s="101">
        <f ca="1"/>
        <v>0.35432049177468239</v>
      </c>
      <c r="D3787" s="101">
        <f t="shared" ca="1" si="213"/>
        <v>0.68813757329980196</v>
      </c>
      <c r="E3787" s="101">
        <f t="shared" ca="1" si="214"/>
        <v>0</v>
      </c>
      <c r="F3787" s="21">
        <f t="shared" ca="1" si="215"/>
        <v>0</v>
      </c>
      <c r="H3787" s="21">
        <v>3772</v>
      </c>
      <c r="I3787" s="102">
        <v>0.6676849279364836</v>
      </c>
      <c r="J3787" s="103">
        <v>1.4645941630903481E-3</v>
      </c>
      <c r="K3787" s="103"/>
      <c r="L3787" s="103">
        <v>4.0399999999999998E-2</v>
      </c>
      <c r="O3787" s="100"/>
    </row>
    <row r="3788" spans="2:15" x14ac:dyDescent="0.2">
      <c r="B3788" s="1">
        <v>3773</v>
      </c>
      <c r="C3788" s="101">
        <f ca="1"/>
        <v>2.383650518373249</v>
      </c>
      <c r="D3788" s="101">
        <f t="shared" ca="1" si="213"/>
        <v>0.84064090526809221</v>
      </c>
      <c r="E3788" s="101">
        <f t="shared" ca="1" si="214"/>
        <v>5.2440905268092197E-2</v>
      </c>
      <c r="F3788" s="21">
        <f t="shared" ca="1" si="215"/>
        <v>1</v>
      </c>
      <c r="H3788" s="21">
        <v>3773</v>
      </c>
      <c r="I3788" s="102">
        <v>0.667595905876469</v>
      </c>
      <c r="J3788" s="103">
        <v>1.1907760408668669E-3</v>
      </c>
      <c r="K3788" s="103"/>
      <c r="L3788" s="103">
        <v>3.6799999999999999E-2</v>
      </c>
      <c r="O3788" s="100"/>
    </row>
    <row r="3789" spans="2:15" x14ac:dyDescent="0.2">
      <c r="B3789" s="1">
        <v>3774</v>
      </c>
      <c r="C3789" s="101">
        <f ca="1"/>
        <v>1.3292223521149136</v>
      </c>
      <c r="D3789" s="101">
        <f t="shared" ca="1" si="213"/>
        <v>0.75759912819941477</v>
      </c>
      <c r="E3789" s="101">
        <f t="shared" ca="1" si="214"/>
        <v>0</v>
      </c>
      <c r="F3789" s="21">
        <f t="shared" ca="1" si="215"/>
        <v>0</v>
      </c>
      <c r="H3789" s="21">
        <v>3774</v>
      </c>
      <c r="I3789" s="102">
        <v>0.66775461863078867</v>
      </c>
      <c r="J3789" s="103">
        <v>1.3774339267512946E-3</v>
      </c>
      <c r="K3789" s="103"/>
      <c r="L3789" s="103">
        <v>4.0599999999999997E-2</v>
      </c>
      <c r="O3789" s="100"/>
    </row>
    <row r="3790" spans="2:15" x14ac:dyDescent="0.2">
      <c r="B3790" s="1">
        <v>3775</v>
      </c>
      <c r="C3790" s="101">
        <f ca="1"/>
        <v>0.1155424882250885</v>
      </c>
      <c r="D3790" s="101">
        <f t="shared" ca="1" si="213"/>
        <v>0.67211899470526049</v>
      </c>
      <c r="E3790" s="101">
        <f t="shared" ca="1" si="214"/>
        <v>0</v>
      </c>
      <c r="F3790" s="21">
        <f t="shared" ca="1" si="215"/>
        <v>0</v>
      </c>
      <c r="H3790" s="21">
        <v>3775</v>
      </c>
      <c r="I3790" s="102">
        <v>0.66769121566408662</v>
      </c>
      <c r="J3790" s="103">
        <v>1.3633839277048397E-3</v>
      </c>
      <c r="K3790" s="103"/>
      <c r="L3790" s="103">
        <v>4.0599999999999997E-2</v>
      </c>
      <c r="O3790" s="100"/>
    </row>
    <row r="3791" spans="2:15" x14ac:dyDescent="0.2">
      <c r="B3791" s="1">
        <v>3776</v>
      </c>
      <c r="C3791" s="101">
        <f ca="1"/>
        <v>1.0461883695634302</v>
      </c>
      <c r="D3791" s="101">
        <f t="shared" ca="1" si="213"/>
        <v>0.73674036502161422</v>
      </c>
      <c r="E3791" s="101">
        <f t="shared" ca="1" si="214"/>
        <v>0</v>
      </c>
      <c r="F3791" s="21">
        <f t="shared" ca="1" si="215"/>
        <v>0</v>
      </c>
      <c r="H3791" s="21">
        <v>3776</v>
      </c>
      <c r="I3791" s="102">
        <v>0.6677386220598005</v>
      </c>
      <c r="J3791" s="103">
        <v>1.4781234424345788E-3</v>
      </c>
      <c r="K3791" s="103"/>
      <c r="L3791" s="103">
        <v>4.0599999999999997E-2</v>
      </c>
      <c r="O3791" s="100"/>
    </row>
    <row r="3792" spans="2:15" x14ac:dyDescent="0.2">
      <c r="B3792" s="1">
        <v>3777</v>
      </c>
      <c r="C3792" s="101">
        <f ca="1"/>
        <v>1.0030317758011866</v>
      </c>
      <c r="D3792" s="101">
        <f t="shared" ref="D3792:D3855" ca="1" si="216">S0*EXP((μ-0.5*σ*σ)*T+σ*SQRT(T)*$C3792)</f>
        <v>0.73361071011656731</v>
      </c>
      <c r="E3792" s="101">
        <f t="shared" ref="E3792:E3855" ca="1" si="217">MAX(0,CP*(D3792-K))</f>
        <v>0</v>
      </c>
      <c r="F3792" s="21">
        <f t="shared" ref="F3792:F3855" ca="1" si="218">(CP*(D3792-K)&gt;0)*1</f>
        <v>0</v>
      </c>
      <c r="H3792" s="21">
        <v>3777</v>
      </c>
      <c r="I3792" s="102">
        <v>0.66769254399567635</v>
      </c>
      <c r="J3792" s="103">
        <v>1.3834575605911172E-3</v>
      </c>
      <c r="K3792" s="103"/>
      <c r="L3792" s="103">
        <v>4.0399999999999998E-2</v>
      </c>
      <c r="O3792" s="100"/>
    </row>
    <row r="3793" spans="2:15" x14ac:dyDescent="0.2">
      <c r="B3793" s="1">
        <v>3778</v>
      </c>
      <c r="C3793" s="101">
        <f ca="1"/>
        <v>2.6695509362458146E-2</v>
      </c>
      <c r="D3793" s="101">
        <f t="shared" ca="1" si="216"/>
        <v>0.66625429135406267</v>
      </c>
      <c r="E3793" s="101">
        <f t="shared" ca="1" si="217"/>
        <v>0</v>
      </c>
      <c r="F3793" s="21">
        <f t="shared" ca="1" si="218"/>
        <v>0</v>
      </c>
      <c r="H3793" s="21">
        <v>3778</v>
      </c>
      <c r="I3793" s="102">
        <v>0.66776676032897653</v>
      </c>
      <c r="J3793" s="103">
        <v>1.2700585230353272E-3</v>
      </c>
      <c r="K3793" s="103"/>
      <c r="L3793" s="103">
        <v>4.1000000000000002E-2</v>
      </c>
      <c r="O3793" s="100"/>
    </row>
    <row r="3794" spans="2:15" x14ac:dyDescent="0.2">
      <c r="B3794" s="1">
        <v>3779</v>
      </c>
      <c r="C3794" s="101">
        <f ca="1"/>
        <v>0.39457104008916338</v>
      </c>
      <c r="D3794" s="101">
        <f t="shared" ca="1" si="216"/>
        <v>0.69087516334392218</v>
      </c>
      <c r="E3794" s="101">
        <f t="shared" ca="1" si="217"/>
        <v>0</v>
      </c>
      <c r="F3794" s="21">
        <f t="shared" ca="1" si="218"/>
        <v>0</v>
      </c>
      <c r="H3794" s="21">
        <v>3779</v>
      </c>
      <c r="I3794" s="102">
        <v>0.66769523513669859</v>
      </c>
      <c r="J3794" s="103">
        <v>1.4018292913028688E-3</v>
      </c>
      <c r="K3794" s="103"/>
      <c r="L3794" s="103">
        <v>3.9399999999999998E-2</v>
      </c>
      <c r="O3794" s="100"/>
    </row>
    <row r="3795" spans="2:15" x14ac:dyDescent="0.2">
      <c r="B3795" s="1">
        <v>3780</v>
      </c>
      <c r="C3795" s="101">
        <f ca="1"/>
        <v>-1.2715303018680264</v>
      </c>
      <c r="D3795" s="101">
        <f t="shared" ca="1" si="216"/>
        <v>0.58617167144142091</v>
      </c>
      <c r="E3795" s="101">
        <f t="shared" ca="1" si="217"/>
        <v>0</v>
      </c>
      <c r="F3795" s="21">
        <f t="shared" ca="1" si="218"/>
        <v>0</v>
      </c>
      <c r="H3795" s="21">
        <v>3780</v>
      </c>
      <c r="I3795" s="102">
        <v>0.66759448584333292</v>
      </c>
      <c r="J3795" s="103">
        <v>1.1696791479251184E-3</v>
      </c>
      <c r="K3795" s="103"/>
      <c r="L3795" s="103">
        <v>4.2000000000000003E-2</v>
      </c>
      <c r="O3795" s="100"/>
    </row>
    <row r="3796" spans="2:15" x14ac:dyDescent="0.2">
      <c r="B3796" s="1">
        <v>3781</v>
      </c>
      <c r="C3796" s="101">
        <f ca="1"/>
        <v>-0.4712012555142005</v>
      </c>
      <c r="D3796" s="101">
        <f t="shared" ca="1" si="216"/>
        <v>0.63432295629950908</v>
      </c>
      <c r="E3796" s="101">
        <f t="shared" ca="1" si="217"/>
        <v>0</v>
      </c>
      <c r="F3796" s="21">
        <f t="shared" ca="1" si="218"/>
        <v>0</v>
      </c>
      <c r="H3796" s="21">
        <v>3781</v>
      </c>
      <c r="I3796" s="102">
        <v>0.6677335742877426</v>
      </c>
      <c r="J3796" s="103">
        <v>1.249850672161156E-3</v>
      </c>
      <c r="K3796" s="103"/>
      <c r="L3796" s="103">
        <v>0.04</v>
      </c>
      <c r="O3796" s="100"/>
    </row>
    <row r="3797" spans="2:15" x14ac:dyDescent="0.2">
      <c r="B3797" s="1">
        <v>3782</v>
      </c>
      <c r="C3797" s="101">
        <f ca="1"/>
        <v>-0.1829726878810688</v>
      </c>
      <c r="D3797" s="101">
        <f t="shared" ca="1" si="216"/>
        <v>0.65261636963849212</v>
      </c>
      <c r="E3797" s="101">
        <f t="shared" ca="1" si="217"/>
        <v>0</v>
      </c>
      <c r="F3797" s="21">
        <f t="shared" ca="1" si="218"/>
        <v>0</v>
      </c>
      <c r="H3797" s="21">
        <v>3782</v>
      </c>
      <c r="I3797" s="102">
        <v>0.66769353288471756</v>
      </c>
      <c r="J3797" s="103">
        <v>1.2891962627635388E-3</v>
      </c>
      <c r="K3797" s="103"/>
      <c r="L3797" s="103">
        <v>3.8199999999999998E-2</v>
      </c>
      <c r="O3797" s="100"/>
    </row>
    <row r="3798" spans="2:15" x14ac:dyDescent="0.2">
      <c r="B3798" s="1">
        <v>3783</v>
      </c>
      <c r="C3798" s="101">
        <f ca="1"/>
        <v>0.16101383315521162</v>
      </c>
      <c r="D3798" s="101">
        <f t="shared" ca="1" si="216"/>
        <v>0.67514045725606042</v>
      </c>
      <c r="E3798" s="101">
        <f t="shared" ca="1" si="217"/>
        <v>0</v>
      </c>
      <c r="F3798" s="21">
        <f t="shared" ca="1" si="218"/>
        <v>0</v>
      </c>
      <c r="H3798" s="21">
        <v>3783</v>
      </c>
      <c r="I3798" s="102">
        <v>0.66776737001512199</v>
      </c>
      <c r="J3798" s="103">
        <v>1.4279222598743133E-3</v>
      </c>
      <c r="K3798" s="103"/>
      <c r="L3798" s="103">
        <v>4.2999999999999997E-2</v>
      </c>
      <c r="O3798" s="100"/>
    </row>
    <row r="3799" spans="2:15" x14ac:dyDescent="0.2">
      <c r="B3799" s="1">
        <v>3784</v>
      </c>
      <c r="C3799" s="101">
        <f ca="1"/>
        <v>0.34936656655004222</v>
      </c>
      <c r="D3799" s="101">
        <f t="shared" ca="1" si="216"/>
        <v>0.68780138893459164</v>
      </c>
      <c r="E3799" s="101">
        <f t="shared" ca="1" si="217"/>
        <v>0</v>
      </c>
      <c r="F3799" s="21">
        <f t="shared" ca="1" si="218"/>
        <v>0</v>
      </c>
      <c r="H3799" s="21">
        <v>3784</v>
      </c>
      <c r="I3799" s="102">
        <v>0.66772326444168439</v>
      </c>
      <c r="J3799" s="103">
        <v>1.2855931609336599E-3</v>
      </c>
      <c r="K3799" s="103"/>
      <c r="L3799" s="103">
        <v>4.1599999999999998E-2</v>
      </c>
      <c r="O3799" s="100"/>
    </row>
    <row r="3800" spans="2:15" x14ac:dyDescent="0.2">
      <c r="B3800" s="1">
        <v>3785</v>
      </c>
      <c r="C3800" s="101">
        <f ca="1"/>
        <v>0.78132410647932116</v>
      </c>
      <c r="D3800" s="101">
        <f t="shared" ca="1" si="216"/>
        <v>0.71774114502616682</v>
      </c>
      <c r="E3800" s="101">
        <f t="shared" ca="1" si="217"/>
        <v>0</v>
      </c>
      <c r="F3800" s="21">
        <f t="shared" ca="1" si="218"/>
        <v>0</v>
      </c>
      <c r="H3800" s="21">
        <v>3785</v>
      </c>
      <c r="I3800" s="102">
        <v>0.66784391257945108</v>
      </c>
      <c r="J3800" s="103">
        <v>1.4606425208107171E-3</v>
      </c>
      <c r="K3800" s="103"/>
      <c r="L3800" s="103">
        <v>4.48E-2</v>
      </c>
      <c r="O3800" s="100"/>
    </row>
    <row r="3801" spans="2:15" x14ac:dyDescent="0.2">
      <c r="B3801" s="1">
        <v>3786</v>
      </c>
      <c r="C3801" s="101">
        <f ca="1"/>
        <v>1.5614384237537615</v>
      </c>
      <c r="D3801" s="101">
        <f t="shared" ca="1" si="216"/>
        <v>0.77515304889540326</v>
      </c>
      <c r="E3801" s="101">
        <f t="shared" ca="1" si="217"/>
        <v>0</v>
      </c>
      <c r="F3801" s="21">
        <f t="shared" ca="1" si="218"/>
        <v>0</v>
      </c>
      <c r="H3801" s="21">
        <v>3786</v>
      </c>
      <c r="I3801" s="102">
        <v>0.66774061980761146</v>
      </c>
      <c r="J3801" s="103">
        <v>1.2048536793974312E-3</v>
      </c>
      <c r="K3801" s="103"/>
      <c r="L3801" s="103">
        <v>4.0599999999999997E-2</v>
      </c>
      <c r="O3801" s="100"/>
    </row>
    <row r="3802" spans="2:15" x14ac:dyDescent="0.2">
      <c r="B3802" s="1">
        <v>3787</v>
      </c>
      <c r="C3802" s="101">
        <f ca="1"/>
        <v>-0.37022929223754858</v>
      </c>
      <c r="D3802" s="101">
        <f t="shared" ca="1" si="216"/>
        <v>0.64067238592007991</v>
      </c>
      <c r="E3802" s="101">
        <f t="shared" ca="1" si="217"/>
        <v>0</v>
      </c>
      <c r="F3802" s="21">
        <f t="shared" ca="1" si="218"/>
        <v>0</v>
      </c>
      <c r="H3802" s="21">
        <v>3787</v>
      </c>
      <c r="I3802" s="102">
        <v>0.66776464611490494</v>
      </c>
      <c r="J3802" s="103">
        <v>1.3578005392630938E-3</v>
      </c>
      <c r="K3802" s="103"/>
      <c r="L3802" s="103">
        <v>4.1599999999999998E-2</v>
      </c>
      <c r="O3802" s="100"/>
    </row>
    <row r="3803" spans="2:15" x14ac:dyDescent="0.2">
      <c r="B3803" s="1">
        <v>3788</v>
      </c>
      <c r="C3803" s="101">
        <f ca="1"/>
        <v>0.50236325381285007</v>
      </c>
      <c r="D3803" s="101">
        <f t="shared" ca="1" si="216"/>
        <v>0.6982602703747488</v>
      </c>
      <c r="E3803" s="101">
        <f t="shared" ca="1" si="217"/>
        <v>0</v>
      </c>
      <c r="F3803" s="21">
        <f t="shared" ca="1" si="218"/>
        <v>0</v>
      </c>
      <c r="H3803" s="21">
        <v>3788</v>
      </c>
      <c r="I3803" s="102">
        <v>0.66779557993180672</v>
      </c>
      <c r="J3803" s="103">
        <v>1.3656752822542625E-3</v>
      </c>
      <c r="K3803" s="103"/>
      <c r="L3803" s="103">
        <v>4.3200000000000002E-2</v>
      </c>
      <c r="O3803" s="100"/>
    </row>
    <row r="3804" spans="2:15" x14ac:dyDescent="0.2">
      <c r="B3804" s="1">
        <v>3789</v>
      </c>
      <c r="C3804" s="101">
        <f ca="1"/>
        <v>-1.8829686488499231</v>
      </c>
      <c r="D3804" s="101">
        <f t="shared" ca="1" si="216"/>
        <v>0.55186288141254702</v>
      </c>
      <c r="E3804" s="101">
        <f t="shared" ca="1" si="217"/>
        <v>0</v>
      </c>
      <c r="F3804" s="21">
        <f t="shared" ca="1" si="218"/>
        <v>0</v>
      </c>
      <c r="H3804" s="21">
        <v>3789</v>
      </c>
      <c r="I3804" s="102">
        <v>0.66767312970535009</v>
      </c>
      <c r="J3804" s="103">
        <v>1.2971386805444185E-3</v>
      </c>
      <c r="K3804" s="103"/>
      <c r="L3804" s="103">
        <v>4.24E-2</v>
      </c>
      <c r="O3804" s="100"/>
    </row>
    <row r="3805" spans="2:15" x14ac:dyDescent="0.2">
      <c r="B3805" s="1">
        <v>3790</v>
      </c>
      <c r="C3805" s="101">
        <f ca="1"/>
        <v>0.64583060497098499</v>
      </c>
      <c r="D3805" s="101">
        <f t="shared" ca="1" si="216"/>
        <v>0.70821216945747412</v>
      </c>
      <c r="E3805" s="101">
        <f t="shared" ca="1" si="217"/>
        <v>0</v>
      </c>
      <c r="F3805" s="21">
        <f t="shared" ca="1" si="218"/>
        <v>0</v>
      </c>
      <c r="H3805" s="21">
        <v>3790</v>
      </c>
      <c r="I3805" s="102">
        <v>0.66764346646279027</v>
      </c>
      <c r="J3805" s="103">
        <v>1.2874839511272389E-3</v>
      </c>
      <c r="K3805" s="103"/>
      <c r="L3805" s="103">
        <v>3.9399999999999998E-2</v>
      </c>
      <c r="O3805" s="100"/>
    </row>
    <row r="3806" spans="2:15" x14ac:dyDescent="0.2">
      <c r="B3806" s="1">
        <v>3791</v>
      </c>
      <c r="C3806" s="101">
        <f ca="1"/>
        <v>-1.5972876595718668</v>
      </c>
      <c r="D3806" s="101">
        <f t="shared" ca="1" si="216"/>
        <v>0.56763554333054944</v>
      </c>
      <c r="E3806" s="101">
        <f t="shared" ca="1" si="217"/>
        <v>0</v>
      </c>
      <c r="F3806" s="21">
        <f t="shared" ca="1" si="218"/>
        <v>0</v>
      </c>
      <c r="H3806" s="21">
        <v>3791</v>
      </c>
      <c r="I3806" s="102">
        <v>0.66769506304529536</v>
      </c>
      <c r="J3806" s="103">
        <v>1.3599421931098116E-3</v>
      </c>
      <c r="K3806" s="103"/>
      <c r="L3806" s="103">
        <v>4.2200000000000001E-2</v>
      </c>
      <c r="O3806" s="100"/>
    </row>
    <row r="3807" spans="2:15" x14ac:dyDescent="0.2">
      <c r="B3807" s="1">
        <v>3792</v>
      </c>
      <c r="C3807" s="101">
        <f ca="1"/>
        <v>-0.72155253487510662</v>
      </c>
      <c r="D3807" s="101">
        <f t="shared" ca="1" si="216"/>
        <v>0.61885019830708488</v>
      </c>
      <c r="E3807" s="101">
        <f t="shared" ca="1" si="217"/>
        <v>0</v>
      </c>
      <c r="F3807" s="21">
        <f t="shared" ca="1" si="218"/>
        <v>0</v>
      </c>
      <c r="H3807" s="21">
        <v>3792</v>
      </c>
      <c r="I3807" s="102">
        <v>0.66783513316873289</v>
      </c>
      <c r="J3807" s="103">
        <v>1.5646414137517465E-3</v>
      </c>
      <c r="K3807" s="103"/>
      <c r="L3807" s="103">
        <v>4.4400000000000002E-2</v>
      </c>
      <c r="O3807" s="100"/>
    </row>
    <row r="3808" spans="2:15" x14ac:dyDescent="0.2">
      <c r="B3808" s="1">
        <v>3793</v>
      </c>
      <c r="C3808" s="101">
        <f ca="1"/>
        <v>0.46363089289889975</v>
      </c>
      <c r="D3808" s="101">
        <f t="shared" ca="1" si="216"/>
        <v>0.69559757899772867</v>
      </c>
      <c r="E3808" s="101">
        <f t="shared" ca="1" si="217"/>
        <v>0</v>
      </c>
      <c r="F3808" s="21">
        <f t="shared" ca="1" si="218"/>
        <v>0</v>
      </c>
      <c r="H3808" s="21">
        <v>3793</v>
      </c>
      <c r="I3808" s="102">
        <v>0.66766728863164115</v>
      </c>
      <c r="J3808" s="103">
        <v>1.3140073367489697E-3</v>
      </c>
      <c r="K3808" s="103"/>
      <c r="L3808" s="103">
        <v>4.0599999999999997E-2</v>
      </c>
      <c r="O3808" s="100"/>
    </row>
    <row r="3809" spans="2:15" x14ac:dyDescent="0.2">
      <c r="B3809" s="1">
        <v>3794</v>
      </c>
      <c r="C3809" s="101">
        <f ca="1"/>
        <v>-1.2807872522768498</v>
      </c>
      <c r="D3809" s="101">
        <f t="shared" ca="1" si="216"/>
        <v>0.58563667191467128</v>
      </c>
      <c r="E3809" s="101">
        <f t="shared" ca="1" si="217"/>
        <v>0</v>
      </c>
      <c r="F3809" s="21">
        <f t="shared" ca="1" si="218"/>
        <v>0</v>
      </c>
      <c r="H3809" s="21">
        <v>3794</v>
      </c>
      <c r="I3809" s="102">
        <v>0.66778045980282519</v>
      </c>
      <c r="J3809" s="103">
        <v>1.48476548453257E-3</v>
      </c>
      <c r="K3809" s="103"/>
      <c r="L3809" s="103">
        <v>4.2000000000000003E-2</v>
      </c>
      <c r="O3809" s="100"/>
    </row>
    <row r="3810" spans="2:15" x14ac:dyDescent="0.2">
      <c r="B3810" s="1">
        <v>3795</v>
      </c>
      <c r="C3810" s="101">
        <f ca="1"/>
        <v>1.0058320659307738</v>
      </c>
      <c r="D3810" s="101">
        <f t="shared" ca="1" si="216"/>
        <v>0.73381337923390155</v>
      </c>
      <c r="E3810" s="101">
        <f t="shared" ca="1" si="217"/>
        <v>0</v>
      </c>
      <c r="F3810" s="21">
        <f t="shared" ca="1" si="218"/>
        <v>0</v>
      </c>
      <c r="H3810" s="21">
        <v>3795</v>
      </c>
      <c r="I3810" s="102">
        <v>0.66771246277046825</v>
      </c>
      <c r="J3810" s="103">
        <v>1.5365119543200973E-3</v>
      </c>
      <c r="K3810" s="103"/>
      <c r="L3810" s="103">
        <v>4.1399999999999999E-2</v>
      </c>
      <c r="O3810" s="100"/>
    </row>
    <row r="3811" spans="2:15" x14ac:dyDescent="0.2">
      <c r="B3811" s="1">
        <v>3796</v>
      </c>
      <c r="C3811" s="101">
        <f ca="1"/>
        <v>-1.0826412544560116</v>
      </c>
      <c r="D3811" s="101">
        <f t="shared" ca="1" si="216"/>
        <v>0.59719576093821414</v>
      </c>
      <c r="E3811" s="101">
        <f t="shared" ca="1" si="217"/>
        <v>0</v>
      </c>
      <c r="F3811" s="21">
        <f t="shared" ca="1" si="218"/>
        <v>0</v>
      </c>
      <c r="H3811" s="21">
        <v>3796</v>
      </c>
      <c r="I3811" s="102">
        <v>0.66749715398628318</v>
      </c>
      <c r="J3811" s="103">
        <v>1.2125681525709544E-3</v>
      </c>
      <c r="K3811" s="103"/>
      <c r="L3811" s="103">
        <v>3.6600000000000001E-2</v>
      </c>
      <c r="O3811" s="100"/>
    </row>
    <row r="3812" spans="2:15" x14ac:dyDescent="0.2">
      <c r="B3812" s="1">
        <v>3797</v>
      </c>
      <c r="C3812" s="101">
        <f ca="1"/>
        <v>1.2358184721286767</v>
      </c>
      <c r="D3812" s="101">
        <f t="shared" ca="1" si="216"/>
        <v>0.7506510589572587</v>
      </c>
      <c r="E3812" s="101">
        <f t="shared" ca="1" si="217"/>
        <v>0</v>
      </c>
      <c r="F3812" s="21">
        <f t="shared" ca="1" si="218"/>
        <v>0</v>
      </c>
      <c r="H3812" s="21">
        <v>3797</v>
      </c>
      <c r="I3812" s="102">
        <v>0.66785632122251459</v>
      </c>
      <c r="J3812" s="103">
        <v>1.3833794247067547E-3</v>
      </c>
      <c r="K3812" s="103"/>
      <c r="L3812" s="103">
        <v>4.36E-2</v>
      </c>
      <c r="O3812" s="100"/>
    </row>
    <row r="3813" spans="2:15" x14ac:dyDescent="0.2">
      <c r="B3813" s="1">
        <v>3798</v>
      </c>
      <c r="C3813" s="101">
        <f ca="1"/>
        <v>-0.32183529197225186</v>
      </c>
      <c r="D3813" s="101">
        <f t="shared" ca="1" si="216"/>
        <v>0.6437380419553298</v>
      </c>
      <c r="E3813" s="101">
        <f t="shared" ca="1" si="217"/>
        <v>0</v>
      </c>
      <c r="F3813" s="21">
        <f t="shared" ca="1" si="218"/>
        <v>0</v>
      </c>
      <c r="H3813" s="21">
        <v>3798</v>
      </c>
      <c r="I3813" s="102">
        <v>0.6677932178130066</v>
      </c>
      <c r="J3813" s="103">
        <v>1.3492144944275263E-3</v>
      </c>
      <c r="K3813" s="103"/>
      <c r="L3813" s="103">
        <v>4.2000000000000003E-2</v>
      </c>
      <c r="O3813" s="100"/>
    </row>
    <row r="3814" spans="2:15" x14ac:dyDescent="0.2">
      <c r="B3814" s="1">
        <v>3799</v>
      </c>
      <c r="C3814" s="101">
        <f ca="1"/>
        <v>0.74456506382304233</v>
      </c>
      <c r="D3814" s="101">
        <f t="shared" ca="1" si="216"/>
        <v>0.71514335642635163</v>
      </c>
      <c r="E3814" s="101">
        <f t="shared" ca="1" si="217"/>
        <v>0</v>
      </c>
      <c r="F3814" s="21">
        <f t="shared" ca="1" si="218"/>
        <v>0</v>
      </c>
      <c r="H3814" s="21">
        <v>3799</v>
      </c>
      <c r="I3814" s="102">
        <v>0.66766192258478163</v>
      </c>
      <c r="J3814" s="103">
        <v>1.1422355394749679E-3</v>
      </c>
      <c r="K3814" s="103"/>
      <c r="L3814" s="103">
        <v>3.9E-2</v>
      </c>
      <c r="O3814" s="100"/>
    </row>
    <row r="3815" spans="2:15" x14ac:dyDescent="0.2">
      <c r="B3815" s="1">
        <v>3800</v>
      </c>
      <c r="C3815" s="101">
        <f ca="1"/>
        <v>-0.85233723308132403</v>
      </c>
      <c r="D3815" s="101">
        <f t="shared" ca="1" si="216"/>
        <v>0.61091782739349543</v>
      </c>
      <c r="E3815" s="101">
        <f t="shared" ca="1" si="217"/>
        <v>0</v>
      </c>
      <c r="F3815" s="21">
        <f t="shared" ca="1" si="218"/>
        <v>0</v>
      </c>
      <c r="H3815" s="21">
        <v>3800</v>
      </c>
      <c r="I3815" s="102">
        <v>0.66769894950458897</v>
      </c>
      <c r="J3815" s="103">
        <v>1.2389308511024692E-3</v>
      </c>
      <c r="K3815" s="103"/>
      <c r="L3815" s="103">
        <v>4.0800000000000003E-2</v>
      </c>
      <c r="O3815" s="100"/>
    </row>
    <row r="3816" spans="2:15" x14ac:dyDescent="0.2">
      <c r="B3816" s="1">
        <v>3801</v>
      </c>
      <c r="C3816" s="101">
        <f ca="1"/>
        <v>-1.4460213485372964</v>
      </c>
      <c r="D3816" s="101">
        <f t="shared" ca="1" si="216"/>
        <v>0.57616879991675229</v>
      </c>
      <c r="E3816" s="101">
        <f t="shared" ca="1" si="217"/>
        <v>0</v>
      </c>
      <c r="F3816" s="21">
        <f t="shared" ca="1" si="218"/>
        <v>0</v>
      </c>
      <c r="H3816" s="21">
        <v>3801</v>
      </c>
      <c r="I3816" s="102">
        <v>0.66776891768115088</v>
      </c>
      <c r="J3816" s="103">
        <v>1.3592534475952744E-3</v>
      </c>
      <c r="K3816" s="103"/>
      <c r="L3816" s="103">
        <v>4.2799999999999998E-2</v>
      </c>
      <c r="O3816" s="100"/>
    </row>
    <row r="3817" spans="2:15" x14ac:dyDescent="0.2">
      <c r="B3817" s="1">
        <v>3802</v>
      </c>
      <c r="C3817" s="101">
        <f ca="1"/>
        <v>-1.5682619991659335</v>
      </c>
      <c r="D3817" s="101">
        <f t="shared" ca="1" si="216"/>
        <v>0.56926308629152966</v>
      </c>
      <c r="E3817" s="101">
        <f t="shared" ca="1" si="217"/>
        <v>0</v>
      </c>
      <c r="F3817" s="21">
        <f t="shared" ca="1" si="218"/>
        <v>0</v>
      </c>
      <c r="H3817" s="21">
        <v>3802</v>
      </c>
      <c r="I3817" s="102">
        <v>0.66779329392471132</v>
      </c>
      <c r="J3817" s="103">
        <v>1.4334716502550434E-3</v>
      </c>
      <c r="K3817" s="103"/>
      <c r="L3817" s="103">
        <v>4.4600000000000001E-2</v>
      </c>
      <c r="O3817" s="100"/>
    </row>
    <row r="3818" spans="2:15" x14ac:dyDescent="0.2">
      <c r="B3818" s="1">
        <v>3803</v>
      </c>
      <c r="C3818" s="101">
        <f ca="1"/>
        <v>-0.27602367471990497</v>
      </c>
      <c r="D3818" s="101">
        <f t="shared" ca="1" si="216"/>
        <v>0.64665362448473895</v>
      </c>
      <c r="E3818" s="101">
        <f t="shared" ca="1" si="217"/>
        <v>0</v>
      </c>
      <c r="F3818" s="21">
        <f t="shared" ca="1" si="218"/>
        <v>0</v>
      </c>
      <c r="H3818" s="21">
        <v>3803</v>
      </c>
      <c r="I3818" s="102">
        <v>0.66777091570012559</v>
      </c>
      <c r="J3818" s="103">
        <v>1.3481783632515601E-3</v>
      </c>
      <c r="K3818" s="103"/>
      <c r="L3818" s="103">
        <v>4.1200000000000001E-2</v>
      </c>
      <c r="O3818" s="100"/>
    </row>
    <row r="3819" spans="2:15" x14ac:dyDescent="0.2">
      <c r="B3819" s="1">
        <v>3804</v>
      </c>
      <c r="C3819" s="101">
        <f ca="1"/>
        <v>-0.96589091201467869</v>
      </c>
      <c r="D3819" s="101">
        <f t="shared" ca="1" si="216"/>
        <v>0.60411306611700943</v>
      </c>
      <c r="E3819" s="101">
        <f t="shared" ca="1" si="217"/>
        <v>0</v>
      </c>
      <c r="F3819" s="21">
        <f t="shared" ca="1" si="218"/>
        <v>0</v>
      </c>
      <c r="H3819" s="21">
        <v>3804</v>
      </c>
      <c r="I3819" s="102">
        <v>0.66758380611717694</v>
      </c>
      <c r="J3819" s="103">
        <v>1.3017330852487681E-3</v>
      </c>
      <c r="K3819" s="103"/>
      <c r="L3819" s="103">
        <v>3.7400000000000003E-2</v>
      </c>
      <c r="O3819" s="100"/>
    </row>
    <row r="3820" spans="2:15" x14ac:dyDescent="0.2">
      <c r="B3820" s="1">
        <v>3805</v>
      </c>
      <c r="C3820" s="101">
        <f ca="1"/>
        <v>0.7978713974850864</v>
      </c>
      <c r="D3820" s="101">
        <f t="shared" ca="1" si="216"/>
        <v>0.71891363229177929</v>
      </c>
      <c r="E3820" s="101">
        <f t="shared" ca="1" si="217"/>
        <v>0</v>
      </c>
      <c r="F3820" s="21">
        <f t="shared" ca="1" si="218"/>
        <v>0</v>
      </c>
      <c r="H3820" s="21">
        <v>3805</v>
      </c>
      <c r="I3820" s="102">
        <v>0.6676207082479646</v>
      </c>
      <c r="J3820" s="103">
        <v>1.1982621759035524E-3</v>
      </c>
      <c r="K3820" s="103"/>
      <c r="L3820" s="103">
        <v>4.2599999999999999E-2</v>
      </c>
      <c r="O3820" s="100"/>
    </row>
    <row r="3821" spans="2:15" x14ac:dyDescent="0.2">
      <c r="B3821" s="1">
        <v>3806</v>
      </c>
      <c r="C3821" s="101">
        <f ca="1"/>
        <v>-2.4161031040795571</v>
      </c>
      <c r="D3821" s="101">
        <f t="shared" ca="1" si="216"/>
        <v>0.52359083114816041</v>
      </c>
      <c r="E3821" s="101">
        <f t="shared" ca="1" si="217"/>
        <v>0</v>
      </c>
      <c r="F3821" s="21">
        <f t="shared" ca="1" si="218"/>
        <v>0</v>
      </c>
      <c r="H3821" s="21">
        <v>3806</v>
      </c>
      <c r="I3821" s="102">
        <v>0.66769781292163211</v>
      </c>
      <c r="J3821" s="103">
        <v>1.4000724515178262E-3</v>
      </c>
      <c r="K3821" s="103"/>
      <c r="L3821" s="103">
        <v>4.3799999999999999E-2</v>
      </c>
      <c r="O3821" s="100"/>
    </row>
    <row r="3822" spans="2:15" x14ac:dyDescent="0.2">
      <c r="B3822" s="1">
        <v>3807</v>
      </c>
      <c r="C3822" s="101">
        <f ca="1"/>
        <v>0.43729225566632213</v>
      </c>
      <c r="D3822" s="101">
        <f t="shared" ca="1" si="216"/>
        <v>0.69379270777788604</v>
      </c>
      <c r="E3822" s="101">
        <f t="shared" ca="1" si="217"/>
        <v>0</v>
      </c>
      <c r="F3822" s="21">
        <f t="shared" ca="1" si="218"/>
        <v>0</v>
      </c>
      <c r="H3822" s="21">
        <v>3807</v>
      </c>
      <c r="I3822" s="102">
        <v>0.6676660845373249</v>
      </c>
      <c r="J3822" s="103">
        <v>1.3105162875630431E-3</v>
      </c>
      <c r="K3822" s="103"/>
      <c r="L3822" s="103">
        <v>4.0800000000000003E-2</v>
      </c>
      <c r="O3822" s="100"/>
    </row>
    <row r="3823" spans="2:15" x14ac:dyDescent="0.2">
      <c r="B3823" s="1">
        <v>3808</v>
      </c>
      <c r="C3823" s="101">
        <f ca="1"/>
        <v>-1.7970241030548888</v>
      </c>
      <c r="D3823" s="101">
        <f t="shared" ca="1" si="216"/>
        <v>0.55656128816293526</v>
      </c>
      <c r="E3823" s="101">
        <f t="shared" ca="1" si="217"/>
        <v>0</v>
      </c>
      <c r="F3823" s="21">
        <f t="shared" ca="1" si="218"/>
        <v>0</v>
      </c>
      <c r="H3823" s="21">
        <v>3808</v>
      </c>
      <c r="I3823" s="102">
        <v>0.66778711642985522</v>
      </c>
      <c r="J3823" s="103">
        <v>1.4348063782682677E-3</v>
      </c>
      <c r="K3823" s="103"/>
      <c r="L3823" s="103">
        <v>4.4600000000000001E-2</v>
      </c>
      <c r="O3823" s="100"/>
    </row>
    <row r="3824" spans="2:15" x14ac:dyDescent="0.2">
      <c r="B3824" s="1">
        <v>3809</v>
      </c>
      <c r="C3824" s="101">
        <f ca="1"/>
        <v>-0.70681388344519536</v>
      </c>
      <c r="D3824" s="101">
        <f t="shared" ca="1" si="216"/>
        <v>0.61975056188558708</v>
      </c>
      <c r="E3824" s="101">
        <f t="shared" ca="1" si="217"/>
        <v>0</v>
      </c>
      <c r="F3824" s="21">
        <f t="shared" ca="1" si="218"/>
        <v>0</v>
      </c>
      <c r="H3824" s="21">
        <v>3809</v>
      </c>
      <c r="I3824" s="102">
        <v>0.66746548291678742</v>
      </c>
      <c r="J3824" s="103">
        <v>1.0438372054298573E-3</v>
      </c>
      <c r="K3824" s="103"/>
      <c r="L3824" s="103">
        <v>3.56E-2</v>
      </c>
      <c r="O3824" s="100"/>
    </row>
    <row r="3825" spans="2:15" x14ac:dyDescent="0.2">
      <c r="B3825" s="1">
        <v>3810</v>
      </c>
      <c r="C3825" s="101">
        <f ca="1"/>
        <v>-1.5825133112459708</v>
      </c>
      <c r="D3825" s="101">
        <f t="shared" ca="1" si="216"/>
        <v>0.56846339650148825</v>
      </c>
      <c r="E3825" s="101">
        <f t="shared" ca="1" si="217"/>
        <v>0</v>
      </c>
      <c r="F3825" s="21">
        <f t="shared" ca="1" si="218"/>
        <v>0</v>
      </c>
      <c r="H3825" s="21">
        <v>3810</v>
      </c>
      <c r="I3825" s="102">
        <v>0.66760564970367287</v>
      </c>
      <c r="J3825" s="103">
        <v>1.0712420846102993E-3</v>
      </c>
      <c r="K3825" s="103"/>
      <c r="L3825" s="103">
        <v>3.9399999999999998E-2</v>
      </c>
      <c r="O3825" s="100"/>
    </row>
    <row r="3826" spans="2:15" x14ac:dyDescent="0.2">
      <c r="B3826" s="1">
        <v>3811</v>
      </c>
      <c r="C3826" s="101">
        <f ca="1"/>
        <v>2.872790645130225</v>
      </c>
      <c r="D3826" s="101">
        <f t="shared" ca="1" si="216"/>
        <v>0.8821957886467523</v>
      </c>
      <c r="E3826" s="101">
        <f t="shared" ca="1" si="217"/>
        <v>9.3995788646752287E-2</v>
      </c>
      <c r="F3826" s="21">
        <f t="shared" ca="1" si="218"/>
        <v>1</v>
      </c>
      <c r="H3826" s="21">
        <v>3811</v>
      </c>
      <c r="I3826" s="102">
        <v>0.66767403049843099</v>
      </c>
      <c r="J3826" s="103">
        <v>1.2261079382466151E-3</v>
      </c>
      <c r="K3826" s="103"/>
      <c r="L3826" s="103">
        <v>3.7600000000000001E-2</v>
      </c>
      <c r="O3826" s="100"/>
    </row>
    <row r="3827" spans="2:15" x14ac:dyDescent="0.2">
      <c r="B3827" s="1">
        <v>3812</v>
      </c>
      <c r="C3827" s="101">
        <f ca="1"/>
        <v>-1.4746665117672799</v>
      </c>
      <c r="D3827" s="101">
        <f t="shared" ca="1" si="216"/>
        <v>0.57454307705499263</v>
      </c>
      <c r="E3827" s="101">
        <f t="shared" ca="1" si="217"/>
        <v>0</v>
      </c>
      <c r="F3827" s="21">
        <f t="shared" ca="1" si="218"/>
        <v>0</v>
      </c>
      <c r="H3827" s="21">
        <v>3812</v>
      </c>
      <c r="I3827" s="102">
        <v>0.66773628556056641</v>
      </c>
      <c r="J3827" s="103">
        <v>1.407482569814233E-3</v>
      </c>
      <c r="K3827" s="103"/>
      <c r="L3827" s="103">
        <v>4.2000000000000003E-2</v>
      </c>
      <c r="O3827" s="100"/>
    </row>
    <row r="3828" spans="2:15" x14ac:dyDescent="0.2">
      <c r="B3828" s="1">
        <v>3813</v>
      </c>
      <c r="C3828" s="101">
        <f ca="1"/>
        <v>1.2332022140618366E-2</v>
      </c>
      <c r="D3828" s="101">
        <f t="shared" ca="1" si="216"/>
        <v>0.66531098841576108</v>
      </c>
      <c r="E3828" s="101">
        <f t="shared" ca="1" si="217"/>
        <v>0</v>
      </c>
      <c r="F3828" s="21">
        <f t="shared" ca="1" si="218"/>
        <v>0</v>
      </c>
      <c r="H3828" s="21">
        <v>3813</v>
      </c>
      <c r="I3828" s="102">
        <v>0.66775979792405238</v>
      </c>
      <c r="J3828" s="103">
        <v>1.3788372292874789E-3</v>
      </c>
      <c r="K3828" s="103"/>
      <c r="L3828" s="103">
        <v>4.0599999999999997E-2</v>
      </c>
      <c r="O3828" s="100"/>
    </row>
    <row r="3829" spans="2:15" x14ac:dyDescent="0.2">
      <c r="B3829" s="1">
        <v>3814</v>
      </c>
      <c r="C3829" s="101">
        <f ca="1"/>
        <v>0.58786295976912228</v>
      </c>
      <c r="D3829" s="101">
        <f t="shared" ca="1" si="216"/>
        <v>0.70417416413653777</v>
      </c>
      <c r="E3829" s="101">
        <f t="shared" ca="1" si="217"/>
        <v>0</v>
      </c>
      <c r="F3829" s="21">
        <f t="shared" ca="1" si="218"/>
        <v>0</v>
      </c>
      <c r="H3829" s="21">
        <v>3814</v>
      </c>
      <c r="I3829" s="102">
        <v>0.66775389114250516</v>
      </c>
      <c r="J3829" s="103">
        <v>1.3714540403982653E-3</v>
      </c>
      <c r="K3829" s="103"/>
      <c r="L3829" s="103">
        <v>4.0800000000000003E-2</v>
      </c>
      <c r="O3829" s="100"/>
    </row>
    <row r="3830" spans="2:15" x14ac:dyDescent="0.2">
      <c r="B3830" s="1">
        <v>3815</v>
      </c>
      <c r="C3830" s="101">
        <f ca="1"/>
        <v>-0.63601577957076572</v>
      </c>
      <c r="D3830" s="101">
        <f t="shared" ca="1" si="216"/>
        <v>0.62409381172684664</v>
      </c>
      <c r="E3830" s="101">
        <f t="shared" ca="1" si="217"/>
        <v>0</v>
      </c>
      <c r="F3830" s="21">
        <f t="shared" ca="1" si="218"/>
        <v>0</v>
      </c>
      <c r="H3830" s="21">
        <v>3815</v>
      </c>
      <c r="I3830" s="102">
        <v>0.66772563039651789</v>
      </c>
      <c r="J3830" s="103">
        <v>1.3410517108430075E-3</v>
      </c>
      <c r="K3830" s="103"/>
      <c r="L3830" s="103">
        <v>4.36E-2</v>
      </c>
      <c r="O3830" s="100"/>
    </row>
    <row r="3831" spans="2:15" x14ac:dyDescent="0.2">
      <c r="B3831" s="1">
        <v>3816</v>
      </c>
      <c r="C3831" s="101">
        <f ca="1"/>
        <v>1.9201515646178569</v>
      </c>
      <c r="D3831" s="101">
        <f t="shared" ca="1" si="216"/>
        <v>0.80307204689814804</v>
      </c>
      <c r="E3831" s="101">
        <f t="shared" ca="1" si="217"/>
        <v>1.4872046898148028E-2</v>
      </c>
      <c r="F3831" s="21">
        <f t="shared" ca="1" si="218"/>
        <v>1</v>
      </c>
      <c r="H3831" s="21">
        <v>3816</v>
      </c>
      <c r="I3831" s="102">
        <v>0.66768783223202011</v>
      </c>
      <c r="J3831" s="103">
        <v>1.2266123166607278E-3</v>
      </c>
      <c r="K3831" s="103"/>
      <c r="L3831" s="103">
        <v>4.1399999999999999E-2</v>
      </c>
      <c r="O3831" s="100"/>
    </row>
    <row r="3832" spans="2:15" x14ac:dyDescent="0.2">
      <c r="B3832" s="1">
        <v>3817</v>
      </c>
      <c r="C3832" s="101">
        <f ca="1"/>
        <v>0.92660927245180513</v>
      </c>
      <c r="D3832" s="101">
        <f t="shared" ca="1" si="216"/>
        <v>0.72810123906838442</v>
      </c>
      <c r="E3832" s="101">
        <f t="shared" ca="1" si="217"/>
        <v>0</v>
      </c>
      <c r="F3832" s="21">
        <f t="shared" ca="1" si="218"/>
        <v>0</v>
      </c>
      <c r="H3832" s="21">
        <v>3817</v>
      </c>
      <c r="I3832" s="102">
        <v>0.66771607657863707</v>
      </c>
      <c r="J3832" s="103">
        <v>1.2853804051796644E-3</v>
      </c>
      <c r="K3832" s="103"/>
      <c r="L3832" s="103">
        <v>4.2999999999999997E-2</v>
      </c>
      <c r="O3832" s="100"/>
    </row>
    <row r="3833" spans="2:15" x14ac:dyDescent="0.2">
      <c r="B3833" s="1">
        <v>3818</v>
      </c>
      <c r="C3833" s="101">
        <f ca="1"/>
        <v>-0.4893127015901918</v>
      </c>
      <c r="D3833" s="101">
        <f t="shared" ca="1" si="216"/>
        <v>0.63319072652121355</v>
      </c>
      <c r="E3833" s="101">
        <f t="shared" ca="1" si="217"/>
        <v>0</v>
      </c>
      <c r="F3833" s="21">
        <f t="shared" ca="1" si="218"/>
        <v>0</v>
      </c>
      <c r="H3833" s="21">
        <v>3818</v>
      </c>
      <c r="I3833" s="102">
        <v>0.66779210437866632</v>
      </c>
      <c r="J3833" s="103">
        <v>1.4074208995387746E-3</v>
      </c>
      <c r="K3833" s="103"/>
      <c r="L3833" s="103">
        <v>4.0599999999999997E-2</v>
      </c>
      <c r="O3833" s="100"/>
    </row>
    <row r="3834" spans="2:15" x14ac:dyDescent="0.2">
      <c r="B3834" s="1">
        <v>3819</v>
      </c>
      <c r="C3834" s="101">
        <f ca="1"/>
        <v>-0.86048940009798425</v>
      </c>
      <c r="D3834" s="101">
        <f t="shared" ca="1" si="216"/>
        <v>0.61042676105784222</v>
      </c>
      <c r="E3834" s="101">
        <f t="shared" ca="1" si="217"/>
        <v>0</v>
      </c>
      <c r="F3834" s="21">
        <f t="shared" ca="1" si="218"/>
        <v>0</v>
      </c>
      <c r="H3834" s="21">
        <v>3819</v>
      </c>
      <c r="I3834" s="102">
        <v>0.66765082698278444</v>
      </c>
      <c r="J3834" s="103">
        <v>1.2526821452616436E-3</v>
      </c>
      <c r="K3834" s="103"/>
      <c r="L3834" s="103">
        <v>3.8800000000000001E-2</v>
      </c>
      <c r="O3834" s="100"/>
    </row>
    <row r="3835" spans="2:15" x14ac:dyDescent="0.2">
      <c r="B3835" s="1">
        <v>3820</v>
      </c>
      <c r="C3835" s="101">
        <f ca="1"/>
        <v>-0.13130321638735248</v>
      </c>
      <c r="D3835" s="101">
        <f t="shared" ca="1" si="216"/>
        <v>0.65595107983344758</v>
      </c>
      <c r="E3835" s="101">
        <f t="shared" ca="1" si="217"/>
        <v>0</v>
      </c>
      <c r="F3835" s="21">
        <f t="shared" ca="1" si="218"/>
        <v>0</v>
      </c>
      <c r="H3835" s="21">
        <v>3820</v>
      </c>
      <c r="I3835" s="102">
        <v>0.66763402403502559</v>
      </c>
      <c r="J3835" s="103">
        <v>1.3262711736122452E-3</v>
      </c>
      <c r="K3835" s="103"/>
      <c r="L3835" s="103">
        <v>3.7999999999999999E-2</v>
      </c>
      <c r="O3835" s="100"/>
    </row>
    <row r="3836" spans="2:15" x14ac:dyDescent="0.2">
      <c r="B3836" s="1">
        <v>3821</v>
      </c>
      <c r="C3836" s="101">
        <f ca="1"/>
        <v>1.0278565960799741</v>
      </c>
      <c r="D3836" s="101">
        <f t="shared" ca="1" si="216"/>
        <v>0.73540934298413951</v>
      </c>
      <c r="E3836" s="101">
        <f t="shared" ca="1" si="217"/>
        <v>0</v>
      </c>
      <c r="F3836" s="21">
        <f t="shared" ca="1" si="218"/>
        <v>0</v>
      </c>
      <c r="H3836" s="21">
        <v>3821</v>
      </c>
      <c r="I3836" s="102">
        <v>0.66785718714408582</v>
      </c>
      <c r="J3836" s="103">
        <v>1.5668414036032834E-3</v>
      </c>
      <c r="K3836" s="103"/>
      <c r="L3836" s="103">
        <v>4.4600000000000001E-2</v>
      </c>
      <c r="O3836" s="100"/>
    </row>
    <row r="3837" spans="2:15" x14ac:dyDescent="0.2">
      <c r="B3837" s="1">
        <v>3822</v>
      </c>
      <c r="C3837" s="101">
        <f ca="1"/>
        <v>1.1866712218473678</v>
      </c>
      <c r="D3837" s="101">
        <f t="shared" ca="1" si="216"/>
        <v>0.74702074710708288</v>
      </c>
      <c r="E3837" s="101">
        <f t="shared" ca="1" si="217"/>
        <v>0</v>
      </c>
      <c r="F3837" s="21">
        <f t="shared" ca="1" si="218"/>
        <v>0</v>
      </c>
      <c r="H3837" s="21">
        <v>3822</v>
      </c>
      <c r="I3837" s="102">
        <v>0.66781168578399852</v>
      </c>
      <c r="J3837" s="103">
        <v>1.4363948774140732E-3</v>
      </c>
      <c r="K3837" s="103"/>
      <c r="L3837" s="103">
        <v>4.6199999999999998E-2</v>
      </c>
      <c r="O3837" s="100"/>
    </row>
    <row r="3838" spans="2:15" x14ac:dyDescent="0.2">
      <c r="B3838" s="1">
        <v>3823</v>
      </c>
      <c r="C3838" s="101">
        <f ca="1"/>
        <v>1.5470467931419183</v>
      </c>
      <c r="D3838" s="101">
        <f t="shared" ca="1" si="216"/>
        <v>0.77405341495510971</v>
      </c>
      <c r="E3838" s="101">
        <f t="shared" ca="1" si="217"/>
        <v>0</v>
      </c>
      <c r="F3838" s="21">
        <f t="shared" ca="1" si="218"/>
        <v>0</v>
      </c>
      <c r="H3838" s="21">
        <v>3823</v>
      </c>
      <c r="I3838" s="102">
        <v>0.66770335837659089</v>
      </c>
      <c r="J3838" s="103">
        <v>1.3588860638239536E-3</v>
      </c>
      <c r="K3838" s="103"/>
      <c r="L3838" s="103">
        <v>4.2000000000000003E-2</v>
      </c>
      <c r="O3838" s="100"/>
    </row>
    <row r="3839" spans="2:15" x14ac:dyDescent="0.2">
      <c r="B3839" s="1">
        <v>3824</v>
      </c>
      <c r="C3839" s="101">
        <f ca="1"/>
        <v>0.96309013467536586</v>
      </c>
      <c r="D3839" s="101">
        <f t="shared" ca="1" si="216"/>
        <v>0.73072604626579607</v>
      </c>
      <c r="E3839" s="101">
        <f t="shared" ca="1" si="217"/>
        <v>0</v>
      </c>
      <c r="F3839" s="21">
        <f t="shared" ca="1" si="218"/>
        <v>0</v>
      </c>
      <c r="H3839" s="21">
        <v>3824</v>
      </c>
      <c r="I3839" s="102">
        <v>0.66765643325533119</v>
      </c>
      <c r="J3839" s="103">
        <v>1.1529315229087075E-3</v>
      </c>
      <c r="K3839" s="103"/>
      <c r="L3839" s="103">
        <v>3.8399999999999997E-2</v>
      </c>
      <c r="O3839" s="100"/>
    </row>
    <row r="3840" spans="2:15" x14ac:dyDescent="0.2">
      <c r="B3840" s="1">
        <v>3825</v>
      </c>
      <c r="C3840" s="101">
        <f ca="1"/>
        <v>0.68283634943042415</v>
      </c>
      <c r="D3840" s="101">
        <f t="shared" ca="1" si="216"/>
        <v>0.71080207737946399</v>
      </c>
      <c r="E3840" s="101">
        <f t="shared" ca="1" si="217"/>
        <v>0</v>
      </c>
      <c r="F3840" s="21">
        <f t="shared" ca="1" si="218"/>
        <v>0</v>
      </c>
      <c r="H3840" s="21">
        <v>3825</v>
      </c>
      <c r="I3840" s="102">
        <v>0.66751463708052572</v>
      </c>
      <c r="J3840" s="103">
        <v>1.1063408537553502E-3</v>
      </c>
      <c r="K3840" s="103"/>
      <c r="L3840" s="103">
        <v>3.7999999999999999E-2</v>
      </c>
      <c r="O3840" s="100"/>
    </row>
    <row r="3841" spans="2:15" x14ac:dyDescent="0.2">
      <c r="B3841" s="1">
        <v>3826</v>
      </c>
      <c r="C3841" s="101">
        <f ca="1"/>
        <v>4.8869098697510776E-3</v>
      </c>
      <c r="D3841" s="101">
        <f t="shared" ca="1" si="216"/>
        <v>0.66482256622638969</v>
      </c>
      <c r="E3841" s="101">
        <f t="shared" ca="1" si="217"/>
        <v>0</v>
      </c>
      <c r="F3841" s="21">
        <f t="shared" ca="1" si="218"/>
        <v>0</v>
      </c>
      <c r="H3841" s="21">
        <v>3826</v>
      </c>
      <c r="I3841" s="102">
        <v>0.66771455859534545</v>
      </c>
      <c r="J3841" s="103">
        <v>1.3705292493283842E-3</v>
      </c>
      <c r="K3841" s="103"/>
      <c r="L3841" s="103">
        <v>4.2000000000000003E-2</v>
      </c>
      <c r="O3841" s="100"/>
    </row>
    <row r="3842" spans="2:15" x14ac:dyDescent="0.2">
      <c r="B3842" s="1">
        <v>3827</v>
      </c>
      <c r="C3842" s="101">
        <f ca="1"/>
        <v>1.4041934874097135</v>
      </c>
      <c r="D3842" s="101">
        <f t="shared" ca="1" si="216"/>
        <v>0.76322253242119131</v>
      </c>
      <c r="E3842" s="101">
        <f t="shared" ca="1" si="217"/>
        <v>0</v>
      </c>
      <c r="F3842" s="21">
        <f t="shared" ca="1" si="218"/>
        <v>0</v>
      </c>
      <c r="H3842" s="21">
        <v>3827</v>
      </c>
      <c r="I3842" s="102">
        <v>0.66751753021475657</v>
      </c>
      <c r="J3842" s="103">
        <v>1.1038825617517636E-3</v>
      </c>
      <c r="K3842" s="103"/>
      <c r="L3842" s="103">
        <v>3.8399999999999997E-2</v>
      </c>
      <c r="O3842" s="100"/>
    </row>
    <row r="3843" spans="2:15" x14ac:dyDescent="0.2">
      <c r="B3843" s="1">
        <v>3828</v>
      </c>
      <c r="C3843" s="101">
        <f ca="1"/>
        <v>2.1889601343423406</v>
      </c>
      <c r="D3843" s="101">
        <f t="shared" ca="1" si="216"/>
        <v>0.82465083445330101</v>
      </c>
      <c r="E3843" s="101">
        <f t="shared" ca="1" si="217"/>
        <v>3.6450834453300995E-2</v>
      </c>
      <c r="F3843" s="21">
        <f t="shared" ca="1" si="218"/>
        <v>1</v>
      </c>
      <c r="H3843" s="21">
        <v>3828</v>
      </c>
      <c r="I3843" s="102">
        <v>0.66763733886563392</v>
      </c>
      <c r="J3843" s="103">
        <v>1.2988961773336258E-3</v>
      </c>
      <c r="K3843" s="103"/>
      <c r="L3843" s="103">
        <v>3.9600000000000003E-2</v>
      </c>
      <c r="O3843" s="100"/>
    </row>
    <row r="3844" spans="2:15" x14ac:dyDescent="0.2">
      <c r="B3844" s="1">
        <v>3829</v>
      </c>
      <c r="C3844" s="101">
        <f ca="1"/>
        <v>0.27453145367208676</v>
      </c>
      <c r="D3844" s="101">
        <f t="shared" ca="1" si="216"/>
        <v>0.68274284637515459</v>
      </c>
      <c r="E3844" s="101">
        <f t="shared" ca="1" si="217"/>
        <v>0</v>
      </c>
      <c r="F3844" s="21">
        <f t="shared" ca="1" si="218"/>
        <v>0</v>
      </c>
      <c r="H3844" s="21">
        <v>3829</v>
      </c>
      <c r="I3844" s="102">
        <v>0.6677845540209576</v>
      </c>
      <c r="J3844" s="103">
        <v>1.2919111965472485E-3</v>
      </c>
      <c r="K3844" s="103"/>
      <c r="L3844" s="103">
        <v>4.36E-2</v>
      </c>
      <c r="O3844" s="100"/>
    </row>
    <row r="3845" spans="2:15" x14ac:dyDescent="0.2">
      <c r="B3845" s="1">
        <v>3830</v>
      </c>
      <c r="C3845" s="101">
        <f ca="1"/>
        <v>1.1959797360995779</v>
      </c>
      <c r="D3845" s="101">
        <f t="shared" ca="1" si="216"/>
        <v>0.74770697968726763</v>
      </c>
      <c r="E3845" s="101">
        <f t="shared" ca="1" si="217"/>
        <v>0</v>
      </c>
      <c r="F3845" s="21">
        <f t="shared" ca="1" si="218"/>
        <v>0</v>
      </c>
      <c r="H3845" s="21">
        <v>3830</v>
      </c>
      <c r="I3845" s="102">
        <v>0.66770744708899887</v>
      </c>
      <c r="J3845" s="103">
        <v>1.4032527409399229E-3</v>
      </c>
      <c r="K3845" s="103"/>
      <c r="L3845" s="103">
        <v>0.04</v>
      </c>
      <c r="O3845" s="100"/>
    </row>
    <row r="3846" spans="2:15" x14ac:dyDescent="0.2">
      <c r="B3846" s="1">
        <v>3831</v>
      </c>
      <c r="C3846" s="101">
        <f ca="1"/>
        <v>1.1280036604889956</v>
      </c>
      <c r="D3846" s="101">
        <f t="shared" ca="1" si="216"/>
        <v>0.74271018838769409</v>
      </c>
      <c r="E3846" s="101">
        <f t="shared" ca="1" si="217"/>
        <v>0</v>
      </c>
      <c r="F3846" s="21">
        <f t="shared" ca="1" si="218"/>
        <v>0</v>
      </c>
      <c r="H3846" s="21">
        <v>3831</v>
      </c>
      <c r="I3846" s="102">
        <v>0.667750047238308</v>
      </c>
      <c r="J3846" s="103">
        <v>1.5116085217452202E-3</v>
      </c>
      <c r="K3846" s="103"/>
      <c r="L3846" s="103">
        <v>4.3799999999999999E-2</v>
      </c>
      <c r="O3846" s="100"/>
    </row>
    <row r="3847" spans="2:15" x14ac:dyDescent="0.2">
      <c r="B3847" s="1">
        <v>3832</v>
      </c>
      <c r="C3847" s="101">
        <f ca="1"/>
        <v>1.499500678364359</v>
      </c>
      <c r="D3847" s="101">
        <f t="shared" ca="1" si="216"/>
        <v>0.77043159513539783</v>
      </c>
      <c r="E3847" s="101">
        <f t="shared" ca="1" si="217"/>
        <v>0</v>
      </c>
      <c r="F3847" s="21">
        <f t="shared" ca="1" si="218"/>
        <v>0</v>
      </c>
      <c r="H3847" s="21">
        <v>3832</v>
      </c>
      <c r="I3847" s="102">
        <v>0.66787328224737674</v>
      </c>
      <c r="J3847" s="103">
        <v>1.4778225097628094E-3</v>
      </c>
      <c r="K3847" s="103"/>
      <c r="L3847" s="103">
        <v>4.48E-2</v>
      </c>
      <c r="O3847" s="100"/>
    </row>
    <row r="3848" spans="2:15" x14ac:dyDescent="0.2">
      <c r="B3848" s="1">
        <v>3833</v>
      </c>
      <c r="C3848" s="101">
        <f ca="1"/>
        <v>1.0368546545416781</v>
      </c>
      <c r="D3848" s="101">
        <f t="shared" ca="1" si="216"/>
        <v>0.73606236767779787</v>
      </c>
      <c r="E3848" s="101">
        <f t="shared" ca="1" si="217"/>
        <v>0</v>
      </c>
      <c r="F3848" s="21">
        <f t="shared" ca="1" si="218"/>
        <v>0</v>
      </c>
      <c r="H3848" s="21">
        <v>3833</v>
      </c>
      <c r="I3848" s="102">
        <v>0.66769133850110407</v>
      </c>
      <c r="J3848" s="103">
        <v>1.3438559098699883E-3</v>
      </c>
      <c r="K3848" s="103"/>
      <c r="L3848" s="103">
        <v>0.04</v>
      </c>
      <c r="O3848" s="100"/>
    </row>
    <row r="3849" spans="2:15" x14ac:dyDescent="0.2">
      <c r="B3849" s="1">
        <v>3834</v>
      </c>
      <c r="C3849" s="101">
        <f ca="1"/>
        <v>-1.3420087046532863</v>
      </c>
      <c r="D3849" s="101">
        <f t="shared" ca="1" si="216"/>
        <v>0.58211068977443214</v>
      </c>
      <c r="E3849" s="101">
        <f t="shared" ca="1" si="217"/>
        <v>0</v>
      </c>
      <c r="F3849" s="21">
        <f t="shared" ca="1" si="218"/>
        <v>0</v>
      </c>
      <c r="H3849" s="21">
        <v>3834</v>
      </c>
      <c r="I3849" s="102">
        <v>0.6677337951201362</v>
      </c>
      <c r="J3849" s="103">
        <v>1.3240158656934171E-3</v>
      </c>
      <c r="K3849" s="103"/>
      <c r="L3849" s="103">
        <v>4.2599999999999999E-2</v>
      </c>
      <c r="O3849" s="100"/>
    </row>
    <row r="3850" spans="2:15" x14ac:dyDescent="0.2">
      <c r="B3850" s="1">
        <v>3835</v>
      </c>
      <c r="C3850" s="101">
        <f ca="1"/>
        <v>-0.84135824440822216</v>
      </c>
      <c r="D3850" s="101">
        <f t="shared" ca="1" si="216"/>
        <v>0.61157979878984858</v>
      </c>
      <c r="E3850" s="101">
        <f t="shared" ca="1" si="217"/>
        <v>0</v>
      </c>
      <c r="F3850" s="21">
        <f t="shared" ca="1" si="218"/>
        <v>0</v>
      </c>
      <c r="H3850" s="21">
        <v>3835</v>
      </c>
      <c r="I3850" s="102">
        <v>0.66772220551611383</v>
      </c>
      <c r="J3850" s="103">
        <v>1.4867043394368217E-3</v>
      </c>
      <c r="K3850" s="103"/>
      <c r="L3850" s="103">
        <v>4.3799999999999999E-2</v>
      </c>
      <c r="O3850" s="100"/>
    </row>
    <row r="3851" spans="2:15" x14ac:dyDescent="0.2">
      <c r="B3851" s="1">
        <v>3836</v>
      </c>
      <c r="C3851" s="101">
        <f ca="1"/>
        <v>-0.66127058321709864</v>
      </c>
      <c r="D3851" s="101">
        <f t="shared" ca="1" si="216"/>
        <v>0.62254102455179428</v>
      </c>
      <c r="E3851" s="101">
        <f t="shared" ca="1" si="217"/>
        <v>0</v>
      </c>
      <c r="F3851" s="21">
        <f t="shared" ca="1" si="218"/>
        <v>0</v>
      </c>
      <c r="H3851" s="21">
        <v>3836</v>
      </c>
      <c r="I3851" s="102">
        <v>0.66763591240055098</v>
      </c>
      <c r="J3851" s="103">
        <v>1.1445563358535556E-3</v>
      </c>
      <c r="K3851" s="103"/>
      <c r="L3851" s="103">
        <v>3.6999999999999998E-2</v>
      </c>
      <c r="O3851" s="100"/>
    </row>
    <row r="3852" spans="2:15" x14ac:dyDescent="0.2">
      <c r="B3852" s="1">
        <v>3837</v>
      </c>
      <c r="C3852" s="101">
        <f ca="1"/>
        <v>-0.30769767883418447</v>
      </c>
      <c r="D3852" s="101">
        <f t="shared" ca="1" si="216"/>
        <v>0.64463639496538794</v>
      </c>
      <c r="E3852" s="101">
        <f t="shared" ca="1" si="217"/>
        <v>0</v>
      </c>
      <c r="F3852" s="21">
        <f t="shared" ca="1" si="218"/>
        <v>0</v>
      </c>
      <c r="H3852" s="21">
        <v>3837</v>
      </c>
      <c r="I3852" s="102">
        <v>0.66775319470603733</v>
      </c>
      <c r="J3852" s="103">
        <v>1.5283343091173731E-3</v>
      </c>
      <c r="K3852" s="103"/>
      <c r="L3852" s="103">
        <v>4.1000000000000002E-2</v>
      </c>
      <c r="O3852" s="100"/>
    </row>
    <row r="3853" spans="2:15" x14ac:dyDescent="0.2">
      <c r="B3853" s="1">
        <v>3838</v>
      </c>
      <c r="C3853" s="101">
        <f ca="1"/>
        <v>-4.8131805043855579E-3</v>
      </c>
      <c r="D3853" s="101">
        <f t="shared" ca="1" si="216"/>
        <v>0.66418674843343339</v>
      </c>
      <c r="E3853" s="101">
        <f t="shared" ca="1" si="217"/>
        <v>0</v>
      </c>
      <c r="F3853" s="21">
        <f t="shared" ca="1" si="218"/>
        <v>0</v>
      </c>
      <c r="H3853" s="21">
        <v>3838</v>
      </c>
      <c r="I3853" s="102">
        <v>0.66783770758734406</v>
      </c>
      <c r="J3853" s="103">
        <v>1.5906558644563867E-3</v>
      </c>
      <c r="K3853" s="103"/>
      <c r="L3853" s="103">
        <v>4.5999999999999999E-2</v>
      </c>
      <c r="O3853" s="100"/>
    </row>
    <row r="3854" spans="2:15" x14ac:dyDescent="0.2">
      <c r="B3854" s="1">
        <v>3839</v>
      </c>
      <c r="C3854" s="101">
        <f ca="1"/>
        <v>0.14530395688073375</v>
      </c>
      <c r="D3854" s="101">
        <f t="shared" ca="1" si="216"/>
        <v>0.67409504077708182</v>
      </c>
      <c r="E3854" s="101">
        <f t="shared" ca="1" si="217"/>
        <v>0</v>
      </c>
      <c r="F3854" s="21">
        <f t="shared" ca="1" si="218"/>
        <v>0</v>
      </c>
      <c r="H3854" s="21">
        <v>3839</v>
      </c>
      <c r="I3854" s="102">
        <v>0.66781403648678672</v>
      </c>
      <c r="J3854" s="103">
        <v>1.5149230281052411E-3</v>
      </c>
      <c r="K3854" s="103"/>
      <c r="L3854" s="103">
        <v>4.7600000000000003E-2</v>
      </c>
      <c r="O3854" s="100"/>
    </row>
    <row r="3855" spans="2:15" x14ac:dyDescent="0.2">
      <c r="B3855" s="1">
        <v>3840</v>
      </c>
      <c r="C3855" s="101">
        <f ca="1"/>
        <v>-1.8004355567124517</v>
      </c>
      <c r="D3855" s="101">
        <f t="shared" ca="1" si="216"/>
        <v>0.55637403105918692</v>
      </c>
      <c r="E3855" s="101">
        <f t="shared" ca="1" si="217"/>
        <v>0</v>
      </c>
      <c r="F3855" s="21">
        <f t="shared" ca="1" si="218"/>
        <v>0</v>
      </c>
      <c r="H3855" s="21">
        <v>3840</v>
      </c>
      <c r="I3855" s="102">
        <v>0.66787984114673404</v>
      </c>
      <c r="J3855" s="103">
        <v>1.6213718448889413E-3</v>
      </c>
      <c r="K3855" s="103"/>
      <c r="L3855" s="103">
        <v>4.4999999999999998E-2</v>
      </c>
      <c r="O3855" s="100"/>
    </row>
    <row r="3856" spans="2:15" x14ac:dyDescent="0.2">
      <c r="B3856" s="1">
        <v>3841</v>
      </c>
      <c r="C3856" s="101">
        <f ca="1"/>
        <v>-0.71670705608156748</v>
      </c>
      <c r="D3856" s="101">
        <f t="shared" ref="D3856:D3919" ca="1" si="219">S0*EXP((μ-0.5*σ*σ)*T+σ*SQRT(T)*$C3856)</f>
        <v>0.61914605740252482</v>
      </c>
      <c r="E3856" s="101">
        <f t="shared" ref="E3856:E3919" ca="1" si="220">MAX(0,CP*(D3856-K))</f>
        <v>0</v>
      </c>
      <c r="F3856" s="21">
        <f t="shared" ref="F3856:F3919" ca="1" si="221">(CP*(D3856-K)&gt;0)*1</f>
        <v>0</v>
      </c>
      <c r="H3856" s="21">
        <v>3841</v>
      </c>
      <c r="I3856" s="102">
        <v>0.66769898142360029</v>
      </c>
      <c r="J3856" s="103">
        <v>1.2826177370974167E-3</v>
      </c>
      <c r="K3856" s="103"/>
      <c r="L3856" s="103">
        <v>4.0399999999999998E-2</v>
      </c>
      <c r="O3856" s="100"/>
    </row>
    <row r="3857" spans="2:15" x14ac:dyDescent="0.2">
      <c r="B3857" s="1">
        <v>3842</v>
      </c>
      <c r="C3857" s="101">
        <f ca="1"/>
        <v>-0.926855900960595</v>
      </c>
      <c r="D3857" s="101">
        <f t="shared" ca="1" si="219"/>
        <v>0.60644366654863902</v>
      </c>
      <c r="E3857" s="101">
        <f t="shared" ca="1" si="220"/>
        <v>0</v>
      </c>
      <c r="F3857" s="21">
        <f t="shared" ca="1" si="221"/>
        <v>0</v>
      </c>
      <c r="H3857" s="21">
        <v>3842</v>
      </c>
      <c r="I3857" s="102">
        <v>0.66787432827208104</v>
      </c>
      <c r="J3857" s="103">
        <v>1.5449386330028804E-3</v>
      </c>
      <c r="K3857" s="103"/>
      <c r="L3857" s="103">
        <v>4.7600000000000003E-2</v>
      </c>
      <c r="O3857" s="100"/>
    </row>
    <row r="3858" spans="2:15" x14ac:dyDescent="0.2">
      <c r="B3858" s="1">
        <v>3843</v>
      </c>
      <c r="C3858" s="101">
        <f ca="1"/>
        <v>0.35839735621111934</v>
      </c>
      <c r="D3858" s="101">
        <f t="shared" ca="1" si="219"/>
        <v>0.68841436162697522</v>
      </c>
      <c r="E3858" s="101">
        <f t="shared" ca="1" si="220"/>
        <v>0</v>
      </c>
      <c r="F3858" s="21">
        <f t="shared" ca="1" si="221"/>
        <v>0</v>
      </c>
      <c r="H3858" s="21">
        <v>3843</v>
      </c>
      <c r="I3858" s="102">
        <v>0.6679416853985638</v>
      </c>
      <c r="J3858" s="103">
        <v>1.6841596391047049E-3</v>
      </c>
      <c r="K3858" s="103"/>
      <c r="L3858" s="103">
        <v>4.8399999999999999E-2</v>
      </c>
      <c r="O3858" s="100"/>
    </row>
    <row r="3859" spans="2:15" x14ac:dyDescent="0.2">
      <c r="B3859" s="1">
        <v>3844</v>
      </c>
      <c r="C3859" s="101">
        <f ca="1"/>
        <v>0.65540570443836077</v>
      </c>
      <c r="D3859" s="101">
        <f t="shared" ca="1" si="219"/>
        <v>0.70888139220060375</v>
      </c>
      <c r="E3859" s="101">
        <f t="shared" ca="1" si="220"/>
        <v>0</v>
      </c>
      <c r="F3859" s="21">
        <f t="shared" ca="1" si="221"/>
        <v>0</v>
      </c>
      <c r="H3859" s="21">
        <v>3844</v>
      </c>
      <c r="I3859" s="102">
        <v>0.66786325139960978</v>
      </c>
      <c r="J3859" s="103">
        <v>1.5307437270163224E-3</v>
      </c>
      <c r="K3859" s="103"/>
      <c r="L3859" s="103">
        <v>4.5999999999999999E-2</v>
      </c>
      <c r="O3859" s="100"/>
    </row>
    <row r="3860" spans="2:15" x14ac:dyDescent="0.2">
      <c r="B3860" s="1">
        <v>3845</v>
      </c>
      <c r="C3860" s="101">
        <f ca="1"/>
        <v>0.58900696121211005</v>
      </c>
      <c r="D3860" s="101">
        <f t="shared" ca="1" si="219"/>
        <v>0.70425363173052746</v>
      </c>
      <c r="E3860" s="101">
        <f t="shared" ca="1" si="220"/>
        <v>0</v>
      </c>
      <c r="F3860" s="21">
        <f t="shared" ca="1" si="221"/>
        <v>0</v>
      </c>
      <c r="H3860" s="21">
        <v>3845</v>
      </c>
      <c r="I3860" s="102">
        <v>0.66766828849359938</v>
      </c>
      <c r="J3860" s="103">
        <v>1.30698027494314E-3</v>
      </c>
      <c r="K3860" s="103"/>
      <c r="L3860" s="103">
        <v>4.2200000000000001E-2</v>
      </c>
      <c r="O3860" s="100"/>
    </row>
    <row r="3861" spans="2:15" x14ac:dyDescent="0.2">
      <c r="B3861" s="1">
        <v>3846</v>
      </c>
      <c r="C3861" s="101">
        <f ca="1"/>
        <v>1.7941312856502003</v>
      </c>
      <c r="D3861" s="101">
        <f t="shared" ca="1" si="219"/>
        <v>0.79315100400264194</v>
      </c>
      <c r="E3861" s="101">
        <f t="shared" ca="1" si="220"/>
        <v>4.9510040026419233E-3</v>
      </c>
      <c r="F3861" s="21">
        <f t="shared" ca="1" si="221"/>
        <v>1</v>
      </c>
      <c r="H3861" s="21">
        <v>3846</v>
      </c>
      <c r="I3861" s="102">
        <v>0.66776234685129032</v>
      </c>
      <c r="J3861" s="103">
        <v>1.4571969246949237E-3</v>
      </c>
      <c r="K3861" s="103"/>
      <c r="L3861" s="103">
        <v>4.1599999999999998E-2</v>
      </c>
      <c r="O3861" s="100"/>
    </row>
    <row r="3862" spans="2:15" x14ac:dyDescent="0.2">
      <c r="B3862" s="1">
        <v>3847</v>
      </c>
      <c r="C3862" s="101">
        <f ca="1"/>
        <v>1.1852877007142526</v>
      </c>
      <c r="D3862" s="101">
        <f t="shared" ca="1" si="219"/>
        <v>0.74691880637985952</v>
      </c>
      <c r="E3862" s="101">
        <f t="shared" ca="1" si="220"/>
        <v>0</v>
      </c>
      <c r="F3862" s="21">
        <f t="shared" ca="1" si="221"/>
        <v>0</v>
      </c>
      <c r="H3862" s="21">
        <v>3847</v>
      </c>
      <c r="I3862" s="102">
        <v>0.66785242705231718</v>
      </c>
      <c r="J3862" s="103">
        <v>1.5147037116910464E-3</v>
      </c>
      <c r="K3862" s="103"/>
      <c r="L3862" s="103">
        <v>4.36E-2</v>
      </c>
      <c r="O3862" s="100"/>
    </row>
    <row r="3863" spans="2:15" x14ac:dyDescent="0.2">
      <c r="B3863" s="1">
        <v>3848</v>
      </c>
      <c r="C3863" s="101">
        <f ca="1"/>
        <v>0.28585148174533387</v>
      </c>
      <c r="D3863" s="101">
        <f t="shared" ca="1" si="219"/>
        <v>0.6835056382476602</v>
      </c>
      <c r="E3863" s="101">
        <f t="shared" ca="1" si="220"/>
        <v>0</v>
      </c>
      <c r="F3863" s="21">
        <f t="shared" ca="1" si="221"/>
        <v>0</v>
      </c>
      <c r="H3863" s="21">
        <v>3848</v>
      </c>
      <c r="I3863" s="102">
        <v>0.6677123767485651</v>
      </c>
      <c r="J3863" s="103">
        <v>1.3464389057447387E-3</v>
      </c>
      <c r="K3863" s="103"/>
      <c r="L3863" s="103">
        <v>0.04</v>
      </c>
      <c r="O3863" s="100"/>
    </row>
    <row r="3864" spans="2:15" x14ac:dyDescent="0.2">
      <c r="B3864" s="1">
        <v>3849</v>
      </c>
      <c r="C3864" s="101">
        <f ca="1"/>
        <v>-0.40918806065575825</v>
      </c>
      <c r="D3864" s="101">
        <f t="shared" ca="1" si="219"/>
        <v>0.63821504219745684</v>
      </c>
      <c r="E3864" s="101">
        <f t="shared" ca="1" si="220"/>
        <v>0</v>
      </c>
      <c r="F3864" s="21">
        <f t="shared" ca="1" si="221"/>
        <v>0</v>
      </c>
      <c r="H3864" s="21">
        <v>3849</v>
      </c>
      <c r="I3864" s="102">
        <v>0.66788528209778075</v>
      </c>
      <c r="J3864" s="103">
        <v>1.5087228583956724E-3</v>
      </c>
      <c r="K3864" s="103"/>
      <c r="L3864" s="103">
        <v>4.5199999999999997E-2</v>
      </c>
      <c r="O3864" s="100"/>
    </row>
    <row r="3865" spans="2:15" x14ac:dyDescent="0.2">
      <c r="B3865" s="1">
        <v>3850</v>
      </c>
      <c r="C3865" s="101">
        <f ca="1"/>
        <v>0.53311136026090888</v>
      </c>
      <c r="D3865" s="101">
        <f t="shared" ca="1" si="219"/>
        <v>0.70038133250579804</v>
      </c>
      <c r="E3865" s="101">
        <f t="shared" ca="1" si="220"/>
        <v>0</v>
      </c>
      <c r="F3865" s="21">
        <f t="shared" ca="1" si="221"/>
        <v>0</v>
      </c>
      <c r="H3865" s="21">
        <v>3850</v>
      </c>
      <c r="I3865" s="102">
        <v>0.66771012028804888</v>
      </c>
      <c r="J3865" s="103">
        <v>1.2857611498400267E-3</v>
      </c>
      <c r="K3865" s="103"/>
      <c r="L3865" s="103">
        <v>4.1000000000000002E-2</v>
      </c>
      <c r="O3865" s="100"/>
    </row>
    <row r="3866" spans="2:15" x14ac:dyDescent="0.2">
      <c r="B3866" s="1">
        <v>3851</v>
      </c>
      <c r="C3866" s="101">
        <f ca="1"/>
        <v>-1.3078098840089848E-2</v>
      </c>
      <c r="D3866" s="101">
        <f t="shared" ca="1" si="219"/>
        <v>0.6636454825499899</v>
      </c>
      <c r="E3866" s="101">
        <f t="shared" ca="1" si="220"/>
        <v>0</v>
      </c>
      <c r="F3866" s="21">
        <f t="shared" ca="1" si="221"/>
        <v>0</v>
      </c>
      <c r="H3866" s="21">
        <v>3851</v>
      </c>
      <c r="I3866" s="102">
        <v>0.66758458801288778</v>
      </c>
      <c r="J3866" s="103">
        <v>1.1546947434836171E-3</v>
      </c>
      <c r="K3866" s="103"/>
      <c r="L3866" s="103">
        <v>3.6999999999999998E-2</v>
      </c>
      <c r="O3866" s="100"/>
    </row>
    <row r="3867" spans="2:15" x14ac:dyDescent="0.2">
      <c r="B3867" s="1">
        <v>3852</v>
      </c>
      <c r="C3867" s="101">
        <f ca="1"/>
        <v>-6.4433170793780373E-2</v>
      </c>
      <c r="D3867" s="101">
        <f t="shared" ca="1" si="219"/>
        <v>0.66029213289565081</v>
      </c>
      <c r="E3867" s="101">
        <f t="shared" ca="1" si="220"/>
        <v>0</v>
      </c>
      <c r="F3867" s="21">
        <f t="shared" ca="1" si="221"/>
        <v>0</v>
      </c>
      <c r="H3867" s="21">
        <v>3852</v>
      </c>
      <c r="I3867" s="102">
        <v>0.66765999536167475</v>
      </c>
      <c r="J3867" s="103">
        <v>1.2521047917066993E-3</v>
      </c>
      <c r="K3867" s="103"/>
      <c r="L3867" s="103">
        <v>4.0800000000000003E-2</v>
      </c>
      <c r="O3867" s="100"/>
    </row>
    <row r="3868" spans="2:15" x14ac:dyDescent="0.2">
      <c r="B3868" s="1">
        <v>3853</v>
      </c>
      <c r="C3868" s="101">
        <f ca="1"/>
        <v>0.24133482048723021</v>
      </c>
      <c r="D3868" s="101">
        <f t="shared" ca="1" si="219"/>
        <v>0.68051082046844313</v>
      </c>
      <c r="E3868" s="101">
        <f t="shared" ca="1" si="220"/>
        <v>0</v>
      </c>
      <c r="F3868" s="21">
        <f t="shared" ca="1" si="221"/>
        <v>0</v>
      </c>
      <c r="H3868" s="21">
        <v>3853</v>
      </c>
      <c r="I3868" s="102">
        <v>0.66784288538170644</v>
      </c>
      <c r="J3868" s="103">
        <v>1.3800850155836913E-3</v>
      </c>
      <c r="K3868" s="103"/>
      <c r="L3868" s="103">
        <v>4.3999999999999997E-2</v>
      </c>
      <c r="O3868" s="100"/>
    </row>
    <row r="3869" spans="2:15" x14ac:dyDescent="0.2">
      <c r="B3869" s="1">
        <v>3854</v>
      </c>
      <c r="C3869" s="101">
        <f ca="1"/>
        <v>0.43718333164762296</v>
      </c>
      <c r="D3869" s="101">
        <f t="shared" ca="1" si="219"/>
        <v>0.69378525342489406</v>
      </c>
      <c r="E3869" s="101">
        <f t="shared" ca="1" si="220"/>
        <v>0</v>
      </c>
      <c r="F3869" s="21">
        <f t="shared" ca="1" si="221"/>
        <v>0</v>
      </c>
      <c r="H3869" s="21">
        <v>3854</v>
      </c>
      <c r="I3869" s="102">
        <v>0.66774107118926518</v>
      </c>
      <c r="J3869" s="103">
        <v>1.4461172738685522E-3</v>
      </c>
      <c r="K3869" s="103"/>
      <c r="L3869" s="103">
        <v>0.04</v>
      </c>
      <c r="O3869" s="100"/>
    </row>
    <row r="3870" spans="2:15" x14ac:dyDescent="0.2">
      <c r="B3870" s="1">
        <v>3855</v>
      </c>
      <c r="C3870" s="101">
        <f ca="1"/>
        <v>1.6744537760284537</v>
      </c>
      <c r="D3870" s="101">
        <f t="shared" ca="1" si="219"/>
        <v>0.7838427893717046</v>
      </c>
      <c r="E3870" s="101">
        <f t="shared" ca="1" si="220"/>
        <v>0</v>
      </c>
      <c r="F3870" s="21">
        <f t="shared" ca="1" si="221"/>
        <v>0</v>
      </c>
      <c r="H3870" s="21">
        <v>3855</v>
      </c>
      <c r="I3870" s="102">
        <v>0.66776903321349124</v>
      </c>
      <c r="J3870" s="103">
        <v>1.4643399824814446E-3</v>
      </c>
      <c r="K3870" s="103"/>
      <c r="L3870" s="103">
        <v>3.9600000000000003E-2</v>
      </c>
      <c r="O3870" s="100"/>
    </row>
    <row r="3871" spans="2:15" x14ac:dyDescent="0.2">
      <c r="B3871" s="1">
        <v>3856</v>
      </c>
      <c r="C3871" s="101">
        <f ca="1"/>
        <v>1.45544740721596</v>
      </c>
      <c r="D3871" s="101">
        <f t="shared" ca="1" si="219"/>
        <v>0.76709096894350615</v>
      </c>
      <c r="E3871" s="101">
        <f t="shared" ca="1" si="220"/>
        <v>0</v>
      </c>
      <c r="F3871" s="21">
        <f t="shared" ca="1" si="221"/>
        <v>0</v>
      </c>
      <c r="H3871" s="21">
        <v>3856</v>
      </c>
      <c r="I3871" s="102">
        <v>0.66771881870691407</v>
      </c>
      <c r="J3871" s="103">
        <v>1.3252509107498252E-3</v>
      </c>
      <c r="K3871" s="103"/>
      <c r="L3871" s="103">
        <v>4.2599999999999999E-2</v>
      </c>
      <c r="O3871" s="100"/>
    </row>
    <row r="3872" spans="2:15" x14ac:dyDescent="0.2">
      <c r="B3872" s="1">
        <v>3857</v>
      </c>
      <c r="C3872" s="101">
        <f ca="1"/>
        <v>0.6641530144575537</v>
      </c>
      <c r="D3872" s="101">
        <f t="shared" ca="1" si="219"/>
        <v>0.70949331181495945</v>
      </c>
      <c r="E3872" s="101">
        <f t="shared" ca="1" si="220"/>
        <v>0</v>
      </c>
      <c r="F3872" s="21">
        <f t="shared" ca="1" si="221"/>
        <v>0</v>
      </c>
      <c r="H3872" s="21">
        <v>3857</v>
      </c>
      <c r="I3872" s="102">
        <v>0.66765327290938159</v>
      </c>
      <c r="J3872" s="103">
        <v>1.2871120478839594E-3</v>
      </c>
      <c r="K3872" s="103"/>
      <c r="L3872" s="103">
        <v>4.1399999999999999E-2</v>
      </c>
      <c r="O3872" s="100"/>
    </row>
    <row r="3873" spans="2:15" x14ac:dyDescent="0.2">
      <c r="B3873" s="1">
        <v>3858</v>
      </c>
      <c r="C3873" s="101">
        <f ca="1"/>
        <v>-0.17656274382635656</v>
      </c>
      <c r="D3873" s="101">
        <f t="shared" ca="1" si="219"/>
        <v>0.65302913990808265</v>
      </c>
      <c r="E3873" s="101">
        <f t="shared" ca="1" si="220"/>
        <v>0</v>
      </c>
      <c r="F3873" s="21">
        <f t="shared" ca="1" si="221"/>
        <v>0</v>
      </c>
      <c r="H3873" s="21">
        <v>3858</v>
      </c>
      <c r="I3873" s="102">
        <v>0.6677368575676732</v>
      </c>
      <c r="J3873" s="103">
        <v>1.2984717113341698E-3</v>
      </c>
      <c r="K3873" s="103"/>
      <c r="L3873" s="103">
        <v>4.2000000000000003E-2</v>
      </c>
      <c r="O3873" s="100"/>
    </row>
    <row r="3874" spans="2:15" x14ac:dyDescent="0.2">
      <c r="B3874" s="1">
        <v>3859</v>
      </c>
      <c r="C3874" s="101">
        <f ca="1"/>
        <v>1.2789923066331486</v>
      </c>
      <c r="D3874" s="101">
        <f t="shared" ca="1" si="219"/>
        <v>0.75385469169559594</v>
      </c>
      <c r="E3874" s="101">
        <f t="shared" ca="1" si="220"/>
        <v>0</v>
      </c>
      <c r="F3874" s="21">
        <f t="shared" ca="1" si="221"/>
        <v>0</v>
      </c>
      <c r="H3874" s="21">
        <v>3859</v>
      </c>
      <c r="I3874" s="102">
        <v>0.66792486467204792</v>
      </c>
      <c r="J3874" s="103">
        <v>1.6012490902452201E-3</v>
      </c>
      <c r="K3874" s="103"/>
      <c r="L3874" s="103">
        <v>4.6600000000000003E-2</v>
      </c>
      <c r="O3874" s="100"/>
    </row>
    <row r="3875" spans="2:15" x14ac:dyDescent="0.2">
      <c r="B3875" s="1">
        <v>3860</v>
      </c>
      <c r="C3875" s="101">
        <f ca="1"/>
        <v>0.55603052904853767</v>
      </c>
      <c r="D3875" s="101">
        <f t="shared" ca="1" si="219"/>
        <v>0.70196652986374175</v>
      </c>
      <c r="E3875" s="101">
        <f t="shared" ca="1" si="220"/>
        <v>0</v>
      </c>
      <c r="F3875" s="21">
        <f t="shared" ca="1" si="221"/>
        <v>0</v>
      </c>
      <c r="H3875" s="21">
        <v>3860</v>
      </c>
      <c r="I3875" s="102">
        <v>0.66772304377577552</v>
      </c>
      <c r="J3875" s="103">
        <v>1.3593615028012897E-3</v>
      </c>
      <c r="K3875" s="103"/>
      <c r="L3875" s="103">
        <v>4.2799999999999998E-2</v>
      </c>
      <c r="O3875" s="100"/>
    </row>
    <row r="3876" spans="2:15" x14ac:dyDescent="0.2">
      <c r="B3876" s="1">
        <v>3861</v>
      </c>
      <c r="C3876" s="101">
        <f ca="1"/>
        <v>0.11114898217209065</v>
      </c>
      <c r="D3876" s="101">
        <f t="shared" ca="1" si="219"/>
        <v>0.671827774036584</v>
      </c>
      <c r="E3876" s="101">
        <f t="shared" ca="1" si="220"/>
        <v>0</v>
      </c>
      <c r="F3876" s="21">
        <f t="shared" ca="1" si="221"/>
        <v>0</v>
      </c>
      <c r="H3876" s="21">
        <v>3861</v>
      </c>
      <c r="I3876" s="102">
        <v>0.66776728214899617</v>
      </c>
      <c r="J3876" s="103">
        <v>1.3699763608035712E-3</v>
      </c>
      <c r="K3876" s="103"/>
      <c r="L3876" s="103">
        <v>0.04</v>
      </c>
      <c r="O3876" s="100"/>
    </row>
    <row r="3877" spans="2:15" x14ac:dyDescent="0.2">
      <c r="B3877" s="1">
        <v>3862</v>
      </c>
      <c r="C3877" s="101">
        <f ca="1"/>
        <v>1.4566633580696686</v>
      </c>
      <c r="D3877" s="101">
        <f t="shared" ca="1" si="219"/>
        <v>0.76718298165690491</v>
      </c>
      <c r="E3877" s="101">
        <f t="shared" ca="1" si="220"/>
        <v>0</v>
      </c>
      <c r="F3877" s="21">
        <f t="shared" ca="1" si="221"/>
        <v>0</v>
      </c>
      <c r="H3877" s="21">
        <v>3862</v>
      </c>
      <c r="I3877" s="102">
        <v>0.66774442066978479</v>
      </c>
      <c r="J3877" s="103">
        <v>1.3094398368431093E-3</v>
      </c>
      <c r="K3877" s="103"/>
      <c r="L3877" s="103">
        <v>4.2599999999999999E-2</v>
      </c>
      <c r="O3877" s="100"/>
    </row>
    <row r="3878" spans="2:15" x14ac:dyDescent="0.2">
      <c r="B3878" s="1">
        <v>3863</v>
      </c>
      <c r="C3878" s="101">
        <f ca="1"/>
        <v>-0.20825034771415565</v>
      </c>
      <c r="D3878" s="101">
        <f t="shared" ca="1" si="219"/>
        <v>0.65099114872707109</v>
      </c>
      <c r="E3878" s="101">
        <f t="shared" ca="1" si="220"/>
        <v>0</v>
      </c>
      <c r="F3878" s="21">
        <f t="shared" ca="1" si="221"/>
        <v>0</v>
      </c>
      <c r="H3878" s="21">
        <v>3863</v>
      </c>
      <c r="I3878" s="102">
        <v>0.6677347268603</v>
      </c>
      <c r="J3878" s="103">
        <v>1.3188024336976023E-3</v>
      </c>
      <c r="K3878" s="103"/>
      <c r="L3878" s="103">
        <v>4.24E-2</v>
      </c>
      <c r="O3878" s="100"/>
    </row>
    <row r="3879" spans="2:15" x14ac:dyDescent="0.2">
      <c r="B3879" s="1">
        <v>3864</v>
      </c>
      <c r="C3879" s="101">
        <f ca="1"/>
        <v>-1.0267131095866335</v>
      </c>
      <c r="D3879" s="101">
        <f t="shared" ca="1" si="219"/>
        <v>0.60049949092593513</v>
      </c>
      <c r="E3879" s="101">
        <f t="shared" ca="1" si="220"/>
        <v>0</v>
      </c>
      <c r="F3879" s="21">
        <f t="shared" ca="1" si="221"/>
        <v>0</v>
      </c>
      <c r="H3879" s="21">
        <v>3864</v>
      </c>
      <c r="I3879" s="102">
        <v>0.66781538347709124</v>
      </c>
      <c r="J3879" s="103">
        <v>1.3859848365931362E-3</v>
      </c>
      <c r="K3879" s="103"/>
      <c r="L3879" s="103">
        <v>4.1599999999999998E-2</v>
      </c>
      <c r="O3879" s="100"/>
    </row>
    <row r="3880" spans="2:15" x14ac:dyDescent="0.2">
      <c r="B3880" s="1">
        <v>3865</v>
      </c>
      <c r="C3880" s="101">
        <f ca="1"/>
        <v>-0.77246292761623803</v>
      </c>
      <c r="D3880" s="101">
        <f t="shared" ca="1" si="219"/>
        <v>0.61575020430254546</v>
      </c>
      <c r="E3880" s="101">
        <f t="shared" ca="1" si="220"/>
        <v>0</v>
      </c>
      <c r="F3880" s="21">
        <f t="shared" ca="1" si="221"/>
        <v>0</v>
      </c>
      <c r="H3880" s="21">
        <v>3865</v>
      </c>
      <c r="I3880" s="102">
        <v>0.66765845044531102</v>
      </c>
      <c r="J3880" s="103">
        <v>1.288320104788973E-3</v>
      </c>
      <c r="K3880" s="103"/>
      <c r="L3880" s="103">
        <v>3.8399999999999997E-2</v>
      </c>
      <c r="O3880" s="100"/>
    </row>
    <row r="3881" spans="2:15" x14ac:dyDescent="0.2">
      <c r="B3881" s="1">
        <v>3866</v>
      </c>
      <c r="C3881" s="101">
        <f ca="1"/>
        <v>-0.93737364233972365</v>
      </c>
      <c r="D3881" s="101">
        <f t="shared" ca="1" si="219"/>
        <v>0.60581481724270814</v>
      </c>
      <c r="E3881" s="101">
        <f t="shared" ca="1" si="220"/>
        <v>0</v>
      </c>
      <c r="F3881" s="21">
        <f t="shared" ca="1" si="221"/>
        <v>0</v>
      </c>
      <c r="H3881" s="21">
        <v>3866</v>
      </c>
      <c r="I3881" s="102">
        <v>0.66778984062001523</v>
      </c>
      <c r="J3881" s="103">
        <v>1.3657238232274997E-3</v>
      </c>
      <c r="K3881" s="103"/>
      <c r="L3881" s="103">
        <v>4.1000000000000002E-2</v>
      </c>
      <c r="O3881" s="100"/>
    </row>
    <row r="3882" spans="2:15" x14ac:dyDescent="0.2">
      <c r="B3882" s="1">
        <v>3867</v>
      </c>
      <c r="C3882" s="101">
        <f ca="1"/>
        <v>-1.1643986481398638</v>
      </c>
      <c r="D3882" s="101">
        <f t="shared" ca="1" si="219"/>
        <v>0.5923989498617398</v>
      </c>
      <c r="E3882" s="101">
        <f t="shared" ca="1" si="220"/>
        <v>0</v>
      </c>
      <c r="F3882" s="21">
        <f t="shared" ca="1" si="221"/>
        <v>0</v>
      </c>
      <c r="H3882" s="21">
        <v>3867</v>
      </c>
      <c r="I3882" s="102">
        <v>0.66788158556301325</v>
      </c>
      <c r="J3882" s="103">
        <v>1.5809291339671039E-3</v>
      </c>
      <c r="K3882" s="103"/>
      <c r="L3882" s="103">
        <v>4.6600000000000003E-2</v>
      </c>
      <c r="O3882" s="100"/>
    </row>
    <row r="3883" spans="2:15" x14ac:dyDescent="0.2">
      <c r="B3883" s="1">
        <v>3868</v>
      </c>
      <c r="C3883" s="101">
        <f ca="1"/>
        <v>1.4787975188091302</v>
      </c>
      <c r="D3883" s="101">
        <f t="shared" ca="1" si="219"/>
        <v>0.76885983512596601</v>
      </c>
      <c r="E3883" s="101">
        <f t="shared" ca="1" si="220"/>
        <v>0</v>
      </c>
      <c r="F3883" s="21">
        <f t="shared" ca="1" si="221"/>
        <v>0</v>
      </c>
      <c r="H3883" s="21">
        <v>3868</v>
      </c>
      <c r="I3883" s="102">
        <v>0.66767786981001487</v>
      </c>
      <c r="J3883" s="103">
        <v>1.3314757091767873E-3</v>
      </c>
      <c r="K3883" s="103"/>
      <c r="L3883" s="103">
        <v>3.8199999999999998E-2</v>
      </c>
      <c r="O3883" s="100"/>
    </row>
    <row r="3884" spans="2:15" x14ac:dyDescent="0.2">
      <c r="B3884" s="1">
        <v>3869</v>
      </c>
      <c r="C3884" s="101">
        <f ca="1"/>
        <v>0.47837377872887721</v>
      </c>
      <c r="D3884" s="101">
        <f t="shared" ca="1" si="219"/>
        <v>0.69660989310979204</v>
      </c>
      <c r="E3884" s="101">
        <f t="shared" ca="1" si="220"/>
        <v>0</v>
      </c>
      <c r="F3884" s="21">
        <f t="shared" ca="1" si="221"/>
        <v>0</v>
      </c>
      <c r="H3884" s="21">
        <v>3869</v>
      </c>
      <c r="I3884" s="102">
        <v>0.66773328701488033</v>
      </c>
      <c r="J3884" s="103">
        <v>1.3123726741507407E-3</v>
      </c>
      <c r="K3884" s="103"/>
      <c r="L3884" s="103">
        <v>4.1799999999999997E-2</v>
      </c>
      <c r="O3884" s="100"/>
    </row>
    <row r="3885" spans="2:15" x14ac:dyDescent="0.2">
      <c r="B3885" s="1">
        <v>3870</v>
      </c>
      <c r="C3885" s="101">
        <f ca="1"/>
        <v>1.5309158449196234</v>
      </c>
      <c r="D3885" s="101">
        <f t="shared" ca="1" si="219"/>
        <v>0.77282273747187091</v>
      </c>
      <c r="E3885" s="101">
        <f t="shared" ca="1" si="220"/>
        <v>0</v>
      </c>
      <c r="F3885" s="21">
        <f t="shared" ca="1" si="221"/>
        <v>0</v>
      </c>
      <c r="H3885" s="21">
        <v>3870</v>
      </c>
      <c r="I3885" s="102">
        <v>0.66770402003039886</v>
      </c>
      <c r="J3885" s="103">
        <v>1.3726265203085005E-3</v>
      </c>
      <c r="K3885" s="103"/>
      <c r="L3885" s="103">
        <v>3.9800000000000002E-2</v>
      </c>
      <c r="O3885" s="100"/>
    </row>
    <row r="3886" spans="2:15" x14ac:dyDescent="0.2">
      <c r="B3886" s="1">
        <v>3871</v>
      </c>
      <c r="C3886" s="101">
        <f ca="1"/>
        <v>1.4470996325444607</v>
      </c>
      <c r="D3886" s="101">
        <f t="shared" ca="1" si="219"/>
        <v>0.76645957895147598</v>
      </c>
      <c r="E3886" s="101">
        <f t="shared" ca="1" si="220"/>
        <v>0</v>
      </c>
      <c r="F3886" s="21">
        <f t="shared" ca="1" si="221"/>
        <v>0</v>
      </c>
      <c r="H3886" s="21">
        <v>3871</v>
      </c>
      <c r="I3886" s="102">
        <v>0.66780990422432429</v>
      </c>
      <c r="J3886" s="103">
        <v>1.3723871130174622E-3</v>
      </c>
      <c r="K3886" s="103"/>
      <c r="L3886" s="103">
        <v>3.9199999999999999E-2</v>
      </c>
      <c r="O3886" s="100"/>
    </row>
    <row r="3887" spans="2:15" x14ac:dyDescent="0.2">
      <c r="B3887" s="1">
        <v>3872</v>
      </c>
      <c r="C3887" s="101">
        <f ca="1"/>
        <v>0.47486717696031855</v>
      </c>
      <c r="D3887" s="101">
        <f t="shared" ca="1" si="219"/>
        <v>0.69636898030828898</v>
      </c>
      <c r="E3887" s="101">
        <f t="shared" ca="1" si="220"/>
        <v>0</v>
      </c>
      <c r="F3887" s="21">
        <f t="shared" ca="1" si="221"/>
        <v>0</v>
      </c>
      <c r="H3887" s="21">
        <v>3872</v>
      </c>
      <c r="I3887" s="102">
        <v>0.66759359992314116</v>
      </c>
      <c r="J3887" s="103">
        <v>1.226342686019789E-3</v>
      </c>
      <c r="K3887" s="103"/>
      <c r="L3887" s="103">
        <v>4.0599999999999997E-2</v>
      </c>
      <c r="O3887" s="100"/>
    </row>
    <row r="3888" spans="2:15" x14ac:dyDescent="0.2">
      <c r="B3888" s="1">
        <v>3873</v>
      </c>
      <c r="C3888" s="101">
        <f ca="1"/>
        <v>-0.41543788681852878</v>
      </c>
      <c r="D3888" s="101">
        <f t="shared" ca="1" si="219"/>
        <v>0.63782170953499007</v>
      </c>
      <c r="E3888" s="101">
        <f t="shared" ca="1" si="220"/>
        <v>0</v>
      </c>
      <c r="F3888" s="21">
        <f t="shared" ca="1" si="221"/>
        <v>0</v>
      </c>
      <c r="H3888" s="21">
        <v>3873</v>
      </c>
      <c r="I3888" s="102">
        <v>0.6677750785445673</v>
      </c>
      <c r="J3888" s="103">
        <v>1.3939859151140001E-3</v>
      </c>
      <c r="K3888" s="103"/>
      <c r="L3888" s="103">
        <v>4.3400000000000001E-2</v>
      </c>
      <c r="O3888" s="100"/>
    </row>
    <row r="3889" spans="2:15" x14ac:dyDescent="0.2">
      <c r="B3889" s="1">
        <v>3874</v>
      </c>
      <c r="C3889" s="101">
        <f ca="1"/>
        <v>-0.80230841771821337</v>
      </c>
      <c r="D3889" s="101">
        <f t="shared" ca="1" si="219"/>
        <v>0.61394010227067763</v>
      </c>
      <c r="E3889" s="101">
        <f t="shared" ca="1" si="220"/>
        <v>0</v>
      </c>
      <c r="F3889" s="21">
        <f t="shared" ca="1" si="221"/>
        <v>0</v>
      </c>
      <c r="H3889" s="21">
        <v>3874</v>
      </c>
      <c r="I3889" s="102">
        <v>0.66773948244414982</v>
      </c>
      <c r="J3889" s="103">
        <v>1.3777252854164275E-3</v>
      </c>
      <c r="K3889" s="103"/>
      <c r="L3889" s="103">
        <v>4.1799999999999997E-2</v>
      </c>
      <c r="O3889" s="100"/>
    </row>
    <row r="3890" spans="2:15" x14ac:dyDescent="0.2">
      <c r="B3890" s="1">
        <v>3875</v>
      </c>
      <c r="C3890" s="101">
        <f ca="1"/>
        <v>1.2915951969115966</v>
      </c>
      <c r="D3890" s="101">
        <f t="shared" ca="1" si="219"/>
        <v>0.75479244083873032</v>
      </c>
      <c r="E3890" s="101">
        <f t="shared" ca="1" si="220"/>
        <v>0</v>
      </c>
      <c r="F3890" s="21">
        <f t="shared" ca="1" si="221"/>
        <v>0</v>
      </c>
      <c r="H3890" s="21">
        <v>3875</v>
      </c>
      <c r="I3890" s="102">
        <v>0.66766931731042911</v>
      </c>
      <c r="J3890" s="103">
        <v>1.3838901808761847E-3</v>
      </c>
      <c r="K3890" s="103"/>
      <c r="L3890" s="103">
        <v>3.8600000000000002E-2</v>
      </c>
      <c r="O3890" s="100"/>
    </row>
    <row r="3891" spans="2:15" x14ac:dyDescent="0.2">
      <c r="B3891" s="1">
        <v>3876</v>
      </c>
      <c r="C3891" s="101">
        <f ca="1"/>
        <v>-0.73268676168431124</v>
      </c>
      <c r="D3891" s="101">
        <f t="shared" ca="1" si="219"/>
        <v>0.61817089140216841</v>
      </c>
      <c r="E3891" s="101">
        <f t="shared" ca="1" si="220"/>
        <v>0</v>
      </c>
      <c r="F3891" s="21">
        <f t="shared" ca="1" si="221"/>
        <v>0</v>
      </c>
      <c r="H3891" s="21">
        <v>3876</v>
      </c>
      <c r="I3891" s="102">
        <v>0.66780431886769431</v>
      </c>
      <c r="J3891" s="103">
        <v>1.5620870764426475E-3</v>
      </c>
      <c r="K3891" s="103"/>
      <c r="L3891" s="103">
        <v>4.36E-2</v>
      </c>
      <c r="O3891" s="100"/>
    </row>
    <row r="3892" spans="2:15" x14ac:dyDescent="0.2">
      <c r="B3892" s="1">
        <v>3877</v>
      </c>
      <c r="C3892" s="101">
        <f ca="1"/>
        <v>-1.2967029207669758</v>
      </c>
      <c r="D3892" s="101">
        <f t="shared" ca="1" si="219"/>
        <v>0.58471797726933861</v>
      </c>
      <c r="E3892" s="101">
        <f t="shared" ca="1" si="220"/>
        <v>0</v>
      </c>
      <c r="F3892" s="21">
        <f t="shared" ca="1" si="221"/>
        <v>0</v>
      </c>
      <c r="H3892" s="21">
        <v>3877</v>
      </c>
      <c r="I3892" s="102">
        <v>0.66765487582527783</v>
      </c>
      <c r="J3892" s="103">
        <v>1.3050628297184084E-3</v>
      </c>
      <c r="K3892" s="103"/>
      <c r="L3892" s="103">
        <v>3.7400000000000003E-2</v>
      </c>
      <c r="O3892" s="100"/>
    </row>
    <row r="3893" spans="2:15" x14ac:dyDescent="0.2">
      <c r="B3893" s="1">
        <v>3878</v>
      </c>
      <c r="C3893" s="101">
        <f ca="1"/>
        <v>0.33559515772715615</v>
      </c>
      <c r="D3893" s="101">
        <f t="shared" ca="1" si="219"/>
        <v>0.68686769320108321</v>
      </c>
      <c r="E3893" s="101">
        <f t="shared" ca="1" si="220"/>
        <v>0</v>
      </c>
      <c r="F3893" s="21">
        <f t="shared" ca="1" si="221"/>
        <v>0</v>
      </c>
      <c r="H3893" s="21">
        <v>3878</v>
      </c>
      <c r="I3893" s="102">
        <v>0.66771182458426614</v>
      </c>
      <c r="J3893" s="103">
        <v>1.4316185156635079E-3</v>
      </c>
      <c r="K3893" s="103"/>
      <c r="L3893" s="103">
        <v>4.2999999999999997E-2</v>
      </c>
      <c r="O3893" s="100"/>
    </row>
    <row r="3894" spans="2:15" x14ac:dyDescent="0.2">
      <c r="B3894" s="1">
        <v>3879</v>
      </c>
      <c r="C3894" s="101">
        <f ca="1"/>
        <v>-1.4026397101001356</v>
      </c>
      <c r="D3894" s="101">
        <f t="shared" ca="1" si="219"/>
        <v>0.57863963717136446</v>
      </c>
      <c r="E3894" s="101">
        <f t="shared" ca="1" si="220"/>
        <v>0</v>
      </c>
      <c r="F3894" s="21">
        <f t="shared" ca="1" si="221"/>
        <v>0</v>
      </c>
      <c r="H3894" s="21">
        <v>3879</v>
      </c>
      <c r="I3894" s="102">
        <v>0.66765435033825238</v>
      </c>
      <c r="J3894" s="103">
        <v>1.3277907733079488E-3</v>
      </c>
      <c r="K3894" s="103"/>
      <c r="L3894" s="103">
        <v>3.7400000000000003E-2</v>
      </c>
      <c r="O3894" s="100"/>
    </row>
    <row r="3895" spans="2:15" x14ac:dyDescent="0.2">
      <c r="B3895" s="1">
        <v>3880</v>
      </c>
      <c r="C3895" s="101">
        <f ca="1"/>
        <v>-1.0133683530878468</v>
      </c>
      <c r="D3895" s="101">
        <f t="shared" ca="1" si="219"/>
        <v>0.60129047560183302</v>
      </c>
      <c r="E3895" s="101">
        <f t="shared" ca="1" si="220"/>
        <v>0</v>
      </c>
      <c r="F3895" s="21">
        <f t="shared" ca="1" si="221"/>
        <v>0</v>
      </c>
      <c r="H3895" s="21">
        <v>3880</v>
      </c>
      <c r="I3895" s="102">
        <v>0.66777494101536738</v>
      </c>
      <c r="J3895" s="103">
        <v>1.3747905377055163E-3</v>
      </c>
      <c r="K3895" s="103"/>
      <c r="L3895" s="103">
        <v>4.1200000000000001E-2</v>
      </c>
      <c r="O3895" s="100"/>
    </row>
    <row r="3896" spans="2:15" x14ac:dyDescent="0.2">
      <c r="B3896" s="1">
        <v>3881</v>
      </c>
      <c r="C3896" s="101">
        <f ca="1"/>
        <v>8.8751259822204179E-2</v>
      </c>
      <c r="D3896" s="101">
        <f t="shared" ca="1" si="219"/>
        <v>0.6703451158244067</v>
      </c>
      <c r="E3896" s="101">
        <f t="shared" ca="1" si="220"/>
        <v>0</v>
      </c>
      <c r="F3896" s="21">
        <f t="shared" ca="1" si="221"/>
        <v>0</v>
      </c>
      <c r="H3896" s="21">
        <v>3881</v>
      </c>
      <c r="I3896" s="102">
        <v>0.6678359157066891</v>
      </c>
      <c r="J3896" s="103">
        <v>1.4829159278723714E-3</v>
      </c>
      <c r="K3896" s="103"/>
      <c r="L3896" s="103">
        <v>4.2200000000000001E-2</v>
      </c>
      <c r="O3896" s="100"/>
    </row>
    <row r="3897" spans="2:15" x14ac:dyDescent="0.2">
      <c r="B3897" s="1">
        <v>3882</v>
      </c>
      <c r="C3897" s="101">
        <f ca="1"/>
        <v>-0.64038920681680489</v>
      </c>
      <c r="D3897" s="101">
        <f t="shared" ca="1" si="219"/>
        <v>0.62382463530912713</v>
      </c>
      <c r="E3897" s="101">
        <f t="shared" ca="1" si="220"/>
        <v>0</v>
      </c>
      <c r="F3897" s="21">
        <f t="shared" ca="1" si="221"/>
        <v>0</v>
      </c>
      <c r="H3897" s="21">
        <v>3882</v>
      </c>
      <c r="I3897" s="102">
        <v>0.66787714485243399</v>
      </c>
      <c r="J3897" s="103">
        <v>1.5122617512810725E-3</v>
      </c>
      <c r="K3897" s="103"/>
      <c r="L3897" s="103">
        <v>4.7399999999999998E-2</v>
      </c>
      <c r="O3897" s="100"/>
    </row>
    <row r="3898" spans="2:15" x14ac:dyDescent="0.2">
      <c r="B3898" s="1">
        <v>3883</v>
      </c>
      <c r="C3898" s="101">
        <f ca="1"/>
        <v>0.97770035210039374</v>
      </c>
      <c r="D3898" s="101">
        <f t="shared" ca="1" si="219"/>
        <v>0.73177990682519733</v>
      </c>
      <c r="E3898" s="101">
        <f t="shared" ca="1" si="220"/>
        <v>0</v>
      </c>
      <c r="F3898" s="21">
        <f t="shared" ca="1" si="221"/>
        <v>0</v>
      </c>
      <c r="H3898" s="21">
        <v>3883</v>
      </c>
      <c r="I3898" s="102">
        <v>0.66796946648439703</v>
      </c>
      <c r="J3898" s="103">
        <v>1.6781561302764007E-3</v>
      </c>
      <c r="K3898" s="103"/>
      <c r="L3898" s="103">
        <v>4.7199999999999999E-2</v>
      </c>
      <c r="O3898" s="100"/>
    </row>
    <row r="3899" spans="2:15" x14ac:dyDescent="0.2">
      <c r="B3899" s="1">
        <v>3884</v>
      </c>
      <c r="C3899" s="101">
        <f ca="1"/>
        <v>2.1491788372709122</v>
      </c>
      <c r="D3899" s="101">
        <f t="shared" ca="1" si="219"/>
        <v>0.82142117955883731</v>
      </c>
      <c r="E3899" s="101">
        <f t="shared" ca="1" si="220"/>
        <v>3.3221179558837299E-2</v>
      </c>
      <c r="F3899" s="21">
        <f t="shared" ca="1" si="221"/>
        <v>1</v>
      </c>
      <c r="H3899" s="21">
        <v>3884</v>
      </c>
      <c r="I3899" s="102">
        <v>0.66775148179413246</v>
      </c>
      <c r="J3899" s="103">
        <v>1.4661533760966475E-3</v>
      </c>
      <c r="K3899" s="103"/>
      <c r="L3899" s="103">
        <v>4.3200000000000002E-2</v>
      </c>
      <c r="O3899" s="100"/>
    </row>
    <row r="3900" spans="2:15" x14ac:dyDescent="0.2">
      <c r="B3900" s="1">
        <v>3885</v>
      </c>
      <c r="C3900" s="101">
        <f ca="1"/>
        <v>-1.483886797422123</v>
      </c>
      <c r="D3900" s="101">
        <f t="shared" ca="1" si="219"/>
        <v>0.57402076699323956</v>
      </c>
      <c r="E3900" s="101">
        <f t="shared" ca="1" si="220"/>
        <v>0</v>
      </c>
      <c r="F3900" s="21">
        <f t="shared" ca="1" si="221"/>
        <v>0</v>
      </c>
      <c r="H3900" s="21">
        <v>3885</v>
      </c>
      <c r="I3900" s="102">
        <v>0.66782874680857385</v>
      </c>
      <c r="J3900" s="103">
        <v>1.6138089752753292E-3</v>
      </c>
      <c r="K3900" s="103"/>
      <c r="L3900" s="103">
        <v>4.4600000000000001E-2</v>
      </c>
      <c r="O3900" s="100"/>
    </row>
    <row r="3901" spans="2:15" x14ac:dyDescent="0.2">
      <c r="B3901" s="1">
        <v>3886</v>
      </c>
      <c r="C3901" s="101">
        <f ca="1"/>
        <v>-0.58881871905821725</v>
      </c>
      <c r="D3901" s="101">
        <f t="shared" ca="1" si="219"/>
        <v>0.62700610472979423</v>
      </c>
      <c r="E3901" s="101">
        <f t="shared" ca="1" si="220"/>
        <v>0</v>
      </c>
      <c r="F3901" s="21">
        <f t="shared" ca="1" si="221"/>
        <v>0</v>
      </c>
      <c r="H3901" s="21">
        <v>3886</v>
      </c>
      <c r="I3901" s="102">
        <v>0.66776045869434819</v>
      </c>
      <c r="J3901" s="103">
        <v>1.5203747315548348E-3</v>
      </c>
      <c r="K3901" s="103"/>
      <c r="L3901" s="103">
        <v>3.9399999999999998E-2</v>
      </c>
      <c r="O3901" s="100"/>
    </row>
    <row r="3902" spans="2:15" x14ac:dyDescent="0.2">
      <c r="B3902" s="1">
        <v>3887</v>
      </c>
      <c r="C3902" s="101">
        <f ca="1"/>
        <v>-2.1226449358747113</v>
      </c>
      <c r="D3902" s="101">
        <f t="shared" ca="1" si="219"/>
        <v>0.53896876831590301</v>
      </c>
      <c r="E3902" s="101">
        <f t="shared" ca="1" si="220"/>
        <v>0</v>
      </c>
      <c r="F3902" s="21">
        <f t="shared" ca="1" si="221"/>
        <v>0</v>
      </c>
      <c r="H3902" s="21">
        <v>3887</v>
      </c>
      <c r="I3902" s="102">
        <v>0.66782854258011048</v>
      </c>
      <c r="J3902" s="103">
        <v>1.5443406740854894E-3</v>
      </c>
      <c r="K3902" s="103"/>
      <c r="L3902" s="103">
        <v>4.4999999999999998E-2</v>
      </c>
      <c r="O3902" s="100"/>
    </row>
    <row r="3903" spans="2:15" x14ac:dyDescent="0.2">
      <c r="B3903" s="1">
        <v>3888</v>
      </c>
      <c r="C3903" s="101">
        <f ca="1"/>
        <v>1.7076798270242646</v>
      </c>
      <c r="D3903" s="101">
        <f t="shared" ca="1" si="219"/>
        <v>0.78641601863531552</v>
      </c>
      <c r="E3903" s="101">
        <f t="shared" ca="1" si="220"/>
        <v>0</v>
      </c>
      <c r="F3903" s="21">
        <f t="shared" ca="1" si="221"/>
        <v>0</v>
      </c>
      <c r="H3903" s="21">
        <v>3888</v>
      </c>
      <c r="I3903" s="102">
        <v>0.66773031220954826</v>
      </c>
      <c r="J3903" s="103">
        <v>1.3929142329858306E-3</v>
      </c>
      <c r="K3903" s="103"/>
      <c r="L3903" s="103">
        <v>4.1000000000000002E-2</v>
      </c>
      <c r="O3903" s="100"/>
    </row>
    <row r="3904" spans="2:15" x14ac:dyDescent="0.2">
      <c r="B3904" s="1">
        <v>3889</v>
      </c>
      <c r="C3904" s="101">
        <f ca="1"/>
        <v>0.11195478192446054</v>
      </c>
      <c r="D3904" s="101">
        <f t="shared" ca="1" si="219"/>
        <v>0.67188117649424828</v>
      </c>
      <c r="E3904" s="101">
        <f t="shared" ca="1" si="220"/>
        <v>0</v>
      </c>
      <c r="F3904" s="21">
        <f t="shared" ca="1" si="221"/>
        <v>0</v>
      </c>
      <c r="H3904" s="21">
        <v>3889</v>
      </c>
      <c r="I3904" s="102">
        <v>0.66781299813170958</v>
      </c>
      <c r="J3904" s="103">
        <v>1.3294685998560395E-3</v>
      </c>
      <c r="K3904" s="103"/>
      <c r="L3904" s="103">
        <v>4.3200000000000002E-2</v>
      </c>
      <c r="O3904" s="100"/>
    </row>
    <row r="3905" spans="2:15" x14ac:dyDescent="0.2">
      <c r="B3905" s="1">
        <v>3890</v>
      </c>
      <c r="C3905" s="101">
        <f ca="1"/>
        <v>-0.35929870205855979</v>
      </c>
      <c r="D3905" s="101">
        <f t="shared" ca="1" si="219"/>
        <v>0.64136353648720534</v>
      </c>
      <c r="E3905" s="101">
        <f t="shared" ca="1" si="220"/>
        <v>0</v>
      </c>
      <c r="F3905" s="21">
        <f t="shared" ca="1" si="221"/>
        <v>0</v>
      </c>
      <c r="H3905" s="21">
        <v>3890</v>
      </c>
      <c r="I3905" s="102">
        <v>0.6678035873441126</v>
      </c>
      <c r="J3905" s="103">
        <v>1.4296684124012399E-3</v>
      </c>
      <c r="K3905" s="103"/>
      <c r="L3905" s="103">
        <v>4.2000000000000003E-2</v>
      </c>
      <c r="O3905" s="100"/>
    </row>
    <row r="3906" spans="2:15" x14ac:dyDescent="0.2">
      <c r="B3906" s="1">
        <v>3891</v>
      </c>
      <c r="C3906" s="101">
        <f ca="1"/>
        <v>1.7501504617420836</v>
      </c>
      <c r="D3906" s="101">
        <f t="shared" ca="1" si="219"/>
        <v>0.78971750895943071</v>
      </c>
      <c r="E3906" s="101">
        <f t="shared" ca="1" si="220"/>
        <v>1.5175089594307023E-3</v>
      </c>
      <c r="F3906" s="21">
        <f t="shared" ca="1" si="221"/>
        <v>1</v>
      </c>
      <c r="H3906" s="21">
        <v>3891</v>
      </c>
      <c r="I3906" s="102">
        <v>0.66769149752529022</v>
      </c>
      <c r="J3906" s="103">
        <v>1.2847465222386868E-3</v>
      </c>
      <c r="K3906" s="103"/>
      <c r="L3906" s="103">
        <v>4.1200000000000001E-2</v>
      </c>
      <c r="O3906" s="100"/>
    </row>
    <row r="3907" spans="2:15" x14ac:dyDescent="0.2">
      <c r="B3907" s="1">
        <v>3892</v>
      </c>
      <c r="C3907" s="101">
        <f ca="1"/>
        <v>-0.58574299451260248</v>
      </c>
      <c r="D3907" s="101">
        <f t="shared" ca="1" si="219"/>
        <v>0.62719636319595407</v>
      </c>
      <c r="E3907" s="101">
        <f t="shared" ca="1" si="220"/>
        <v>0</v>
      </c>
      <c r="F3907" s="21">
        <f t="shared" ca="1" si="221"/>
        <v>0</v>
      </c>
      <c r="H3907" s="21">
        <v>3892</v>
      </c>
      <c r="I3907" s="102">
        <v>0.66767409072701067</v>
      </c>
      <c r="J3907" s="103">
        <v>1.1550378237487637E-3</v>
      </c>
      <c r="K3907" s="103"/>
      <c r="L3907" s="103">
        <v>3.8399999999999997E-2</v>
      </c>
      <c r="O3907" s="100"/>
    </row>
    <row r="3908" spans="2:15" x14ac:dyDescent="0.2">
      <c r="B3908" s="1">
        <v>3893</v>
      </c>
      <c r="C3908" s="101">
        <f ca="1"/>
        <v>0.38750629085083044</v>
      </c>
      <c r="D3908" s="101">
        <f t="shared" ca="1" si="219"/>
        <v>0.69039387658207751</v>
      </c>
      <c r="E3908" s="101">
        <f t="shared" ca="1" si="220"/>
        <v>0</v>
      </c>
      <c r="F3908" s="21">
        <f t="shared" ca="1" si="221"/>
        <v>0</v>
      </c>
      <c r="H3908" s="21">
        <v>3893</v>
      </c>
      <c r="I3908" s="102">
        <v>0.66764162067963861</v>
      </c>
      <c r="J3908" s="103">
        <v>1.2102440597910288E-3</v>
      </c>
      <c r="K3908" s="103"/>
      <c r="L3908" s="103">
        <v>3.8399999999999997E-2</v>
      </c>
      <c r="O3908" s="100"/>
    </row>
    <row r="3909" spans="2:15" x14ac:dyDescent="0.2">
      <c r="B3909" s="1">
        <v>3894</v>
      </c>
      <c r="C3909" s="101">
        <f ca="1"/>
        <v>0.63135995151041235</v>
      </c>
      <c r="D3909" s="101">
        <f t="shared" ca="1" si="219"/>
        <v>0.70720198540299617</v>
      </c>
      <c r="E3909" s="101">
        <f t="shared" ca="1" si="220"/>
        <v>0</v>
      </c>
      <c r="F3909" s="21">
        <f t="shared" ca="1" si="221"/>
        <v>0</v>
      </c>
      <c r="H3909" s="21">
        <v>3894</v>
      </c>
      <c r="I3909" s="102">
        <v>0.66778286134862874</v>
      </c>
      <c r="J3909" s="103">
        <v>1.3720747966430643E-3</v>
      </c>
      <c r="K3909" s="103"/>
      <c r="L3909" s="103">
        <v>4.2200000000000001E-2</v>
      </c>
      <c r="O3909" s="100"/>
    </row>
    <row r="3910" spans="2:15" x14ac:dyDescent="0.2">
      <c r="B3910" s="1">
        <v>3895</v>
      </c>
      <c r="C3910" s="101">
        <f ca="1"/>
        <v>0.28644231727435043</v>
      </c>
      <c r="D3910" s="101">
        <f t="shared" ca="1" si="219"/>
        <v>0.68354547466382565</v>
      </c>
      <c r="E3910" s="101">
        <f t="shared" ca="1" si="220"/>
        <v>0</v>
      </c>
      <c r="F3910" s="21">
        <f t="shared" ca="1" si="221"/>
        <v>0</v>
      </c>
      <c r="H3910" s="21">
        <v>3895</v>
      </c>
      <c r="I3910" s="102">
        <v>0.6678558331475476</v>
      </c>
      <c r="J3910" s="103">
        <v>1.4030572678302956E-3</v>
      </c>
      <c r="K3910" s="103"/>
      <c r="L3910" s="103">
        <v>4.24E-2</v>
      </c>
      <c r="O3910" s="100"/>
    </row>
    <row r="3911" spans="2:15" x14ac:dyDescent="0.2">
      <c r="B3911" s="1">
        <v>3896</v>
      </c>
      <c r="C3911" s="101">
        <f ca="1"/>
        <v>-0.53867780743711857</v>
      </c>
      <c r="D3911" s="101">
        <f t="shared" ca="1" si="219"/>
        <v>0.63011493735669943</v>
      </c>
      <c r="E3911" s="101">
        <f t="shared" ca="1" si="220"/>
        <v>0</v>
      </c>
      <c r="F3911" s="21">
        <f t="shared" ca="1" si="221"/>
        <v>0</v>
      </c>
      <c r="H3911" s="21">
        <v>3896</v>
      </c>
      <c r="I3911" s="102">
        <v>0.66766166327268317</v>
      </c>
      <c r="J3911" s="103">
        <v>1.2612543420596656E-3</v>
      </c>
      <c r="K3911" s="103"/>
      <c r="L3911" s="103">
        <v>3.8399999999999997E-2</v>
      </c>
      <c r="O3911" s="100"/>
    </row>
    <row r="3912" spans="2:15" x14ac:dyDescent="0.2">
      <c r="B3912" s="1">
        <v>3897</v>
      </c>
      <c r="C3912" s="101">
        <f ca="1"/>
        <v>8.1313750154172387E-2</v>
      </c>
      <c r="D3912" s="101">
        <f t="shared" ca="1" si="219"/>
        <v>0.66985350029409918</v>
      </c>
      <c r="E3912" s="101">
        <f t="shared" ca="1" si="220"/>
        <v>0</v>
      </c>
      <c r="F3912" s="21">
        <f t="shared" ca="1" si="221"/>
        <v>0</v>
      </c>
      <c r="H3912" s="21">
        <v>3897</v>
      </c>
      <c r="I3912" s="102">
        <v>0.66751330592212466</v>
      </c>
      <c r="J3912" s="103">
        <v>1.0610923493402681E-3</v>
      </c>
      <c r="K3912" s="103"/>
      <c r="L3912" s="103">
        <v>3.4599999999999999E-2</v>
      </c>
      <c r="O3912" s="100"/>
    </row>
    <row r="3913" spans="2:15" x14ac:dyDescent="0.2">
      <c r="B3913" s="1">
        <v>3898</v>
      </c>
      <c r="C3913" s="101">
        <f ca="1"/>
        <v>1.6025366052718519</v>
      </c>
      <c r="D3913" s="101">
        <f t="shared" ca="1" si="219"/>
        <v>0.77830188150214608</v>
      </c>
      <c r="E3913" s="101">
        <f t="shared" ca="1" si="220"/>
        <v>0</v>
      </c>
      <c r="F3913" s="21">
        <f t="shared" ca="1" si="221"/>
        <v>0</v>
      </c>
      <c r="H3913" s="21">
        <v>3898</v>
      </c>
      <c r="I3913" s="102">
        <v>0.66774717868055433</v>
      </c>
      <c r="J3913" s="103">
        <v>1.3230855705076777E-3</v>
      </c>
      <c r="K3913" s="103"/>
      <c r="L3913" s="103">
        <v>4.36E-2</v>
      </c>
      <c r="O3913" s="100"/>
    </row>
    <row r="3914" spans="2:15" x14ac:dyDescent="0.2">
      <c r="B3914" s="1">
        <v>3899</v>
      </c>
      <c r="C3914" s="101">
        <f ca="1"/>
        <v>1.4317539081928716</v>
      </c>
      <c r="D3914" s="101">
        <f t="shared" ca="1" si="219"/>
        <v>0.76530024944175867</v>
      </c>
      <c r="E3914" s="101">
        <f t="shared" ca="1" si="220"/>
        <v>0</v>
      </c>
      <c r="F3914" s="21">
        <f t="shared" ca="1" si="221"/>
        <v>0</v>
      </c>
      <c r="H3914" s="21">
        <v>3899</v>
      </c>
      <c r="I3914" s="102">
        <v>0.66781130493959895</v>
      </c>
      <c r="J3914" s="103">
        <v>1.4678471140053561E-3</v>
      </c>
      <c r="K3914" s="103"/>
      <c r="L3914" s="103">
        <v>4.0800000000000003E-2</v>
      </c>
      <c r="O3914" s="100"/>
    </row>
    <row r="3915" spans="2:15" x14ac:dyDescent="0.2">
      <c r="B3915" s="1">
        <v>3900</v>
      </c>
      <c r="C3915" s="101">
        <f ca="1"/>
        <v>-0.20853742711471507</v>
      </c>
      <c r="D3915" s="101">
        <f t="shared" ca="1" si="219"/>
        <v>0.65097271429060488</v>
      </c>
      <c r="E3915" s="101">
        <f t="shared" ca="1" si="220"/>
        <v>0</v>
      </c>
      <c r="F3915" s="21">
        <f t="shared" ca="1" si="221"/>
        <v>0</v>
      </c>
      <c r="H3915" s="21">
        <v>3900</v>
      </c>
      <c r="I3915" s="102">
        <v>0.66778628711708177</v>
      </c>
      <c r="J3915" s="103">
        <v>1.4658920606436642E-3</v>
      </c>
      <c r="K3915" s="103"/>
      <c r="L3915" s="103">
        <v>4.2999999999999997E-2</v>
      </c>
      <c r="O3915" s="100"/>
    </row>
    <row r="3916" spans="2:15" x14ac:dyDescent="0.2">
      <c r="B3916" s="1">
        <v>3901</v>
      </c>
      <c r="C3916" s="101">
        <f ca="1"/>
        <v>0.31119769220685251</v>
      </c>
      <c r="D3916" s="101">
        <f t="shared" ca="1" si="219"/>
        <v>0.68521666602439235</v>
      </c>
      <c r="E3916" s="101">
        <f t="shared" ca="1" si="220"/>
        <v>0</v>
      </c>
      <c r="F3916" s="21">
        <f t="shared" ca="1" si="221"/>
        <v>0</v>
      </c>
      <c r="H3916" s="21">
        <v>3901</v>
      </c>
      <c r="I3916" s="102">
        <v>0.66768304136290824</v>
      </c>
      <c r="J3916" s="103">
        <v>1.3665139885897196E-3</v>
      </c>
      <c r="K3916" s="103"/>
      <c r="L3916" s="103">
        <v>3.7199999999999997E-2</v>
      </c>
      <c r="O3916" s="100"/>
    </row>
    <row r="3917" spans="2:15" x14ac:dyDescent="0.2">
      <c r="B3917" s="1">
        <v>3902</v>
      </c>
      <c r="C3917" s="101">
        <f ca="1"/>
        <v>-1.9916402067577448</v>
      </c>
      <c r="D3917" s="101">
        <f t="shared" ca="1" si="219"/>
        <v>0.54597877733336075</v>
      </c>
      <c r="E3917" s="101">
        <f t="shared" ca="1" si="220"/>
        <v>0</v>
      </c>
      <c r="F3917" s="21">
        <f t="shared" ca="1" si="221"/>
        <v>0</v>
      </c>
      <c r="H3917" s="21">
        <v>3902</v>
      </c>
      <c r="I3917" s="102">
        <v>0.66756563989945716</v>
      </c>
      <c r="J3917" s="103">
        <v>1.1929186233362859E-3</v>
      </c>
      <c r="K3917" s="103"/>
      <c r="L3917" s="103">
        <v>3.7999999999999999E-2</v>
      </c>
      <c r="O3917" s="100"/>
    </row>
    <row r="3918" spans="2:15" x14ac:dyDescent="0.2">
      <c r="B3918" s="1">
        <v>3903</v>
      </c>
      <c r="C3918" s="101">
        <f ca="1"/>
        <v>-0.31187366811815331</v>
      </c>
      <c r="D3918" s="101">
        <f t="shared" ca="1" si="219"/>
        <v>0.64437090772563588</v>
      </c>
      <c r="E3918" s="101">
        <f t="shared" ca="1" si="220"/>
        <v>0</v>
      </c>
      <c r="F3918" s="21">
        <f t="shared" ca="1" si="221"/>
        <v>0</v>
      </c>
      <c r="H3918" s="21">
        <v>3903</v>
      </c>
      <c r="I3918" s="102">
        <v>0.66769000618173091</v>
      </c>
      <c r="J3918" s="103">
        <v>1.3775244682469362E-3</v>
      </c>
      <c r="K3918" s="103"/>
      <c r="L3918" s="103">
        <v>4.1399999999999999E-2</v>
      </c>
      <c r="O3918" s="100"/>
    </row>
    <row r="3919" spans="2:15" x14ac:dyDescent="0.2">
      <c r="B3919" s="1">
        <v>3904</v>
      </c>
      <c r="C3919" s="101">
        <f ca="1"/>
        <v>-0.44710509443908159</v>
      </c>
      <c r="D3919" s="101">
        <f t="shared" ca="1" si="219"/>
        <v>0.63583245735763494</v>
      </c>
      <c r="E3919" s="101">
        <f t="shared" ca="1" si="220"/>
        <v>0</v>
      </c>
      <c r="F3919" s="21">
        <f t="shared" ca="1" si="221"/>
        <v>0</v>
      </c>
      <c r="H3919" s="21">
        <v>3904</v>
      </c>
      <c r="I3919" s="102">
        <v>0.66771640388085174</v>
      </c>
      <c r="J3919" s="103">
        <v>1.4202409097400634E-3</v>
      </c>
      <c r="K3919" s="103"/>
      <c r="L3919" s="103">
        <v>4.2599999999999999E-2</v>
      </c>
      <c r="O3919" s="100"/>
    </row>
    <row r="3920" spans="2:15" x14ac:dyDescent="0.2">
      <c r="B3920" s="1">
        <v>3905</v>
      </c>
      <c r="C3920" s="101">
        <f ca="1"/>
        <v>1.2614809866393026</v>
      </c>
      <c r="D3920" s="101">
        <f t="shared" ref="D3920:D3983" ca="1" si="222">S0*EXP((μ-0.5*σ*σ)*T+σ*SQRT(T)*$C3920)</f>
        <v>0.75255365245998618</v>
      </c>
      <c r="E3920" s="101">
        <f t="shared" ref="E3920:E3983" ca="1" si="223">MAX(0,CP*(D3920-K))</f>
        <v>0</v>
      </c>
      <c r="F3920" s="21">
        <f t="shared" ref="F3920:F3983" ca="1" si="224">(CP*(D3920-K)&gt;0)*1</f>
        <v>0</v>
      </c>
      <c r="H3920" s="21">
        <v>3905</v>
      </c>
      <c r="I3920" s="102">
        <v>0.66783656116435441</v>
      </c>
      <c r="J3920" s="103">
        <v>1.3939211731755466E-3</v>
      </c>
      <c r="K3920" s="103"/>
      <c r="L3920" s="103">
        <v>4.4400000000000002E-2</v>
      </c>
      <c r="O3920" s="100"/>
    </row>
    <row r="3921" spans="2:15" x14ac:dyDescent="0.2">
      <c r="B3921" s="1">
        <v>3906</v>
      </c>
      <c r="C3921" s="101">
        <f ca="1"/>
        <v>0.24275525331477624</v>
      </c>
      <c r="D3921" s="101">
        <f t="shared" ca="1" si="222"/>
        <v>0.68060617581789251</v>
      </c>
      <c r="E3921" s="101">
        <f t="shared" ca="1" si="223"/>
        <v>0</v>
      </c>
      <c r="F3921" s="21">
        <f t="shared" ca="1" si="224"/>
        <v>0</v>
      </c>
      <c r="H3921" s="21">
        <v>3906</v>
      </c>
      <c r="I3921" s="102">
        <v>0.66787649866621335</v>
      </c>
      <c r="J3921" s="103">
        <v>1.6160963027247548E-3</v>
      </c>
      <c r="K3921" s="103"/>
      <c r="L3921" s="103">
        <v>4.7399999999999998E-2</v>
      </c>
      <c r="O3921" s="100"/>
    </row>
    <row r="3922" spans="2:15" x14ac:dyDescent="0.2">
      <c r="B3922" s="1">
        <v>3907</v>
      </c>
      <c r="C3922" s="101">
        <f ca="1"/>
        <v>-0.63849225162946488</v>
      </c>
      <c r="D3922" s="101">
        <f t="shared" ca="1" si="222"/>
        <v>0.62394137515788872</v>
      </c>
      <c r="E3922" s="101">
        <f t="shared" ca="1" si="223"/>
        <v>0</v>
      </c>
      <c r="F3922" s="21">
        <f t="shared" ca="1" si="224"/>
        <v>0</v>
      </c>
      <c r="H3922" s="21">
        <v>3907</v>
      </c>
      <c r="I3922" s="102">
        <v>0.66767529388229796</v>
      </c>
      <c r="J3922" s="103">
        <v>1.4086624079961715E-3</v>
      </c>
      <c r="K3922" s="103"/>
      <c r="L3922" s="103">
        <v>3.8199999999999998E-2</v>
      </c>
      <c r="O3922" s="100"/>
    </row>
    <row r="3923" spans="2:15" x14ac:dyDescent="0.2">
      <c r="B3923" s="1">
        <v>3908</v>
      </c>
      <c r="C3923" s="101">
        <f ca="1"/>
        <v>1.24877091873302</v>
      </c>
      <c r="D3923" s="101">
        <f t="shared" ca="1" si="222"/>
        <v>0.75161073859430672</v>
      </c>
      <c r="E3923" s="101">
        <f t="shared" ca="1" si="223"/>
        <v>0</v>
      </c>
      <c r="F3923" s="21">
        <f t="shared" ca="1" si="224"/>
        <v>0</v>
      </c>
      <c r="H3923" s="21">
        <v>3908</v>
      </c>
      <c r="I3923" s="102">
        <v>0.6677272567584569</v>
      </c>
      <c r="J3923" s="103">
        <v>1.4361275590116097E-3</v>
      </c>
      <c r="K3923" s="103"/>
      <c r="L3923" s="103">
        <v>4.1000000000000002E-2</v>
      </c>
      <c r="O3923" s="100"/>
    </row>
    <row r="3924" spans="2:15" x14ac:dyDescent="0.2">
      <c r="B3924" s="1">
        <v>3909</v>
      </c>
      <c r="C3924" s="101">
        <f ca="1"/>
        <v>1.8084496063435502</v>
      </c>
      <c r="D3924" s="101">
        <f t="shared" ca="1" si="222"/>
        <v>0.79427202460533497</v>
      </c>
      <c r="E3924" s="101">
        <f t="shared" ca="1" si="223"/>
        <v>6.072024605334958E-3</v>
      </c>
      <c r="F3924" s="21">
        <f t="shared" ca="1" si="224"/>
        <v>1</v>
      </c>
      <c r="H3924" s="21">
        <v>3909</v>
      </c>
      <c r="I3924" s="102">
        <v>0.66780235826337186</v>
      </c>
      <c r="J3924" s="103">
        <v>1.5179447299225133E-3</v>
      </c>
      <c r="K3924" s="103"/>
      <c r="L3924" s="103">
        <v>4.1799999999999997E-2</v>
      </c>
      <c r="O3924" s="100"/>
    </row>
    <row r="3925" spans="2:15" x14ac:dyDescent="0.2">
      <c r="B3925" s="1">
        <v>3910</v>
      </c>
      <c r="C3925" s="101">
        <f ca="1"/>
        <v>1.5466686372204452</v>
      </c>
      <c r="D3925" s="101">
        <f t="shared" ca="1" si="222"/>
        <v>0.77402454190683245</v>
      </c>
      <c r="E3925" s="101">
        <f t="shared" ca="1" si="223"/>
        <v>0</v>
      </c>
      <c r="F3925" s="21">
        <f t="shared" ca="1" si="224"/>
        <v>0</v>
      </c>
      <c r="H3925" s="21">
        <v>3910</v>
      </c>
      <c r="I3925" s="102">
        <v>0.66784124667091294</v>
      </c>
      <c r="J3925" s="103">
        <v>1.3792352782709811E-3</v>
      </c>
      <c r="K3925" s="103"/>
      <c r="L3925" s="103">
        <v>4.02E-2</v>
      </c>
      <c r="O3925" s="100"/>
    </row>
    <row r="3926" spans="2:15" x14ac:dyDescent="0.2">
      <c r="B3926" s="1">
        <v>3911</v>
      </c>
      <c r="C3926" s="101">
        <f ca="1"/>
        <v>-1.094255898167984</v>
      </c>
      <c r="D3926" s="101">
        <f t="shared" ca="1" si="222"/>
        <v>0.59651195518460143</v>
      </c>
      <c r="E3926" s="101">
        <f t="shared" ca="1" si="223"/>
        <v>0</v>
      </c>
      <c r="F3926" s="21">
        <f t="shared" ca="1" si="224"/>
        <v>0</v>
      </c>
      <c r="H3926" s="21">
        <v>3911</v>
      </c>
      <c r="I3926" s="102">
        <v>0.66769769245707677</v>
      </c>
      <c r="J3926" s="103">
        <v>1.4407553842756059E-3</v>
      </c>
      <c r="K3926" s="103"/>
      <c r="L3926" s="103">
        <v>4.2000000000000003E-2</v>
      </c>
      <c r="O3926" s="100"/>
    </row>
    <row r="3927" spans="2:15" x14ac:dyDescent="0.2">
      <c r="B3927" s="1">
        <v>3912</v>
      </c>
      <c r="C3927" s="101">
        <f ca="1"/>
        <v>0.95245756129084291</v>
      </c>
      <c r="D3927" s="101">
        <f t="shared" ca="1" si="222"/>
        <v>0.72996005441247891</v>
      </c>
      <c r="E3927" s="101">
        <f t="shared" ca="1" si="223"/>
        <v>0</v>
      </c>
      <c r="F3927" s="21">
        <f t="shared" ca="1" si="224"/>
        <v>0</v>
      </c>
      <c r="H3927" s="21">
        <v>3912</v>
      </c>
      <c r="I3927" s="102">
        <v>0.66768316912683301</v>
      </c>
      <c r="J3927" s="103">
        <v>1.2673234901149826E-3</v>
      </c>
      <c r="K3927" s="103"/>
      <c r="L3927" s="103">
        <v>4.2200000000000001E-2</v>
      </c>
      <c r="O3927" s="100"/>
    </row>
    <row r="3928" spans="2:15" x14ac:dyDescent="0.2">
      <c r="B3928" s="1">
        <v>3913</v>
      </c>
      <c r="C3928" s="101">
        <f ca="1"/>
        <v>0.21727865027324106</v>
      </c>
      <c r="D3928" s="101">
        <f t="shared" ca="1" si="222"/>
        <v>0.67889792860905773</v>
      </c>
      <c r="E3928" s="101">
        <f t="shared" ca="1" si="223"/>
        <v>0</v>
      </c>
      <c r="F3928" s="21">
        <f t="shared" ca="1" si="224"/>
        <v>0</v>
      </c>
      <c r="H3928" s="21">
        <v>3913</v>
      </c>
      <c r="I3928" s="102">
        <v>0.66767877966619604</v>
      </c>
      <c r="J3928" s="103">
        <v>1.2371532384055173E-3</v>
      </c>
      <c r="K3928" s="103"/>
      <c r="L3928" s="103">
        <v>4.3999999999999997E-2</v>
      </c>
      <c r="O3928" s="100"/>
    </row>
    <row r="3929" spans="2:15" x14ac:dyDescent="0.2">
      <c r="B3929" s="1">
        <v>3914</v>
      </c>
      <c r="C3929" s="101">
        <f ca="1"/>
        <v>-6.7199356379392602E-2</v>
      </c>
      <c r="D3929" s="101">
        <f t="shared" ca="1" si="222"/>
        <v>0.6601119900213388</v>
      </c>
      <c r="E3929" s="101">
        <f t="shared" ca="1" si="223"/>
        <v>0</v>
      </c>
      <c r="F3929" s="21">
        <f t="shared" ca="1" si="224"/>
        <v>0</v>
      </c>
      <c r="H3929" s="21">
        <v>3914</v>
      </c>
      <c r="I3929" s="102">
        <v>0.66774351388871322</v>
      </c>
      <c r="J3929" s="103">
        <v>1.4453155942197619E-3</v>
      </c>
      <c r="K3929" s="103"/>
      <c r="L3929" s="103">
        <v>4.36E-2</v>
      </c>
      <c r="O3929" s="100"/>
    </row>
    <row r="3930" spans="2:15" x14ac:dyDescent="0.2">
      <c r="B3930" s="1">
        <v>3915</v>
      </c>
      <c r="C3930" s="101">
        <f ca="1"/>
        <v>4.1352099421013574E-2</v>
      </c>
      <c r="D3930" s="101">
        <f t="shared" ca="1" si="222"/>
        <v>0.66721822211207915</v>
      </c>
      <c r="E3930" s="101">
        <f t="shared" ca="1" si="223"/>
        <v>0</v>
      </c>
      <c r="F3930" s="21">
        <f t="shared" ca="1" si="224"/>
        <v>0</v>
      </c>
      <c r="H3930" s="21">
        <v>3915</v>
      </c>
      <c r="I3930" s="102">
        <v>0.66766941549480896</v>
      </c>
      <c r="J3930" s="103">
        <v>1.2202999575517345E-3</v>
      </c>
      <c r="K3930" s="103"/>
      <c r="L3930" s="103">
        <v>3.8399999999999997E-2</v>
      </c>
      <c r="O3930" s="100"/>
    </row>
    <row r="3931" spans="2:15" x14ac:dyDescent="0.2">
      <c r="B3931" s="1">
        <v>3916</v>
      </c>
      <c r="C3931" s="101">
        <f ca="1"/>
        <v>-0.90498088245407582</v>
      </c>
      <c r="D3931" s="101">
        <f t="shared" ca="1" si="222"/>
        <v>0.60775365188710417</v>
      </c>
      <c r="E3931" s="101">
        <f t="shared" ca="1" si="223"/>
        <v>0</v>
      </c>
      <c r="F3931" s="21">
        <f t="shared" ca="1" si="224"/>
        <v>0</v>
      </c>
      <c r="H3931" s="21">
        <v>3916</v>
      </c>
      <c r="I3931" s="102">
        <v>0.66783881331395534</v>
      </c>
      <c r="J3931" s="103">
        <v>1.3927316774197311E-3</v>
      </c>
      <c r="K3931" s="103"/>
      <c r="L3931" s="103">
        <v>4.2000000000000003E-2</v>
      </c>
      <c r="O3931" s="100"/>
    </row>
    <row r="3932" spans="2:15" x14ac:dyDescent="0.2">
      <c r="B3932" s="1">
        <v>3917</v>
      </c>
      <c r="C3932" s="101">
        <f ca="1"/>
        <v>-1.8507531034593847</v>
      </c>
      <c r="D3932" s="101">
        <f t="shared" ca="1" si="222"/>
        <v>0.55361937190232635</v>
      </c>
      <c r="E3932" s="101">
        <f t="shared" ca="1" si="223"/>
        <v>0</v>
      </c>
      <c r="F3932" s="21">
        <f t="shared" ca="1" si="224"/>
        <v>0</v>
      </c>
      <c r="H3932" s="21">
        <v>3917</v>
      </c>
      <c r="I3932" s="102">
        <v>0.66773465509267804</v>
      </c>
      <c r="J3932" s="103">
        <v>1.341775964340956E-3</v>
      </c>
      <c r="K3932" s="103"/>
      <c r="L3932" s="103">
        <v>3.8600000000000002E-2</v>
      </c>
      <c r="O3932" s="100"/>
    </row>
    <row r="3933" spans="2:15" x14ac:dyDescent="0.2">
      <c r="B3933" s="1">
        <v>3918</v>
      </c>
      <c r="C3933" s="101">
        <f ca="1"/>
        <v>8.3421381259845301E-2</v>
      </c>
      <c r="D3933" s="101">
        <f t="shared" ca="1" si="222"/>
        <v>0.6699927769969064</v>
      </c>
      <c r="E3933" s="101">
        <f t="shared" ca="1" si="223"/>
        <v>0</v>
      </c>
      <c r="F3933" s="21">
        <f t="shared" ca="1" si="224"/>
        <v>0</v>
      </c>
      <c r="H3933" s="21">
        <v>3918</v>
      </c>
      <c r="I3933" s="102">
        <v>0.66776708493626169</v>
      </c>
      <c r="J3933" s="103">
        <v>1.1288173370213803E-3</v>
      </c>
      <c r="K3933" s="103"/>
      <c r="L3933" s="103">
        <v>4.0800000000000003E-2</v>
      </c>
      <c r="O3933" s="100"/>
    </row>
    <row r="3934" spans="2:15" x14ac:dyDescent="0.2">
      <c r="B3934" s="1">
        <v>3919</v>
      </c>
      <c r="C3934" s="101">
        <f ca="1"/>
        <v>0.53953808208135945</v>
      </c>
      <c r="D3934" s="101">
        <f t="shared" ca="1" si="222"/>
        <v>0.70082547326485645</v>
      </c>
      <c r="E3934" s="101">
        <f t="shared" ca="1" si="223"/>
        <v>0</v>
      </c>
      <c r="F3934" s="21">
        <f t="shared" ca="1" si="224"/>
        <v>0</v>
      </c>
      <c r="H3934" s="21">
        <v>3919</v>
      </c>
      <c r="I3934" s="102">
        <v>0.66760552444293519</v>
      </c>
      <c r="J3934" s="103">
        <v>1.2586235851735133E-3</v>
      </c>
      <c r="K3934" s="103"/>
      <c r="L3934" s="103">
        <v>3.8800000000000001E-2</v>
      </c>
      <c r="O3934" s="100"/>
    </row>
    <row r="3935" spans="2:15" x14ac:dyDescent="0.2">
      <c r="B3935" s="1">
        <v>3920</v>
      </c>
      <c r="C3935" s="101">
        <f ca="1"/>
        <v>2.029419547028851</v>
      </c>
      <c r="D3935" s="101">
        <f t="shared" ca="1" si="222"/>
        <v>0.81177464490311713</v>
      </c>
      <c r="E3935" s="101">
        <f t="shared" ca="1" si="223"/>
        <v>2.3574644903117115E-2</v>
      </c>
      <c r="F3935" s="21">
        <f t="shared" ca="1" si="224"/>
        <v>1</v>
      </c>
      <c r="H3935" s="21">
        <v>3920</v>
      </c>
      <c r="I3935" s="102">
        <v>0.667613338750914</v>
      </c>
      <c r="J3935" s="103">
        <v>1.3560503058176561E-3</v>
      </c>
      <c r="K3935" s="103"/>
      <c r="L3935" s="103">
        <v>4.2799999999999998E-2</v>
      </c>
      <c r="O3935" s="100"/>
    </row>
    <row r="3936" spans="2:15" x14ac:dyDescent="0.2">
      <c r="B3936" s="1">
        <v>3921</v>
      </c>
      <c r="C3936" s="101">
        <f ca="1"/>
        <v>0.39895463050559016</v>
      </c>
      <c r="D3936" s="101">
        <f t="shared" ca="1" si="222"/>
        <v>0.6911739645514674</v>
      </c>
      <c r="E3936" s="101">
        <f t="shared" ca="1" si="223"/>
        <v>0</v>
      </c>
      <c r="F3936" s="21">
        <f t="shared" ca="1" si="224"/>
        <v>0</v>
      </c>
      <c r="H3936" s="21">
        <v>3921</v>
      </c>
      <c r="I3936" s="102">
        <v>0.6676507295765971</v>
      </c>
      <c r="J3936" s="103">
        <v>1.4009350778935539E-3</v>
      </c>
      <c r="K3936" s="103"/>
      <c r="L3936" s="103">
        <v>4.0399999999999998E-2</v>
      </c>
      <c r="O3936" s="100"/>
    </row>
    <row r="3937" spans="2:15" x14ac:dyDescent="0.2">
      <c r="B3937" s="1">
        <v>3922</v>
      </c>
      <c r="C3937" s="101">
        <f ca="1"/>
        <v>-0.30578993954169842</v>
      </c>
      <c r="D3937" s="101">
        <f t="shared" ca="1" si="222"/>
        <v>0.6447577153030819</v>
      </c>
      <c r="E3937" s="101">
        <f t="shared" ca="1" si="223"/>
        <v>0</v>
      </c>
      <c r="F3937" s="21">
        <f t="shared" ca="1" si="224"/>
        <v>0</v>
      </c>
      <c r="H3937" s="21">
        <v>3922</v>
      </c>
      <c r="I3937" s="102">
        <v>0.66778761255902641</v>
      </c>
      <c r="J3937" s="103">
        <v>1.4347906327905613E-3</v>
      </c>
      <c r="K3937" s="103"/>
      <c r="L3937" s="103">
        <v>4.3799999999999999E-2</v>
      </c>
      <c r="O3937" s="100"/>
    </row>
    <row r="3938" spans="2:15" x14ac:dyDescent="0.2">
      <c r="B3938" s="1">
        <v>3923</v>
      </c>
      <c r="C3938" s="101">
        <f ca="1"/>
        <v>0.22985664008591886</v>
      </c>
      <c r="D3938" s="101">
        <f t="shared" ca="1" si="222"/>
        <v>0.67974076653054616</v>
      </c>
      <c r="E3938" s="101">
        <f t="shared" ca="1" si="223"/>
        <v>0</v>
      </c>
      <c r="F3938" s="21">
        <f t="shared" ca="1" si="224"/>
        <v>0</v>
      </c>
      <c r="H3938" s="21">
        <v>3923</v>
      </c>
      <c r="I3938" s="102">
        <v>0.66775202057523386</v>
      </c>
      <c r="J3938" s="103">
        <v>1.4054192930885226E-3</v>
      </c>
      <c r="K3938" s="103"/>
      <c r="L3938" s="103">
        <v>4.2799999999999998E-2</v>
      </c>
      <c r="O3938" s="100"/>
    </row>
    <row r="3939" spans="2:15" x14ac:dyDescent="0.2">
      <c r="B3939" s="1">
        <v>3924</v>
      </c>
      <c r="C3939" s="101">
        <f ca="1"/>
        <v>-0.12722492887841225</v>
      </c>
      <c r="D3939" s="101">
        <f t="shared" ca="1" si="222"/>
        <v>0.65621501396113224</v>
      </c>
      <c r="E3939" s="101">
        <f t="shared" ca="1" si="223"/>
        <v>0</v>
      </c>
      <c r="F3939" s="21">
        <f t="shared" ca="1" si="224"/>
        <v>0</v>
      </c>
      <c r="H3939" s="21">
        <v>3924</v>
      </c>
      <c r="I3939" s="102">
        <v>0.66777551431612558</v>
      </c>
      <c r="J3939" s="103">
        <v>1.3674268166111543E-3</v>
      </c>
      <c r="K3939" s="103"/>
      <c r="L3939" s="103">
        <v>4.2200000000000001E-2</v>
      </c>
      <c r="O3939" s="100"/>
    </row>
    <row r="3940" spans="2:15" x14ac:dyDescent="0.2">
      <c r="B3940" s="1">
        <v>3925</v>
      </c>
      <c r="C3940" s="101">
        <f ca="1"/>
        <v>0.95081086034170714</v>
      </c>
      <c r="D3940" s="101">
        <f t="shared" ca="1" si="222"/>
        <v>0.72984149461193282</v>
      </c>
      <c r="E3940" s="101">
        <f t="shared" ca="1" si="223"/>
        <v>0</v>
      </c>
      <c r="F3940" s="21">
        <f t="shared" ca="1" si="224"/>
        <v>0</v>
      </c>
      <c r="H3940" s="21">
        <v>3925</v>
      </c>
      <c r="I3940" s="102">
        <v>0.66781661902179612</v>
      </c>
      <c r="J3940" s="103">
        <v>1.515308022527372E-3</v>
      </c>
      <c r="K3940" s="103"/>
      <c r="L3940" s="103">
        <v>4.2999999999999997E-2</v>
      </c>
      <c r="O3940" s="100"/>
    </row>
    <row r="3941" spans="2:15" x14ac:dyDescent="0.2">
      <c r="B3941" s="1">
        <v>3926</v>
      </c>
      <c r="C3941" s="101">
        <f ca="1"/>
        <v>1.3236537525369765</v>
      </c>
      <c r="D3941" s="101">
        <f t="shared" ca="1" si="222"/>
        <v>0.75718309778175175</v>
      </c>
      <c r="E3941" s="101">
        <f t="shared" ca="1" si="223"/>
        <v>0</v>
      </c>
      <c r="F3941" s="21">
        <f t="shared" ca="1" si="224"/>
        <v>0</v>
      </c>
      <c r="H3941" s="21">
        <v>3926</v>
      </c>
      <c r="I3941" s="102">
        <v>0.66753003162346258</v>
      </c>
      <c r="J3941" s="103">
        <v>1.0741796761657343E-3</v>
      </c>
      <c r="K3941" s="103"/>
      <c r="L3941" s="103">
        <v>3.6400000000000002E-2</v>
      </c>
      <c r="O3941" s="100"/>
    </row>
    <row r="3942" spans="2:15" x14ac:dyDescent="0.2">
      <c r="B3942" s="1">
        <v>3927</v>
      </c>
      <c r="C3942" s="101">
        <f ca="1"/>
        <v>0.41454357408762221</v>
      </c>
      <c r="D3942" s="101">
        <f t="shared" ca="1" si="222"/>
        <v>0.69223761005794104</v>
      </c>
      <c r="E3942" s="101">
        <f t="shared" ca="1" si="223"/>
        <v>0</v>
      </c>
      <c r="F3942" s="21">
        <f t="shared" ca="1" si="224"/>
        <v>0</v>
      </c>
      <c r="H3942" s="21">
        <v>3927</v>
      </c>
      <c r="I3942" s="102">
        <v>0.66768482106689875</v>
      </c>
      <c r="J3942" s="103">
        <v>1.376818401514009E-3</v>
      </c>
      <c r="K3942" s="103"/>
      <c r="L3942" s="103">
        <v>4.0399999999999998E-2</v>
      </c>
      <c r="O3942" s="100"/>
    </row>
    <row r="3943" spans="2:15" x14ac:dyDescent="0.2">
      <c r="B3943" s="1">
        <v>3928</v>
      </c>
      <c r="C3943" s="101">
        <f ca="1"/>
        <v>-0.55383291568331849</v>
      </c>
      <c r="D3943" s="101">
        <f t="shared" ca="1" si="222"/>
        <v>0.62917366968895294</v>
      </c>
      <c r="E3943" s="101">
        <f t="shared" ca="1" si="223"/>
        <v>0</v>
      </c>
      <c r="F3943" s="21">
        <f t="shared" ca="1" si="224"/>
        <v>0</v>
      </c>
      <c r="H3943" s="21">
        <v>3928</v>
      </c>
      <c r="I3943" s="102">
        <v>0.66789432396987136</v>
      </c>
      <c r="J3943" s="103">
        <v>1.5261502618293058E-3</v>
      </c>
      <c r="K3943" s="103"/>
      <c r="L3943" s="103">
        <v>4.4999999999999998E-2</v>
      </c>
      <c r="O3943" s="100"/>
    </row>
    <row r="3944" spans="2:15" x14ac:dyDescent="0.2">
      <c r="B3944" s="1">
        <v>3929</v>
      </c>
      <c r="C3944" s="101">
        <f ca="1"/>
        <v>-0.61835059324135433</v>
      </c>
      <c r="D3944" s="101">
        <f t="shared" ca="1" si="222"/>
        <v>0.62518225409213457</v>
      </c>
      <c r="E3944" s="101">
        <f t="shared" ca="1" si="223"/>
        <v>0</v>
      </c>
      <c r="F3944" s="21">
        <f t="shared" ca="1" si="224"/>
        <v>0</v>
      </c>
      <c r="H3944" s="21">
        <v>3929</v>
      </c>
      <c r="I3944" s="102">
        <v>0.66779047505351841</v>
      </c>
      <c r="J3944" s="103">
        <v>1.4074087142882383E-3</v>
      </c>
      <c r="K3944" s="103"/>
      <c r="L3944" s="103">
        <v>4.1000000000000002E-2</v>
      </c>
      <c r="O3944" s="100"/>
    </row>
    <row r="3945" spans="2:15" x14ac:dyDescent="0.2">
      <c r="B3945" s="1">
        <v>3930</v>
      </c>
      <c r="C3945" s="101">
        <f ca="1"/>
        <v>0.76590310270319339</v>
      </c>
      <c r="D3945" s="101">
        <f t="shared" ca="1" si="222"/>
        <v>0.71665018430121108</v>
      </c>
      <c r="E3945" s="101">
        <f t="shared" ca="1" si="223"/>
        <v>0</v>
      </c>
      <c r="F3945" s="21">
        <f t="shared" ca="1" si="224"/>
        <v>0</v>
      </c>
      <c r="H3945" s="21">
        <v>3930</v>
      </c>
      <c r="I3945" s="102">
        <v>0.66771336115978774</v>
      </c>
      <c r="J3945" s="103">
        <v>1.3405221717815645E-3</v>
      </c>
      <c r="K3945" s="103"/>
      <c r="L3945" s="103">
        <v>4.4999999999999998E-2</v>
      </c>
      <c r="O3945" s="100"/>
    </row>
    <row r="3946" spans="2:15" x14ac:dyDescent="0.2">
      <c r="B3946" s="1">
        <v>3931</v>
      </c>
      <c r="C3946" s="101">
        <f ca="1"/>
        <v>0.51222119470479477</v>
      </c>
      <c r="D3946" s="101">
        <f t="shared" ca="1" si="222"/>
        <v>0.6989395891436504</v>
      </c>
      <c r="E3946" s="101">
        <f t="shared" ca="1" si="223"/>
        <v>0</v>
      </c>
      <c r="F3946" s="21">
        <f t="shared" ca="1" si="224"/>
        <v>0</v>
      </c>
      <c r="H3946" s="21">
        <v>3931</v>
      </c>
      <c r="I3946" s="102">
        <v>0.66784798540847545</v>
      </c>
      <c r="J3946" s="103">
        <v>1.5843091766439734E-3</v>
      </c>
      <c r="K3946" s="103"/>
      <c r="L3946" s="103">
        <v>4.6399999999999997E-2</v>
      </c>
      <c r="O3946" s="100"/>
    </row>
    <row r="3947" spans="2:15" x14ac:dyDescent="0.2">
      <c r="B3947" s="1">
        <v>3932</v>
      </c>
      <c r="C3947" s="101">
        <f ca="1"/>
        <v>-0.43522802160257495</v>
      </c>
      <c r="D3947" s="101">
        <f t="shared" ca="1" si="222"/>
        <v>0.63657781625863163</v>
      </c>
      <c r="E3947" s="101">
        <f t="shared" ca="1" si="223"/>
        <v>0</v>
      </c>
      <c r="F3947" s="21">
        <f t="shared" ca="1" si="224"/>
        <v>0</v>
      </c>
      <c r="H3947" s="21">
        <v>3932</v>
      </c>
      <c r="I3947" s="102">
        <v>0.66765242157133409</v>
      </c>
      <c r="J3947" s="103">
        <v>1.2727635235010269E-3</v>
      </c>
      <c r="K3947" s="103"/>
      <c r="L3947" s="103">
        <v>3.7600000000000001E-2</v>
      </c>
      <c r="O3947" s="100"/>
    </row>
    <row r="3948" spans="2:15" x14ac:dyDescent="0.2">
      <c r="B3948" s="1">
        <v>3933</v>
      </c>
      <c r="C3948" s="101">
        <f ca="1"/>
        <v>-0.25190313306006862</v>
      </c>
      <c r="D3948" s="101">
        <f t="shared" ca="1" si="222"/>
        <v>0.64819402774826307</v>
      </c>
      <c r="E3948" s="101">
        <f t="shared" ca="1" si="223"/>
        <v>0</v>
      </c>
      <c r="F3948" s="21">
        <f t="shared" ca="1" si="224"/>
        <v>0</v>
      </c>
      <c r="H3948" s="21">
        <v>3933</v>
      </c>
      <c r="I3948" s="102">
        <v>0.66781146509561695</v>
      </c>
      <c r="J3948" s="103">
        <v>1.4413581920181687E-3</v>
      </c>
      <c r="K3948" s="103"/>
      <c r="L3948" s="103">
        <v>4.3200000000000002E-2</v>
      </c>
      <c r="O3948" s="100"/>
    </row>
    <row r="3949" spans="2:15" x14ac:dyDescent="0.2">
      <c r="B3949" s="1">
        <v>3934</v>
      </c>
      <c r="C3949" s="101">
        <f ca="1"/>
        <v>1.1007050568385677</v>
      </c>
      <c r="D3949" s="101">
        <f t="shared" ca="1" si="222"/>
        <v>0.74071293062049615</v>
      </c>
      <c r="E3949" s="101">
        <f t="shared" ca="1" si="223"/>
        <v>0</v>
      </c>
      <c r="F3949" s="21">
        <f t="shared" ca="1" si="224"/>
        <v>0</v>
      </c>
      <c r="H3949" s="21">
        <v>3934</v>
      </c>
      <c r="I3949" s="102">
        <v>0.6675580945780869</v>
      </c>
      <c r="J3949" s="103">
        <v>1.1139451338346017E-3</v>
      </c>
      <c r="K3949" s="103"/>
      <c r="L3949" s="103">
        <v>3.7999999999999999E-2</v>
      </c>
      <c r="O3949" s="100"/>
    </row>
    <row r="3950" spans="2:15" x14ac:dyDescent="0.2">
      <c r="B3950" s="1">
        <v>3935</v>
      </c>
      <c r="C3950" s="101">
        <f ca="1"/>
        <v>1.5011531832428837</v>
      </c>
      <c r="D3950" s="101">
        <f t="shared" ca="1" si="222"/>
        <v>0.77055718978317778</v>
      </c>
      <c r="E3950" s="101">
        <f t="shared" ca="1" si="223"/>
        <v>0</v>
      </c>
      <c r="F3950" s="21">
        <f t="shared" ca="1" si="224"/>
        <v>0</v>
      </c>
      <c r="H3950" s="21">
        <v>3935</v>
      </c>
      <c r="I3950" s="102">
        <v>0.66781999484701304</v>
      </c>
      <c r="J3950" s="103">
        <v>1.3152615762032874E-3</v>
      </c>
      <c r="K3950" s="103"/>
      <c r="L3950" s="103">
        <v>4.2999999999999997E-2</v>
      </c>
      <c r="O3950" s="100"/>
    </row>
    <row r="3951" spans="2:15" x14ac:dyDescent="0.2">
      <c r="B3951" s="1">
        <v>3936</v>
      </c>
      <c r="C3951" s="101">
        <f ca="1"/>
        <v>0.89043860756143889</v>
      </c>
      <c r="D3951" s="101">
        <f t="shared" ca="1" si="222"/>
        <v>0.72550805927572837</v>
      </c>
      <c r="E3951" s="101">
        <f t="shared" ca="1" si="223"/>
        <v>0</v>
      </c>
      <c r="F3951" s="21">
        <f t="shared" ca="1" si="224"/>
        <v>0</v>
      </c>
      <c r="H3951" s="21">
        <v>3936</v>
      </c>
      <c r="I3951" s="102">
        <v>0.66771481376824571</v>
      </c>
      <c r="J3951" s="103">
        <v>1.4670560156497851E-3</v>
      </c>
      <c r="K3951" s="103"/>
      <c r="L3951" s="103">
        <v>4.4999999999999998E-2</v>
      </c>
      <c r="O3951" s="100"/>
    </row>
    <row r="3952" spans="2:15" x14ac:dyDescent="0.2">
      <c r="B3952" s="1">
        <v>3937</v>
      </c>
      <c r="C3952" s="101">
        <f ca="1"/>
        <v>0.23058023695833443</v>
      </c>
      <c r="D3952" s="101">
        <f t="shared" ca="1" si="222"/>
        <v>0.67978928581617759</v>
      </c>
      <c r="E3952" s="101">
        <f t="shared" ca="1" si="223"/>
        <v>0</v>
      </c>
      <c r="F3952" s="21">
        <f t="shared" ca="1" si="224"/>
        <v>0</v>
      </c>
      <c r="H3952" s="21">
        <v>3937</v>
      </c>
      <c r="I3952" s="102">
        <v>0.66774040211457486</v>
      </c>
      <c r="J3952" s="103">
        <v>1.3511867261733327E-3</v>
      </c>
      <c r="K3952" s="103"/>
      <c r="L3952" s="103">
        <v>4.1399999999999999E-2</v>
      </c>
      <c r="O3952" s="100"/>
    </row>
    <row r="3953" spans="2:15" x14ac:dyDescent="0.2">
      <c r="B3953" s="1">
        <v>3938</v>
      </c>
      <c r="C3953" s="101">
        <f ca="1"/>
        <v>0.9686983245492089</v>
      </c>
      <c r="D3953" s="101">
        <f t="shared" ca="1" si="222"/>
        <v>0.7311303952240783</v>
      </c>
      <c r="E3953" s="101">
        <f t="shared" ca="1" si="223"/>
        <v>0</v>
      </c>
      <c r="F3953" s="21">
        <f t="shared" ca="1" si="224"/>
        <v>0</v>
      </c>
      <c r="H3953" s="21">
        <v>3938</v>
      </c>
      <c r="I3953" s="102">
        <v>0.66778300554609016</v>
      </c>
      <c r="J3953" s="103">
        <v>1.3821433291771696E-3</v>
      </c>
      <c r="K3953" s="103"/>
      <c r="L3953" s="103">
        <v>4.1599999999999998E-2</v>
      </c>
      <c r="O3953" s="100"/>
    </row>
    <row r="3954" spans="2:15" x14ac:dyDescent="0.2">
      <c r="B3954" s="1">
        <v>3939</v>
      </c>
      <c r="C3954" s="101">
        <f ca="1"/>
        <v>1.5090764360435762</v>
      </c>
      <c r="D3954" s="101">
        <f t="shared" ca="1" si="222"/>
        <v>0.77115966198767683</v>
      </c>
      <c r="E3954" s="101">
        <f t="shared" ca="1" si="223"/>
        <v>0</v>
      </c>
      <c r="F3954" s="21">
        <f t="shared" ca="1" si="224"/>
        <v>0</v>
      </c>
      <c r="H3954" s="21">
        <v>3939</v>
      </c>
      <c r="I3954" s="102">
        <v>0.66778205142681668</v>
      </c>
      <c r="J3954" s="103">
        <v>1.4801062390173367E-3</v>
      </c>
      <c r="K3954" s="103"/>
      <c r="L3954" s="103">
        <v>4.58E-2</v>
      </c>
      <c r="O3954" s="100"/>
    </row>
    <row r="3955" spans="2:15" x14ac:dyDescent="0.2">
      <c r="B3955" s="1">
        <v>3940</v>
      </c>
      <c r="C3955" s="101">
        <f ca="1"/>
        <v>1.0637194399265197</v>
      </c>
      <c r="D3955" s="101">
        <f t="shared" ca="1" si="222"/>
        <v>0.73801550353380729</v>
      </c>
      <c r="E3955" s="101">
        <f t="shared" ca="1" si="223"/>
        <v>0</v>
      </c>
      <c r="F3955" s="21">
        <f t="shared" ca="1" si="224"/>
        <v>0</v>
      </c>
      <c r="H3955" s="21">
        <v>3940</v>
      </c>
      <c r="I3955" s="102">
        <v>0.66776502345897937</v>
      </c>
      <c r="J3955" s="103">
        <v>1.3520061442273479E-3</v>
      </c>
      <c r="K3955" s="103"/>
      <c r="L3955" s="103">
        <v>3.9399999999999998E-2</v>
      </c>
      <c r="O3955" s="100"/>
    </row>
    <row r="3956" spans="2:15" x14ac:dyDescent="0.2">
      <c r="B3956" s="1">
        <v>3941</v>
      </c>
      <c r="C3956" s="101">
        <f ca="1"/>
        <v>-2.5666828022505697</v>
      </c>
      <c r="D3956" s="101">
        <f t="shared" ca="1" si="222"/>
        <v>0.51587121017560655</v>
      </c>
      <c r="E3956" s="101">
        <f t="shared" ca="1" si="223"/>
        <v>0</v>
      </c>
      <c r="F3956" s="21">
        <f t="shared" ca="1" si="224"/>
        <v>0</v>
      </c>
      <c r="H3956" s="21">
        <v>3941</v>
      </c>
      <c r="I3956" s="102">
        <v>0.66775282371464639</v>
      </c>
      <c r="J3956" s="103">
        <v>1.4359264775432243E-3</v>
      </c>
      <c r="K3956" s="103"/>
      <c r="L3956" s="103">
        <v>4.36E-2</v>
      </c>
      <c r="O3956" s="100"/>
    </row>
    <row r="3957" spans="2:15" x14ac:dyDescent="0.2">
      <c r="B3957" s="1">
        <v>3942</v>
      </c>
      <c r="C3957" s="101">
        <f ca="1"/>
        <v>1.0128487759568772</v>
      </c>
      <c r="D3957" s="101">
        <f t="shared" ca="1" si="222"/>
        <v>0.73432145485883693</v>
      </c>
      <c r="E3957" s="101">
        <f t="shared" ca="1" si="223"/>
        <v>0</v>
      </c>
      <c r="F3957" s="21">
        <f t="shared" ca="1" si="224"/>
        <v>0</v>
      </c>
      <c r="H3957" s="21">
        <v>3942</v>
      </c>
      <c r="I3957" s="102">
        <v>0.66783690943600427</v>
      </c>
      <c r="J3957" s="103">
        <v>1.453826701602916E-3</v>
      </c>
      <c r="K3957" s="103"/>
      <c r="L3957" s="103">
        <v>4.7E-2</v>
      </c>
      <c r="O3957" s="100"/>
    </row>
    <row r="3958" spans="2:15" x14ac:dyDescent="0.2">
      <c r="B3958" s="1">
        <v>3943</v>
      </c>
      <c r="C3958" s="101">
        <f ca="1"/>
        <v>1.2883910701469836</v>
      </c>
      <c r="D3958" s="101">
        <f t="shared" ca="1" si="222"/>
        <v>0.75455391935464144</v>
      </c>
      <c r="E3958" s="101">
        <f t="shared" ca="1" si="223"/>
        <v>0</v>
      </c>
      <c r="F3958" s="21">
        <f t="shared" ca="1" si="224"/>
        <v>0</v>
      </c>
      <c r="H3958" s="21">
        <v>3943</v>
      </c>
      <c r="I3958" s="102">
        <v>0.66774613179546827</v>
      </c>
      <c r="J3958" s="103">
        <v>1.4733840102003413E-3</v>
      </c>
      <c r="K3958" s="103"/>
      <c r="L3958" s="103">
        <v>4.4999999999999998E-2</v>
      </c>
      <c r="O3958" s="100"/>
    </row>
    <row r="3959" spans="2:15" x14ac:dyDescent="0.2">
      <c r="B3959" s="1">
        <v>3944</v>
      </c>
      <c r="C3959" s="101">
        <f ca="1"/>
        <v>0.79562312463713836</v>
      </c>
      <c r="D3959" s="101">
        <f t="shared" ca="1" si="222"/>
        <v>0.71875421461390487</v>
      </c>
      <c r="E3959" s="101">
        <f t="shared" ca="1" si="223"/>
        <v>0</v>
      </c>
      <c r="F3959" s="21">
        <f t="shared" ca="1" si="224"/>
        <v>0</v>
      </c>
      <c r="H3959" s="21">
        <v>3944</v>
      </c>
      <c r="I3959" s="102">
        <v>0.66788403631797266</v>
      </c>
      <c r="J3959" s="103">
        <v>1.553233683264112E-3</v>
      </c>
      <c r="K3959" s="103"/>
      <c r="L3959" s="103">
        <v>4.36E-2</v>
      </c>
      <c r="O3959" s="100"/>
    </row>
    <row r="3960" spans="2:15" x14ac:dyDescent="0.2">
      <c r="B3960" s="1">
        <v>3945</v>
      </c>
      <c r="C3960" s="101">
        <f ca="1"/>
        <v>-0.74376964685917624</v>
      </c>
      <c r="D3960" s="101">
        <f t="shared" ca="1" si="222"/>
        <v>0.61749545740732226</v>
      </c>
      <c r="E3960" s="101">
        <f t="shared" ca="1" si="223"/>
        <v>0</v>
      </c>
      <c r="F3960" s="21">
        <f t="shared" ca="1" si="224"/>
        <v>0</v>
      </c>
      <c r="H3960" s="21">
        <v>3945</v>
      </c>
      <c r="I3960" s="102">
        <v>0.66775407273418752</v>
      </c>
      <c r="J3960" s="103">
        <v>1.3173344780061721E-3</v>
      </c>
      <c r="K3960" s="103"/>
      <c r="L3960" s="103">
        <v>4.1000000000000002E-2</v>
      </c>
      <c r="O3960" s="100"/>
    </row>
    <row r="3961" spans="2:15" x14ac:dyDescent="0.2">
      <c r="B3961" s="1">
        <v>3946</v>
      </c>
      <c r="C3961" s="101">
        <f ca="1"/>
        <v>1.3698209673194075</v>
      </c>
      <c r="D3961" s="101">
        <f t="shared" ca="1" si="222"/>
        <v>0.76063916952417243</v>
      </c>
      <c r="E3961" s="101">
        <f t="shared" ca="1" si="223"/>
        <v>0</v>
      </c>
      <c r="F3961" s="21">
        <f t="shared" ca="1" si="224"/>
        <v>0</v>
      </c>
      <c r="H3961" s="21">
        <v>3946</v>
      </c>
      <c r="I3961" s="102">
        <v>0.66788329174311634</v>
      </c>
      <c r="J3961" s="103">
        <v>1.518425372736637E-3</v>
      </c>
      <c r="K3961" s="103"/>
      <c r="L3961" s="103">
        <v>4.48E-2</v>
      </c>
      <c r="O3961" s="100"/>
    </row>
    <row r="3962" spans="2:15" x14ac:dyDescent="0.2">
      <c r="B3962" s="1">
        <v>3947</v>
      </c>
      <c r="C3962" s="101">
        <f ca="1"/>
        <v>-1.5574536033750588</v>
      </c>
      <c r="D3962" s="101">
        <f t="shared" ca="1" si="222"/>
        <v>0.56987033233862394</v>
      </c>
      <c r="E3962" s="101">
        <f t="shared" ca="1" si="223"/>
        <v>0</v>
      </c>
      <c r="F3962" s="21">
        <f t="shared" ca="1" si="224"/>
        <v>0</v>
      </c>
      <c r="H3962" s="21">
        <v>3947</v>
      </c>
      <c r="I3962" s="102">
        <v>0.66775741587795245</v>
      </c>
      <c r="J3962" s="103">
        <v>1.4718902359991978E-3</v>
      </c>
      <c r="K3962" s="103"/>
      <c r="L3962" s="103">
        <v>4.2200000000000001E-2</v>
      </c>
      <c r="O3962" s="100"/>
    </row>
    <row r="3963" spans="2:15" x14ac:dyDescent="0.2">
      <c r="B3963" s="1">
        <v>3948</v>
      </c>
      <c r="C3963" s="101">
        <f ca="1"/>
        <v>0.60020661240083728</v>
      </c>
      <c r="D3963" s="101">
        <f t="shared" ca="1" si="222"/>
        <v>0.70503208475072177</v>
      </c>
      <c r="E3963" s="101">
        <f t="shared" ca="1" si="223"/>
        <v>0</v>
      </c>
      <c r="F3963" s="21">
        <f t="shared" ca="1" si="224"/>
        <v>0</v>
      </c>
      <c r="H3963" s="21">
        <v>3948</v>
      </c>
      <c r="I3963" s="102">
        <v>0.66777547528409675</v>
      </c>
      <c r="J3963" s="103">
        <v>1.3429331590953161E-3</v>
      </c>
      <c r="K3963" s="103"/>
      <c r="L3963" s="103">
        <v>4.2999999999999997E-2</v>
      </c>
      <c r="O3963" s="100"/>
    </row>
    <row r="3964" spans="2:15" x14ac:dyDescent="0.2">
      <c r="B3964" s="1">
        <v>3949</v>
      </c>
      <c r="C3964" s="101">
        <f ca="1"/>
        <v>-2.5886522007483141</v>
      </c>
      <c r="D3964" s="101">
        <f t="shared" ca="1" si="222"/>
        <v>0.51475448099196053</v>
      </c>
      <c r="E3964" s="101">
        <f t="shared" ca="1" si="223"/>
        <v>0</v>
      </c>
      <c r="F3964" s="21">
        <f t="shared" ca="1" si="224"/>
        <v>0</v>
      </c>
      <c r="H3964" s="21">
        <v>3949</v>
      </c>
      <c r="I3964" s="102">
        <v>0.66773595422621435</v>
      </c>
      <c r="J3964" s="103">
        <v>1.3020826961026675E-3</v>
      </c>
      <c r="K3964" s="103"/>
      <c r="L3964" s="103">
        <v>4.1200000000000001E-2</v>
      </c>
      <c r="O3964" s="100"/>
    </row>
    <row r="3965" spans="2:15" x14ac:dyDescent="0.2">
      <c r="B3965" s="1">
        <v>3950</v>
      </c>
      <c r="C3965" s="101">
        <f ca="1"/>
        <v>-0.3167078390200857</v>
      </c>
      <c r="D3965" s="101">
        <f t="shared" ca="1" si="222"/>
        <v>0.6440637133339171</v>
      </c>
      <c r="E3965" s="101">
        <f t="shared" ca="1" si="223"/>
        <v>0</v>
      </c>
      <c r="F3965" s="21">
        <f t="shared" ca="1" si="224"/>
        <v>0</v>
      </c>
      <c r="H3965" s="21">
        <v>3950</v>
      </c>
      <c r="I3965" s="102">
        <v>0.66769930496382135</v>
      </c>
      <c r="J3965" s="103">
        <v>1.3842561328728004E-3</v>
      </c>
      <c r="K3965" s="103"/>
      <c r="L3965" s="103">
        <v>4.3200000000000002E-2</v>
      </c>
      <c r="O3965" s="100"/>
    </row>
    <row r="3966" spans="2:15" x14ac:dyDescent="0.2">
      <c r="B3966" s="1">
        <v>3951</v>
      </c>
      <c r="C3966" s="101">
        <f ca="1"/>
        <v>1.7229933144860008</v>
      </c>
      <c r="D3966" s="101">
        <f t="shared" ca="1" si="222"/>
        <v>0.78760483126569647</v>
      </c>
      <c r="E3966" s="101">
        <f t="shared" ca="1" si="223"/>
        <v>0</v>
      </c>
      <c r="F3966" s="21">
        <f t="shared" ca="1" si="224"/>
        <v>0</v>
      </c>
      <c r="H3966" s="21">
        <v>3951</v>
      </c>
      <c r="I3966" s="102">
        <v>0.66774971999777133</v>
      </c>
      <c r="J3966" s="103">
        <v>1.4693200887131777E-3</v>
      </c>
      <c r="K3966" s="103"/>
      <c r="L3966" s="103">
        <v>4.24E-2</v>
      </c>
      <c r="O3966" s="100"/>
    </row>
    <row r="3967" spans="2:15" x14ac:dyDescent="0.2">
      <c r="B3967" s="1">
        <v>3952</v>
      </c>
      <c r="C3967" s="101">
        <f ca="1"/>
        <v>-0.26791170816093768</v>
      </c>
      <c r="D3967" s="101">
        <f t="shared" ca="1" si="222"/>
        <v>0.64717126771162214</v>
      </c>
      <c r="E3967" s="101">
        <f t="shared" ca="1" si="223"/>
        <v>0</v>
      </c>
      <c r="F3967" s="21">
        <f t="shared" ca="1" si="224"/>
        <v>0</v>
      </c>
      <c r="H3967" s="21">
        <v>3952</v>
      </c>
      <c r="I3967" s="102">
        <v>0.66788400581319374</v>
      </c>
      <c r="J3967" s="103">
        <v>1.5279855762681677E-3</v>
      </c>
      <c r="K3967" s="103"/>
      <c r="L3967" s="103">
        <v>4.58E-2</v>
      </c>
      <c r="O3967" s="100"/>
    </row>
    <row r="3968" spans="2:15" x14ac:dyDescent="0.2">
      <c r="B3968" s="1">
        <v>3953</v>
      </c>
      <c r="C3968" s="101">
        <f ca="1"/>
        <v>-0.29097630710464339</v>
      </c>
      <c r="D3968" s="101">
        <f t="shared" ca="1" si="222"/>
        <v>0.64570054739160976</v>
      </c>
      <c r="E3968" s="101">
        <f t="shared" ca="1" si="223"/>
        <v>0</v>
      </c>
      <c r="F3968" s="21">
        <f t="shared" ca="1" si="224"/>
        <v>0</v>
      </c>
      <c r="H3968" s="21">
        <v>3953</v>
      </c>
      <c r="I3968" s="102">
        <v>0.66773899752638488</v>
      </c>
      <c r="J3968" s="103">
        <v>1.4739366003990965E-3</v>
      </c>
      <c r="K3968" s="103"/>
      <c r="L3968" s="103">
        <v>4.0399999999999998E-2</v>
      </c>
      <c r="O3968" s="100"/>
    </row>
    <row r="3969" spans="2:15" x14ac:dyDescent="0.2">
      <c r="B3969" s="1">
        <v>3954</v>
      </c>
      <c r="C3969" s="101">
        <f ca="1"/>
        <v>-0.66436299430643986</v>
      </c>
      <c r="D3969" s="101">
        <f t="shared" ca="1" si="222"/>
        <v>0.62235115389096751</v>
      </c>
      <c r="E3969" s="101">
        <f t="shared" ca="1" si="223"/>
        <v>0</v>
      </c>
      <c r="F3969" s="21">
        <f t="shared" ca="1" si="224"/>
        <v>0</v>
      </c>
      <c r="H3969" s="21">
        <v>3954</v>
      </c>
      <c r="I3969" s="102">
        <v>0.66770424196537703</v>
      </c>
      <c r="J3969" s="103">
        <v>1.2458616847264271E-3</v>
      </c>
      <c r="K3969" s="103"/>
      <c r="L3969" s="103">
        <v>3.9199999999999999E-2</v>
      </c>
      <c r="O3969" s="100"/>
    </row>
    <row r="3970" spans="2:15" x14ac:dyDescent="0.2">
      <c r="B3970" s="1">
        <v>3955</v>
      </c>
      <c r="C3970" s="101">
        <f ca="1"/>
        <v>0.83974145801885569</v>
      </c>
      <c r="D3970" s="101">
        <f t="shared" ca="1" si="222"/>
        <v>0.72188897064719604</v>
      </c>
      <c r="E3970" s="101">
        <f t="shared" ca="1" si="223"/>
        <v>0</v>
      </c>
      <c r="F3970" s="21">
        <f t="shared" ca="1" si="224"/>
        <v>0</v>
      </c>
      <c r="H3970" s="21">
        <v>3955</v>
      </c>
      <c r="I3970" s="102">
        <v>0.66795964891070259</v>
      </c>
      <c r="J3970" s="103">
        <v>1.6651891809536987E-3</v>
      </c>
      <c r="K3970" s="103"/>
      <c r="L3970" s="103">
        <v>4.7E-2</v>
      </c>
      <c r="O3970" s="100"/>
    </row>
    <row r="3971" spans="2:15" x14ac:dyDescent="0.2">
      <c r="B3971" s="1">
        <v>3956</v>
      </c>
      <c r="C3971" s="101">
        <f ca="1"/>
        <v>-1.3073080176407581</v>
      </c>
      <c r="D3971" s="101">
        <f t="shared" ca="1" si="222"/>
        <v>0.58410662314125217</v>
      </c>
      <c r="E3971" s="101">
        <f t="shared" ca="1" si="223"/>
        <v>0</v>
      </c>
      <c r="F3971" s="21">
        <f t="shared" ca="1" si="224"/>
        <v>0</v>
      </c>
      <c r="H3971" s="21">
        <v>3956</v>
      </c>
      <c r="I3971" s="102">
        <v>0.66757875649038978</v>
      </c>
      <c r="J3971" s="103">
        <v>1.1561798186314276E-3</v>
      </c>
      <c r="K3971" s="103"/>
      <c r="L3971" s="103">
        <v>3.7199999999999997E-2</v>
      </c>
      <c r="O3971" s="100"/>
    </row>
    <row r="3972" spans="2:15" x14ac:dyDescent="0.2">
      <c r="B3972" s="1">
        <v>3957</v>
      </c>
      <c r="C3972" s="101">
        <f ca="1"/>
        <v>-3.0257316837546271</v>
      </c>
      <c r="D3972" s="101">
        <f t="shared" ca="1" si="222"/>
        <v>0.49303292232756479</v>
      </c>
      <c r="E3972" s="101">
        <f t="shared" ca="1" si="223"/>
        <v>0</v>
      </c>
      <c r="F3972" s="21">
        <f t="shared" ca="1" si="224"/>
        <v>0</v>
      </c>
      <c r="H3972" s="21">
        <v>3957</v>
      </c>
      <c r="I3972" s="102">
        <v>0.66769697104616665</v>
      </c>
      <c r="J3972" s="103">
        <v>1.2810009950955236E-3</v>
      </c>
      <c r="K3972" s="103"/>
      <c r="L3972" s="103">
        <v>3.9600000000000003E-2</v>
      </c>
      <c r="O3972" s="100"/>
    </row>
    <row r="3973" spans="2:15" x14ac:dyDescent="0.2">
      <c r="B3973" s="1">
        <v>3958</v>
      </c>
      <c r="C3973" s="101">
        <f ca="1"/>
        <v>-1.6936002728434474</v>
      </c>
      <c r="D3973" s="101">
        <f t="shared" ca="1" si="222"/>
        <v>0.56226831222397033</v>
      </c>
      <c r="E3973" s="101">
        <f t="shared" ca="1" si="223"/>
        <v>0</v>
      </c>
      <c r="F3973" s="21">
        <f t="shared" ca="1" si="224"/>
        <v>0</v>
      </c>
      <c r="H3973" s="21">
        <v>3958</v>
      </c>
      <c r="I3973" s="102">
        <v>0.66769032855924815</v>
      </c>
      <c r="J3973" s="103">
        <v>1.38677109268194E-3</v>
      </c>
      <c r="K3973" s="103"/>
      <c r="L3973" s="103">
        <v>4.2000000000000003E-2</v>
      </c>
      <c r="O3973" s="100"/>
    </row>
    <row r="3974" spans="2:15" x14ac:dyDescent="0.2">
      <c r="B3974" s="1">
        <v>3959</v>
      </c>
      <c r="C3974" s="101">
        <f ca="1"/>
        <v>-0.51134144970164541</v>
      </c>
      <c r="D3974" s="101">
        <f t="shared" ca="1" si="222"/>
        <v>0.63181633173233653</v>
      </c>
      <c r="E3974" s="101">
        <f t="shared" ca="1" si="223"/>
        <v>0</v>
      </c>
      <c r="F3974" s="21">
        <f t="shared" ca="1" si="224"/>
        <v>0</v>
      </c>
      <c r="H3974" s="21">
        <v>3959</v>
      </c>
      <c r="I3974" s="102">
        <v>0.66772263742419014</v>
      </c>
      <c r="J3974" s="103">
        <v>1.2184411231460131E-3</v>
      </c>
      <c r="K3974" s="103"/>
      <c r="L3974" s="103">
        <v>4.24E-2</v>
      </c>
      <c r="O3974" s="100"/>
    </row>
    <row r="3975" spans="2:15" x14ac:dyDescent="0.2">
      <c r="B3975" s="1">
        <v>3960</v>
      </c>
      <c r="C3975" s="101">
        <f ca="1"/>
        <v>-7.1676602992558541E-2</v>
      </c>
      <c r="D3975" s="101">
        <f t="shared" ca="1" si="222"/>
        <v>0.65982052151140635</v>
      </c>
      <c r="E3975" s="101">
        <f t="shared" ca="1" si="223"/>
        <v>0</v>
      </c>
      <c r="F3975" s="21">
        <f t="shared" ca="1" si="224"/>
        <v>0</v>
      </c>
      <c r="H3975" s="21">
        <v>3960</v>
      </c>
      <c r="I3975" s="102">
        <v>0.66773406208372854</v>
      </c>
      <c r="J3975" s="103">
        <v>1.3655822102642779E-3</v>
      </c>
      <c r="K3975" s="103"/>
      <c r="L3975" s="103">
        <v>4.1799999999999997E-2</v>
      </c>
      <c r="O3975" s="100"/>
    </row>
    <row r="3976" spans="2:15" x14ac:dyDescent="0.2">
      <c r="B3976" s="1">
        <v>3961</v>
      </c>
      <c r="C3976" s="101">
        <f ca="1"/>
        <v>-0.91000477022552473</v>
      </c>
      <c r="D3976" s="101">
        <f t="shared" ca="1" si="222"/>
        <v>0.60745254630888035</v>
      </c>
      <c r="E3976" s="101">
        <f t="shared" ca="1" si="223"/>
        <v>0</v>
      </c>
      <c r="F3976" s="21">
        <f t="shared" ca="1" si="224"/>
        <v>0</v>
      </c>
      <c r="H3976" s="21">
        <v>3961</v>
      </c>
      <c r="I3976" s="102">
        <v>0.66763599344142244</v>
      </c>
      <c r="J3976" s="103">
        <v>1.1889845360367715E-3</v>
      </c>
      <c r="K3976" s="103"/>
      <c r="L3976" s="103">
        <v>3.6999999999999998E-2</v>
      </c>
      <c r="O3976" s="100"/>
    </row>
    <row r="3977" spans="2:15" x14ac:dyDescent="0.2">
      <c r="B3977" s="1">
        <v>3962</v>
      </c>
      <c r="C3977" s="101">
        <f ca="1"/>
        <v>-0.48264741913549974</v>
      </c>
      <c r="D3977" s="101">
        <f t="shared" ca="1" si="222"/>
        <v>0.63360716876783107</v>
      </c>
      <c r="E3977" s="101">
        <f t="shared" ca="1" si="223"/>
        <v>0</v>
      </c>
      <c r="F3977" s="21">
        <f t="shared" ca="1" si="224"/>
        <v>0</v>
      </c>
      <c r="H3977" s="21">
        <v>3962</v>
      </c>
      <c r="I3977" s="102">
        <v>0.66756553942996422</v>
      </c>
      <c r="J3977" s="103">
        <v>1.1224395630015337E-3</v>
      </c>
      <c r="K3977" s="103"/>
      <c r="L3977" s="103">
        <v>3.8800000000000001E-2</v>
      </c>
      <c r="O3977" s="100"/>
    </row>
    <row r="3978" spans="2:15" x14ac:dyDescent="0.2">
      <c r="B3978" s="1">
        <v>3963</v>
      </c>
      <c r="C3978" s="101">
        <f ca="1"/>
        <v>9.9400090807308508E-2</v>
      </c>
      <c r="D3978" s="101">
        <f t="shared" ca="1" si="222"/>
        <v>0.67104962620864461</v>
      </c>
      <c r="E3978" s="101">
        <f t="shared" ca="1" si="223"/>
        <v>0</v>
      </c>
      <c r="F3978" s="21">
        <f t="shared" ca="1" si="224"/>
        <v>0</v>
      </c>
      <c r="H3978" s="21">
        <v>3963</v>
      </c>
      <c r="I3978" s="102">
        <v>0.66764783310225073</v>
      </c>
      <c r="J3978" s="103">
        <v>1.2899370453974036E-3</v>
      </c>
      <c r="K3978" s="103"/>
      <c r="L3978" s="103">
        <v>4.0800000000000003E-2</v>
      </c>
      <c r="O3978" s="100"/>
    </row>
    <row r="3979" spans="2:15" x14ac:dyDescent="0.2">
      <c r="B3979" s="1">
        <v>3964</v>
      </c>
      <c r="C3979" s="101">
        <f ca="1"/>
        <v>-0.92118378308761151</v>
      </c>
      <c r="D3979" s="101">
        <f t="shared" ca="1" si="222"/>
        <v>0.60678306989000708</v>
      </c>
      <c r="E3979" s="101">
        <f t="shared" ca="1" si="223"/>
        <v>0</v>
      </c>
      <c r="F3979" s="21">
        <f t="shared" ca="1" si="224"/>
        <v>0</v>
      </c>
      <c r="H3979" s="21">
        <v>3964</v>
      </c>
      <c r="I3979" s="102">
        <v>0.66781411707065685</v>
      </c>
      <c r="J3979" s="103">
        <v>1.4338878428963649E-3</v>
      </c>
      <c r="K3979" s="103"/>
      <c r="L3979" s="103">
        <v>4.5400000000000003E-2</v>
      </c>
      <c r="O3979" s="100"/>
    </row>
    <row r="3980" spans="2:15" x14ac:dyDescent="0.2">
      <c r="B3980" s="1">
        <v>3965</v>
      </c>
      <c r="C3980" s="101">
        <f ca="1"/>
        <v>-0.45984508613979935</v>
      </c>
      <c r="D3980" s="101">
        <f t="shared" ca="1" si="222"/>
        <v>0.6350339151405705</v>
      </c>
      <c r="E3980" s="101">
        <f t="shared" ca="1" si="223"/>
        <v>0</v>
      </c>
      <c r="F3980" s="21">
        <f t="shared" ca="1" si="224"/>
        <v>0</v>
      </c>
      <c r="H3980" s="21">
        <v>3965</v>
      </c>
      <c r="I3980" s="102">
        <v>0.66779700602637437</v>
      </c>
      <c r="J3980" s="103">
        <v>1.3410330320027849E-3</v>
      </c>
      <c r="K3980" s="103"/>
      <c r="L3980" s="103">
        <v>4.2200000000000001E-2</v>
      </c>
      <c r="O3980" s="100"/>
    </row>
    <row r="3981" spans="2:15" x14ac:dyDescent="0.2">
      <c r="B3981" s="1">
        <v>3966</v>
      </c>
      <c r="C3981" s="101">
        <f ca="1"/>
        <v>3.8624522494495363E-2</v>
      </c>
      <c r="D3981" s="101">
        <f t="shared" ca="1" si="222"/>
        <v>0.66703872999307268</v>
      </c>
      <c r="E3981" s="101">
        <f t="shared" ca="1" si="223"/>
        <v>0</v>
      </c>
      <c r="F3981" s="21">
        <f t="shared" ca="1" si="224"/>
        <v>0</v>
      </c>
      <c r="H3981" s="21">
        <v>3966</v>
      </c>
      <c r="I3981" s="102">
        <v>0.66785424581219233</v>
      </c>
      <c r="J3981" s="103">
        <v>1.4354272677314524E-3</v>
      </c>
      <c r="K3981" s="103"/>
      <c r="L3981" s="103">
        <v>4.36E-2</v>
      </c>
      <c r="O3981" s="100"/>
    </row>
    <row r="3982" spans="2:15" x14ac:dyDescent="0.2">
      <c r="B3982" s="1">
        <v>3967</v>
      </c>
      <c r="C3982" s="101">
        <f ca="1"/>
        <v>0.90984848161484233</v>
      </c>
      <c r="D3982" s="101">
        <f t="shared" ca="1" si="222"/>
        <v>0.72689845901930406</v>
      </c>
      <c r="E3982" s="101">
        <f t="shared" ca="1" si="223"/>
        <v>0</v>
      </c>
      <c r="F3982" s="21">
        <f t="shared" ca="1" si="224"/>
        <v>0</v>
      </c>
      <c r="H3982" s="21">
        <v>3967</v>
      </c>
      <c r="I3982" s="102">
        <v>0.66783618530866584</v>
      </c>
      <c r="J3982" s="103">
        <v>1.3712352795186588E-3</v>
      </c>
      <c r="K3982" s="103"/>
      <c r="L3982" s="103">
        <v>4.0599999999999997E-2</v>
      </c>
      <c r="O3982" s="100"/>
    </row>
    <row r="3983" spans="2:15" x14ac:dyDescent="0.2">
      <c r="B3983" s="1">
        <v>3968</v>
      </c>
      <c r="C3983" s="101">
        <f ca="1"/>
        <v>1.4788610847103346E-2</v>
      </c>
      <c r="D3983" s="101">
        <f t="shared" ca="1" si="222"/>
        <v>0.66547222688576346</v>
      </c>
      <c r="E3983" s="101">
        <f t="shared" ca="1" si="223"/>
        <v>0</v>
      </c>
      <c r="F3983" s="21">
        <f t="shared" ca="1" si="224"/>
        <v>0</v>
      </c>
      <c r="H3983" s="21">
        <v>3968</v>
      </c>
      <c r="I3983" s="102">
        <v>0.66768370130164345</v>
      </c>
      <c r="J3983" s="103">
        <v>1.334042824167616E-3</v>
      </c>
      <c r="K3983" s="103"/>
      <c r="L3983" s="103">
        <v>4.0599999999999997E-2</v>
      </c>
      <c r="O3983" s="100"/>
    </row>
    <row r="3984" spans="2:15" x14ac:dyDescent="0.2">
      <c r="B3984" s="1">
        <v>3969</v>
      </c>
      <c r="C3984" s="101">
        <f ca="1"/>
        <v>0.16372500545837831</v>
      </c>
      <c r="D3984" s="101">
        <f t="shared" ref="D3984:D4047" ca="1" si="225">S0*EXP((μ-0.5*σ*σ)*T+σ*SQRT(T)*$C3984)</f>
        <v>0.67532103666497789</v>
      </c>
      <c r="E3984" s="101">
        <f t="shared" ref="E3984:E4047" ca="1" si="226">MAX(0,CP*(D3984-K))</f>
        <v>0</v>
      </c>
      <c r="F3984" s="21">
        <f t="shared" ref="F3984:F4047" ca="1" si="227">(CP*(D3984-K)&gt;0)*1</f>
        <v>0</v>
      </c>
      <c r="H3984" s="21">
        <v>3969</v>
      </c>
      <c r="I3984" s="102">
        <v>0.66784641947465151</v>
      </c>
      <c r="J3984" s="103">
        <v>1.614945738788214E-3</v>
      </c>
      <c r="K3984" s="103"/>
      <c r="L3984" s="103">
        <v>4.6399999999999997E-2</v>
      </c>
      <c r="O3984" s="100"/>
    </row>
    <row r="3985" spans="2:15" x14ac:dyDescent="0.2">
      <c r="B3985" s="1">
        <v>3970</v>
      </c>
      <c r="C3985" s="101">
        <f ca="1"/>
        <v>-1.1447154288236856</v>
      </c>
      <c r="D3985" s="101">
        <f t="shared" ca="1" si="225"/>
        <v>0.59355025644736203</v>
      </c>
      <c r="E3985" s="101">
        <f t="shared" ca="1" si="226"/>
        <v>0</v>
      </c>
      <c r="F3985" s="21">
        <f t="shared" ca="1" si="227"/>
        <v>0</v>
      </c>
      <c r="H3985" s="21">
        <v>3970</v>
      </c>
      <c r="I3985" s="102">
        <v>0.66785169116663023</v>
      </c>
      <c r="J3985" s="103">
        <v>1.5742959206258356E-3</v>
      </c>
      <c r="K3985" s="103"/>
      <c r="L3985" s="103">
        <v>4.1000000000000002E-2</v>
      </c>
      <c r="O3985" s="100"/>
    </row>
    <row r="3986" spans="2:15" x14ac:dyDescent="0.2">
      <c r="B3986" s="1">
        <v>3971</v>
      </c>
      <c r="C3986" s="101">
        <f ca="1"/>
        <v>-1.94941324055776</v>
      </c>
      <c r="D3986" s="101">
        <f t="shared" ca="1" si="225"/>
        <v>0.54825769872732433</v>
      </c>
      <c r="E3986" s="101">
        <f t="shared" ca="1" si="226"/>
        <v>0</v>
      </c>
      <c r="F3986" s="21">
        <f t="shared" ca="1" si="227"/>
        <v>0</v>
      </c>
      <c r="H3986" s="21">
        <v>3971</v>
      </c>
      <c r="I3986" s="102">
        <v>0.6677060731322827</v>
      </c>
      <c r="J3986" s="103">
        <v>1.42488404343197E-3</v>
      </c>
      <c r="K3986" s="103"/>
      <c r="L3986" s="103">
        <v>4.1799999999999997E-2</v>
      </c>
      <c r="O3986" s="100"/>
    </row>
    <row r="3987" spans="2:15" x14ac:dyDescent="0.2">
      <c r="B3987" s="1">
        <v>3972</v>
      </c>
      <c r="C3987" s="101">
        <f ca="1"/>
        <v>1.0540674466301765</v>
      </c>
      <c r="D3987" s="101">
        <f t="shared" ca="1" si="225"/>
        <v>0.73731318412390656</v>
      </c>
      <c r="E3987" s="101">
        <f t="shared" ca="1" si="226"/>
        <v>0</v>
      </c>
      <c r="F3987" s="21">
        <f t="shared" ca="1" si="227"/>
        <v>0</v>
      </c>
      <c r="H3987" s="21">
        <v>3972</v>
      </c>
      <c r="I3987" s="102">
        <v>0.66786090840534151</v>
      </c>
      <c r="J3987" s="103">
        <v>1.541379639758928E-3</v>
      </c>
      <c r="K3987" s="103"/>
      <c r="L3987" s="103">
        <v>4.3799999999999999E-2</v>
      </c>
      <c r="O3987" s="100"/>
    </row>
    <row r="3988" spans="2:15" x14ac:dyDescent="0.2">
      <c r="B3988" s="1">
        <v>3973</v>
      </c>
      <c r="C3988" s="101">
        <f ca="1"/>
        <v>0.86156053868017546</v>
      </c>
      <c r="D3988" s="101">
        <f t="shared" ca="1" si="225"/>
        <v>0.72344433878045511</v>
      </c>
      <c r="E3988" s="101">
        <f t="shared" ca="1" si="226"/>
        <v>0</v>
      </c>
      <c r="F3988" s="21">
        <f t="shared" ca="1" si="227"/>
        <v>0</v>
      </c>
      <c r="H3988" s="21">
        <v>3973</v>
      </c>
      <c r="I3988" s="102">
        <v>0.66777549682274195</v>
      </c>
      <c r="J3988" s="103">
        <v>1.4946848175498512E-3</v>
      </c>
      <c r="K3988" s="103"/>
      <c r="L3988" s="103">
        <v>4.3799999999999999E-2</v>
      </c>
      <c r="O3988" s="100"/>
    </row>
    <row r="3989" spans="2:15" x14ac:dyDescent="0.2">
      <c r="B3989" s="1">
        <v>3974</v>
      </c>
      <c r="C3989" s="101">
        <f ca="1"/>
        <v>-9.795484527306754E-2</v>
      </c>
      <c r="D3989" s="101">
        <f t="shared" ca="1" si="225"/>
        <v>0.65811240188994502</v>
      </c>
      <c r="E3989" s="101">
        <f t="shared" ca="1" si="226"/>
        <v>0</v>
      </c>
      <c r="F3989" s="21">
        <f t="shared" ca="1" si="227"/>
        <v>0</v>
      </c>
      <c r="H3989" s="21">
        <v>3974</v>
      </c>
      <c r="I3989" s="102">
        <v>0.66778289636260002</v>
      </c>
      <c r="J3989" s="103">
        <v>1.4184934935242495E-3</v>
      </c>
      <c r="K3989" s="103"/>
      <c r="L3989" s="103">
        <v>4.5199999999999997E-2</v>
      </c>
      <c r="O3989" s="100"/>
    </row>
    <row r="3990" spans="2:15" x14ac:dyDescent="0.2">
      <c r="B3990" s="1">
        <v>3975</v>
      </c>
      <c r="C3990" s="101">
        <f ca="1"/>
        <v>0.2606247843135937</v>
      </c>
      <c r="D3990" s="101">
        <f t="shared" ca="1" si="225"/>
        <v>0.68180692073395888</v>
      </c>
      <c r="E3990" s="101">
        <f t="shared" ca="1" si="226"/>
        <v>0</v>
      </c>
      <c r="F3990" s="21">
        <f t="shared" ca="1" si="227"/>
        <v>0</v>
      </c>
      <c r="H3990" s="21">
        <v>3975</v>
      </c>
      <c r="I3990" s="102">
        <v>0.66772551082328901</v>
      </c>
      <c r="J3990" s="103">
        <v>1.3920672853435017E-3</v>
      </c>
      <c r="K3990" s="103"/>
      <c r="L3990" s="103">
        <v>4.2200000000000001E-2</v>
      </c>
      <c r="O3990" s="100"/>
    </row>
    <row r="3991" spans="2:15" x14ac:dyDescent="0.2">
      <c r="B3991" s="1">
        <v>3976</v>
      </c>
      <c r="C3991" s="101">
        <f ca="1"/>
        <v>-1.1183895587126123</v>
      </c>
      <c r="D3991" s="101">
        <f t="shared" ca="1" si="225"/>
        <v>0.59509360189721983</v>
      </c>
      <c r="E3991" s="101">
        <f t="shared" ca="1" si="226"/>
        <v>0</v>
      </c>
      <c r="F3991" s="21">
        <f t="shared" ca="1" si="227"/>
        <v>0</v>
      </c>
      <c r="H3991" s="21">
        <v>3976</v>
      </c>
      <c r="I3991" s="102">
        <v>0.66781762406364087</v>
      </c>
      <c r="J3991" s="103">
        <v>1.3863252947225984E-3</v>
      </c>
      <c r="K3991" s="103"/>
      <c r="L3991" s="103">
        <v>4.3400000000000001E-2</v>
      </c>
      <c r="O3991" s="100"/>
    </row>
    <row r="3992" spans="2:15" x14ac:dyDescent="0.2">
      <c r="B3992" s="1">
        <v>3977</v>
      </c>
      <c r="C3992" s="101">
        <f ca="1"/>
        <v>-0.46997187559349884</v>
      </c>
      <c r="D3992" s="101">
        <f t="shared" ca="1" si="225"/>
        <v>0.6343998838277497</v>
      </c>
      <c r="E3992" s="101">
        <f t="shared" ca="1" si="226"/>
        <v>0</v>
      </c>
      <c r="F3992" s="21">
        <f t="shared" ca="1" si="227"/>
        <v>0</v>
      </c>
      <c r="H3992" s="21">
        <v>3977</v>
      </c>
      <c r="I3992" s="102">
        <v>0.66765634663863171</v>
      </c>
      <c r="J3992" s="103">
        <v>1.2612213816908351E-3</v>
      </c>
      <c r="K3992" s="103"/>
      <c r="L3992" s="103">
        <v>4.1000000000000002E-2</v>
      </c>
      <c r="O3992" s="100"/>
    </row>
    <row r="3993" spans="2:15" x14ac:dyDescent="0.2">
      <c r="B3993" s="1">
        <v>3978</v>
      </c>
      <c r="C3993" s="101">
        <f ca="1"/>
        <v>0.49031272225710082</v>
      </c>
      <c r="D3993" s="101">
        <f t="shared" ca="1" si="225"/>
        <v>0.6974307551829797</v>
      </c>
      <c r="E3993" s="101">
        <f t="shared" ca="1" si="226"/>
        <v>0</v>
      </c>
      <c r="F3993" s="21">
        <f t="shared" ca="1" si="227"/>
        <v>0</v>
      </c>
      <c r="H3993" s="21">
        <v>3978</v>
      </c>
      <c r="I3993" s="102">
        <v>0.66788114888434069</v>
      </c>
      <c r="J3993" s="103">
        <v>1.7092545633288591E-3</v>
      </c>
      <c r="K3993" s="103"/>
      <c r="L3993" s="103">
        <v>4.5400000000000003E-2</v>
      </c>
      <c r="O3993" s="100"/>
    </row>
    <row r="3994" spans="2:15" x14ac:dyDescent="0.2">
      <c r="B3994" s="1">
        <v>3979</v>
      </c>
      <c r="C3994" s="101">
        <f ca="1"/>
        <v>-0.18114114690664937</v>
      </c>
      <c r="D3994" s="101">
        <f t="shared" ca="1" si="225"/>
        <v>0.65273428563736702</v>
      </c>
      <c r="E3994" s="101">
        <f t="shared" ca="1" si="226"/>
        <v>0</v>
      </c>
      <c r="F3994" s="21">
        <f t="shared" ca="1" si="227"/>
        <v>0</v>
      </c>
      <c r="H3994" s="21">
        <v>3979</v>
      </c>
      <c r="I3994" s="102">
        <v>0.66781012404967133</v>
      </c>
      <c r="J3994" s="103">
        <v>1.4232479915432079E-3</v>
      </c>
      <c r="K3994" s="103"/>
      <c r="L3994" s="103">
        <v>4.02E-2</v>
      </c>
      <c r="O3994" s="100"/>
    </row>
    <row r="3995" spans="2:15" x14ac:dyDescent="0.2">
      <c r="B3995" s="1">
        <v>3980</v>
      </c>
      <c r="C3995" s="101">
        <f ca="1"/>
        <v>-0.3676461144445598</v>
      </c>
      <c r="D3995" s="101">
        <f t="shared" ca="1" si="225"/>
        <v>0.64083565522233399</v>
      </c>
      <c r="E3995" s="101">
        <f t="shared" ca="1" si="226"/>
        <v>0</v>
      </c>
      <c r="F3995" s="21">
        <f t="shared" ca="1" si="227"/>
        <v>0</v>
      </c>
      <c r="H3995" s="21">
        <v>3980</v>
      </c>
      <c r="I3995" s="102">
        <v>0.66784142891709386</v>
      </c>
      <c r="J3995" s="103">
        <v>1.3890340221858611E-3</v>
      </c>
      <c r="K3995" s="103"/>
      <c r="L3995" s="103">
        <v>4.4200000000000003E-2</v>
      </c>
      <c r="O3995" s="100"/>
    </row>
    <row r="3996" spans="2:15" x14ac:dyDescent="0.2">
      <c r="B3996" s="1">
        <v>3981</v>
      </c>
      <c r="C3996" s="101">
        <f ca="1"/>
        <v>1.0291185774713072</v>
      </c>
      <c r="D3996" s="101">
        <f t="shared" ca="1" si="225"/>
        <v>0.73550089502422278</v>
      </c>
      <c r="E3996" s="101">
        <f t="shared" ca="1" si="226"/>
        <v>0</v>
      </c>
      <c r="F3996" s="21">
        <f t="shared" ca="1" si="227"/>
        <v>0</v>
      </c>
      <c r="H3996" s="21">
        <v>3981</v>
      </c>
      <c r="I3996" s="102">
        <v>0.6678315977464947</v>
      </c>
      <c r="J3996" s="103">
        <v>1.4384702052014124E-3</v>
      </c>
      <c r="K3996" s="103"/>
      <c r="L3996" s="103">
        <v>4.2599999999999999E-2</v>
      </c>
      <c r="O3996" s="100"/>
    </row>
    <row r="3997" spans="2:15" x14ac:dyDescent="0.2">
      <c r="B3997" s="1">
        <v>3982</v>
      </c>
      <c r="C3997" s="101">
        <f ca="1"/>
        <v>0.44641057887807334</v>
      </c>
      <c r="D3997" s="101">
        <f t="shared" ca="1" si="225"/>
        <v>0.69441701583538484</v>
      </c>
      <c r="E3997" s="101">
        <f t="shared" ca="1" si="226"/>
        <v>0</v>
      </c>
      <c r="F3997" s="21">
        <f t="shared" ca="1" si="227"/>
        <v>0</v>
      </c>
      <c r="H3997" s="21">
        <v>3982</v>
      </c>
      <c r="I3997" s="102">
        <v>0.66776828853888481</v>
      </c>
      <c r="J3997" s="103">
        <v>1.4151680942828743E-3</v>
      </c>
      <c r="K3997" s="103"/>
      <c r="L3997" s="103">
        <v>4.1200000000000001E-2</v>
      </c>
      <c r="O3997" s="100"/>
    </row>
    <row r="3998" spans="2:15" x14ac:dyDescent="0.2">
      <c r="B3998" s="1">
        <v>3983</v>
      </c>
      <c r="C3998" s="101">
        <f ca="1"/>
        <v>0.11398393938763167</v>
      </c>
      <c r="D3998" s="101">
        <f t="shared" ca="1" si="225"/>
        <v>0.67201567287228958</v>
      </c>
      <c r="E3998" s="101">
        <f t="shared" ca="1" si="226"/>
        <v>0</v>
      </c>
      <c r="F3998" s="21">
        <f t="shared" ca="1" si="227"/>
        <v>0</v>
      </c>
      <c r="H3998" s="21">
        <v>3983</v>
      </c>
      <c r="I3998" s="102">
        <v>0.66769702774968609</v>
      </c>
      <c r="J3998" s="103">
        <v>1.3253441060616722E-3</v>
      </c>
      <c r="K3998" s="103"/>
      <c r="L3998" s="103">
        <v>4.0399999999999998E-2</v>
      </c>
      <c r="O3998" s="100"/>
    </row>
    <row r="3999" spans="2:15" x14ac:dyDescent="0.2">
      <c r="B3999" s="1">
        <v>3984</v>
      </c>
      <c r="C3999" s="101">
        <f ca="1"/>
        <v>0.66171299423895891</v>
      </c>
      <c r="D3999" s="101">
        <f t="shared" ca="1" si="225"/>
        <v>0.70932256666823668</v>
      </c>
      <c r="E3999" s="101">
        <f t="shared" ca="1" si="226"/>
        <v>0</v>
      </c>
      <c r="F3999" s="21">
        <f t="shared" ca="1" si="227"/>
        <v>0</v>
      </c>
      <c r="H3999" s="21">
        <v>3984</v>
      </c>
      <c r="I3999" s="102">
        <v>0.66767942643273892</v>
      </c>
      <c r="J3999" s="103">
        <v>1.177198305678757E-3</v>
      </c>
      <c r="K3999" s="103"/>
      <c r="L3999" s="103">
        <v>3.8800000000000001E-2</v>
      </c>
      <c r="O3999" s="100"/>
    </row>
    <row r="4000" spans="2:15" x14ac:dyDescent="0.2">
      <c r="B4000" s="1">
        <v>3985</v>
      </c>
      <c r="C4000" s="101">
        <f ca="1"/>
        <v>-0.87625905569706408</v>
      </c>
      <c r="D4000" s="101">
        <f t="shared" ca="1" si="225"/>
        <v>0.60947795611881628</v>
      </c>
      <c r="E4000" s="101">
        <f t="shared" ca="1" si="226"/>
        <v>0</v>
      </c>
      <c r="F4000" s="21">
        <f t="shared" ca="1" si="227"/>
        <v>0</v>
      </c>
      <c r="H4000" s="21">
        <v>3985</v>
      </c>
      <c r="I4000" s="102">
        <v>0.66776706359318549</v>
      </c>
      <c r="J4000" s="103">
        <v>1.4195125304731385E-3</v>
      </c>
      <c r="K4000" s="103"/>
      <c r="L4000" s="103">
        <v>4.1000000000000002E-2</v>
      </c>
      <c r="O4000" s="100"/>
    </row>
    <row r="4001" spans="2:15" x14ac:dyDescent="0.2">
      <c r="B4001" s="1">
        <v>3986</v>
      </c>
      <c r="C4001" s="101">
        <f ca="1"/>
        <v>-0.11030072167482381</v>
      </c>
      <c r="D4001" s="101">
        <f t="shared" ca="1" si="225"/>
        <v>0.65731143146139326</v>
      </c>
      <c r="E4001" s="101">
        <f t="shared" ca="1" si="226"/>
        <v>0</v>
      </c>
      <c r="F4001" s="21">
        <f t="shared" ca="1" si="227"/>
        <v>0</v>
      </c>
      <c r="H4001" s="21">
        <v>3986</v>
      </c>
      <c r="I4001" s="102">
        <v>0.66774754699187766</v>
      </c>
      <c r="J4001" s="103">
        <v>1.3948501718657194E-3</v>
      </c>
      <c r="K4001" s="103"/>
      <c r="L4001" s="103">
        <v>4.2000000000000003E-2</v>
      </c>
      <c r="O4001" s="100"/>
    </row>
    <row r="4002" spans="2:15" x14ac:dyDescent="0.2">
      <c r="B4002" s="1">
        <v>3987</v>
      </c>
      <c r="C4002" s="101">
        <f ca="1"/>
        <v>-2.6561315826765082</v>
      </c>
      <c r="D4002" s="101">
        <f t="shared" ca="1" si="225"/>
        <v>0.51133952157623175</v>
      </c>
      <c r="E4002" s="101">
        <f t="shared" ca="1" si="226"/>
        <v>0</v>
      </c>
      <c r="F4002" s="21">
        <f t="shared" ca="1" si="227"/>
        <v>0</v>
      </c>
      <c r="H4002" s="21">
        <v>3987</v>
      </c>
      <c r="I4002" s="102">
        <v>0.66779007695845094</v>
      </c>
      <c r="J4002" s="103">
        <v>1.3526244074512147E-3</v>
      </c>
      <c r="K4002" s="103"/>
      <c r="L4002" s="103">
        <v>4.4600000000000001E-2</v>
      </c>
      <c r="O4002" s="100"/>
    </row>
    <row r="4003" spans="2:15" x14ac:dyDescent="0.2">
      <c r="B4003" s="1">
        <v>3988</v>
      </c>
      <c r="C4003" s="101">
        <f ca="1"/>
        <v>1.535590965805727</v>
      </c>
      <c r="D4003" s="101">
        <f t="shared" ca="1" si="225"/>
        <v>0.77317921469023831</v>
      </c>
      <c r="E4003" s="101">
        <f t="shared" ca="1" si="226"/>
        <v>0</v>
      </c>
      <c r="F4003" s="21">
        <f t="shared" ca="1" si="227"/>
        <v>0</v>
      </c>
      <c r="H4003" s="21">
        <v>3988</v>
      </c>
      <c r="I4003" s="102">
        <v>0.66782071884605343</v>
      </c>
      <c r="J4003" s="103">
        <v>1.3937611626989527E-3</v>
      </c>
      <c r="K4003" s="103"/>
      <c r="L4003" s="103">
        <v>4.3400000000000001E-2</v>
      </c>
      <c r="O4003" s="100"/>
    </row>
    <row r="4004" spans="2:15" x14ac:dyDescent="0.2">
      <c r="B4004" s="1">
        <v>3989</v>
      </c>
      <c r="C4004" s="101">
        <f ca="1"/>
        <v>0.92639815611575616</v>
      </c>
      <c r="D4004" s="101">
        <f t="shared" ca="1" si="225"/>
        <v>0.72808607666701608</v>
      </c>
      <c r="E4004" s="101">
        <f t="shared" ca="1" si="226"/>
        <v>0</v>
      </c>
      <c r="F4004" s="21">
        <f t="shared" ca="1" si="227"/>
        <v>0</v>
      </c>
      <c r="H4004" s="21">
        <v>3989</v>
      </c>
      <c r="I4004" s="102">
        <v>0.66771924261781257</v>
      </c>
      <c r="J4004" s="103">
        <v>1.2898976142244377E-3</v>
      </c>
      <c r="K4004" s="103"/>
      <c r="L4004" s="103">
        <v>4.24E-2</v>
      </c>
      <c r="O4004" s="100"/>
    </row>
    <row r="4005" spans="2:15" x14ac:dyDescent="0.2">
      <c r="B4005" s="1">
        <v>3990</v>
      </c>
      <c r="C4005" s="101">
        <f ca="1"/>
        <v>-0.81706913478501653</v>
      </c>
      <c r="D4005" s="101">
        <f t="shared" ca="1" si="225"/>
        <v>0.61304684568458523</v>
      </c>
      <c r="E4005" s="101">
        <f t="shared" ca="1" si="226"/>
        <v>0</v>
      </c>
      <c r="F4005" s="21">
        <f t="shared" ca="1" si="227"/>
        <v>0</v>
      </c>
      <c r="H4005" s="21">
        <v>3990</v>
      </c>
      <c r="I4005" s="102">
        <v>0.66768273502597497</v>
      </c>
      <c r="J4005" s="103">
        <v>1.2470654602345979E-3</v>
      </c>
      <c r="K4005" s="103"/>
      <c r="L4005" s="103">
        <v>4.0599999999999997E-2</v>
      </c>
      <c r="O4005" s="100"/>
    </row>
    <row r="4006" spans="2:15" x14ac:dyDescent="0.2">
      <c r="B4006" s="1">
        <v>3991</v>
      </c>
      <c r="C4006" s="101">
        <f ca="1"/>
        <v>-0.84059210116644745</v>
      </c>
      <c r="D4006" s="101">
        <f t="shared" ca="1" si="225"/>
        <v>0.61162601969201225</v>
      </c>
      <c r="E4006" s="101">
        <f t="shared" ca="1" si="226"/>
        <v>0</v>
      </c>
      <c r="F4006" s="21">
        <f t="shared" ca="1" si="227"/>
        <v>0</v>
      </c>
      <c r="H4006" s="21">
        <v>3991</v>
      </c>
      <c r="I4006" s="102">
        <v>0.66777218723380527</v>
      </c>
      <c r="J4006" s="103">
        <v>1.4173354284006104E-3</v>
      </c>
      <c r="K4006" s="103"/>
      <c r="L4006" s="103">
        <v>4.1799999999999997E-2</v>
      </c>
      <c r="O4006" s="100"/>
    </row>
    <row r="4007" spans="2:15" x14ac:dyDescent="0.2">
      <c r="B4007" s="1">
        <v>3992</v>
      </c>
      <c r="C4007" s="101">
        <f ca="1"/>
        <v>-0.95595044099441906</v>
      </c>
      <c r="D4007" s="101">
        <f t="shared" ca="1" si="225"/>
        <v>0.60470571440262677</v>
      </c>
      <c r="E4007" s="101">
        <f t="shared" ca="1" si="226"/>
        <v>0</v>
      </c>
      <c r="F4007" s="21">
        <f t="shared" ca="1" si="227"/>
        <v>0</v>
      </c>
      <c r="H4007" s="21">
        <v>3992</v>
      </c>
      <c r="I4007" s="102">
        <v>0.66778795589907514</v>
      </c>
      <c r="J4007" s="103">
        <v>1.3585457565530984E-3</v>
      </c>
      <c r="K4007" s="103"/>
      <c r="L4007" s="103">
        <v>4.1000000000000002E-2</v>
      </c>
      <c r="O4007" s="100"/>
    </row>
    <row r="4008" spans="2:15" x14ac:dyDescent="0.2">
      <c r="B4008" s="1">
        <v>3993</v>
      </c>
      <c r="C4008" s="101">
        <f ca="1"/>
        <v>2.308245464577344</v>
      </c>
      <c r="D4008" s="101">
        <f t="shared" ca="1" si="225"/>
        <v>0.83441136895581447</v>
      </c>
      <c r="E4008" s="101">
        <f t="shared" ca="1" si="226"/>
        <v>4.6211368955814458E-2</v>
      </c>
      <c r="F4008" s="21">
        <f t="shared" ca="1" si="227"/>
        <v>1</v>
      </c>
      <c r="H4008" s="21">
        <v>3993</v>
      </c>
      <c r="I4008" s="102">
        <v>0.66782705121683217</v>
      </c>
      <c r="J4008" s="103">
        <v>1.5105602147457268E-3</v>
      </c>
      <c r="K4008" s="103"/>
      <c r="L4008" s="103">
        <v>4.3400000000000001E-2</v>
      </c>
      <c r="O4008" s="100"/>
    </row>
    <row r="4009" spans="2:15" x14ac:dyDescent="0.2">
      <c r="B4009" s="1">
        <v>3994</v>
      </c>
      <c r="C4009" s="101">
        <f ca="1"/>
        <v>0.39441502779377124</v>
      </c>
      <c r="D4009" s="101">
        <f t="shared" ca="1" si="225"/>
        <v>0.6908645313684546</v>
      </c>
      <c r="E4009" s="101">
        <f t="shared" ca="1" si="226"/>
        <v>0</v>
      </c>
      <c r="F4009" s="21">
        <f t="shared" ca="1" si="227"/>
        <v>0</v>
      </c>
      <c r="H4009" s="21">
        <v>3994</v>
      </c>
      <c r="I4009" s="102">
        <v>0.66791865339897127</v>
      </c>
      <c r="J4009" s="103">
        <v>1.6013034565793771E-3</v>
      </c>
      <c r="K4009" s="103"/>
      <c r="L4009" s="103">
        <v>4.9399999999999999E-2</v>
      </c>
      <c r="O4009" s="100"/>
    </row>
    <row r="4010" spans="2:15" x14ac:dyDescent="0.2">
      <c r="B4010" s="1">
        <v>3995</v>
      </c>
      <c r="C4010" s="101">
        <f ca="1"/>
        <v>-0.13456371290744099</v>
      </c>
      <c r="D4010" s="101">
        <f t="shared" ca="1" si="225"/>
        <v>0.65574014696623284</v>
      </c>
      <c r="E4010" s="101">
        <f t="shared" ca="1" si="226"/>
        <v>0</v>
      </c>
      <c r="F4010" s="21">
        <f t="shared" ca="1" si="227"/>
        <v>0</v>
      </c>
      <c r="H4010" s="21">
        <v>3995</v>
      </c>
      <c r="I4010" s="102">
        <v>0.66776676184960915</v>
      </c>
      <c r="J4010" s="103">
        <v>1.3443217922974242E-3</v>
      </c>
      <c r="K4010" s="103"/>
      <c r="L4010" s="103">
        <v>4.0800000000000003E-2</v>
      </c>
      <c r="O4010" s="100"/>
    </row>
    <row r="4011" spans="2:15" x14ac:dyDescent="0.2">
      <c r="B4011" s="1">
        <v>3996</v>
      </c>
      <c r="C4011" s="101">
        <f ca="1"/>
        <v>2.7819689424808055E-2</v>
      </c>
      <c r="D4011" s="101">
        <f t="shared" ca="1" si="225"/>
        <v>0.66632817679653733</v>
      </c>
      <c r="E4011" s="101">
        <f t="shared" ca="1" si="226"/>
        <v>0</v>
      </c>
      <c r="F4011" s="21">
        <f t="shared" ca="1" si="227"/>
        <v>0</v>
      </c>
      <c r="H4011" s="21">
        <v>3996</v>
      </c>
      <c r="I4011" s="102">
        <v>0.66771619203510013</v>
      </c>
      <c r="J4011" s="103">
        <v>1.465763997245888E-3</v>
      </c>
      <c r="K4011" s="103"/>
      <c r="L4011" s="103">
        <v>4.1599999999999998E-2</v>
      </c>
      <c r="O4011" s="100"/>
    </row>
    <row r="4012" spans="2:15" x14ac:dyDescent="0.2">
      <c r="B4012" s="1">
        <v>3997</v>
      </c>
      <c r="C4012" s="101">
        <f ca="1"/>
        <v>1.0881989942201507</v>
      </c>
      <c r="D4012" s="101">
        <f t="shared" ca="1" si="225"/>
        <v>0.7397997397158701</v>
      </c>
      <c r="E4012" s="101">
        <f t="shared" ca="1" si="226"/>
        <v>0</v>
      </c>
      <c r="F4012" s="21">
        <f t="shared" ca="1" si="227"/>
        <v>0</v>
      </c>
      <c r="H4012" s="21">
        <v>3997</v>
      </c>
      <c r="I4012" s="102">
        <v>0.6675853947765914</v>
      </c>
      <c r="J4012" s="103">
        <v>1.206918720687576E-3</v>
      </c>
      <c r="K4012" s="103"/>
      <c r="L4012" s="103">
        <v>3.7400000000000003E-2</v>
      </c>
      <c r="O4012" s="100"/>
    </row>
    <row r="4013" spans="2:15" x14ac:dyDescent="0.2">
      <c r="B4013" s="1">
        <v>3998</v>
      </c>
      <c r="C4013" s="101">
        <f ca="1"/>
        <v>0.36159576059216664</v>
      </c>
      <c r="D4013" s="101">
        <f t="shared" ca="1" si="225"/>
        <v>0.68863158707664363</v>
      </c>
      <c r="E4013" s="101">
        <f t="shared" ca="1" si="226"/>
        <v>0</v>
      </c>
      <c r="F4013" s="21">
        <f t="shared" ca="1" si="227"/>
        <v>0</v>
      </c>
      <c r="H4013" s="21">
        <v>3998</v>
      </c>
      <c r="I4013" s="102">
        <v>0.66760147515780799</v>
      </c>
      <c r="J4013" s="103">
        <v>1.1278172506167807E-3</v>
      </c>
      <c r="K4013" s="103"/>
      <c r="L4013" s="103">
        <v>3.5799999999999998E-2</v>
      </c>
      <c r="O4013" s="100"/>
    </row>
    <row r="4014" spans="2:15" x14ac:dyDescent="0.2">
      <c r="B4014" s="1">
        <v>3999</v>
      </c>
      <c r="C4014" s="101">
        <f ca="1"/>
        <v>0.19897737463494339</v>
      </c>
      <c r="D4014" s="101">
        <f t="shared" ca="1" si="225"/>
        <v>0.67767344550309694</v>
      </c>
      <c r="E4014" s="101">
        <f t="shared" ca="1" si="226"/>
        <v>0</v>
      </c>
      <c r="F4014" s="21">
        <f t="shared" ca="1" si="227"/>
        <v>0</v>
      </c>
      <c r="H4014" s="21">
        <v>3999</v>
      </c>
      <c r="I4014" s="102">
        <v>0.66773060219693714</v>
      </c>
      <c r="J4014" s="103">
        <v>1.4823676415819361E-3</v>
      </c>
      <c r="K4014" s="103"/>
      <c r="L4014" s="103">
        <v>4.4600000000000001E-2</v>
      </c>
      <c r="O4014" s="100"/>
    </row>
    <row r="4015" spans="2:15" x14ac:dyDescent="0.2">
      <c r="B4015" s="1">
        <v>4000</v>
      </c>
      <c r="C4015" s="101">
        <f ca="1"/>
        <v>0.6828710348664212</v>
      </c>
      <c r="D4015" s="101">
        <f t="shared" ca="1" si="225"/>
        <v>0.71080450933421391</v>
      </c>
      <c r="E4015" s="101">
        <f t="shared" ca="1" si="226"/>
        <v>0</v>
      </c>
      <c r="F4015" s="21">
        <f t="shared" ca="1" si="227"/>
        <v>0</v>
      </c>
      <c r="H4015" s="21">
        <v>4000</v>
      </c>
      <c r="I4015" s="102">
        <v>0.66788129712256605</v>
      </c>
      <c r="J4015" s="103">
        <v>1.5157649069314906E-3</v>
      </c>
      <c r="K4015" s="103"/>
      <c r="L4015" s="103">
        <v>4.9000000000000002E-2</v>
      </c>
      <c r="O4015" s="100"/>
    </row>
    <row r="4016" spans="2:15" x14ac:dyDescent="0.2">
      <c r="B4016" s="1">
        <f t="shared" ref="B4016:B4079" si="228">B4015+1</f>
        <v>4001</v>
      </c>
      <c r="C4016" s="101">
        <f ca="1"/>
        <v>-0.18027427574080743</v>
      </c>
      <c r="D4016" s="101">
        <f t="shared" ca="1" si="225"/>
        <v>0.65279010288938277</v>
      </c>
      <c r="E4016" s="101">
        <f t="shared" ca="1" si="226"/>
        <v>0</v>
      </c>
      <c r="F4016" s="21">
        <f t="shared" ca="1" si="227"/>
        <v>0</v>
      </c>
      <c r="H4016" s="21">
        <v>4001</v>
      </c>
      <c r="I4016" s="102">
        <v>0.66787999791072894</v>
      </c>
      <c r="J4016" s="103">
        <v>1.609461748663087E-3</v>
      </c>
      <c r="K4016" s="103"/>
      <c r="L4016" s="103">
        <v>4.4400000000000002E-2</v>
      </c>
      <c r="O4016" s="100"/>
    </row>
    <row r="4017" spans="2:15" x14ac:dyDescent="0.2">
      <c r="B4017" s="1">
        <f t="shared" si="228"/>
        <v>4002</v>
      </c>
      <c r="C4017" s="101">
        <f ca="1"/>
        <v>-0.11088107937652542</v>
      </c>
      <c r="D4017" s="101">
        <f t="shared" ca="1" si="225"/>
        <v>0.65727380326456708</v>
      </c>
      <c r="E4017" s="101">
        <f t="shared" ca="1" si="226"/>
        <v>0</v>
      </c>
      <c r="F4017" s="21">
        <f t="shared" ca="1" si="227"/>
        <v>0</v>
      </c>
      <c r="H4017" s="21">
        <v>4002</v>
      </c>
      <c r="I4017" s="102">
        <v>0.66782697250333345</v>
      </c>
      <c r="J4017" s="103">
        <v>1.493734679031537E-3</v>
      </c>
      <c r="K4017" s="103"/>
      <c r="L4017" s="103">
        <v>4.2599999999999999E-2</v>
      </c>
      <c r="O4017" s="100"/>
    </row>
    <row r="4018" spans="2:15" x14ac:dyDescent="0.2">
      <c r="B4018" s="1">
        <f t="shared" si="228"/>
        <v>4003</v>
      </c>
      <c r="C4018" s="101">
        <f ca="1"/>
        <v>1.2541922568355812</v>
      </c>
      <c r="D4018" s="101">
        <f t="shared" ca="1" si="225"/>
        <v>0.75201278343989864</v>
      </c>
      <c r="E4018" s="101">
        <f t="shared" ca="1" si="226"/>
        <v>0</v>
      </c>
      <c r="F4018" s="21">
        <f t="shared" ca="1" si="227"/>
        <v>0</v>
      </c>
      <c r="H4018" s="21">
        <v>4003</v>
      </c>
      <c r="I4018" s="102">
        <v>0.66780868911931868</v>
      </c>
      <c r="J4018" s="103">
        <v>1.4429475242163691E-3</v>
      </c>
      <c r="K4018" s="103"/>
      <c r="L4018" s="103">
        <v>4.3200000000000002E-2</v>
      </c>
      <c r="O4018" s="100"/>
    </row>
    <row r="4019" spans="2:15" x14ac:dyDescent="0.2">
      <c r="B4019" s="1">
        <f t="shared" si="228"/>
        <v>4004</v>
      </c>
      <c r="C4019" s="101">
        <f ca="1"/>
        <v>-0.40977168915841727</v>
      </c>
      <c r="D4019" s="101">
        <f t="shared" ca="1" si="225"/>
        <v>0.63817830128575048</v>
      </c>
      <c r="E4019" s="101">
        <f t="shared" ca="1" si="226"/>
        <v>0</v>
      </c>
      <c r="F4019" s="21">
        <f t="shared" ca="1" si="227"/>
        <v>0</v>
      </c>
      <c r="H4019" s="21">
        <v>4004</v>
      </c>
      <c r="I4019" s="102">
        <v>0.66773322071075425</v>
      </c>
      <c r="J4019" s="103">
        <v>1.3722730984490946E-3</v>
      </c>
      <c r="K4019" s="103"/>
      <c r="L4019" s="103">
        <v>4.1000000000000002E-2</v>
      </c>
      <c r="O4019" s="100"/>
    </row>
    <row r="4020" spans="2:15" x14ac:dyDescent="0.2">
      <c r="B4020" s="1">
        <f t="shared" si="228"/>
        <v>4005</v>
      </c>
      <c r="C4020" s="101">
        <f ca="1"/>
        <v>0.86451795451770952</v>
      </c>
      <c r="D4020" s="101">
        <f t="shared" ca="1" si="225"/>
        <v>0.72365541522293497</v>
      </c>
      <c r="E4020" s="101">
        <f t="shared" ca="1" si="226"/>
        <v>0</v>
      </c>
      <c r="F4020" s="21">
        <f t="shared" ca="1" si="227"/>
        <v>0</v>
      </c>
      <c r="H4020" s="21">
        <v>4005</v>
      </c>
      <c r="I4020" s="102">
        <v>0.6677292656113194</v>
      </c>
      <c r="J4020" s="103">
        <v>1.2570651182901426E-3</v>
      </c>
      <c r="K4020" s="103"/>
      <c r="L4020" s="103">
        <v>3.78E-2</v>
      </c>
      <c r="O4020" s="100"/>
    </row>
    <row r="4021" spans="2:15" x14ac:dyDescent="0.2">
      <c r="B4021" s="1">
        <f t="shared" si="228"/>
        <v>4006</v>
      </c>
      <c r="C4021" s="101">
        <f ca="1"/>
        <v>1.0475322170735148</v>
      </c>
      <c r="D4021" s="101">
        <f t="shared" ca="1" si="225"/>
        <v>0.7368380329872396</v>
      </c>
      <c r="E4021" s="101">
        <f t="shared" ca="1" si="226"/>
        <v>0</v>
      </c>
      <c r="F4021" s="21">
        <f t="shared" ca="1" si="227"/>
        <v>0</v>
      </c>
      <c r="H4021" s="21">
        <v>4006</v>
      </c>
      <c r="I4021" s="102">
        <v>0.66778452468565852</v>
      </c>
      <c r="J4021" s="103">
        <v>1.4505349847896273E-3</v>
      </c>
      <c r="K4021" s="103"/>
      <c r="L4021" s="103">
        <v>4.3200000000000002E-2</v>
      </c>
      <c r="O4021" s="100"/>
    </row>
    <row r="4022" spans="2:15" x14ac:dyDescent="0.2">
      <c r="B4022" s="1">
        <f t="shared" si="228"/>
        <v>4007</v>
      </c>
      <c r="C4022" s="101">
        <f ca="1"/>
        <v>-0.689261843332589</v>
      </c>
      <c r="D4022" s="101">
        <f t="shared" ca="1" si="225"/>
        <v>0.62082450047039128</v>
      </c>
      <c r="E4022" s="101">
        <f t="shared" ca="1" si="226"/>
        <v>0</v>
      </c>
      <c r="F4022" s="21">
        <f t="shared" ca="1" si="227"/>
        <v>0</v>
      </c>
      <c r="H4022" s="21">
        <v>4007</v>
      </c>
      <c r="I4022" s="102">
        <v>0.66787949265736557</v>
      </c>
      <c r="J4022" s="103">
        <v>1.5463167906258398E-3</v>
      </c>
      <c r="K4022" s="103"/>
      <c r="L4022" s="103">
        <v>4.5999999999999999E-2</v>
      </c>
      <c r="O4022" s="100"/>
    </row>
    <row r="4023" spans="2:15" x14ac:dyDescent="0.2">
      <c r="B4023" s="1">
        <f t="shared" si="228"/>
        <v>4008</v>
      </c>
      <c r="C4023" s="101">
        <f ca="1"/>
        <v>0.35598619316488056</v>
      </c>
      <c r="D4023" s="101">
        <f t="shared" ca="1" si="225"/>
        <v>0.68825064840481853</v>
      </c>
      <c r="E4023" s="101">
        <f t="shared" ca="1" si="226"/>
        <v>0</v>
      </c>
      <c r="F4023" s="21">
        <f t="shared" ca="1" si="227"/>
        <v>0</v>
      </c>
      <c r="H4023" s="21">
        <v>4008</v>
      </c>
      <c r="I4023" s="102">
        <v>0.66787381914283284</v>
      </c>
      <c r="J4023" s="103">
        <v>1.4840162349845697E-3</v>
      </c>
      <c r="K4023" s="103"/>
      <c r="L4023" s="103">
        <v>4.36E-2</v>
      </c>
      <c r="O4023" s="100"/>
    </row>
    <row r="4024" spans="2:15" x14ac:dyDescent="0.2">
      <c r="B4024" s="1">
        <f t="shared" si="228"/>
        <v>4009</v>
      </c>
      <c r="C4024" s="101">
        <f ca="1"/>
        <v>0.88074200727263519</v>
      </c>
      <c r="D4024" s="101">
        <f t="shared" ca="1" si="225"/>
        <v>0.72481445309616632</v>
      </c>
      <c r="E4024" s="101">
        <f t="shared" ca="1" si="226"/>
        <v>0</v>
      </c>
      <c r="F4024" s="21">
        <f t="shared" ca="1" si="227"/>
        <v>0</v>
      </c>
      <c r="H4024" s="21">
        <v>4009</v>
      </c>
      <c r="I4024" s="102">
        <v>0.6676974740732432</v>
      </c>
      <c r="J4024" s="103">
        <v>1.3137765148782551E-3</v>
      </c>
      <c r="K4024" s="103"/>
      <c r="L4024" s="103">
        <v>4.2599999999999999E-2</v>
      </c>
      <c r="O4024" s="100"/>
    </row>
    <row r="4025" spans="2:15" x14ac:dyDescent="0.2">
      <c r="B4025" s="1">
        <f t="shared" si="228"/>
        <v>4010</v>
      </c>
      <c r="C4025" s="101">
        <f ca="1"/>
        <v>1.5383286875570625</v>
      </c>
      <c r="D4025" s="101">
        <f t="shared" ca="1" si="225"/>
        <v>0.77338804186841614</v>
      </c>
      <c r="E4025" s="101">
        <f t="shared" ca="1" si="226"/>
        <v>0</v>
      </c>
      <c r="F4025" s="21">
        <f t="shared" ca="1" si="227"/>
        <v>0</v>
      </c>
      <c r="H4025" s="21">
        <v>4010</v>
      </c>
      <c r="I4025" s="102">
        <v>0.66780411544258234</v>
      </c>
      <c r="J4025" s="103">
        <v>1.4416300306361969E-3</v>
      </c>
      <c r="K4025" s="103"/>
      <c r="L4025" s="103">
        <v>4.2999999999999997E-2</v>
      </c>
      <c r="O4025" s="100"/>
    </row>
    <row r="4026" spans="2:15" x14ac:dyDescent="0.2">
      <c r="B4026" s="1">
        <f t="shared" si="228"/>
        <v>4011</v>
      </c>
      <c r="C4026" s="101">
        <f ca="1"/>
        <v>-0.16670271989074556</v>
      </c>
      <c r="D4026" s="101">
        <f t="shared" ca="1" si="225"/>
        <v>0.65366458882930956</v>
      </c>
      <c r="E4026" s="101">
        <f t="shared" ca="1" si="226"/>
        <v>0</v>
      </c>
      <c r="F4026" s="21">
        <f t="shared" ca="1" si="227"/>
        <v>0</v>
      </c>
      <c r="H4026" s="21">
        <v>4011</v>
      </c>
      <c r="I4026" s="102">
        <v>0.66755174610943202</v>
      </c>
      <c r="J4026" s="103">
        <v>1.1073775435181982E-3</v>
      </c>
      <c r="K4026" s="103"/>
      <c r="L4026" s="103">
        <v>3.4799999999999998E-2</v>
      </c>
      <c r="O4026" s="100"/>
    </row>
    <row r="4027" spans="2:15" x14ac:dyDescent="0.2">
      <c r="B4027" s="1">
        <f t="shared" si="228"/>
        <v>4012</v>
      </c>
      <c r="C4027" s="101">
        <f ca="1"/>
        <v>-1.1617684458050401</v>
      </c>
      <c r="D4027" s="101">
        <f t="shared" ca="1" si="225"/>
        <v>0.59255266572165455</v>
      </c>
      <c r="E4027" s="101">
        <f t="shared" ca="1" si="226"/>
        <v>0</v>
      </c>
      <c r="F4027" s="21">
        <f t="shared" ca="1" si="227"/>
        <v>0</v>
      </c>
      <c r="H4027" s="21">
        <v>4012</v>
      </c>
      <c r="I4027" s="102">
        <v>0.66759439576169477</v>
      </c>
      <c r="J4027" s="103">
        <v>1.1188141167268271E-3</v>
      </c>
      <c r="K4027" s="103"/>
      <c r="L4027" s="103">
        <v>3.9800000000000002E-2</v>
      </c>
      <c r="O4027" s="100"/>
    </row>
    <row r="4028" spans="2:15" x14ac:dyDescent="0.2">
      <c r="B4028" s="1">
        <f t="shared" si="228"/>
        <v>4013</v>
      </c>
      <c r="C4028" s="101">
        <f ca="1"/>
        <v>-0.74960350474227844</v>
      </c>
      <c r="D4028" s="101">
        <f t="shared" ca="1" si="225"/>
        <v>0.61714021601833413</v>
      </c>
      <c r="E4028" s="101">
        <f t="shared" ca="1" si="226"/>
        <v>0</v>
      </c>
      <c r="F4028" s="21">
        <f t="shared" ca="1" si="227"/>
        <v>0</v>
      </c>
      <c r="H4028" s="21">
        <v>4013</v>
      </c>
      <c r="I4028" s="102">
        <v>0.66770156315191453</v>
      </c>
      <c r="J4028" s="103">
        <v>1.319304716040513E-3</v>
      </c>
      <c r="K4028" s="103"/>
      <c r="L4028" s="103">
        <v>3.7400000000000003E-2</v>
      </c>
      <c r="O4028" s="100"/>
    </row>
    <row r="4029" spans="2:15" x14ac:dyDescent="0.2">
      <c r="B4029" s="1">
        <f t="shared" si="228"/>
        <v>4014</v>
      </c>
      <c r="C4029" s="101">
        <f ca="1"/>
        <v>-0.16721349688192488</v>
      </c>
      <c r="D4029" s="101">
        <f t="shared" ca="1" si="225"/>
        <v>0.6536316556056222</v>
      </c>
      <c r="E4029" s="101">
        <f t="shared" ca="1" si="226"/>
        <v>0</v>
      </c>
      <c r="F4029" s="21">
        <f t="shared" ca="1" si="227"/>
        <v>0</v>
      </c>
      <c r="H4029" s="21">
        <v>4014</v>
      </c>
      <c r="I4029" s="102">
        <v>0.66788163643540144</v>
      </c>
      <c r="J4029" s="103">
        <v>1.5925365549526599E-3</v>
      </c>
      <c r="K4029" s="103"/>
      <c r="L4029" s="103">
        <v>4.3799999999999999E-2</v>
      </c>
      <c r="O4029" s="100"/>
    </row>
    <row r="4030" spans="2:15" x14ac:dyDescent="0.2">
      <c r="B4030" s="1">
        <f t="shared" si="228"/>
        <v>4015</v>
      </c>
      <c r="C4030" s="101">
        <f ca="1"/>
        <v>-1.5626588942348634</v>
      </c>
      <c r="D4030" s="101">
        <f t="shared" ca="1" si="225"/>
        <v>0.56957780365310862</v>
      </c>
      <c r="E4030" s="101">
        <f t="shared" ca="1" si="226"/>
        <v>0</v>
      </c>
      <c r="F4030" s="21">
        <f t="shared" ca="1" si="227"/>
        <v>0</v>
      </c>
      <c r="H4030" s="21">
        <v>4015</v>
      </c>
      <c r="I4030" s="102">
        <v>0.66765118773925647</v>
      </c>
      <c r="J4030" s="103">
        <v>1.3468227501164862E-3</v>
      </c>
      <c r="K4030" s="103"/>
      <c r="L4030" s="103">
        <v>4.0800000000000003E-2</v>
      </c>
      <c r="O4030" s="100"/>
    </row>
    <row r="4031" spans="2:15" x14ac:dyDescent="0.2">
      <c r="B4031" s="1">
        <f t="shared" si="228"/>
        <v>4016</v>
      </c>
      <c r="C4031" s="101">
        <f ca="1"/>
        <v>-0.58340505659466968</v>
      </c>
      <c r="D4031" s="101">
        <f t="shared" ca="1" si="225"/>
        <v>0.62734102220495347</v>
      </c>
      <c r="E4031" s="101">
        <f t="shared" ca="1" si="226"/>
        <v>0</v>
      </c>
      <c r="F4031" s="21">
        <f t="shared" ca="1" si="227"/>
        <v>0</v>
      </c>
      <c r="H4031" s="21">
        <v>4016</v>
      </c>
      <c r="I4031" s="102">
        <v>0.66770006372360691</v>
      </c>
      <c r="J4031" s="103">
        <v>1.2585772057874807E-3</v>
      </c>
      <c r="K4031" s="103"/>
      <c r="L4031" s="103">
        <v>4.0599999999999997E-2</v>
      </c>
      <c r="O4031" s="100"/>
    </row>
    <row r="4032" spans="2:15" x14ac:dyDescent="0.2">
      <c r="B4032" s="1">
        <f t="shared" si="228"/>
        <v>4017</v>
      </c>
      <c r="C4032" s="101">
        <f ca="1"/>
        <v>-0.22121531752498602</v>
      </c>
      <c r="D4032" s="101">
        <f t="shared" ca="1" si="225"/>
        <v>0.6501591401217981</v>
      </c>
      <c r="E4032" s="101">
        <f t="shared" ca="1" si="226"/>
        <v>0</v>
      </c>
      <c r="F4032" s="21">
        <f t="shared" ca="1" si="227"/>
        <v>0</v>
      </c>
      <c r="H4032" s="21">
        <v>4017</v>
      </c>
      <c r="I4032" s="102">
        <v>0.66775377869869557</v>
      </c>
      <c r="J4032" s="103">
        <v>1.4323741505835803E-3</v>
      </c>
      <c r="K4032" s="103"/>
      <c r="L4032" s="103">
        <v>4.24E-2</v>
      </c>
      <c r="O4032" s="100"/>
    </row>
    <row r="4033" spans="2:15" x14ac:dyDescent="0.2">
      <c r="B4033" s="1">
        <f t="shared" si="228"/>
        <v>4018</v>
      </c>
      <c r="C4033" s="101">
        <f ca="1"/>
        <v>0.96854279312146652</v>
      </c>
      <c r="D4033" s="101">
        <f t="shared" ca="1" si="225"/>
        <v>0.73111917843464591</v>
      </c>
      <c r="E4033" s="101">
        <f t="shared" ca="1" si="226"/>
        <v>0</v>
      </c>
      <c r="F4033" s="21">
        <f t="shared" ca="1" si="227"/>
        <v>0</v>
      </c>
      <c r="H4033" s="21">
        <v>4018</v>
      </c>
      <c r="I4033" s="102">
        <v>0.66781346933077679</v>
      </c>
      <c r="J4033" s="103">
        <v>1.4127939849111592E-3</v>
      </c>
      <c r="K4033" s="103"/>
      <c r="L4033" s="103">
        <v>4.3400000000000001E-2</v>
      </c>
      <c r="O4033" s="100"/>
    </row>
    <row r="4034" spans="2:15" x14ac:dyDescent="0.2">
      <c r="B4034" s="1">
        <f t="shared" si="228"/>
        <v>4019</v>
      </c>
      <c r="C4034" s="101">
        <f ca="1"/>
        <v>1.4863793374784351</v>
      </c>
      <c r="D4034" s="101">
        <f t="shared" ca="1" si="225"/>
        <v>0.7694350655906278</v>
      </c>
      <c r="E4034" s="101">
        <f t="shared" ca="1" si="226"/>
        <v>0</v>
      </c>
      <c r="F4034" s="21">
        <f t="shared" ca="1" si="227"/>
        <v>0</v>
      </c>
      <c r="H4034" s="21">
        <v>4019</v>
      </c>
      <c r="I4034" s="102">
        <v>0.66783296413582927</v>
      </c>
      <c r="J4034" s="103">
        <v>1.5060767308479339E-3</v>
      </c>
      <c r="K4034" s="103"/>
      <c r="L4034" s="103">
        <v>4.6199999999999998E-2</v>
      </c>
      <c r="O4034" s="100"/>
    </row>
    <row r="4035" spans="2:15" x14ac:dyDescent="0.2">
      <c r="B4035" s="1">
        <f t="shared" si="228"/>
        <v>4020</v>
      </c>
      <c r="C4035" s="101">
        <f ca="1"/>
        <v>-1.2911744579294837</v>
      </c>
      <c r="D4035" s="101">
        <f t="shared" ca="1" si="225"/>
        <v>0.58503693135168</v>
      </c>
      <c r="E4035" s="101">
        <f t="shared" ca="1" si="226"/>
        <v>0</v>
      </c>
      <c r="F4035" s="21">
        <f t="shared" ca="1" si="227"/>
        <v>0</v>
      </c>
      <c r="H4035" s="21">
        <v>4020</v>
      </c>
      <c r="I4035" s="102">
        <v>0.66765483215962995</v>
      </c>
      <c r="J4035" s="103">
        <v>1.0856534320399583E-3</v>
      </c>
      <c r="K4035" s="103"/>
      <c r="L4035" s="103">
        <v>3.8800000000000001E-2</v>
      </c>
      <c r="O4035" s="100"/>
    </row>
    <row r="4036" spans="2:15" x14ac:dyDescent="0.2">
      <c r="B4036" s="1">
        <f t="shared" si="228"/>
        <v>4021</v>
      </c>
      <c r="C4036" s="101">
        <f ca="1"/>
        <v>1.2182740620299535</v>
      </c>
      <c r="D4036" s="101">
        <f t="shared" ca="1" si="225"/>
        <v>0.74935310277610667</v>
      </c>
      <c r="E4036" s="101">
        <f t="shared" ca="1" si="226"/>
        <v>0</v>
      </c>
      <c r="F4036" s="21">
        <f t="shared" ca="1" si="227"/>
        <v>0</v>
      </c>
      <c r="H4036" s="21">
        <v>4021</v>
      </c>
      <c r="I4036" s="102">
        <v>0.66783786192966776</v>
      </c>
      <c r="J4036" s="103">
        <v>1.5072522148065082E-3</v>
      </c>
      <c r="K4036" s="103"/>
      <c r="L4036" s="103">
        <v>0.05</v>
      </c>
      <c r="O4036" s="100"/>
    </row>
    <row r="4037" spans="2:15" x14ac:dyDescent="0.2">
      <c r="B4037" s="1">
        <f t="shared" si="228"/>
        <v>4022</v>
      </c>
      <c r="C4037" s="101">
        <f ca="1"/>
        <v>-1.0860548372994292</v>
      </c>
      <c r="D4037" s="101">
        <f t="shared" ca="1" si="225"/>
        <v>0.59699470683156719</v>
      </c>
      <c r="E4037" s="101">
        <f t="shared" ca="1" si="226"/>
        <v>0</v>
      </c>
      <c r="F4037" s="21">
        <f t="shared" ca="1" si="227"/>
        <v>0</v>
      </c>
      <c r="H4037" s="21">
        <v>4022</v>
      </c>
      <c r="I4037" s="102">
        <v>0.66758046779798108</v>
      </c>
      <c r="J4037" s="103">
        <v>1.2185198632009245E-3</v>
      </c>
      <c r="K4037" s="103"/>
      <c r="L4037" s="103">
        <v>3.6400000000000002E-2</v>
      </c>
      <c r="O4037" s="100"/>
    </row>
    <row r="4038" spans="2:15" x14ac:dyDescent="0.2">
      <c r="B4038" s="1">
        <f t="shared" si="228"/>
        <v>4023</v>
      </c>
      <c r="C4038" s="101">
        <f ca="1"/>
        <v>1.008396757550478</v>
      </c>
      <c r="D4038" s="101">
        <f t="shared" ca="1" si="225"/>
        <v>0.73399904618903045</v>
      </c>
      <c r="E4038" s="101">
        <f t="shared" ca="1" si="226"/>
        <v>0</v>
      </c>
      <c r="F4038" s="21">
        <f t="shared" ca="1" si="227"/>
        <v>0</v>
      </c>
      <c r="H4038" s="21">
        <v>4023</v>
      </c>
      <c r="I4038" s="102">
        <v>0.66773820877547641</v>
      </c>
      <c r="J4038" s="103">
        <v>1.4001198586064646E-3</v>
      </c>
      <c r="K4038" s="103"/>
      <c r="L4038" s="103">
        <v>4.2200000000000001E-2</v>
      </c>
      <c r="O4038" s="100"/>
    </row>
    <row r="4039" spans="2:15" x14ac:dyDescent="0.2">
      <c r="B4039" s="1">
        <f t="shared" si="228"/>
        <v>4024</v>
      </c>
      <c r="C4039" s="101">
        <f ca="1"/>
        <v>-0.89233809836305034</v>
      </c>
      <c r="D4039" s="101">
        <f t="shared" ca="1" si="225"/>
        <v>0.6085120548687315</v>
      </c>
      <c r="E4039" s="101">
        <f t="shared" ca="1" si="226"/>
        <v>0</v>
      </c>
      <c r="F4039" s="21">
        <f t="shared" ca="1" si="227"/>
        <v>0</v>
      </c>
      <c r="H4039" s="21">
        <v>4024</v>
      </c>
      <c r="I4039" s="102">
        <v>0.66782675718205775</v>
      </c>
      <c r="J4039" s="103">
        <v>1.61202134754454E-3</v>
      </c>
      <c r="K4039" s="103"/>
      <c r="L4039" s="103">
        <v>4.6600000000000003E-2</v>
      </c>
      <c r="O4039" s="100"/>
    </row>
    <row r="4040" spans="2:15" x14ac:dyDescent="0.2">
      <c r="B4040" s="1">
        <f t="shared" si="228"/>
        <v>4025</v>
      </c>
      <c r="C4040" s="101">
        <f ca="1"/>
        <v>0.88291741902664223</v>
      </c>
      <c r="D4040" s="101">
        <f t="shared" ca="1" si="225"/>
        <v>0.72497000445656701</v>
      </c>
      <c r="E4040" s="101">
        <f t="shared" ca="1" si="226"/>
        <v>0</v>
      </c>
      <c r="F4040" s="21">
        <f t="shared" ca="1" si="227"/>
        <v>0</v>
      </c>
      <c r="H4040" s="21">
        <v>4025</v>
      </c>
      <c r="I4040" s="102">
        <v>0.66767167350222789</v>
      </c>
      <c r="J4040" s="103">
        <v>1.3940059649122471E-3</v>
      </c>
      <c r="K4040" s="103"/>
      <c r="L4040" s="103">
        <v>0.04</v>
      </c>
      <c r="O4040" s="100"/>
    </row>
    <row r="4041" spans="2:15" x14ac:dyDescent="0.2">
      <c r="B4041" s="1">
        <f t="shared" si="228"/>
        <v>4026</v>
      </c>
      <c r="C4041" s="101">
        <f ca="1"/>
        <v>-0.50680388216828542</v>
      </c>
      <c r="D4041" s="101">
        <f t="shared" ca="1" si="225"/>
        <v>0.63209919076191845</v>
      </c>
      <c r="E4041" s="101">
        <f t="shared" ca="1" si="226"/>
        <v>0</v>
      </c>
      <c r="F4041" s="21">
        <f t="shared" ca="1" si="227"/>
        <v>0</v>
      </c>
      <c r="H4041" s="21">
        <v>4026</v>
      </c>
      <c r="I4041" s="102">
        <v>0.66764457584875969</v>
      </c>
      <c r="J4041" s="103">
        <v>1.3145659514797166E-3</v>
      </c>
      <c r="K4041" s="103"/>
      <c r="L4041" s="103">
        <v>4.0399999999999998E-2</v>
      </c>
      <c r="O4041" s="100"/>
    </row>
    <row r="4042" spans="2:15" x14ac:dyDescent="0.2">
      <c r="B4042" s="1">
        <f t="shared" si="228"/>
        <v>4027</v>
      </c>
      <c r="C4042" s="101">
        <f ca="1"/>
        <v>1.1109995592292998</v>
      </c>
      <c r="D4042" s="101">
        <f t="shared" ca="1" si="225"/>
        <v>0.74146547949296504</v>
      </c>
      <c r="E4042" s="101">
        <f t="shared" ca="1" si="226"/>
        <v>0</v>
      </c>
      <c r="F4042" s="21">
        <f t="shared" ca="1" si="227"/>
        <v>0</v>
      </c>
      <c r="H4042" s="21">
        <v>4027</v>
      </c>
      <c r="I4042" s="102">
        <v>0.66777045116040112</v>
      </c>
      <c r="J4042" s="103">
        <v>1.3831235231361414E-3</v>
      </c>
      <c r="K4042" s="103"/>
      <c r="L4042" s="103">
        <v>4.2000000000000003E-2</v>
      </c>
      <c r="O4042" s="100"/>
    </row>
    <row r="4043" spans="2:15" x14ac:dyDescent="0.2">
      <c r="B4043" s="1">
        <f t="shared" si="228"/>
        <v>4028</v>
      </c>
      <c r="C4043" s="101">
        <f ca="1"/>
        <v>-0.66332240248039165</v>
      </c>
      <c r="D4043" s="101">
        <f t="shared" ca="1" si="225"/>
        <v>0.62241503862620617</v>
      </c>
      <c r="E4043" s="101">
        <f t="shared" ca="1" si="226"/>
        <v>0</v>
      </c>
      <c r="F4043" s="21">
        <f t="shared" ca="1" si="227"/>
        <v>0</v>
      </c>
      <c r="H4043" s="21">
        <v>4028</v>
      </c>
      <c r="I4043" s="102">
        <v>0.66770815468916112</v>
      </c>
      <c r="J4043" s="103">
        <v>1.3390637355394433E-3</v>
      </c>
      <c r="K4043" s="103"/>
      <c r="L4043" s="103">
        <v>4.1399999999999999E-2</v>
      </c>
      <c r="O4043" s="100"/>
    </row>
    <row r="4044" spans="2:15" x14ac:dyDescent="0.2">
      <c r="B4044" s="1">
        <f t="shared" si="228"/>
        <v>4029</v>
      </c>
      <c r="C4044" s="101">
        <f ca="1"/>
        <v>0.1733460840641935</v>
      </c>
      <c r="D4044" s="101">
        <f t="shared" ca="1" si="225"/>
        <v>0.6759622448225443</v>
      </c>
      <c r="E4044" s="101">
        <f t="shared" ca="1" si="226"/>
        <v>0</v>
      </c>
      <c r="F4044" s="21">
        <f t="shared" ca="1" si="227"/>
        <v>0</v>
      </c>
      <c r="H4044" s="21">
        <v>4029</v>
      </c>
      <c r="I4044" s="102">
        <v>0.66769970490877528</v>
      </c>
      <c r="J4044" s="103">
        <v>1.3109625008375166E-3</v>
      </c>
      <c r="K4044" s="103"/>
      <c r="L4044" s="103">
        <v>3.7600000000000001E-2</v>
      </c>
      <c r="O4044" s="100"/>
    </row>
    <row r="4045" spans="2:15" x14ac:dyDescent="0.2">
      <c r="B4045" s="1">
        <f t="shared" si="228"/>
        <v>4030</v>
      </c>
      <c r="C4045" s="101">
        <f ca="1"/>
        <v>-0.39071164254341328</v>
      </c>
      <c r="D4045" s="101">
        <f t="shared" ca="1" si="225"/>
        <v>0.63937927421178642</v>
      </c>
      <c r="E4045" s="101">
        <f t="shared" ca="1" si="226"/>
        <v>0</v>
      </c>
      <c r="F4045" s="21">
        <f t="shared" ca="1" si="227"/>
        <v>0</v>
      </c>
      <c r="H4045" s="21">
        <v>4030</v>
      </c>
      <c r="I4045" s="102">
        <v>0.66794423050944807</v>
      </c>
      <c r="J4045" s="103">
        <v>1.4760693970526724E-3</v>
      </c>
      <c r="K4045" s="103"/>
      <c r="L4045" s="103">
        <v>4.24E-2</v>
      </c>
      <c r="O4045" s="100"/>
    </row>
    <row r="4046" spans="2:15" x14ac:dyDescent="0.2">
      <c r="B4046" s="1">
        <f t="shared" si="228"/>
        <v>4031</v>
      </c>
      <c r="C4046" s="101">
        <f ca="1"/>
        <v>1.655059482044732</v>
      </c>
      <c r="D4046" s="101">
        <f t="shared" ca="1" si="225"/>
        <v>0.7823446697606834</v>
      </c>
      <c r="E4046" s="101">
        <f t="shared" ca="1" si="226"/>
        <v>0</v>
      </c>
      <c r="F4046" s="21">
        <f t="shared" ca="1" si="227"/>
        <v>0</v>
      </c>
      <c r="H4046" s="21">
        <v>4031</v>
      </c>
      <c r="I4046" s="102">
        <v>0.66774956649770045</v>
      </c>
      <c r="J4046" s="103">
        <v>1.3385048187135561E-3</v>
      </c>
      <c r="K4046" s="103"/>
      <c r="L4046" s="103">
        <v>4.36E-2</v>
      </c>
      <c r="O4046" s="100"/>
    </row>
    <row r="4047" spans="2:15" x14ac:dyDescent="0.2">
      <c r="B4047" s="1">
        <f t="shared" si="228"/>
        <v>4032</v>
      </c>
      <c r="C4047" s="101">
        <f ca="1"/>
        <v>-0.98144197538536537</v>
      </c>
      <c r="D4047" s="101">
        <f t="shared" ca="1" si="225"/>
        <v>0.60318708066332816</v>
      </c>
      <c r="E4047" s="101">
        <f t="shared" ca="1" si="226"/>
        <v>0</v>
      </c>
      <c r="F4047" s="21">
        <f t="shared" ca="1" si="227"/>
        <v>0</v>
      </c>
      <c r="H4047" s="21">
        <v>4032</v>
      </c>
      <c r="I4047" s="102">
        <v>0.66782623047878109</v>
      </c>
      <c r="J4047" s="103">
        <v>1.4081366896881277E-3</v>
      </c>
      <c r="K4047" s="103"/>
      <c r="L4047" s="103">
        <v>4.2799999999999998E-2</v>
      </c>
      <c r="O4047" s="100"/>
    </row>
    <row r="4048" spans="2:15" x14ac:dyDescent="0.2">
      <c r="B4048" s="1">
        <f t="shared" si="228"/>
        <v>4033</v>
      </c>
      <c r="C4048" s="101">
        <f ca="1"/>
        <v>1.4221036332206964</v>
      </c>
      <c r="D4048" s="101">
        <f t="shared" ref="D4048:D4111" ca="1" si="229">S0*EXP((μ-0.5*σ*σ)*T+σ*SQRT(T)*$C4048)</f>
        <v>0.76457209457891551</v>
      </c>
      <c r="E4048" s="101">
        <f t="shared" ref="E4048:E4111" ca="1" si="230">MAX(0,CP*(D4048-K))</f>
        <v>0</v>
      </c>
      <c r="F4048" s="21">
        <f t="shared" ref="F4048:F4111" ca="1" si="231">(CP*(D4048-K)&gt;0)*1</f>
        <v>0</v>
      </c>
      <c r="H4048" s="21">
        <v>4033</v>
      </c>
      <c r="I4048" s="102">
        <v>0.66780090507151812</v>
      </c>
      <c r="J4048" s="103">
        <v>1.4669944939464576E-3</v>
      </c>
      <c r="K4048" s="103"/>
      <c r="L4048" s="103">
        <v>4.6600000000000003E-2</v>
      </c>
      <c r="O4048" s="100"/>
    </row>
    <row r="4049" spans="2:15" x14ac:dyDescent="0.2">
      <c r="B4049" s="1">
        <f t="shared" si="228"/>
        <v>4034</v>
      </c>
      <c r="C4049" s="101">
        <f ca="1"/>
        <v>1.4795482252387897</v>
      </c>
      <c r="D4049" s="101">
        <f t="shared" ca="1" si="229"/>
        <v>0.76891677182572093</v>
      </c>
      <c r="E4049" s="101">
        <f t="shared" ca="1" si="230"/>
        <v>0</v>
      </c>
      <c r="F4049" s="21">
        <f t="shared" ca="1" si="231"/>
        <v>0</v>
      </c>
      <c r="H4049" s="21">
        <v>4034</v>
      </c>
      <c r="I4049" s="102">
        <v>0.66775602589683081</v>
      </c>
      <c r="J4049" s="103">
        <v>1.3835098664551674E-3</v>
      </c>
      <c r="K4049" s="103"/>
      <c r="L4049" s="103">
        <v>4.2999999999999997E-2</v>
      </c>
      <c r="O4049" s="100"/>
    </row>
    <row r="4050" spans="2:15" x14ac:dyDescent="0.2">
      <c r="B4050" s="1">
        <f t="shared" si="228"/>
        <v>4035</v>
      </c>
      <c r="C4050" s="101">
        <f ca="1"/>
        <v>1.0290501796272329</v>
      </c>
      <c r="D4050" s="101">
        <f t="shared" ca="1" si="229"/>
        <v>0.73549593272379321</v>
      </c>
      <c r="E4050" s="101">
        <f t="shared" ca="1" si="230"/>
        <v>0</v>
      </c>
      <c r="F4050" s="21">
        <f t="shared" ca="1" si="231"/>
        <v>0</v>
      </c>
      <c r="H4050" s="21">
        <v>4035</v>
      </c>
      <c r="I4050" s="102">
        <v>0.66762954405638841</v>
      </c>
      <c r="J4050" s="103">
        <v>1.2923726010300271E-3</v>
      </c>
      <c r="K4050" s="103"/>
      <c r="L4050" s="103">
        <v>0.04</v>
      </c>
      <c r="O4050" s="100"/>
    </row>
    <row r="4051" spans="2:15" x14ac:dyDescent="0.2">
      <c r="B4051" s="1">
        <f t="shared" si="228"/>
        <v>4036</v>
      </c>
      <c r="C4051" s="101">
        <f ca="1"/>
        <v>1.374635818942928</v>
      </c>
      <c r="D4051" s="101">
        <f t="shared" ca="1" si="229"/>
        <v>0.76100051584031692</v>
      </c>
      <c r="E4051" s="101">
        <f t="shared" ca="1" si="230"/>
        <v>0</v>
      </c>
      <c r="F4051" s="21">
        <f t="shared" ca="1" si="231"/>
        <v>0</v>
      </c>
      <c r="H4051" s="21">
        <v>4036</v>
      </c>
      <c r="I4051" s="102">
        <v>0.66766035882368502</v>
      </c>
      <c r="J4051" s="103">
        <v>1.1398930564987997E-3</v>
      </c>
      <c r="K4051" s="103"/>
      <c r="L4051" s="103">
        <v>3.8600000000000002E-2</v>
      </c>
      <c r="O4051" s="100"/>
    </row>
    <row r="4052" spans="2:15" x14ac:dyDescent="0.2">
      <c r="B4052" s="1">
        <f t="shared" si="228"/>
        <v>4037</v>
      </c>
      <c r="C4052" s="101">
        <f ca="1"/>
        <v>0.2161280914379721</v>
      </c>
      <c r="D4052" s="101">
        <f t="shared" ca="1" si="229"/>
        <v>0.67882088305695321</v>
      </c>
      <c r="E4052" s="101">
        <f t="shared" ca="1" si="230"/>
        <v>0</v>
      </c>
      <c r="F4052" s="21">
        <f t="shared" ca="1" si="231"/>
        <v>0</v>
      </c>
      <c r="H4052" s="21">
        <v>4037</v>
      </c>
      <c r="I4052" s="102">
        <v>0.66780195801705966</v>
      </c>
      <c r="J4052" s="103">
        <v>1.5184274724238053E-3</v>
      </c>
      <c r="K4052" s="103"/>
      <c r="L4052" s="103">
        <v>4.4200000000000003E-2</v>
      </c>
      <c r="O4052" s="100"/>
    </row>
    <row r="4053" spans="2:15" x14ac:dyDescent="0.2">
      <c r="B4053" s="1">
        <f t="shared" si="228"/>
        <v>4038</v>
      </c>
      <c r="C4053" s="101">
        <f ca="1"/>
        <v>1.8299439510476161</v>
      </c>
      <c r="D4053" s="101">
        <f t="shared" ca="1" si="229"/>
        <v>0.79595785104167438</v>
      </c>
      <c r="E4053" s="101">
        <f t="shared" ca="1" si="230"/>
        <v>7.7578510416743685E-3</v>
      </c>
      <c r="F4053" s="21">
        <f t="shared" ca="1" si="231"/>
        <v>1</v>
      </c>
      <c r="H4053" s="21">
        <v>4038</v>
      </c>
      <c r="I4053" s="102">
        <v>0.66781344639427676</v>
      </c>
      <c r="J4053" s="103">
        <v>1.5194200819545946E-3</v>
      </c>
      <c r="K4053" s="103"/>
      <c r="L4053" s="103">
        <v>4.3400000000000001E-2</v>
      </c>
      <c r="O4053" s="100"/>
    </row>
    <row r="4054" spans="2:15" x14ac:dyDescent="0.2">
      <c r="B4054" s="1">
        <f t="shared" si="228"/>
        <v>4039</v>
      </c>
      <c r="C4054" s="101">
        <f ca="1"/>
        <v>0.54804218055014287</v>
      </c>
      <c r="D4054" s="101">
        <f t="shared" ca="1" si="229"/>
        <v>0.70141361124778545</v>
      </c>
      <c r="E4054" s="101">
        <f t="shared" ca="1" si="230"/>
        <v>0</v>
      </c>
      <c r="F4054" s="21">
        <f t="shared" ca="1" si="231"/>
        <v>0</v>
      </c>
      <c r="H4054" s="21">
        <v>4039</v>
      </c>
      <c r="I4054" s="102">
        <v>0.66772944349917285</v>
      </c>
      <c r="J4054" s="103">
        <v>1.2923367898301679E-3</v>
      </c>
      <c r="K4054" s="103"/>
      <c r="L4054" s="103">
        <v>4.2200000000000001E-2</v>
      </c>
      <c r="O4054" s="100"/>
    </row>
    <row r="4055" spans="2:15" x14ac:dyDescent="0.2">
      <c r="B4055" s="1">
        <f t="shared" si="228"/>
        <v>4040</v>
      </c>
      <c r="C4055" s="101">
        <f ca="1"/>
        <v>0.59373662941004168</v>
      </c>
      <c r="D4055" s="101">
        <f t="shared" ca="1" si="229"/>
        <v>0.70458227139799978</v>
      </c>
      <c r="E4055" s="101">
        <f t="shared" ca="1" si="230"/>
        <v>0</v>
      </c>
      <c r="F4055" s="21">
        <f t="shared" ca="1" si="231"/>
        <v>0</v>
      </c>
      <c r="H4055" s="21">
        <v>4040</v>
      </c>
      <c r="I4055" s="102">
        <v>0.66765483754427712</v>
      </c>
      <c r="J4055" s="103">
        <v>1.2538329338064177E-3</v>
      </c>
      <c r="K4055" s="103"/>
      <c r="L4055" s="103">
        <v>3.9199999999999999E-2</v>
      </c>
      <c r="O4055" s="100"/>
    </row>
    <row r="4056" spans="2:15" x14ac:dyDescent="0.2">
      <c r="B4056" s="1">
        <f t="shared" si="228"/>
        <v>4041</v>
      </c>
      <c r="C4056" s="101">
        <f ca="1"/>
        <v>-1.478912049385398</v>
      </c>
      <c r="D4056" s="101">
        <f t="shared" ca="1" si="229"/>
        <v>0.57430251714362646</v>
      </c>
      <c r="E4056" s="101">
        <f t="shared" ca="1" si="230"/>
        <v>0</v>
      </c>
      <c r="F4056" s="21">
        <f t="shared" ca="1" si="231"/>
        <v>0</v>
      </c>
      <c r="H4056" s="21">
        <v>4041</v>
      </c>
      <c r="I4056" s="102">
        <v>0.66787283013623855</v>
      </c>
      <c r="J4056" s="103">
        <v>1.4908121241532977E-3</v>
      </c>
      <c r="K4056" s="103"/>
      <c r="L4056" s="103">
        <v>4.1799999999999997E-2</v>
      </c>
      <c r="O4056" s="100"/>
    </row>
    <row r="4057" spans="2:15" x14ac:dyDescent="0.2">
      <c r="B4057" s="1">
        <f t="shared" si="228"/>
        <v>4042</v>
      </c>
      <c r="C4057" s="101">
        <f ca="1"/>
        <v>0.28721152107539288</v>
      </c>
      <c r="D4057" s="101">
        <f t="shared" ca="1" si="229"/>
        <v>0.68359734083762269</v>
      </c>
      <c r="E4057" s="101">
        <f t="shared" ca="1" si="230"/>
        <v>0</v>
      </c>
      <c r="F4057" s="21">
        <f t="shared" ca="1" si="231"/>
        <v>0</v>
      </c>
      <c r="H4057" s="21">
        <v>4042</v>
      </c>
      <c r="I4057" s="102">
        <v>0.66765753394947114</v>
      </c>
      <c r="J4057" s="103">
        <v>1.2398708717826037E-3</v>
      </c>
      <c r="K4057" s="103"/>
      <c r="L4057" s="103">
        <v>0.04</v>
      </c>
      <c r="O4057" s="100"/>
    </row>
    <row r="4058" spans="2:15" x14ac:dyDescent="0.2">
      <c r="B4058" s="1">
        <f t="shared" si="228"/>
        <v>4043</v>
      </c>
      <c r="C4058" s="101">
        <f ca="1"/>
        <v>-1.0878496019513324</v>
      </c>
      <c r="D4058" s="101">
        <f t="shared" ca="1" si="229"/>
        <v>0.59688902545881539</v>
      </c>
      <c r="E4058" s="101">
        <f t="shared" ca="1" si="230"/>
        <v>0</v>
      </c>
      <c r="F4058" s="21">
        <f t="shared" ca="1" si="231"/>
        <v>0</v>
      </c>
      <c r="H4058" s="21">
        <v>4043</v>
      </c>
      <c r="I4058" s="102">
        <v>0.66780123381770584</v>
      </c>
      <c r="J4058" s="103">
        <v>1.3628015398718324E-3</v>
      </c>
      <c r="K4058" s="103"/>
      <c r="L4058" s="103">
        <v>4.5400000000000003E-2</v>
      </c>
      <c r="O4058" s="100"/>
    </row>
    <row r="4059" spans="2:15" x14ac:dyDescent="0.2">
      <c r="B4059" s="1">
        <f t="shared" si="228"/>
        <v>4044</v>
      </c>
      <c r="C4059" s="101">
        <f ca="1"/>
        <v>0.36832475396507247</v>
      </c>
      <c r="D4059" s="101">
        <f t="shared" ca="1" si="229"/>
        <v>0.68908882272396643</v>
      </c>
      <c r="E4059" s="101">
        <f t="shared" ca="1" si="230"/>
        <v>0</v>
      </c>
      <c r="F4059" s="21">
        <f t="shared" ca="1" si="231"/>
        <v>0</v>
      </c>
      <c r="H4059" s="21">
        <v>4044</v>
      </c>
      <c r="I4059" s="102">
        <v>0.6676339583940577</v>
      </c>
      <c r="J4059" s="103">
        <v>1.2036849439279824E-3</v>
      </c>
      <c r="K4059" s="103"/>
      <c r="L4059" s="103">
        <v>3.8600000000000002E-2</v>
      </c>
      <c r="O4059" s="100"/>
    </row>
    <row r="4060" spans="2:15" x14ac:dyDescent="0.2">
      <c r="B4060" s="1">
        <f t="shared" si="228"/>
        <v>4045</v>
      </c>
      <c r="C4060" s="101">
        <f ca="1"/>
        <v>-2.0979973364012587</v>
      </c>
      <c r="D4060" s="101">
        <f t="shared" ca="1" si="229"/>
        <v>0.54028074216767408</v>
      </c>
      <c r="E4060" s="101">
        <f t="shared" ca="1" si="230"/>
        <v>0</v>
      </c>
      <c r="F4060" s="21">
        <f t="shared" ca="1" si="231"/>
        <v>0</v>
      </c>
      <c r="H4060" s="21">
        <v>4045</v>
      </c>
      <c r="I4060" s="102">
        <v>0.6677742828737484</v>
      </c>
      <c r="J4060" s="103">
        <v>1.3280686652242741E-3</v>
      </c>
      <c r="K4060" s="103"/>
      <c r="L4060" s="103">
        <v>4.2999999999999997E-2</v>
      </c>
      <c r="O4060" s="100"/>
    </row>
    <row r="4061" spans="2:15" x14ac:dyDescent="0.2">
      <c r="B4061" s="1">
        <f t="shared" si="228"/>
        <v>4046</v>
      </c>
      <c r="C4061" s="101">
        <f ca="1"/>
        <v>-0.14749301802367543</v>
      </c>
      <c r="D4061" s="101">
        <f t="shared" ca="1" si="229"/>
        <v>0.65490437279330915</v>
      </c>
      <c r="E4061" s="101">
        <f t="shared" ca="1" si="230"/>
        <v>0</v>
      </c>
      <c r="F4061" s="21">
        <f t="shared" ca="1" si="231"/>
        <v>0</v>
      </c>
      <c r="H4061" s="21">
        <v>4046</v>
      </c>
      <c r="I4061" s="102">
        <v>0.66783123425438085</v>
      </c>
      <c r="J4061" s="103">
        <v>1.3742050147109055E-3</v>
      </c>
      <c r="K4061" s="103"/>
      <c r="L4061" s="103">
        <v>4.24E-2</v>
      </c>
      <c r="O4061" s="100"/>
    </row>
    <row r="4062" spans="2:15" x14ac:dyDescent="0.2">
      <c r="B4062" s="1">
        <f t="shared" si="228"/>
        <v>4047</v>
      </c>
      <c r="C4062" s="101">
        <f ca="1"/>
        <v>-3.5407115650285363</v>
      </c>
      <c r="D4062" s="101">
        <f t="shared" ca="1" si="229"/>
        <v>0.46861318053348044</v>
      </c>
      <c r="E4062" s="101">
        <f t="shared" ca="1" si="230"/>
        <v>0</v>
      </c>
      <c r="F4062" s="21">
        <f t="shared" ca="1" si="231"/>
        <v>0</v>
      </c>
      <c r="H4062" s="21">
        <v>4047</v>
      </c>
      <c r="I4062" s="102">
        <v>0.66782627396367078</v>
      </c>
      <c r="J4062" s="103">
        <v>1.510862563498328E-3</v>
      </c>
      <c r="K4062" s="103"/>
      <c r="L4062" s="103">
        <v>4.5600000000000002E-2</v>
      </c>
      <c r="O4062" s="100"/>
    </row>
    <row r="4063" spans="2:15" x14ac:dyDescent="0.2">
      <c r="B4063" s="1">
        <f t="shared" si="228"/>
        <v>4048</v>
      </c>
      <c r="C4063" s="101">
        <f ca="1"/>
        <v>-0.6194625856328293</v>
      </c>
      <c r="D4063" s="101">
        <f t="shared" ca="1" si="229"/>
        <v>0.62511368260945543</v>
      </c>
      <c r="E4063" s="101">
        <f t="shared" ca="1" si="230"/>
        <v>0</v>
      </c>
      <c r="F4063" s="21">
        <f t="shared" ca="1" si="231"/>
        <v>0</v>
      </c>
      <c r="H4063" s="21">
        <v>4048</v>
      </c>
      <c r="I4063" s="102">
        <v>0.66774820426451698</v>
      </c>
      <c r="J4063" s="103">
        <v>1.2441038759700253E-3</v>
      </c>
      <c r="K4063" s="103"/>
      <c r="L4063" s="103">
        <v>4.1000000000000002E-2</v>
      </c>
      <c r="O4063" s="100"/>
    </row>
    <row r="4064" spans="2:15" x14ac:dyDescent="0.2">
      <c r="B4064" s="1">
        <f t="shared" si="228"/>
        <v>4049</v>
      </c>
      <c r="C4064" s="101">
        <f ca="1"/>
        <v>0.52583753174548598</v>
      </c>
      <c r="D4064" s="101">
        <f t="shared" ca="1" si="229"/>
        <v>0.69987898907525992</v>
      </c>
      <c r="E4064" s="101">
        <f t="shared" ca="1" si="230"/>
        <v>0</v>
      </c>
      <c r="F4064" s="21">
        <f t="shared" ca="1" si="231"/>
        <v>0</v>
      </c>
      <c r="H4064" s="21">
        <v>4049</v>
      </c>
      <c r="I4064" s="102">
        <v>0.66766603496419508</v>
      </c>
      <c r="J4064" s="103">
        <v>1.3919225371297347E-3</v>
      </c>
      <c r="K4064" s="103"/>
      <c r="L4064" s="103">
        <v>4.0599999999999997E-2</v>
      </c>
      <c r="O4064" s="100"/>
    </row>
    <row r="4065" spans="2:15" x14ac:dyDescent="0.2">
      <c r="B4065" s="1">
        <f t="shared" si="228"/>
        <v>4050</v>
      </c>
      <c r="C4065" s="101">
        <f ca="1"/>
        <v>-1.5313481752023597</v>
      </c>
      <c r="D4065" s="101">
        <f t="shared" ca="1" si="229"/>
        <v>0.57133968166996929</v>
      </c>
      <c r="E4065" s="101">
        <f t="shared" ca="1" si="230"/>
        <v>0</v>
      </c>
      <c r="F4065" s="21">
        <f t="shared" ca="1" si="231"/>
        <v>0</v>
      </c>
      <c r="H4065" s="21">
        <v>4050</v>
      </c>
      <c r="I4065" s="102">
        <v>0.66782265086294113</v>
      </c>
      <c r="J4065" s="103">
        <v>1.577086966793575E-3</v>
      </c>
      <c r="K4065" s="103"/>
      <c r="L4065" s="103">
        <v>4.58E-2</v>
      </c>
      <c r="O4065" s="100"/>
    </row>
    <row r="4066" spans="2:15" x14ac:dyDescent="0.2">
      <c r="B4066" s="1">
        <f t="shared" si="228"/>
        <v>4051</v>
      </c>
      <c r="C4066" s="101">
        <f ca="1"/>
        <v>1.1819003479299606</v>
      </c>
      <c r="D4066" s="101">
        <f t="shared" ca="1" si="229"/>
        <v>0.74666927787129533</v>
      </c>
      <c r="E4066" s="101">
        <f t="shared" ca="1" si="230"/>
        <v>0</v>
      </c>
      <c r="F4066" s="21">
        <f t="shared" ca="1" si="231"/>
        <v>0</v>
      </c>
      <c r="H4066" s="21">
        <v>4051</v>
      </c>
      <c r="I4066" s="102">
        <v>0.6676130884891287</v>
      </c>
      <c r="J4066" s="103">
        <v>1.1279492995466187E-3</v>
      </c>
      <c r="K4066" s="103"/>
      <c r="L4066" s="103">
        <v>3.9E-2</v>
      </c>
      <c r="O4066" s="100"/>
    </row>
    <row r="4067" spans="2:15" x14ac:dyDescent="0.2">
      <c r="B4067" s="1">
        <f t="shared" si="228"/>
        <v>4052</v>
      </c>
      <c r="C4067" s="101">
        <f ca="1"/>
        <v>0.45604740322358156</v>
      </c>
      <c r="D4067" s="101">
        <f t="shared" ca="1" si="229"/>
        <v>0.69507743494594232</v>
      </c>
      <c r="E4067" s="101">
        <f t="shared" ca="1" si="230"/>
        <v>0</v>
      </c>
      <c r="F4067" s="21">
        <f t="shared" ca="1" si="231"/>
        <v>0</v>
      </c>
      <c r="H4067" s="21">
        <v>4052</v>
      </c>
      <c r="I4067" s="102">
        <v>0.6677855235429796</v>
      </c>
      <c r="J4067" s="103">
        <v>1.4074105140984121E-3</v>
      </c>
      <c r="K4067" s="103"/>
      <c r="L4067" s="103">
        <v>4.1000000000000002E-2</v>
      </c>
      <c r="O4067" s="100"/>
    </row>
    <row r="4068" spans="2:15" x14ac:dyDescent="0.2">
      <c r="B4068" s="1">
        <f t="shared" si="228"/>
        <v>4053</v>
      </c>
      <c r="C4068" s="101">
        <f ca="1"/>
        <v>0.40532417287938899</v>
      </c>
      <c r="D4068" s="101">
        <f t="shared" ca="1" si="229"/>
        <v>0.69160836567831396</v>
      </c>
      <c r="E4068" s="101">
        <f t="shared" ca="1" si="230"/>
        <v>0</v>
      </c>
      <c r="F4068" s="21">
        <f t="shared" ca="1" si="231"/>
        <v>0</v>
      </c>
      <c r="H4068" s="21">
        <v>4053</v>
      </c>
      <c r="I4068" s="102">
        <v>0.66780154149265714</v>
      </c>
      <c r="J4068" s="103">
        <v>1.5147278941660559E-3</v>
      </c>
      <c r="K4068" s="103"/>
      <c r="L4068" s="103">
        <v>4.6800000000000001E-2</v>
      </c>
      <c r="O4068" s="100"/>
    </row>
    <row r="4069" spans="2:15" x14ac:dyDescent="0.2">
      <c r="B4069" s="1">
        <f t="shared" si="228"/>
        <v>4054</v>
      </c>
      <c r="C4069" s="101">
        <f ca="1"/>
        <v>0.98558793529394673</v>
      </c>
      <c r="D4069" s="101">
        <f t="shared" ca="1" si="229"/>
        <v>0.73234948362958519</v>
      </c>
      <c r="E4069" s="101">
        <f t="shared" ca="1" si="230"/>
        <v>0</v>
      </c>
      <c r="F4069" s="21">
        <f t="shared" ca="1" si="231"/>
        <v>0</v>
      </c>
      <c r="H4069" s="21">
        <v>4054</v>
      </c>
      <c r="I4069" s="102">
        <v>0.66755437214313151</v>
      </c>
      <c r="J4069" s="103">
        <v>1.1011472100076406E-3</v>
      </c>
      <c r="K4069" s="103"/>
      <c r="L4069" s="103">
        <v>3.7400000000000003E-2</v>
      </c>
      <c r="O4069" s="100"/>
    </row>
    <row r="4070" spans="2:15" x14ac:dyDescent="0.2">
      <c r="B4070" s="1">
        <f t="shared" si="228"/>
        <v>4055</v>
      </c>
      <c r="C4070" s="101">
        <f ca="1"/>
        <v>-0.17179581473604244</v>
      </c>
      <c r="D4070" s="101">
        <f t="shared" ca="1" si="229"/>
        <v>0.65333627699696106</v>
      </c>
      <c r="E4070" s="101">
        <f t="shared" ca="1" si="230"/>
        <v>0</v>
      </c>
      <c r="F4070" s="21">
        <f t="shared" ca="1" si="231"/>
        <v>0</v>
      </c>
      <c r="H4070" s="21">
        <v>4055</v>
      </c>
      <c r="I4070" s="102">
        <v>0.66775905228884536</v>
      </c>
      <c r="J4070" s="103">
        <v>1.2455965763255809E-3</v>
      </c>
      <c r="K4070" s="103"/>
      <c r="L4070" s="103">
        <v>3.8600000000000002E-2</v>
      </c>
      <c r="O4070" s="100"/>
    </row>
    <row r="4071" spans="2:15" x14ac:dyDescent="0.2">
      <c r="B4071" s="1">
        <f t="shared" si="228"/>
        <v>4056</v>
      </c>
      <c r="C4071" s="101">
        <f ca="1"/>
        <v>0.59928487300936406</v>
      </c>
      <c r="D4071" s="101">
        <f t="shared" ca="1" si="229"/>
        <v>0.70496798502270597</v>
      </c>
      <c r="E4071" s="101">
        <f t="shared" ca="1" si="230"/>
        <v>0</v>
      </c>
      <c r="F4071" s="21">
        <f t="shared" ca="1" si="231"/>
        <v>0</v>
      </c>
      <c r="H4071" s="21">
        <v>4056</v>
      </c>
      <c r="I4071" s="102">
        <v>0.66774492853245804</v>
      </c>
      <c r="J4071" s="103">
        <v>1.2822499878681318E-3</v>
      </c>
      <c r="K4071" s="103"/>
      <c r="L4071" s="103">
        <v>3.9600000000000003E-2</v>
      </c>
      <c r="O4071" s="100"/>
    </row>
    <row r="4072" spans="2:15" x14ac:dyDescent="0.2">
      <c r="B4072" s="1">
        <f t="shared" si="228"/>
        <v>4057</v>
      </c>
      <c r="C4072" s="101">
        <f ca="1"/>
        <v>-1.4087841981890454</v>
      </c>
      <c r="D4072" s="101">
        <f t="shared" ca="1" si="229"/>
        <v>0.57828902968857676</v>
      </c>
      <c r="E4072" s="101">
        <f t="shared" ca="1" si="230"/>
        <v>0</v>
      </c>
      <c r="F4072" s="21">
        <f t="shared" ca="1" si="231"/>
        <v>0</v>
      </c>
      <c r="H4072" s="21">
        <v>4057</v>
      </c>
      <c r="I4072" s="102">
        <v>0.66772135860300863</v>
      </c>
      <c r="J4072" s="103">
        <v>1.2985751026037475E-3</v>
      </c>
      <c r="K4072" s="103"/>
      <c r="L4072" s="103">
        <v>4.3799999999999999E-2</v>
      </c>
      <c r="O4072" s="100"/>
    </row>
    <row r="4073" spans="2:15" x14ac:dyDescent="0.2">
      <c r="B4073" s="1">
        <f t="shared" si="228"/>
        <v>4058</v>
      </c>
      <c r="C4073" s="101">
        <f ca="1"/>
        <v>0.36337803357179993</v>
      </c>
      <c r="D4073" s="101">
        <f t="shared" ca="1" si="229"/>
        <v>0.68875266312539463</v>
      </c>
      <c r="E4073" s="101">
        <f t="shared" ca="1" si="230"/>
        <v>0</v>
      </c>
      <c r="F4073" s="21">
        <f t="shared" ca="1" si="231"/>
        <v>0</v>
      </c>
      <c r="H4073" s="21">
        <v>4058</v>
      </c>
      <c r="I4073" s="102">
        <v>0.66784740679775501</v>
      </c>
      <c r="J4073" s="103">
        <v>1.475352627926758E-3</v>
      </c>
      <c r="K4073" s="103"/>
      <c r="L4073" s="103">
        <v>4.58E-2</v>
      </c>
      <c r="O4073" s="100"/>
    </row>
    <row r="4074" spans="2:15" x14ac:dyDescent="0.2">
      <c r="B4074" s="1">
        <f t="shared" si="228"/>
        <v>4059</v>
      </c>
      <c r="C4074" s="101">
        <f ca="1"/>
        <v>1.6691800361502822</v>
      </c>
      <c r="D4074" s="101">
        <f t="shared" ca="1" si="229"/>
        <v>0.78343513358070649</v>
      </c>
      <c r="E4074" s="101">
        <f t="shared" ca="1" si="230"/>
        <v>0</v>
      </c>
      <c r="F4074" s="21">
        <f t="shared" ca="1" si="231"/>
        <v>0</v>
      </c>
      <c r="H4074" s="21">
        <v>4059</v>
      </c>
      <c r="I4074" s="102">
        <v>0.66777347863382142</v>
      </c>
      <c r="J4074" s="103">
        <v>1.3651931718782844E-3</v>
      </c>
      <c r="K4074" s="103"/>
      <c r="L4074" s="103">
        <v>4.0399999999999998E-2</v>
      </c>
      <c r="O4074" s="100"/>
    </row>
    <row r="4075" spans="2:15" x14ac:dyDescent="0.2">
      <c r="B4075" s="1">
        <f t="shared" si="228"/>
        <v>4060</v>
      </c>
      <c r="C4075" s="101">
        <f ca="1"/>
        <v>0.60242781128022027</v>
      </c>
      <c r="D4075" s="101">
        <f t="shared" ca="1" si="229"/>
        <v>0.70518657561615405</v>
      </c>
      <c r="E4075" s="101">
        <f t="shared" ca="1" si="230"/>
        <v>0</v>
      </c>
      <c r="F4075" s="21">
        <f t="shared" ca="1" si="231"/>
        <v>0</v>
      </c>
      <c r="H4075" s="21">
        <v>4060</v>
      </c>
      <c r="I4075" s="102">
        <v>0.66776703340727384</v>
      </c>
      <c r="J4075" s="103">
        <v>1.3966233494970635E-3</v>
      </c>
      <c r="K4075" s="103"/>
      <c r="L4075" s="103">
        <v>4.1599999999999998E-2</v>
      </c>
      <c r="O4075" s="100"/>
    </row>
    <row r="4076" spans="2:15" x14ac:dyDescent="0.2">
      <c r="B4076" s="1">
        <f t="shared" si="228"/>
        <v>4061</v>
      </c>
      <c r="C4076" s="101">
        <f ca="1"/>
        <v>0.88491595543243318</v>
      </c>
      <c r="D4076" s="101">
        <f t="shared" ca="1" si="229"/>
        <v>0.72511293788513742</v>
      </c>
      <c r="E4076" s="101">
        <f t="shared" ca="1" si="230"/>
        <v>0</v>
      </c>
      <c r="F4076" s="21">
        <f t="shared" ca="1" si="231"/>
        <v>0</v>
      </c>
      <c r="H4076" s="21">
        <v>4061</v>
      </c>
      <c r="I4076" s="102">
        <v>0.66777100480150775</v>
      </c>
      <c r="J4076" s="103">
        <v>1.4094141688396362E-3</v>
      </c>
      <c r="K4076" s="103"/>
      <c r="L4076" s="103">
        <v>4.36E-2</v>
      </c>
      <c r="O4076" s="100"/>
    </row>
    <row r="4077" spans="2:15" x14ac:dyDescent="0.2">
      <c r="B4077" s="1">
        <f t="shared" si="228"/>
        <v>4062</v>
      </c>
      <c r="C4077" s="101">
        <f ca="1"/>
        <v>-1.8017145423226972</v>
      </c>
      <c r="D4077" s="101">
        <f t="shared" ca="1" si="229"/>
        <v>0.55630384287376466</v>
      </c>
      <c r="E4077" s="101">
        <f t="shared" ca="1" si="230"/>
        <v>0</v>
      </c>
      <c r="F4077" s="21">
        <f t="shared" ca="1" si="231"/>
        <v>0</v>
      </c>
      <c r="H4077" s="21">
        <v>4062</v>
      </c>
      <c r="I4077" s="102">
        <v>0.66756355158899672</v>
      </c>
      <c r="J4077" s="103">
        <v>1.2756873936537203E-3</v>
      </c>
      <c r="K4077" s="103"/>
      <c r="L4077" s="103">
        <v>3.78E-2</v>
      </c>
      <c r="O4077" s="100"/>
    </row>
    <row r="4078" spans="2:15" x14ac:dyDescent="0.2">
      <c r="B4078" s="1">
        <f t="shared" si="228"/>
        <v>4063</v>
      </c>
      <c r="C4078" s="101">
        <f ca="1"/>
        <v>-0.4044034956570558</v>
      </c>
      <c r="D4078" s="101">
        <f t="shared" ca="1" si="229"/>
        <v>0.63851632260033642</v>
      </c>
      <c r="E4078" s="101">
        <f t="shared" ca="1" si="230"/>
        <v>0</v>
      </c>
      <c r="F4078" s="21">
        <f t="shared" ca="1" si="231"/>
        <v>0</v>
      </c>
      <c r="H4078" s="21">
        <v>4063</v>
      </c>
      <c r="I4078" s="102">
        <v>0.66776255871709234</v>
      </c>
      <c r="J4078" s="103">
        <v>1.5398817571789692E-3</v>
      </c>
      <c r="K4078" s="103"/>
      <c r="L4078" s="103">
        <v>4.2799999999999998E-2</v>
      </c>
      <c r="O4078" s="100"/>
    </row>
    <row r="4079" spans="2:15" x14ac:dyDescent="0.2">
      <c r="B4079" s="1">
        <f t="shared" si="228"/>
        <v>4064</v>
      </c>
      <c r="C4079" s="101">
        <f ca="1"/>
        <v>-1.6196270095466163E-3</v>
      </c>
      <c r="D4079" s="101">
        <f t="shared" ca="1" si="229"/>
        <v>0.66439601107791257</v>
      </c>
      <c r="E4079" s="101">
        <f t="shared" ca="1" si="230"/>
        <v>0</v>
      </c>
      <c r="F4079" s="21">
        <f t="shared" ca="1" si="231"/>
        <v>0</v>
      </c>
      <c r="H4079" s="21">
        <v>4064</v>
      </c>
      <c r="I4079" s="102">
        <v>0.66782956046252506</v>
      </c>
      <c r="J4079" s="103">
        <v>1.4183319473987201E-3</v>
      </c>
      <c r="K4079" s="103"/>
      <c r="L4079" s="103">
        <v>4.1799999999999997E-2</v>
      </c>
      <c r="O4079" s="100"/>
    </row>
    <row r="4080" spans="2:15" x14ac:dyDescent="0.2">
      <c r="B4080" s="1">
        <f t="shared" ref="B4080:B4143" si="232">B4079+1</f>
        <v>4065</v>
      </c>
      <c r="C4080" s="101">
        <f ca="1"/>
        <v>-2.6253207730875219E-2</v>
      </c>
      <c r="D4080" s="101">
        <f t="shared" ca="1" si="229"/>
        <v>0.66278356230779467</v>
      </c>
      <c r="E4080" s="101">
        <f t="shared" ca="1" si="230"/>
        <v>0</v>
      </c>
      <c r="F4080" s="21">
        <f t="shared" ca="1" si="231"/>
        <v>0</v>
      </c>
      <c r="H4080" s="21">
        <v>4065</v>
      </c>
      <c r="I4080" s="102">
        <v>0.66766048737495653</v>
      </c>
      <c r="J4080" s="103">
        <v>1.3442818479723149E-3</v>
      </c>
      <c r="K4080" s="103"/>
      <c r="L4080" s="103">
        <v>3.9E-2</v>
      </c>
      <c r="O4080" s="100"/>
    </row>
    <row r="4081" spans="2:15" x14ac:dyDescent="0.2">
      <c r="B4081" s="1">
        <f t="shared" si="232"/>
        <v>4066</v>
      </c>
      <c r="C4081" s="101">
        <f ca="1"/>
        <v>0.29957810585266614</v>
      </c>
      <c r="D4081" s="101">
        <f t="shared" ca="1" si="229"/>
        <v>0.68443174019275244</v>
      </c>
      <c r="E4081" s="101">
        <f t="shared" ca="1" si="230"/>
        <v>0</v>
      </c>
      <c r="F4081" s="21">
        <f t="shared" ca="1" si="231"/>
        <v>0</v>
      </c>
      <c r="H4081" s="21">
        <v>4066</v>
      </c>
      <c r="I4081" s="102">
        <v>0.66768561653169667</v>
      </c>
      <c r="J4081" s="103">
        <v>1.3589215532712293E-3</v>
      </c>
      <c r="K4081" s="103"/>
      <c r="L4081" s="103">
        <v>4.1799999999999997E-2</v>
      </c>
      <c r="O4081" s="100"/>
    </row>
    <row r="4082" spans="2:15" x14ac:dyDescent="0.2">
      <c r="B4082" s="1">
        <f t="shared" si="232"/>
        <v>4067</v>
      </c>
      <c r="C4082" s="101">
        <f ca="1"/>
        <v>-1.3378478923697918</v>
      </c>
      <c r="D4082" s="101">
        <f t="shared" ca="1" si="229"/>
        <v>0.58234965335916922</v>
      </c>
      <c r="E4082" s="101">
        <f t="shared" ca="1" si="230"/>
        <v>0</v>
      </c>
      <c r="F4082" s="21">
        <f t="shared" ca="1" si="231"/>
        <v>0</v>
      </c>
      <c r="H4082" s="21">
        <v>4067</v>
      </c>
      <c r="I4082" s="102">
        <v>0.66777232619847959</v>
      </c>
      <c r="J4082" s="103">
        <v>1.3741791138990266E-3</v>
      </c>
      <c r="K4082" s="103"/>
      <c r="L4082" s="103">
        <v>4.1000000000000002E-2</v>
      </c>
      <c r="O4082" s="100"/>
    </row>
    <row r="4083" spans="2:15" x14ac:dyDescent="0.2">
      <c r="B4083" s="1">
        <f t="shared" si="232"/>
        <v>4068</v>
      </c>
      <c r="C4083" s="101">
        <f ca="1"/>
        <v>0.1799754566291904</v>
      </c>
      <c r="D4083" s="101">
        <f t="shared" ca="1" si="229"/>
        <v>0.67640442144063528</v>
      </c>
      <c r="E4083" s="101">
        <f t="shared" ca="1" si="230"/>
        <v>0</v>
      </c>
      <c r="F4083" s="21">
        <f t="shared" ca="1" si="231"/>
        <v>0</v>
      </c>
      <c r="H4083" s="21">
        <v>4068</v>
      </c>
      <c r="I4083" s="102">
        <v>0.66767083325740573</v>
      </c>
      <c r="J4083" s="103">
        <v>1.3139525201673287E-3</v>
      </c>
      <c r="K4083" s="103"/>
      <c r="L4083" s="103">
        <v>4.1799999999999997E-2</v>
      </c>
      <c r="O4083" s="100"/>
    </row>
    <row r="4084" spans="2:15" x14ac:dyDescent="0.2">
      <c r="B4084" s="1">
        <f t="shared" si="232"/>
        <v>4069</v>
      </c>
      <c r="C4084" s="101">
        <f ca="1"/>
        <v>-0.30230822855792788</v>
      </c>
      <c r="D4084" s="101">
        <f t="shared" ca="1" si="229"/>
        <v>0.64497918930094256</v>
      </c>
      <c r="E4084" s="101">
        <f t="shared" ca="1" si="230"/>
        <v>0</v>
      </c>
      <c r="F4084" s="21">
        <f t="shared" ca="1" si="231"/>
        <v>0</v>
      </c>
      <c r="H4084" s="21">
        <v>4069</v>
      </c>
      <c r="I4084" s="102">
        <v>0.66778295074839489</v>
      </c>
      <c r="J4084" s="103">
        <v>1.4406987250731201E-3</v>
      </c>
      <c r="K4084" s="103"/>
      <c r="L4084" s="103">
        <v>4.4999999999999998E-2</v>
      </c>
      <c r="O4084" s="100"/>
    </row>
    <row r="4085" spans="2:15" x14ac:dyDescent="0.2">
      <c r="B4085" s="1">
        <f t="shared" si="232"/>
        <v>4070</v>
      </c>
      <c r="C4085" s="101">
        <f ca="1"/>
        <v>-0.35696997807120001</v>
      </c>
      <c r="D4085" s="101">
        <f t="shared" ca="1" si="229"/>
        <v>0.64151088001512857</v>
      </c>
      <c r="E4085" s="101">
        <f t="shared" ca="1" si="230"/>
        <v>0</v>
      </c>
      <c r="F4085" s="21">
        <f t="shared" ca="1" si="231"/>
        <v>0</v>
      </c>
      <c r="H4085" s="21">
        <v>4070</v>
      </c>
      <c r="I4085" s="102">
        <v>0.66786637944909821</v>
      </c>
      <c r="J4085" s="103">
        <v>1.5487867792374401E-3</v>
      </c>
      <c r="K4085" s="103"/>
      <c r="L4085" s="103">
        <v>4.4400000000000002E-2</v>
      </c>
      <c r="O4085" s="100"/>
    </row>
    <row r="4086" spans="2:15" x14ac:dyDescent="0.2">
      <c r="B4086" s="1">
        <f t="shared" si="232"/>
        <v>4071</v>
      </c>
      <c r="C4086" s="101">
        <f ca="1"/>
        <v>1.2607926749652432</v>
      </c>
      <c r="D4086" s="101">
        <f t="shared" ca="1" si="229"/>
        <v>0.75250255882975325</v>
      </c>
      <c r="E4086" s="101">
        <f t="shared" ca="1" si="230"/>
        <v>0</v>
      </c>
      <c r="F4086" s="21">
        <f t="shared" ca="1" si="231"/>
        <v>0</v>
      </c>
      <c r="H4086" s="21">
        <v>4071</v>
      </c>
      <c r="I4086" s="102">
        <v>0.66775257432241597</v>
      </c>
      <c r="J4086" s="103">
        <v>1.2229469358194258E-3</v>
      </c>
      <c r="K4086" s="103"/>
      <c r="L4086" s="103">
        <v>4.1799999999999997E-2</v>
      </c>
      <c r="O4086" s="100"/>
    </row>
    <row r="4087" spans="2:15" x14ac:dyDescent="0.2">
      <c r="B4087" s="1">
        <f t="shared" si="232"/>
        <v>4072</v>
      </c>
      <c r="C4087" s="101">
        <f ca="1"/>
        <v>-1.4931494131118532</v>
      </c>
      <c r="D4087" s="101">
        <f t="shared" ca="1" si="229"/>
        <v>0.57349653712266335</v>
      </c>
      <c r="E4087" s="101">
        <f t="shared" ca="1" si="230"/>
        <v>0</v>
      </c>
      <c r="F4087" s="21">
        <f t="shared" ca="1" si="231"/>
        <v>0</v>
      </c>
      <c r="H4087" s="21">
        <v>4072</v>
      </c>
      <c r="I4087" s="102">
        <v>0.66783647770448273</v>
      </c>
      <c r="J4087" s="103">
        <v>1.4967182634317495E-3</v>
      </c>
      <c r="K4087" s="103"/>
      <c r="L4087" s="103">
        <v>4.2200000000000001E-2</v>
      </c>
      <c r="O4087" s="100"/>
    </row>
    <row r="4088" spans="2:15" x14ac:dyDescent="0.2">
      <c r="B4088" s="1">
        <f t="shared" si="232"/>
        <v>4073</v>
      </c>
      <c r="C4088" s="101">
        <f ca="1"/>
        <v>-0.68662900386366832</v>
      </c>
      <c r="D4088" s="101">
        <f t="shared" ca="1" si="229"/>
        <v>0.62098575373808806</v>
      </c>
      <c r="E4088" s="101">
        <f t="shared" ca="1" si="230"/>
        <v>0</v>
      </c>
      <c r="F4088" s="21">
        <f t="shared" ca="1" si="231"/>
        <v>0</v>
      </c>
      <c r="H4088" s="21">
        <v>4073</v>
      </c>
      <c r="I4088" s="102">
        <v>0.66776509379137072</v>
      </c>
      <c r="J4088" s="103">
        <v>1.4686385303640142E-3</v>
      </c>
      <c r="K4088" s="103"/>
      <c r="L4088" s="103">
        <v>4.48E-2</v>
      </c>
      <c r="O4088" s="100"/>
    </row>
    <row r="4089" spans="2:15" x14ac:dyDescent="0.2">
      <c r="B4089" s="1">
        <f t="shared" si="232"/>
        <v>4074</v>
      </c>
      <c r="C4089" s="101">
        <f ca="1"/>
        <v>0.23591927780471142</v>
      </c>
      <c r="D4089" s="101">
        <f t="shared" ca="1" si="229"/>
        <v>0.68014739117920497</v>
      </c>
      <c r="E4089" s="101">
        <f t="shared" ca="1" si="230"/>
        <v>0</v>
      </c>
      <c r="F4089" s="21">
        <f t="shared" ca="1" si="231"/>
        <v>0</v>
      </c>
      <c r="H4089" s="21">
        <v>4074</v>
      </c>
      <c r="I4089" s="102">
        <v>0.66774172235797369</v>
      </c>
      <c r="J4089" s="103">
        <v>1.3095768554983068E-3</v>
      </c>
      <c r="K4089" s="103"/>
      <c r="L4089" s="103">
        <v>4.3400000000000001E-2</v>
      </c>
      <c r="O4089" s="100"/>
    </row>
    <row r="4090" spans="2:15" x14ac:dyDescent="0.2">
      <c r="B4090" s="1">
        <f t="shared" si="232"/>
        <v>4075</v>
      </c>
      <c r="C4090" s="101">
        <f ca="1"/>
        <v>0.23458138727008013</v>
      </c>
      <c r="D4090" s="101">
        <f t="shared" ca="1" si="229"/>
        <v>0.68005763716908174</v>
      </c>
      <c r="E4090" s="101">
        <f t="shared" ca="1" si="230"/>
        <v>0</v>
      </c>
      <c r="F4090" s="21">
        <f t="shared" ca="1" si="231"/>
        <v>0</v>
      </c>
      <c r="H4090" s="21">
        <v>4075</v>
      </c>
      <c r="I4090" s="102">
        <v>0.66767619649775167</v>
      </c>
      <c r="J4090" s="103">
        <v>1.3067225427972143E-3</v>
      </c>
      <c r="K4090" s="103"/>
      <c r="L4090" s="103">
        <v>4.1599999999999998E-2</v>
      </c>
      <c r="O4090" s="100"/>
    </row>
    <row r="4091" spans="2:15" x14ac:dyDescent="0.2">
      <c r="B4091" s="1">
        <f t="shared" si="232"/>
        <v>4076</v>
      </c>
      <c r="C4091" s="101">
        <f ca="1"/>
        <v>-1.6845245962429079E-3</v>
      </c>
      <c r="D4091" s="101">
        <f t="shared" ca="1" si="229"/>
        <v>0.6643917579046581</v>
      </c>
      <c r="E4091" s="101">
        <f t="shared" ca="1" si="230"/>
        <v>0</v>
      </c>
      <c r="F4091" s="21">
        <f t="shared" ca="1" si="231"/>
        <v>0</v>
      </c>
      <c r="H4091" s="21">
        <v>4076</v>
      </c>
      <c r="I4091" s="102">
        <v>0.66766142533290107</v>
      </c>
      <c r="J4091" s="103">
        <v>1.3681959266512221E-3</v>
      </c>
      <c r="K4091" s="103"/>
      <c r="L4091" s="103">
        <v>3.7400000000000003E-2</v>
      </c>
      <c r="O4091" s="100"/>
    </row>
    <row r="4092" spans="2:15" x14ac:dyDescent="0.2">
      <c r="B4092" s="1">
        <f t="shared" si="232"/>
        <v>4077</v>
      </c>
      <c r="C4092" s="101">
        <f ca="1"/>
        <v>0.24840560419417362</v>
      </c>
      <c r="D4092" s="101">
        <f t="shared" ca="1" si="229"/>
        <v>0.68098562291824649</v>
      </c>
      <c r="E4092" s="101">
        <f t="shared" ca="1" si="230"/>
        <v>0</v>
      </c>
      <c r="F4092" s="21">
        <f t="shared" ca="1" si="231"/>
        <v>0</v>
      </c>
      <c r="H4092" s="21">
        <v>4077</v>
      </c>
      <c r="I4092" s="102">
        <v>0.66770367508965278</v>
      </c>
      <c r="J4092" s="103">
        <v>1.2299405620346865E-3</v>
      </c>
      <c r="K4092" s="103"/>
      <c r="L4092" s="103">
        <v>3.9800000000000002E-2</v>
      </c>
      <c r="O4092" s="100"/>
    </row>
    <row r="4093" spans="2:15" x14ac:dyDescent="0.2">
      <c r="B4093" s="1">
        <f t="shared" si="232"/>
        <v>4078</v>
      </c>
      <c r="C4093" s="101">
        <f ca="1"/>
        <v>6.7843586458059529E-4</v>
      </c>
      <c r="D4093" s="101">
        <f t="shared" ca="1" si="229"/>
        <v>0.66454663607391529</v>
      </c>
      <c r="E4093" s="101">
        <f t="shared" ca="1" si="230"/>
        <v>0</v>
      </c>
      <c r="F4093" s="21">
        <f t="shared" ca="1" si="231"/>
        <v>0</v>
      </c>
      <c r="H4093" s="21">
        <v>4078</v>
      </c>
      <c r="I4093" s="102">
        <v>0.66768209169885206</v>
      </c>
      <c r="J4093" s="103">
        <v>1.4128457805446563E-3</v>
      </c>
      <c r="K4093" s="103"/>
      <c r="L4093" s="103">
        <v>3.9199999999999999E-2</v>
      </c>
      <c r="O4093" s="100"/>
    </row>
    <row r="4094" spans="2:15" x14ac:dyDescent="0.2">
      <c r="B4094" s="1">
        <f t="shared" si="232"/>
        <v>4079</v>
      </c>
      <c r="C4094" s="101">
        <f ca="1"/>
        <v>0.63700151313760822</v>
      </c>
      <c r="D4094" s="101">
        <f t="shared" ca="1" si="229"/>
        <v>0.70759564655102314</v>
      </c>
      <c r="E4094" s="101">
        <f t="shared" ca="1" si="230"/>
        <v>0</v>
      </c>
      <c r="F4094" s="21">
        <f t="shared" ca="1" si="231"/>
        <v>0</v>
      </c>
      <c r="H4094" s="21">
        <v>4079</v>
      </c>
      <c r="I4094" s="102">
        <v>0.66770211618339959</v>
      </c>
      <c r="J4094" s="103">
        <v>1.4229259397668069E-3</v>
      </c>
      <c r="K4094" s="103"/>
      <c r="L4094" s="103">
        <v>4.1200000000000001E-2</v>
      </c>
      <c r="O4094" s="100"/>
    </row>
    <row r="4095" spans="2:15" x14ac:dyDescent="0.2">
      <c r="B4095" s="1">
        <f t="shared" si="232"/>
        <v>4080</v>
      </c>
      <c r="C4095" s="101">
        <f ca="1"/>
        <v>0.17371746331101795</v>
      </c>
      <c r="D4095" s="101">
        <f t="shared" ca="1" si="229"/>
        <v>0.67598700803172052</v>
      </c>
      <c r="E4095" s="101">
        <f t="shared" ca="1" si="230"/>
        <v>0</v>
      </c>
      <c r="F4095" s="21">
        <f t="shared" ca="1" si="231"/>
        <v>0</v>
      </c>
      <c r="H4095" s="21">
        <v>4080</v>
      </c>
      <c r="I4095" s="102">
        <v>0.66779814035711982</v>
      </c>
      <c r="J4095" s="103">
        <v>1.4903278747377528E-3</v>
      </c>
      <c r="K4095" s="103"/>
      <c r="L4095" s="103">
        <v>4.0599999999999997E-2</v>
      </c>
      <c r="O4095" s="100"/>
    </row>
    <row r="4096" spans="2:15" x14ac:dyDescent="0.2">
      <c r="B4096" s="1">
        <f t="shared" si="232"/>
        <v>4081</v>
      </c>
      <c r="C4096" s="101">
        <f ca="1"/>
        <v>-5.9004120379436219E-2</v>
      </c>
      <c r="D4096" s="101">
        <f t="shared" ca="1" si="229"/>
        <v>0.66064583300318602</v>
      </c>
      <c r="E4096" s="101">
        <f t="shared" ca="1" si="230"/>
        <v>0</v>
      </c>
      <c r="F4096" s="21">
        <f t="shared" ca="1" si="231"/>
        <v>0</v>
      </c>
      <c r="H4096" s="21">
        <v>4081</v>
      </c>
      <c r="I4096" s="102">
        <v>0.66770203753367519</v>
      </c>
      <c r="J4096" s="103">
        <v>1.4194058843361391E-3</v>
      </c>
      <c r="K4096" s="103"/>
      <c r="L4096" s="103">
        <v>4.2000000000000003E-2</v>
      </c>
      <c r="O4096" s="100"/>
    </row>
    <row r="4097" spans="2:15" x14ac:dyDescent="0.2">
      <c r="B4097" s="1">
        <f t="shared" si="232"/>
        <v>4082</v>
      </c>
      <c r="C4097" s="101">
        <f ca="1"/>
        <v>0.98932236254630557</v>
      </c>
      <c r="D4097" s="101">
        <f t="shared" ca="1" si="229"/>
        <v>0.73261930806484754</v>
      </c>
      <c r="E4097" s="101">
        <f t="shared" ca="1" si="230"/>
        <v>0</v>
      </c>
      <c r="F4097" s="21">
        <f t="shared" ca="1" si="231"/>
        <v>0</v>
      </c>
      <c r="H4097" s="21">
        <v>4082</v>
      </c>
      <c r="I4097" s="102">
        <v>0.66780779429588688</v>
      </c>
      <c r="J4097" s="103">
        <v>1.5349094375366446E-3</v>
      </c>
      <c r="K4097" s="103"/>
      <c r="L4097" s="103">
        <v>4.4999999999999998E-2</v>
      </c>
      <c r="O4097" s="100"/>
    </row>
    <row r="4098" spans="2:15" x14ac:dyDescent="0.2">
      <c r="B4098" s="1">
        <f t="shared" si="232"/>
        <v>4083</v>
      </c>
      <c r="C4098" s="101">
        <f ca="1"/>
        <v>0.16286884072820657</v>
      </c>
      <c r="D4098" s="101">
        <f t="shared" ca="1" si="229"/>
        <v>0.6752640060344014</v>
      </c>
      <c r="E4098" s="101">
        <f t="shared" ca="1" si="230"/>
        <v>0</v>
      </c>
      <c r="F4098" s="21">
        <f t="shared" ca="1" si="231"/>
        <v>0</v>
      </c>
      <c r="H4098" s="21">
        <v>4083</v>
      </c>
      <c r="I4098" s="102">
        <v>0.66767880935216029</v>
      </c>
      <c r="J4098" s="103">
        <v>1.2594325662164975E-3</v>
      </c>
      <c r="K4098" s="103"/>
      <c r="L4098" s="103">
        <v>4.1599999999999998E-2</v>
      </c>
      <c r="O4098" s="100"/>
    </row>
    <row r="4099" spans="2:15" x14ac:dyDescent="0.2">
      <c r="B4099" s="1">
        <f t="shared" si="232"/>
        <v>4084</v>
      </c>
      <c r="C4099" s="101">
        <f ca="1"/>
        <v>0.25935221812450321</v>
      </c>
      <c r="D4099" s="101">
        <f t="shared" ca="1" si="229"/>
        <v>0.68172134050806843</v>
      </c>
      <c r="E4099" s="101">
        <f t="shared" ca="1" si="230"/>
        <v>0</v>
      </c>
      <c r="F4099" s="21">
        <f t="shared" ca="1" si="231"/>
        <v>0</v>
      </c>
      <c r="H4099" s="21">
        <v>4084</v>
      </c>
      <c r="I4099" s="102">
        <v>0.66774426894422523</v>
      </c>
      <c r="J4099" s="103">
        <v>1.426061170991479E-3</v>
      </c>
      <c r="K4099" s="103"/>
      <c r="L4099" s="103">
        <v>4.4400000000000002E-2</v>
      </c>
      <c r="O4099" s="100"/>
    </row>
    <row r="4100" spans="2:15" x14ac:dyDescent="0.2">
      <c r="B4100" s="1">
        <f t="shared" si="232"/>
        <v>4085</v>
      </c>
      <c r="C4100" s="101">
        <f ca="1"/>
        <v>0.20740580428536889</v>
      </c>
      <c r="D4100" s="101">
        <f t="shared" ca="1" si="229"/>
        <v>0.67823709170127255</v>
      </c>
      <c r="E4100" s="101">
        <f t="shared" ca="1" si="230"/>
        <v>0</v>
      </c>
      <c r="F4100" s="21">
        <f t="shared" ca="1" si="231"/>
        <v>0</v>
      </c>
      <c r="H4100" s="21">
        <v>4085</v>
      </c>
      <c r="I4100" s="102">
        <v>0.66779753652879204</v>
      </c>
      <c r="J4100" s="103">
        <v>1.3570229789750575E-3</v>
      </c>
      <c r="K4100" s="103"/>
      <c r="L4100" s="103">
        <v>4.36E-2</v>
      </c>
      <c r="O4100" s="100"/>
    </row>
    <row r="4101" spans="2:15" x14ac:dyDescent="0.2">
      <c r="B4101" s="1">
        <f t="shared" si="232"/>
        <v>4086</v>
      </c>
      <c r="C4101" s="101">
        <f ca="1"/>
        <v>-1.6521931052049419</v>
      </c>
      <c r="D4101" s="101">
        <f t="shared" ca="1" si="229"/>
        <v>0.56456956997648278</v>
      </c>
      <c r="E4101" s="101">
        <f t="shared" ca="1" si="230"/>
        <v>0</v>
      </c>
      <c r="F4101" s="21">
        <f t="shared" ca="1" si="231"/>
        <v>0</v>
      </c>
      <c r="H4101" s="21">
        <v>4086</v>
      </c>
      <c r="I4101" s="102">
        <v>0.66779250908832022</v>
      </c>
      <c r="J4101" s="103">
        <v>1.4710836643313837E-3</v>
      </c>
      <c r="K4101" s="103"/>
      <c r="L4101" s="103">
        <v>4.4999999999999998E-2</v>
      </c>
      <c r="O4101" s="100"/>
    </row>
    <row r="4102" spans="2:15" x14ac:dyDescent="0.2">
      <c r="B4102" s="1">
        <f t="shared" si="232"/>
        <v>4087</v>
      </c>
      <c r="C4102" s="101">
        <f ca="1"/>
        <v>-9.640157009480417E-2</v>
      </c>
      <c r="D4102" s="101">
        <f t="shared" ca="1" si="229"/>
        <v>0.6582132437038325</v>
      </c>
      <c r="E4102" s="101">
        <f t="shared" ca="1" si="230"/>
        <v>0</v>
      </c>
      <c r="F4102" s="21">
        <f t="shared" ca="1" si="231"/>
        <v>0</v>
      </c>
      <c r="H4102" s="21">
        <v>4087</v>
      </c>
      <c r="I4102" s="102">
        <v>0.66772524366522501</v>
      </c>
      <c r="J4102" s="103">
        <v>1.3959361026541497E-3</v>
      </c>
      <c r="K4102" s="103"/>
      <c r="L4102" s="103">
        <v>0.04</v>
      </c>
      <c r="O4102" s="100"/>
    </row>
    <row r="4103" spans="2:15" x14ac:dyDescent="0.2">
      <c r="B4103" s="1">
        <f t="shared" si="232"/>
        <v>4088</v>
      </c>
      <c r="C4103" s="101">
        <f ca="1"/>
        <v>0.31801026688855111</v>
      </c>
      <c r="D4103" s="101">
        <f t="shared" ca="1" si="229"/>
        <v>0.68567728733397326</v>
      </c>
      <c r="E4103" s="101">
        <f t="shared" ca="1" si="230"/>
        <v>0</v>
      </c>
      <c r="F4103" s="21">
        <f t="shared" ca="1" si="231"/>
        <v>0</v>
      </c>
      <c r="H4103" s="21">
        <v>4088</v>
      </c>
      <c r="I4103" s="102">
        <v>0.66770754294821055</v>
      </c>
      <c r="J4103" s="103">
        <v>1.3182504887627154E-3</v>
      </c>
      <c r="K4103" s="103"/>
      <c r="L4103" s="103">
        <v>4.1200000000000001E-2</v>
      </c>
      <c r="O4103" s="100"/>
    </row>
    <row r="4104" spans="2:15" x14ac:dyDescent="0.2">
      <c r="B4104" s="1">
        <f t="shared" si="232"/>
        <v>4089</v>
      </c>
      <c r="C4104" s="101">
        <f ca="1"/>
        <v>0.78094962810752311</v>
      </c>
      <c r="D4104" s="101">
        <f t="shared" ca="1" si="229"/>
        <v>0.71771463284477155</v>
      </c>
      <c r="E4104" s="101">
        <f t="shared" ca="1" si="230"/>
        <v>0</v>
      </c>
      <c r="F4104" s="21">
        <f t="shared" ca="1" si="231"/>
        <v>0</v>
      </c>
      <c r="H4104" s="21">
        <v>4089</v>
      </c>
      <c r="I4104" s="102">
        <v>0.6677841816718435</v>
      </c>
      <c r="J4104" s="103">
        <v>1.3945189397265721E-3</v>
      </c>
      <c r="K4104" s="103"/>
      <c r="L4104" s="103">
        <v>4.0800000000000003E-2</v>
      </c>
      <c r="O4104" s="100"/>
    </row>
    <row r="4105" spans="2:15" x14ac:dyDescent="0.2">
      <c r="B4105" s="1">
        <f t="shared" si="232"/>
        <v>4090</v>
      </c>
      <c r="C4105" s="101">
        <f ca="1"/>
        <v>-0.52016788556178017</v>
      </c>
      <c r="D4105" s="101">
        <f t="shared" ca="1" si="229"/>
        <v>0.63126647939918534</v>
      </c>
      <c r="E4105" s="101">
        <f t="shared" ca="1" si="230"/>
        <v>0</v>
      </c>
      <c r="F4105" s="21">
        <f t="shared" ca="1" si="231"/>
        <v>0</v>
      </c>
      <c r="H4105" s="21">
        <v>4090</v>
      </c>
      <c r="I4105" s="102">
        <v>0.66763013741582478</v>
      </c>
      <c r="J4105" s="103">
        <v>1.2498651316525944E-3</v>
      </c>
      <c r="K4105" s="103"/>
      <c r="L4105" s="103">
        <v>3.9600000000000003E-2</v>
      </c>
      <c r="O4105" s="100"/>
    </row>
    <row r="4106" spans="2:15" x14ac:dyDescent="0.2">
      <c r="B4106" s="1">
        <f t="shared" si="232"/>
        <v>4091</v>
      </c>
      <c r="C4106" s="101">
        <f ca="1"/>
        <v>-0.57150428249419094</v>
      </c>
      <c r="D4106" s="101">
        <f t="shared" ca="1" si="229"/>
        <v>0.62807789536036063</v>
      </c>
      <c r="E4106" s="101">
        <f t="shared" ca="1" si="230"/>
        <v>0</v>
      </c>
      <c r="F4106" s="21">
        <f t="shared" ca="1" si="231"/>
        <v>0</v>
      </c>
      <c r="H4106" s="21">
        <v>4091</v>
      </c>
      <c r="I4106" s="102">
        <v>0.66772775497118853</v>
      </c>
      <c r="J4106" s="103">
        <v>1.4312856758158397E-3</v>
      </c>
      <c r="K4106" s="103"/>
      <c r="L4106" s="103">
        <v>4.0599999999999997E-2</v>
      </c>
      <c r="O4106" s="100"/>
    </row>
    <row r="4107" spans="2:15" x14ac:dyDescent="0.2">
      <c r="B4107" s="1">
        <f t="shared" si="232"/>
        <v>4092</v>
      </c>
      <c r="C4107" s="101">
        <f ca="1"/>
        <v>1.0727237473008577</v>
      </c>
      <c r="D4107" s="101">
        <f t="shared" ca="1" si="229"/>
        <v>0.73867129774900564</v>
      </c>
      <c r="E4107" s="101">
        <f t="shared" ca="1" si="230"/>
        <v>0</v>
      </c>
      <c r="F4107" s="21">
        <f t="shared" ca="1" si="231"/>
        <v>0</v>
      </c>
      <c r="H4107" s="21">
        <v>4092</v>
      </c>
      <c r="I4107" s="102">
        <v>0.66778556711506076</v>
      </c>
      <c r="J4107" s="103">
        <v>1.3990252485670837E-3</v>
      </c>
      <c r="K4107" s="103"/>
      <c r="L4107" s="103">
        <v>4.24E-2</v>
      </c>
      <c r="O4107" s="100"/>
    </row>
    <row r="4108" spans="2:15" x14ac:dyDescent="0.2">
      <c r="B4108" s="1">
        <f t="shared" si="232"/>
        <v>4093</v>
      </c>
      <c r="C4108" s="101">
        <f ca="1"/>
        <v>-0.73948165568422997</v>
      </c>
      <c r="D4108" s="101">
        <f t="shared" ca="1" si="229"/>
        <v>0.61775669664109534</v>
      </c>
      <c r="E4108" s="101">
        <f t="shared" ca="1" si="230"/>
        <v>0</v>
      </c>
      <c r="F4108" s="21">
        <f t="shared" ca="1" si="231"/>
        <v>0</v>
      </c>
      <c r="H4108" s="21">
        <v>4093</v>
      </c>
      <c r="I4108" s="102">
        <v>0.66764042467576945</v>
      </c>
      <c r="J4108" s="103">
        <v>1.2657771256673804E-3</v>
      </c>
      <c r="K4108" s="103"/>
      <c r="L4108" s="103">
        <v>3.8800000000000001E-2</v>
      </c>
      <c r="O4108" s="100"/>
    </row>
    <row r="4109" spans="2:15" x14ac:dyDescent="0.2">
      <c r="B4109" s="1">
        <f t="shared" si="232"/>
        <v>4094</v>
      </c>
      <c r="C4109" s="101">
        <f ca="1"/>
        <v>-0.83828448711772618</v>
      </c>
      <c r="D4109" s="101">
        <f t="shared" ca="1" si="229"/>
        <v>0.6117652575896021</v>
      </c>
      <c r="E4109" s="101">
        <f t="shared" ca="1" si="230"/>
        <v>0</v>
      </c>
      <c r="F4109" s="21">
        <f t="shared" ca="1" si="231"/>
        <v>0</v>
      </c>
      <c r="H4109" s="21">
        <v>4094</v>
      </c>
      <c r="I4109" s="102">
        <v>0.66765492069048071</v>
      </c>
      <c r="J4109" s="103">
        <v>1.3842706277550035E-3</v>
      </c>
      <c r="K4109" s="103"/>
      <c r="L4109" s="103">
        <v>3.8800000000000001E-2</v>
      </c>
      <c r="O4109" s="100"/>
    </row>
    <row r="4110" spans="2:15" x14ac:dyDescent="0.2">
      <c r="B4110" s="1">
        <f t="shared" si="232"/>
        <v>4095</v>
      </c>
      <c r="C4110" s="101">
        <f ca="1"/>
        <v>0.95805888489516189</v>
      </c>
      <c r="D4110" s="101">
        <f t="shared" ca="1" si="229"/>
        <v>0.7303634848335433</v>
      </c>
      <c r="E4110" s="101">
        <f t="shared" ca="1" si="230"/>
        <v>0</v>
      </c>
      <c r="F4110" s="21">
        <f t="shared" ca="1" si="231"/>
        <v>0</v>
      </c>
      <c r="H4110" s="21">
        <v>4095</v>
      </c>
      <c r="I4110" s="102">
        <v>0.66772021696570405</v>
      </c>
      <c r="J4110" s="103">
        <v>1.3393464450670604E-3</v>
      </c>
      <c r="K4110" s="103"/>
      <c r="L4110" s="103">
        <v>4.2200000000000001E-2</v>
      </c>
      <c r="O4110" s="100"/>
    </row>
    <row r="4111" spans="2:15" x14ac:dyDescent="0.2">
      <c r="B4111" s="1">
        <f t="shared" si="232"/>
        <v>4096</v>
      </c>
      <c r="C4111" s="101">
        <f ca="1"/>
        <v>-1.0729743039867432</v>
      </c>
      <c r="D4111" s="101">
        <f t="shared" ca="1" si="229"/>
        <v>0.59776549500685439</v>
      </c>
      <c r="E4111" s="101">
        <f t="shared" ca="1" si="230"/>
        <v>0</v>
      </c>
      <c r="F4111" s="21">
        <f t="shared" ca="1" si="231"/>
        <v>0</v>
      </c>
      <c r="H4111" s="21">
        <v>4096</v>
      </c>
      <c r="I4111" s="102">
        <v>0.66766392453398249</v>
      </c>
      <c r="J4111" s="103">
        <v>1.1484385050276535E-3</v>
      </c>
      <c r="K4111" s="103"/>
      <c r="L4111" s="103">
        <v>3.6600000000000001E-2</v>
      </c>
      <c r="O4111" s="100"/>
    </row>
    <row r="4112" spans="2:15" x14ac:dyDescent="0.2">
      <c r="B4112" s="1">
        <f t="shared" si="232"/>
        <v>4097</v>
      </c>
      <c r="C4112" s="101">
        <f ca="1"/>
        <v>-0.38942196796270229</v>
      </c>
      <c r="D4112" s="101">
        <f t="shared" ref="D4112:D4175" ca="1" si="233">S0*EXP((μ-0.5*σ*σ)*T+σ*SQRT(T)*$C4112)</f>
        <v>0.63946061815469524</v>
      </c>
      <c r="E4112" s="101">
        <f t="shared" ref="E4112:E4175" ca="1" si="234">MAX(0,CP*(D4112-K))</f>
        <v>0</v>
      </c>
      <c r="F4112" s="21">
        <f t="shared" ref="F4112:F4175" ca="1" si="235">(CP*(D4112-K)&gt;0)*1</f>
        <v>0</v>
      </c>
      <c r="H4112" s="21">
        <v>4097</v>
      </c>
      <c r="I4112" s="102">
        <v>0.66778318129483627</v>
      </c>
      <c r="J4112" s="103">
        <v>1.4317586951623164E-3</v>
      </c>
      <c r="K4112" s="103"/>
      <c r="L4112" s="103">
        <v>4.3999999999999997E-2</v>
      </c>
      <c r="O4112" s="100"/>
    </row>
    <row r="4113" spans="2:15" x14ac:dyDescent="0.2">
      <c r="B4113" s="1">
        <f t="shared" si="232"/>
        <v>4098</v>
      </c>
      <c r="C4113" s="101">
        <f ca="1"/>
        <v>-9.9382433694243863E-2</v>
      </c>
      <c r="D4113" s="101">
        <f t="shared" ca="1" si="233"/>
        <v>0.65801973354334442</v>
      </c>
      <c r="E4113" s="101">
        <f t="shared" ca="1" si="234"/>
        <v>0</v>
      </c>
      <c r="F4113" s="21">
        <f t="shared" ca="1" si="235"/>
        <v>0</v>
      </c>
      <c r="H4113" s="21">
        <v>4098</v>
      </c>
      <c r="I4113" s="102">
        <v>0.66773089266392049</v>
      </c>
      <c r="J4113" s="103">
        <v>1.3292840074468929E-3</v>
      </c>
      <c r="K4113" s="103"/>
      <c r="L4113" s="103">
        <v>4.02E-2</v>
      </c>
      <c r="O4113" s="100"/>
    </row>
    <row r="4114" spans="2:15" x14ac:dyDescent="0.2">
      <c r="B4114" s="1">
        <f t="shared" si="232"/>
        <v>4099</v>
      </c>
      <c r="C4114" s="101">
        <f ca="1"/>
        <v>2.3279565368082347</v>
      </c>
      <c r="D4114" s="101">
        <f t="shared" ca="1" si="233"/>
        <v>0.83603531515214802</v>
      </c>
      <c r="E4114" s="101">
        <f t="shared" ca="1" si="234"/>
        <v>4.7835315152148006E-2</v>
      </c>
      <c r="F4114" s="21">
        <f t="shared" ca="1" si="235"/>
        <v>1</v>
      </c>
      <c r="H4114" s="21">
        <v>4099</v>
      </c>
      <c r="I4114" s="102">
        <v>0.6677272376557678</v>
      </c>
      <c r="J4114" s="103">
        <v>1.4438088510365936E-3</v>
      </c>
      <c r="K4114" s="103"/>
      <c r="L4114" s="103">
        <v>4.0599999999999997E-2</v>
      </c>
      <c r="O4114" s="100"/>
    </row>
    <row r="4115" spans="2:15" x14ac:dyDescent="0.2">
      <c r="B4115" s="1">
        <f t="shared" si="232"/>
        <v>4100</v>
      </c>
      <c r="C4115" s="101">
        <f ca="1"/>
        <v>-0.39953246853006585</v>
      </c>
      <c r="D4115" s="101">
        <f t="shared" ca="1" si="233"/>
        <v>0.63882319356084682</v>
      </c>
      <c r="E4115" s="101">
        <f t="shared" ca="1" si="234"/>
        <v>0</v>
      </c>
      <c r="F4115" s="21">
        <f t="shared" ca="1" si="235"/>
        <v>0</v>
      </c>
      <c r="H4115" s="21">
        <v>4100</v>
      </c>
      <c r="I4115" s="102">
        <v>0.66753625845851416</v>
      </c>
      <c r="J4115" s="103">
        <v>1.1190372723332736E-3</v>
      </c>
      <c r="K4115" s="103"/>
      <c r="L4115" s="103">
        <v>3.5200000000000002E-2</v>
      </c>
      <c r="O4115" s="100"/>
    </row>
    <row r="4116" spans="2:15" x14ac:dyDescent="0.2">
      <c r="B4116" s="1">
        <f t="shared" si="232"/>
        <v>4101</v>
      </c>
      <c r="C4116" s="101">
        <f ca="1"/>
        <v>-0.89876677877519351</v>
      </c>
      <c r="D4116" s="101">
        <f t="shared" ca="1" si="233"/>
        <v>0.60812629927702633</v>
      </c>
      <c r="E4116" s="101">
        <f t="shared" ca="1" si="234"/>
        <v>0</v>
      </c>
      <c r="F4116" s="21">
        <f t="shared" ca="1" si="235"/>
        <v>0</v>
      </c>
      <c r="H4116" s="21">
        <v>4101</v>
      </c>
      <c r="I4116" s="102">
        <v>0.66770028743250109</v>
      </c>
      <c r="J4116" s="103">
        <v>1.2253483399013391E-3</v>
      </c>
      <c r="K4116" s="103"/>
      <c r="L4116" s="103">
        <v>3.8399999999999997E-2</v>
      </c>
      <c r="O4116" s="100"/>
    </row>
    <row r="4117" spans="2:15" x14ac:dyDescent="0.2">
      <c r="B4117" s="1">
        <f t="shared" si="232"/>
        <v>4102</v>
      </c>
      <c r="C4117" s="101">
        <f ca="1"/>
        <v>-0.26394085537926099</v>
      </c>
      <c r="D4117" s="101">
        <f t="shared" ca="1" si="233"/>
        <v>0.64742480799515811</v>
      </c>
      <c r="E4117" s="101">
        <f t="shared" ca="1" si="234"/>
        <v>0</v>
      </c>
      <c r="F4117" s="21">
        <f t="shared" ca="1" si="235"/>
        <v>0</v>
      </c>
      <c r="H4117" s="21">
        <v>4102</v>
      </c>
      <c r="I4117" s="102">
        <v>0.66779677589664976</v>
      </c>
      <c r="J4117" s="103">
        <v>1.4520600871559259E-3</v>
      </c>
      <c r="K4117" s="103"/>
      <c r="L4117" s="103">
        <v>4.1599999999999998E-2</v>
      </c>
      <c r="O4117" s="100"/>
    </row>
    <row r="4118" spans="2:15" x14ac:dyDescent="0.2">
      <c r="B4118" s="1">
        <f t="shared" si="232"/>
        <v>4103</v>
      </c>
      <c r="C4118" s="101">
        <f ca="1"/>
        <v>-1.4300866635603438</v>
      </c>
      <c r="D4118" s="101">
        <f t="shared" ca="1" si="233"/>
        <v>0.57707514478600153</v>
      </c>
      <c r="E4118" s="101">
        <f t="shared" ca="1" si="234"/>
        <v>0</v>
      </c>
      <c r="F4118" s="21">
        <f t="shared" ca="1" si="235"/>
        <v>0</v>
      </c>
      <c r="H4118" s="21">
        <v>4103</v>
      </c>
      <c r="I4118" s="102">
        <v>0.66802011354454593</v>
      </c>
      <c r="J4118" s="103">
        <v>1.6461840308883218E-3</v>
      </c>
      <c r="K4118" s="103"/>
      <c r="L4118" s="103">
        <v>4.7800000000000002E-2</v>
      </c>
      <c r="O4118" s="100"/>
    </row>
    <row r="4119" spans="2:15" x14ac:dyDescent="0.2">
      <c r="B4119" s="1">
        <f t="shared" si="232"/>
        <v>4104</v>
      </c>
      <c r="C4119" s="101">
        <f ca="1"/>
        <v>1.0187861597711652</v>
      </c>
      <c r="D4119" s="101">
        <f t="shared" ca="1" si="233"/>
        <v>0.73475165190620861</v>
      </c>
      <c r="E4119" s="101">
        <f t="shared" ca="1" si="234"/>
        <v>0</v>
      </c>
      <c r="F4119" s="21">
        <f t="shared" ca="1" si="235"/>
        <v>0</v>
      </c>
      <c r="H4119" s="21">
        <v>4104</v>
      </c>
      <c r="I4119" s="102">
        <v>0.66766454469540881</v>
      </c>
      <c r="J4119" s="103">
        <v>1.3315380689499058E-3</v>
      </c>
      <c r="K4119" s="103"/>
      <c r="L4119" s="103">
        <v>4.0599999999999997E-2</v>
      </c>
      <c r="O4119" s="100"/>
    </row>
    <row r="4120" spans="2:15" x14ac:dyDescent="0.2">
      <c r="B4120" s="1">
        <f t="shared" si="232"/>
        <v>4105</v>
      </c>
      <c r="C4120" s="101">
        <f ca="1"/>
        <v>0.5071468772291936</v>
      </c>
      <c r="D4120" s="101">
        <f t="shared" ca="1" si="233"/>
        <v>0.69858983127748975</v>
      </c>
      <c r="E4120" s="101">
        <f t="shared" ca="1" si="234"/>
        <v>0</v>
      </c>
      <c r="F4120" s="21">
        <f t="shared" ca="1" si="235"/>
        <v>0</v>
      </c>
      <c r="H4120" s="21">
        <v>4105</v>
      </c>
      <c r="I4120" s="102">
        <v>0.66774972542887345</v>
      </c>
      <c r="J4120" s="103">
        <v>1.4199676099872611E-3</v>
      </c>
      <c r="K4120" s="103"/>
      <c r="L4120" s="103">
        <v>4.1200000000000001E-2</v>
      </c>
      <c r="O4120" s="100"/>
    </row>
    <row r="4121" spans="2:15" x14ac:dyDescent="0.2">
      <c r="B4121" s="1">
        <f t="shared" si="232"/>
        <v>4106</v>
      </c>
      <c r="C4121" s="101">
        <f ca="1"/>
        <v>0.46088893372512429</v>
      </c>
      <c r="D4121" s="101">
        <f t="shared" ca="1" si="233"/>
        <v>0.69540946582169527</v>
      </c>
      <c r="E4121" s="101">
        <f t="shared" ca="1" si="234"/>
        <v>0</v>
      </c>
      <c r="F4121" s="21">
        <f t="shared" ca="1" si="235"/>
        <v>0</v>
      </c>
      <c r="H4121" s="21">
        <v>4106</v>
      </c>
      <c r="I4121" s="102">
        <v>0.66782396908884201</v>
      </c>
      <c r="J4121" s="103">
        <v>1.5228859641982907E-3</v>
      </c>
      <c r="K4121" s="103"/>
      <c r="L4121" s="103">
        <v>4.2799999999999998E-2</v>
      </c>
      <c r="O4121" s="100"/>
    </row>
    <row r="4122" spans="2:15" x14ac:dyDescent="0.2">
      <c r="B4122" s="1">
        <f t="shared" si="232"/>
        <v>4107</v>
      </c>
      <c r="C4122" s="101">
        <f ca="1"/>
        <v>-0.1493192495948531</v>
      </c>
      <c r="D4122" s="101">
        <f t="shared" ca="1" si="233"/>
        <v>0.65478640769863783</v>
      </c>
      <c r="E4122" s="101">
        <f t="shared" ca="1" si="234"/>
        <v>0</v>
      </c>
      <c r="F4122" s="21">
        <f t="shared" ca="1" si="235"/>
        <v>0</v>
      </c>
      <c r="H4122" s="21">
        <v>4107</v>
      </c>
      <c r="I4122" s="102">
        <v>0.66770605398765359</v>
      </c>
      <c r="J4122" s="103">
        <v>1.3173422431198884E-3</v>
      </c>
      <c r="K4122" s="103"/>
      <c r="L4122" s="103">
        <v>3.9399999999999998E-2</v>
      </c>
      <c r="O4122" s="100"/>
    </row>
    <row r="4123" spans="2:15" x14ac:dyDescent="0.2">
      <c r="B4123" s="1">
        <f t="shared" si="232"/>
        <v>4108</v>
      </c>
      <c r="C4123" s="101">
        <f ca="1"/>
        <v>-1.1484494070224376</v>
      </c>
      <c r="D4123" s="101">
        <f t="shared" ca="1" si="233"/>
        <v>0.59333167756682936</v>
      </c>
      <c r="E4123" s="101">
        <f t="shared" ca="1" si="234"/>
        <v>0</v>
      </c>
      <c r="F4123" s="21">
        <f t="shared" ca="1" si="235"/>
        <v>0</v>
      </c>
      <c r="H4123" s="21">
        <v>4108</v>
      </c>
      <c r="I4123" s="102">
        <v>0.66768620323632266</v>
      </c>
      <c r="J4123" s="103">
        <v>1.3437958175500997E-3</v>
      </c>
      <c r="K4123" s="103"/>
      <c r="L4123" s="103">
        <v>4.2200000000000001E-2</v>
      </c>
      <c r="O4123" s="100"/>
    </row>
    <row r="4124" spans="2:15" x14ac:dyDescent="0.2">
      <c r="B4124" s="1">
        <f t="shared" si="232"/>
        <v>4109</v>
      </c>
      <c r="C4124" s="101">
        <f ca="1"/>
        <v>-0.91592388718808593</v>
      </c>
      <c r="D4124" s="101">
        <f t="shared" ca="1" si="233"/>
        <v>0.60709797678857469</v>
      </c>
      <c r="E4124" s="101">
        <f t="shared" ca="1" si="234"/>
        <v>0</v>
      </c>
      <c r="F4124" s="21">
        <f t="shared" ca="1" si="235"/>
        <v>0</v>
      </c>
      <c r="H4124" s="21">
        <v>4109</v>
      </c>
      <c r="I4124" s="102">
        <v>0.66753964982680769</v>
      </c>
      <c r="J4124" s="103">
        <v>1.1464018545793316E-3</v>
      </c>
      <c r="K4124" s="103"/>
      <c r="L4124" s="103">
        <v>3.6600000000000001E-2</v>
      </c>
      <c r="O4124" s="100"/>
    </row>
    <row r="4125" spans="2:15" x14ac:dyDescent="0.2">
      <c r="B4125" s="1">
        <f t="shared" si="232"/>
        <v>4110</v>
      </c>
      <c r="C4125" s="101">
        <f ca="1"/>
        <v>-1.3176248052330239</v>
      </c>
      <c r="D4125" s="101">
        <f t="shared" ca="1" si="233"/>
        <v>0.58351250261531573</v>
      </c>
      <c r="E4125" s="101">
        <f t="shared" ca="1" si="234"/>
        <v>0</v>
      </c>
      <c r="F4125" s="21">
        <f t="shared" ca="1" si="235"/>
        <v>0</v>
      </c>
      <c r="H4125" s="21">
        <v>4110</v>
      </c>
      <c r="I4125" s="102">
        <v>0.66786077806722677</v>
      </c>
      <c r="J4125" s="103">
        <v>1.5544157414814855E-3</v>
      </c>
      <c r="K4125" s="103"/>
      <c r="L4125" s="103">
        <v>4.5400000000000003E-2</v>
      </c>
      <c r="O4125" s="100"/>
    </row>
    <row r="4126" spans="2:15" x14ac:dyDescent="0.2">
      <c r="B4126" s="1">
        <f t="shared" si="232"/>
        <v>4111</v>
      </c>
      <c r="C4126" s="101">
        <f ca="1"/>
        <v>-0.65724550031481954</v>
      </c>
      <c r="D4126" s="101">
        <f t="shared" ca="1" si="233"/>
        <v>0.62278824701279789</v>
      </c>
      <c r="E4126" s="101">
        <f t="shared" ca="1" si="234"/>
        <v>0</v>
      </c>
      <c r="F4126" s="21">
        <f t="shared" ca="1" si="235"/>
        <v>0</v>
      </c>
      <c r="H4126" s="21">
        <v>4111</v>
      </c>
      <c r="I4126" s="102">
        <v>0.66781351968370262</v>
      </c>
      <c r="J4126" s="103">
        <v>1.5524487877245656E-3</v>
      </c>
      <c r="K4126" s="103"/>
      <c r="L4126" s="103">
        <v>4.36E-2</v>
      </c>
      <c r="O4126" s="100"/>
    </row>
    <row r="4127" spans="2:15" x14ac:dyDescent="0.2">
      <c r="B4127" s="1">
        <f t="shared" si="232"/>
        <v>4112</v>
      </c>
      <c r="C4127" s="101">
        <f ca="1"/>
        <v>0.94832751499293111</v>
      </c>
      <c r="D4127" s="101">
        <f t="shared" ca="1" si="233"/>
        <v>0.7296627341863986</v>
      </c>
      <c r="E4127" s="101">
        <f t="shared" ca="1" si="234"/>
        <v>0</v>
      </c>
      <c r="F4127" s="21">
        <f t="shared" ca="1" si="235"/>
        <v>0</v>
      </c>
      <c r="H4127" s="21">
        <v>4112</v>
      </c>
      <c r="I4127" s="102">
        <v>0.66768944033911215</v>
      </c>
      <c r="J4127" s="103">
        <v>1.3023408008456206E-3</v>
      </c>
      <c r="K4127" s="103"/>
      <c r="L4127" s="103">
        <v>3.8399999999999997E-2</v>
      </c>
      <c r="O4127" s="100"/>
    </row>
    <row r="4128" spans="2:15" x14ac:dyDescent="0.2">
      <c r="B4128" s="1">
        <f t="shared" si="232"/>
        <v>4113</v>
      </c>
      <c r="C4128" s="101">
        <f ca="1"/>
        <v>-1.026243625800261</v>
      </c>
      <c r="D4128" s="101">
        <f t="shared" ca="1" si="233"/>
        <v>0.60052730100342377</v>
      </c>
      <c r="E4128" s="101">
        <f t="shared" ca="1" si="234"/>
        <v>0</v>
      </c>
      <c r="F4128" s="21">
        <f t="shared" ca="1" si="235"/>
        <v>0</v>
      </c>
      <c r="H4128" s="21">
        <v>4113</v>
      </c>
      <c r="I4128" s="102">
        <v>0.66788864695295092</v>
      </c>
      <c r="J4128" s="103">
        <v>1.5683990780274361E-3</v>
      </c>
      <c r="K4128" s="103"/>
      <c r="L4128" s="103">
        <v>4.4600000000000001E-2</v>
      </c>
      <c r="O4128" s="100"/>
    </row>
    <row r="4129" spans="2:15" x14ac:dyDescent="0.2">
      <c r="B4129" s="1">
        <f t="shared" si="232"/>
        <v>4114</v>
      </c>
      <c r="C4129" s="101">
        <f ca="1"/>
        <v>-0.24954035973946767</v>
      </c>
      <c r="D4129" s="101">
        <f t="shared" ca="1" si="233"/>
        <v>0.64834511805230455</v>
      </c>
      <c r="E4129" s="101">
        <f t="shared" ca="1" si="234"/>
        <v>0</v>
      </c>
      <c r="F4129" s="21">
        <f t="shared" ca="1" si="235"/>
        <v>0</v>
      </c>
      <c r="H4129" s="21">
        <v>4114</v>
      </c>
      <c r="I4129" s="102">
        <v>0.66766553961178732</v>
      </c>
      <c r="J4129" s="103">
        <v>1.3505657296328855E-3</v>
      </c>
      <c r="K4129" s="103"/>
      <c r="L4129" s="103">
        <v>4.2200000000000001E-2</v>
      </c>
      <c r="O4129" s="100"/>
    </row>
    <row r="4130" spans="2:15" x14ac:dyDescent="0.2">
      <c r="B4130" s="1">
        <f t="shared" si="232"/>
        <v>4115</v>
      </c>
      <c r="C4130" s="101">
        <f ca="1"/>
        <v>-0.41965878571390675</v>
      </c>
      <c r="D4130" s="101">
        <f t="shared" ca="1" si="233"/>
        <v>0.63755620451297157</v>
      </c>
      <c r="E4130" s="101">
        <f t="shared" ca="1" si="234"/>
        <v>0</v>
      </c>
      <c r="F4130" s="21">
        <f t="shared" ca="1" si="235"/>
        <v>0</v>
      </c>
      <c r="H4130" s="21">
        <v>4115</v>
      </c>
      <c r="I4130" s="102">
        <v>0.6676986742799631</v>
      </c>
      <c r="J4130" s="103">
        <v>1.2844640099379254E-3</v>
      </c>
      <c r="K4130" s="103"/>
      <c r="L4130" s="103">
        <v>3.9399999999999998E-2</v>
      </c>
      <c r="O4130" s="100"/>
    </row>
    <row r="4131" spans="2:15" x14ac:dyDescent="0.2">
      <c r="B4131" s="1">
        <f t="shared" si="232"/>
        <v>4116</v>
      </c>
      <c r="C4131" s="101">
        <f ca="1"/>
        <v>-0.98263698683173406</v>
      </c>
      <c r="D4131" s="101">
        <f t="shared" ca="1" si="233"/>
        <v>0.60311598266066946</v>
      </c>
      <c r="E4131" s="101">
        <f t="shared" ca="1" si="234"/>
        <v>0</v>
      </c>
      <c r="F4131" s="21">
        <f t="shared" ca="1" si="235"/>
        <v>0</v>
      </c>
      <c r="H4131" s="21">
        <v>4116</v>
      </c>
      <c r="I4131" s="102">
        <v>0.66774951863365783</v>
      </c>
      <c r="J4131" s="103">
        <v>1.4302628867626857E-3</v>
      </c>
      <c r="K4131" s="103"/>
      <c r="L4131" s="103">
        <v>4.5600000000000002E-2</v>
      </c>
      <c r="O4131" s="100"/>
    </row>
    <row r="4132" spans="2:15" x14ac:dyDescent="0.2">
      <c r="B4132" s="1">
        <f t="shared" si="232"/>
        <v>4117</v>
      </c>
      <c r="C4132" s="101">
        <f ca="1"/>
        <v>0.72094767240085122</v>
      </c>
      <c r="D4132" s="101">
        <f t="shared" ca="1" si="233"/>
        <v>0.7134792612661417</v>
      </c>
      <c r="E4132" s="101">
        <f t="shared" ca="1" si="234"/>
        <v>0</v>
      </c>
      <c r="F4132" s="21">
        <f t="shared" ca="1" si="235"/>
        <v>0</v>
      </c>
      <c r="H4132" s="21">
        <v>4117</v>
      </c>
      <c r="I4132" s="102">
        <v>0.66782336657319563</v>
      </c>
      <c r="J4132" s="103">
        <v>1.4018272203273935E-3</v>
      </c>
      <c r="K4132" s="103"/>
      <c r="L4132" s="103">
        <v>4.3400000000000001E-2</v>
      </c>
      <c r="O4132" s="100"/>
    </row>
    <row r="4133" spans="2:15" x14ac:dyDescent="0.2">
      <c r="B4133" s="1">
        <f t="shared" si="232"/>
        <v>4118</v>
      </c>
      <c r="C4133" s="101">
        <f ca="1"/>
        <v>-1.6930466891376008</v>
      </c>
      <c r="D4133" s="101">
        <f t="shared" ca="1" si="233"/>
        <v>0.562299016415437</v>
      </c>
      <c r="E4133" s="101">
        <f t="shared" ca="1" si="234"/>
        <v>0</v>
      </c>
      <c r="F4133" s="21">
        <f t="shared" ca="1" si="235"/>
        <v>0</v>
      </c>
      <c r="H4133" s="21">
        <v>4118</v>
      </c>
      <c r="I4133" s="102">
        <v>0.66779115516069842</v>
      </c>
      <c r="J4133" s="103">
        <v>1.3649090266848541E-3</v>
      </c>
      <c r="K4133" s="103"/>
      <c r="L4133" s="103">
        <v>4.1799999999999997E-2</v>
      </c>
      <c r="O4133" s="100"/>
    </row>
    <row r="4134" spans="2:15" x14ac:dyDescent="0.2">
      <c r="B4134" s="1">
        <f t="shared" si="232"/>
        <v>4119</v>
      </c>
      <c r="C4134" s="101">
        <f ca="1"/>
        <v>-2.1144144421080896E-2</v>
      </c>
      <c r="D4134" s="101">
        <f t="shared" ca="1" si="233"/>
        <v>0.66311766606002542</v>
      </c>
      <c r="E4134" s="101">
        <f t="shared" ca="1" si="234"/>
        <v>0</v>
      </c>
      <c r="F4134" s="21">
        <f t="shared" ca="1" si="235"/>
        <v>0</v>
      </c>
      <c r="H4134" s="21">
        <v>4119</v>
      </c>
      <c r="I4134" s="102">
        <v>0.66782817517581561</v>
      </c>
      <c r="J4134" s="103">
        <v>1.3873620149748842E-3</v>
      </c>
      <c r="K4134" s="103"/>
      <c r="L4134" s="103">
        <v>4.3799999999999999E-2</v>
      </c>
      <c r="O4134" s="100"/>
    </row>
    <row r="4135" spans="2:15" x14ac:dyDescent="0.2">
      <c r="B4135" s="1">
        <f t="shared" si="232"/>
        <v>4120</v>
      </c>
      <c r="C4135" s="101">
        <f ca="1"/>
        <v>0.5521776399038465</v>
      </c>
      <c r="D4135" s="101">
        <f t="shared" ca="1" si="233"/>
        <v>0.70169979530072557</v>
      </c>
      <c r="E4135" s="101">
        <f t="shared" ca="1" si="234"/>
        <v>0</v>
      </c>
      <c r="F4135" s="21">
        <f t="shared" ca="1" si="235"/>
        <v>0</v>
      </c>
      <c r="H4135" s="21">
        <v>4120</v>
      </c>
      <c r="I4135" s="102">
        <v>0.66765646416050561</v>
      </c>
      <c r="J4135" s="103">
        <v>1.3081086533081026E-3</v>
      </c>
      <c r="K4135" s="103"/>
      <c r="L4135" s="103">
        <v>4.0399999999999998E-2</v>
      </c>
      <c r="O4135" s="100"/>
    </row>
    <row r="4136" spans="2:15" x14ac:dyDescent="0.2">
      <c r="B4136" s="1">
        <f t="shared" si="232"/>
        <v>4121</v>
      </c>
      <c r="C4136" s="101">
        <f ca="1"/>
        <v>0.72708688720011594</v>
      </c>
      <c r="D4136" s="101">
        <f t="shared" ca="1" si="233"/>
        <v>0.71391146109456116</v>
      </c>
      <c r="E4136" s="101">
        <f t="shared" ca="1" si="234"/>
        <v>0</v>
      </c>
      <c r="F4136" s="21">
        <f t="shared" ca="1" si="235"/>
        <v>0</v>
      </c>
      <c r="H4136" s="21">
        <v>4121</v>
      </c>
      <c r="I4136" s="102">
        <v>0.66771348304122013</v>
      </c>
      <c r="J4136" s="103">
        <v>1.3598448794924379E-3</v>
      </c>
      <c r="K4136" s="103"/>
      <c r="L4136" s="103">
        <v>4.2599999999999999E-2</v>
      </c>
      <c r="O4136" s="100"/>
    </row>
    <row r="4137" spans="2:15" x14ac:dyDescent="0.2">
      <c r="B4137" s="1">
        <f t="shared" si="232"/>
        <v>4122</v>
      </c>
      <c r="C4137" s="101">
        <f ca="1"/>
        <v>0.52216703202485304</v>
      </c>
      <c r="D4137" s="101">
        <f t="shared" ca="1" si="233"/>
        <v>0.69962563468565364</v>
      </c>
      <c r="E4137" s="101">
        <f t="shared" ca="1" si="234"/>
        <v>0</v>
      </c>
      <c r="F4137" s="21">
        <f t="shared" ca="1" si="235"/>
        <v>0</v>
      </c>
      <c r="H4137" s="21">
        <v>4122</v>
      </c>
      <c r="I4137" s="102">
        <v>0.6677744510534761</v>
      </c>
      <c r="J4137" s="103">
        <v>1.3984417430312965E-3</v>
      </c>
      <c r="K4137" s="103"/>
      <c r="L4137" s="103">
        <v>4.2000000000000003E-2</v>
      </c>
      <c r="O4137" s="100"/>
    </row>
    <row r="4138" spans="2:15" x14ac:dyDescent="0.2">
      <c r="B4138" s="1">
        <f t="shared" si="232"/>
        <v>4123</v>
      </c>
      <c r="C4138" s="101">
        <f ca="1"/>
        <v>-1.8605781531562573</v>
      </c>
      <c r="D4138" s="101">
        <f t="shared" ca="1" si="233"/>
        <v>0.55308308831947461</v>
      </c>
      <c r="E4138" s="101">
        <f t="shared" ca="1" si="234"/>
        <v>0</v>
      </c>
      <c r="F4138" s="21">
        <f t="shared" ca="1" si="235"/>
        <v>0</v>
      </c>
      <c r="H4138" s="21">
        <v>4123</v>
      </c>
      <c r="I4138" s="102">
        <v>0.66791005846641283</v>
      </c>
      <c r="J4138" s="103">
        <v>1.5479955507580949E-3</v>
      </c>
      <c r="K4138" s="103"/>
      <c r="L4138" s="103">
        <v>4.6199999999999998E-2</v>
      </c>
      <c r="O4138" s="100"/>
    </row>
    <row r="4139" spans="2:15" x14ac:dyDescent="0.2">
      <c r="B4139" s="1">
        <f t="shared" si="232"/>
        <v>4124</v>
      </c>
      <c r="C4139" s="101">
        <f ca="1"/>
        <v>1.1594130108576104</v>
      </c>
      <c r="D4139" s="101">
        <f t="shared" ca="1" si="233"/>
        <v>0.74501486602924827</v>
      </c>
      <c r="E4139" s="101">
        <f t="shared" ca="1" si="234"/>
        <v>0</v>
      </c>
      <c r="F4139" s="21">
        <f t="shared" ca="1" si="235"/>
        <v>0</v>
      </c>
      <c r="H4139" s="21">
        <v>4124</v>
      </c>
      <c r="I4139" s="102">
        <v>0.66780376611947345</v>
      </c>
      <c r="J4139" s="103">
        <v>1.4194418261753849E-3</v>
      </c>
      <c r="K4139" s="103"/>
      <c r="L4139" s="103">
        <v>4.7600000000000003E-2</v>
      </c>
      <c r="O4139" s="100"/>
    </row>
    <row r="4140" spans="2:15" x14ac:dyDescent="0.2">
      <c r="B4140" s="1">
        <f t="shared" si="232"/>
        <v>4125</v>
      </c>
      <c r="C4140" s="101">
        <f ca="1"/>
        <v>0.96833032944987452</v>
      </c>
      <c r="D4140" s="101">
        <f t="shared" ca="1" si="233"/>
        <v>0.73110385602008643</v>
      </c>
      <c r="E4140" s="101">
        <f t="shared" ca="1" si="234"/>
        <v>0</v>
      </c>
      <c r="F4140" s="21">
        <f t="shared" ca="1" si="235"/>
        <v>0</v>
      </c>
      <c r="H4140" s="21">
        <v>4125</v>
      </c>
      <c r="I4140" s="102">
        <v>0.66761137180048313</v>
      </c>
      <c r="J4140" s="103">
        <v>1.1389990293469337E-3</v>
      </c>
      <c r="K4140" s="103"/>
      <c r="L4140" s="103">
        <v>3.8800000000000001E-2</v>
      </c>
      <c r="O4140" s="100"/>
    </row>
    <row r="4141" spans="2:15" x14ac:dyDescent="0.2">
      <c r="B4141" s="1">
        <f t="shared" si="232"/>
        <v>4126</v>
      </c>
      <c r="C4141" s="101">
        <f ca="1"/>
        <v>1.5492660675280214</v>
      </c>
      <c r="D4141" s="101">
        <f t="shared" ca="1" si="233"/>
        <v>0.7742228832147362</v>
      </c>
      <c r="E4141" s="101">
        <f t="shared" ca="1" si="234"/>
        <v>0</v>
      </c>
      <c r="F4141" s="21">
        <f t="shared" ca="1" si="235"/>
        <v>0</v>
      </c>
      <c r="H4141" s="21">
        <v>4126</v>
      </c>
      <c r="I4141" s="102">
        <v>0.6676581666758048</v>
      </c>
      <c r="J4141" s="103">
        <v>1.3051347416116966E-3</v>
      </c>
      <c r="K4141" s="103"/>
      <c r="L4141" s="103">
        <v>3.9E-2</v>
      </c>
      <c r="O4141" s="100"/>
    </row>
    <row r="4142" spans="2:15" x14ac:dyDescent="0.2">
      <c r="B4142" s="1">
        <f t="shared" si="232"/>
        <v>4127</v>
      </c>
      <c r="C4142" s="101">
        <f ca="1"/>
        <v>0.88538159501370095</v>
      </c>
      <c r="D4142" s="101">
        <f t="shared" ca="1" si="233"/>
        <v>0.72514624403399197</v>
      </c>
      <c r="E4142" s="101">
        <f t="shared" ca="1" si="234"/>
        <v>0</v>
      </c>
      <c r="F4142" s="21">
        <f t="shared" ca="1" si="235"/>
        <v>0</v>
      </c>
      <c r="H4142" s="21">
        <v>4127</v>
      </c>
      <c r="I4142" s="102">
        <v>0.66770669959689655</v>
      </c>
      <c r="J4142" s="103">
        <v>1.3039920329802591E-3</v>
      </c>
      <c r="K4142" s="103"/>
      <c r="L4142" s="103">
        <v>0.04</v>
      </c>
      <c r="O4142" s="100"/>
    </row>
    <row r="4143" spans="2:15" x14ac:dyDescent="0.2">
      <c r="B4143" s="1">
        <f t="shared" si="232"/>
        <v>4128</v>
      </c>
      <c r="C4143" s="101">
        <f ca="1"/>
        <v>0.1846984746512077</v>
      </c>
      <c r="D4143" s="101">
        <f t="shared" ca="1" si="233"/>
        <v>0.67671962136943431</v>
      </c>
      <c r="E4143" s="101">
        <f t="shared" ca="1" si="234"/>
        <v>0</v>
      </c>
      <c r="F4143" s="21">
        <f t="shared" ca="1" si="235"/>
        <v>0</v>
      </c>
      <c r="H4143" s="21">
        <v>4128</v>
      </c>
      <c r="I4143" s="102">
        <v>0.66764923976721346</v>
      </c>
      <c r="J4143" s="103">
        <v>1.2834993448041859E-3</v>
      </c>
      <c r="K4143" s="103"/>
      <c r="L4143" s="103">
        <v>3.9600000000000003E-2</v>
      </c>
      <c r="O4143" s="100"/>
    </row>
    <row r="4144" spans="2:15" x14ac:dyDescent="0.2">
      <c r="B4144" s="1">
        <f t="shared" ref="B4144:B4207" si="236">B4143+1</f>
        <v>4129</v>
      </c>
      <c r="C4144" s="101">
        <f ca="1"/>
        <v>-0.54904105765216094</v>
      </c>
      <c r="D4144" s="101">
        <f t="shared" ca="1" si="233"/>
        <v>0.62947113479405736</v>
      </c>
      <c r="E4144" s="101">
        <f t="shared" ca="1" si="234"/>
        <v>0</v>
      </c>
      <c r="F4144" s="21">
        <f t="shared" ca="1" si="235"/>
        <v>0</v>
      </c>
      <c r="H4144" s="21">
        <v>4129</v>
      </c>
      <c r="I4144" s="102">
        <v>0.66781417052903613</v>
      </c>
      <c r="J4144" s="103">
        <v>1.372283662892938E-3</v>
      </c>
      <c r="K4144" s="103"/>
      <c r="L4144" s="103">
        <v>4.1000000000000002E-2</v>
      </c>
      <c r="O4144" s="100"/>
    </row>
    <row r="4145" spans="2:15" x14ac:dyDescent="0.2">
      <c r="B4145" s="1">
        <f t="shared" si="236"/>
        <v>4130</v>
      </c>
      <c r="C4145" s="101">
        <f ca="1"/>
        <v>0.42001095287190854</v>
      </c>
      <c r="D4145" s="101">
        <f t="shared" ca="1" si="233"/>
        <v>0.69261104105998117</v>
      </c>
      <c r="E4145" s="101">
        <f t="shared" ca="1" si="234"/>
        <v>0</v>
      </c>
      <c r="F4145" s="21">
        <f t="shared" ca="1" si="235"/>
        <v>0</v>
      </c>
      <c r="H4145" s="21">
        <v>4130</v>
      </c>
      <c r="I4145" s="102">
        <v>0.66765123848051067</v>
      </c>
      <c r="J4145" s="103">
        <v>1.2990166759097421E-3</v>
      </c>
      <c r="K4145" s="103"/>
      <c r="L4145" s="103">
        <v>3.9399999999999998E-2</v>
      </c>
      <c r="O4145" s="100"/>
    </row>
    <row r="4146" spans="2:15" x14ac:dyDescent="0.2">
      <c r="B4146" s="1">
        <f t="shared" si="236"/>
        <v>4131</v>
      </c>
      <c r="C4146" s="101">
        <f ca="1"/>
        <v>1.1500127400394218</v>
      </c>
      <c r="D4146" s="101">
        <f t="shared" ca="1" si="233"/>
        <v>0.74432436732219964</v>
      </c>
      <c r="E4146" s="101">
        <f t="shared" ca="1" si="234"/>
        <v>0</v>
      </c>
      <c r="F4146" s="21">
        <f t="shared" ca="1" si="235"/>
        <v>0</v>
      </c>
      <c r="H4146" s="21">
        <v>4131</v>
      </c>
      <c r="I4146" s="102">
        <v>0.66780308795510834</v>
      </c>
      <c r="J4146" s="103">
        <v>1.4828375901439587E-3</v>
      </c>
      <c r="K4146" s="103"/>
      <c r="L4146" s="103">
        <v>4.4600000000000001E-2</v>
      </c>
      <c r="O4146" s="100"/>
    </row>
    <row r="4147" spans="2:15" x14ac:dyDescent="0.2">
      <c r="B4147" s="1">
        <f t="shared" si="236"/>
        <v>4132</v>
      </c>
      <c r="C4147" s="101">
        <f ca="1"/>
        <v>-1.0638299017707391</v>
      </c>
      <c r="D4147" s="101">
        <f t="shared" ca="1" si="233"/>
        <v>0.59830493227638559</v>
      </c>
      <c r="E4147" s="101">
        <f t="shared" ca="1" si="234"/>
        <v>0</v>
      </c>
      <c r="F4147" s="21">
        <f t="shared" ca="1" si="235"/>
        <v>0</v>
      </c>
      <c r="H4147" s="21">
        <v>4132</v>
      </c>
      <c r="I4147" s="102">
        <v>0.66787163879268885</v>
      </c>
      <c r="J4147" s="103">
        <v>1.4977645988911415E-3</v>
      </c>
      <c r="K4147" s="103"/>
      <c r="L4147" s="103">
        <v>4.48E-2</v>
      </c>
      <c r="O4147" s="100"/>
    </row>
    <row r="4148" spans="2:15" x14ac:dyDescent="0.2">
      <c r="B4148" s="1">
        <f t="shared" si="236"/>
        <v>4133</v>
      </c>
      <c r="C4148" s="101">
        <f ca="1"/>
        <v>0.46499280919390118</v>
      </c>
      <c r="D4148" s="101">
        <f t="shared" ca="1" si="233"/>
        <v>0.69569103270852861</v>
      </c>
      <c r="E4148" s="101">
        <f t="shared" ca="1" si="234"/>
        <v>0</v>
      </c>
      <c r="F4148" s="21">
        <f t="shared" ca="1" si="235"/>
        <v>0</v>
      </c>
      <c r="H4148" s="21">
        <v>4133</v>
      </c>
      <c r="I4148" s="102">
        <v>0.6676794055654246</v>
      </c>
      <c r="J4148" s="103">
        <v>1.3455773398611261E-3</v>
      </c>
      <c r="K4148" s="103"/>
      <c r="L4148" s="103">
        <v>4.1000000000000002E-2</v>
      </c>
      <c r="O4148" s="100"/>
    </row>
    <row r="4149" spans="2:15" x14ac:dyDescent="0.2">
      <c r="B4149" s="1">
        <f t="shared" si="236"/>
        <v>4134</v>
      </c>
      <c r="C4149" s="101">
        <f ca="1"/>
        <v>-1.73262866603961</v>
      </c>
      <c r="D4149" s="101">
        <f t="shared" ca="1" si="233"/>
        <v>0.56010784603996355</v>
      </c>
      <c r="E4149" s="101">
        <f t="shared" ca="1" si="234"/>
        <v>0</v>
      </c>
      <c r="F4149" s="21">
        <f t="shared" ca="1" si="235"/>
        <v>0</v>
      </c>
      <c r="H4149" s="21">
        <v>4134</v>
      </c>
      <c r="I4149" s="102">
        <v>0.66774400546842294</v>
      </c>
      <c r="J4149" s="103">
        <v>1.3322827016350694E-3</v>
      </c>
      <c r="K4149" s="103"/>
      <c r="L4149" s="103">
        <v>4.3999999999999997E-2</v>
      </c>
      <c r="O4149" s="100"/>
    </row>
    <row r="4150" spans="2:15" x14ac:dyDescent="0.2">
      <c r="B4150" s="1">
        <f t="shared" si="236"/>
        <v>4135</v>
      </c>
      <c r="C4150" s="101">
        <f ca="1"/>
        <v>-0.26688029981849876</v>
      </c>
      <c r="D4150" s="101">
        <f t="shared" ca="1" si="233"/>
        <v>0.64723711393347383</v>
      </c>
      <c r="E4150" s="101">
        <f t="shared" ca="1" si="234"/>
        <v>0</v>
      </c>
      <c r="F4150" s="21">
        <f t="shared" ca="1" si="235"/>
        <v>0</v>
      </c>
      <c r="H4150" s="21">
        <v>4135</v>
      </c>
      <c r="I4150" s="102">
        <v>0.66792537040199962</v>
      </c>
      <c r="J4150" s="103">
        <v>1.6653538254575303E-3</v>
      </c>
      <c r="K4150" s="103"/>
      <c r="L4150" s="103">
        <v>4.8399999999999999E-2</v>
      </c>
      <c r="O4150" s="100"/>
    </row>
    <row r="4151" spans="2:15" x14ac:dyDescent="0.2">
      <c r="B4151" s="1">
        <f t="shared" si="236"/>
        <v>4136</v>
      </c>
      <c r="C4151" s="101">
        <f ca="1"/>
        <v>-0.86433002923251234</v>
      </c>
      <c r="D4151" s="101">
        <f t="shared" ca="1" si="233"/>
        <v>0.61019554788411012</v>
      </c>
      <c r="E4151" s="101">
        <f t="shared" ca="1" si="234"/>
        <v>0</v>
      </c>
      <c r="F4151" s="21">
        <f t="shared" ca="1" si="235"/>
        <v>0</v>
      </c>
      <c r="H4151" s="21">
        <v>4136</v>
      </c>
      <c r="I4151" s="102">
        <v>0.66780702478010001</v>
      </c>
      <c r="J4151" s="103">
        <v>1.412140109197108E-3</v>
      </c>
      <c r="K4151" s="103"/>
      <c r="L4151" s="103">
        <v>4.3799999999999999E-2</v>
      </c>
      <c r="O4151" s="100"/>
    </row>
    <row r="4152" spans="2:15" x14ac:dyDescent="0.2">
      <c r="B4152" s="1">
        <f t="shared" si="236"/>
        <v>4137</v>
      </c>
      <c r="C4152" s="101">
        <f ca="1"/>
        <v>-0.48972638342877312</v>
      </c>
      <c r="D4152" s="101">
        <f t="shared" ca="1" si="233"/>
        <v>0.6331648889884447</v>
      </c>
      <c r="E4152" s="101">
        <f t="shared" ca="1" si="234"/>
        <v>0</v>
      </c>
      <c r="F4152" s="21">
        <f t="shared" ca="1" si="235"/>
        <v>0</v>
      </c>
      <c r="H4152" s="21">
        <v>4137</v>
      </c>
      <c r="I4152" s="102">
        <v>0.66774761077446332</v>
      </c>
      <c r="J4152" s="103">
        <v>1.4469983915177231E-3</v>
      </c>
      <c r="K4152" s="103"/>
      <c r="L4152" s="103">
        <v>4.7600000000000003E-2</v>
      </c>
      <c r="O4152" s="100"/>
    </row>
    <row r="4153" spans="2:15" x14ac:dyDescent="0.2">
      <c r="B4153" s="1">
        <f t="shared" si="236"/>
        <v>4138</v>
      </c>
      <c r="C4153" s="101">
        <f ca="1"/>
        <v>0.44385235355545682</v>
      </c>
      <c r="D4153" s="101">
        <f t="shared" ca="1" si="233"/>
        <v>0.69424180407500957</v>
      </c>
      <c r="E4153" s="101">
        <f t="shared" ca="1" si="234"/>
        <v>0</v>
      </c>
      <c r="F4153" s="21">
        <f t="shared" ca="1" si="235"/>
        <v>0</v>
      </c>
      <c r="H4153" s="21">
        <v>4138</v>
      </c>
      <c r="I4153" s="102">
        <v>0.66773833370285651</v>
      </c>
      <c r="J4153" s="103">
        <v>1.3772549863341485E-3</v>
      </c>
      <c r="K4153" s="103"/>
      <c r="L4153" s="103">
        <v>4.4200000000000003E-2</v>
      </c>
      <c r="O4153" s="100"/>
    </row>
    <row r="4154" spans="2:15" x14ac:dyDescent="0.2">
      <c r="B4154" s="1">
        <f t="shared" si="236"/>
        <v>4139</v>
      </c>
      <c r="C4154" s="101">
        <f ca="1"/>
        <v>-0.8639367766407724</v>
      </c>
      <c r="D4154" s="101">
        <f t="shared" ca="1" si="233"/>
        <v>0.61021921841247417</v>
      </c>
      <c r="E4154" s="101">
        <f t="shared" ca="1" si="234"/>
        <v>0</v>
      </c>
      <c r="F4154" s="21">
        <f t="shared" ca="1" si="235"/>
        <v>0</v>
      </c>
      <c r="H4154" s="21">
        <v>4139</v>
      </c>
      <c r="I4154" s="102">
        <v>0.66787429813956811</v>
      </c>
      <c r="J4154" s="103">
        <v>1.4946940257560108E-3</v>
      </c>
      <c r="K4154" s="103"/>
      <c r="L4154" s="103">
        <v>4.3400000000000001E-2</v>
      </c>
      <c r="O4154" s="100"/>
    </row>
    <row r="4155" spans="2:15" x14ac:dyDescent="0.2">
      <c r="B4155" s="1">
        <f t="shared" si="236"/>
        <v>4140</v>
      </c>
      <c r="C4155" s="101">
        <f ca="1"/>
        <v>-0.75099358456724175</v>
      </c>
      <c r="D4155" s="101">
        <f t="shared" ca="1" si="233"/>
        <v>0.61705559997488935</v>
      </c>
      <c r="E4155" s="101">
        <f t="shared" ca="1" si="234"/>
        <v>0</v>
      </c>
      <c r="F4155" s="21">
        <f t="shared" ca="1" si="235"/>
        <v>0</v>
      </c>
      <c r="H4155" s="21">
        <v>4140</v>
      </c>
      <c r="I4155" s="102">
        <v>0.66778069518558436</v>
      </c>
      <c r="J4155" s="103">
        <v>1.4286759212844189E-3</v>
      </c>
      <c r="K4155" s="103"/>
      <c r="L4155" s="103">
        <v>4.3999999999999997E-2</v>
      </c>
      <c r="O4155" s="100"/>
    </row>
    <row r="4156" spans="2:15" x14ac:dyDescent="0.2">
      <c r="B4156" s="1">
        <f t="shared" si="236"/>
        <v>4141</v>
      </c>
      <c r="C4156" s="101">
        <f ca="1"/>
        <v>-0.6456486602231607</v>
      </c>
      <c r="D4156" s="101">
        <f t="shared" ca="1" si="233"/>
        <v>0.62350107936476629</v>
      </c>
      <c r="E4156" s="101">
        <f t="shared" ca="1" si="234"/>
        <v>0</v>
      </c>
      <c r="F4156" s="21">
        <f t="shared" ca="1" si="235"/>
        <v>0</v>
      </c>
      <c r="H4156" s="21">
        <v>4141</v>
      </c>
      <c r="I4156" s="102">
        <v>0.66764599727571239</v>
      </c>
      <c r="J4156" s="103">
        <v>1.2464590817738896E-3</v>
      </c>
      <c r="K4156" s="103"/>
      <c r="L4156" s="103">
        <v>4.0399999999999998E-2</v>
      </c>
      <c r="O4156" s="100"/>
    </row>
    <row r="4157" spans="2:15" x14ac:dyDescent="0.2">
      <c r="B4157" s="1">
        <f t="shared" si="236"/>
        <v>4142</v>
      </c>
      <c r="C4157" s="101">
        <f ca="1"/>
        <v>-0.2130818237960484</v>
      </c>
      <c r="D4157" s="101">
        <f t="shared" ca="1" si="233"/>
        <v>0.65068097119682311</v>
      </c>
      <c r="E4157" s="101">
        <f t="shared" ca="1" si="234"/>
        <v>0</v>
      </c>
      <c r="F4157" s="21">
        <f t="shared" ca="1" si="235"/>
        <v>0</v>
      </c>
      <c r="H4157" s="21">
        <v>4142</v>
      </c>
      <c r="I4157" s="102">
        <v>0.66796613667770344</v>
      </c>
      <c r="J4157" s="103">
        <v>1.5345875080076499E-3</v>
      </c>
      <c r="K4157" s="103"/>
      <c r="L4157" s="103">
        <v>4.6800000000000001E-2</v>
      </c>
      <c r="O4157" s="100"/>
    </row>
    <row r="4158" spans="2:15" x14ac:dyDescent="0.2">
      <c r="B4158" s="1">
        <f t="shared" si="236"/>
        <v>4143</v>
      </c>
      <c r="C4158" s="101">
        <f ca="1"/>
        <v>-1.1723794497831517</v>
      </c>
      <c r="D4158" s="101">
        <f t="shared" ca="1" si="233"/>
        <v>0.5919327750947353</v>
      </c>
      <c r="E4158" s="101">
        <f t="shared" ca="1" si="234"/>
        <v>0</v>
      </c>
      <c r="F4158" s="21">
        <f t="shared" ca="1" si="235"/>
        <v>0</v>
      </c>
      <c r="H4158" s="21">
        <v>4143</v>
      </c>
      <c r="I4158" s="102">
        <v>0.6678178196017478</v>
      </c>
      <c r="J4158" s="103">
        <v>1.4229273919073139E-3</v>
      </c>
      <c r="K4158" s="103"/>
      <c r="L4158" s="103">
        <v>4.3799999999999999E-2</v>
      </c>
      <c r="O4158" s="100"/>
    </row>
    <row r="4159" spans="2:15" x14ac:dyDescent="0.2">
      <c r="B4159" s="1">
        <f t="shared" si="236"/>
        <v>4144</v>
      </c>
      <c r="C4159" s="101">
        <f ca="1"/>
        <v>0.37151130449370456</v>
      </c>
      <c r="D4159" s="101">
        <f t="shared" ca="1" si="233"/>
        <v>0.68930545500484774</v>
      </c>
      <c r="E4159" s="101">
        <f t="shared" ca="1" si="234"/>
        <v>0</v>
      </c>
      <c r="F4159" s="21">
        <f t="shared" ca="1" si="235"/>
        <v>0</v>
      </c>
      <c r="H4159" s="21">
        <v>4144</v>
      </c>
      <c r="I4159" s="102">
        <v>0.66775436697551982</v>
      </c>
      <c r="J4159" s="103">
        <v>1.4399635315864444E-3</v>
      </c>
      <c r="K4159" s="103"/>
      <c r="L4159" s="103">
        <v>4.1200000000000001E-2</v>
      </c>
      <c r="O4159" s="100"/>
    </row>
    <row r="4160" spans="2:15" x14ac:dyDescent="0.2">
      <c r="B4160" s="1">
        <f t="shared" si="236"/>
        <v>4145</v>
      </c>
      <c r="C4160" s="101">
        <f ca="1"/>
        <v>0.77398446466699944</v>
      </c>
      <c r="D4160" s="101">
        <f t="shared" ca="1" si="233"/>
        <v>0.71722169424159865</v>
      </c>
      <c r="E4160" s="101">
        <f t="shared" ca="1" si="234"/>
        <v>0</v>
      </c>
      <c r="F4160" s="21">
        <f t="shared" ca="1" si="235"/>
        <v>0</v>
      </c>
      <c r="H4160" s="21">
        <v>4145</v>
      </c>
      <c r="I4160" s="102">
        <v>0.6679480846526008</v>
      </c>
      <c r="J4160" s="103">
        <v>1.6557060476897337E-3</v>
      </c>
      <c r="K4160" s="103"/>
      <c r="L4160" s="103">
        <v>5.1200000000000002E-2</v>
      </c>
      <c r="O4160" s="100"/>
    </row>
    <row r="4161" spans="2:15" x14ac:dyDescent="0.2">
      <c r="B4161" s="1">
        <f t="shared" si="236"/>
        <v>4146</v>
      </c>
      <c r="C4161" s="101">
        <f ca="1"/>
        <v>-1.310606160035229</v>
      </c>
      <c r="D4161" s="101">
        <f t="shared" ca="1" si="233"/>
        <v>0.58391662480846351</v>
      </c>
      <c r="E4161" s="101">
        <f t="shared" ca="1" si="234"/>
        <v>0</v>
      </c>
      <c r="F4161" s="21">
        <f t="shared" ca="1" si="235"/>
        <v>0</v>
      </c>
      <c r="H4161" s="21">
        <v>4146</v>
      </c>
      <c r="I4161" s="102">
        <v>0.66781266784808102</v>
      </c>
      <c r="J4161" s="103">
        <v>1.3039341955236254E-3</v>
      </c>
      <c r="K4161" s="103"/>
      <c r="L4161" s="103">
        <v>4.36E-2</v>
      </c>
      <c r="O4161" s="100"/>
    </row>
    <row r="4162" spans="2:15" x14ac:dyDescent="0.2">
      <c r="B4162" s="1">
        <f t="shared" si="236"/>
        <v>4147</v>
      </c>
      <c r="C4162" s="101">
        <f ca="1"/>
        <v>-1.2477093762726077</v>
      </c>
      <c r="D4162" s="101">
        <f t="shared" ca="1" si="233"/>
        <v>0.58755063470365276</v>
      </c>
      <c r="E4162" s="101">
        <f t="shared" ca="1" si="234"/>
        <v>0</v>
      </c>
      <c r="F4162" s="21">
        <f t="shared" ca="1" si="235"/>
        <v>0</v>
      </c>
      <c r="H4162" s="21">
        <v>4147</v>
      </c>
      <c r="I4162" s="102">
        <v>0.66786539783397425</v>
      </c>
      <c r="J4162" s="103">
        <v>1.485171029590683E-3</v>
      </c>
      <c r="K4162" s="103"/>
      <c r="L4162" s="103">
        <v>4.8000000000000001E-2</v>
      </c>
      <c r="O4162" s="100"/>
    </row>
    <row r="4163" spans="2:15" x14ac:dyDescent="0.2">
      <c r="B4163" s="1">
        <f t="shared" si="236"/>
        <v>4148</v>
      </c>
      <c r="C4163" s="101">
        <f ca="1"/>
        <v>-1.1187015555410325</v>
      </c>
      <c r="D4163" s="101">
        <f t="shared" ca="1" si="233"/>
        <v>0.59507528770879636</v>
      </c>
      <c r="E4163" s="101">
        <f t="shared" ca="1" si="234"/>
        <v>0</v>
      </c>
      <c r="F4163" s="21">
        <f t="shared" ca="1" si="235"/>
        <v>0</v>
      </c>
      <c r="H4163" s="21">
        <v>4148</v>
      </c>
      <c r="I4163" s="102">
        <v>0.66766232273843384</v>
      </c>
      <c r="J4163" s="103">
        <v>1.3292044596090182E-3</v>
      </c>
      <c r="K4163" s="103"/>
      <c r="L4163" s="103">
        <v>4.1000000000000002E-2</v>
      </c>
      <c r="O4163" s="100"/>
    </row>
    <row r="4164" spans="2:15" x14ac:dyDescent="0.2">
      <c r="B4164" s="1">
        <f t="shared" si="236"/>
        <v>4149</v>
      </c>
      <c r="C4164" s="101">
        <f ca="1"/>
        <v>0.94991280681254697</v>
      </c>
      <c r="D4164" s="101">
        <f t="shared" ca="1" si="233"/>
        <v>0.72977684432750445</v>
      </c>
      <c r="E4164" s="101">
        <f t="shared" ca="1" si="234"/>
        <v>0</v>
      </c>
      <c r="F4164" s="21">
        <f t="shared" ca="1" si="235"/>
        <v>0</v>
      </c>
      <c r="H4164" s="21">
        <v>4149</v>
      </c>
      <c r="I4164" s="102">
        <v>0.66773864578229292</v>
      </c>
      <c r="J4164" s="103">
        <v>1.3744013467171319E-3</v>
      </c>
      <c r="K4164" s="103"/>
      <c r="L4164" s="103">
        <v>4.0599999999999997E-2</v>
      </c>
      <c r="O4164" s="100"/>
    </row>
    <row r="4165" spans="2:15" x14ac:dyDescent="0.2">
      <c r="B4165" s="1">
        <f t="shared" si="236"/>
        <v>4150</v>
      </c>
      <c r="C4165" s="101">
        <f ca="1"/>
        <v>-0.80221485082068444</v>
      </c>
      <c r="D4165" s="101">
        <f t="shared" ca="1" si="233"/>
        <v>0.61394576869556872</v>
      </c>
      <c r="E4165" s="101">
        <f t="shared" ca="1" si="234"/>
        <v>0</v>
      </c>
      <c r="F4165" s="21">
        <f t="shared" ca="1" si="235"/>
        <v>0</v>
      </c>
      <c r="H4165" s="21">
        <v>4150</v>
      </c>
      <c r="I4165" s="102">
        <v>0.66757716724141025</v>
      </c>
      <c r="J4165" s="103">
        <v>1.2668908146853258E-3</v>
      </c>
      <c r="K4165" s="103"/>
      <c r="L4165" s="103">
        <v>4.2000000000000003E-2</v>
      </c>
      <c r="O4165" s="100"/>
    </row>
    <row r="4166" spans="2:15" x14ac:dyDescent="0.2">
      <c r="B4166" s="1">
        <f t="shared" si="236"/>
        <v>4151</v>
      </c>
      <c r="C4166" s="101">
        <f ca="1"/>
        <v>-0.29036070272252285</v>
      </c>
      <c r="D4166" s="101">
        <f t="shared" ca="1" si="233"/>
        <v>0.64573975812307505</v>
      </c>
      <c r="E4166" s="101">
        <f t="shared" ca="1" si="234"/>
        <v>0</v>
      </c>
      <c r="F4166" s="21">
        <f t="shared" ca="1" si="235"/>
        <v>0</v>
      </c>
      <c r="H4166" s="21">
        <v>4151</v>
      </c>
      <c r="I4166" s="102">
        <v>0.66781098149425022</v>
      </c>
      <c r="J4166" s="103">
        <v>1.510182980616927E-3</v>
      </c>
      <c r="K4166" s="103"/>
      <c r="L4166" s="103">
        <v>4.3799999999999999E-2</v>
      </c>
      <c r="O4166" s="100"/>
    </row>
    <row r="4167" spans="2:15" x14ac:dyDescent="0.2">
      <c r="B4167" s="1">
        <f t="shared" si="236"/>
        <v>4152</v>
      </c>
      <c r="C4167" s="101">
        <f ca="1"/>
        <v>-0.42424782580227788</v>
      </c>
      <c r="D4167" s="101">
        <f t="shared" ca="1" si="233"/>
        <v>0.63726766789522549</v>
      </c>
      <c r="E4167" s="101">
        <f t="shared" ca="1" si="234"/>
        <v>0</v>
      </c>
      <c r="F4167" s="21">
        <f t="shared" ca="1" si="235"/>
        <v>0</v>
      </c>
      <c r="H4167" s="21">
        <v>4152</v>
      </c>
      <c r="I4167" s="102">
        <v>0.66779041070658185</v>
      </c>
      <c r="J4167" s="103">
        <v>1.4911597915004222E-3</v>
      </c>
      <c r="K4167" s="103"/>
      <c r="L4167" s="103">
        <v>4.4200000000000003E-2</v>
      </c>
      <c r="O4167" s="100"/>
    </row>
    <row r="4168" spans="2:15" x14ac:dyDescent="0.2">
      <c r="B4168" s="1">
        <f t="shared" si="236"/>
        <v>4153</v>
      </c>
      <c r="C4168" s="101">
        <f ca="1"/>
        <v>0.65971230463708896</v>
      </c>
      <c r="D4168" s="101">
        <f t="shared" ca="1" si="233"/>
        <v>0.70918259519325832</v>
      </c>
      <c r="E4168" s="101">
        <f t="shared" ca="1" si="234"/>
        <v>0</v>
      </c>
      <c r="F4168" s="21">
        <f t="shared" ca="1" si="235"/>
        <v>0</v>
      </c>
      <c r="H4168" s="21">
        <v>4153</v>
      </c>
      <c r="I4168" s="102">
        <v>0.66768660294382776</v>
      </c>
      <c r="J4168" s="103">
        <v>1.237250940761384E-3</v>
      </c>
      <c r="K4168" s="103"/>
      <c r="L4168" s="103">
        <v>3.9199999999999999E-2</v>
      </c>
      <c r="O4168" s="100"/>
    </row>
    <row r="4169" spans="2:15" x14ac:dyDescent="0.2">
      <c r="B4169" s="1">
        <f t="shared" si="236"/>
        <v>4154</v>
      </c>
      <c r="C4169" s="101">
        <f ca="1"/>
        <v>-0.39236771050513702</v>
      </c>
      <c r="D4169" s="101">
        <f t="shared" ca="1" si="233"/>
        <v>0.63927483582896205</v>
      </c>
      <c r="E4169" s="101">
        <f t="shared" ca="1" si="234"/>
        <v>0</v>
      </c>
      <c r="F4169" s="21">
        <f t="shared" ca="1" si="235"/>
        <v>0</v>
      </c>
      <c r="H4169" s="21">
        <v>4154</v>
      </c>
      <c r="I4169" s="102">
        <v>0.66781159852225769</v>
      </c>
      <c r="J4169" s="103">
        <v>1.5177952970641406E-3</v>
      </c>
      <c r="K4169" s="103"/>
      <c r="L4169" s="103">
        <v>4.3200000000000002E-2</v>
      </c>
      <c r="O4169" s="100"/>
    </row>
    <row r="4170" spans="2:15" x14ac:dyDescent="0.2">
      <c r="B4170" s="1">
        <f t="shared" si="236"/>
        <v>4155</v>
      </c>
      <c r="C4170" s="101">
        <f ca="1"/>
        <v>-0.25183584944001158</v>
      </c>
      <c r="D4170" s="101">
        <f t="shared" ca="1" si="233"/>
        <v>0.64819832979096503</v>
      </c>
      <c r="E4170" s="101">
        <f t="shared" ca="1" si="234"/>
        <v>0</v>
      </c>
      <c r="F4170" s="21">
        <f t="shared" ca="1" si="235"/>
        <v>0</v>
      </c>
      <c r="H4170" s="21">
        <v>4155</v>
      </c>
      <c r="I4170" s="102">
        <v>0.66785767436179999</v>
      </c>
      <c r="J4170" s="103">
        <v>1.4512197955595632E-3</v>
      </c>
      <c r="K4170" s="103"/>
      <c r="L4170" s="103">
        <v>4.3999999999999997E-2</v>
      </c>
      <c r="O4170" s="100"/>
    </row>
    <row r="4171" spans="2:15" x14ac:dyDescent="0.2">
      <c r="B4171" s="1">
        <f t="shared" si="236"/>
        <v>4156</v>
      </c>
      <c r="C4171" s="101">
        <f ca="1"/>
        <v>-0.24939020376289436</v>
      </c>
      <c r="D4171" s="101">
        <f t="shared" ca="1" si="233"/>
        <v>0.64835472114198955</v>
      </c>
      <c r="E4171" s="101">
        <f t="shared" ca="1" si="234"/>
        <v>0</v>
      </c>
      <c r="F4171" s="21">
        <f t="shared" ca="1" si="235"/>
        <v>0</v>
      </c>
      <c r="H4171" s="21">
        <v>4156</v>
      </c>
      <c r="I4171" s="102">
        <v>0.66777729016949328</v>
      </c>
      <c r="J4171" s="103">
        <v>1.4821782874589531E-3</v>
      </c>
      <c r="K4171" s="103"/>
      <c r="L4171" s="103">
        <v>4.1599999999999998E-2</v>
      </c>
      <c r="O4171" s="100"/>
    </row>
    <row r="4172" spans="2:15" x14ac:dyDescent="0.2">
      <c r="B4172" s="1">
        <f t="shared" si="236"/>
        <v>4157</v>
      </c>
      <c r="C4172" s="101">
        <f ca="1"/>
        <v>0.26163732245909227</v>
      </c>
      <c r="D4172" s="101">
        <f t="shared" ca="1" si="233"/>
        <v>0.68187502171806114</v>
      </c>
      <c r="E4172" s="101">
        <f t="shared" ca="1" si="234"/>
        <v>0</v>
      </c>
      <c r="F4172" s="21">
        <f t="shared" ca="1" si="235"/>
        <v>0</v>
      </c>
      <c r="H4172" s="21">
        <v>4157</v>
      </c>
      <c r="I4172" s="102">
        <v>0.66788446027451775</v>
      </c>
      <c r="J4172" s="103">
        <v>1.5295934984640447E-3</v>
      </c>
      <c r="K4172" s="103"/>
      <c r="L4172" s="103">
        <v>4.5999999999999999E-2</v>
      </c>
      <c r="O4172" s="100"/>
    </row>
    <row r="4173" spans="2:15" x14ac:dyDescent="0.2">
      <c r="B4173" s="1">
        <f t="shared" si="236"/>
        <v>4158</v>
      </c>
      <c r="C4173" s="101">
        <f ca="1"/>
        <v>-4.3173006514473679E-2</v>
      </c>
      <c r="D4173" s="101">
        <f t="shared" ca="1" si="233"/>
        <v>0.66167830484219137</v>
      </c>
      <c r="E4173" s="101">
        <f t="shared" ca="1" si="234"/>
        <v>0</v>
      </c>
      <c r="F4173" s="21">
        <f t="shared" ca="1" si="235"/>
        <v>0</v>
      </c>
      <c r="H4173" s="21">
        <v>4158</v>
      </c>
      <c r="I4173" s="102">
        <v>0.66776417171871294</v>
      </c>
      <c r="J4173" s="103">
        <v>1.3885699621170272E-3</v>
      </c>
      <c r="K4173" s="103"/>
      <c r="L4173" s="103">
        <v>4.48E-2</v>
      </c>
      <c r="O4173" s="100"/>
    </row>
    <row r="4174" spans="2:15" x14ac:dyDescent="0.2">
      <c r="B4174" s="1">
        <f t="shared" si="236"/>
        <v>4159</v>
      </c>
      <c r="C4174" s="101">
        <f ca="1"/>
        <v>-1.5037527537793791</v>
      </c>
      <c r="D4174" s="101">
        <f t="shared" ca="1" si="233"/>
        <v>0.57289701485997091</v>
      </c>
      <c r="E4174" s="101">
        <f t="shared" ca="1" si="234"/>
        <v>0</v>
      </c>
      <c r="F4174" s="21">
        <f t="shared" ca="1" si="235"/>
        <v>0</v>
      </c>
      <c r="H4174" s="21">
        <v>4159</v>
      </c>
      <c r="I4174" s="102">
        <v>0.66778712823957609</v>
      </c>
      <c r="J4174" s="103">
        <v>1.5177120955438864E-3</v>
      </c>
      <c r="K4174" s="103"/>
      <c r="L4174" s="103">
        <v>4.4600000000000001E-2</v>
      </c>
      <c r="O4174" s="100"/>
    </row>
    <row r="4175" spans="2:15" x14ac:dyDescent="0.2">
      <c r="B4175" s="1">
        <f t="shared" si="236"/>
        <v>4160</v>
      </c>
      <c r="C4175" s="101">
        <f ca="1"/>
        <v>0.21922343260035895</v>
      </c>
      <c r="D4175" s="101">
        <f t="shared" ca="1" si="233"/>
        <v>0.67902817810186822</v>
      </c>
      <c r="E4175" s="101">
        <f t="shared" ca="1" si="234"/>
        <v>0</v>
      </c>
      <c r="F4175" s="21">
        <f t="shared" ca="1" si="235"/>
        <v>0</v>
      </c>
      <c r="H4175" s="21">
        <v>4160</v>
      </c>
      <c r="I4175" s="102">
        <v>0.66773255638972429</v>
      </c>
      <c r="J4175" s="103">
        <v>1.3420313358989311E-3</v>
      </c>
      <c r="K4175" s="103"/>
      <c r="L4175" s="103">
        <v>4.36E-2</v>
      </c>
      <c r="O4175" s="100"/>
    </row>
    <row r="4176" spans="2:15" x14ac:dyDescent="0.2">
      <c r="B4176" s="1">
        <f t="shared" si="236"/>
        <v>4161</v>
      </c>
      <c r="C4176" s="101">
        <f ca="1"/>
        <v>-0.17303336702417663</v>
      </c>
      <c r="D4176" s="101">
        <f t="shared" ref="D4176:D4239" ca="1" si="237">S0*EXP((μ-0.5*σ*σ)*T+σ*SQRT(T)*$C4176)</f>
        <v>0.65325652662380573</v>
      </c>
      <c r="E4176" s="101">
        <f t="shared" ref="E4176:E4239" ca="1" si="238">MAX(0,CP*(D4176-K))</f>
        <v>0</v>
      </c>
      <c r="F4176" s="21">
        <f t="shared" ref="F4176:F4239" ca="1" si="239">(CP*(D4176-K)&gt;0)*1</f>
        <v>0</v>
      </c>
      <c r="H4176" s="21">
        <v>4161</v>
      </c>
      <c r="I4176" s="102">
        <v>0.66786119238661146</v>
      </c>
      <c r="J4176" s="103">
        <v>1.4137569380152171E-3</v>
      </c>
      <c r="K4176" s="103"/>
      <c r="L4176" s="103">
        <v>4.3999999999999997E-2</v>
      </c>
      <c r="O4176" s="100"/>
    </row>
    <row r="4177" spans="2:15" x14ac:dyDescent="0.2">
      <c r="B4177" s="1">
        <f t="shared" si="236"/>
        <v>4162</v>
      </c>
      <c r="C4177" s="101">
        <f ca="1"/>
        <v>0.75652337877797349</v>
      </c>
      <c r="D4177" s="101">
        <f t="shared" ca="1" si="237"/>
        <v>0.71598742584421582</v>
      </c>
      <c r="E4177" s="101">
        <f t="shared" ca="1" si="238"/>
        <v>0</v>
      </c>
      <c r="F4177" s="21">
        <f t="shared" ca="1" si="239"/>
        <v>0</v>
      </c>
      <c r="H4177" s="21">
        <v>4162</v>
      </c>
      <c r="I4177" s="102">
        <v>0.66779558111431647</v>
      </c>
      <c r="J4177" s="103">
        <v>1.4792659295968721E-3</v>
      </c>
      <c r="K4177" s="103"/>
      <c r="L4177" s="103">
        <v>4.2200000000000001E-2</v>
      </c>
      <c r="O4177" s="100"/>
    </row>
    <row r="4178" spans="2:15" x14ac:dyDescent="0.2">
      <c r="B4178" s="1">
        <f t="shared" si="236"/>
        <v>4163</v>
      </c>
      <c r="C4178" s="101">
        <f ca="1"/>
        <v>-0.39658060508932802</v>
      </c>
      <c r="D4178" s="101">
        <f t="shared" ca="1" si="237"/>
        <v>0.63900923044967528</v>
      </c>
      <c r="E4178" s="101">
        <f t="shared" ca="1" si="238"/>
        <v>0</v>
      </c>
      <c r="F4178" s="21">
        <f t="shared" ca="1" si="239"/>
        <v>0</v>
      </c>
      <c r="H4178" s="21">
        <v>4163</v>
      </c>
      <c r="I4178" s="102">
        <v>0.66773499453863661</v>
      </c>
      <c r="J4178" s="103">
        <v>1.3099732518654741E-3</v>
      </c>
      <c r="K4178" s="103"/>
      <c r="L4178" s="103">
        <v>4.1799999999999997E-2</v>
      </c>
      <c r="O4178" s="100"/>
    </row>
    <row r="4179" spans="2:15" x14ac:dyDescent="0.2">
      <c r="B4179" s="1">
        <f t="shared" si="236"/>
        <v>4164</v>
      </c>
      <c r="C4179" s="101">
        <f ca="1"/>
        <v>-1.2478745076547628</v>
      </c>
      <c r="D4179" s="101">
        <f t="shared" ca="1" si="237"/>
        <v>0.5875410642994745</v>
      </c>
      <c r="E4179" s="101">
        <f t="shared" ca="1" si="238"/>
        <v>0</v>
      </c>
      <c r="F4179" s="21">
        <f t="shared" ca="1" si="239"/>
        <v>0</v>
      </c>
      <c r="H4179" s="21">
        <v>4164</v>
      </c>
      <c r="I4179" s="102">
        <v>0.66788567599948279</v>
      </c>
      <c r="J4179" s="103">
        <v>1.4283431281702167E-3</v>
      </c>
      <c r="K4179" s="103"/>
      <c r="L4179" s="103">
        <v>4.7E-2</v>
      </c>
      <c r="O4179" s="100"/>
    </row>
    <row r="4180" spans="2:15" x14ac:dyDescent="0.2">
      <c r="B4180" s="1">
        <f t="shared" si="236"/>
        <v>4165</v>
      </c>
      <c r="C4180" s="101">
        <f ca="1"/>
        <v>1.1082916726840917</v>
      </c>
      <c r="D4180" s="101">
        <f t="shared" ca="1" si="237"/>
        <v>0.74126745345399569</v>
      </c>
      <c r="E4180" s="101">
        <f t="shared" ca="1" si="238"/>
        <v>0</v>
      </c>
      <c r="F4180" s="21">
        <f t="shared" ca="1" si="239"/>
        <v>0</v>
      </c>
      <c r="H4180" s="21">
        <v>4165</v>
      </c>
      <c r="I4180" s="102">
        <v>0.66774888483140593</v>
      </c>
      <c r="J4180" s="103">
        <v>1.3630658933861839E-3</v>
      </c>
      <c r="K4180" s="103"/>
      <c r="L4180" s="103">
        <v>4.2799999999999998E-2</v>
      </c>
      <c r="O4180" s="100"/>
    </row>
    <row r="4181" spans="2:15" x14ac:dyDescent="0.2">
      <c r="B4181" s="1">
        <f t="shared" si="236"/>
        <v>4166</v>
      </c>
      <c r="C4181" s="101">
        <f ca="1"/>
        <v>-0.39416961549040597</v>
      </c>
      <c r="D4181" s="101">
        <f t="shared" ca="1" si="237"/>
        <v>0.6391612197489408</v>
      </c>
      <c r="E4181" s="101">
        <f t="shared" ca="1" si="238"/>
        <v>0</v>
      </c>
      <c r="F4181" s="21">
        <f t="shared" ca="1" si="239"/>
        <v>0</v>
      </c>
      <c r="H4181" s="21">
        <v>4166</v>
      </c>
      <c r="I4181" s="102">
        <v>0.66769170098089214</v>
      </c>
      <c r="J4181" s="103">
        <v>1.3470214934143986E-3</v>
      </c>
      <c r="K4181" s="103"/>
      <c r="L4181" s="103">
        <v>4.3400000000000001E-2</v>
      </c>
      <c r="O4181" s="100"/>
    </row>
    <row r="4182" spans="2:15" x14ac:dyDescent="0.2">
      <c r="B4182" s="1">
        <f t="shared" si="236"/>
        <v>4167</v>
      </c>
      <c r="C4182" s="101">
        <f ca="1"/>
        <v>-1.5821601442973148</v>
      </c>
      <c r="D4182" s="101">
        <f t="shared" ca="1" si="237"/>
        <v>0.56848320032394128</v>
      </c>
      <c r="E4182" s="101">
        <f t="shared" ca="1" si="238"/>
        <v>0</v>
      </c>
      <c r="F4182" s="21">
        <f t="shared" ca="1" si="239"/>
        <v>0</v>
      </c>
      <c r="H4182" s="21">
        <v>4167</v>
      </c>
      <c r="I4182" s="102">
        <v>0.66757305250515619</v>
      </c>
      <c r="J4182" s="103">
        <v>1.1410450038092509E-3</v>
      </c>
      <c r="K4182" s="103"/>
      <c r="L4182" s="103">
        <v>3.7400000000000003E-2</v>
      </c>
      <c r="O4182" s="100"/>
    </row>
    <row r="4183" spans="2:15" x14ac:dyDescent="0.2">
      <c r="B4183" s="1">
        <f t="shared" si="236"/>
        <v>4168</v>
      </c>
      <c r="C4183" s="101">
        <f ca="1"/>
        <v>-2.1692559229703212</v>
      </c>
      <c r="D4183" s="101">
        <f t="shared" ca="1" si="237"/>
        <v>0.53649640215817596</v>
      </c>
      <c r="E4183" s="101">
        <f t="shared" ca="1" si="238"/>
        <v>0</v>
      </c>
      <c r="F4183" s="21">
        <f t="shared" ca="1" si="239"/>
        <v>0</v>
      </c>
      <c r="H4183" s="21">
        <v>4168</v>
      </c>
      <c r="I4183" s="102">
        <v>0.66775572721923537</v>
      </c>
      <c r="J4183" s="103">
        <v>1.5224188832428465E-3</v>
      </c>
      <c r="K4183" s="103"/>
      <c r="L4183" s="103">
        <v>4.1599999999999998E-2</v>
      </c>
      <c r="O4183" s="100"/>
    </row>
    <row r="4184" spans="2:15" x14ac:dyDescent="0.2">
      <c r="B4184" s="1">
        <f t="shared" si="236"/>
        <v>4169</v>
      </c>
      <c r="C4184" s="101">
        <f ca="1"/>
        <v>-0.3197288026963187</v>
      </c>
      <c r="D4184" s="101">
        <f t="shared" ca="1" si="237"/>
        <v>0.64387181618197475</v>
      </c>
      <c r="E4184" s="101">
        <f t="shared" ca="1" si="238"/>
        <v>0</v>
      </c>
      <c r="F4184" s="21">
        <f t="shared" ca="1" si="239"/>
        <v>0</v>
      </c>
      <c r="H4184" s="21">
        <v>4169</v>
      </c>
      <c r="I4184" s="102">
        <v>0.66788762238567623</v>
      </c>
      <c r="J4184" s="103">
        <v>1.5083067831700746E-3</v>
      </c>
      <c r="K4184" s="103"/>
      <c r="L4184" s="103">
        <v>4.4200000000000003E-2</v>
      </c>
      <c r="O4184" s="100"/>
    </row>
    <row r="4185" spans="2:15" x14ac:dyDescent="0.2">
      <c r="B4185" s="1">
        <f t="shared" si="236"/>
        <v>4170</v>
      </c>
      <c r="C4185" s="101">
        <f ca="1"/>
        <v>-5.590699436195639E-2</v>
      </c>
      <c r="D4185" s="101">
        <f t="shared" ca="1" si="237"/>
        <v>0.66084769418818523</v>
      </c>
      <c r="E4185" s="101">
        <f t="shared" ca="1" si="238"/>
        <v>0</v>
      </c>
      <c r="F4185" s="21">
        <f t="shared" ca="1" si="239"/>
        <v>0</v>
      </c>
      <c r="H4185" s="21">
        <v>4170</v>
      </c>
      <c r="I4185" s="102">
        <v>0.66774144831855975</v>
      </c>
      <c r="J4185" s="103">
        <v>1.4686110167846699E-3</v>
      </c>
      <c r="K4185" s="103"/>
      <c r="L4185" s="103">
        <v>3.9199999999999999E-2</v>
      </c>
      <c r="O4185" s="100"/>
    </row>
    <row r="4186" spans="2:15" x14ac:dyDescent="0.2">
      <c r="B4186" s="1">
        <f t="shared" si="236"/>
        <v>4171</v>
      </c>
      <c r="C4186" s="101">
        <f ca="1"/>
        <v>0.79811251263965843</v>
      </c>
      <c r="D4186" s="101">
        <f t="shared" ca="1" si="237"/>
        <v>0.71893073107836214</v>
      </c>
      <c r="E4186" s="101">
        <f t="shared" ca="1" si="238"/>
        <v>0</v>
      </c>
      <c r="F4186" s="21">
        <f t="shared" ca="1" si="239"/>
        <v>0</v>
      </c>
      <c r="H4186" s="21">
        <v>4171</v>
      </c>
      <c r="I4186" s="102">
        <v>0.66780026983872098</v>
      </c>
      <c r="J4186" s="103">
        <v>1.4226371885102495E-3</v>
      </c>
      <c r="K4186" s="103"/>
      <c r="L4186" s="103">
        <v>4.3799999999999999E-2</v>
      </c>
      <c r="O4186" s="100"/>
    </row>
    <row r="4187" spans="2:15" x14ac:dyDescent="0.2">
      <c r="B4187" s="1">
        <f t="shared" si="236"/>
        <v>4172</v>
      </c>
      <c r="C4187" s="101">
        <f ca="1"/>
        <v>-6.7094057459005124E-2</v>
      </c>
      <c r="D4187" s="101">
        <f t="shared" ca="1" si="237"/>
        <v>0.66011884652474007</v>
      </c>
      <c r="E4187" s="101">
        <f t="shared" ca="1" si="238"/>
        <v>0</v>
      </c>
      <c r="F4187" s="21">
        <f t="shared" ca="1" si="239"/>
        <v>0</v>
      </c>
      <c r="H4187" s="21">
        <v>4172</v>
      </c>
      <c r="I4187" s="102">
        <v>0.66786075998797956</v>
      </c>
      <c r="J4187" s="103">
        <v>1.5127079735313333E-3</v>
      </c>
      <c r="K4187" s="103"/>
      <c r="L4187" s="103">
        <v>4.4200000000000003E-2</v>
      </c>
      <c r="O4187" s="100"/>
    </row>
    <row r="4188" spans="2:15" x14ac:dyDescent="0.2">
      <c r="B4188" s="1">
        <f t="shared" si="236"/>
        <v>4173</v>
      </c>
      <c r="C4188" s="101">
        <f ca="1"/>
        <v>-0.99105516313148634</v>
      </c>
      <c r="D4188" s="101">
        <f t="shared" ca="1" si="237"/>
        <v>0.60261537504438178</v>
      </c>
      <c r="E4188" s="101">
        <f t="shared" ca="1" si="238"/>
        <v>0</v>
      </c>
      <c r="F4188" s="21">
        <f t="shared" ca="1" si="239"/>
        <v>0</v>
      </c>
      <c r="H4188" s="21">
        <v>4173</v>
      </c>
      <c r="I4188" s="102">
        <v>0.66774412277700523</v>
      </c>
      <c r="J4188" s="103">
        <v>1.4555448426695377E-3</v>
      </c>
      <c r="K4188" s="103"/>
      <c r="L4188" s="103">
        <v>3.8800000000000001E-2</v>
      </c>
      <c r="O4188" s="100"/>
    </row>
    <row r="4189" spans="2:15" x14ac:dyDescent="0.2">
      <c r="B4189" s="1">
        <f t="shared" si="236"/>
        <v>4174</v>
      </c>
      <c r="C4189" s="101">
        <f ca="1"/>
        <v>0.27512681299429703</v>
      </c>
      <c r="D4189" s="101">
        <f t="shared" ca="1" si="237"/>
        <v>0.68278294301408859</v>
      </c>
      <c r="E4189" s="101">
        <f t="shared" ca="1" si="238"/>
        <v>0</v>
      </c>
      <c r="F4189" s="21">
        <f t="shared" ca="1" si="239"/>
        <v>0</v>
      </c>
      <c r="H4189" s="21">
        <v>4174</v>
      </c>
      <c r="I4189" s="102">
        <v>0.66774128743345895</v>
      </c>
      <c r="J4189" s="103">
        <v>1.3395852552815627E-3</v>
      </c>
      <c r="K4189" s="103"/>
      <c r="L4189" s="103">
        <v>4.4200000000000003E-2</v>
      </c>
      <c r="O4189" s="100"/>
    </row>
    <row r="4190" spans="2:15" x14ac:dyDescent="0.2">
      <c r="B4190" s="1">
        <f t="shared" si="236"/>
        <v>4175</v>
      </c>
      <c r="C4190" s="101">
        <f ca="1"/>
        <v>-0.5287769800250216</v>
      </c>
      <c r="D4190" s="101">
        <f t="shared" ca="1" si="237"/>
        <v>0.63073062757764697</v>
      </c>
      <c r="E4190" s="101">
        <f t="shared" ca="1" si="238"/>
        <v>0</v>
      </c>
      <c r="F4190" s="21">
        <f t="shared" ca="1" si="239"/>
        <v>0</v>
      </c>
      <c r="H4190" s="21">
        <v>4175</v>
      </c>
      <c r="I4190" s="102">
        <v>0.66769900586515474</v>
      </c>
      <c r="J4190" s="103">
        <v>1.206997249204647E-3</v>
      </c>
      <c r="K4190" s="103"/>
      <c r="L4190" s="103">
        <v>4.2599999999999999E-2</v>
      </c>
      <c r="O4190" s="100"/>
    </row>
    <row r="4191" spans="2:15" x14ac:dyDescent="0.2">
      <c r="B4191" s="1">
        <f t="shared" si="236"/>
        <v>4176</v>
      </c>
      <c r="C4191" s="101">
        <f ca="1"/>
        <v>0.17560458626984374</v>
      </c>
      <c r="D4191" s="101">
        <f t="shared" ca="1" si="237"/>
        <v>0.67611285358381923</v>
      </c>
      <c r="E4191" s="101">
        <f t="shared" ca="1" si="238"/>
        <v>0</v>
      </c>
      <c r="F4191" s="21">
        <f t="shared" ca="1" si="239"/>
        <v>0</v>
      </c>
      <c r="H4191" s="21">
        <v>4176</v>
      </c>
      <c r="I4191" s="102">
        <v>0.6676992095758969</v>
      </c>
      <c r="J4191" s="103">
        <v>1.4270818955408845E-3</v>
      </c>
      <c r="K4191" s="103"/>
      <c r="L4191" s="103">
        <v>4.1599999999999998E-2</v>
      </c>
      <c r="O4191" s="100"/>
    </row>
    <row r="4192" spans="2:15" x14ac:dyDescent="0.2">
      <c r="B4192" s="1">
        <f t="shared" si="236"/>
        <v>4177</v>
      </c>
      <c r="C4192" s="101">
        <f ca="1"/>
        <v>-1.4226545845505774</v>
      </c>
      <c r="D4192" s="101">
        <f t="shared" ca="1" si="237"/>
        <v>0.57749835953107698</v>
      </c>
      <c r="E4192" s="101">
        <f t="shared" ca="1" si="238"/>
        <v>0</v>
      </c>
      <c r="F4192" s="21">
        <f t="shared" ca="1" si="239"/>
        <v>0</v>
      </c>
      <c r="H4192" s="21">
        <v>4177</v>
      </c>
      <c r="I4192" s="102">
        <v>0.66769336015810554</v>
      </c>
      <c r="J4192" s="103">
        <v>1.3959729292847918E-3</v>
      </c>
      <c r="K4192" s="103"/>
      <c r="L4192" s="103">
        <v>4.4400000000000002E-2</v>
      </c>
      <c r="O4192" s="100"/>
    </row>
    <row r="4193" spans="2:15" x14ac:dyDescent="0.2">
      <c r="B4193" s="1">
        <f t="shared" si="236"/>
        <v>4178</v>
      </c>
      <c r="C4193" s="101">
        <f ca="1"/>
        <v>1.2888651743587671</v>
      </c>
      <c r="D4193" s="101">
        <f t="shared" ca="1" si="237"/>
        <v>0.75458920785060479</v>
      </c>
      <c r="E4193" s="101">
        <f t="shared" ca="1" si="238"/>
        <v>0</v>
      </c>
      <c r="F4193" s="21">
        <f t="shared" ca="1" si="239"/>
        <v>0</v>
      </c>
      <c r="H4193" s="21">
        <v>4178</v>
      </c>
      <c r="I4193" s="102">
        <v>0.66765521346632317</v>
      </c>
      <c r="J4193" s="103">
        <v>1.3204567888612832E-3</v>
      </c>
      <c r="K4193" s="103"/>
      <c r="L4193" s="103">
        <v>3.7999999999999999E-2</v>
      </c>
      <c r="O4193" s="100"/>
    </row>
    <row r="4194" spans="2:15" x14ac:dyDescent="0.2">
      <c r="B4194" s="1">
        <f t="shared" si="236"/>
        <v>4179</v>
      </c>
      <c r="C4194" s="101">
        <f ca="1"/>
        <v>0.48847033684442198</v>
      </c>
      <c r="D4194" s="101">
        <f t="shared" ca="1" si="237"/>
        <v>0.69730401888436477</v>
      </c>
      <c r="E4194" s="101">
        <f t="shared" ca="1" si="238"/>
        <v>0</v>
      </c>
      <c r="F4194" s="21">
        <f t="shared" ca="1" si="239"/>
        <v>0</v>
      </c>
      <c r="H4194" s="21">
        <v>4179</v>
      </c>
      <c r="I4194" s="102">
        <v>0.66778833261955028</v>
      </c>
      <c r="J4194" s="103">
        <v>1.292634934824231E-3</v>
      </c>
      <c r="K4194" s="103"/>
      <c r="L4194" s="103">
        <v>4.2599999999999999E-2</v>
      </c>
      <c r="O4194" s="100"/>
    </row>
    <row r="4195" spans="2:15" x14ac:dyDescent="0.2">
      <c r="B4195" s="1">
        <f t="shared" si="236"/>
        <v>4180</v>
      </c>
      <c r="C4195" s="101">
        <f ca="1"/>
        <v>0.96671191099264708</v>
      </c>
      <c r="D4195" s="101">
        <f t="shared" ca="1" si="237"/>
        <v>0.73098714976532264</v>
      </c>
      <c r="E4195" s="101">
        <f t="shared" ca="1" si="238"/>
        <v>0</v>
      </c>
      <c r="F4195" s="21">
        <f t="shared" ca="1" si="239"/>
        <v>0</v>
      </c>
      <c r="H4195" s="21">
        <v>4180</v>
      </c>
      <c r="I4195" s="102">
        <v>0.6676782534615795</v>
      </c>
      <c r="J4195" s="103">
        <v>1.3400960233162448E-3</v>
      </c>
      <c r="K4195" s="103"/>
      <c r="L4195" s="103">
        <v>4.1399999999999999E-2</v>
      </c>
      <c r="O4195" s="100"/>
    </row>
    <row r="4196" spans="2:15" x14ac:dyDescent="0.2">
      <c r="B4196" s="1">
        <f t="shared" si="236"/>
        <v>4181</v>
      </c>
      <c r="C4196" s="101">
        <f ca="1"/>
        <v>0.98139524880345996</v>
      </c>
      <c r="D4196" s="101">
        <f t="shared" ca="1" si="237"/>
        <v>0.73204666689880071</v>
      </c>
      <c r="E4196" s="101">
        <f t="shared" ca="1" si="238"/>
        <v>0</v>
      </c>
      <c r="F4196" s="21">
        <f t="shared" ca="1" si="239"/>
        <v>0</v>
      </c>
      <c r="H4196" s="21">
        <v>4181</v>
      </c>
      <c r="I4196" s="102">
        <v>0.66776275771779581</v>
      </c>
      <c r="J4196" s="103">
        <v>1.2975200067410629E-3</v>
      </c>
      <c r="K4196" s="103"/>
      <c r="L4196" s="103">
        <v>4.1799999999999997E-2</v>
      </c>
      <c r="O4196" s="100"/>
    </row>
    <row r="4197" spans="2:15" x14ac:dyDescent="0.2">
      <c r="B4197" s="1">
        <f t="shared" si="236"/>
        <v>4182</v>
      </c>
      <c r="C4197" s="101">
        <f ca="1"/>
        <v>1.2011441528881261</v>
      </c>
      <c r="D4197" s="101">
        <f t="shared" ca="1" si="237"/>
        <v>0.74808797729130194</v>
      </c>
      <c r="E4197" s="101">
        <f t="shared" ca="1" si="238"/>
        <v>0</v>
      </c>
      <c r="F4197" s="21">
        <f t="shared" ca="1" si="239"/>
        <v>0</v>
      </c>
      <c r="H4197" s="21">
        <v>4182</v>
      </c>
      <c r="I4197" s="102">
        <v>0.66785227625524568</v>
      </c>
      <c r="J4197" s="103">
        <v>1.3798526441556097E-3</v>
      </c>
      <c r="K4197" s="103"/>
      <c r="L4197" s="103">
        <v>4.2000000000000003E-2</v>
      </c>
      <c r="O4197" s="100"/>
    </row>
    <row r="4198" spans="2:15" x14ac:dyDescent="0.2">
      <c r="B4198" s="1">
        <f t="shared" si="236"/>
        <v>4183</v>
      </c>
      <c r="C4198" s="101">
        <f ca="1"/>
        <v>0.34473177426617607</v>
      </c>
      <c r="D4198" s="101">
        <f t="shared" ca="1" si="237"/>
        <v>0.68748701035140025</v>
      </c>
      <c r="E4198" s="101">
        <f t="shared" ca="1" si="238"/>
        <v>0</v>
      </c>
      <c r="F4198" s="21">
        <f t="shared" ca="1" si="239"/>
        <v>0</v>
      </c>
      <c r="H4198" s="21">
        <v>4183</v>
      </c>
      <c r="I4198" s="102">
        <v>0.6677407519573505</v>
      </c>
      <c r="J4198" s="103">
        <v>1.2811482939477886E-3</v>
      </c>
      <c r="K4198" s="103"/>
      <c r="L4198" s="103">
        <v>4.02E-2</v>
      </c>
      <c r="O4198" s="100"/>
    </row>
    <row r="4199" spans="2:15" x14ac:dyDescent="0.2">
      <c r="B4199" s="1">
        <f t="shared" si="236"/>
        <v>4184</v>
      </c>
      <c r="C4199" s="101">
        <f ca="1"/>
        <v>-0.14432864778393772</v>
      </c>
      <c r="D4199" s="101">
        <f t="shared" ca="1" si="237"/>
        <v>0.65510882502897716</v>
      </c>
      <c r="E4199" s="101">
        <f t="shared" ca="1" si="238"/>
        <v>0</v>
      </c>
      <c r="F4199" s="21">
        <f t="shared" ca="1" si="239"/>
        <v>0</v>
      </c>
      <c r="H4199" s="21">
        <v>4184</v>
      </c>
      <c r="I4199" s="102">
        <v>0.66763073130644235</v>
      </c>
      <c r="J4199" s="103">
        <v>1.2655798060433909E-3</v>
      </c>
      <c r="K4199" s="103"/>
      <c r="L4199" s="103">
        <v>0.04</v>
      </c>
      <c r="O4199" s="100"/>
    </row>
    <row r="4200" spans="2:15" x14ac:dyDescent="0.2">
      <c r="B4200" s="1">
        <f t="shared" si="236"/>
        <v>4185</v>
      </c>
      <c r="C4200" s="101">
        <f ca="1"/>
        <v>1.275443767350581</v>
      </c>
      <c r="D4200" s="101">
        <f t="shared" ca="1" si="237"/>
        <v>0.75359086414005938</v>
      </c>
      <c r="E4200" s="101">
        <f t="shared" ca="1" si="238"/>
        <v>0</v>
      </c>
      <c r="F4200" s="21">
        <f t="shared" ca="1" si="239"/>
        <v>0</v>
      </c>
      <c r="H4200" s="21">
        <v>4185</v>
      </c>
      <c r="I4200" s="102">
        <v>0.66770473797793073</v>
      </c>
      <c r="J4200" s="103">
        <v>1.2834721783640329E-3</v>
      </c>
      <c r="K4200" s="103"/>
      <c r="L4200" s="103">
        <v>4.1599999999999998E-2</v>
      </c>
      <c r="O4200" s="100"/>
    </row>
    <row r="4201" spans="2:15" x14ac:dyDescent="0.2">
      <c r="B4201" s="1">
        <f t="shared" si="236"/>
        <v>4186</v>
      </c>
      <c r="C4201" s="101">
        <f ca="1"/>
        <v>-0.8004127116409695</v>
      </c>
      <c r="D4201" s="101">
        <f t="shared" ca="1" si="237"/>
        <v>0.61405491671051393</v>
      </c>
      <c r="E4201" s="101">
        <f t="shared" ca="1" si="238"/>
        <v>0</v>
      </c>
      <c r="F4201" s="21">
        <f t="shared" ca="1" si="239"/>
        <v>0</v>
      </c>
      <c r="H4201" s="21">
        <v>4186</v>
      </c>
      <c r="I4201" s="102">
        <v>0.66775508690392138</v>
      </c>
      <c r="J4201" s="103">
        <v>1.2724721432187175E-3</v>
      </c>
      <c r="K4201" s="103"/>
      <c r="L4201" s="103">
        <v>3.9399999999999998E-2</v>
      </c>
      <c r="O4201" s="100"/>
    </row>
    <row r="4202" spans="2:15" x14ac:dyDescent="0.2">
      <c r="B4202" s="1">
        <f t="shared" si="236"/>
        <v>4187</v>
      </c>
      <c r="C4202" s="101">
        <f ca="1"/>
        <v>-1.1120955307051592</v>
      </c>
      <c r="D4202" s="101">
        <f t="shared" ca="1" si="237"/>
        <v>0.59546318122900677</v>
      </c>
      <c r="E4202" s="101">
        <f t="shared" ca="1" si="238"/>
        <v>0</v>
      </c>
      <c r="F4202" s="21">
        <f t="shared" ca="1" si="239"/>
        <v>0</v>
      </c>
      <c r="H4202" s="21">
        <v>4187</v>
      </c>
      <c r="I4202" s="102">
        <v>0.66784536337607336</v>
      </c>
      <c r="J4202" s="103">
        <v>1.4869016183666481E-3</v>
      </c>
      <c r="K4202" s="103"/>
      <c r="L4202" s="103">
        <v>4.4999999999999998E-2</v>
      </c>
      <c r="O4202" s="100"/>
    </row>
    <row r="4203" spans="2:15" x14ac:dyDescent="0.2">
      <c r="B4203" s="1">
        <f t="shared" si="236"/>
        <v>4188</v>
      </c>
      <c r="C4203" s="101">
        <f ca="1"/>
        <v>1.7127844030975981</v>
      </c>
      <c r="D4203" s="101">
        <f t="shared" ca="1" si="237"/>
        <v>0.78681209622942638</v>
      </c>
      <c r="E4203" s="101">
        <f t="shared" ca="1" si="238"/>
        <v>0</v>
      </c>
      <c r="F4203" s="21">
        <f t="shared" ca="1" si="239"/>
        <v>0</v>
      </c>
      <c r="H4203" s="21">
        <v>4188</v>
      </c>
      <c r="I4203" s="102">
        <v>0.66775128864701705</v>
      </c>
      <c r="J4203" s="103">
        <v>1.3159975149897433E-3</v>
      </c>
      <c r="K4203" s="103"/>
      <c r="L4203" s="103">
        <v>4.0800000000000003E-2</v>
      </c>
      <c r="O4203" s="100"/>
    </row>
    <row r="4204" spans="2:15" x14ac:dyDescent="0.2">
      <c r="B4204" s="1">
        <f t="shared" si="236"/>
        <v>4189</v>
      </c>
      <c r="C4204" s="101">
        <f ca="1"/>
        <v>0.45803363123038576</v>
      </c>
      <c r="D4204" s="101">
        <f t="shared" ca="1" si="237"/>
        <v>0.69521363075279474</v>
      </c>
      <c r="E4204" s="101">
        <f t="shared" ca="1" si="238"/>
        <v>0</v>
      </c>
      <c r="F4204" s="21">
        <f t="shared" ca="1" si="239"/>
        <v>0</v>
      </c>
      <c r="H4204" s="21">
        <v>4189</v>
      </c>
      <c r="I4204" s="102">
        <v>0.66785101238173394</v>
      </c>
      <c r="J4204" s="103">
        <v>1.4464202028971363E-3</v>
      </c>
      <c r="K4204" s="103"/>
      <c r="L4204" s="103">
        <v>4.4999999999999998E-2</v>
      </c>
      <c r="O4204" s="100"/>
    </row>
    <row r="4205" spans="2:15" x14ac:dyDescent="0.2">
      <c r="B4205" s="1">
        <f t="shared" si="236"/>
        <v>4190</v>
      </c>
      <c r="C4205" s="101">
        <f ca="1"/>
        <v>-0.7425539949704123</v>
      </c>
      <c r="D4205" s="101">
        <f t="shared" ca="1" si="237"/>
        <v>0.61756950789722387</v>
      </c>
      <c r="E4205" s="101">
        <f t="shared" ca="1" si="238"/>
        <v>0</v>
      </c>
      <c r="F4205" s="21">
        <f t="shared" ca="1" si="239"/>
        <v>0</v>
      </c>
      <c r="H4205" s="21">
        <v>4190</v>
      </c>
      <c r="I4205" s="102">
        <v>0.66771870213372853</v>
      </c>
      <c r="J4205" s="103">
        <v>1.3383559338171057E-3</v>
      </c>
      <c r="K4205" s="103"/>
      <c r="L4205" s="103">
        <v>4.1000000000000002E-2</v>
      </c>
      <c r="O4205" s="100"/>
    </row>
    <row r="4206" spans="2:15" x14ac:dyDescent="0.2">
      <c r="B4206" s="1">
        <f t="shared" si="236"/>
        <v>4191</v>
      </c>
      <c r="C4206" s="101">
        <f ca="1"/>
        <v>0.53919517769065683</v>
      </c>
      <c r="D4206" s="101">
        <f t="shared" ca="1" si="237"/>
        <v>0.70080176856390552</v>
      </c>
      <c r="E4206" s="101">
        <f t="shared" ca="1" si="238"/>
        <v>0</v>
      </c>
      <c r="F4206" s="21">
        <f t="shared" ca="1" si="239"/>
        <v>0</v>
      </c>
      <c r="H4206" s="21">
        <v>4191</v>
      </c>
      <c r="I4206" s="102">
        <v>0.66768437363255106</v>
      </c>
      <c r="J4206" s="103">
        <v>1.4547309386428954E-3</v>
      </c>
      <c r="K4206" s="103"/>
      <c r="L4206" s="103">
        <v>4.1000000000000002E-2</v>
      </c>
      <c r="O4206" s="100"/>
    </row>
    <row r="4207" spans="2:15" x14ac:dyDescent="0.2">
      <c r="B4207" s="1">
        <f t="shared" si="236"/>
        <v>4192</v>
      </c>
      <c r="C4207" s="101">
        <f ca="1"/>
        <v>-0.43303540309824812</v>
      </c>
      <c r="D4207" s="101">
        <f t="shared" ca="1" si="237"/>
        <v>0.6367155119787804</v>
      </c>
      <c r="E4207" s="101">
        <f t="shared" ca="1" si="238"/>
        <v>0</v>
      </c>
      <c r="F4207" s="21">
        <f t="shared" ca="1" si="239"/>
        <v>0</v>
      </c>
      <c r="H4207" s="21">
        <v>4192</v>
      </c>
      <c r="I4207" s="102">
        <v>0.66773066727752017</v>
      </c>
      <c r="J4207" s="103">
        <v>1.2006585825367192E-3</v>
      </c>
      <c r="K4207" s="103"/>
      <c r="L4207" s="103">
        <v>4.0800000000000003E-2</v>
      </c>
      <c r="O4207" s="100"/>
    </row>
    <row r="4208" spans="2:15" x14ac:dyDescent="0.2">
      <c r="B4208" s="1">
        <f t="shared" ref="B4208:B4271" si="240">B4207+1</f>
        <v>4193</v>
      </c>
      <c r="C4208" s="101">
        <f ca="1"/>
        <v>-2.7930579321636522</v>
      </c>
      <c r="D4208" s="101">
        <f t="shared" ca="1" si="237"/>
        <v>0.50447949698995964</v>
      </c>
      <c r="E4208" s="101">
        <f t="shared" ca="1" si="238"/>
        <v>0</v>
      </c>
      <c r="F4208" s="21">
        <f t="shared" ca="1" si="239"/>
        <v>0</v>
      </c>
      <c r="H4208" s="21">
        <v>4193</v>
      </c>
      <c r="I4208" s="102">
        <v>0.6677952312671519</v>
      </c>
      <c r="J4208" s="103">
        <v>1.3981277978231206E-3</v>
      </c>
      <c r="K4208" s="103"/>
      <c r="L4208" s="103">
        <v>3.9600000000000003E-2</v>
      </c>
      <c r="O4208" s="100"/>
    </row>
    <row r="4209" spans="2:15" x14ac:dyDescent="0.2">
      <c r="B4209" s="1">
        <f t="shared" si="240"/>
        <v>4194</v>
      </c>
      <c r="C4209" s="101">
        <f ca="1"/>
        <v>-5.2648462029448399E-3</v>
      </c>
      <c r="D4209" s="101">
        <f t="shared" ca="1" si="237"/>
        <v>0.66415715764463401</v>
      </c>
      <c r="E4209" s="101">
        <f t="shared" ca="1" si="238"/>
        <v>0</v>
      </c>
      <c r="F4209" s="21">
        <f t="shared" ca="1" si="239"/>
        <v>0</v>
      </c>
      <c r="H4209" s="21">
        <v>4194</v>
      </c>
      <c r="I4209" s="102">
        <v>0.66783249527665833</v>
      </c>
      <c r="J4209" s="103">
        <v>1.4513075373130018E-3</v>
      </c>
      <c r="K4209" s="103"/>
      <c r="L4209" s="103">
        <v>3.9199999999999999E-2</v>
      </c>
      <c r="O4209" s="100"/>
    </row>
    <row r="4210" spans="2:15" x14ac:dyDescent="0.2">
      <c r="B4210" s="1">
        <f t="shared" si="240"/>
        <v>4195</v>
      </c>
      <c r="C4210" s="101">
        <f ca="1"/>
        <v>-1.6395826574136887</v>
      </c>
      <c r="D4210" s="101">
        <f t="shared" ca="1" si="237"/>
        <v>0.56527228140252439</v>
      </c>
      <c r="E4210" s="101">
        <f t="shared" ca="1" si="238"/>
        <v>0</v>
      </c>
      <c r="F4210" s="21">
        <f t="shared" ca="1" si="239"/>
        <v>0</v>
      </c>
      <c r="H4210" s="21">
        <v>4195</v>
      </c>
      <c r="I4210" s="102">
        <v>0.6676712377643933</v>
      </c>
      <c r="J4210" s="103">
        <v>1.2757017605769944E-3</v>
      </c>
      <c r="K4210" s="103"/>
      <c r="L4210" s="103">
        <v>3.9600000000000003E-2</v>
      </c>
      <c r="O4210" s="100"/>
    </row>
    <row r="4211" spans="2:15" x14ac:dyDescent="0.2">
      <c r="B4211" s="1">
        <f t="shared" si="240"/>
        <v>4196</v>
      </c>
      <c r="C4211" s="101">
        <f ca="1"/>
        <v>0.21998641808724767</v>
      </c>
      <c r="D4211" s="101">
        <f t="shared" ca="1" si="237"/>
        <v>0.67907928497585945</v>
      </c>
      <c r="E4211" s="101">
        <f t="shared" ca="1" si="238"/>
        <v>0</v>
      </c>
      <c r="F4211" s="21">
        <f t="shared" ca="1" si="239"/>
        <v>0</v>
      </c>
      <c r="H4211" s="21">
        <v>4196</v>
      </c>
      <c r="I4211" s="102">
        <v>0.66773733550527237</v>
      </c>
      <c r="J4211" s="103">
        <v>1.3405344305728261E-3</v>
      </c>
      <c r="K4211" s="103"/>
      <c r="L4211" s="103">
        <v>4.1000000000000002E-2</v>
      </c>
      <c r="O4211" s="100"/>
    </row>
    <row r="4212" spans="2:15" x14ac:dyDescent="0.2">
      <c r="B4212" s="1">
        <f t="shared" si="240"/>
        <v>4197</v>
      </c>
      <c r="C4212" s="101">
        <f ca="1"/>
        <v>-0.99198742335253454</v>
      </c>
      <c r="D4212" s="101">
        <f t="shared" ca="1" si="237"/>
        <v>0.60255996145354429</v>
      </c>
      <c r="E4212" s="101">
        <f t="shared" ca="1" si="238"/>
        <v>0</v>
      </c>
      <c r="F4212" s="21">
        <f t="shared" ca="1" si="239"/>
        <v>0</v>
      </c>
      <c r="H4212" s="21">
        <v>4197</v>
      </c>
      <c r="I4212" s="102">
        <v>0.66759596996577697</v>
      </c>
      <c r="J4212" s="103">
        <v>1.1198120350366749E-3</v>
      </c>
      <c r="K4212" s="103"/>
      <c r="L4212" s="103">
        <v>3.7199999999999997E-2</v>
      </c>
      <c r="O4212" s="100"/>
    </row>
    <row r="4213" spans="2:15" x14ac:dyDescent="0.2">
      <c r="B4213" s="1">
        <f t="shared" si="240"/>
        <v>4198</v>
      </c>
      <c r="C4213" s="101">
        <f ca="1"/>
        <v>-0.61638961510741763</v>
      </c>
      <c r="D4213" s="101">
        <f t="shared" ca="1" si="237"/>
        <v>0.62530319696983361</v>
      </c>
      <c r="E4213" s="101">
        <f t="shared" ca="1" si="238"/>
        <v>0</v>
      </c>
      <c r="F4213" s="21">
        <f t="shared" ca="1" si="239"/>
        <v>0</v>
      </c>
      <c r="H4213" s="21">
        <v>4198</v>
      </c>
      <c r="I4213" s="102">
        <v>0.66784859410534503</v>
      </c>
      <c r="J4213" s="103">
        <v>1.4672411875693975E-3</v>
      </c>
      <c r="K4213" s="103"/>
      <c r="L4213" s="103">
        <v>4.5400000000000003E-2</v>
      </c>
      <c r="O4213" s="100"/>
    </row>
    <row r="4214" spans="2:15" x14ac:dyDescent="0.2">
      <c r="B4214" s="1">
        <f t="shared" si="240"/>
        <v>4199</v>
      </c>
      <c r="C4214" s="101">
        <f ca="1"/>
        <v>-1.1160488384260205</v>
      </c>
      <c r="D4214" s="101">
        <f t="shared" ca="1" si="237"/>
        <v>0.59523101996549355</v>
      </c>
      <c r="E4214" s="101">
        <f t="shared" ca="1" si="238"/>
        <v>0</v>
      </c>
      <c r="F4214" s="21">
        <f t="shared" ca="1" si="239"/>
        <v>0</v>
      </c>
      <c r="H4214" s="21">
        <v>4199</v>
      </c>
      <c r="I4214" s="102">
        <v>0.66770100493333406</v>
      </c>
      <c r="J4214" s="103">
        <v>1.3245363582117229E-3</v>
      </c>
      <c r="K4214" s="103"/>
      <c r="L4214" s="103">
        <v>4.0399999999999998E-2</v>
      </c>
      <c r="O4214" s="100"/>
    </row>
    <row r="4215" spans="2:15" x14ac:dyDescent="0.2">
      <c r="B4215" s="1">
        <f t="shared" si="240"/>
        <v>4200</v>
      </c>
      <c r="C4215" s="101">
        <f ca="1"/>
        <v>0.13199720879660254</v>
      </c>
      <c r="D4215" s="101">
        <f t="shared" ca="1" si="237"/>
        <v>0.67321080726055826</v>
      </c>
      <c r="E4215" s="101">
        <f t="shared" ca="1" si="238"/>
        <v>0</v>
      </c>
      <c r="F4215" s="21">
        <f t="shared" ca="1" si="239"/>
        <v>0</v>
      </c>
      <c r="H4215" s="21">
        <v>4200</v>
      </c>
      <c r="I4215" s="102">
        <v>0.6678127921512047</v>
      </c>
      <c r="J4215" s="103">
        <v>1.4017602714741734E-3</v>
      </c>
      <c r="K4215" s="103"/>
      <c r="L4215" s="103">
        <v>4.2999999999999997E-2</v>
      </c>
      <c r="O4215" s="100"/>
    </row>
    <row r="4216" spans="2:15" x14ac:dyDescent="0.2">
      <c r="B4216" s="1">
        <f t="shared" si="240"/>
        <v>4201</v>
      </c>
      <c r="C4216" s="101">
        <f ca="1"/>
        <v>0.41014433822088947</v>
      </c>
      <c r="D4216" s="101">
        <f t="shared" ca="1" si="237"/>
        <v>0.69193728116682918</v>
      </c>
      <c r="E4216" s="101">
        <f t="shared" ca="1" si="238"/>
        <v>0</v>
      </c>
      <c r="F4216" s="21">
        <f t="shared" ca="1" si="239"/>
        <v>0</v>
      </c>
      <c r="H4216" s="21">
        <v>4201</v>
      </c>
      <c r="I4216" s="102">
        <v>0.66764386512477858</v>
      </c>
      <c r="J4216" s="103">
        <v>1.1867053536156558E-3</v>
      </c>
      <c r="K4216" s="103"/>
      <c r="L4216" s="103">
        <v>4.24E-2</v>
      </c>
      <c r="O4216" s="100"/>
    </row>
    <row r="4217" spans="2:15" x14ac:dyDescent="0.2">
      <c r="B4217" s="1">
        <f t="shared" si="240"/>
        <v>4202</v>
      </c>
      <c r="C4217" s="101">
        <f ca="1"/>
        <v>-0.29774102352431986</v>
      </c>
      <c r="D4217" s="101">
        <f t="shared" ca="1" si="237"/>
        <v>0.64526982766690333</v>
      </c>
      <c r="E4217" s="101">
        <f t="shared" ca="1" si="238"/>
        <v>0</v>
      </c>
      <c r="F4217" s="21">
        <f t="shared" ca="1" si="239"/>
        <v>0</v>
      </c>
      <c r="H4217" s="21">
        <v>4202</v>
      </c>
      <c r="I4217" s="102">
        <v>0.66770606361895257</v>
      </c>
      <c r="J4217" s="103">
        <v>1.237183445190643E-3</v>
      </c>
      <c r="K4217" s="103"/>
      <c r="L4217" s="103">
        <v>4.02E-2</v>
      </c>
      <c r="O4217" s="100"/>
    </row>
    <row r="4218" spans="2:15" x14ac:dyDescent="0.2">
      <c r="B4218" s="1">
        <f t="shared" si="240"/>
        <v>4203</v>
      </c>
      <c r="C4218" s="101">
        <f ca="1"/>
        <v>0.23667944582624345</v>
      </c>
      <c r="D4218" s="101">
        <f t="shared" ca="1" si="237"/>
        <v>0.68019839325071296</v>
      </c>
      <c r="E4218" s="101">
        <f t="shared" ca="1" si="238"/>
        <v>0</v>
      </c>
      <c r="F4218" s="21">
        <f t="shared" ca="1" si="239"/>
        <v>0</v>
      </c>
      <c r="H4218" s="21">
        <v>4203</v>
      </c>
      <c r="I4218" s="102">
        <v>0.66776362780051712</v>
      </c>
      <c r="J4218" s="103">
        <v>1.3921004966146928E-3</v>
      </c>
      <c r="K4218" s="103"/>
      <c r="L4218" s="103">
        <v>3.9600000000000003E-2</v>
      </c>
      <c r="O4218" s="100"/>
    </row>
    <row r="4219" spans="2:15" x14ac:dyDescent="0.2">
      <c r="B4219" s="1">
        <f t="shared" si="240"/>
        <v>4204</v>
      </c>
      <c r="C4219" s="101">
        <f ca="1"/>
        <v>-1.6392840872535401</v>
      </c>
      <c r="D4219" s="101">
        <f t="shared" ca="1" si="237"/>
        <v>0.56528892968312072</v>
      </c>
      <c r="E4219" s="101">
        <f t="shared" ca="1" si="238"/>
        <v>0</v>
      </c>
      <c r="F4219" s="21">
        <f t="shared" ca="1" si="239"/>
        <v>0</v>
      </c>
      <c r="H4219" s="21">
        <v>4204</v>
      </c>
      <c r="I4219" s="102">
        <v>0.66759513677332749</v>
      </c>
      <c r="J4219" s="103">
        <v>1.1989862683142874E-3</v>
      </c>
      <c r="K4219" s="103"/>
      <c r="L4219" s="103">
        <v>3.7600000000000001E-2</v>
      </c>
      <c r="O4219" s="100"/>
    </row>
    <row r="4220" spans="2:15" x14ac:dyDescent="0.2">
      <c r="B4220" s="1">
        <f t="shared" si="240"/>
        <v>4205</v>
      </c>
      <c r="C4220" s="101">
        <f ca="1"/>
        <v>1.6401887769890087</v>
      </c>
      <c r="D4220" s="101">
        <f t="shared" ca="1" si="237"/>
        <v>0.78119791618857115</v>
      </c>
      <c r="E4220" s="101">
        <f t="shared" ca="1" si="238"/>
        <v>0</v>
      </c>
      <c r="F4220" s="21">
        <f t="shared" ca="1" si="239"/>
        <v>0</v>
      </c>
      <c r="H4220" s="21">
        <v>4205</v>
      </c>
      <c r="I4220" s="102">
        <v>0.66762224588282526</v>
      </c>
      <c r="J4220" s="103">
        <v>1.199109426910342E-3</v>
      </c>
      <c r="K4220" s="103"/>
      <c r="L4220" s="103">
        <v>4.2999999999999997E-2</v>
      </c>
      <c r="O4220" s="100"/>
    </row>
    <row r="4221" spans="2:15" x14ac:dyDescent="0.2">
      <c r="B4221" s="1">
        <f t="shared" si="240"/>
        <v>4206</v>
      </c>
      <c r="C4221" s="101">
        <f ca="1"/>
        <v>2.145554986355156</v>
      </c>
      <c r="D4221" s="101">
        <f t="shared" ca="1" si="237"/>
        <v>0.82112760561958775</v>
      </c>
      <c r="E4221" s="101">
        <f t="shared" ca="1" si="238"/>
        <v>3.2927605619587741E-2</v>
      </c>
      <c r="F4221" s="21">
        <f t="shared" ca="1" si="239"/>
        <v>1</v>
      </c>
      <c r="H4221" s="21">
        <v>4206</v>
      </c>
      <c r="I4221" s="102">
        <v>0.66762735552909647</v>
      </c>
      <c r="J4221" s="103">
        <v>1.2549410753256757E-3</v>
      </c>
      <c r="K4221" s="103"/>
      <c r="L4221" s="103">
        <v>3.9399999999999998E-2</v>
      </c>
      <c r="O4221" s="100"/>
    </row>
    <row r="4222" spans="2:15" x14ac:dyDescent="0.2">
      <c r="B4222" s="1">
        <f t="shared" si="240"/>
        <v>4207</v>
      </c>
      <c r="C4222" s="101">
        <f ca="1"/>
        <v>-0.4766759558663356</v>
      </c>
      <c r="D4222" s="101">
        <f t="shared" ca="1" si="237"/>
        <v>0.63398049427299219</v>
      </c>
      <c r="E4222" s="101">
        <f t="shared" ca="1" si="238"/>
        <v>0</v>
      </c>
      <c r="F4222" s="21">
        <f t="shared" ca="1" si="239"/>
        <v>0</v>
      </c>
      <c r="H4222" s="21">
        <v>4207</v>
      </c>
      <c r="I4222" s="102">
        <v>0.66774540983704977</v>
      </c>
      <c r="J4222" s="103">
        <v>1.20249254467416E-3</v>
      </c>
      <c r="K4222" s="103"/>
      <c r="L4222" s="103">
        <v>4.0800000000000003E-2</v>
      </c>
      <c r="O4222" s="100"/>
    </row>
    <row r="4223" spans="2:15" x14ac:dyDescent="0.2">
      <c r="B4223" s="1">
        <f t="shared" si="240"/>
        <v>4208</v>
      </c>
      <c r="C4223" s="101">
        <f ca="1"/>
        <v>0.16305898907269903</v>
      </c>
      <c r="D4223" s="101">
        <f t="shared" ca="1" si="237"/>
        <v>0.67527667173224337</v>
      </c>
      <c r="E4223" s="101">
        <f t="shared" ca="1" si="238"/>
        <v>0</v>
      </c>
      <c r="F4223" s="21">
        <f t="shared" ca="1" si="239"/>
        <v>0</v>
      </c>
      <c r="H4223" s="21">
        <v>4208</v>
      </c>
      <c r="I4223" s="102">
        <v>0.66770588254340424</v>
      </c>
      <c r="J4223" s="103">
        <v>1.4666639737242087E-3</v>
      </c>
      <c r="K4223" s="103"/>
      <c r="L4223" s="103">
        <v>3.9399999999999998E-2</v>
      </c>
      <c r="O4223" s="100"/>
    </row>
    <row r="4224" spans="2:15" x14ac:dyDescent="0.2">
      <c r="B4224" s="1">
        <f t="shared" si="240"/>
        <v>4209</v>
      </c>
      <c r="C4224" s="101">
        <f ca="1"/>
        <v>0.43882428613538926</v>
      </c>
      <c r="D4224" s="101">
        <f t="shared" ca="1" si="237"/>
        <v>0.69389756270679803</v>
      </c>
      <c r="E4224" s="101">
        <f t="shared" ca="1" si="238"/>
        <v>0</v>
      </c>
      <c r="F4224" s="21">
        <f t="shared" ca="1" si="239"/>
        <v>0</v>
      </c>
      <c r="H4224" s="21">
        <v>4209</v>
      </c>
      <c r="I4224" s="102">
        <v>0.66776862688017335</v>
      </c>
      <c r="J4224" s="103">
        <v>1.4598982966174691E-3</v>
      </c>
      <c r="K4224" s="103"/>
      <c r="L4224" s="103">
        <v>4.3799999999999999E-2</v>
      </c>
      <c r="O4224" s="100"/>
    </row>
    <row r="4225" spans="2:15" x14ac:dyDescent="0.2">
      <c r="B4225" s="1">
        <f t="shared" si="240"/>
        <v>4210</v>
      </c>
      <c r="C4225" s="101">
        <f ca="1"/>
        <v>-0.38878144923618885</v>
      </c>
      <c r="D4225" s="101">
        <f t="shared" ca="1" si="237"/>
        <v>0.63950102158651323</v>
      </c>
      <c r="E4225" s="101">
        <f t="shared" ca="1" si="238"/>
        <v>0</v>
      </c>
      <c r="F4225" s="21">
        <f t="shared" ca="1" si="239"/>
        <v>0</v>
      </c>
      <c r="H4225" s="21">
        <v>4210</v>
      </c>
      <c r="I4225" s="102">
        <v>0.66786056594869436</v>
      </c>
      <c r="J4225" s="103">
        <v>1.461199851665447E-3</v>
      </c>
      <c r="K4225" s="103"/>
      <c r="L4225" s="103">
        <v>4.1799999999999997E-2</v>
      </c>
      <c r="O4225" s="100"/>
    </row>
    <row r="4226" spans="2:15" x14ac:dyDescent="0.2">
      <c r="B4226" s="1">
        <f t="shared" si="240"/>
        <v>4211</v>
      </c>
      <c r="C4226" s="101">
        <f ca="1"/>
        <v>0.35087046675164613</v>
      </c>
      <c r="D4226" s="101">
        <f t="shared" ca="1" si="237"/>
        <v>0.68790342957608108</v>
      </c>
      <c r="E4226" s="101">
        <f t="shared" ca="1" si="238"/>
        <v>0</v>
      </c>
      <c r="F4226" s="21">
        <f t="shared" ca="1" si="239"/>
        <v>0</v>
      </c>
      <c r="H4226" s="21">
        <v>4211</v>
      </c>
      <c r="I4226" s="102">
        <v>0.66769001873844358</v>
      </c>
      <c r="J4226" s="103">
        <v>1.205444153092879E-3</v>
      </c>
      <c r="K4226" s="103"/>
      <c r="L4226" s="103">
        <v>3.8600000000000002E-2</v>
      </c>
      <c r="O4226" s="100"/>
    </row>
    <row r="4227" spans="2:15" x14ac:dyDescent="0.2">
      <c r="B4227" s="1">
        <f t="shared" si="240"/>
        <v>4212</v>
      </c>
      <c r="C4227" s="101">
        <f ca="1"/>
        <v>0.48138877093904453</v>
      </c>
      <c r="D4227" s="101">
        <f t="shared" ca="1" si="237"/>
        <v>0.69681709767264721</v>
      </c>
      <c r="E4227" s="101">
        <f t="shared" ca="1" si="238"/>
        <v>0</v>
      </c>
      <c r="F4227" s="21">
        <f t="shared" ca="1" si="239"/>
        <v>0</v>
      </c>
      <c r="H4227" s="21">
        <v>4212</v>
      </c>
      <c r="I4227" s="102">
        <v>0.66770284496111076</v>
      </c>
      <c r="J4227" s="103">
        <v>1.3871881878118328E-3</v>
      </c>
      <c r="K4227" s="103"/>
      <c r="L4227" s="103">
        <v>4.3200000000000002E-2</v>
      </c>
      <c r="O4227" s="100"/>
    </row>
    <row r="4228" spans="2:15" x14ac:dyDescent="0.2">
      <c r="B4228" s="1">
        <f t="shared" si="240"/>
        <v>4213</v>
      </c>
      <c r="C4228" s="101">
        <f ca="1"/>
        <v>-0.35290233895461759</v>
      </c>
      <c r="D4228" s="101">
        <f t="shared" ca="1" si="237"/>
        <v>0.64176832976406528</v>
      </c>
      <c r="E4228" s="101">
        <f t="shared" ca="1" si="238"/>
        <v>0</v>
      </c>
      <c r="F4228" s="21">
        <f t="shared" ca="1" si="239"/>
        <v>0</v>
      </c>
      <c r="H4228" s="21">
        <v>4213</v>
      </c>
      <c r="I4228" s="102">
        <v>0.66785480708527434</v>
      </c>
      <c r="J4228" s="103">
        <v>1.4945958060182429E-3</v>
      </c>
      <c r="K4228" s="103"/>
      <c r="L4228" s="103">
        <v>4.4999999999999998E-2</v>
      </c>
      <c r="O4228" s="100"/>
    </row>
    <row r="4229" spans="2:15" x14ac:dyDescent="0.2">
      <c r="B4229" s="1">
        <f t="shared" si="240"/>
        <v>4214</v>
      </c>
      <c r="C4229" s="101">
        <f ca="1"/>
        <v>0.87980923840377834</v>
      </c>
      <c r="D4229" s="101">
        <f t="shared" ca="1" si="237"/>
        <v>0.72474776630676618</v>
      </c>
      <c r="E4229" s="101">
        <f t="shared" ca="1" si="238"/>
        <v>0</v>
      </c>
      <c r="F4229" s="21">
        <f t="shared" ca="1" si="239"/>
        <v>0</v>
      </c>
      <c r="H4229" s="21">
        <v>4214</v>
      </c>
      <c r="I4229" s="102">
        <v>0.6677197430962708</v>
      </c>
      <c r="J4229" s="103">
        <v>1.412394153270222E-3</v>
      </c>
      <c r="K4229" s="103"/>
      <c r="L4229" s="103">
        <v>4.3400000000000001E-2</v>
      </c>
      <c r="O4229" s="100"/>
    </row>
    <row r="4230" spans="2:15" x14ac:dyDescent="0.2">
      <c r="B4230" s="1">
        <f t="shared" si="240"/>
        <v>4215</v>
      </c>
      <c r="C4230" s="101">
        <f ca="1"/>
        <v>-0.98231895361628052</v>
      </c>
      <c r="D4230" s="101">
        <f t="shared" ca="1" si="237"/>
        <v>0.6031349034404293</v>
      </c>
      <c r="E4230" s="101">
        <f t="shared" ca="1" si="238"/>
        <v>0</v>
      </c>
      <c r="F4230" s="21">
        <f t="shared" ca="1" si="239"/>
        <v>0</v>
      </c>
      <c r="H4230" s="21">
        <v>4215</v>
      </c>
      <c r="I4230" s="102">
        <v>0.66756013426517991</v>
      </c>
      <c r="J4230" s="103">
        <v>1.3610136755253248E-3</v>
      </c>
      <c r="K4230" s="103"/>
      <c r="L4230" s="103">
        <v>4.1200000000000001E-2</v>
      </c>
      <c r="O4230" s="100"/>
    </row>
    <row r="4231" spans="2:15" x14ac:dyDescent="0.2">
      <c r="B4231" s="1">
        <f t="shared" si="240"/>
        <v>4216</v>
      </c>
      <c r="C4231" s="101">
        <f ca="1"/>
        <v>-1.4006310155349089</v>
      </c>
      <c r="D4231" s="101">
        <f t="shared" ca="1" si="237"/>
        <v>0.57875430035908071</v>
      </c>
      <c r="E4231" s="101">
        <f t="shared" ca="1" si="238"/>
        <v>0</v>
      </c>
      <c r="F4231" s="21">
        <f t="shared" ca="1" si="239"/>
        <v>0</v>
      </c>
      <c r="H4231" s="21">
        <v>4216</v>
      </c>
      <c r="I4231" s="102">
        <v>0.66776906394503688</v>
      </c>
      <c r="J4231" s="103">
        <v>1.3846658892260415E-3</v>
      </c>
      <c r="K4231" s="103"/>
      <c r="L4231" s="103">
        <v>4.0800000000000003E-2</v>
      </c>
      <c r="O4231" s="100"/>
    </row>
    <row r="4232" spans="2:15" x14ac:dyDescent="0.2">
      <c r="B4232" s="1">
        <f t="shared" si="240"/>
        <v>4217</v>
      </c>
      <c r="C4232" s="101">
        <f ca="1"/>
        <v>-0.66707083247572463</v>
      </c>
      <c r="D4232" s="101">
        <f t="shared" ca="1" si="237"/>
        <v>0.62218494314230377</v>
      </c>
      <c r="E4232" s="101">
        <f t="shared" ca="1" si="238"/>
        <v>0</v>
      </c>
      <c r="F4232" s="21">
        <f t="shared" ca="1" si="239"/>
        <v>0</v>
      </c>
      <c r="H4232" s="21">
        <v>4217</v>
      </c>
      <c r="I4232" s="102">
        <v>0.66791157880047547</v>
      </c>
      <c r="J4232" s="103">
        <v>1.6049087721418229E-3</v>
      </c>
      <c r="K4232" s="103"/>
      <c r="L4232" s="103">
        <v>4.7E-2</v>
      </c>
      <c r="O4232" s="100"/>
    </row>
    <row r="4233" spans="2:15" x14ac:dyDescent="0.2">
      <c r="B4233" s="1">
        <f t="shared" si="240"/>
        <v>4218</v>
      </c>
      <c r="C4233" s="101">
        <f ca="1"/>
        <v>0.42623666849914288</v>
      </c>
      <c r="D4233" s="101">
        <f t="shared" ca="1" si="237"/>
        <v>0.6930365130262448</v>
      </c>
      <c r="E4233" s="101">
        <f t="shared" ca="1" si="238"/>
        <v>0</v>
      </c>
      <c r="F4233" s="21">
        <f t="shared" ca="1" si="239"/>
        <v>0</v>
      </c>
      <c r="H4233" s="21">
        <v>4218</v>
      </c>
      <c r="I4233" s="102">
        <v>0.66775303634478822</v>
      </c>
      <c r="J4233" s="103">
        <v>1.4373824819315718E-3</v>
      </c>
      <c r="K4233" s="103"/>
      <c r="L4233" s="103">
        <v>4.3400000000000001E-2</v>
      </c>
      <c r="O4233" s="100"/>
    </row>
    <row r="4234" spans="2:15" x14ac:dyDescent="0.2">
      <c r="B4234" s="1">
        <f t="shared" si="240"/>
        <v>4219</v>
      </c>
      <c r="C4234" s="101">
        <f ca="1"/>
        <v>-0.84990195776838395</v>
      </c>
      <c r="D4234" s="101">
        <f t="shared" ca="1" si="237"/>
        <v>0.61106459895995435</v>
      </c>
      <c r="E4234" s="101">
        <f t="shared" ca="1" si="238"/>
        <v>0</v>
      </c>
      <c r="F4234" s="21">
        <f t="shared" ca="1" si="239"/>
        <v>0</v>
      </c>
      <c r="H4234" s="21">
        <v>4219</v>
      </c>
      <c r="I4234" s="102">
        <v>0.66777685444338275</v>
      </c>
      <c r="J4234" s="103">
        <v>1.4103090224704849E-3</v>
      </c>
      <c r="K4234" s="103"/>
      <c r="L4234" s="103">
        <v>4.0800000000000003E-2</v>
      </c>
      <c r="O4234" s="100"/>
    </row>
    <row r="4235" spans="2:15" x14ac:dyDescent="0.2">
      <c r="B4235" s="1">
        <f t="shared" si="240"/>
        <v>4220</v>
      </c>
      <c r="C4235" s="101">
        <f ca="1"/>
        <v>-0.20810434454226823</v>
      </c>
      <c r="D4235" s="101">
        <f t="shared" ca="1" si="237"/>
        <v>0.65100052433424194</v>
      </c>
      <c r="E4235" s="101">
        <f t="shared" ca="1" si="238"/>
        <v>0</v>
      </c>
      <c r="F4235" s="21">
        <f t="shared" ca="1" si="239"/>
        <v>0</v>
      </c>
      <c r="H4235" s="21">
        <v>4220</v>
      </c>
      <c r="I4235" s="102">
        <v>0.66792781211547603</v>
      </c>
      <c r="J4235" s="103">
        <v>1.6102732885824225E-3</v>
      </c>
      <c r="K4235" s="103"/>
      <c r="L4235" s="103">
        <v>4.8800000000000003E-2</v>
      </c>
      <c r="O4235" s="100"/>
    </row>
    <row r="4236" spans="2:15" x14ac:dyDescent="0.2">
      <c r="B4236" s="1">
        <f t="shared" si="240"/>
        <v>4221</v>
      </c>
      <c r="C4236" s="101">
        <f ca="1"/>
        <v>-1.7222376329017883</v>
      </c>
      <c r="D4236" s="101">
        <f t="shared" ca="1" si="237"/>
        <v>0.56068224266380839</v>
      </c>
      <c r="E4236" s="101">
        <f t="shared" ca="1" si="238"/>
        <v>0</v>
      </c>
      <c r="F4236" s="21">
        <f t="shared" ca="1" si="239"/>
        <v>0</v>
      </c>
      <c r="H4236" s="21">
        <v>4221</v>
      </c>
      <c r="I4236" s="102">
        <v>0.66800756682986495</v>
      </c>
      <c r="J4236" s="103">
        <v>1.8054677898182679E-3</v>
      </c>
      <c r="K4236" s="103"/>
      <c r="L4236" s="103">
        <v>0.05</v>
      </c>
      <c r="O4236" s="100"/>
    </row>
    <row r="4237" spans="2:15" x14ac:dyDescent="0.2">
      <c r="B4237" s="1">
        <f t="shared" si="240"/>
        <v>4222</v>
      </c>
      <c r="C4237" s="101">
        <f ca="1"/>
        <v>1.5482401530642491</v>
      </c>
      <c r="D4237" s="101">
        <f t="shared" ca="1" si="237"/>
        <v>0.77414453771012204</v>
      </c>
      <c r="E4237" s="101">
        <f t="shared" ca="1" si="238"/>
        <v>0</v>
      </c>
      <c r="F4237" s="21">
        <f t="shared" ca="1" si="239"/>
        <v>0</v>
      </c>
      <c r="H4237" s="21">
        <v>4222</v>
      </c>
      <c r="I4237" s="102">
        <v>0.66763658250480462</v>
      </c>
      <c r="J4237" s="103">
        <v>1.3650760687852431E-3</v>
      </c>
      <c r="K4237" s="103"/>
      <c r="L4237" s="103">
        <v>4.1399999999999999E-2</v>
      </c>
      <c r="O4237" s="100"/>
    </row>
    <row r="4238" spans="2:15" x14ac:dyDescent="0.2">
      <c r="B4238" s="1">
        <f t="shared" si="240"/>
        <v>4223</v>
      </c>
      <c r="C4238" s="101">
        <f ca="1"/>
        <v>0.63356445811588913</v>
      </c>
      <c r="D4238" s="101">
        <f t="shared" ca="1" si="237"/>
        <v>0.70735578705385838</v>
      </c>
      <c r="E4238" s="101">
        <f t="shared" ca="1" si="238"/>
        <v>0</v>
      </c>
      <c r="F4238" s="21">
        <f t="shared" ca="1" si="239"/>
        <v>0</v>
      </c>
      <c r="H4238" s="21">
        <v>4223</v>
      </c>
      <c r="I4238" s="102">
        <v>0.66781651787561269</v>
      </c>
      <c r="J4238" s="103">
        <v>1.4359043123725974E-3</v>
      </c>
      <c r="K4238" s="103"/>
      <c r="L4238" s="103">
        <v>4.0599999999999997E-2</v>
      </c>
      <c r="O4238" s="100"/>
    </row>
    <row r="4239" spans="2:15" x14ac:dyDescent="0.2">
      <c r="B4239" s="1">
        <f t="shared" si="240"/>
        <v>4224</v>
      </c>
      <c r="C4239" s="101">
        <f ca="1"/>
        <v>6.4747492747535745E-2</v>
      </c>
      <c r="D4239" s="101">
        <f t="shared" ca="1" si="237"/>
        <v>0.66875977478558357</v>
      </c>
      <c r="E4239" s="101">
        <f t="shared" ca="1" si="238"/>
        <v>0</v>
      </c>
      <c r="F4239" s="21">
        <f t="shared" ca="1" si="239"/>
        <v>0</v>
      </c>
      <c r="H4239" s="21">
        <v>4224</v>
      </c>
      <c r="I4239" s="102">
        <v>0.66762849695755067</v>
      </c>
      <c r="J4239" s="103">
        <v>1.348320187564245E-3</v>
      </c>
      <c r="K4239" s="103"/>
      <c r="L4239" s="103">
        <v>3.9800000000000002E-2</v>
      </c>
      <c r="O4239" s="100"/>
    </row>
    <row r="4240" spans="2:15" x14ac:dyDescent="0.2">
      <c r="B4240" s="1">
        <f t="shared" si="240"/>
        <v>4225</v>
      </c>
      <c r="C4240" s="101">
        <f ca="1"/>
        <v>-0.35620950365881587</v>
      </c>
      <c r="D4240" s="101">
        <f t="shared" ref="D4240:D4303" ca="1" si="241">S0*EXP((μ-0.5*σ*σ)*T+σ*SQRT(T)*$C4240)</f>
        <v>0.64155900424828771</v>
      </c>
      <c r="E4240" s="101">
        <f t="shared" ref="E4240:E4303" ca="1" si="242">MAX(0,CP*(D4240-K))</f>
        <v>0</v>
      </c>
      <c r="F4240" s="21">
        <f t="shared" ref="F4240:F4303" ca="1" si="243">(CP*(D4240-K)&gt;0)*1</f>
        <v>0</v>
      </c>
      <c r="H4240" s="21">
        <v>4225</v>
      </c>
      <c r="I4240" s="102">
        <v>0.66772321711605709</v>
      </c>
      <c r="J4240" s="103">
        <v>1.4190643202778011E-3</v>
      </c>
      <c r="K4240" s="103"/>
      <c r="L4240" s="103">
        <v>4.1399999999999999E-2</v>
      </c>
      <c r="O4240" s="100"/>
    </row>
    <row r="4241" spans="2:15" x14ac:dyDescent="0.2">
      <c r="B4241" s="1">
        <f t="shared" si="240"/>
        <v>4226</v>
      </c>
      <c r="C4241" s="101">
        <f ca="1"/>
        <v>0.2381406536138079</v>
      </c>
      <c r="D4241" s="101">
        <f t="shared" ca="1" si="241"/>
        <v>0.6802964410340322</v>
      </c>
      <c r="E4241" s="101">
        <f t="shared" ca="1" si="242"/>
        <v>0</v>
      </c>
      <c r="F4241" s="21">
        <f t="shared" ca="1" si="243"/>
        <v>0</v>
      </c>
      <c r="H4241" s="21">
        <v>4226</v>
      </c>
      <c r="I4241" s="102">
        <v>0.66772312618131135</v>
      </c>
      <c r="J4241" s="103">
        <v>1.4423859384870752E-3</v>
      </c>
      <c r="K4241" s="103"/>
      <c r="L4241" s="103">
        <v>4.1399999999999999E-2</v>
      </c>
      <c r="O4241" s="100"/>
    </row>
    <row r="4242" spans="2:15" x14ac:dyDescent="0.2">
      <c r="B4242" s="1">
        <f t="shared" si="240"/>
        <v>4227</v>
      </c>
      <c r="C4242" s="101">
        <f ca="1"/>
        <v>0.23327910513320382</v>
      </c>
      <c r="D4242" s="101">
        <f t="shared" ca="1" si="241"/>
        <v>0.67997028336705989</v>
      </c>
      <c r="E4242" s="101">
        <f t="shared" ca="1" si="242"/>
        <v>0</v>
      </c>
      <c r="F4242" s="21">
        <f t="shared" ca="1" si="243"/>
        <v>0</v>
      </c>
      <c r="H4242" s="21">
        <v>4227</v>
      </c>
      <c r="I4242" s="102">
        <v>0.66786967209497283</v>
      </c>
      <c r="J4242" s="103">
        <v>1.5376727235028554E-3</v>
      </c>
      <c r="K4242" s="103"/>
      <c r="L4242" s="103">
        <v>4.6399999999999997E-2</v>
      </c>
      <c r="O4242" s="100"/>
    </row>
    <row r="4243" spans="2:15" x14ac:dyDescent="0.2">
      <c r="B4243" s="1">
        <f t="shared" si="240"/>
        <v>4228</v>
      </c>
      <c r="C4243" s="101">
        <f ca="1"/>
        <v>0.45472901895461953</v>
      </c>
      <c r="D4243" s="101">
        <f t="shared" ca="1" si="241"/>
        <v>0.69498704796850819</v>
      </c>
      <c r="E4243" s="101">
        <f t="shared" ca="1" si="242"/>
        <v>0</v>
      </c>
      <c r="F4243" s="21">
        <f t="shared" ca="1" si="243"/>
        <v>0</v>
      </c>
      <c r="H4243" s="21">
        <v>4228</v>
      </c>
      <c r="I4243" s="102">
        <v>0.66788216220530816</v>
      </c>
      <c r="J4243" s="103">
        <v>1.5008255437264236E-3</v>
      </c>
      <c r="K4243" s="103"/>
      <c r="L4243" s="103">
        <v>4.6399999999999997E-2</v>
      </c>
      <c r="O4243" s="100"/>
    </row>
    <row r="4244" spans="2:15" x14ac:dyDescent="0.2">
      <c r="B4244" s="1">
        <f t="shared" si="240"/>
        <v>4229</v>
      </c>
      <c r="C4244" s="101">
        <f ca="1"/>
        <v>0.43134661065172042</v>
      </c>
      <c r="D4244" s="101">
        <f t="shared" ca="1" si="241"/>
        <v>0.69338592715232683</v>
      </c>
      <c r="E4244" s="101">
        <f t="shared" ca="1" si="242"/>
        <v>0</v>
      </c>
      <c r="F4244" s="21">
        <f t="shared" ca="1" si="243"/>
        <v>0</v>
      </c>
      <c r="H4244" s="21">
        <v>4229</v>
      </c>
      <c r="I4244" s="102">
        <v>0.6676616323779726</v>
      </c>
      <c r="J4244" s="103">
        <v>1.3709612288657518E-3</v>
      </c>
      <c r="K4244" s="103"/>
      <c r="L4244" s="103">
        <v>3.9199999999999999E-2</v>
      </c>
      <c r="O4244" s="100"/>
    </row>
    <row r="4245" spans="2:15" x14ac:dyDescent="0.2">
      <c r="B4245" s="1">
        <f t="shared" si="240"/>
        <v>4230</v>
      </c>
      <c r="C4245" s="101">
        <f ca="1"/>
        <v>-0.44357523672980015</v>
      </c>
      <c r="D4245" s="101">
        <f t="shared" ca="1" si="241"/>
        <v>0.63605388630932469</v>
      </c>
      <c r="E4245" s="101">
        <f t="shared" ca="1" si="242"/>
        <v>0</v>
      </c>
      <c r="F4245" s="21">
        <f t="shared" ca="1" si="243"/>
        <v>0</v>
      </c>
      <c r="H4245" s="21">
        <v>4230</v>
      </c>
      <c r="I4245" s="102">
        <v>0.66776373450448656</v>
      </c>
      <c r="J4245" s="103">
        <v>1.3348041584901988E-3</v>
      </c>
      <c r="K4245" s="103"/>
      <c r="L4245" s="103">
        <v>4.2599999999999999E-2</v>
      </c>
      <c r="O4245" s="100"/>
    </row>
    <row r="4246" spans="2:15" x14ac:dyDescent="0.2">
      <c r="B4246" s="1">
        <f t="shared" si="240"/>
        <v>4231</v>
      </c>
      <c r="C4246" s="101">
        <f ca="1"/>
        <v>1.336311960668207</v>
      </c>
      <c r="D4246" s="101">
        <f t="shared" ca="1" si="241"/>
        <v>0.75812912407460564</v>
      </c>
      <c r="E4246" s="101">
        <f t="shared" ca="1" si="242"/>
        <v>0</v>
      </c>
      <c r="F4246" s="21">
        <f t="shared" ca="1" si="243"/>
        <v>0</v>
      </c>
      <c r="H4246" s="21">
        <v>4231</v>
      </c>
      <c r="I4246" s="102">
        <v>0.66780165383687429</v>
      </c>
      <c r="J4246" s="103">
        <v>1.4034504982324669E-3</v>
      </c>
      <c r="K4246" s="103"/>
      <c r="L4246" s="103">
        <v>4.4400000000000002E-2</v>
      </c>
      <c r="O4246" s="100"/>
    </row>
    <row r="4247" spans="2:15" x14ac:dyDescent="0.2">
      <c r="B4247" s="1">
        <f t="shared" si="240"/>
        <v>4232</v>
      </c>
      <c r="C4247" s="101">
        <f ca="1"/>
        <v>1.923564029540392</v>
      </c>
      <c r="D4247" s="101">
        <f t="shared" ca="1" si="241"/>
        <v>0.80334241453300359</v>
      </c>
      <c r="E4247" s="101">
        <f t="shared" ca="1" si="242"/>
        <v>1.5142414533003579E-2</v>
      </c>
      <c r="F4247" s="21">
        <f t="shared" ca="1" si="243"/>
        <v>1</v>
      </c>
      <c r="H4247" s="21">
        <v>4232</v>
      </c>
      <c r="I4247" s="102">
        <v>0.6676201192846638</v>
      </c>
      <c r="J4247" s="103">
        <v>1.1689688886549145E-3</v>
      </c>
      <c r="K4247" s="103"/>
      <c r="L4247" s="103">
        <v>3.8600000000000002E-2</v>
      </c>
      <c r="O4247" s="100"/>
    </row>
    <row r="4248" spans="2:15" x14ac:dyDescent="0.2">
      <c r="B4248" s="1">
        <f t="shared" si="240"/>
        <v>4233</v>
      </c>
      <c r="C4248" s="101">
        <f ca="1"/>
        <v>0.36051590913116977</v>
      </c>
      <c r="D4248" s="101">
        <f t="shared" ca="1" si="241"/>
        <v>0.68855823933769666</v>
      </c>
      <c r="E4248" s="101">
        <f t="shared" ca="1" si="242"/>
        <v>0</v>
      </c>
      <c r="F4248" s="21">
        <f t="shared" ca="1" si="243"/>
        <v>0</v>
      </c>
      <c r="H4248" s="21">
        <v>4233</v>
      </c>
      <c r="I4248" s="102">
        <v>0.66783230666172133</v>
      </c>
      <c r="J4248" s="103">
        <v>1.3279762753438118E-3</v>
      </c>
      <c r="K4248" s="103"/>
      <c r="L4248" s="103">
        <v>4.24E-2</v>
      </c>
      <c r="O4248" s="100"/>
    </row>
    <row r="4249" spans="2:15" x14ac:dyDescent="0.2">
      <c r="B4249" s="1">
        <f t="shared" si="240"/>
        <v>4234</v>
      </c>
      <c r="C4249" s="101">
        <f ca="1"/>
        <v>1.2872186857117942</v>
      </c>
      <c r="D4249" s="101">
        <f t="shared" ca="1" si="241"/>
        <v>0.75446666359333181</v>
      </c>
      <c r="E4249" s="101">
        <f t="shared" ca="1" si="242"/>
        <v>0</v>
      </c>
      <c r="F4249" s="21">
        <f t="shared" ca="1" si="243"/>
        <v>0</v>
      </c>
      <c r="H4249" s="21">
        <v>4234</v>
      </c>
      <c r="I4249" s="102">
        <v>0.66764077195097626</v>
      </c>
      <c r="J4249" s="103">
        <v>1.3025741049958594E-3</v>
      </c>
      <c r="K4249" s="103"/>
      <c r="L4249" s="103">
        <v>3.7999999999999999E-2</v>
      </c>
      <c r="O4249" s="100"/>
    </row>
    <row r="4250" spans="2:15" x14ac:dyDescent="0.2">
      <c r="B4250" s="1">
        <f t="shared" si="240"/>
        <v>4235</v>
      </c>
      <c r="C4250" s="101">
        <f ca="1"/>
        <v>-0.61419879779885889</v>
      </c>
      <c r="D4250" s="101">
        <f t="shared" ca="1" si="241"/>
        <v>0.62543834279697164</v>
      </c>
      <c r="E4250" s="101">
        <f t="shared" ca="1" si="242"/>
        <v>0</v>
      </c>
      <c r="F4250" s="21">
        <f t="shared" ca="1" si="243"/>
        <v>0</v>
      </c>
      <c r="H4250" s="21">
        <v>4235</v>
      </c>
      <c r="I4250" s="102">
        <v>0.66756190779357572</v>
      </c>
      <c r="J4250" s="103">
        <v>1.2003266059182614E-3</v>
      </c>
      <c r="K4250" s="103"/>
      <c r="L4250" s="103">
        <v>3.7400000000000003E-2</v>
      </c>
      <c r="O4250" s="100"/>
    </row>
    <row r="4251" spans="2:15" x14ac:dyDescent="0.2">
      <c r="B4251" s="1">
        <f t="shared" si="240"/>
        <v>4236</v>
      </c>
      <c r="C4251" s="101">
        <f ca="1"/>
        <v>-0.79136492283895266</v>
      </c>
      <c r="D4251" s="101">
        <f t="shared" ca="1" si="241"/>
        <v>0.61460319668454544</v>
      </c>
      <c r="E4251" s="101">
        <f t="shared" ca="1" si="242"/>
        <v>0</v>
      </c>
      <c r="F4251" s="21">
        <f t="shared" ca="1" si="243"/>
        <v>0</v>
      </c>
      <c r="H4251" s="21">
        <v>4236</v>
      </c>
      <c r="I4251" s="102">
        <v>0.66775508123018368</v>
      </c>
      <c r="J4251" s="103">
        <v>1.3568353733472136E-3</v>
      </c>
      <c r="K4251" s="103"/>
      <c r="L4251" s="103">
        <v>4.4200000000000003E-2</v>
      </c>
      <c r="O4251" s="100"/>
    </row>
    <row r="4252" spans="2:15" x14ac:dyDescent="0.2">
      <c r="B4252" s="1">
        <f t="shared" si="240"/>
        <v>4237</v>
      </c>
      <c r="C4252" s="101">
        <f ca="1"/>
        <v>-1.354381645474527</v>
      </c>
      <c r="D4252" s="101">
        <f t="shared" ca="1" si="241"/>
        <v>0.58140066678055891</v>
      </c>
      <c r="E4252" s="101">
        <f t="shared" ca="1" si="242"/>
        <v>0</v>
      </c>
      <c r="F4252" s="21">
        <f t="shared" ca="1" si="243"/>
        <v>0</v>
      </c>
      <c r="H4252" s="21">
        <v>4237</v>
      </c>
      <c r="I4252" s="102">
        <v>0.66773266672354425</v>
      </c>
      <c r="J4252" s="103">
        <v>1.442957440735798E-3</v>
      </c>
      <c r="K4252" s="103"/>
      <c r="L4252" s="103">
        <v>4.2200000000000001E-2</v>
      </c>
      <c r="O4252" s="100"/>
    </row>
    <row r="4253" spans="2:15" x14ac:dyDescent="0.2">
      <c r="B4253" s="1">
        <f t="shared" si="240"/>
        <v>4238</v>
      </c>
      <c r="C4253" s="101">
        <f ca="1"/>
        <v>-2.1000875986005463</v>
      </c>
      <c r="D4253" s="101">
        <f t="shared" ca="1" si="241"/>
        <v>0.54016935519947828</v>
      </c>
      <c r="E4253" s="101">
        <f t="shared" ca="1" si="242"/>
        <v>0</v>
      </c>
      <c r="F4253" s="21">
        <f t="shared" ca="1" si="243"/>
        <v>0</v>
      </c>
      <c r="H4253" s="21">
        <v>4238</v>
      </c>
      <c r="I4253" s="102">
        <v>0.66788807540364536</v>
      </c>
      <c r="J4253" s="103">
        <v>1.441899085696578E-3</v>
      </c>
      <c r="K4253" s="103"/>
      <c r="L4253" s="103">
        <v>4.4999999999999998E-2</v>
      </c>
      <c r="O4253" s="100"/>
    </row>
    <row r="4254" spans="2:15" x14ac:dyDescent="0.2">
      <c r="B4254" s="1">
        <f t="shared" si="240"/>
        <v>4239</v>
      </c>
      <c r="C4254" s="101">
        <f ca="1"/>
        <v>-1.6325396633121596</v>
      </c>
      <c r="D4254" s="101">
        <f t="shared" ca="1" si="241"/>
        <v>0.56566512961631066</v>
      </c>
      <c r="E4254" s="101">
        <f t="shared" ca="1" si="242"/>
        <v>0</v>
      </c>
      <c r="F4254" s="21">
        <f t="shared" ca="1" si="243"/>
        <v>0</v>
      </c>
      <c r="H4254" s="21">
        <v>4239</v>
      </c>
      <c r="I4254" s="102">
        <v>0.66761983401508274</v>
      </c>
      <c r="J4254" s="103">
        <v>1.302659267997439E-3</v>
      </c>
      <c r="K4254" s="103"/>
      <c r="L4254" s="103">
        <v>3.8199999999999998E-2</v>
      </c>
      <c r="O4254" s="100"/>
    </row>
    <row r="4255" spans="2:15" x14ac:dyDescent="0.2">
      <c r="B4255" s="1">
        <f t="shared" si="240"/>
        <v>4240</v>
      </c>
      <c r="C4255" s="101">
        <f ca="1"/>
        <v>-7.8978511699346166E-2</v>
      </c>
      <c r="D4255" s="101">
        <f t="shared" ca="1" si="241"/>
        <v>0.65934544372643111</v>
      </c>
      <c r="E4255" s="101">
        <f t="shared" ca="1" si="242"/>
        <v>0</v>
      </c>
      <c r="F4255" s="21">
        <f t="shared" ca="1" si="243"/>
        <v>0</v>
      </c>
      <c r="H4255" s="21">
        <v>4240</v>
      </c>
      <c r="I4255" s="102">
        <v>0.66791858860364506</v>
      </c>
      <c r="J4255" s="103">
        <v>1.5245939549576458E-3</v>
      </c>
      <c r="K4255" s="103"/>
      <c r="L4255" s="103">
        <v>4.5999999999999999E-2</v>
      </c>
      <c r="O4255" s="100"/>
    </row>
    <row r="4256" spans="2:15" x14ac:dyDescent="0.2">
      <c r="B4256" s="1">
        <f t="shared" si="240"/>
        <v>4241</v>
      </c>
      <c r="C4256" s="101">
        <f ca="1"/>
        <v>-0.73952560861343619</v>
      </c>
      <c r="D4256" s="101">
        <f t="shared" ca="1" si="241"/>
        <v>0.61775401831628285</v>
      </c>
      <c r="E4256" s="101">
        <f t="shared" ca="1" si="242"/>
        <v>0</v>
      </c>
      <c r="F4256" s="21">
        <f t="shared" ca="1" si="243"/>
        <v>0</v>
      </c>
      <c r="H4256" s="21">
        <v>4241</v>
      </c>
      <c r="I4256" s="102">
        <v>0.66761245825918714</v>
      </c>
      <c r="J4256" s="103">
        <v>1.2451205036652921E-3</v>
      </c>
      <c r="K4256" s="103"/>
      <c r="L4256" s="103">
        <v>4.0800000000000003E-2</v>
      </c>
      <c r="O4256" s="100"/>
    </row>
    <row r="4257" spans="2:15" x14ac:dyDescent="0.2">
      <c r="B4257" s="1">
        <f t="shared" si="240"/>
        <v>4242</v>
      </c>
      <c r="C4257" s="101">
        <f ca="1"/>
        <v>-0.46704636237910357</v>
      </c>
      <c r="D4257" s="101">
        <f t="shared" ca="1" si="241"/>
        <v>0.63458298314491268</v>
      </c>
      <c r="E4257" s="101">
        <f t="shared" ca="1" si="242"/>
        <v>0</v>
      </c>
      <c r="F4257" s="21">
        <f t="shared" ca="1" si="243"/>
        <v>0</v>
      </c>
      <c r="H4257" s="21">
        <v>4242</v>
      </c>
      <c r="I4257" s="102">
        <v>0.66760289494852787</v>
      </c>
      <c r="J4257" s="103">
        <v>1.4025039173406028E-3</v>
      </c>
      <c r="K4257" s="103"/>
      <c r="L4257" s="103">
        <v>4.0800000000000003E-2</v>
      </c>
      <c r="O4257" s="100"/>
    </row>
    <row r="4258" spans="2:15" x14ac:dyDescent="0.2">
      <c r="B4258" s="1">
        <f t="shared" si="240"/>
        <v>4243</v>
      </c>
      <c r="C4258" s="101">
        <f ca="1"/>
        <v>3.53409308997894E-3</v>
      </c>
      <c r="D4258" s="101">
        <f t="shared" ca="1" si="241"/>
        <v>0.66473385580180167</v>
      </c>
      <c r="E4258" s="101">
        <f t="shared" ca="1" si="242"/>
        <v>0</v>
      </c>
      <c r="F4258" s="21">
        <f t="shared" ca="1" si="243"/>
        <v>0</v>
      </c>
      <c r="H4258" s="21">
        <v>4243</v>
      </c>
      <c r="I4258" s="102">
        <v>0.66763354312517098</v>
      </c>
      <c r="J4258" s="103">
        <v>1.2569863644405056E-3</v>
      </c>
      <c r="K4258" s="103"/>
      <c r="L4258" s="103">
        <v>3.6400000000000002E-2</v>
      </c>
      <c r="O4258" s="100"/>
    </row>
    <row r="4259" spans="2:15" x14ac:dyDescent="0.2">
      <c r="B4259" s="1">
        <f t="shared" si="240"/>
        <v>4244</v>
      </c>
      <c r="C4259" s="101">
        <f ca="1"/>
        <v>-1.1489233063790876</v>
      </c>
      <c r="D4259" s="101">
        <f t="shared" ca="1" si="241"/>
        <v>0.59330394229640593</v>
      </c>
      <c r="E4259" s="101">
        <f t="shared" ca="1" si="242"/>
        <v>0</v>
      </c>
      <c r="F4259" s="21">
        <f t="shared" ca="1" si="243"/>
        <v>0</v>
      </c>
      <c r="H4259" s="21">
        <v>4244</v>
      </c>
      <c r="I4259" s="102">
        <v>0.66762128557482991</v>
      </c>
      <c r="J4259" s="103">
        <v>1.3132199478321459E-3</v>
      </c>
      <c r="K4259" s="103"/>
      <c r="L4259" s="103">
        <v>3.9399999999999998E-2</v>
      </c>
      <c r="O4259" s="100"/>
    </row>
    <row r="4260" spans="2:15" x14ac:dyDescent="0.2">
      <c r="B4260" s="1">
        <f t="shared" si="240"/>
        <v>4245</v>
      </c>
      <c r="C4260" s="101">
        <f ca="1"/>
        <v>-0.2794691119332891</v>
      </c>
      <c r="D4260" s="101">
        <f t="shared" ca="1" si="241"/>
        <v>0.64643388851292005</v>
      </c>
      <c r="E4260" s="101">
        <f t="shared" ca="1" si="242"/>
        <v>0</v>
      </c>
      <c r="F4260" s="21">
        <f t="shared" ca="1" si="243"/>
        <v>0</v>
      </c>
      <c r="H4260" s="21">
        <v>4245</v>
      </c>
      <c r="I4260" s="102">
        <v>0.66765311409995087</v>
      </c>
      <c r="J4260" s="103">
        <v>1.1894937463175529E-3</v>
      </c>
      <c r="K4260" s="103"/>
      <c r="L4260" s="103">
        <v>4.1599999999999998E-2</v>
      </c>
      <c r="O4260" s="100"/>
    </row>
    <row r="4261" spans="2:15" x14ac:dyDescent="0.2">
      <c r="B4261" s="1">
        <f t="shared" si="240"/>
        <v>4246</v>
      </c>
      <c r="C4261" s="101">
        <f ca="1"/>
        <v>1.5780088474077996</v>
      </c>
      <c r="D4261" s="101">
        <f t="shared" ca="1" si="241"/>
        <v>0.77642109473669574</v>
      </c>
      <c r="E4261" s="101">
        <f t="shared" ca="1" si="242"/>
        <v>0</v>
      </c>
      <c r="F4261" s="21">
        <f t="shared" ca="1" si="243"/>
        <v>0</v>
      </c>
      <c r="H4261" s="21">
        <v>4246</v>
      </c>
      <c r="I4261" s="102">
        <v>0.66792088893196677</v>
      </c>
      <c r="J4261" s="103">
        <v>1.5574674701317695E-3</v>
      </c>
      <c r="K4261" s="103"/>
      <c r="L4261" s="103">
        <v>4.7E-2</v>
      </c>
      <c r="O4261" s="100"/>
    </row>
    <row r="4262" spans="2:15" x14ac:dyDescent="0.2">
      <c r="B4262" s="1">
        <f t="shared" si="240"/>
        <v>4247</v>
      </c>
      <c r="C4262" s="101">
        <f ca="1"/>
        <v>-1.4333364846718373</v>
      </c>
      <c r="D4262" s="101">
        <f t="shared" ca="1" si="241"/>
        <v>0.57689018338038567</v>
      </c>
      <c r="E4262" s="101">
        <f t="shared" ca="1" si="242"/>
        <v>0</v>
      </c>
      <c r="F4262" s="21">
        <f t="shared" ca="1" si="243"/>
        <v>0</v>
      </c>
      <c r="H4262" s="21">
        <v>4247</v>
      </c>
      <c r="I4262" s="102">
        <v>0.66773406583174877</v>
      </c>
      <c r="J4262" s="103">
        <v>1.3627387663869377E-3</v>
      </c>
      <c r="K4262" s="103"/>
      <c r="L4262" s="103">
        <v>4.0399999999999998E-2</v>
      </c>
      <c r="O4262" s="100"/>
    </row>
    <row r="4263" spans="2:15" x14ac:dyDescent="0.2">
      <c r="B4263" s="1">
        <f t="shared" si="240"/>
        <v>4248</v>
      </c>
      <c r="C4263" s="101">
        <f ca="1"/>
        <v>-0.51842616519492601</v>
      </c>
      <c r="D4263" s="101">
        <f t="shared" ca="1" si="241"/>
        <v>0.63137494383642179</v>
      </c>
      <c r="E4263" s="101">
        <f t="shared" ca="1" si="242"/>
        <v>0</v>
      </c>
      <c r="F4263" s="21">
        <f t="shared" ca="1" si="243"/>
        <v>0</v>
      </c>
      <c r="H4263" s="21">
        <v>4248</v>
      </c>
      <c r="I4263" s="102">
        <v>0.66771601206151288</v>
      </c>
      <c r="J4263" s="103">
        <v>1.4706904045209339E-3</v>
      </c>
      <c r="K4263" s="103"/>
      <c r="L4263" s="103">
        <v>4.2599999999999999E-2</v>
      </c>
      <c r="O4263" s="100"/>
    </row>
    <row r="4264" spans="2:15" x14ac:dyDescent="0.2">
      <c r="B4264" s="1">
        <f t="shared" si="240"/>
        <v>4249</v>
      </c>
      <c r="C4264" s="101">
        <f ca="1"/>
        <v>-0.87905273031168585</v>
      </c>
      <c r="D4264" s="101">
        <f t="shared" ca="1" si="241"/>
        <v>0.60931002434073778</v>
      </c>
      <c r="E4264" s="101">
        <f t="shared" ca="1" si="242"/>
        <v>0</v>
      </c>
      <c r="F4264" s="21">
        <f t="shared" ca="1" si="243"/>
        <v>0</v>
      </c>
      <c r="H4264" s="21">
        <v>4249</v>
      </c>
      <c r="I4264" s="102">
        <v>0.66793107879615954</v>
      </c>
      <c r="J4264" s="103">
        <v>1.5649031918337191E-3</v>
      </c>
      <c r="K4264" s="103"/>
      <c r="L4264" s="103">
        <v>4.36E-2</v>
      </c>
      <c r="O4264" s="100"/>
    </row>
    <row r="4265" spans="2:15" x14ac:dyDescent="0.2">
      <c r="B4265" s="1">
        <f t="shared" si="240"/>
        <v>4250</v>
      </c>
      <c r="C4265" s="101">
        <f ca="1"/>
        <v>0.47496813793698051</v>
      </c>
      <c r="D4265" s="101">
        <f t="shared" ca="1" si="241"/>
        <v>0.69637591542898281</v>
      </c>
      <c r="E4265" s="101">
        <f t="shared" ca="1" si="242"/>
        <v>0</v>
      </c>
      <c r="F4265" s="21">
        <f t="shared" ca="1" si="243"/>
        <v>0</v>
      </c>
      <c r="H4265" s="21">
        <v>4250</v>
      </c>
      <c r="I4265" s="102">
        <v>0.66767528868105197</v>
      </c>
      <c r="J4265" s="103">
        <v>1.256748201324976E-3</v>
      </c>
      <c r="K4265" s="103"/>
      <c r="L4265" s="103">
        <v>4.1000000000000002E-2</v>
      </c>
      <c r="O4265" s="100"/>
    </row>
    <row r="4266" spans="2:15" x14ac:dyDescent="0.2">
      <c r="B4266" s="1">
        <f t="shared" si="240"/>
        <v>4251</v>
      </c>
      <c r="C4266" s="101">
        <f ca="1"/>
        <v>-1.1953546934456953</v>
      </c>
      <c r="D4266" s="101">
        <f t="shared" ca="1" si="241"/>
        <v>0.59059279179955371</v>
      </c>
      <c r="E4266" s="101">
        <f t="shared" ca="1" si="242"/>
        <v>0</v>
      </c>
      <c r="F4266" s="21">
        <f t="shared" ca="1" si="243"/>
        <v>0</v>
      </c>
      <c r="H4266" s="21">
        <v>4251</v>
      </c>
      <c r="I4266" s="102">
        <v>0.66763906176944132</v>
      </c>
      <c r="J4266" s="103">
        <v>1.1717606093974999E-3</v>
      </c>
      <c r="K4266" s="103"/>
      <c r="L4266" s="103">
        <v>4.1000000000000002E-2</v>
      </c>
      <c r="O4266" s="100"/>
    </row>
    <row r="4267" spans="2:15" x14ac:dyDescent="0.2">
      <c r="B4267" s="1">
        <f t="shared" si="240"/>
        <v>4252</v>
      </c>
      <c r="C4267" s="101">
        <f ca="1"/>
        <v>-0.41766274434289274</v>
      </c>
      <c r="D4267" s="101">
        <f t="shared" ca="1" si="241"/>
        <v>0.6376817466944702</v>
      </c>
      <c r="E4267" s="101">
        <f t="shared" ca="1" si="242"/>
        <v>0</v>
      </c>
      <c r="F4267" s="21">
        <f t="shared" ca="1" si="243"/>
        <v>0</v>
      </c>
      <c r="H4267" s="21">
        <v>4252</v>
      </c>
      <c r="I4267" s="102">
        <v>0.66778484642507185</v>
      </c>
      <c r="J4267" s="103">
        <v>1.3783034989245447E-3</v>
      </c>
      <c r="K4267" s="103"/>
      <c r="L4267" s="103">
        <v>4.3400000000000001E-2</v>
      </c>
      <c r="O4267" s="100"/>
    </row>
    <row r="4268" spans="2:15" x14ac:dyDescent="0.2">
      <c r="B4268" s="1">
        <f t="shared" si="240"/>
        <v>4253</v>
      </c>
      <c r="C4268" s="101">
        <f ca="1"/>
        <v>1.1685705778803355</v>
      </c>
      <c r="D4268" s="101">
        <f t="shared" ca="1" si="241"/>
        <v>0.74568815284823353</v>
      </c>
      <c r="E4268" s="101">
        <f t="shared" ca="1" si="242"/>
        <v>0</v>
      </c>
      <c r="F4268" s="21">
        <f t="shared" ca="1" si="243"/>
        <v>0</v>
      </c>
      <c r="H4268" s="21">
        <v>4253</v>
      </c>
      <c r="I4268" s="102">
        <v>0.66774259928970336</v>
      </c>
      <c r="J4268" s="103">
        <v>1.436360273008341E-3</v>
      </c>
      <c r="K4268" s="103"/>
      <c r="L4268" s="103">
        <v>4.2000000000000003E-2</v>
      </c>
      <c r="O4268" s="100"/>
    </row>
    <row r="4269" spans="2:15" x14ac:dyDescent="0.2">
      <c r="B4269" s="1">
        <f t="shared" si="240"/>
        <v>4254</v>
      </c>
      <c r="C4269" s="101">
        <f ca="1"/>
        <v>1.4398192637658858</v>
      </c>
      <c r="D4269" s="101">
        <f t="shared" ca="1" si="241"/>
        <v>0.76590934725888138</v>
      </c>
      <c r="E4269" s="101">
        <f t="shared" ca="1" si="242"/>
        <v>0</v>
      </c>
      <c r="F4269" s="21">
        <f t="shared" ca="1" si="243"/>
        <v>0</v>
      </c>
      <c r="H4269" s="21">
        <v>4254</v>
      </c>
      <c r="I4269" s="102">
        <v>0.66765141155478047</v>
      </c>
      <c r="J4269" s="103">
        <v>1.3359475249990745E-3</v>
      </c>
      <c r="K4269" s="103"/>
      <c r="L4269" s="103">
        <v>4.1799999999999997E-2</v>
      </c>
      <c r="O4269" s="100"/>
    </row>
    <row r="4270" spans="2:15" x14ac:dyDescent="0.2">
      <c r="B4270" s="1">
        <f t="shared" si="240"/>
        <v>4255</v>
      </c>
      <c r="C4270" s="101">
        <f ca="1"/>
        <v>0.61387835580682271</v>
      </c>
      <c r="D4270" s="101">
        <f t="shared" ca="1" si="241"/>
        <v>0.70598353165715011</v>
      </c>
      <c r="E4270" s="101">
        <f t="shared" ca="1" si="242"/>
        <v>0</v>
      </c>
      <c r="F4270" s="21">
        <f t="shared" ca="1" si="243"/>
        <v>0</v>
      </c>
      <c r="H4270" s="21">
        <v>4255</v>
      </c>
      <c r="I4270" s="102">
        <v>0.66779715561858743</v>
      </c>
      <c r="J4270" s="103">
        <v>1.4387348959287363E-3</v>
      </c>
      <c r="K4270" s="103"/>
      <c r="L4270" s="103">
        <v>4.1399999999999999E-2</v>
      </c>
      <c r="O4270" s="100"/>
    </row>
    <row r="4271" spans="2:15" x14ac:dyDescent="0.2">
      <c r="B4271" s="1">
        <f t="shared" si="240"/>
        <v>4256</v>
      </c>
      <c r="C4271" s="101">
        <f ca="1"/>
        <v>-0.87910251641838832</v>
      </c>
      <c r="D4271" s="101">
        <f t="shared" ca="1" si="241"/>
        <v>0.60930703204631587</v>
      </c>
      <c r="E4271" s="101">
        <f t="shared" ca="1" si="242"/>
        <v>0</v>
      </c>
      <c r="F4271" s="21">
        <f t="shared" ca="1" si="243"/>
        <v>0</v>
      </c>
      <c r="H4271" s="21">
        <v>4256</v>
      </c>
      <c r="I4271" s="102">
        <v>0.6676914935051852</v>
      </c>
      <c r="J4271" s="103">
        <v>1.2749608987431625E-3</v>
      </c>
      <c r="K4271" s="103"/>
      <c r="L4271" s="103">
        <v>3.7400000000000003E-2</v>
      </c>
      <c r="O4271" s="100"/>
    </row>
    <row r="4272" spans="2:15" x14ac:dyDescent="0.2">
      <c r="B4272" s="1">
        <f t="shared" ref="B4272:B4335" si="244">B4271+1</f>
        <v>4257</v>
      </c>
      <c r="C4272" s="101">
        <f ca="1"/>
        <v>-0.41065422732481255</v>
      </c>
      <c r="D4272" s="101">
        <f t="shared" ca="1" si="241"/>
        <v>0.63812274726115004</v>
      </c>
      <c r="E4272" s="101">
        <f t="shared" ca="1" si="242"/>
        <v>0</v>
      </c>
      <c r="F4272" s="21">
        <f t="shared" ca="1" si="243"/>
        <v>0</v>
      </c>
      <c r="H4272" s="21">
        <v>4257</v>
      </c>
      <c r="I4272" s="102">
        <v>0.6675504812496541</v>
      </c>
      <c r="J4272" s="103">
        <v>1.0970005424624639E-3</v>
      </c>
      <c r="K4272" s="103"/>
      <c r="L4272" s="103">
        <v>3.4599999999999999E-2</v>
      </c>
      <c r="O4272" s="100"/>
    </row>
    <row r="4273" spans="2:15" x14ac:dyDescent="0.2">
      <c r="B4273" s="1">
        <f t="shared" si="244"/>
        <v>4258</v>
      </c>
      <c r="C4273" s="101">
        <f ca="1"/>
        <v>0.21327977997912426</v>
      </c>
      <c r="D4273" s="101">
        <f t="shared" ca="1" si="241"/>
        <v>0.67863018750479098</v>
      </c>
      <c r="E4273" s="101">
        <f t="shared" ca="1" si="242"/>
        <v>0</v>
      </c>
      <c r="F4273" s="21">
        <f t="shared" ca="1" si="243"/>
        <v>0</v>
      </c>
      <c r="H4273" s="21">
        <v>4258</v>
      </c>
      <c r="I4273" s="102">
        <v>0.66784417982409228</v>
      </c>
      <c r="J4273" s="103">
        <v>1.5136323521246482E-3</v>
      </c>
      <c r="K4273" s="103"/>
      <c r="L4273" s="103">
        <v>4.3799999999999999E-2</v>
      </c>
      <c r="O4273" s="100"/>
    </row>
    <row r="4274" spans="2:15" x14ac:dyDescent="0.2">
      <c r="B4274" s="1">
        <f t="shared" si="244"/>
        <v>4259</v>
      </c>
      <c r="C4274" s="101">
        <f ca="1"/>
        <v>1.1299312266061983</v>
      </c>
      <c r="D4274" s="101">
        <f t="shared" ca="1" si="241"/>
        <v>0.74285141900402851</v>
      </c>
      <c r="E4274" s="101">
        <f t="shared" ca="1" si="242"/>
        <v>0</v>
      </c>
      <c r="F4274" s="21">
        <f t="shared" ca="1" si="243"/>
        <v>0</v>
      </c>
      <c r="H4274" s="21">
        <v>4259</v>
      </c>
      <c r="I4274" s="102">
        <v>0.66781259235313672</v>
      </c>
      <c r="J4274" s="103">
        <v>1.4872360295673133E-3</v>
      </c>
      <c r="K4274" s="103"/>
      <c r="L4274" s="103">
        <v>4.4400000000000002E-2</v>
      </c>
      <c r="O4274" s="100"/>
    </row>
    <row r="4275" spans="2:15" x14ac:dyDescent="0.2">
      <c r="B4275" s="1">
        <f t="shared" si="244"/>
        <v>4260</v>
      </c>
      <c r="C4275" s="101">
        <f ca="1"/>
        <v>-0.52350612066229285</v>
      </c>
      <c r="D4275" s="101">
        <f t="shared" ca="1" si="241"/>
        <v>0.63105864518362442</v>
      </c>
      <c r="E4275" s="101">
        <f t="shared" ca="1" si="242"/>
        <v>0</v>
      </c>
      <c r="F4275" s="21">
        <f t="shared" ca="1" si="243"/>
        <v>0</v>
      </c>
      <c r="H4275" s="21">
        <v>4260</v>
      </c>
      <c r="I4275" s="102">
        <v>0.66764143471629311</v>
      </c>
      <c r="J4275" s="103">
        <v>1.4338656690747896E-3</v>
      </c>
      <c r="K4275" s="103"/>
      <c r="L4275" s="103">
        <v>4.0599999999999997E-2</v>
      </c>
      <c r="O4275" s="100"/>
    </row>
    <row r="4276" spans="2:15" x14ac:dyDescent="0.2">
      <c r="B4276" s="1">
        <f t="shared" si="244"/>
        <v>4261</v>
      </c>
      <c r="C4276" s="101">
        <f ca="1"/>
        <v>0.31642510224327008</v>
      </c>
      <c r="D4276" s="101">
        <f t="shared" ca="1" si="241"/>
        <v>0.68557008133481367</v>
      </c>
      <c r="E4276" s="101">
        <f t="shared" ca="1" si="242"/>
        <v>0</v>
      </c>
      <c r="F4276" s="21">
        <f t="shared" ca="1" si="243"/>
        <v>0</v>
      </c>
      <c r="H4276" s="21">
        <v>4261</v>
      </c>
      <c r="I4276" s="102">
        <v>0.66769164222128452</v>
      </c>
      <c r="J4276" s="103">
        <v>1.215669627240902E-3</v>
      </c>
      <c r="K4276" s="103"/>
      <c r="L4276" s="103">
        <v>3.9399999999999998E-2</v>
      </c>
      <c r="O4276" s="100"/>
    </row>
    <row r="4277" spans="2:15" x14ac:dyDescent="0.2">
      <c r="B4277" s="1">
        <f t="shared" si="244"/>
        <v>4262</v>
      </c>
      <c r="C4277" s="101">
        <f ca="1"/>
        <v>-0.24325947108441312</v>
      </c>
      <c r="D4277" s="101">
        <f t="shared" ca="1" si="241"/>
        <v>0.64874692809005918</v>
      </c>
      <c r="E4277" s="101">
        <f t="shared" ca="1" si="242"/>
        <v>0</v>
      </c>
      <c r="F4277" s="21">
        <f t="shared" ca="1" si="243"/>
        <v>0</v>
      </c>
      <c r="H4277" s="21">
        <v>4262</v>
      </c>
      <c r="I4277" s="102">
        <v>0.66765299530024991</v>
      </c>
      <c r="J4277" s="103">
        <v>1.2195573960628683E-3</v>
      </c>
      <c r="K4277" s="103"/>
      <c r="L4277" s="103">
        <v>3.5400000000000001E-2</v>
      </c>
      <c r="O4277" s="100"/>
    </row>
    <row r="4278" spans="2:15" x14ac:dyDescent="0.2">
      <c r="B4278" s="1">
        <f t="shared" si="244"/>
        <v>4263</v>
      </c>
      <c r="C4278" s="101">
        <f ca="1"/>
        <v>-1.0812043556589863</v>
      </c>
      <c r="D4278" s="101">
        <f t="shared" ca="1" si="241"/>
        <v>0.59728041203247118</v>
      </c>
      <c r="E4278" s="101">
        <f t="shared" ca="1" si="242"/>
        <v>0</v>
      </c>
      <c r="F4278" s="21">
        <f t="shared" ca="1" si="243"/>
        <v>0</v>
      </c>
      <c r="H4278" s="21">
        <v>4263</v>
      </c>
      <c r="I4278" s="102">
        <v>0.66771649327864457</v>
      </c>
      <c r="J4278" s="103">
        <v>1.3770178139135389E-3</v>
      </c>
      <c r="K4278" s="103"/>
      <c r="L4278" s="103">
        <v>3.9800000000000002E-2</v>
      </c>
      <c r="O4278" s="100"/>
    </row>
    <row r="4279" spans="2:15" x14ac:dyDescent="0.2">
      <c r="B4279" s="1">
        <f t="shared" si="244"/>
        <v>4264</v>
      </c>
      <c r="C4279" s="101">
        <f ca="1"/>
        <v>1.1755446803134906</v>
      </c>
      <c r="D4279" s="101">
        <f t="shared" ca="1" si="241"/>
        <v>0.74620131410192148</v>
      </c>
      <c r="E4279" s="101">
        <f t="shared" ca="1" si="242"/>
        <v>0</v>
      </c>
      <c r="F4279" s="21">
        <f t="shared" ca="1" si="243"/>
        <v>0</v>
      </c>
      <c r="H4279" s="21">
        <v>4264</v>
      </c>
      <c r="I4279" s="102">
        <v>0.66784622963313778</v>
      </c>
      <c r="J4279" s="103">
        <v>1.486330773003862E-3</v>
      </c>
      <c r="K4279" s="103"/>
      <c r="L4279" s="103">
        <v>4.7199999999999999E-2</v>
      </c>
      <c r="O4279" s="100"/>
    </row>
    <row r="4280" spans="2:15" x14ac:dyDescent="0.2">
      <c r="B4280" s="1">
        <f t="shared" si="244"/>
        <v>4265</v>
      </c>
      <c r="C4280" s="101">
        <f ca="1"/>
        <v>0.46460683941131287</v>
      </c>
      <c r="D4280" s="101">
        <f t="shared" ca="1" si="241"/>
        <v>0.69566454646645282</v>
      </c>
      <c r="E4280" s="101">
        <f t="shared" ca="1" si="242"/>
        <v>0</v>
      </c>
      <c r="F4280" s="21">
        <f t="shared" ca="1" si="243"/>
        <v>0</v>
      </c>
      <c r="H4280" s="21">
        <v>4265</v>
      </c>
      <c r="I4280" s="102">
        <v>0.66773331077532161</v>
      </c>
      <c r="J4280" s="103">
        <v>1.4172905964185511E-3</v>
      </c>
      <c r="K4280" s="103"/>
      <c r="L4280" s="103">
        <v>4.3200000000000002E-2</v>
      </c>
      <c r="O4280" s="100"/>
    </row>
    <row r="4281" spans="2:15" x14ac:dyDescent="0.2">
      <c r="B4281" s="1">
        <f t="shared" si="244"/>
        <v>4266</v>
      </c>
      <c r="C4281" s="101">
        <f ca="1"/>
        <v>-0.22566321143688464</v>
      </c>
      <c r="D4281" s="101">
        <f t="shared" ca="1" si="241"/>
        <v>0.64987394786873964</v>
      </c>
      <c r="E4281" s="101">
        <f t="shared" ca="1" si="242"/>
        <v>0</v>
      </c>
      <c r="F4281" s="21">
        <f t="shared" ca="1" si="243"/>
        <v>0</v>
      </c>
      <c r="H4281" s="21">
        <v>4266</v>
      </c>
      <c r="I4281" s="102">
        <v>0.66780722196791364</v>
      </c>
      <c r="J4281" s="103">
        <v>1.4159564234624996E-3</v>
      </c>
      <c r="K4281" s="103"/>
      <c r="L4281" s="103">
        <v>4.2000000000000003E-2</v>
      </c>
      <c r="O4281" s="100"/>
    </row>
    <row r="4282" spans="2:15" x14ac:dyDescent="0.2">
      <c r="B4282" s="1">
        <f t="shared" si="244"/>
        <v>4267</v>
      </c>
      <c r="C4282" s="101">
        <f ca="1"/>
        <v>-1.8007546561086085</v>
      </c>
      <c r="D4282" s="101">
        <f t="shared" ca="1" si="241"/>
        <v>0.55635651869021141</v>
      </c>
      <c r="E4282" s="101">
        <f t="shared" ca="1" si="242"/>
        <v>0</v>
      </c>
      <c r="F4282" s="21">
        <f t="shared" ca="1" si="243"/>
        <v>0</v>
      </c>
      <c r="H4282" s="21">
        <v>4267</v>
      </c>
      <c r="I4282" s="102">
        <v>0.66782816092954722</v>
      </c>
      <c r="J4282" s="103">
        <v>1.6049804250771256E-3</v>
      </c>
      <c r="K4282" s="103"/>
      <c r="L4282" s="103">
        <v>4.4200000000000003E-2</v>
      </c>
      <c r="O4282" s="100"/>
    </row>
    <row r="4283" spans="2:15" x14ac:dyDescent="0.2">
      <c r="B4283" s="1">
        <f t="shared" si="244"/>
        <v>4268</v>
      </c>
      <c r="C4283" s="101">
        <f ca="1"/>
        <v>0.59319559570508429</v>
      </c>
      <c r="D4283" s="101">
        <f t="shared" ca="1" si="241"/>
        <v>0.70454467005605748</v>
      </c>
      <c r="E4283" s="101">
        <f t="shared" ca="1" si="242"/>
        <v>0</v>
      </c>
      <c r="F4283" s="21">
        <f t="shared" ca="1" si="243"/>
        <v>0</v>
      </c>
      <c r="H4283" s="21">
        <v>4268</v>
      </c>
      <c r="I4283" s="102">
        <v>0.66782850897492341</v>
      </c>
      <c r="J4283" s="103">
        <v>1.2918611709449039E-3</v>
      </c>
      <c r="K4283" s="103"/>
      <c r="L4283" s="103">
        <v>4.36E-2</v>
      </c>
      <c r="O4283" s="100"/>
    </row>
    <row r="4284" spans="2:15" x14ac:dyDescent="0.2">
      <c r="B4284" s="1">
        <f t="shared" si="244"/>
        <v>4269</v>
      </c>
      <c r="C4284" s="101">
        <f ca="1"/>
        <v>0.96826159175481941</v>
      </c>
      <c r="D4284" s="101">
        <f t="shared" ca="1" si="241"/>
        <v>0.73109889887685142</v>
      </c>
      <c r="E4284" s="101">
        <f t="shared" ca="1" si="242"/>
        <v>0</v>
      </c>
      <c r="F4284" s="21">
        <f t="shared" ca="1" si="243"/>
        <v>0</v>
      </c>
      <c r="H4284" s="21">
        <v>4269</v>
      </c>
      <c r="I4284" s="102">
        <v>0.66777179646315732</v>
      </c>
      <c r="J4284" s="103">
        <v>1.3896745973866712E-3</v>
      </c>
      <c r="K4284" s="103"/>
      <c r="L4284" s="103">
        <v>4.24E-2</v>
      </c>
      <c r="O4284" s="100"/>
    </row>
    <row r="4285" spans="2:15" x14ac:dyDescent="0.2">
      <c r="B4285" s="1">
        <f t="shared" si="244"/>
        <v>4270</v>
      </c>
      <c r="C4285" s="101">
        <f ca="1"/>
        <v>0.17484075716197101</v>
      </c>
      <c r="D4285" s="101">
        <f t="shared" ca="1" si="241"/>
        <v>0.67606191370159174</v>
      </c>
      <c r="E4285" s="101">
        <f t="shared" ca="1" si="242"/>
        <v>0</v>
      </c>
      <c r="F4285" s="21">
        <f t="shared" ca="1" si="243"/>
        <v>0</v>
      </c>
      <c r="H4285" s="21">
        <v>4270</v>
      </c>
      <c r="I4285" s="102">
        <v>0.66762331295252886</v>
      </c>
      <c r="J4285" s="103">
        <v>1.305991659163756E-3</v>
      </c>
      <c r="K4285" s="103"/>
      <c r="L4285" s="103">
        <v>4.1399999999999999E-2</v>
      </c>
      <c r="O4285" s="100"/>
    </row>
    <row r="4286" spans="2:15" x14ac:dyDescent="0.2">
      <c r="B4286" s="1">
        <f t="shared" si="244"/>
        <v>4271</v>
      </c>
      <c r="C4286" s="101">
        <f ca="1"/>
        <v>-0.37903808951552803</v>
      </c>
      <c r="D4286" s="101">
        <f t="shared" ca="1" si="241"/>
        <v>0.64011594013950368</v>
      </c>
      <c r="E4286" s="101">
        <f t="shared" ca="1" si="242"/>
        <v>0</v>
      </c>
      <c r="F4286" s="21">
        <f t="shared" ca="1" si="243"/>
        <v>0</v>
      </c>
      <c r="H4286" s="21">
        <v>4271</v>
      </c>
      <c r="I4286" s="102">
        <v>0.66776877836320203</v>
      </c>
      <c r="J4286" s="103">
        <v>1.4486272108538878E-3</v>
      </c>
      <c r="K4286" s="103"/>
      <c r="L4286" s="103">
        <v>4.0800000000000003E-2</v>
      </c>
      <c r="O4286" s="100"/>
    </row>
    <row r="4287" spans="2:15" x14ac:dyDescent="0.2">
      <c r="B4287" s="1">
        <f t="shared" si="244"/>
        <v>4272</v>
      </c>
      <c r="C4287" s="101">
        <f ca="1"/>
        <v>0.88462535795183195</v>
      </c>
      <c r="D4287" s="101">
        <f t="shared" ca="1" si="241"/>
        <v>0.72509215287813922</v>
      </c>
      <c r="E4287" s="101">
        <f t="shared" ca="1" si="242"/>
        <v>0</v>
      </c>
      <c r="F4287" s="21">
        <f t="shared" ca="1" si="243"/>
        <v>0</v>
      </c>
      <c r="H4287" s="21">
        <v>4272</v>
      </c>
      <c r="I4287" s="102">
        <v>0.66786231440310628</v>
      </c>
      <c r="J4287" s="103">
        <v>1.5131314300412444E-3</v>
      </c>
      <c r="K4287" s="103"/>
      <c r="L4287" s="103">
        <v>4.4600000000000001E-2</v>
      </c>
      <c r="O4287" s="100"/>
    </row>
    <row r="4288" spans="2:15" x14ac:dyDescent="0.2">
      <c r="B4288" s="1">
        <f t="shared" si="244"/>
        <v>4273</v>
      </c>
      <c r="C4288" s="101">
        <f ca="1"/>
        <v>-0.81208191250826223</v>
      </c>
      <c r="D4288" s="101">
        <f t="shared" ca="1" si="241"/>
        <v>0.61334850595555979</v>
      </c>
      <c r="E4288" s="101">
        <f t="shared" ca="1" si="242"/>
        <v>0</v>
      </c>
      <c r="F4288" s="21">
        <f t="shared" ca="1" si="243"/>
        <v>0</v>
      </c>
      <c r="H4288" s="21">
        <v>4273</v>
      </c>
      <c r="I4288" s="102">
        <v>0.66773969125764809</v>
      </c>
      <c r="J4288" s="103">
        <v>1.4511751921905572E-3</v>
      </c>
      <c r="K4288" s="103"/>
      <c r="L4288" s="103">
        <v>4.1399999999999999E-2</v>
      </c>
      <c r="O4288" s="100"/>
    </row>
    <row r="4289" spans="2:15" x14ac:dyDescent="0.2">
      <c r="B4289" s="1">
        <f t="shared" si="244"/>
        <v>4274</v>
      </c>
      <c r="C4289" s="101">
        <f ca="1"/>
        <v>1.4635690886096289</v>
      </c>
      <c r="D4289" s="101">
        <f t="shared" ca="1" si="241"/>
        <v>0.76770575738590296</v>
      </c>
      <c r="E4289" s="101">
        <f t="shared" ca="1" si="242"/>
        <v>0</v>
      </c>
      <c r="F4289" s="21">
        <f t="shared" ca="1" si="243"/>
        <v>0</v>
      </c>
      <c r="H4289" s="21">
        <v>4274</v>
      </c>
      <c r="I4289" s="102">
        <v>0.66767203217723259</v>
      </c>
      <c r="J4289" s="103">
        <v>1.1363570412003959E-3</v>
      </c>
      <c r="K4289" s="103"/>
      <c r="L4289" s="103">
        <v>3.7199999999999997E-2</v>
      </c>
      <c r="O4289" s="100"/>
    </row>
    <row r="4290" spans="2:15" x14ac:dyDescent="0.2">
      <c r="B4290" s="1">
        <f t="shared" si="244"/>
        <v>4275</v>
      </c>
      <c r="C4290" s="101">
        <f ca="1"/>
        <v>1.01324914331291</v>
      </c>
      <c r="D4290" s="101">
        <f t="shared" ca="1" si="241"/>
        <v>0.73435045581746483</v>
      </c>
      <c r="E4290" s="101">
        <f t="shared" ca="1" si="242"/>
        <v>0</v>
      </c>
      <c r="F4290" s="21">
        <f t="shared" ca="1" si="243"/>
        <v>0</v>
      </c>
      <c r="H4290" s="21">
        <v>4275</v>
      </c>
      <c r="I4290" s="102">
        <v>0.66769699633741553</v>
      </c>
      <c r="J4290" s="103">
        <v>1.3020606557142091E-3</v>
      </c>
      <c r="K4290" s="103"/>
      <c r="L4290" s="103">
        <v>3.6999999999999998E-2</v>
      </c>
      <c r="O4290" s="100"/>
    </row>
    <row r="4291" spans="2:15" x14ac:dyDescent="0.2">
      <c r="B4291" s="1">
        <f t="shared" si="244"/>
        <v>4276</v>
      </c>
      <c r="C4291" s="101">
        <f ca="1"/>
        <v>1.4299078901071043</v>
      </c>
      <c r="D4291" s="101">
        <f t="shared" ca="1" si="241"/>
        <v>0.7651609057968215</v>
      </c>
      <c r="E4291" s="101">
        <f t="shared" ca="1" si="242"/>
        <v>0</v>
      </c>
      <c r="F4291" s="21">
        <f t="shared" ca="1" si="243"/>
        <v>0</v>
      </c>
      <c r="H4291" s="21">
        <v>4276</v>
      </c>
      <c r="I4291" s="102">
        <v>0.6675399956725464</v>
      </c>
      <c r="J4291" s="103">
        <v>1.1070507192847976E-3</v>
      </c>
      <c r="K4291" s="103"/>
      <c r="L4291" s="103">
        <v>3.6200000000000003E-2</v>
      </c>
      <c r="O4291" s="100"/>
    </row>
    <row r="4292" spans="2:15" x14ac:dyDescent="0.2">
      <c r="B4292" s="1">
        <f t="shared" si="244"/>
        <v>4277</v>
      </c>
      <c r="C4292" s="101">
        <f ca="1"/>
        <v>1.1775689117833259</v>
      </c>
      <c r="D4292" s="101">
        <f t="shared" ca="1" si="241"/>
        <v>0.74635032514050181</v>
      </c>
      <c r="E4292" s="101">
        <f t="shared" ca="1" si="242"/>
        <v>0</v>
      </c>
      <c r="F4292" s="21">
        <f t="shared" ca="1" si="243"/>
        <v>0</v>
      </c>
      <c r="H4292" s="21">
        <v>4277</v>
      </c>
      <c r="I4292" s="102">
        <v>0.66767498914762857</v>
      </c>
      <c r="J4292" s="103">
        <v>1.2830205767791329E-3</v>
      </c>
      <c r="K4292" s="103"/>
      <c r="L4292" s="103">
        <v>4.1200000000000001E-2</v>
      </c>
      <c r="O4292" s="100"/>
    </row>
    <row r="4293" spans="2:15" x14ac:dyDescent="0.2">
      <c r="B4293" s="1">
        <f t="shared" si="244"/>
        <v>4278</v>
      </c>
      <c r="C4293" s="101">
        <f ca="1"/>
        <v>-0.70602855519759844</v>
      </c>
      <c r="D4293" s="101">
        <f t="shared" ca="1" si="241"/>
        <v>0.61979857323034704</v>
      </c>
      <c r="E4293" s="101">
        <f t="shared" ca="1" si="242"/>
        <v>0</v>
      </c>
      <c r="F4293" s="21">
        <f t="shared" ca="1" si="243"/>
        <v>0</v>
      </c>
      <c r="H4293" s="21">
        <v>4278</v>
      </c>
      <c r="I4293" s="102">
        <v>0.66786898810620243</v>
      </c>
      <c r="J4293" s="103">
        <v>1.5750895904944728E-3</v>
      </c>
      <c r="K4293" s="103"/>
      <c r="L4293" s="103">
        <v>4.1799999999999997E-2</v>
      </c>
      <c r="O4293" s="100"/>
    </row>
    <row r="4294" spans="2:15" x14ac:dyDescent="0.2">
      <c r="B4294" s="1">
        <f t="shared" si="244"/>
        <v>4279</v>
      </c>
      <c r="C4294" s="101">
        <f ca="1"/>
        <v>0.51968373629579401</v>
      </c>
      <c r="D4294" s="101">
        <f t="shared" ca="1" si="241"/>
        <v>0.69945427846862651</v>
      </c>
      <c r="E4294" s="101">
        <f t="shared" ca="1" si="242"/>
        <v>0</v>
      </c>
      <c r="F4294" s="21">
        <f t="shared" ca="1" si="243"/>
        <v>0</v>
      </c>
      <c r="H4294" s="21">
        <v>4279</v>
      </c>
      <c r="I4294" s="102">
        <v>0.66773294295453611</v>
      </c>
      <c r="J4294" s="103">
        <v>1.3291111900781893E-3</v>
      </c>
      <c r="K4294" s="103"/>
      <c r="L4294" s="103">
        <v>3.8800000000000001E-2</v>
      </c>
      <c r="O4294" s="100"/>
    </row>
    <row r="4295" spans="2:15" x14ac:dyDescent="0.2">
      <c r="B4295" s="1">
        <f t="shared" si="244"/>
        <v>4280</v>
      </c>
      <c r="C4295" s="101">
        <f ca="1"/>
        <v>-0.67715541746913044</v>
      </c>
      <c r="D4295" s="101">
        <f t="shared" ca="1" si="241"/>
        <v>0.62156632815513502</v>
      </c>
      <c r="E4295" s="101">
        <f t="shared" ca="1" si="242"/>
        <v>0</v>
      </c>
      <c r="F4295" s="21">
        <f t="shared" ca="1" si="243"/>
        <v>0</v>
      </c>
      <c r="H4295" s="21">
        <v>4280</v>
      </c>
      <c r="I4295" s="102">
        <v>0.66774824275314792</v>
      </c>
      <c r="J4295" s="103">
        <v>1.4440457365279156E-3</v>
      </c>
      <c r="K4295" s="103"/>
      <c r="L4295" s="103">
        <v>4.2999999999999997E-2</v>
      </c>
      <c r="O4295" s="100"/>
    </row>
    <row r="4296" spans="2:15" x14ac:dyDescent="0.2">
      <c r="B4296" s="1">
        <f t="shared" si="244"/>
        <v>4281</v>
      </c>
      <c r="C4296" s="101">
        <f ca="1"/>
        <v>0.64743774142209221</v>
      </c>
      <c r="D4296" s="101">
        <f t="shared" ca="1" si="241"/>
        <v>0.70832445128221955</v>
      </c>
      <c r="E4296" s="101">
        <f t="shared" ca="1" si="242"/>
        <v>0</v>
      </c>
      <c r="F4296" s="21">
        <f t="shared" ca="1" si="243"/>
        <v>0</v>
      </c>
      <c r="H4296" s="21">
        <v>4281</v>
      </c>
      <c r="I4296" s="102">
        <v>0.66775413771414571</v>
      </c>
      <c r="J4296" s="103">
        <v>1.3914177281980802E-3</v>
      </c>
      <c r="K4296" s="103"/>
      <c r="L4296" s="103">
        <v>4.1599999999999998E-2</v>
      </c>
      <c r="O4296" s="100"/>
    </row>
    <row r="4297" spans="2:15" x14ac:dyDescent="0.2">
      <c r="B4297" s="1">
        <f t="shared" si="244"/>
        <v>4282</v>
      </c>
      <c r="C4297" s="101">
        <f ca="1"/>
        <v>-5.722172011660432E-2</v>
      </c>
      <c r="D4297" s="101">
        <f t="shared" ca="1" si="241"/>
        <v>0.66076199685851233</v>
      </c>
      <c r="E4297" s="101">
        <f t="shared" ca="1" si="242"/>
        <v>0</v>
      </c>
      <c r="F4297" s="21">
        <f t="shared" ca="1" si="243"/>
        <v>0</v>
      </c>
      <c r="H4297" s="21">
        <v>4282</v>
      </c>
      <c r="I4297" s="102">
        <v>0.66760872927948245</v>
      </c>
      <c r="J4297" s="103">
        <v>1.2192579474627862E-3</v>
      </c>
      <c r="K4297" s="103"/>
      <c r="L4297" s="103">
        <v>3.7199999999999997E-2</v>
      </c>
      <c r="O4297" s="100"/>
    </row>
    <row r="4298" spans="2:15" x14ac:dyDescent="0.2">
      <c r="B4298" s="1">
        <f t="shared" si="244"/>
        <v>4283</v>
      </c>
      <c r="C4298" s="101">
        <f ca="1"/>
        <v>1.1090748472244962</v>
      </c>
      <c r="D4298" s="101">
        <f t="shared" ca="1" si="241"/>
        <v>0.74132472107856184</v>
      </c>
      <c r="E4298" s="101">
        <f t="shared" ca="1" si="242"/>
        <v>0</v>
      </c>
      <c r="F4298" s="21">
        <f t="shared" ca="1" si="243"/>
        <v>0</v>
      </c>
      <c r="H4298" s="21">
        <v>4283</v>
      </c>
      <c r="I4298" s="102">
        <v>0.66782604699072612</v>
      </c>
      <c r="J4298" s="103">
        <v>1.3915834607800888E-3</v>
      </c>
      <c r="K4298" s="103"/>
      <c r="L4298" s="103">
        <v>4.36E-2</v>
      </c>
      <c r="O4298" s="100"/>
    </row>
    <row r="4299" spans="2:15" x14ac:dyDescent="0.2">
      <c r="B4299" s="1">
        <f t="shared" si="244"/>
        <v>4284</v>
      </c>
      <c r="C4299" s="101">
        <f ca="1"/>
        <v>0.45960856152024826</v>
      </c>
      <c r="D4299" s="101">
        <f t="shared" ca="1" si="241"/>
        <v>0.69532164281299935</v>
      </c>
      <c r="E4299" s="101">
        <f t="shared" ca="1" si="242"/>
        <v>0</v>
      </c>
      <c r="F4299" s="21">
        <f t="shared" ca="1" si="243"/>
        <v>0</v>
      </c>
      <c r="H4299" s="21">
        <v>4284</v>
      </c>
      <c r="I4299" s="102">
        <v>0.66768270180202816</v>
      </c>
      <c r="J4299" s="103">
        <v>1.3507480330818887E-3</v>
      </c>
      <c r="K4299" s="103"/>
      <c r="L4299" s="103">
        <v>4.1799999999999997E-2</v>
      </c>
      <c r="O4299" s="100"/>
    </row>
    <row r="4300" spans="2:15" x14ac:dyDescent="0.2">
      <c r="B4300" s="1">
        <f t="shared" si="244"/>
        <v>4285</v>
      </c>
      <c r="C4300" s="101">
        <f ca="1"/>
        <v>-1.3615073572272114</v>
      </c>
      <c r="D4300" s="101">
        <f t="shared" ca="1" si="241"/>
        <v>0.58099214985484782</v>
      </c>
      <c r="E4300" s="101">
        <f t="shared" ca="1" si="242"/>
        <v>0</v>
      </c>
      <c r="F4300" s="21">
        <f t="shared" ca="1" si="243"/>
        <v>0</v>
      </c>
      <c r="H4300" s="21">
        <v>4285</v>
      </c>
      <c r="I4300" s="102">
        <v>0.6676478380115981</v>
      </c>
      <c r="J4300" s="103">
        <v>1.3727560590038876E-3</v>
      </c>
      <c r="K4300" s="103"/>
      <c r="L4300" s="103">
        <v>3.9399999999999998E-2</v>
      </c>
      <c r="O4300" s="100"/>
    </row>
    <row r="4301" spans="2:15" x14ac:dyDescent="0.2">
      <c r="B4301" s="1">
        <f t="shared" si="244"/>
        <v>4286</v>
      </c>
      <c r="C4301" s="101">
        <f ca="1"/>
        <v>-9.6334067482651414E-2</v>
      </c>
      <c r="D4301" s="101">
        <f t="shared" ca="1" si="241"/>
        <v>0.6582176264623455</v>
      </c>
      <c r="E4301" s="101">
        <f t="shared" ca="1" si="242"/>
        <v>0</v>
      </c>
      <c r="F4301" s="21">
        <f t="shared" ca="1" si="243"/>
        <v>0</v>
      </c>
      <c r="H4301" s="21">
        <v>4286</v>
      </c>
      <c r="I4301" s="102">
        <v>0.66780408965060545</v>
      </c>
      <c r="J4301" s="103">
        <v>1.5056360156703932E-3</v>
      </c>
      <c r="K4301" s="103"/>
      <c r="L4301" s="103">
        <v>4.4400000000000002E-2</v>
      </c>
      <c r="O4301" s="100"/>
    </row>
    <row r="4302" spans="2:15" x14ac:dyDescent="0.2">
      <c r="B4302" s="1">
        <f t="shared" si="244"/>
        <v>4287</v>
      </c>
      <c r="C4302" s="101">
        <f ca="1"/>
        <v>0.14746337715688318</v>
      </c>
      <c r="D4302" s="101">
        <f t="shared" ca="1" si="241"/>
        <v>0.67423864376048592</v>
      </c>
      <c r="E4302" s="101">
        <f t="shared" ca="1" si="242"/>
        <v>0</v>
      </c>
      <c r="F4302" s="21">
        <f t="shared" ca="1" si="243"/>
        <v>0</v>
      </c>
      <c r="H4302" s="21">
        <v>4287</v>
      </c>
      <c r="I4302" s="102">
        <v>0.6676837340764894</v>
      </c>
      <c r="J4302" s="103">
        <v>1.3651026826062204E-3</v>
      </c>
      <c r="K4302" s="103"/>
      <c r="L4302" s="103">
        <v>4.2000000000000003E-2</v>
      </c>
      <c r="O4302" s="100"/>
    </row>
    <row r="4303" spans="2:15" x14ac:dyDescent="0.2">
      <c r="B4303" s="1">
        <f t="shared" si="244"/>
        <v>4288</v>
      </c>
      <c r="C4303" s="101">
        <f ca="1"/>
        <v>1.2160724526043993</v>
      </c>
      <c r="D4303" s="101">
        <f t="shared" ca="1" si="241"/>
        <v>0.74919038367761415</v>
      </c>
      <c r="E4303" s="101">
        <f t="shared" ca="1" si="242"/>
        <v>0</v>
      </c>
      <c r="F4303" s="21">
        <f t="shared" ca="1" si="243"/>
        <v>0</v>
      </c>
      <c r="H4303" s="21">
        <v>4288</v>
      </c>
      <c r="I4303" s="102">
        <v>0.66765890583628773</v>
      </c>
      <c r="J4303" s="103">
        <v>1.2508680472961427E-3</v>
      </c>
      <c r="K4303" s="103"/>
      <c r="L4303" s="103">
        <v>3.9600000000000003E-2</v>
      </c>
      <c r="O4303" s="100"/>
    </row>
    <row r="4304" spans="2:15" x14ac:dyDescent="0.2">
      <c r="B4304" s="1">
        <f t="shared" si="244"/>
        <v>4289</v>
      </c>
      <c r="C4304" s="101">
        <f ca="1"/>
        <v>-0.17742433456623483</v>
      </c>
      <c r="D4304" s="101">
        <f t="shared" ref="D4304:D4367" ca="1" si="245">S0*EXP((μ-0.5*σ*σ)*T+σ*SQRT(T)*$C4304)</f>
        <v>0.6529736423301763</v>
      </c>
      <c r="E4304" s="101">
        <f t="shared" ref="E4304:E4367" ca="1" si="246">MAX(0,CP*(D4304-K))</f>
        <v>0</v>
      </c>
      <c r="F4304" s="21">
        <f t="shared" ref="F4304:F4367" ca="1" si="247">(CP*(D4304-K)&gt;0)*1</f>
        <v>0</v>
      </c>
      <c r="H4304" s="21">
        <v>4289</v>
      </c>
      <c r="I4304" s="102">
        <v>0.66759561059177053</v>
      </c>
      <c r="J4304" s="103">
        <v>1.2555518145637751E-3</v>
      </c>
      <c r="K4304" s="103"/>
      <c r="L4304" s="103">
        <v>0.04</v>
      </c>
      <c r="O4304" s="100"/>
    </row>
    <row r="4305" spans="2:15" x14ac:dyDescent="0.2">
      <c r="B4305" s="1">
        <f t="shared" si="244"/>
        <v>4290</v>
      </c>
      <c r="C4305" s="101">
        <f ca="1"/>
        <v>8.6611207094077602E-2</v>
      </c>
      <c r="D4305" s="101">
        <f t="shared" ca="1" si="245"/>
        <v>0.67020362248858201</v>
      </c>
      <c r="E4305" s="101">
        <f t="shared" ca="1" si="246"/>
        <v>0</v>
      </c>
      <c r="F4305" s="21">
        <f t="shared" ca="1" si="247"/>
        <v>0</v>
      </c>
      <c r="H4305" s="21">
        <v>4290</v>
      </c>
      <c r="I4305" s="102">
        <v>0.66771969694956246</v>
      </c>
      <c r="J4305" s="103">
        <v>1.3666234053551537E-3</v>
      </c>
      <c r="K4305" s="103"/>
      <c r="L4305" s="103">
        <v>3.7600000000000001E-2</v>
      </c>
      <c r="O4305" s="100"/>
    </row>
    <row r="4306" spans="2:15" x14ac:dyDescent="0.2">
      <c r="B4306" s="1">
        <f t="shared" si="244"/>
        <v>4291</v>
      </c>
      <c r="C4306" s="101">
        <f ca="1"/>
        <v>-1.2221540383346188</v>
      </c>
      <c r="D4306" s="101">
        <f t="shared" ca="1" si="245"/>
        <v>0.58903360800127813</v>
      </c>
      <c r="E4306" s="101">
        <f t="shared" ca="1" si="246"/>
        <v>0</v>
      </c>
      <c r="F4306" s="21">
        <f t="shared" ca="1" si="247"/>
        <v>0</v>
      </c>
      <c r="H4306" s="21">
        <v>4291</v>
      </c>
      <c r="I4306" s="102">
        <v>0.66767723793894862</v>
      </c>
      <c r="J4306" s="103">
        <v>1.4089404232843544E-3</v>
      </c>
      <c r="K4306" s="103"/>
      <c r="L4306" s="103">
        <v>4.02E-2</v>
      </c>
      <c r="O4306" s="100"/>
    </row>
    <row r="4307" spans="2:15" x14ac:dyDescent="0.2">
      <c r="B4307" s="1">
        <f t="shared" si="244"/>
        <v>4292</v>
      </c>
      <c r="C4307" s="101">
        <f ca="1"/>
        <v>-0.28284469875453416</v>
      </c>
      <c r="D4307" s="101">
        <f t="shared" ca="1" si="245"/>
        <v>0.64621867972721603</v>
      </c>
      <c r="E4307" s="101">
        <f t="shared" ca="1" si="246"/>
        <v>0</v>
      </c>
      <c r="F4307" s="21">
        <f t="shared" ca="1" si="247"/>
        <v>0</v>
      </c>
      <c r="H4307" s="21">
        <v>4292</v>
      </c>
      <c r="I4307" s="102">
        <v>0.667766992627148</v>
      </c>
      <c r="J4307" s="103">
        <v>1.4764512225826328E-3</v>
      </c>
      <c r="K4307" s="103"/>
      <c r="L4307" s="103">
        <v>4.1200000000000001E-2</v>
      </c>
      <c r="O4307" s="100"/>
    </row>
    <row r="4308" spans="2:15" x14ac:dyDescent="0.2">
      <c r="B4308" s="1">
        <f t="shared" si="244"/>
        <v>4293</v>
      </c>
      <c r="C4308" s="101">
        <f ca="1"/>
        <v>-1.4032844582501582</v>
      </c>
      <c r="D4308" s="101">
        <f t="shared" ca="1" si="245"/>
        <v>0.5786028375479072</v>
      </c>
      <c r="E4308" s="101">
        <f t="shared" ca="1" si="246"/>
        <v>0</v>
      </c>
      <c r="F4308" s="21">
        <f t="shared" ca="1" si="247"/>
        <v>0</v>
      </c>
      <c r="H4308" s="21">
        <v>4293</v>
      </c>
      <c r="I4308" s="102">
        <v>0.66786310342584976</v>
      </c>
      <c r="J4308" s="103">
        <v>1.5073065649269209E-3</v>
      </c>
      <c r="K4308" s="103"/>
      <c r="L4308" s="103">
        <v>4.5999999999999999E-2</v>
      </c>
      <c r="O4308" s="100"/>
    </row>
    <row r="4309" spans="2:15" x14ac:dyDescent="0.2">
      <c r="B4309" s="1">
        <f t="shared" si="244"/>
        <v>4294</v>
      </c>
      <c r="C4309" s="101">
        <f ca="1"/>
        <v>0.21308781442016556</v>
      </c>
      <c r="D4309" s="101">
        <f t="shared" ca="1" si="245"/>
        <v>0.67861733726354401</v>
      </c>
      <c r="E4309" s="101">
        <f t="shared" ca="1" si="246"/>
        <v>0</v>
      </c>
      <c r="F4309" s="21">
        <f t="shared" ca="1" si="247"/>
        <v>0</v>
      </c>
      <c r="H4309" s="21">
        <v>4294</v>
      </c>
      <c r="I4309" s="102">
        <v>0.66778485933688836</v>
      </c>
      <c r="J4309" s="103">
        <v>1.3474336450579384E-3</v>
      </c>
      <c r="K4309" s="103"/>
      <c r="L4309" s="103">
        <v>4.1399999999999999E-2</v>
      </c>
      <c r="O4309" s="100"/>
    </row>
    <row r="4310" spans="2:15" x14ac:dyDescent="0.2">
      <c r="B4310" s="1">
        <f t="shared" si="244"/>
        <v>4295</v>
      </c>
      <c r="C4310" s="101">
        <f ca="1"/>
        <v>1.7437034140984817</v>
      </c>
      <c r="D4310" s="101">
        <f t="shared" ca="1" si="245"/>
        <v>0.78921545145756355</v>
      </c>
      <c r="E4310" s="101">
        <f t="shared" ca="1" si="246"/>
        <v>1.0154514575635432E-3</v>
      </c>
      <c r="F4310" s="21">
        <f t="shared" ca="1" si="247"/>
        <v>1</v>
      </c>
      <c r="H4310" s="21">
        <v>4295</v>
      </c>
      <c r="I4310" s="102">
        <v>0.6678868157730723</v>
      </c>
      <c r="J4310" s="103">
        <v>1.5520578657778495E-3</v>
      </c>
      <c r="K4310" s="103"/>
      <c r="L4310" s="103">
        <v>4.7E-2</v>
      </c>
      <c r="O4310" s="100"/>
    </row>
    <row r="4311" spans="2:15" x14ac:dyDescent="0.2">
      <c r="B4311" s="1">
        <f t="shared" si="244"/>
        <v>4296</v>
      </c>
      <c r="C4311" s="101">
        <f ca="1"/>
        <v>0.10912542950452896</v>
      </c>
      <c r="D4311" s="101">
        <f t="shared" ca="1" si="245"/>
        <v>0.67169368661985218</v>
      </c>
      <c r="E4311" s="101">
        <f t="shared" ca="1" si="246"/>
        <v>0</v>
      </c>
      <c r="F4311" s="21">
        <f t="shared" ca="1" si="247"/>
        <v>0</v>
      </c>
      <c r="H4311" s="21">
        <v>4296</v>
      </c>
      <c r="I4311" s="102">
        <v>0.66791490112603336</v>
      </c>
      <c r="J4311" s="103">
        <v>1.6472747100860154E-3</v>
      </c>
      <c r="K4311" s="103"/>
      <c r="L4311" s="103">
        <v>4.5199999999999997E-2</v>
      </c>
      <c r="O4311" s="100"/>
    </row>
    <row r="4312" spans="2:15" x14ac:dyDescent="0.2">
      <c r="B4312" s="1">
        <f t="shared" si="244"/>
        <v>4297</v>
      </c>
      <c r="C4312" s="101">
        <f ca="1"/>
        <v>-1.1377702675603587</v>
      </c>
      <c r="D4312" s="101">
        <f t="shared" ca="1" si="245"/>
        <v>0.59395702512502047</v>
      </c>
      <c r="E4312" s="101">
        <f t="shared" ca="1" si="246"/>
        <v>0</v>
      </c>
      <c r="F4312" s="21">
        <f t="shared" ca="1" si="247"/>
        <v>0</v>
      </c>
      <c r="H4312" s="21">
        <v>4297</v>
      </c>
      <c r="I4312" s="102">
        <v>0.66775154248410051</v>
      </c>
      <c r="J4312" s="103">
        <v>1.2413445240640792E-3</v>
      </c>
      <c r="K4312" s="103"/>
      <c r="L4312" s="103">
        <v>4.2000000000000003E-2</v>
      </c>
      <c r="O4312" s="100"/>
    </row>
    <row r="4313" spans="2:15" x14ac:dyDescent="0.2">
      <c r="B4313" s="1">
        <f t="shared" si="244"/>
        <v>4298</v>
      </c>
      <c r="C4313" s="101">
        <f ca="1"/>
        <v>0.51306690252447817</v>
      </c>
      <c r="D4313" s="101">
        <f t="shared" ca="1" si="245"/>
        <v>0.69899789833280546</v>
      </c>
      <c r="E4313" s="101">
        <f t="shared" ca="1" si="246"/>
        <v>0</v>
      </c>
      <c r="F4313" s="21">
        <f t="shared" ca="1" si="247"/>
        <v>0</v>
      </c>
      <c r="H4313" s="21">
        <v>4298</v>
      </c>
      <c r="I4313" s="102">
        <v>0.66793694937755754</v>
      </c>
      <c r="J4313" s="103">
        <v>1.5339623964341247E-3</v>
      </c>
      <c r="K4313" s="103"/>
      <c r="L4313" s="103">
        <v>4.4600000000000001E-2</v>
      </c>
      <c r="O4313" s="100"/>
    </row>
    <row r="4314" spans="2:15" x14ac:dyDescent="0.2">
      <c r="B4314" s="1">
        <f t="shared" si="244"/>
        <v>4299</v>
      </c>
      <c r="C4314" s="101">
        <f ca="1"/>
        <v>-0.76367188568455624</v>
      </c>
      <c r="D4314" s="101">
        <f t="shared" ca="1" si="245"/>
        <v>0.61628438984750411</v>
      </c>
      <c r="E4314" s="101">
        <f t="shared" ca="1" si="246"/>
        <v>0</v>
      </c>
      <c r="F4314" s="21">
        <f t="shared" ca="1" si="247"/>
        <v>0</v>
      </c>
      <c r="H4314" s="21">
        <v>4299</v>
      </c>
      <c r="I4314" s="102">
        <v>0.6676222175760026</v>
      </c>
      <c r="J4314" s="103">
        <v>1.3162376435664203E-3</v>
      </c>
      <c r="K4314" s="103"/>
      <c r="L4314" s="103">
        <v>3.8199999999999998E-2</v>
      </c>
      <c r="O4314" s="100"/>
    </row>
    <row r="4315" spans="2:15" x14ac:dyDescent="0.2">
      <c r="B4315" s="1">
        <f t="shared" si="244"/>
        <v>4300</v>
      </c>
      <c r="C4315" s="101">
        <f ca="1"/>
        <v>-0.56204350176201978</v>
      </c>
      <c r="D4315" s="101">
        <f t="shared" ca="1" si="245"/>
        <v>0.6286643062812175</v>
      </c>
      <c r="E4315" s="101">
        <f t="shared" ca="1" si="246"/>
        <v>0</v>
      </c>
      <c r="F4315" s="21">
        <f t="shared" ca="1" si="247"/>
        <v>0</v>
      </c>
      <c r="H4315" s="21">
        <v>4300</v>
      </c>
      <c r="I4315" s="102">
        <v>0.66779255601636855</v>
      </c>
      <c r="J4315" s="103">
        <v>1.3730921312428734E-3</v>
      </c>
      <c r="K4315" s="103"/>
      <c r="L4315" s="103">
        <v>4.5999999999999999E-2</v>
      </c>
      <c r="O4315" s="100"/>
    </row>
    <row r="4316" spans="2:15" x14ac:dyDescent="0.2">
      <c r="B4316" s="1">
        <f t="shared" si="244"/>
        <v>4301</v>
      </c>
      <c r="C4316" s="101">
        <f ca="1"/>
        <v>-2.0865830806193437</v>
      </c>
      <c r="D4316" s="101">
        <f t="shared" ca="1" si="245"/>
        <v>0.54088939619730303</v>
      </c>
      <c r="E4316" s="101">
        <f t="shared" ca="1" si="246"/>
        <v>0</v>
      </c>
      <c r="F4316" s="21">
        <f t="shared" ca="1" si="247"/>
        <v>0</v>
      </c>
      <c r="H4316" s="21">
        <v>4301</v>
      </c>
      <c r="I4316" s="102">
        <v>0.66775065508456632</v>
      </c>
      <c r="J4316" s="103">
        <v>1.3266732253735276E-3</v>
      </c>
      <c r="K4316" s="103"/>
      <c r="L4316" s="103">
        <v>4.02E-2</v>
      </c>
      <c r="O4316" s="100"/>
    </row>
    <row r="4317" spans="2:15" x14ac:dyDescent="0.2">
      <c r="B4317" s="1">
        <f t="shared" si="244"/>
        <v>4302</v>
      </c>
      <c r="C4317" s="101">
        <f ca="1"/>
        <v>0.32105708834292435</v>
      </c>
      <c r="D4317" s="101">
        <f t="shared" ca="1" si="245"/>
        <v>0.68588339347561222</v>
      </c>
      <c r="E4317" s="101">
        <f t="shared" ca="1" si="246"/>
        <v>0</v>
      </c>
      <c r="F4317" s="21">
        <f t="shared" ca="1" si="247"/>
        <v>0</v>
      </c>
      <c r="H4317" s="21">
        <v>4302</v>
      </c>
      <c r="I4317" s="102">
        <v>0.66775608739556791</v>
      </c>
      <c r="J4317" s="103">
        <v>1.4171653258633478E-3</v>
      </c>
      <c r="K4317" s="103"/>
      <c r="L4317" s="103">
        <v>4.1399999999999999E-2</v>
      </c>
      <c r="O4317" s="100"/>
    </row>
    <row r="4318" spans="2:15" x14ac:dyDescent="0.2">
      <c r="B4318" s="1">
        <f t="shared" si="244"/>
        <v>4303</v>
      </c>
      <c r="C4318" s="101">
        <f ca="1"/>
        <v>0.72912533595259565</v>
      </c>
      <c r="D4318" s="101">
        <f t="shared" ca="1" si="245"/>
        <v>0.7140550254799567</v>
      </c>
      <c r="E4318" s="101">
        <f t="shared" ca="1" si="246"/>
        <v>0</v>
      </c>
      <c r="F4318" s="21">
        <f t="shared" ca="1" si="247"/>
        <v>0</v>
      </c>
      <c r="H4318" s="21">
        <v>4303</v>
      </c>
      <c r="I4318" s="102">
        <v>0.66771576010038547</v>
      </c>
      <c r="J4318" s="103">
        <v>1.3101296918247823E-3</v>
      </c>
      <c r="K4318" s="103"/>
      <c r="L4318" s="103">
        <v>4.1399999999999999E-2</v>
      </c>
      <c r="O4318" s="100"/>
    </row>
    <row r="4319" spans="2:15" x14ac:dyDescent="0.2">
      <c r="B4319" s="1">
        <f t="shared" si="244"/>
        <v>4304</v>
      </c>
      <c r="C4319" s="101">
        <f ca="1"/>
        <v>0.91818834601370658</v>
      </c>
      <c r="D4319" s="101">
        <f t="shared" ca="1" si="245"/>
        <v>0.72749669191136312</v>
      </c>
      <c r="E4319" s="101">
        <f t="shared" ca="1" si="246"/>
        <v>0</v>
      </c>
      <c r="F4319" s="21">
        <f t="shared" ca="1" si="247"/>
        <v>0</v>
      </c>
      <c r="H4319" s="21">
        <v>4304</v>
      </c>
      <c r="I4319" s="102">
        <v>0.66763618288792337</v>
      </c>
      <c r="J4319" s="103">
        <v>1.2301249552630292E-3</v>
      </c>
      <c r="K4319" s="103"/>
      <c r="L4319" s="103">
        <v>4.0599999999999997E-2</v>
      </c>
      <c r="O4319" s="100"/>
    </row>
    <row r="4320" spans="2:15" x14ac:dyDescent="0.2">
      <c r="B4320" s="1">
        <f t="shared" si="244"/>
        <v>4305</v>
      </c>
      <c r="C4320" s="101">
        <f ca="1"/>
        <v>0.58986789101481507</v>
      </c>
      <c r="D4320" s="101">
        <f t="shared" ca="1" si="245"/>
        <v>0.70431344178237609</v>
      </c>
      <c r="E4320" s="101">
        <f t="shared" ca="1" si="246"/>
        <v>0</v>
      </c>
      <c r="F4320" s="21">
        <f t="shared" ca="1" si="247"/>
        <v>0</v>
      </c>
      <c r="H4320" s="21">
        <v>4305</v>
      </c>
      <c r="I4320" s="102">
        <v>0.66781467960240037</v>
      </c>
      <c r="J4320" s="103">
        <v>1.3544782314463019E-3</v>
      </c>
      <c r="K4320" s="103"/>
      <c r="L4320" s="103">
        <v>4.5999999999999999E-2</v>
      </c>
      <c r="O4320" s="100"/>
    </row>
    <row r="4321" spans="2:15" x14ac:dyDescent="0.2">
      <c r="B4321" s="1">
        <f t="shared" si="244"/>
        <v>4306</v>
      </c>
      <c r="C4321" s="101">
        <f ca="1"/>
        <v>0.63557696442417488</v>
      </c>
      <c r="D4321" s="101">
        <f t="shared" ca="1" si="245"/>
        <v>0.70749622263958512</v>
      </c>
      <c r="E4321" s="101">
        <f t="shared" ca="1" si="246"/>
        <v>0</v>
      </c>
      <c r="F4321" s="21">
        <f t="shared" ca="1" si="247"/>
        <v>0</v>
      </c>
      <c r="H4321" s="21">
        <v>4306</v>
      </c>
      <c r="I4321" s="102">
        <v>0.66787721837149172</v>
      </c>
      <c r="J4321" s="103">
        <v>1.4603906652453816E-3</v>
      </c>
      <c r="K4321" s="103"/>
      <c r="L4321" s="103">
        <v>4.6399999999999997E-2</v>
      </c>
      <c r="O4321" s="100"/>
    </row>
    <row r="4322" spans="2:15" x14ac:dyDescent="0.2">
      <c r="B4322" s="1">
        <f t="shared" si="244"/>
        <v>4307</v>
      </c>
      <c r="C4322" s="101">
        <f ca="1"/>
        <v>1.5423525086246432</v>
      </c>
      <c r="D4322" s="101">
        <f t="shared" ca="1" si="245"/>
        <v>0.77369507214610256</v>
      </c>
      <c r="E4322" s="101">
        <f t="shared" ca="1" si="246"/>
        <v>0</v>
      </c>
      <c r="F4322" s="21">
        <f t="shared" ca="1" si="247"/>
        <v>0</v>
      </c>
      <c r="H4322" s="21">
        <v>4307</v>
      </c>
      <c r="I4322" s="102">
        <v>0.66775879315847453</v>
      </c>
      <c r="J4322" s="103">
        <v>1.3418945368370706E-3</v>
      </c>
      <c r="K4322" s="103"/>
      <c r="L4322" s="103">
        <v>4.2200000000000001E-2</v>
      </c>
      <c r="O4322" s="100"/>
    </row>
    <row r="4323" spans="2:15" x14ac:dyDescent="0.2">
      <c r="B4323" s="1">
        <f t="shared" si="244"/>
        <v>4308</v>
      </c>
      <c r="C4323" s="101">
        <f ca="1"/>
        <v>2.4275154551780028E-3</v>
      </c>
      <c r="D4323" s="101">
        <f t="shared" ca="1" si="245"/>
        <v>0.66466130121297717</v>
      </c>
      <c r="E4323" s="101">
        <f t="shared" ca="1" si="246"/>
        <v>0</v>
      </c>
      <c r="F4323" s="21">
        <f t="shared" ca="1" si="247"/>
        <v>0</v>
      </c>
      <c r="H4323" s="21">
        <v>4308</v>
      </c>
      <c r="I4323" s="102">
        <v>0.66759545221446581</v>
      </c>
      <c r="J4323" s="103">
        <v>1.1958716686761494E-3</v>
      </c>
      <c r="K4323" s="103"/>
      <c r="L4323" s="103">
        <v>3.9E-2</v>
      </c>
      <c r="O4323" s="100"/>
    </row>
    <row r="4324" spans="2:15" x14ac:dyDescent="0.2">
      <c r="B4324" s="1">
        <f t="shared" si="244"/>
        <v>4309</v>
      </c>
      <c r="C4324" s="101">
        <f ca="1"/>
        <v>0.66830152672556342</v>
      </c>
      <c r="D4324" s="101">
        <f t="shared" ca="1" si="245"/>
        <v>0.70978370635604526</v>
      </c>
      <c r="E4324" s="101">
        <f t="shared" ca="1" si="246"/>
        <v>0</v>
      </c>
      <c r="F4324" s="21">
        <f t="shared" ca="1" si="247"/>
        <v>0</v>
      </c>
      <c r="H4324" s="21">
        <v>4309</v>
      </c>
      <c r="I4324" s="102">
        <v>0.66778753097400501</v>
      </c>
      <c r="J4324" s="103">
        <v>1.4664833494131425E-3</v>
      </c>
      <c r="K4324" s="103"/>
      <c r="L4324" s="103">
        <v>4.2799999999999998E-2</v>
      </c>
      <c r="O4324" s="100"/>
    </row>
    <row r="4325" spans="2:15" x14ac:dyDescent="0.2">
      <c r="B4325" s="1">
        <f t="shared" si="244"/>
        <v>4310</v>
      </c>
      <c r="C4325" s="101">
        <f ca="1"/>
        <v>-0.92003419435393297</v>
      </c>
      <c r="D4325" s="101">
        <f t="shared" ca="1" si="245"/>
        <v>0.60685188114497546</v>
      </c>
      <c r="E4325" s="101">
        <f t="shared" ca="1" si="246"/>
        <v>0</v>
      </c>
      <c r="F4325" s="21">
        <f t="shared" ca="1" si="247"/>
        <v>0</v>
      </c>
      <c r="H4325" s="21">
        <v>4310</v>
      </c>
      <c r="I4325" s="102">
        <v>0.66768518173418556</v>
      </c>
      <c r="J4325" s="103">
        <v>1.2497066421680875E-3</v>
      </c>
      <c r="K4325" s="103"/>
      <c r="L4325" s="103">
        <v>3.9199999999999999E-2</v>
      </c>
      <c r="O4325" s="100"/>
    </row>
    <row r="4326" spans="2:15" x14ac:dyDescent="0.2">
      <c r="B4326" s="1">
        <f t="shared" si="244"/>
        <v>4311</v>
      </c>
      <c r="C4326" s="101">
        <f ca="1"/>
        <v>1.0402622763417029</v>
      </c>
      <c r="D4326" s="101">
        <f t="shared" ca="1" si="245"/>
        <v>0.73630982362463249</v>
      </c>
      <c r="E4326" s="101">
        <f t="shared" ca="1" si="246"/>
        <v>0</v>
      </c>
      <c r="F4326" s="21">
        <f t="shared" ca="1" si="247"/>
        <v>0</v>
      </c>
      <c r="H4326" s="21">
        <v>4311</v>
      </c>
      <c r="I4326" s="102">
        <v>0.66782334855560899</v>
      </c>
      <c r="J4326" s="103">
        <v>1.4276020861960842E-3</v>
      </c>
      <c r="K4326" s="103"/>
      <c r="L4326" s="103">
        <v>4.5999999999999999E-2</v>
      </c>
      <c r="O4326" s="100"/>
    </row>
    <row r="4327" spans="2:15" x14ac:dyDescent="0.2">
      <c r="B4327" s="1">
        <f t="shared" si="244"/>
        <v>4312</v>
      </c>
      <c r="C4327" s="101">
        <f ca="1"/>
        <v>0.5777228486985051</v>
      </c>
      <c r="D4327" s="101">
        <f t="shared" ca="1" si="245"/>
        <v>0.70347017733051587</v>
      </c>
      <c r="E4327" s="101">
        <f t="shared" ca="1" si="246"/>
        <v>0</v>
      </c>
      <c r="F4327" s="21">
        <f t="shared" ca="1" si="247"/>
        <v>0</v>
      </c>
      <c r="H4327" s="21">
        <v>4312</v>
      </c>
      <c r="I4327" s="102">
        <v>0.66779796837332062</v>
      </c>
      <c r="J4327" s="103">
        <v>1.3822401105579936E-3</v>
      </c>
      <c r="K4327" s="103"/>
      <c r="L4327" s="103">
        <v>4.2799999999999998E-2</v>
      </c>
      <c r="O4327" s="100"/>
    </row>
    <row r="4328" spans="2:15" x14ac:dyDescent="0.2">
      <c r="B4328" s="1">
        <f t="shared" si="244"/>
        <v>4313</v>
      </c>
      <c r="C4328" s="101">
        <f ca="1"/>
        <v>-3.1374847218905412E-2</v>
      </c>
      <c r="D4328" s="101">
        <f t="shared" ca="1" si="245"/>
        <v>0.66244880510094806</v>
      </c>
      <c r="E4328" s="101">
        <f t="shared" ca="1" si="246"/>
        <v>0</v>
      </c>
      <c r="F4328" s="21">
        <f t="shared" ca="1" si="247"/>
        <v>0</v>
      </c>
      <c r="H4328" s="21">
        <v>4313</v>
      </c>
      <c r="I4328" s="102">
        <v>0.6677348580599779</v>
      </c>
      <c r="J4328" s="103">
        <v>1.3177546326439912E-3</v>
      </c>
      <c r="K4328" s="103"/>
      <c r="L4328" s="103">
        <v>3.78E-2</v>
      </c>
      <c r="O4328" s="100"/>
    </row>
    <row r="4329" spans="2:15" x14ac:dyDescent="0.2">
      <c r="B4329" s="1">
        <f t="shared" si="244"/>
        <v>4314</v>
      </c>
      <c r="C4329" s="101">
        <f ca="1"/>
        <v>1.6821841175377177</v>
      </c>
      <c r="D4329" s="101">
        <f t="shared" ca="1" si="245"/>
        <v>0.78444072184571523</v>
      </c>
      <c r="E4329" s="101">
        <f t="shared" ca="1" si="246"/>
        <v>0</v>
      </c>
      <c r="F4329" s="21">
        <f t="shared" ca="1" si="247"/>
        <v>0</v>
      </c>
      <c r="H4329" s="21">
        <v>4314</v>
      </c>
      <c r="I4329" s="102">
        <v>0.66778874498148011</v>
      </c>
      <c r="J4329" s="103">
        <v>1.368334989703623E-3</v>
      </c>
      <c r="K4329" s="103"/>
      <c r="L4329" s="103">
        <v>4.1399999999999999E-2</v>
      </c>
      <c r="O4329" s="100"/>
    </row>
    <row r="4330" spans="2:15" x14ac:dyDescent="0.2">
      <c r="B4330" s="1">
        <f t="shared" si="244"/>
        <v>4315</v>
      </c>
      <c r="C4330" s="101">
        <f ca="1"/>
        <v>-6.5008007232997544E-2</v>
      </c>
      <c r="D4330" s="101">
        <f t="shared" ca="1" si="245"/>
        <v>0.66025469365762379</v>
      </c>
      <c r="E4330" s="101">
        <f t="shared" ca="1" si="246"/>
        <v>0</v>
      </c>
      <c r="F4330" s="21">
        <f t="shared" ca="1" si="247"/>
        <v>0</v>
      </c>
      <c r="H4330" s="21">
        <v>4315</v>
      </c>
      <c r="I4330" s="102">
        <v>0.66761555024649666</v>
      </c>
      <c r="J4330" s="103">
        <v>1.2209943042098567E-3</v>
      </c>
      <c r="K4330" s="103"/>
      <c r="L4330" s="103">
        <v>4.1399999999999999E-2</v>
      </c>
      <c r="O4330" s="100"/>
    </row>
    <row r="4331" spans="2:15" x14ac:dyDescent="0.2">
      <c r="B4331" s="1">
        <f t="shared" si="244"/>
        <v>4316</v>
      </c>
      <c r="C4331" s="101">
        <f ca="1"/>
        <v>0.26798358465217342</v>
      </c>
      <c r="D4331" s="101">
        <f t="shared" ca="1" si="245"/>
        <v>0.68230201165046545</v>
      </c>
      <c r="E4331" s="101">
        <f t="shared" ca="1" si="246"/>
        <v>0</v>
      </c>
      <c r="F4331" s="21">
        <f t="shared" ca="1" si="247"/>
        <v>0</v>
      </c>
      <c r="H4331" s="21">
        <v>4316</v>
      </c>
      <c r="I4331" s="102">
        <v>0.66776939066938223</v>
      </c>
      <c r="J4331" s="103">
        <v>1.3784783302981799E-3</v>
      </c>
      <c r="K4331" s="103"/>
      <c r="L4331" s="103">
        <v>4.1399999999999999E-2</v>
      </c>
      <c r="O4331" s="100"/>
    </row>
    <row r="4332" spans="2:15" x14ac:dyDescent="0.2">
      <c r="B4332" s="1">
        <f t="shared" si="244"/>
        <v>4317</v>
      </c>
      <c r="C4332" s="101">
        <f ca="1"/>
        <v>-1.1696910721689644</v>
      </c>
      <c r="D4332" s="101">
        <f t="shared" ca="1" si="245"/>
        <v>0.59208976768097776</v>
      </c>
      <c r="E4332" s="101">
        <f t="shared" ca="1" si="246"/>
        <v>0</v>
      </c>
      <c r="F4332" s="21">
        <f t="shared" ca="1" si="247"/>
        <v>0</v>
      </c>
      <c r="H4332" s="21">
        <v>4317</v>
      </c>
      <c r="I4332" s="102">
        <v>0.66772130782420558</v>
      </c>
      <c r="J4332" s="103">
        <v>1.1632230192213857E-3</v>
      </c>
      <c r="K4332" s="103"/>
      <c r="L4332" s="103">
        <v>3.8800000000000001E-2</v>
      </c>
      <c r="O4332" s="100"/>
    </row>
    <row r="4333" spans="2:15" x14ac:dyDescent="0.2">
      <c r="B4333" s="1">
        <f t="shared" si="244"/>
        <v>4318</v>
      </c>
      <c r="C4333" s="101">
        <f ca="1"/>
        <v>-1.6168013524419282</v>
      </c>
      <c r="D4333" s="101">
        <f t="shared" ca="1" si="245"/>
        <v>0.56654397723639505</v>
      </c>
      <c r="E4333" s="101">
        <f t="shared" ca="1" si="246"/>
        <v>0</v>
      </c>
      <c r="F4333" s="21">
        <f t="shared" ca="1" si="247"/>
        <v>0</v>
      </c>
      <c r="H4333" s="21">
        <v>4318</v>
      </c>
      <c r="I4333" s="102">
        <v>0.66776869198932443</v>
      </c>
      <c r="J4333" s="103">
        <v>1.4362884112758493E-3</v>
      </c>
      <c r="K4333" s="103"/>
      <c r="L4333" s="103">
        <v>3.9399999999999998E-2</v>
      </c>
      <c r="O4333" s="100"/>
    </row>
    <row r="4334" spans="2:15" x14ac:dyDescent="0.2">
      <c r="B4334" s="1">
        <f t="shared" si="244"/>
        <v>4319</v>
      </c>
      <c r="C4334" s="101">
        <f ca="1"/>
        <v>2.7258276385311411</v>
      </c>
      <c r="D4334" s="101">
        <f t="shared" ca="1" si="245"/>
        <v>0.86949917776739083</v>
      </c>
      <c r="E4334" s="101">
        <f t="shared" ca="1" si="246"/>
        <v>8.1299177767390818E-2</v>
      </c>
      <c r="F4334" s="21">
        <f t="shared" ca="1" si="247"/>
        <v>1</v>
      </c>
      <c r="H4334" s="21">
        <v>4319</v>
      </c>
      <c r="I4334" s="102">
        <v>0.66772173637495902</v>
      </c>
      <c r="J4334" s="103">
        <v>1.3838427121541561E-3</v>
      </c>
      <c r="K4334" s="103"/>
      <c r="L4334" s="103">
        <v>4.1200000000000001E-2</v>
      </c>
      <c r="O4334" s="100"/>
    </row>
    <row r="4335" spans="2:15" x14ac:dyDescent="0.2">
      <c r="B4335" s="1">
        <f t="shared" si="244"/>
        <v>4320</v>
      </c>
      <c r="C4335" s="101">
        <f ca="1"/>
        <v>0.84646237663103441</v>
      </c>
      <c r="D4335" s="101">
        <f t="shared" ca="1" si="245"/>
        <v>0.72236771306790126</v>
      </c>
      <c r="E4335" s="101">
        <f t="shared" ca="1" si="246"/>
        <v>0</v>
      </c>
      <c r="F4335" s="21">
        <f t="shared" ca="1" si="247"/>
        <v>0</v>
      </c>
      <c r="H4335" s="21">
        <v>4320</v>
      </c>
      <c r="I4335" s="102">
        <v>0.66764948078785702</v>
      </c>
      <c r="J4335" s="103">
        <v>1.2050771054902853E-3</v>
      </c>
      <c r="K4335" s="103"/>
      <c r="L4335" s="103">
        <v>3.7199999999999997E-2</v>
      </c>
      <c r="O4335" s="100"/>
    </row>
    <row r="4336" spans="2:15" x14ac:dyDescent="0.2">
      <c r="B4336" s="1">
        <f t="shared" ref="B4336:B4399" si="248">B4335+1</f>
        <v>4321</v>
      </c>
      <c r="C4336" s="101">
        <f ca="1"/>
        <v>0.85379331099660405</v>
      </c>
      <c r="D4336" s="101">
        <f t="shared" ca="1" si="245"/>
        <v>0.72289026997702588</v>
      </c>
      <c r="E4336" s="101">
        <f t="shared" ca="1" si="246"/>
        <v>0</v>
      </c>
      <c r="F4336" s="21">
        <f t="shared" ca="1" si="247"/>
        <v>0</v>
      </c>
      <c r="H4336" s="21">
        <v>4321</v>
      </c>
      <c r="I4336" s="102">
        <v>0.66767546691633894</v>
      </c>
      <c r="J4336" s="103">
        <v>1.3606611325251545E-3</v>
      </c>
      <c r="K4336" s="103"/>
      <c r="L4336" s="103">
        <v>0.04</v>
      </c>
      <c r="O4336" s="100"/>
    </row>
    <row r="4337" spans="2:15" x14ac:dyDescent="0.2">
      <c r="B4337" s="1">
        <f t="shared" si="248"/>
        <v>4322</v>
      </c>
      <c r="C4337" s="101">
        <f ca="1"/>
        <v>7.0210971882045271E-3</v>
      </c>
      <c r="D4337" s="101">
        <f t="shared" ca="1" si="245"/>
        <v>0.66496253878536604</v>
      </c>
      <c r="E4337" s="101">
        <f t="shared" ca="1" si="246"/>
        <v>0</v>
      </c>
      <c r="F4337" s="21">
        <f t="shared" ca="1" si="247"/>
        <v>0</v>
      </c>
      <c r="H4337" s="21">
        <v>4322</v>
      </c>
      <c r="I4337" s="102">
        <v>0.66776521391092181</v>
      </c>
      <c r="J4337" s="103">
        <v>1.3499526836605598E-3</v>
      </c>
      <c r="K4337" s="103"/>
      <c r="L4337" s="103">
        <v>4.24E-2</v>
      </c>
      <c r="O4337" s="100"/>
    </row>
    <row r="4338" spans="2:15" x14ac:dyDescent="0.2">
      <c r="B4338" s="1">
        <f t="shared" si="248"/>
        <v>4323</v>
      </c>
      <c r="C4338" s="101">
        <f ca="1"/>
        <v>0.83854905896243048</v>
      </c>
      <c r="D4338" s="101">
        <f t="shared" ca="1" si="245"/>
        <v>0.72180406718695134</v>
      </c>
      <c r="E4338" s="101">
        <f t="shared" ca="1" si="246"/>
        <v>0</v>
      </c>
      <c r="F4338" s="21">
        <f t="shared" ca="1" si="247"/>
        <v>0</v>
      </c>
      <c r="H4338" s="21">
        <v>4323</v>
      </c>
      <c r="I4338" s="102">
        <v>0.66780680363863598</v>
      </c>
      <c r="J4338" s="103">
        <v>1.4776574826438904E-3</v>
      </c>
      <c r="K4338" s="103"/>
      <c r="L4338" s="103">
        <v>4.3999999999999997E-2</v>
      </c>
      <c r="O4338" s="100"/>
    </row>
    <row r="4339" spans="2:15" x14ac:dyDescent="0.2">
      <c r="B4339" s="1">
        <f t="shared" si="248"/>
        <v>4324</v>
      </c>
      <c r="C4339" s="101">
        <f ca="1"/>
        <v>-0.51789956052969177</v>
      </c>
      <c r="D4339" s="101">
        <f t="shared" ca="1" si="245"/>
        <v>0.63140774144855349</v>
      </c>
      <c r="E4339" s="101">
        <f t="shared" ca="1" si="246"/>
        <v>0</v>
      </c>
      <c r="F4339" s="21">
        <f t="shared" ca="1" si="247"/>
        <v>0</v>
      </c>
      <c r="H4339" s="21">
        <v>4324</v>
      </c>
      <c r="I4339" s="102">
        <v>0.66767466779241724</v>
      </c>
      <c r="J4339" s="103">
        <v>1.2381858670738285E-3</v>
      </c>
      <c r="K4339" s="103"/>
      <c r="L4339" s="103">
        <v>4.1399999999999999E-2</v>
      </c>
      <c r="O4339" s="100"/>
    </row>
    <row r="4340" spans="2:15" x14ac:dyDescent="0.2">
      <c r="B4340" s="1">
        <f t="shared" si="248"/>
        <v>4325</v>
      </c>
      <c r="C4340" s="101">
        <f ca="1"/>
        <v>-0.69800028848474338</v>
      </c>
      <c r="D4340" s="101">
        <f t="shared" ca="1" si="245"/>
        <v>0.62028959781758353</v>
      </c>
      <c r="E4340" s="101">
        <f t="shared" ca="1" si="246"/>
        <v>0</v>
      </c>
      <c r="F4340" s="21">
        <f t="shared" ca="1" si="247"/>
        <v>0</v>
      </c>
      <c r="H4340" s="21">
        <v>4325</v>
      </c>
      <c r="I4340" s="102">
        <v>0.66757959642534093</v>
      </c>
      <c r="J4340" s="103">
        <v>1.0679437027392787E-3</v>
      </c>
      <c r="K4340" s="103"/>
      <c r="L4340" s="103">
        <v>3.4799999999999998E-2</v>
      </c>
      <c r="O4340" s="100"/>
    </row>
    <row r="4341" spans="2:15" x14ac:dyDescent="0.2">
      <c r="B4341" s="1">
        <f t="shared" si="248"/>
        <v>4326</v>
      </c>
      <c r="C4341" s="101">
        <f ca="1"/>
        <v>0.99077892467374284</v>
      </c>
      <c r="D4341" s="101">
        <f t="shared" ca="1" si="245"/>
        <v>0.73272457633198884</v>
      </c>
      <c r="E4341" s="101">
        <f t="shared" ca="1" si="246"/>
        <v>0</v>
      </c>
      <c r="F4341" s="21">
        <f t="shared" ca="1" si="247"/>
        <v>0</v>
      </c>
      <c r="H4341" s="21">
        <v>4326</v>
      </c>
      <c r="I4341" s="102">
        <v>0.66759622294471932</v>
      </c>
      <c r="J4341" s="103">
        <v>1.3862986731934103E-3</v>
      </c>
      <c r="K4341" s="103"/>
      <c r="L4341" s="103">
        <v>3.9E-2</v>
      </c>
      <c r="O4341" s="100"/>
    </row>
    <row r="4342" spans="2:15" x14ac:dyDescent="0.2">
      <c r="B4342" s="1">
        <f t="shared" si="248"/>
        <v>4327</v>
      </c>
      <c r="C4342" s="101">
        <f ca="1"/>
        <v>-2.0727158176913965</v>
      </c>
      <c r="D4342" s="101">
        <f t="shared" ca="1" si="245"/>
        <v>0.54162977705974502</v>
      </c>
      <c r="E4342" s="101">
        <f t="shared" ca="1" si="246"/>
        <v>0</v>
      </c>
      <c r="F4342" s="21">
        <f t="shared" ca="1" si="247"/>
        <v>0</v>
      </c>
      <c r="H4342" s="21">
        <v>4327</v>
      </c>
      <c r="I4342" s="102">
        <v>0.66785861244229261</v>
      </c>
      <c r="J4342" s="103">
        <v>1.4133829795618868E-3</v>
      </c>
      <c r="K4342" s="103"/>
      <c r="L4342" s="103">
        <v>4.4999999999999998E-2</v>
      </c>
      <c r="O4342" s="100"/>
    </row>
    <row r="4343" spans="2:15" x14ac:dyDescent="0.2">
      <c r="B4343" s="1">
        <f t="shared" si="248"/>
        <v>4328</v>
      </c>
      <c r="C4343" s="101">
        <f ca="1"/>
        <v>1.4866493982311366</v>
      </c>
      <c r="D4343" s="101">
        <f t="shared" ca="1" si="245"/>
        <v>0.7694555629602966</v>
      </c>
      <c r="E4343" s="101">
        <f t="shared" ca="1" si="246"/>
        <v>0</v>
      </c>
      <c r="F4343" s="21">
        <f t="shared" ca="1" si="247"/>
        <v>0</v>
      </c>
      <c r="H4343" s="21">
        <v>4328</v>
      </c>
      <c r="I4343" s="102">
        <v>0.66784072287626972</v>
      </c>
      <c r="J4343" s="103">
        <v>1.6797516875402699E-3</v>
      </c>
      <c r="K4343" s="103"/>
      <c r="L4343" s="103">
        <v>4.7800000000000002E-2</v>
      </c>
      <c r="O4343" s="100"/>
    </row>
    <row r="4344" spans="2:15" x14ac:dyDescent="0.2">
      <c r="B4344" s="1">
        <f t="shared" si="248"/>
        <v>4329</v>
      </c>
      <c r="C4344" s="101">
        <f ca="1"/>
        <v>1.6976680881842174</v>
      </c>
      <c r="D4344" s="101">
        <f t="shared" ca="1" si="245"/>
        <v>0.78563976019838877</v>
      </c>
      <c r="E4344" s="101">
        <f t="shared" ca="1" si="246"/>
        <v>0</v>
      </c>
      <c r="F4344" s="21">
        <f t="shared" ca="1" si="247"/>
        <v>0</v>
      </c>
      <c r="H4344" s="21">
        <v>4329</v>
      </c>
      <c r="I4344" s="102">
        <v>0.66773380739964472</v>
      </c>
      <c r="J4344" s="103">
        <v>1.3888226990317965E-3</v>
      </c>
      <c r="K4344" s="103"/>
      <c r="L4344" s="103">
        <v>4.58E-2</v>
      </c>
      <c r="O4344" s="100"/>
    </row>
    <row r="4345" spans="2:15" x14ac:dyDescent="0.2">
      <c r="B4345" s="1">
        <f t="shared" si="248"/>
        <v>4330</v>
      </c>
      <c r="C4345" s="101">
        <f ca="1"/>
        <v>-0.33176731021433231</v>
      </c>
      <c r="D4345" s="101">
        <f t="shared" ca="1" si="245"/>
        <v>0.64310767583936124</v>
      </c>
      <c r="E4345" s="101">
        <f t="shared" ca="1" si="246"/>
        <v>0</v>
      </c>
      <c r="F4345" s="21">
        <f t="shared" ca="1" si="247"/>
        <v>0</v>
      </c>
      <c r="H4345" s="21">
        <v>4330</v>
      </c>
      <c r="I4345" s="102">
        <v>0.66780866036569719</v>
      </c>
      <c r="J4345" s="103">
        <v>1.4900484350489774E-3</v>
      </c>
      <c r="K4345" s="103"/>
      <c r="L4345" s="103">
        <v>4.2999999999999997E-2</v>
      </c>
      <c r="O4345" s="100"/>
    </row>
    <row r="4346" spans="2:15" x14ac:dyDescent="0.2">
      <c r="B4346" s="1">
        <f t="shared" si="248"/>
        <v>4331</v>
      </c>
      <c r="C4346" s="101">
        <f ca="1"/>
        <v>0.1496043719710464</v>
      </c>
      <c r="D4346" s="101">
        <f t="shared" ca="1" si="245"/>
        <v>0.67438105163897732</v>
      </c>
      <c r="E4346" s="101">
        <f t="shared" ca="1" si="246"/>
        <v>0</v>
      </c>
      <c r="F4346" s="21">
        <f t="shared" ca="1" si="247"/>
        <v>0</v>
      </c>
      <c r="H4346" s="21">
        <v>4331</v>
      </c>
      <c r="I4346" s="102">
        <v>0.6677920997929685</v>
      </c>
      <c r="J4346" s="103">
        <v>1.4159628648423364E-3</v>
      </c>
      <c r="K4346" s="103"/>
      <c r="L4346" s="103">
        <v>4.3999999999999997E-2</v>
      </c>
      <c r="O4346" s="100"/>
    </row>
    <row r="4347" spans="2:15" x14ac:dyDescent="0.2">
      <c r="B4347" s="1">
        <f t="shared" si="248"/>
        <v>4332</v>
      </c>
      <c r="C4347" s="101">
        <f ca="1"/>
        <v>-0.14812436932702525</v>
      </c>
      <c r="D4347" s="101">
        <f t="shared" ca="1" si="245"/>
        <v>0.65486358836782277</v>
      </c>
      <c r="E4347" s="101">
        <f t="shared" ca="1" si="246"/>
        <v>0</v>
      </c>
      <c r="F4347" s="21">
        <f t="shared" ca="1" si="247"/>
        <v>0</v>
      </c>
      <c r="H4347" s="21">
        <v>4332</v>
      </c>
      <c r="I4347" s="102">
        <v>0.66779164975967686</v>
      </c>
      <c r="J4347" s="103">
        <v>1.4501377924910029E-3</v>
      </c>
      <c r="K4347" s="103"/>
      <c r="L4347" s="103">
        <v>4.3799999999999999E-2</v>
      </c>
      <c r="O4347" s="100"/>
    </row>
    <row r="4348" spans="2:15" x14ac:dyDescent="0.2">
      <c r="B4348" s="1">
        <f t="shared" si="248"/>
        <v>4333</v>
      </c>
      <c r="C4348" s="101">
        <f ca="1"/>
        <v>-0.24079146719679614</v>
      </c>
      <c r="D4348" s="101">
        <f t="shared" ca="1" si="245"/>
        <v>0.6489048829233468</v>
      </c>
      <c r="E4348" s="101">
        <f t="shared" ca="1" si="246"/>
        <v>0</v>
      </c>
      <c r="F4348" s="21">
        <f t="shared" ca="1" si="247"/>
        <v>0</v>
      </c>
      <c r="H4348" s="21">
        <v>4333</v>
      </c>
      <c r="I4348" s="102">
        <v>0.66749749394950109</v>
      </c>
      <c r="J4348" s="103">
        <v>1.0564260529600793E-3</v>
      </c>
      <c r="K4348" s="103"/>
      <c r="L4348" s="103">
        <v>3.2800000000000003E-2</v>
      </c>
      <c r="O4348" s="100"/>
    </row>
    <row r="4349" spans="2:15" x14ac:dyDescent="0.2">
      <c r="B4349" s="1">
        <f t="shared" si="248"/>
        <v>4334</v>
      </c>
      <c r="C4349" s="101">
        <f ca="1"/>
        <v>-1.2313783615955136</v>
      </c>
      <c r="D4349" s="101">
        <f t="shared" ca="1" si="245"/>
        <v>0.58849789039170497</v>
      </c>
      <c r="E4349" s="101">
        <f t="shared" ca="1" si="246"/>
        <v>0</v>
      </c>
      <c r="F4349" s="21">
        <f t="shared" ca="1" si="247"/>
        <v>0</v>
      </c>
      <c r="H4349" s="21">
        <v>4334</v>
      </c>
      <c r="I4349" s="102">
        <v>0.66782782894958104</v>
      </c>
      <c r="J4349" s="103">
        <v>1.4990582087706474E-3</v>
      </c>
      <c r="K4349" s="103"/>
      <c r="L4349" s="103">
        <v>4.36E-2</v>
      </c>
      <c r="O4349" s="100"/>
    </row>
    <row r="4350" spans="2:15" x14ac:dyDescent="0.2">
      <c r="B4350" s="1">
        <f t="shared" si="248"/>
        <v>4335</v>
      </c>
      <c r="C4350" s="101">
        <f ca="1"/>
        <v>0.50719140387040773</v>
      </c>
      <c r="D4350" s="101">
        <f t="shared" ca="1" si="245"/>
        <v>0.69859289960737647</v>
      </c>
      <c r="E4350" s="101">
        <f t="shared" ca="1" si="246"/>
        <v>0</v>
      </c>
      <c r="F4350" s="21">
        <f t="shared" ca="1" si="247"/>
        <v>0</v>
      </c>
      <c r="H4350" s="21">
        <v>4335</v>
      </c>
      <c r="I4350" s="102">
        <v>0.66776667206848639</v>
      </c>
      <c r="J4350" s="103">
        <v>1.5104595997571981E-3</v>
      </c>
      <c r="K4350" s="103"/>
      <c r="L4350" s="103">
        <v>0.04</v>
      </c>
      <c r="O4350" s="100"/>
    </row>
    <row r="4351" spans="2:15" x14ac:dyDescent="0.2">
      <c r="B4351" s="1">
        <f t="shared" si="248"/>
        <v>4336</v>
      </c>
      <c r="C4351" s="101">
        <f ca="1"/>
        <v>-0.70448594208535287</v>
      </c>
      <c r="D4351" s="101">
        <f t="shared" ca="1" si="245"/>
        <v>0.61989289230560207</v>
      </c>
      <c r="E4351" s="101">
        <f t="shared" ca="1" si="246"/>
        <v>0</v>
      </c>
      <c r="F4351" s="21">
        <f t="shared" ca="1" si="247"/>
        <v>0</v>
      </c>
      <c r="H4351" s="21">
        <v>4336</v>
      </c>
      <c r="I4351" s="102">
        <v>0.66779750884732958</v>
      </c>
      <c r="J4351" s="103">
        <v>1.3671044178204933E-3</v>
      </c>
      <c r="K4351" s="103"/>
      <c r="L4351" s="103">
        <v>4.4600000000000001E-2</v>
      </c>
      <c r="O4351" s="100"/>
    </row>
    <row r="4352" spans="2:15" x14ac:dyDescent="0.2">
      <c r="B4352" s="1">
        <f t="shared" si="248"/>
        <v>4337</v>
      </c>
      <c r="C4352" s="101">
        <f ca="1"/>
        <v>-1.5222619438786311</v>
      </c>
      <c r="D4352" s="101">
        <f t="shared" ca="1" si="245"/>
        <v>0.57185199035350465</v>
      </c>
      <c r="E4352" s="101">
        <f t="shared" ca="1" si="246"/>
        <v>0</v>
      </c>
      <c r="F4352" s="21">
        <f t="shared" ca="1" si="247"/>
        <v>0</v>
      </c>
      <c r="H4352" s="21">
        <v>4337</v>
      </c>
      <c r="I4352" s="102">
        <v>0.6678319091183238</v>
      </c>
      <c r="J4352" s="103">
        <v>1.451656894271074E-3</v>
      </c>
      <c r="K4352" s="103"/>
      <c r="L4352" s="103">
        <v>4.4200000000000003E-2</v>
      </c>
      <c r="O4352" s="100"/>
    </row>
    <row r="4353" spans="2:15" x14ac:dyDescent="0.2">
      <c r="B4353" s="1">
        <f t="shared" si="248"/>
        <v>4338</v>
      </c>
      <c r="C4353" s="101">
        <f ca="1"/>
        <v>-0.67928610786976884</v>
      </c>
      <c r="D4353" s="101">
        <f t="shared" ca="1" si="245"/>
        <v>0.62143570472272969</v>
      </c>
      <c r="E4353" s="101">
        <f t="shared" ca="1" si="246"/>
        <v>0</v>
      </c>
      <c r="F4353" s="21">
        <f t="shared" ca="1" si="247"/>
        <v>0</v>
      </c>
      <c r="H4353" s="21">
        <v>4338</v>
      </c>
      <c r="I4353" s="102">
        <v>0.6676794129976279</v>
      </c>
      <c r="J4353" s="103">
        <v>1.344882244672522E-3</v>
      </c>
      <c r="K4353" s="103"/>
      <c r="L4353" s="103">
        <v>4.1000000000000002E-2</v>
      </c>
      <c r="O4353" s="100"/>
    </row>
    <row r="4354" spans="2:15" x14ac:dyDescent="0.2">
      <c r="B4354" s="1">
        <f t="shared" si="248"/>
        <v>4339</v>
      </c>
      <c r="C4354" s="101">
        <f ca="1"/>
        <v>0.45122199120770212</v>
      </c>
      <c r="D4354" s="101">
        <f t="shared" ca="1" si="245"/>
        <v>0.69474666721272049</v>
      </c>
      <c r="E4354" s="101">
        <f t="shared" ca="1" si="246"/>
        <v>0</v>
      </c>
      <c r="F4354" s="21">
        <f t="shared" ca="1" si="247"/>
        <v>0</v>
      </c>
      <c r="H4354" s="21">
        <v>4339</v>
      </c>
      <c r="I4354" s="102">
        <v>0.66775197965466571</v>
      </c>
      <c r="J4354" s="103">
        <v>1.3858673297592792E-3</v>
      </c>
      <c r="K4354" s="103"/>
      <c r="L4354" s="103">
        <v>4.1799999999999997E-2</v>
      </c>
      <c r="O4354" s="100"/>
    </row>
    <row r="4355" spans="2:15" x14ac:dyDescent="0.2">
      <c r="B4355" s="1">
        <f t="shared" si="248"/>
        <v>4340</v>
      </c>
      <c r="C4355" s="101">
        <f ca="1"/>
        <v>-0.54007984389507091</v>
      </c>
      <c r="D4355" s="101">
        <f t="shared" ca="1" si="245"/>
        <v>0.63002779928364938</v>
      </c>
      <c r="E4355" s="101">
        <f t="shared" ca="1" si="246"/>
        <v>0</v>
      </c>
      <c r="F4355" s="21">
        <f t="shared" ca="1" si="247"/>
        <v>0</v>
      </c>
      <c r="H4355" s="21">
        <v>4340</v>
      </c>
      <c r="I4355" s="102">
        <v>0.66763271937821067</v>
      </c>
      <c r="J4355" s="103">
        <v>1.1750075249061659E-3</v>
      </c>
      <c r="K4355" s="103"/>
      <c r="L4355" s="103">
        <v>3.9399999999999998E-2</v>
      </c>
      <c r="O4355" s="100"/>
    </row>
    <row r="4356" spans="2:15" x14ac:dyDescent="0.2">
      <c r="B4356" s="1">
        <f t="shared" si="248"/>
        <v>4341</v>
      </c>
      <c r="C4356" s="101">
        <f ca="1"/>
        <v>-1.8209705360911035</v>
      </c>
      <c r="D4356" s="101">
        <f t="shared" ca="1" si="245"/>
        <v>0.55524818180617885</v>
      </c>
      <c r="E4356" s="101">
        <f t="shared" ca="1" si="246"/>
        <v>0</v>
      </c>
      <c r="F4356" s="21">
        <f t="shared" ca="1" si="247"/>
        <v>0</v>
      </c>
      <c r="H4356" s="21">
        <v>4341</v>
      </c>
      <c r="I4356" s="102">
        <v>0.66790316532455118</v>
      </c>
      <c r="J4356" s="103">
        <v>1.5027163525878158E-3</v>
      </c>
      <c r="K4356" s="103"/>
      <c r="L4356" s="103">
        <v>4.7800000000000002E-2</v>
      </c>
      <c r="O4356" s="100"/>
    </row>
    <row r="4357" spans="2:15" x14ac:dyDescent="0.2">
      <c r="B4357" s="1">
        <f t="shared" si="248"/>
        <v>4342</v>
      </c>
      <c r="C4357" s="101">
        <f ca="1"/>
        <v>0.91597586710147394</v>
      </c>
      <c r="D4357" s="101">
        <f t="shared" ca="1" si="245"/>
        <v>0.72733793900906651</v>
      </c>
      <c r="E4357" s="101">
        <f t="shared" ca="1" si="246"/>
        <v>0</v>
      </c>
      <c r="F4357" s="21">
        <f t="shared" ca="1" si="247"/>
        <v>0</v>
      </c>
      <c r="H4357" s="21">
        <v>4342</v>
      </c>
      <c r="I4357" s="102">
        <v>0.66773060646512195</v>
      </c>
      <c r="J4357" s="103">
        <v>1.4043456497282412E-3</v>
      </c>
      <c r="K4357" s="103"/>
      <c r="L4357" s="103">
        <v>4.1200000000000001E-2</v>
      </c>
      <c r="O4357" s="100"/>
    </row>
    <row r="4358" spans="2:15" x14ac:dyDescent="0.2">
      <c r="B4358" s="1">
        <f t="shared" si="248"/>
        <v>4343</v>
      </c>
      <c r="C4358" s="101">
        <f ca="1"/>
        <v>-1.2235169519732969</v>
      </c>
      <c r="D4358" s="101">
        <f t="shared" ca="1" si="245"/>
        <v>0.5889544238766482</v>
      </c>
      <c r="E4358" s="101">
        <f t="shared" ca="1" si="246"/>
        <v>0</v>
      </c>
      <c r="F4358" s="21">
        <f t="shared" ca="1" si="247"/>
        <v>0</v>
      </c>
      <c r="H4358" s="21">
        <v>4343</v>
      </c>
      <c r="I4358" s="102">
        <v>0.66765642877705245</v>
      </c>
      <c r="J4358" s="103">
        <v>1.3661160531627465E-3</v>
      </c>
      <c r="K4358" s="103"/>
      <c r="L4358" s="103">
        <v>3.9199999999999999E-2</v>
      </c>
      <c r="O4358" s="100"/>
    </row>
    <row r="4359" spans="2:15" x14ac:dyDescent="0.2">
      <c r="B4359" s="1">
        <f t="shared" si="248"/>
        <v>4344</v>
      </c>
      <c r="C4359" s="101">
        <f ca="1"/>
        <v>-1.1932393640494152</v>
      </c>
      <c r="D4359" s="101">
        <f t="shared" ca="1" si="245"/>
        <v>0.59071603709719089</v>
      </c>
      <c r="E4359" s="101">
        <f t="shared" ca="1" si="246"/>
        <v>0</v>
      </c>
      <c r="F4359" s="21">
        <f t="shared" ca="1" si="247"/>
        <v>0</v>
      </c>
      <c r="H4359" s="21">
        <v>4344</v>
      </c>
      <c r="I4359" s="102">
        <v>0.66782280258170845</v>
      </c>
      <c r="J4359" s="103">
        <v>1.4380484353724522E-3</v>
      </c>
      <c r="K4359" s="103"/>
      <c r="L4359" s="103">
        <v>4.3799999999999999E-2</v>
      </c>
      <c r="O4359" s="100"/>
    </row>
    <row r="4360" spans="2:15" x14ac:dyDescent="0.2">
      <c r="B4360" s="1">
        <f t="shared" si="248"/>
        <v>4345</v>
      </c>
      <c r="C4360" s="101">
        <f ca="1"/>
        <v>0.66318733711525968</v>
      </c>
      <c r="D4360" s="101">
        <f t="shared" ca="1" si="245"/>
        <v>0.70942573175639001</v>
      </c>
      <c r="E4360" s="101">
        <f t="shared" ca="1" si="246"/>
        <v>0</v>
      </c>
      <c r="F4360" s="21">
        <f t="shared" ca="1" si="247"/>
        <v>0</v>
      </c>
      <c r="H4360" s="21">
        <v>4345</v>
      </c>
      <c r="I4360" s="102">
        <v>0.66763704493778342</v>
      </c>
      <c r="J4360" s="103">
        <v>1.029639159627266E-3</v>
      </c>
      <c r="K4360" s="103"/>
      <c r="L4360" s="103">
        <v>3.8600000000000002E-2</v>
      </c>
      <c r="O4360" s="100"/>
    </row>
    <row r="4361" spans="2:15" x14ac:dyDescent="0.2">
      <c r="B4361" s="1">
        <f t="shared" si="248"/>
        <v>4346</v>
      </c>
      <c r="C4361" s="101">
        <f ca="1"/>
        <v>-0.24928167476120339</v>
      </c>
      <c r="D4361" s="101">
        <f t="shared" ca="1" si="245"/>
        <v>0.64836166210469792</v>
      </c>
      <c r="E4361" s="101">
        <f t="shared" ca="1" si="246"/>
        <v>0</v>
      </c>
      <c r="F4361" s="21">
        <f t="shared" ca="1" si="247"/>
        <v>0</v>
      </c>
      <c r="H4361" s="21">
        <v>4346</v>
      </c>
      <c r="I4361" s="102">
        <v>0.66790404396028991</v>
      </c>
      <c r="J4361" s="103">
        <v>1.483026136195393E-3</v>
      </c>
      <c r="K4361" s="103"/>
      <c r="L4361" s="103">
        <v>4.36E-2</v>
      </c>
      <c r="O4361" s="100"/>
    </row>
    <row r="4362" spans="2:15" x14ac:dyDescent="0.2">
      <c r="B4362" s="1">
        <f t="shared" si="248"/>
        <v>4347</v>
      </c>
      <c r="C4362" s="101">
        <f ca="1"/>
        <v>-0.85628737807708466</v>
      </c>
      <c r="D4362" s="101">
        <f t="shared" ca="1" si="245"/>
        <v>0.61067983113564539</v>
      </c>
      <c r="E4362" s="101">
        <f t="shared" ca="1" si="246"/>
        <v>0</v>
      </c>
      <c r="F4362" s="21">
        <f t="shared" ca="1" si="247"/>
        <v>0</v>
      </c>
      <c r="H4362" s="21">
        <v>4347</v>
      </c>
      <c r="I4362" s="102">
        <v>0.66777367096566176</v>
      </c>
      <c r="J4362" s="103">
        <v>1.3614142143457116E-3</v>
      </c>
      <c r="K4362" s="103"/>
      <c r="L4362" s="103">
        <v>4.1000000000000002E-2</v>
      </c>
      <c r="O4362" s="100"/>
    </row>
    <row r="4363" spans="2:15" x14ac:dyDescent="0.2">
      <c r="B4363" s="1">
        <f t="shared" si="248"/>
        <v>4348</v>
      </c>
      <c r="C4363" s="101">
        <f ca="1"/>
        <v>-1.4748382298373568</v>
      </c>
      <c r="D4363" s="101">
        <f t="shared" ca="1" si="245"/>
        <v>0.57453334524060051</v>
      </c>
      <c r="E4363" s="101">
        <f t="shared" ca="1" si="246"/>
        <v>0</v>
      </c>
      <c r="F4363" s="21">
        <f t="shared" ca="1" si="247"/>
        <v>0</v>
      </c>
      <c r="H4363" s="21">
        <v>4348</v>
      </c>
      <c r="I4363" s="102">
        <v>0.6675367217243855</v>
      </c>
      <c r="J4363" s="103">
        <v>1.2168398793714495E-3</v>
      </c>
      <c r="K4363" s="103"/>
      <c r="L4363" s="103">
        <v>3.6799999999999999E-2</v>
      </c>
      <c r="O4363" s="100"/>
    </row>
    <row r="4364" spans="2:15" x14ac:dyDescent="0.2">
      <c r="B4364" s="1">
        <f t="shared" si="248"/>
        <v>4349</v>
      </c>
      <c r="C4364" s="101">
        <f ca="1"/>
        <v>0.64550708239457011</v>
      </c>
      <c r="D4364" s="101">
        <f t="shared" ca="1" si="245"/>
        <v>0.7081895688585359</v>
      </c>
      <c r="E4364" s="101">
        <f t="shared" ca="1" si="246"/>
        <v>0</v>
      </c>
      <c r="F4364" s="21">
        <f t="shared" ca="1" si="247"/>
        <v>0</v>
      </c>
      <c r="H4364" s="21">
        <v>4349</v>
      </c>
      <c r="I4364" s="102">
        <v>0.66785086562706797</v>
      </c>
      <c r="J4364" s="103">
        <v>1.4862977626307707E-3</v>
      </c>
      <c r="K4364" s="103"/>
      <c r="L4364" s="103">
        <v>4.3400000000000001E-2</v>
      </c>
      <c r="O4364" s="100"/>
    </row>
    <row r="4365" spans="2:15" x14ac:dyDescent="0.2">
      <c r="B4365" s="1">
        <f t="shared" si="248"/>
        <v>4350</v>
      </c>
      <c r="C4365" s="101">
        <f ca="1"/>
        <v>-1.4479866082238295</v>
      </c>
      <c r="D4365" s="101">
        <f t="shared" ca="1" si="245"/>
        <v>0.57605711706657114</v>
      </c>
      <c r="E4365" s="101">
        <f t="shared" ca="1" si="246"/>
        <v>0</v>
      </c>
      <c r="F4365" s="21">
        <f t="shared" ca="1" si="247"/>
        <v>0</v>
      </c>
      <c r="H4365" s="21">
        <v>4350</v>
      </c>
      <c r="I4365" s="102">
        <v>0.66781490243375219</v>
      </c>
      <c r="J4365" s="103">
        <v>1.4656697830629725E-3</v>
      </c>
      <c r="K4365" s="103"/>
      <c r="L4365" s="103">
        <v>4.4600000000000001E-2</v>
      </c>
      <c r="O4365" s="100"/>
    </row>
    <row r="4366" spans="2:15" x14ac:dyDescent="0.2">
      <c r="B4366" s="1">
        <f t="shared" si="248"/>
        <v>4351</v>
      </c>
      <c r="C4366" s="101">
        <f ca="1"/>
        <v>-0.3955618252873509</v>
      </c>
      <c r="D4366" s="101">
        <f t="shared" ca="1" si="245"/>
        <v>0.63907345013608541</v>
      </c>
      <c r="E4366" s="101">
        <f t="shared" ca="1" si="246"/>
        <v>0</v>
      </c>
      <c r="F4366" s="21">
        <f t="shared" ca="1" si="247"/>
        <v>0</v>
      </c>
      <c r="H4366" s="21">
        <v>4351</v>
      </c>
      <c r="I4366" s="102">
        <v>0.66776490428102775</v>
      </c>
      <c r="J4366" s="103">
        <v>1.5215876693698625E-3</v>
      </c>
      <c r="K4366" s="103"/>
      <c r="L4366" s="103">
        <v>4.5600000000000002E-2</v>
      </c>
      <c r="O4366" s="100"/>
    </row>
    <row r="4367" spans="2:15" x14ac:dyDescent="0.2">
      <c r="B4367" s="1">
        <f t="shared" si="248"/>
        <v>4352</v>
      </c>
      <c r="C4367" s="101">
        <f ca="1"/>
        <v>-0.37160107749492993</v>
      </c>
      <c r="D4367" s="101">
        <f t="shared" ca="1" si="245"/>
        <v>0.64058569938295318</v>
      </c>
      <c r="E4367" s="101">
        <f t="shared" ca="1" si="246"/>
        <v>0</v>
      </c>
      <c r="F4367" s="21">
        <f t="shared" ca="1" si="247"/>
        <v>0</v>
      </c>
      <c r="H4367" s="21">
        <v>4352</v>
      </c>
      <c r="I4367" s="102">
        <v>0.66788456740516344</v>
      </c>
      <c r="J4367" s="103">
        <v>1.5364719814679757E-3</v>
      </c>
      <c r="K4367" s="103"/>
      <c r="L4367" s="103">
        <v>4.36E-2</v>
      </c>
      <c r="O4367" s="100"/>
    </row>
    <row r="4368" spans="2:15" x14ac:dyDescent="0.2">
      <c r="B4368" s="1">
        <f t="shared" si="248"/>
        <v>4353</v>
      </c>
      <c r="C4368" s="101">
        <f ca="1"/>
        <v>0.67124236770261925</v>
      </c>
      <c r="D4368" s="101">
        <f t="shared" ref="D4368:D4431" ca="1" si="249">S0*EXP((μ-0.5*σ*σ)*T+σ*SQRT(T)*$C4368)</f>
        <v>0.70998963628077882</v>
      </c>
      <c r="E4368" s="101">
        <f t="shared" ref="E4368:E4431" ca="1" si="250">MAX(0,CP*(D4368-K))</f>
        <v>0</v>
      </c>
      <c r="F4368" s="21">
        <f t="shared" ref="F4368:F4431" ca="1" si="251">(CP*(D4368-K)&gt;0)*1</f>
        <v>0</v>
      </c>
      <c r="H4368" s="21">
        <v>4353</v>
      </c>
      <c r="I4368" s="102">
        <v>0.66771571627661475</v>
      </c>
      <c r="J4368" s="103">
        <v>1.3726431523317449E-3</v>
      </c>
      <c r="K4368" s="103"/>
      <c r="L4368" s="103">
        <v>4.3400000000000001E-2</v>
      </c>
      <c r="O4368" s="100"/>
    </row>
    <row r="4369" spans="2:15" x14ac:dyDescent="0.2">
      <c r="B4369" s="1">
        <f t="shared" si="248"/>
        <v>4354</v>
      </c>
      <c r="C4369" s="101">
        <f ca="1"/>
        <v>0.9386557258317858</v>
      </c>
      <c r="D4369" s="101">
        <f t="shared" ca="1" si="249"/>
        <v>0.72896694009371843</v>
      </c>
      <c r="E4369" s="101">
        <f t="shared" ca="1" si="250"/>
        <v>0</v>
      </c>
      <c r="F4369" s="21">
        <f t="shared" ca="1" si="251"/>
        <v>0</v>
      </c>
      <c r="H4369" s="21">
        <v>4354</v>
      </c>
      <c r="I4369" s="102">
        <v>0.66780982513397591</v>
      </c>
      <c r="J4369" s="103">
        <v>1.5289684327772965E-3</v>
      </c>
      <c r="K4369" s="103"/>
      <c r="L4369" s="103">
        <v>4.2000000000000003E-2</v>
      </c>
      <c r="O4369" s="100"/>
    </row>
    <row r="4370" spans="2:15" x14ac:dyDescent="0.2">
      <c r="B4370" s="1">
        <f t="shared" si="248"/>
        <v>4355</v>
      </c>
      <c r="C4370" s="101">
        <f ca="1"/>
        <v>-0.81476595749768332</v>
      </c>
      <c r="D4370" s="101">
        <f t="shared" ca="1" si="249"/>
        <v>0.61318613867631777</v>
      </c>
      <c r="E4370" s="101">
        <f t="shared" ca="1" si="250"/>
        <v>0</v>
      </c>
      <c r="F4370" s="21">
        <f t="shared" ca="1" si="251"/>
        <v>0</v>
      </c>
      <c r="H4370" s="21">
        <v>4355</v>
      </c>
      <c r="I4370" s="102">
        <v>0.66788878736421897</v>
      </c>
      <c r="J4370" s="103">
        <v>1.6822845946821744E-3</v>
      </c>
      <c r="K4370" s="103"/>
      <c r="L4370" s="103">
        <v>4.6199999999999998E-2</v>
      </c>
      <c r="O4370" s="100"/>
    </row>
    <row r="4371" spans="2:15" x14ac:dyDescent="0.2">
      <c r="B4371" s="1">
        <f t="shared" si="248"/>
        <v>4356</v>
      </c>
      <c r="C4371" s="101">
        <f ca="1"/>
        <v>0.19767322349914487</v>
      </c>
      <c r="D4371" s="101">
        <f t="shared" ca="1" si="249"/>
        <v>0.6775862730317147</v>
      </c>
      <c r="E4371" s="101">
        <f t="shared" ca="1" si="250"/>
        <v>0</v>
      </c>
      <c r="F4371" s="21">
        <f t="shared" ca="1" si="251"/>
        <v>0</v>
      </c>
      <c r="H4371" s="21">
        <v>4356</v>
      </c>
      <c r="I4371" s="102">
        <v>0.66787862076491789</v>
      </c>
      <c r="J4371" s="103">
        <v>1.5009026417210783E-3</v>
      </c>
      <c r="K4371" s="103"/>
      <c r="L4371" s="103">
        <v>4.6600000000000003E-2</v>
      </c>
      <c r="O4371" s="100"/>
    </row>
    <row r="4372" spans="2:15" x14ac:dyDescent="0.2">
      <c r="B4372" s="1">
        <f t="shared" si="248"/>
        <v>4357</v>
      </c>
      <c r="C4372" s="101">
        <f ca="1"/>
        <v>1.7002737618026305</v>
      </c>
      <c r="D4372" s="101">
        <f t="shared" ca="1" si="249"/>
        <v>0.78584171686083737</v>
      </c>
      <c r="E4372" s="101">
        <f t="shared" ca="1" si="250"/>
        <v>0</v>
      </c>
      <c r="F4372" s="21">
        <f t="shared" ca="1" si="251"/>
        <v>0</v>
      </c>
      <c r="H4372" s="21">
        <v>4357</v>
      </c>
      <c r="I4372" s="102">
        <v>0.66786498991823917</v>
      </c>
      <c r="J4372" s="103">
        <v>1.4758340772815565E-3</v>
      </c>
      <c r="K4372" s="103"/>
      <c r="L4372" s="103">
        <v>4.3999999999999997E-2</v>
      </c>
      <c r="O4372" s="100"/>
    </row>
    <row r="4373" spans="2:15" x14ac:dyDescent="0.2">
      <c r="B4373" s="1">
        <f t="shared" si="248"/>
        <v>4358</v>
      </c>
      <c r="C4373" s="101">
        <f ca="1"/>
        <v>-0.80104731207494206</v>
      </c>
      <c r="D4373" s="101">
        <f t="shared" ca="1" si="249"/>
        <v>0.61401647940942827</v>
      </c>
      <c r="E4373" s="101">
        <f t="shared" ca="1" si="250"/>
        <v>0</v>
      </c>
      <c r="F4373" s="21">
        <f t="shared" ca="1" si="251"/>
        <v>0</v>
      </c>
      <c r="H4373" s="21">
        <v>4358</v>
      </c>
      <c r="I4373" s="102">
        <v>0.66775010235918131</v>
      </c>
      <c r="J4373" s="103">
        <v>1.4478384345947386E-3</v>
      </c>
      <c r="K4373" s="103"/>
      <c r="L4373" s="103">
        <v>4.2599999999999999E-2</v>
      </c>
      <c r="O4373" s="100"/>
    </row>
    <row r="4374" spans="2:15" x14ac:dyDescent="0.2">
      <c r="B4374" s="1">
        <f t="shared" si="248"/>
        <v>4359</v>
      </c>
      <c r="C4374" s="101">
        <f ca="1"/>
        <v>-1.0829391932279588</v>
      </c>
      <c r="D4374" s="101">
        <f t="shared" ca="1" si="249"/>
        <v>0.59717821016483208</v>
      </c>
      <c r="E4374" s="101">
        <f t="shared" ca="1" si="250"/>
        <v>0</v>
      </c>
      <c r="F4374" s="21">
        <f t="shared" ca="1" si="251"/>
        <v>0</v>
      </c>
      <c r="H4374" s="21">
        <v>4359</v>
      </c>
      <c r="I4374" s="102">
        <v>0.66803865896533465</v>
      </c>
      <c r="J4374" s="103">
        <v>1.8467700219666544E-3</v>
      </c>
      <c r="K4374" s="103"/>
      <c r="L4374" s="103">
        <v>4.5400000000000003E-2</v>
      </c>
      <c r="O4374" s="100"/>
    </row>
    <row r="4375" spans="2:15" x14ac:dyDescent="0.2">
      <c r="B4375" s="1">
        <f t="shared" si="248"/>
        <v>4360</v>
      </c>
      <c r="C4375" s="101">
        <f ca="1"/>
        <v>0.18946402841472043</v>
      </c>
      <c r="D4375" s="101">
        <f t="shared" ca="1" si="249"/>
        <v>0.67703780887633602</v>
      </c>
      <c r="E4375" s="101">
        <f t="shared" ca="1" si="250"/>
        <v>0</v>
      </c>
      <c r="F4375" s="21">
        <f t="shared" ca="1" si="251"/>
        <v>0</v>
      </c>
      <c r="H4375" s="21">
        <v>4360</v>
      </c>
      <c r="I4375" s="102">
        <v>0.66776553130624206</v>
      </c>
      <c r="J4375" s="103">
        <v>1.3365327579342339E-3</v>
      </c>
      <c r="K4375" s="103"/>
      <c r="L4375" s="103">
        <v>4.2200000000000001E-2</v>
      </c>
      <c r="O4375" s="100"/>
    </row>
    <row r="4376" spans="2:15" x14ac:dyDescent="0.2">
      <c r="B4376" s="1">
        <f t="shared" si="248"/>
        <v>4361</v>
      </c>
      <c r="C4376" s="101">
        <f ca="1"/>
        <v>0.41991113437273631</v>
      </c>
      <c r="D4376" s="101">
        <f t="shared" ca="1" si="249"/>
        <v>0.69260422148657108</v>
      </c>
      <c r="E4376" s="101">
        <f t="shared" ca="1" si="250"/>
        <v>0</v>
      </c>
      <c r="F4376" s="21">
        <f t="shared" ca="1" si="251"/>
        <v>0</v>
      </c>
      <c r="H4376" s="21">
        <v>4361</v>
      </c>
      <c r="I4376" s="102">
        <v>0.66773638174487304</v>
      </c>
      <c r="J4376" s="103">
        <v>1.218425347911671E-3</v>
      </c>
      <c r="K4376" s="103"/>
      <c r="L4376" s="103">
        <v>4.2799999999999998E-2</v>
      </c>
      <c r="O4376" s="100"/>
    </row>
    <row r="4377" spans="2:15" x14ac:dyDescent="0.2">
      <c r="B4377" s="1">
        <f t="shared" si="248"/>
        <v>4362</v>
      </c>
      <c r="C4377" s="101">
        <f ca="1"/>
        <v>0.21327122035698542</v>
      </c>
      <c r="D4377" s="101">
        <f t="shared" ca="1" si="249"/>
        <v>0.6786296145155265</v>
      </c>
      <c r="E4377" s="101">
        <f t="shared" ca="1" si="250"/>
        <v>0</v>
      </c>
      <c r="F4377" s="21">
        <f t="shared" ca="1" si="251"/>
        <v>0</v>
      </c>
      <c r="H4377" s="21">
        <v>4362</v>
      </c>
      <c r="I4377" s="102">
        <v>0.66773924879437729</v>
      </c>
      <c r="J4377" s="103">
        <v>1.4808089678543072E-3</v>
      </c>
      <c r="K4377" s="103"/>
      <c r="L4377" s="103">
        <v>4.2000000000000003E-2</v>
      </c>
      <c r="O4377" s="100"/>
    </row>
    <row r="4378" spans="2:15" x14ac:dyDescent="0.2">
      <c r="B4378" s="1">
        <f t="shared" si="248"/>
        <v>4363</v>
      </c>
      <c r="C4378" s="101">
        <f ca="1"/>
        <v>3.8016751574906769E-2</v>
      </c>
      <c r="D4378" s="101">
        <f t="shared" ca="1" si="249"/>
        <v>0.66699874133323334</v>
      </c>
      <c r="E4378" s="101">
        <f t="shared" ca="1" si="250"/>
        <v>0</v>
      </c>
      <c r="F4378" s="21">
        <f t="shared" ca="1" si="251"/>
        <v>0</v>
      </c>
      <c r="H4378" s="21">
        <v>4363</v>
      </c>
      <c r="I4378" s="102">
        <v>0.66797356566208854</v>
      </c>
      <c r="J4378" s="103">
        <v>1.5915937542732169E-3</v>
      </c>
      <c r="K4378" s="103"/>
      <c r="L4378" s="103">
        <v>4.82E-2</v>
      </c>
      <c r="O4378" s="100"/>
    </row>
    <row r="4379" spans="2:15" x14ac:dyDescent="0.2">
      <c r="B4379" s="1">
        <f t="shared" si="248"/>
        <v>4364</v>
      </c>
      <c r="C4379" s="101">
        <f ca="1"/>
        <v>2.1627746714408675</v>
      </c>
      <c r="D4379" s="101">
        <f t="shared" ca="1" si="249"/>
        <v>0.82252353565239322</v>
      </c>
      <c r="E4379" s="101">
        <f t="shared" ca="1" si="250"/>
        <v>3.4323535652393211E-2</v>
      </c>
      <c r="F4379" s="21">
        <f t="shared" ca="1" si="251"/>
        <v>1</v>
      </c>
      <c r="H4379" s="21">
        <v>4364</v>
      </c>
      <c r="I4379" s="102">
        <v>0.66764027361412837</v>
      </c>
      <c r="J4379" s="103">
        <v>1.3225610325672702E-3</v>
      </c>
      <c r="K4379" s="103"/>
      <c r="L4379" s="103">
        <v>4.0399999999999998E-2</v>
      </c>
      <c r="O4379" s="100"/>
    </row>
    <row r="4380" spans="2:15" x14ac:dyDescent="0.2">
      <c r="B4380" s="1">
        <f t="shared" si="248"/>
        <v>4365</v>
      </c>
      <c r="C4380" s="101">
        <f ca="1"/>
        <v>0.93497910074151602</v>
      </c>
      <c r="D4380" s="101">
        <f t="shared" ca="1" si="249"/>
        <v>0.72870261564795913</v>
      </c>
      <c r="E4380" s="101">
        <f t="shared" ca="1" si="250"/>
        <v>0</v>
      </c>
      <c r="F4380" s="21">
        <f t="shared" ca="1" si="251"/>
        <v>0</v>
      </c>
      <c r="H4380" s="21">
        <v>4365</v>
      </c>
      <c r="I4380" s="102">
        <v>0.6676699251524062</v>
      </c>
      <c r="J4380" s="103">
        <v>1.3653242453172607E-3</v>
      </c>
      <c r="K4380" s="103"/>
      <c r="L4380" s="103">
        <v>3.9800000000000002E-2</v>
      </c>
      <c r="O4380" s="100"/>
    </row>
    <row r="4381" spans="2:15" x14ac:dyDescent="0.2">
      <c r="B4381" s="1">
        <f t="shared" si="248"/>
        <v>4366</v>
      </c>
      <c r="C4381" s="101">
        <f ca="1"/>
        <v>-0.27520050474939128</v>
      </c>
      <c r="D4381" s="101">
        <f t="shared" ca="1" si="249"/>
        <v>0.64670613397082177</v>
      </c>
      <c r="E4381" s="101">
        <f t="shared" ca="1" si="250"/>
        <v>0</v>
      </c>
      <c r="F4381" s="21">
        <f t="shared" ca="1" si="251"/>
        <v>0</v>
      </c>
      <c r="H4381" s="21">
        <v>4366</v>
      </c>
      <c r="I4381" s="102">
        <v>0.66784127943521177</v>
      </c>
      <c r="J4381" s="103">
        <v>1.4298370079658745E-3</v>
      </c>
      <c r="K4381" s="103"/>
      <c r="L4381" s="103">
        <v>4.3200000000000002E-2</v>
      </c>
      <c r="O4381" s="100"/>
    </row>
    <row r="4382" spans="2:15" x14ac:dyDescent="0.2">
      <c r="B4382" s="1">
        <f t="shared" si="248"/>
        <v>4367</v>
      </c>
      <c r="C4382" s="101">
        <f ca="1"/>
        <v>-1.7033292200715422</v>
      </c>
      <c r="D4382" s="101">
        <f t="shared" ca="1" si="249"/>
        <v>0.5617289755126873</v>
      </c>
      <c r="E4382" s="101">
        <f t="shared" ca="1" si="250"/>
        <v>0</v>
      </c>
      <c r="F4382" s="21">
        <f t="shared" ca="1" si="251"/>
        <v>0</v>
      </c>
      <c r="H4382" s="21">
        <v>4367</v>
      </c>
      <c r="I4382" s="102">
        <v>0.66781566915809776</v>
      </c>
      <c r="J4382" s="103">
        <v>1.4390359095778806E-3</v>
      </c>
      <c r="K4382" s="103"/>
      <c r="L4382" s="103">
        <v>4.1599999999999998E-2</v>
      </c>
      <c r="O4382" s="100"/>
    </row>
    <row r="4383" spans="2:15" x14ac:dyDescent="0.2">
      <c r="B4383" s="1">
        <f t="shared" si="248"/>
        <v>4368</v>
      </c>
      <c r="C4383" s="101">
        <f ca="1"/>
        <v>0.18122447059023117</v>
      </c>
      <c r="D4383" s="101">
        <f t="shared" ca="1" si="249"/>
        <v>0.67648776257070453</v>
      </c>
      <c r="E4383" s="101">
        <f t="shared" ca="1" si="250"/>
        <v>0</v>
      </c>
      <c r="F4383" s="21">
        <f t="shared" ca="1" si="251"/>
        <v>0</v>
      </c>
      <c r="H4383" s="21">
        <v>4368</v>
      </c>
      <c r="I4383" s="102">
        <v>0.66780379812751911</v>
      </c>
      <c r="J4383" s="103">
        <v>1.4879396508877235E-3</v>
      </c>
      <c r="K4383" s="103"/>
      <c r="L4383" s="103">
        <v>4.4200000000000003E-2</v>
      </c>
      <c r="O4383" s="100"/>
    </row>
    <row r="4384" spans="2:15" x14ac:dyDescent="0.2">
      <c r="B4384" s="1">
        <f t="shared" si="248"/>
        <v>4369</v>
      </c>
      <c r="C4384" s="101">
        <f ca="1"/>
        <v>0.42941644638317888</v>
      </c>
      <c r="D4384" s="101">
        <f t="shared" ca="1" si="249"/>
        <v>0.69325392322496104</v>
      </c>
      <c r="E4384" s="101">
        <f t="shared" ca="1" si="250"/>
        <v>0</v>
      </c>
      <c r="F4384" s="21">
        <f t="shared" ca="1" si="251"/>
        <v>0</v>
      </c>
      <c r="H4384" s="21">
        <v>4369</v>
      </c>
      <c r="I4384" s="102">
        <v>0.66770208015037269</v>
      </c>
      <c r="J4384" s="103">
        <v>1.453938105741453E-3</v>
      </c>
      <c r="K4384" s="103"/>
      <c r="L4384" s="103">
        <v>4.24E-2</v>
      </c>
      <c r="O4384" s="100"/>
    </row>
    <row r="4385" spans="2:15" x14ac:dyDescent="0.2">
      <c r="B4385" s="1">
        <f t="shared" si="248"/>
        <v>4370</v>
      </c>
      <c r="C4385" s="101">
        <f ca="1"/>
        <v>1.1728100770462146</v>
      </c>
      <c r="D4385" s="101">
        <f t="shared" ca="1" si="249"/>
        <v>0.74600005725446483</v>
      </c>
      <c r="E4385" s="101">
        <f t="shared" ca="1" si="250"/>
        <v>0</v>
      </c>
      <c r="F4385" s="21">
        <f t="shared" ca="1" si="251"/>
        <v>0</v>
      </c>
      <c r="H4385" s="21">
        <v>4370</v>
      </c>
      <c r="I4385" s="102">
        <v>0.66764036167077911</v>
      </c>
      <c r="J4385" s="103">
        <v>1.418890170357388E-3</v>
      </c>
      <c r="K4385" s="103"/>
      <c r="L4385" s="103">
        <v>4.0399999999999998E-2</v>
      </c>
      <c r="O4385" s="100"/>
    </row>
    <row r="4386" spans="2:15" x14ac:dyDescent="0.2">
      <c r="B4386" s="1">
        <f t="shared" si="248"/>
        <v>4371</v>
      </c>
      <c r="C4386" s="101">
        <f ca="1"/>
        <v>0.26937172768485701</v>
      </c>
      <c r="D4386" s="101">
        <f t="shared" ca="1" si="249"/>
        <v>0.68239544448057388</v>
      </c>
      <c r="E4386" s="101">
        <f t="shared" ca="1" si="250"/>
        <v>0</v>
      </c>
      <c r="F4386" s="21">
        <f t="shared" ca="1" si="251"/>
        <v>0</v>
      </c>
      <c r="H4386" s="21">
        <v>4371</v>
      </c>
      <c r="I4386" s="102">
        <v>0.66781808628636663</v>
      </c>
      <c r="J4386" s="103">
        <v>1.3668300126686826E-3</v>
      </c>
      <c r="K4386" s="103"/>
      <c r="L4386" s="103">
        <v>4.5400000000000003E-2</v>
      </c>
      <c r="O4386" s="100"/>
    </row>
    <row r="4387" spans="2:15" x14ac:dyDescent="0.2">
      <c r="B4387" s="1">
        <f t="shared" si="248"/>
        <v>4372</v>
      </c>
      <c r="C4387" s="101">
        <f ca="1"/>
        <v>0.44403104717549435</v>
      </c>
      <c r="D4387" s="101">
        <f t="shared" ca="1" si="249"/>
        <v>0.69425404128849411</v>
      </c>
      <c r="E4387" s="101">
        <f t="shared" ca="1" si="250"/>
        <v>0</v>
      </c>
      <c r="F4387" s="21">
        <f t="shared" ca="1" si="251"/>
        <v>0</v>
      </c>
      <c r="H4387" s="21">
        <v>4372</v>
      </c>
      <c r="I4387" s="102">
        <v>0.66765640862717157</v>
      </c>
      <c r="J4387" s="103">
        <v>1.1856326192443375E-3</v>
      </c>
      <c r="K4387" s="103"/>
      <c r="L4387" s="103">
        <v>3.7400000000000003E-2</v>
      </c>
      <c r="O4387" s="100"/>
    </row>
    <row r="4388" spans="2:15" x14ac:dyDescent="0.2">
      <c r="B4388" s="1">
        <f t="shared" si="248"/>
        <v>4373</v>
      </c>
      <c r="C4388" s="101">
        <f ca="1"/>
        <v>1.1062395777291858</v>
      </c>
      <c r="D4388" s="101">
        <f t="shared" ca="1" si="249"/>
        <v>0.74111742026826544</v>
      </c>
      <c r="E4388" s="101">
        <f t="shared" ca="1" si="250"/>
        <v>0</v>
      </c>
      <c r="F4388" s="21">
        <f t="shared" ca="1" si="251"/>
        <v>0</v>
      </c>
      <c r="H4388" s="21">
        <v>4373</v>
      </c>
      <c r="I4388" s="102">
        <v>0.66764872499647365</v>
      </c>
      <c r="J4388" s="103">
        <v>1.2558218586779344E-3</v>
      </c>
      <c r="K4388" s="103"/>
      <c r="L4388" s="103">
        <v>3.8800000000000001E-2</v>
      </c>
      <c r="O4388" s="100"/>
    </row>
    <row r="4389" spans="2:15" x14ac:dyDescent="0.2">
      <c r="B4389" s="1">
        <f t="shared" si="248"/>
        <v>4374</v>
      </c>
      <c r="C4389" s="101">
        <f ca="1"/>
        <v>0.48911975366233368</v>
      </c>
      <c r="D4389" s="101">
        <f t="shared" ca="1" si="249"/>
        <v>0.69734868914748893</v>
      </c>
      <c r="E4389" s="101">
        <f t="shared" ca="1" si="250"/>
        <v>0</v>
      </c>
      <c r="F4389" s="21">
        <f t="shared" ca="1" si="251"/>
        <v>0</v>
      </c>
      <c r="H4389" s="21">
        <v>4374</v>
      </c>
      <c r="I4389" s="102">
        <v>0.66787814849099225</v>
      </c>
      <c r="J4389" s="103">
        <v>1.4860412491140759E-3</v>
      </c>
      <c r="K4389" s="103"/>
      <c r="L4389" s="103">
        <v>4.8000000000000001E-2</v>
      </c>
      <c r="O4389" s="100"/>
    </row>
    <row r="4390" spans="2:15" x14ac:dyDescent="0.2">
      <c r="B4390" s="1">
        <f t="shared" si="248"/>
        <v>4375</v>
      </c>
      <c r="C4390" s="101">
        <f ca="1"/>
        <v>0.77665720795031623</v>
      </c>
      <c r="D4390" s="101">
        <f t="shared" ca="1" si="249"/>
        <v>0.71741080960671522</v>
      </c>
      <c r="E4390" s="101">
        <f t="shared" ca="1" si="250"/>
        <v>0</v>
      </c>
      <c r="F4390" s="21">
        <f t="shared" ca="1" si="251"/>
        <v>0</v>
      </c>
      <c r="H4390" s="21">
        <v>4375</v>
      </c>
      <c r="I4390" s="102">
        <v>0.66773399493288621</v>
      </c>
      <c r="J4390" s="103">
        <v>1.4295800173881592E-3</v>
      </c>
      <c r="K4390" s="103"/>
      <c r="L4390" s="103">
        <v>4.02E-2</v>
      </c>
      <c r="O4390" s="100"/>
    </row>
    <row r="4391" spans="2:15" x14ac:dyDescent="0.2">
      <c r="B4391" s="1">
        <f t="shared" si="248"/>
        <v>4376</v>
      </c>
      <c r="C4391" s="101">
        <f ca="1"/>
        <v>-0.78705106748052722</v>
      </c>
      <c r="D4391" s="101">
        <f t="shared" ca="1" si="249"/>
        <v>0.61486478099956388</v>
      </c>
      <c r="E4391" s="101">
        <f t="shared" ca="1" si="250"/>
        <v>0</v>
      </c>
      <c r="F4391" s="21">
        <f t="shared" ca="1" si="251"/>
        <v>0</v>
      </c>
      <c r="H4391" s="21">
        <v>4376</v>
      </c>
      <c r="I4391" s="102">
        <v>0.66781322620764816</v>
      </c>
      <c r="J4391" s="103">
        <v>1.4253771068096044E-3</v>
      </c>
      <c r="K4391" s="103"/>
      <c r="L4391" s="103">
        <v>0.04</v>
      </c>
      <c r="O4391" s="100"/>
    </row>
    <row r="4392" spans="2:15" x14ac:dyDescent="0.2">
      <c r="B4392" s="1">
        <f t="shared" si="248"/>
        <v>4377</v>
      </c>
      <c r="C4392" s="101">
        <f ca="1"/>
        <v>0.29709106017605036</v>
      </c>
      <c r="D4392" s="101">
        <f t="shared" ca="1" si="249"/>
        <v>0.68426385224009645</v>
      </c>
      <c r="E4392" s="101">
        <f t="shared" ca="1" si="250"/>
        <v>0</v>
      </c>
      <c r="F4392" s="21">
        <f t="shared" ca="1" si="251"/>
        <v>0</v>
      </c>
      <c r="H4392" s="21">
        <v>4377</v>
      </c>
      <c r="I4392" s="102">
        <v>0.66771838184226773</v>
      </c>
      <c r="J4392" s="103">
        <v>1.4066795048393462E-3</v>
      </c>
      <c r="K4392" s="103"/>
      <c r="L4392" s="103">
        <v>4.1399999999999999E-2</v>
      </c>
      <c r="O4392" s="100"/>
    </row>
    <row r="4393" spans="2:15" x14ac:dyDescent="0.2">
      <c r="B4393" s="1">
        <f t="shared" si="248"/>
        <v>4378</v>
      </c>
      <c r="C4393" s="101">
        <f ca="1"/>
        <v>-0.55812600905608301</v>
      </c>
      <c r="D4393" s="101">
        <f t="shared" ca="1" si="249"/>
        <v>0.62890728588215361</v>
      </c>
      <c r="E4393" s="101">
        <f t="shared" ca="1" si="250"/>
        <v>0</v>
      </c>
      <c r="F4393" s="21">
        <f t="shared" ca="1" si="251"/>
        <v>0</v>
      </c>
      <c r="H4393" s="21">
        <v>4378</v>
      </c>
      <c r="I4393" s="102">
        <v>0.66779894231720249</v>
      </c>
      <c r="J4393" s="103">
        <v>1.3666027472834814E-3</v>
      </c>
      <c r="K4393" s="103"/>
      <c r="L4393" s="103">
        <v>4.24E-2</v>
      </c>
      <c r="O4393" s="100"/>
    </row>
    <row r="4394" spans="2:15" x14ac:dyDescent="0.2">
      <c r="B4394" s="1">
        <f t="shared" si="248"/>
        <v>4379</v>
      </c>
      <c r="C4394" s="101">
        <f ca="1"/>
        <v>1.153774703328498</v>
      </c>
      <c r="D4394" s="101">
        <f t="shared" ca="1" si="249"/>
        <v>0.74460062621912604</v>
      </c>
      <c r="E4394" s="101">
        <f t="shared" ca="1" si="250"/>
        <v>0</v>
      </c>
      <c r="F4394" s="21">
        <f t="shared" ca="1" si="251"/>
        <v>0</v>
      </c>
      <c r="H4394" s="21">
        <v>4379</v>
      </c>
      <c r="I4394" s="102">
        <v>0.66761906372192903</v>
      </c>
      <c r="J4394" s="103">
        <v>1.2819986046155969E-3</v>
      </c>
      <c r="K4394" s="103"/>
      <c r="L4394" s="103">
        <v>3.8199999999999998E-2</v>
      </c>
      <c r="O4394" s="100"/>
    </row>
    <row r="4395" spans="2:15" x14ac:dyDescent="0.2">
      <c r="B4395" s="1">
        <f t="shared" si="248"/>
        <v>4380</v>
      </c>
      <c r="C4395" s="101">
        <f ca="1"/>
        <v>0.5700864138793762</v>
      </c>
      <c r="D4395" s="101">
        <f t="shared" ca="1" si="249"/>
        <v>0.70294047524738379</v>
      </c>
      <c r="E4395" s="101">
        <f t="shared" ca="1" si="250"/>
        <v>0</v>
      </c>
      <c r="F4395" s="21">
        <f t="shared" ca="1" si="251"/>
        <v>0</v>
      </c>
      <c r="H4395" s="21">
        <v>4380</v>
      </c>
      <c r="I4395" s="102">
        <v>0.66770104719813117</v>
      </c>
      <c r="J4395" s="103">
        <v>1.3371501407575303E-3</v>
      </c>
      <c r="K4395" s="103"/>
      <c r="L4395" s="103">
        <v>4.0599999999999997E-2</v>
      </c>
      <c r="O4395" s="100"/>
    </row>
    <row r="4396" spans="2:15" x14ac:dyDescent="0.2">
      <c r="B4396" s="1">
        <f t="shared" si="248"/>
        <v>4381</v>
      </c>
      <c r="C4396" s="101">
        <f ca="1"/>
        <v>-1.7480950180805885</v>
      </c>
      <c r="D4396" s="101">
        <f t="shared" ca="1" si="249"/>
        <v>0.55925398498447398</v>
      </c>
      <c r="E4396" s="101">
        <f t="shared" ca="1" si="250"/>
        <v>0</v>
      </c>
      <c r="F4396" s="21">
        <f t="shared" ca="1" si="251"/>
        <v>0</v>
      </c>
      <c r="H4396" s="21">
        <v>4381</v>
      </c>
      <c r="I4396" s="102">
        <v>0.66762667893255401</v>
      </c>
      <c r="J4396" s="103">
        <v>1.2925614336982924E-3</v>
      </c>
      <c r="K4396" s="103"/>
      <c r="L4396" s="103">
        <v>3.9199999999999999E-2</v>
      </c>
      <c r="O4396" s="100"/>
    </row>
    <row r="4397" spans="2:15" x14ac:dyDescent="0.2">
      <c r="B4397" s="1">
        <f t="shared" si="248"/>
        <v>4382</v>
      </c>
      <c r="C4397" s="101">
        <f ca="1"/>
        <v>-1.6627996146453874</v>
      </c>
      <c r="D4397" s="101">
        <f t="shared" ca="1" si="249"/>
        <v>0.56397920350963893</v>
      </c>
      <c r="E4397" s="101">
        <f t="shared" ca="1" si="250"/>
        <v>0</v>
      </c>
      <c r="F4397" s="21">
        <f t="shared" ca="1" si="251"/>
        <v>0</v>
      </c>
      <c r="H4397" s="21">
        <v>4382</v>
      </c>
      <c r="I4397" s="102">
        <v>0.66780609099840116</v>
      </c>
      <c r="J4397" s="103">
        <v>1.4214172669644416E-3</v>
      </c>
      <c r="K4397" s="103"/>
      <c r="L4397" s="103">
        <v>4.1599999999999998E-2</v>
      </c>
      <c r="O4397" s="100"/>
    </row>
    <row r="4398" spans="2:15" x14ac:dyDescent="0.2">
      <c r="B4398" s="1">
        <f t="shared" si="248"/>
        <v>4383</v>
      </c>
      <c r="C4398" s="101">
        <f ca="1"/>
        <v>1.6750489086850704</v>
      </c>
      <c r="D4398" s="101">
        <f t="shared" ca="1" si="249"/>
        <v>0.78388880595800325</v>
      </c>
      <c r="E4398" s="101">
        <f t="shared" ca="1" si="250"/>
        <v>0</v>
      </c>
      <c r="F4398" s="21">
        <f t="shared" ca="1" si="251"/>
        <v>0</v>
      </c>
      <c r="H4398" s="21">
        <v>4383</v>
      </c>
      <c r="I4398" s="102">
        <v>0.66755073098594497</v>
      </c>
      <c r="J4398" s="103">
        <v>1.1758913565281925E-3</v>
      </c>
      <c r="K4398" s="103"/>
      <c r="L4398" s="103">
        <v>3.7400000000000003E-2</v>
      </c>
      <c r="O4398" s="100"/>
    </row>
    <row r="4399" spans="2:15" x14ac:dyDescent="0.2">
      <c r="B4399" s="1">
        <f t="shared" si="248"/>
        <v>4384</v>
      </c>
      <c r="C4399" s="101">
        <f ca="1"/>
        <v>2.0649065810501002</v>
      </c>
      <c r="D4399" s="101">
        <f t="shared" ca="1" si="249"/>
        <v>0.81462123168884026</v>
      </c>
      <c r="E4399" s="101">
        <f t="shared" ca="1" si="250"/>
        <v>2.6421231688840252E-2</v>
      </c>
      <c r="F4399" s="21">
        <f t="shared" ca="1" si="251"/>
        <v>1</v>
      </c>
      <c r="H4399" s="21">
        <v>4384</v>
      </c>
      <c r="I4399" s="102">
        <v>0.66787354305706226</v>
      </c>
      <c r="J4399" s="103">
        <v>1.466298742975635E-3</v>
      </c>
      <c r="K4399" s="103"/>
      <c r="L4399" s="103">
        <v>4.4999999999999998E-2</v>
      </c>
      <c r="O4399" s="100"/>
    </row>
    <row r="4400" spans="2:15" x14ac:dyDescent="0.2">
      <c r="B4400" s="1">
        <f t="shared" ref="B4400:B4463" si="252">B4399+1</f>
        <v>4385</v>
      </c>
      <c r="C4400" s="101">
        <f ca="1"/>
        <v>0.3891610721160087</v>
      </c>
      <c r="D4400" s="101">
        <f t="shared" ca="1" si="249"/>
        <v>0.6905065786467155</v>
      </c>
      <c r="E4400" s="101">
        <f t="shared" ca="1" si="250"/>
        <v>0</v>
      </c>
      <c r="F4400" s="21">
        <f t="shared" ca="1" si="251"/>
        <v>0</v>
      </c>
      <c r="H4400" s="21">
        <v>4385</v>
      </c>
      <c r="I4400" s="102">
        <v>0.66773135828400376</v>
      </c>
      <c r="J4400" s="103">
        <v>1.2772237693657741E-3</v>
      </c>
      <c r="K4400" s="103"/>
      <c r="L4400" s="103">
        <v>3.9600000000000003E-2</v>
      </c>
      <c r="O4400" s="100"/>
    </row>
    <row r="4401" spans="2:15" x14ac:dyDescent="0.2">
      <c r="B4401" s="1">
        <f t="shared" si="252"/>
        <v>4386</v>
      </c>
      <c r="C4401" s="101">
        <f ca="1"/>
        <v>-1.352348092062029</v>
      </c>
      <c r="D4401" s="101">
        <f t="shared" ca="1" si="249"/>
        <v>0.58151730303614158</v>
      </c>
      <c r="E4401" s="101">
        <f t="shared" ca="1" si="250"/>
        <v>0</v>
      </c>
      <c r="F4401" s="21">
        <f t="shared" ca="1" si="251"/>
        <v>0</v>
      </c>
      <c r="H4401" s="21">
        <v>4386</v>
      </c>
      <c r="I4401" s="102">
        <v>0.66765630834555501</v>
      </c>
      <c r="J4401" s="103">
        <v>1.1101571289600088E-3</v>
      </c>
      <c r="K4401" s="103"/>
      <c r="L4401" s="103">
        <v>3.7400000000000003E-2</v>
      </c>
      <c r="O4401" s="100"/>
    </row>
    <row r="4402" spans="2:15" x14ac:dyDescent="0.2">
      <c r="B4402" s="1">
        <f t="shared" si="252"/>
        <v>4387</v>
      </c>
      <c r="C4402" s="101">
        <f ca="1"/>
        <v>-0.77818499542049135</v>
      </c>
      <c r="D4402" s="101">
        <f t="shared" ca="1" si="249"/>
        <v>0.61540275303064229</v>
      </c>
      <c r="E4402" s="101">
        <f t="shared" ca="1" si="250"/>
        <v>0</v>
      </c>
      <c r="F4402" s="21">
        <f t="shared" ca="1" si="251"/>
        <v>0</v>
      </c>
      <c r="H4402" s="21">
        <v>4387</v>
      </c>
      <c r="I4402" s="102">
        <v>0.66771715420545075</v>
      </c>
      <c r="J4402" s="103">
        <v>1.3695087642337088E-3</v>
      </c>
      <c r="K4402" s="103"/>
      <c r="L4402" s="103">
        <v>3.9800000000000002E-2</v>
      </c>
      <c r="O4402" s="100"/>
    </row>
    <row r="4403" spans="2:15" x14ac:dyDescent="0.2">
      <c r="B4403" s="1">
        <f t="shared" si="252"/>
        <v>4388</v>
      </c>
      <c r="C4403" s="101">
        <f ca="1"/>
        <v>-1.1248299099383896</v>
      </c>
      <c r="D4403" s="101">
        <f t="shared" ca="1" si="249"/>
        <v>0.59471566804781151</v>
      </c>
      <c r="E4403" s="101">
        <f t="shared" ca="1" si="250"/>
        <v>0</v>
      </c>
      <c r="F4403" s="21">
        <f t="shared" ca="1" si="251"/>
        <v>0</v>
      </c>
      <c r="H4403" s="21">
        <v>4388</v>
      </c>
      <c r="I4403" s="102">
        <v>0.66774707476538664</v>
      </c>
      <c r="J4403" s="103">
        <v>1.3962004034347023E-3</v>
      </c>
      <c r="K4403" s="103"/>
      <c r="L4403" s="103">
        <v>4.2999999999999997E-2</v>
      </c>
      <c r="O4403" s="100"/>
    </row>
    <row r="4404" spans="2:15" x14ac:dyDescent="0.2">
      <c r="B4404" s="1">
        <f t="shared" si="252"/>
        <v>4389</v>
      </c>
      <c r="C4404" s="101">
        <f ca="1"/>
        <v>-0.3453028041185901</v>
      </c>
      <c r="D4404" s="101">
        <f t="shared" ca="1" si="249"/>
        <v>0.64224959775991652</v>
      </c>
      <c r="E4404" s="101">
        <f t="shared" ca="1" si="250"/>
        <v>0</v>
      </c>
      <c r="F4404" s="21">
        <f t="shared" ca="1" si="251"/>
        <v>0</v>
      </c>
      <c r="H4404" s="21">
        <v>4389</v>
      </c>
      <c r="I4404" s="102">
        <v>0.66773026807534319</v>
      </c>
      <c r="J4404" s="103">
        <v>1.2150153529986451E-3</v>
      </c>
      <c r="K4404" s="103"/>
      <c r="L4404" s="103">
        <v>4.1799999999999997E-2</v>
      </c>
      <c r="O4404" s="100"/>
    </row>
    <row r="4405" spans="2:15" x14ac:dyDescent="0.2">
      <c r="B4405" s="1">
        <f t="shared" si="252"/>
        <v>4390</v>
      </c>
      <c r="C4405" s="101">
        <f ca="1"/>
        <v>0.79127269092241237</v>
      </c>
      <c r="D4405" s="101">
        <f t="shared" ca="1" si="249"/>
        <v>0.71844583995701661</v>
      </c>
      <c r="E4405" s="101">
        <f t="shared" ca="1" si="250"/>
        <v>0</v>
      </c>
      <c r="F4405" s="21">
        <f t="shared" ca="1" si="251"/>
        <v>0</v>
      </c>
      <c r="H4405" s="21">
        <v>4390</v>
      </c>
      <c r="I4405" s="102">
        <v>0.66761624130675767</v>
      </c>
      <c r="J4405" s="103">
        <v>1.1571872320075701E-3</v>
      </c>
      <c r="K4405" s="103"/>
      <c r="L4405" s="103">
        <v>4.0399999999999998E-2</v>
      </c>
      <c r="O4405" s="100"/>
    </row>
    <row r="4406" spans="2:15" x14ac:dyDescent="0.2">
      <c r="B4406" s="1">
        <f t="shared" si="252"/>
        <v>4391</v>
      </c>
      <c r="C4406" s="101">
        <f ca="1"/>
        <v>-0.98886824037585541</v>
      </c>
      <c r="D4406" s="101">
        <f t="shared" ca="1" si="249"/>
        <v>0.6027453858340972</v>
      </c>
      <c r="E4406" s="101">
        <f t="shared" ca="1" si="250"/>
        <v>0</v>
      </c>
      <c r="F4406" s="21">
        <f t="shared" ca="1" si="251"/>
        <v>0</v>
      </c>
      <c r="H4406" s="21">
        <v>4391</v>
      </c>
      <c r="I4406" s="102">
        <v>0.66773072115539411</v>
      </c>
      <c r="J4406" s="103">
        <v>1.223173603016094E-3</v>
      </c>
      <c r="K4406" s="103"/>
      <c r="L4406" s="103">
        <v>4.1599999999999998E-2</v>
      </c>
      <c r="O4406" s="100"/>
    </row>
    <row r="4407" spans="2:15" x14ac:dyDescent="0.2">
      <c r="B4407" s="1">
        <f t="shared" si="252"/>
        <v>4392</v>
      </c>
      <c r="C4407" s="101">
        <f ca="1"/>
        <v>-0.67195645649826408</v>
      </c>
      <c r="D4407" s="101">
        <f t="shared" ca="1" si="249"/>
        <v>0.62188516925772219</v>
      </c>
      <c r="E4407" s="101">
        <f t="shared" ca="1" si="250"/>
        <v>0</v>
      </c>
      <c r="F4407" s="21">
        <f t="shared" ca="1" si="251"/>
        <v>0</v>
      </c>
      <c r="H4407" s="21">
        <v>4392</v>
      </c>
      <c r="I4407" s="102">
        <v>0.66780148151754104</v>
      </c>
      <c r="J4407" s="103">
        <v>1.485550760375843E-3</v>
      </c>
      <c r="K4407" s="103"/>
      <c r="L4407" s="103">
        <v>4.6399999999999997E-2</v>
      </c>
      <c r="O4407" s="100"/>
    </row>
    <row r="4408" spans="2:15" x14ac:dyDescent="0.2">
      <c r="B4408" s="1">
        <f t="shared" si="252"/>
        <v>4393</v>
      </c>
      <c r="C4408" s="101">
        <f ca="1"/>
        <v>0.12685323296527687</v>
      </c>
      <c r="D4408" s="101">
        <f t="shared" ca="1" si="249"/>
        <v>0.67286930095917186</v>
      </c>
      <c r="E4408" s="101">
        <f t="shared" ca="1" si="250"/>
        <v>0</v>
      </c>
      <c r="F4408" s="21">
        <f t="shared" ca="1" si="251"/>
        <v>0</v>
      </c>
      <c r="H4408" s="21">
        <v>4393</v>
      </c>
      <c r="I4408" s="102">
        <v>0.66769537972130855</v>
      </c>
      <c r="J4408" s="103">
        <v>1.4135558726993463E-3</v>
      </c>
      <c r="K4408" s="103"/>
      <c r="L4408" s="103">
        <v>3.9800000000000002E-2</v>
      </c>
      <c r="O4408" s="100"/>
    </row>
    <row r="4409" spans="2:15" x14ac:dyDescent="0.2">
      <c r="B4409" s="1">
        <f t="shared" si="252"/>
        <v>4394</v>
      </c>
      <c r="C4409" s="101">
        <f ca="1"/>
        <v>-0.92044415480784725</v>
      </c>
      <c r="D4409" s="101">
        <f t="shared" ca="1" si="249"/>
        <v>0.60682734113204051</v>
      </c>
      <c r="E4409" s="101">
        <f t="shared" ca="1" si="250"/>
        <v>0</v>
      </c>
      <c r="F4409" s="21">
        <f t="shared" ca="1" si="251"/>
        <v>0</v>
      </c>
      <c r="H4409" s="21">
        <v>4394</v>
      </c>
      <c r="I4409" s="102">
        <v>0.66787351787188465</v>
      </c>
      <c r="J4409" s="103">
        <v>1.4375285124147233E-3</v>
      </c>
      <c r="K4409" s="103"/>
      <c r="L4409" s="103">
        <v>4.4999999999999998E-2</v>
      </c>
      <c r="O4409" s="100"/>
    </row>
    <row r="4410" spans="2:15" x14ac:dyDescent="0.2">
      <c r="B4410" s="1">
        <f t="shared" si="252"/>
        <v>4395</v>
      </c>
      <c r="C4410" s="101">
        <f ca="1"/>
        <v>-0.99886896588280438</v>
      </c>
      <c r="D4410" s="101">
        <f t="shared" ca="1" si="249"/>
        <v>0.60215107984417737</v>
      </c>
      <c r="E4410" s="101">
        <f t="shared" ca="1" si="250"/>
        <v>0</v>
      </c>
      <c r="F4410" s="21">
        <f t="shared" ca="1" si="251"/>
        <v>0</v>
      </c>
      <c r="H4410" s="21">
        <v>4395</v>
      </c>
      <c r="I4410" s="102">
        <v>0.66768552339731668</v>
      </c>
      <c r="J4410" s="103">
        <v>1.2513784776904513E-3</v>
      </c>
      <c r="K4410" s="103"/>
      <c r="L4410" s="103">
        <v>3.8800000000000001E-2</v>
      </c>
      <c r="O4410" s="100"/>
    </row>
    <row r="4411" spans="2:15" x14ac:dyDescent="0.2">
      <c r="B4411" s="1">
        <f t="shared" si="252"/>
        <v>4396</v>
      </c>
      <c r="C4411" s="101">
        <f ca="1"/>
        <v>-0.58451161694081077</v>
      </c>
      <c r="D4411" s="101">
        <f t="shared" ca="1" si="249"/>
        <v>0.62727255005112525</v>
      </c>
      <c r="E4411" s="101">
        <f t="shared" ca="1" si="250"/>
        <v>0</v>
      </c>
      <c r="F4411" s="21">
        <f t="shared" ca="1" si="251"/>
        <v>0</v>
      </c>
      <c r="H4411" s="21">
        <v>4396</v>
      </c>
      <c r="I4411" s="102">
        <v>0.66760088270324069</v>
      </c>
      <c r="J4411" s="103">
        <v>1.2058740828540125E-3</v>
      </c>
      <c r="K4411" s="103"/>
      <c r="L4411" s="103">
        <v>3.7999999999999999E-2</v>
      </c>
      <c r="O4411" s="100"/>
    </row>
    <row r="4412" spans="2:15" x14ac:dyDescent="0.2">
      <c r="B4412" s="1">
        <f t="shared" si="252"/>
        <v>4397</v>
      </c>
      <c r="C4412" s="101">
        <f ca="1"/>
        <v>0.61269649560688277</v>
      </c>
      <c r="D4412" s="101">
        <f t="shared" ca="1" si="249"/>
        <v>0.7059012327129065</v>
      </c>
      <c r="E4412" s="101">
        <f t="shared" ca="1" si="250"/>
        <v>0</v>
      </c>
      <c r="F4412" s="21">
        <f t="shared" ca="1" si="251"/>
        <v>0</v>
      </c>
      <c r="H4412" s="21">
        <v>4397</v>
      </c>
      <c r="I4412" s="102">
        <v>0.66770929197217999</v>
      </c>
      <c r="J4412" s="103">
        <v>1.276071315747246E-3</v>
      </c>
      <c r="K4412" s="103"/>
      <c r="L4412" s="103">
        <v>4.0800000000000003E-2</v>
      </c>
      <c r="O4412" s="100"/>
    </row>
    <row r="4413" spans="2:15" x14ac:dyDescent="0.2">
      <c r="B4413" s="1">
        <f t="shared" si="252"/>
        <v>4398</v>
      </c>
      <c r="C4413" s="101">
        <f ca="1"/>
        <v>-3.2137542336433529</v>
      </c>
      <c r="D4413" s="101">
        <f t="shared" ca="1" si="249"/>
        <v>0.48397301827024475</v>
      </c>
      <c r="E4413" s="101">
        <f t="shared" ca="1" si="250"/>
        <v>0</v>
      </c>
      <c r="F4413" s="21">
        <f t="shared" ca="1" si="251"/>
        <v>0</v>
      </c>
      <c r="H4413" s="21">
        <v>4398</v>
      </c>
      <c r="I4413" s="102">
        <v>0.66790766336985063</v>
      </c>
      <c r="J4413" s="103">
        <v>1.5478938713532988E-3</v>
      </c>
      <c r="K4413" s="103"/>
      <c r="L4413" s="103">
        <v>4.6199999999999998E-2</v>
      </c>
      <c r="O4413" s="100"/>
    </row>
    <row r="4414" spans="2:15" x14ac:dyDescent="0.2">
      <c r="B4414" s="1">
        <f t="shared" si="252"/>
        <v>4399</v>
      </c>
      <c r="C4414" s="101">
        <f ca="1"/>
        <v>0.84175331543565479</v>
      </c>
      <c r="D4414" s="101">
        <f t="shared" ca="1" si="249"/>
        <v>0.72203224537751054</v>
      </c>
      <c r="E4414" s="101">
        <f t="shared" ca="1" si="250"/>
        <v>0</v>
      </c>
      <c r="F4414" s="21">
        <f t="shared" ca="1" si="251"/>
        <v>0</v>
      </c>
      <c r="H4414" s="21">
        <v>4399</v>
      </c>
      <c r="I4414" s="102">
        <v>0.66765915403702181</v>
      </c>
      <c r="J4414" s="103">
        <v>1.4013213796432826E-3</v>
      </c>
      <c r="K4414" s="103"/>
      <c r="L4414" s="103">
        <v>3.44E-2</v>
      </c>
      <c r="O4414" s="100"/>
    </row>
    <row r="4415" spans="2:15" x14ac:dyDescent="0.2">
      <c r="B4415" s="1">
        <f t="shared" si="252"/>
        <v>4400</v>
      </c>
      <c r="C4415" s="101">
        <f ca="1"/>
        <v>-0.90236541903241818</v>
      </c>
      <c r="D4415" s="101">
        <f t="shared" ca="1" si="249"/>
        <v>0.60791046816881267</v>
      </c>
      <c r="E4415" s="101">
        <f t="shared" ca="1" si="250"/>
        <v>0</v>
      </c>
      <c r="F4415" s="21">
        <f t="shared" ca="1" si="251"/>
        <v>0</v>
      </c>
      <c r="H4415" s="21">
        <v>4400</v>
      </c>
      <c r="I4415" s="102">
        <v>0.66765805637106401</v>
      </c>
      <c r="J4415" s="103">
        <v>1.2514159850959055E-3</v>
      </c>
      <c r="K4415" s="103"/>
      <c r="L4415" s="103">
        <v>3.6999999999999998E-2</v>
      </c>
      <c r="O4415" s="100"/>
    </row>
    <row r="4416" spans="2:15" x14ac:dyDescent="0.2">
      <c r="B4416" s="1">
        <f t="shared" si="252"/>
        <v>4401</v>
      </c>
      <c r="C4416" s="101">
        <f ca="1"/>
        <v>-1.2148140675161425</v>
      </c>
      <c r="D4416" s="101">
        <f t="shared" ca="1" si="249"/>
        <v>0.58946023716322171</v>
      </c>
      <c r="E4416" s="101">
        <f t="shared" ca="1" si="250"/>
        <v>0</v>
      </c>
      <c r="F4416" s="21">
        <f t="shared" ca="1" si="251"/>
        <v>0</v>
      </c>
      <c r="H4416" s="21">
        <v>4401</v>
      </c>
      <c r="I4416" s="102">
        <v>0.66766465172052092</v>
      </c>
      <c r="J4416" s="103">
        <v>1.1936613828532584E-3</v>
      </c>
      <c r="K4416" s="103"/>
      <c r="L4416" s="103">
        <v>4.02E-2</v>
      </c>
      <c r="O4416" s="100"/>
    </row>
    <row r="4417" spans="2:15" x14ac:dyDescent="0.2">
      <c r="B4417" s="1">
        <f t="shared" si="252"/>
        <v>4402</v>
      </c>
      <c r="C4417" s="101">
        <f ca="1"/>
        <v>0.79819541552955575</v>
      </c>
      <c r="D4417" s="101">
        <f t="shared" ca="1" si="249"/>
        <v>0.71893661026699107</v>
      </c>
      <c r="E4417" s="101">
        <f t="shared" ca="1" si="250"/>
        <v>0</v>
      </c>
      <c r="F4417" s="21">
        <f t="shared" ca="1" si="251"/>
        <v>0</v>
      </c>
      <c r="H4417" s="21">
        <v>4402</v>
      </c>
      <c r="I4417" s="102">
        <v>0.66792960286246894</v>
      </c>
      <c r="J4417" s="103">
        <v>1.5955331864624621E-3</v>
      </c>
      <c r="K4417" s="103"/>
      <c r="L4417" s="103">
        <v>4.82E-2</v>
      </c>
      <c r="O4417" s="100"/>
    </row>
    <row r="4418" spans="2:15" x14ac:dyDescent="0.2">
      <c r="B4418" s="1">
        <f t="shared" si="252"/>
        <v>4403</v>
      </c>
      <c r="C4418" s="101">
        <f ca="1"/>
        <v>-0.5742316646454434</v>
      </c>
      <c r="D4418" s="101">
        <f t="shared" ca="1" si="249"/>
        <v>0.6279089446642927</v>
      </c>
      <c r="E4418" s="101">
        <f t="shared" ca="1" si="250"/>
        <v>0</v>
      </c>
      <c r="F4418" s="21">
        <f t="shared" ca="1" si="251"/>
        <v>0</v>
      </c>
      <c r="H4418" s="21">
        <v>4403</v>
      </c>
      <c r="I4418" s="102">
        <v>0.66776384702995362</v>
      </c>
      <c r="J4418" s="103">
        <v>1.4636973143586844E-3</v>
      </c>
      <c r="K4418" s="103"/>
      <c r="L4418" s="103">
        <v>4.2599999999999999E-2</v>
      </c>
      <c r="O4418" s="100"/>
    </row>
    <row r="4419" spans="2:15" x14ac:dyDescent="0.2">
      <c r="B4419" s="1">
        <f t="shared" si="252"/>
        <v>4404</v>
      </c>
      <c r="C4419" s="101">
        <f ca="1"/>
        <v>-1.1824170891877006</v>
      </c>
      <c r="D4419" s="101">
        <f t="shared" ca="1" si="249"/>
        <v>0.59134697708407125</v>
      </c>
      <c r="E4419" s="101">
        <f t="shared" ca="1" si="250"/>
        <v>0</v>
      </c>
      <c r="F4419" s="21">
        <f t="shared" ca="1" si="251"/>
        <v>0</v>
      </c>
      <c r="H4419" s="21">
        <v>4404</v>
      </c>
      <c r="I4419" s="102">
        <v>0.66779731653829599</v>
      </c>
      <c r="J4419" s="103">
        <v>1.4247758507885731E-3</v>
      </c>
      <c r="K4419" s="103"/>
      <c r="L4419" s="103">
        <v>4.0599999999999997E-2</v>
      </c>
      <c r="O4419" s="100"/>
    </row>
    <row r="4420" spans="2:15" x14ac:dyDescent="0.2">
      <c r="B4420" s="1">
        <f t="shared" si="252"/>
        <v>4405</v>
      </c>
      <c r="C4420" s="101">
        <f ca="1"/>
        <v>-0.23579896271593292</v>
      </c>
      <c r="D4420" s="101">
        <f t="shared" ca="1" si="249"/>
        <v>0.64922452603403924</v>
      </c>
      <c r="E4420" s="101">
        <f t="shared" ca="1" si="250"/>
        <v>0</v>
      </c>
      <c r="F4420" s="21">
        <f t="shared" ca="1" si="251"/>
        <v>0</v>
      </c>
      <c r="H4420" s="21">
        <v>4405</v>
      </c>
      <c r="I4420" s="102">
        <v>0.66769098545222438</v>
      </c>
      <c r="J4420" s="103">
        <v>1.3032991173583522E-3</v>
      </c>
      <c r="K4420" s="103"/>
      <c r="L4420" s="103">
        <v>4.2200000000000001E-2</v>
      </c>
      <c r="O4420" s="100"/>
    </row>
    <row r="4421" spans="2:15" x14ac:dyDescent="0.2">
      <c r="B4421" s="1">
        <f t="shared" si="252"/>
        <v>4406</v>
      </c>
      <c r="C4421" s="101">
        <f ca="1"/>
        <v>-0.6987913621144084</v>
      </c>
      <c r="D4421" s="101">
        <f t="shared" ca="1" si="249"/>
        <v>0.62024119692597657</v>
      </c>
      <c r="E4421" s="101">
        <f t="shared" ca="1" si="250"/>
        <v>0</v>
      </c>
      <c r="F4421" s="21">
        <f t="shared" ca="1" si="251"/>
        <v>0</v>
      </c>
      <c r="H4421" s="21">
        <v>4406</v>
      </c>
      <c r="I4421" s="102">
        <v>0.6676869444495136</v>
      </c>
      <c r="J4421" s="103">
        <v>1.296685760075533E-3</v>
      </c>
      <c r="K4421" s="103"/>
      <c r="L4421" s="103">
        <v>4.1599999999999998E-2</v>
      </c>
      <c r="O4421" s="100"/>
    </row>
    <row r="4422" spans="2:15" x14ac:dyDescent="0.2">
      <c r="B4422" s="1">
        <f t="shared" si="252"/>
        <v>4407</v>
      </c>
      <c r="C4422" s="101">
        <f ca="1"/>
        <v>0.17078630656017957</v>
      </c>
      <c r="D4422" s="101">
        <f t="shared" ca="1" si="249"/>
        <v>0.67579158600594613</v>
      </c>
      <c r="E4422" s="101">
        <f t="shared" ca="1" si="250"/>
        <v>0</v>
      </c>
      <c r="F4422" s="21">
        <f t="shared" ca="1" si="251"/>
        <v>0</v>
      </c>
      <c r="H4422" s="21">
        <v>4407</v>
      </c>
      <c r="I4422" s="102">
        <v>0.66762702170606447</v>
      </c>
      <c r="J4422" s="103">
        <v>1.2141091922055547E-3</v>
      </c>
      <c r="K4422" s="103"/>
      <c r="L4422" s="103">
        <v>3.8800000000000001E-2</v>
      </c>
      <c r="O4422" s="100"/>
    </row>
    <row r="4423" spans="2:15" x14ac:dyDescent="0.2">
      <c r="B4423" s="1">
        <f t="shared" si="252"/>
        <v>4408</v>
      </c>
      <c r="C4423" s="101">
        <f ca="1"/>
        <v>0.26445289640439129</v>
      </c>
      <c r="D4423" s="101">
        <f t="shared" ca="1" si="249"/>
        <v>0.68206442649594945</v>
      </c>
      <c r="E4423" s="101">
        <f t="shared" ca="1" si="250"/>
        <v>0</v>
      </c>
      <c r="F4423" s="21">
        <f t="shared" ca="1" si="251"/>
        <v>0</v>
      </c>
      <c r="H4423" s="21">
        <v>4408</v>
      </c>
      <c r="I4423" s="102">
        <v>0.66790387160937803</v>
      </c>
      <c r="J4423" s="103">
        <v>1.660055210662903E-3</v>
      </c>
      <c r="K4423" s="103"/>
      <c r="L4423" s="103">
        <v>4.6600000000000003E-2</v>
      </c>
      <c r="O4423" s="100"/>
    </row>
    <row r="4424" spans="2:15" x14ac:dyDescent="0.2">
      <c r="B4424" s="1">
        <f t="shared" si="252"/>
        <v>4409</v>
      </c>
      <c r="C4424" s="101">
        <f ca="1"/>
        <v>1.11932590808971</v>
      </c>
      <c r="D4424" s="101">
        <f t="shared" ca="1" si="249"/>
        <v>0.74207471162418515</v>
      </c>
      <c r="E4424" s="101">
        <f t="shared" ca="1" si="250"/>
        <v>0</v>
      </c>
      <c r="F4424" s="21">
        <f t="shared" ca="1" si="251"/>
        <v>0</v>
      </c>
      <c r="H4424" s="21">
        <v>4409</v>
      </c>
      <c r="I4424" s="102">
        <v>0.66761759696313006</v>
      </c>
      <c r="J4424" s="103">
        <v>1.1598836497265196E-3</v>
      </c>
      <c r="K4424" s="103"/>
      <c r="L4424" s="103">
        <v>3.6400000000000002E-2</v>
      </c>
      <c r="O4424" s="100"/>
    </row>
    <row r="4425" spans="2:15" x14ac:dyDescent="0.2">
      <c r="B4425" s="1">
        <f t="shared" si="252"/>
        <v>4410</v>
      </c>
      <c r="C4425" s="101">
        <f ca="1"/>
        <v>0.47271271850041474</v>
      </c>
      <c r="D4425" s="101">
        <f t="shared" ca="1" si="249"/>
        <v>0.69622100464484626</v>
      </c>
      <c r="E4425" s="101">
        <f t="shared" ca="1" si="250"/>
        <v>0</v>
      </c>
      <c r="F4425" s="21">
        <f t="shared" ca="1" si="251"/>
        <v>0</v>
      </c>
      <c r="H4425" s="21">
        <v>4410</v>
      </c>
      <c r="I4425" s="102">
        <v>0.66783081884296835</v>
      </c>
      <c r="J4425" s="103">
        <v>1.5750371338445067E-3</v>
      </c>
      <c r="K4425" s="103"/>
      <c r="L4425" s="103">
        <v>4.24E-2</v>
      </c>
      <c r="O4425" s="100"/>
    </row>
    <row r="4426" spans="2:15" x14ac:dyDescent="0.2">
      <c r="B4426" s="1">
        <f t="shared" si="252"/>
        <v>4411</v>
      </c>
      <c r="C4426" s="101">
        <f ca="1"/>
        <v>-8.4725387039856187E-2</v>
      </c>
      <c r="D4426" s="101">
        <f t="shared" ca="1" si="249"/>
        <v>0.65897178029624115</v>
      </c>
      <c r="E4426" s="101">
        <f t="shared" ca="1" si="250"/>
        <v>0</v>
      </c>
      <c r="F4426" s="21">
        <f t="shared" ca="1" si="251"/>
        <v>0</v>
      </c>
      <c r="H4426" s="21">
        <v>4411</v>
      </c>
      <c r="I4426" s="102">
        <v>0.66779938442175302</v>
      </c>
      <c r="J4426" s="103">
        <v>1.3008881238240344E-3</v>
      </c>
      <c r="K4426" s="103"/>
      <c r="L4426" s="103">
        <v>4.3799999999999999E-2</v>
      </c>
      <c r="O4426" s="100"/>
    </row>
    <row r="4427" spans="2:15" x14ac:dyDescent="0.2">
      <c r="B4427" s="1">
        <f t="shared" si="252"/>
        <v>4412</v>
      </c>
      <c r="C4427" s="101">
        <f ca="1"/>
        <v>-1.5526780481606901</v>
      </c>
      <c r="D4427" s="101">
        <f t="shared" ca="1" si="249"/>
        <v>0.5701388427403381</v>
      </c>
      <c r="E4427" s="101">
        <f t="shared" ca="1" si="250"/>
        <v>0</v>
      </c>
      <c r="F4427" s="21">
        <f t="shared" ca="1" si="251"/>
        <v>0</v>
      </c>
      <c r="H4427" s="21">
        <v>4412</v>
      </c>
      <c r="I4427" s="102">
        <v>0.66772756836255087</v>
      </c>
      <c r="J4427" s="103">
        <v>1.3979500934198398E-3</v>
      </c>
      <c r="K4427" s="103"/>
      <c r="L4427" s="103">
        <v>4.1200000000000001E-2</v>
      </c>
      <c r="O4427" s="100"/>
    </row>
    <row r="4428" spans="2:15" x14ac:dyDescent="0.2">
      <c r="B4428" s="1">
        <f t="shared" si="252"/>
        <v>4413</v>
      </c>
      <c r="C4428" s="101">
        <f ca="1"/>
        <v>-1.2629883809255829</v>
      </c>
      <c r="D4428" s="101">
        <f t="shared" ca="1" si="249"/>
        <v>0.58666577985885171</v>
      </c>
      <c r="E4428" s="101">
        <f t="shared" ca="1" si="250"/>
        <v>0</v>
      </c>
      <c r="F4428" s="21">
        <f t="shared" ca="1" si="251"/>
        <v>0</v>
      </c>
      <c r="H4428" s="21">
        <v>4413</v>
      </c>
      <c r="I4428" s="102">
        <v>0.66748586787741548</v>
      </c>
      <c r="J4428" s="103">
        <v>1.1259564941093504E-3</v>
      </c>
      <c r="K4428" s="103"/>
      <c r="L4428" s="103">
        <v>3.5999999999999997E-2</v>
      </c>
      <c r="O4428" s="100"/>
    </row>
    <row r="4429" spans="2:15" x14ac:dyDescent="0.2">
      <c r="B4429" s="1">
        <f t="shared" si="252"/>
        <v>4414</v>
      </c>
      <c r="C4429" s="101">
        <f ca="1"/>
        <v>-0.84805851859752579</v>
      </c>
      <c r="D4429" s="101">
        <f t="shared" ca="1" si="249"/>
        <v>0.61117572461217262</v>
      </c>
      <c r="E4429" s="101">
        <f t="shared" ca="1" si="250"/>
        <v>0</v>
      </c>
      <c r="F4429" s="21">
        <f t="shared" ca="1" si="251"/>
        <v>0</v>
      </c>
      <c r="H4429" s="21">
        <v>4414</v>
      </c>
      <c r="I4429" s="102">
        <v>0.66759273896390403</v>
      </c>
      <c r="J4429" s="103">
        <v>1.2863248826842813E-3</v>
      </c>
      <c r="K4429" s="103"/>
      <c r="L4429" s="103">
        <v>4.1399999999999999E-2</v>
      </c>
      <c r="O4429" s="100"/>
    </row>
    <row r="4430" spans="2:15" x14ac:dyDescent="0.2">
      <c r="B4430" s="1">
        <f t="shared" si="252"/>
        <v>4415</v>
      </c>
      <c r="C4430" s="101">
        <f ca="1"/>
        <v>1.0125155388104019</v>
      </c>
      <c r="D4430" s="101">
        <f t="shared" ca="1" si="249"/>
        <v>0.73429731740884252</v>
      </c>
      <c r="E4430" s="101">
        <f t="shared" ca="1" si="250"/>
        <v>0</v>
      </c>
      <c r="F4430" s="21">
        <f t="shared" ca="1" si="251"/>
        <v>0</v>
      </c>
      <c r="H4430" s="21">
        <v>4415</v>
      </c>
      <c r="I4430" s="102">
        <v>0.6677213231050152</v>
      </c>
      <c r="J4430" s="103">
        <v>1.3988129136498124E-3</v>
      </c>
      <c r="K4430" s="103"/>
      <c r="L4430" s="103">
        <v>3.9199999999999999E-2</v>
      </c>
      <c r="O4430" s="100"/>
    </row>
    <row r="4431" spans="2:15" x14ac:dyDescent="0.2">
      <c r="B4431" s="1">
        <f t="shared" si="252"/>
        <v>4416</v>
      </c>
      <c r="C4431" s="101">
        <f ca="1"/>
        <v>-0.82438091458293372</v>
      </c>
      <c r="D4431" s="101">
        <f t="shared" ca="1" si="249"/>
        <v>0.6126048489509871</v>
      </c>
      <c r="E4431" s="101">
        <f t="shared" ca="1" si="250"/>
        <v>0</v>
      </c>
      <c r="F4431" s="21">
        <f t="shared" ca="1" si="251"/>
        <v>0</v>
      </c>
      <c r="H4431" s="21">
        <v>4416</v>
      </c>
      <c r="I4431" s="102">
        <v>0.66771832113760032</v>
      </c>
      <c r="J4431" s="103">
        <v>1.1312324231918412E-3</v>
      </c>
      <c r="K4431" s="103"/>
      <c r="L4431" s="103">
        <v>4.0399999999999998E-2</v>
      </c>
      <c r="O4431" s="100"/>
    </row>
    <row r="4432" spans="2:15" x14ac:dyDescent="0.2">
      <c r="B4432" s="1">
        <f t="shared" si="252"/>
        <v>4417</v>
      </c>
      <c r="C4432" s="101">
        <f ca="1"/>
        <v>1.0139668235543586</v>
      </c>
      <c r="D4432" s="101">
        <f t="shared" ref="D4432:D4495" ca="1" si="253">S0*EXP((μ-0.5*σ*σ)*T+σ*SQRT(T)*$C4432)</f>
        <v>0.73440244447843384</v>
      </c>
      <c r="E4432" s="101">
        <f t="shared" ref="E4432:E4495" ca="1" si="254">MAX(0,CP*(D4432-K))</f>
        <v>0</v>
      </c>
      <c r="F4432" s="21">
        <f t="shared" ref="F4432:F4495" ca="1" si="255">(CP*(D4432-K)&gt;0)*1</f>
        <v>0</v>
      </c>
      <c r="H4432" s="21">
        <v>4417</v>
      </c>
      <c r="I4432" s="102">
        <v>0.66775615223669715</v>
      </c>
      <c r="J4432" s="103">
        <v>1.2193079388154939E-3</v>
      </c>
      <c r="K4432" s="103"/>
      <c r="L4432" s="103">
        <v>4.02E-2</v>
      </c>
      <c r="O4432" s="100"/>
    </row>
    <row r="4433" spans="2:15" x14ac:dyDescent="0.2">
      <c r="B4433" s="1">
        <f t="shared" si="252"/>
        <v>4418</v>
      </c>
      <c r="C4433" s="101">
        <f ca="1"/>
        <v>0.8357661217767014</v>
      </c>
      <c r="D4433" s="101">
        <f t="shared" ca="1" si="253"/>
        <v>0.72160595006008454</v>
      </c>
      <c r="E4433" s="101">
        <f t="shared" ca="1" si="254"/>
        <v>0</v>
      </c>
      <c r="F4433" s="21">
        <f t="shared" ca="1" si="255"/>
        <v>0</v>
      </c>
      <c r="H4433" s="21">
        <v>4418</v>
      </c>
      <c r="I4433" s="102">
        <v>0.66789244347187104</v>
      </c>
      <c r="J4433" s="103">
        <v>1.5185733620108996E-3</v>
      </c>
      <c r="K4433" s="103"/>
      <c r="L4433" s="103">
        <v>4.58E-2</v>
      </c>
      <c r="O4433" s="100"/>
    </row>
    <row r="4434" spans="2:15" x14ac:dyDescent="0.2">
      <c r="B4434" s="1">
        <f t="shared" si="252"/>
        <v>4419</v>
      </c>
      <c r="C4434" s="101">
        <f ca="1"/>
        <v>-0.44045191223536351</v>
      </c>
      <c r="D4434" s="101">
        <f t="shared" ca="1" si="253"/>
        <v>0.63624987762155649</v>
      </c>
      <c r="E4434" s="101">
        <f t="shared" ca="1" si="254"/>
        <v>0</v>
      </c>
      <c r="F4434" s="21">
        <f t="shared" ca="1" si="255"/>
        <v>0</v>
      </c>
      <c r="H4434" s="21">
        <v>4419</v>
      </c>
      <c r="I4434" s="102">
        <v>0.6677546862792042</v>
      </c>
      <c r="J4434" s="103">
        <v>1.4063601506635098E-3</v>
      </c>
      <c r="K4434" s="103"/>
      <c r="L4434" s="103">
        <v>4.1000000000000002E-2</v>
      </c>
      <c r="O4434" s="100"/>
    </row>
    <row r="4435" spans="2:15" x14ac:dyDescent="0.2">
      <c r="B4435" s="1">
        <f t="shared" si="252"/>
        <v>4420</v>
      </c>
      <c r="C4435" s="101">
        <f ca="1"/>
        <v>-1.6570401974805429E-4</v>
      </c>
      <c r="D4435" s="101">
        <f t="shared" ca="1" si="253"/>
        <v>0.66449130352150709</v>
      </c>
      <c r="E4435" s="101">
        <f t="shared" ca="1" si="254"/>
        <v>0</v>
      </c>
      <c r="F4435" s="21">
        <f t="shared" ca="1" si="255"/>
        <v>0</v>
      </c>
      <c r="H4435" s="21">
        <v>4420</v>
      </c>
      <c r="I4435" s="102">
        <v>0.66773130706578776</v>
      </c>
      <c r="J4435" s="103">
        <v>1.3128742730289598E-3</v>
      </c>
      <c r="K4435" s="103"/>
      <c r="L4435" s="103">
        <v>4.4200000000000003E-2</v>
      </c>
      <c r="O4435" s="100"/>
    </row>
    <row r="4436" spans="2:15" x14ac:dyDescent="0.2">
      <c r="B4436" s="1">
        <f t="shared" si="252"/>
        <v>4421</v>
      </c>
      <c r="C4436" s="101">
        <f ca="1"/>
        <v>0.1506255717533721</v>
      </c>
      <c r="D4436" s="101">
        <f t="shared" ca="1" si="253"/>
        <v>0.67444898715013135</v>
      </c>
      <c r="E4436" s="101">
        <f t="shared" ca="1" si="254"/>
        <v>0</v>
      </c>
      <c r="F4436" s="21">
        <f t="shared" ca="1" si="255"/>
        <v>0</v>
      </c>
      <c r="H4436" s="21">
        <v>4421</v>
      </c>
      <c r="I4436" s="102">
        <v>0.66773922720226597</v>
      </c>
      <c r="J4436" s="103">
        <v>1.4490085064748821E-3</v>
      </c>
      <c r="K4436" s="103"/>
      <c r="L4436" s="103">
        <v>4.2599999999999999E-2</v>
      </c>
      <c r="O4436" s="100"/>
    </row>
    <row r="4437" spans="2:15" x14ac:dyDescent="0.2">
      <c r="B4437" s="1">
        <f t="shared" si="252"/>
        <v>4422</v>
      </c>
      <c r="C4437" s="101">
        <f ca="1"/>
        <v>-0.19903675808409477</v>
      </c>
      <c r="D4437" s="101">
        <f t="shared" ca="1" si="253"/>
        <v>0.65158306491390061</v>
      </c>
      <c r="E4437" s="101">
        <f t="shared" ca="1" si="254"/>
        <v>0</v>
      </c>
      <c r="F4437" s="21">
        <f t="shared" ca="1" si="255"/>
        <v>0</v>
      </c>
      <c r="H4437" s="21">
        <v>4422</v>
      </c>
      <c r="I4437" s="102">
        <v>0.66779504171784498</v>
      </c>
      <c r="J4437" s="103">
        <v>1.4784499207938586E-3</v>
      </c>
      <c r="K4437" s="103"/>
      <c r="L4437" s="103">
        <v>4.1799999999999997E-2</v>
      </c>
      <c r="O4437" s="100"/>
    </row>
    <row r="4438" spans="2:15" x14ac:dyDescent="0.2">
      <c r="B4438" s="1">
        <f t="shared" si="252"/>
        <v>4423</v>
      </c>
      <c r="C4438" s="101">
        <f ca="1"/>
        <v>0.62078868018254951</v>
      </c>
      <c r="D4438" s="101">
        <f t="shared" ca="1" si="253"/>
        <v>0.7064649248341246</v>
      </c>
      <c r="E4438" s="101">
        <f t="shared" ca="1" si="254"/>
        <v>0</v>
      </c>
      <c r="F4438" s="21">
        <f t="shared" ca="1" si="255"/>
        <v>0</v>
      </c>
      <c r="H4438" s="21">
        <v>4423</v>
      </c>
      <c r="I4438" s="102">
        <v>0.66784260111872029</v>
      </c>
      <c r="J4438" s="103">
        <v>1.3776317761940793E-3</v>
      </c>
      <c r="K4438" s="103"/>
      <c r="L4438" s="103">
        <v>4.2999999999999997E-2</v>
      </c>
      <c r="O4438" s="100"/>
    </row>
    <row r="4439" spans="2:15" x14ac:dyDescent="0.2">
      <c r="B4439" s="1">
        <f t="shared" si="252"/>
        <v>4424</v>
      </c>
      <c r="C4439" s="101">
        <f ca="1"/>
        <v>-0.45153425791262614</v>
      </c>
      <c r="D4439" s="101">
        <f t="shared" ca="1" si="253"/>
        <v>0.63555472374960398</v>
      </c>
      <c r="E4439" s="101">
        <f t="shared" ca="1" si="254"/>
        <v>0</v>
      </c>
      <c r="F4439" s="21">
        <f t="shared" ca="1" si="255"/>
        <v>0</v>
      </c>
      <c r="H4439" s="21">
        <v>4424</v>
      </c>
      <c r="I4439" s="102">
        <v>0.66782192191489753</v>
      </c>
      <c r="J4439" s="103">
        <v>1.4813560928271612E-3</v>
      </c>
      <c r="K4439" s="103"/>
      <c r="L4439" s="103">
        <v>4.1599999999999998E-2</v>
      </c>
      <c r="O4439" s="100"/>
    </row>
    <row r="4440" spans="2:15" x14ac:dyDescent="0.2">
      <c r="B4440" s="1">
        <f t="shared" si="252"/>
        <v>4425</v>
      </c>
      <c r="C4440" s="101">
        <f ca="1"/>
        <v>1.2009754212801727</v>
      </c>
      <c r="D4440" s="101">
        <f t="shared" ca="1" si="253"/>
        <v>0.74807552628632157</v>
      </c>
      <c r="E4440" s="101">
        <f t="shared" ca="1" si="254"/>
        <v>0</v>
      </c>
      <c r="F4440" s="21">
        <f t="shared" ca="1" si="255"/>
        <v>0</v>
      </c>
      <c r="H4440" s="21">
        <v>4425</v>
      </c>
      <c r="I4440" s="102">
        <v>0.66773016516853456</v>
      </c>
      <c r="J4440" s="103">
        <v>1.3457414435809752E-3</v>
      </c>
      <c r="K4440" s="103"/>
      <c r="L4440" s="103">
        <v>4.24E-2</v>
      </c>
      <c r="O4440" s="100"/>
    </row>
    <row r="4441" spans="2:15" x14ac:dyDescent="0.2">
      <c r="B4441" s="1">
        <f t="shared" si="252"/>
        <v>4426</v>
      </c>
      <c r="C4441" s="101">
        <f ca="1"/>
        <v>-0.90114876233217633</v>
      </c>
      <c r="D4441" s="101">
        <f t="shared" ca="1" si="253"/>
        <v>0.60798342948090189</v>
      </c>
      <c r="E4441" s="101">
        <f t="shared" ca="1" si="254"/>
        <v>0</v>
      </c>
      <c r="F4441" s="21">
        <f t="shared" ca="1" si="255"/>
        <v>0</v>
      </c>
      <c r="H4441" s="21">
        <v>4426</v>
      </c>
      <c r="I4441" s="102">
        <v>0.66790254721060405</v>
      </c>
      <c r="J4441" s="103">
        <v>1.5852319559948262E-3</v>
      </c>
      <c r="K4441" s="103"/>
      <c r="L4441" s="103">
        <v>4.4200000000000003E-2</v>
      </c>
      <c r="O4441" s="100"/>
    </row>
    <row r="4442" spans="2:15" x14ac:dyDescent="0.2">
      <c r="B4442" s="1">
        <f t="shared" si="252"/>
        <v>4427</v>
      </c>
      <c r="C4442" s="101">
        <f ca="1"/>
        <v>0.34022412150618858</v>
      </c>
      <c r="D4442" s="101">
        <f t="shared" ca="1" si="253"/>
        <v>0.68718139349654894</v>
      </c>
      <c r="E4442" s="101">
        <f t="shared" ca="1" si="254"/>
        <v>0</v>
      </c>
      <c r="F4442" s="21">
        <f t="shared" ca="1" si="255"/>
        <v>0</v>
      </c>
      <c r="H4442" s="21">
        <v>4427</v>
      </c>
      <c r="I4442" s="102">
        <v>0.6678319083738623</v>
      </c>
      <c r="J4442" s="103">
        <v>1.427149245966998E-3</v>
      </c>
      <c r="K4442" s="103"/>
      <c r="L4442" s="103">
        <v>4.1599999999999998E-2</v>
      </c>
      <c r="O4442" s="100"/>
    </row>
    <row r="4443" spans="2:15" x14ac:dyDescent="0.2">
      <c r="B4443" s="1">
        <f t="shared" si="252"/>
        <v>4428</v>
      </c>
      <c r="C4443" s="101">
        <f ca="1"/>
        <v>-0.81270644549528337</v>
      </c>
      <c r="D4443" s="101">
        <f t="shared" ca="1" si="253"/>
        <v>0.61331072193078484</v>
      </c>
      <c r="E4443" s="101">
        <f t="shared" ca="1" si="254"/>
        <v>0</v>
      </c>
      <c r="F4443" s="21">
        <f t="shared" ca="1" si="255"/>
        <v>0</v>
      </c>
      <c r="H4443" s="21">
        <v>4428</v>
      </c>
      <c r="I4443" s="102">
        <v>0.6676968840165407</v>
      </c>
      <c r="J4443" s="103">
        <v>1.2474985115819659E-3</v>
      </c>
      <c r="K4443" s="103"/>
      <c r="L4443" s="103">
        <v>3.8800000000000001E-2</v>
      </c>
      <c r="O4443" s="100"/>
    </row>
    <row r="4444" spans="2:15" x14ac:dyDescent="0.2">
      <c r="B4444" s="1">
        <f t="shared" si="252"/>
        <v>4429</v>
      </c>
      <c r="C4444" s="101">
        <f ca="1"/>
        <v>-0.13930446843167363</v>
      </c>
      <c r="D4444" s="101">
        <f t="shared" ca="1" si="253"/>
        <v>0.65543357199755337</v>
      </c>
      <c r="E4444" s="101">
        <f t="shared" ca="1" si="254"/>
        <v>0</v>
      </c>
      <c r="F4444" s="21">
        <f t="shared" ca="1" si="255"/>
        <v>0</v>
      </c>
      <c r="H4444" s="21">
        <v>4429</v>
      </c>
      <c r="I4444" s="102">
        <v>0.66779556502623261</v>
      </c>
      <c r="J4444" s="103">
        <v>1.3932697208096404E-3</v>
      </c>
      <c r="K4444" s="103"/>
      <c r="L4444" s="103">
        <v>4.24E-2</v>
      </c>
      <c r="O4444" s="100"/>
    </row>
    <row r="4445" spans="2:15" x14ac:dyDescent="0.2">
      <c r="B4445" s="1">
        <f t="shared" si="252"/>
        <v>4430</v>
      </c>
      <c r="C4445" s="101">
        <f ca="1"/>
        <v>0.92328565955255559</v>
      </c>
      <c r="D4445" s="101">
        <f t="shared" ca="1" si="253"/>
        <v>0.72786257341826321</v>
      </c>
      <c r="E4445" s="101">
        <f t="shared" ca="1" si="254"/>
        <v>0</v>
      </c>
      <c r="F4445" s="21">
        <f t="shared" ca="1" si="255"/>
        <v>0</v>
      </c>
      <c r="H4445" s="21">
        <v>4430</v>
      </c>
      <c r="I4445" s="102">
        <v>0.66768348916321285</v>
      </c>
      <c r="J4445" s="103">
        <v>1.2891274548217488E-3</v>
      </c>
      <c r="K4445" s="103"/>
      <c r="L4445" s="103">
        <v>4.1799999999999997E-2</v>
      </c>
      <c r="O4445" s="100"/>
    </row>
    <row r="4446" spans="2:15" x14ac:dyDescent="0.2">
      <c r="B4446" s="1">
        <f t="shared" si="252"/>
        <v>4431</v>
      </c>
      <c r="C4446" s="101">
        <f ca="1"/>
        <v>-1.437453005447457</v>
      </c>
      <c r="D4446" s="101">
        <f t="shared" ca="1" si="253"/>
        <v>0.57665597944438041</v>
      </c>
      <c r="E4446" s="101">
        <f t="shared" ca="1" si="254"/>
        <v>0</v>
      </c>
      <c r="F4446" s="21">
        <f t="shared" ca="1" si="255"/>
        <v>0</v>
      </c>
      <c r="H4446" s="21">
        <v>4431</v>
      </c>
      <c r="I4446" s="102">
        <v>0.66761663411707639</v>
      </c>
      <c r="J4446" s="103">
        <v>1.1207204808825685E-3</v>
      </c>
      <c r="K4446" s="103"/>
      <c r="L4446" s="103">
        <v>3.6999999999999998E-2</v>
      </c>
      <c r="O4446" s="100"/>
    </row>
    <row r="4447" spans="2:15" x14ac:dyDescent="0.2">
      <c r="B4447" s="1">
        <f t="shared" si="252"/>
        <v>4432</v>
      </c>
      <c r="C4447" s="101">
        <f ca="1"/>
        <v>0.24134678499257498</v>
      </c>
      <c r="D4447" s="101">
        <f t="shared" ca="1" si="253"/>
        <v>0.68051162360415984</v>
      </c>
      <c r="E4447" s="101">
        <f t="shared" ca="1" si="254"/>
        <v>0</v>
      </c>
      <c r="F4447" s="21">
        <f t="shared" ca="1" si="255"/>
        <v>0</v>
      </c>
      <c r="H4447" s="21">
        <v>4432</v>
      </c>
      <c r="I4447" s="102">
        <v>0.66757098549280969</v>
      </c>
      <c r="J4447" s="103">
        <v>1.105259618760521E-3</v>
      </c>
      <c r="K4447" s="103"/>
      <c r="L4447" s="103">
        <v>3.4200000000000001E-2</v>
      </c>
      <c r="O4447" s="100"/>
    </row>
    <row r="4448" spans="2:15" x14ac:dyDescent="0.2">
      <c r="B4448" s="1">
        <f t="shared" si="252"/>
        <v>4433</v>
      </c>
      <c r="C4448" s="101">
        <f ca="1"/>
        <v>-1.5639743575862067E-2</v>
      </c>
      <c r="D4448" s="101">
        <f t="shared" ca="1" si="253"/>
        <v>0.6634778111178965</v>
      </c>
      <c r="E4448" s="101">
        <f t="shared" ca="1" si="254"/>
        <v>0</v>
      </c>
      <c r="F4448" s="21">
        <f t="shared" ca="1" si="255"/>
        <v>0</v>
      </c>
      <c r="H4448" s="21">
        <v>4433</v>
      </c>
      <c r="I4448" s="102">
        <v>0.6677325007473266</v>
      </c>
      <c r="J4448" s="103">
        <v>1.3234752035579274E-3</v>
      </c>
      <c r="K4448" s="103"/>
      <c r="L4448" s="103">
        <v>3.9199999999999999E-2</v>
      </c>
      <c r="O4448" s="100"/>
    </row>
    <row r="4449" spans="2:15" x14ac:dyDescent="0.2">
      <c r="B4449" s="1">
        <f t="shared" si="252"/>
        <v>4434</v>
      </c>
      <c r="C4449" s="101">
        <f ca="1"/>
        <v>-0.38549531322301445</v>
      </c>
      <c r="D4449" s="101">
        <f t="shared" ca="1" si="253"/>
        <v>0.63970834868416593</v>
      </c>
      <c r="E4449" s="101">
        <f t="shared" ca="1" si="254"/>
        <v>0</v>
      </c>
      <c r="F4449" s="21">
        <f t="shared" ca="1" si="255"/>
        <v>0</v>
      </c>
      <c r="H4449" s="21">
        <v>4434</v>
      </c>
      <c r="I4449" s="102">
        <v>0.66766093275193339</v>
      </c>
      <c r="J4449" s="103">
        <v>1.306642785319029E-3</v>
      </c>
      <c r="K4449" s="103"/>
      <c r="L4449" s="103">
        <v>3.8199999999999998E-2</v>
      </c>
      <c r="O4449" s="100"/>
    </row>
    <row r="4450" spans="2:15" x14ac:dyDescent="0.2">
      <c r="B4450" s="1">
        <f t="shared" si="252"/>
        <v>4435</v>
      </c>
      <c r="C4450" s="101">
        <f ca="1"/>
        <v>0.68345953864220632</v>
      </c>
      <c r="D4450" s="101">
        <f t="shared" ca="1" si="253"/>
        <v>0.71084577329709964</v>
      </c>
      <c r="E4450" s="101">
        <f t="shared" ca="1" si="254"/>
        <v>0</v>
      </c>
      <c r="F4450" s="21">
        <f t="shared" ca="1" si="255"/>
        <v>0</v>
      </c>
      <c r="H4450" s="21">
        <v>4435</v>
      </c>
      <c r="I4450" s="102">
        <v>0.66778861598971428</v>
      </c>
      <c r="J4450" s="103">
        <v>1.4026283428861931E-3</v>
      </c>
      <c r="K4450" s="103"/>
      <c r="L4450" s="103">
        <v>4.3400000000000001E-2</v>
      </c>
      <c r="O4450" s="100"/>
    </row>
    <row r="4451" spans="2:15" x14ac:dyDescent="0.2">
      <c r="B4451" s="1">
        <f t="shared" si="252"/>
        <v>4436</v>
      </c>
      <c r="C4451" s="101">
        <f ca="1"/>
        <v>-1.0089016470288876</v>
      </c>
      <c r="D4451" s="101">
        <f t="shared" ca="1" si="253"/>
        <v>0.60155546364501244</v>
      </c>
      <c r="E4451" s="101">
        <f t="shared" ca="1" si="254"/>
        <v>0</v>
      </c>
      <c r="F4451" s="21">
        <f t="shared" ca="1" si="255"/>
        <v>0</v>
      </c>
      <c r="H4451" s="21">
        <v>4436</v>
      </c>
      <c r="I4451" s="102">
        <v>0.6678681979614175</v>
      </c>
      <c r="J4451" s="103">
        <v>1.4510642692328766E-3</v>
      </c>
      <c r="K4451" s="103"/>
      <c r="L4451" s="103">
        <v>4.2000000000000003E-2</v>
      </c>
      <c r="O4451" s="100"/>
    </row>
    <row r="4452" spans="2:15" x14ac:dyDescent="0.2">
      <c r="B4452" s="1">
        <f t="shared" si="252"/>
        <v>4437</v>
      </c>
      <c r="C4452" s="101">
        <f ca="1"/>
        <v>-0.60904169539015773</v>
      </c>
      <c r="D4452" s="101">
        <f t="shared" ca="1" si="253"/>
        <v>0.62575658635907372</v>
      </c>
      <c r="E4452" s="101">
        <f t="shared" ca="1" si="254"/>
        <v>0</v>
      </c>
      <c r="F4452" s="21">
        <f t="shared" ca="1" si="255"/>
        <v>0</v>
      </c>
      <c r="H4452" s="21">
        <v>4437</v>
      </c>
      <c r="I4452" s="102">
        <v>0.66772095431866463</v>
      </c>
      <c r="J4452" s="103">
        <v>1.3478202595008063E-3</v>
      </c>
      <c r="K4452" s="103"/>
      <c r="L4452" s="103">
        <v>4.24E-2</v>
      </c>
      <c r="O4452" s="100"/>
    </row>
    <row r="4453" spans="2:15" x14ac:dyDescent="0.2">
      <c r="B4453" s="1">
        <f t="shared" si="252"/>
        <v>4438</v>
      </c>
      <c r="C4453" s="101">
        <f ca="1"/>
        <v>0.46865864334567031</v>
      </c>
      <c r="D4453" s="101">
        <f t="shared" ca="1" si="253"/>
        <v>0.69594264198124456</v>
      </c>
      <c r="E4453" s="101">
        <f t="shared" ca="1" si="254"/>
        <v>0</v>
      </c>
      <c r="F4453" s="21">
        <f t="shared" ca="1" si="255"/>
        <v>0</v>
      </c>
      <c r="H4453" s="21">
        <v>4438</v>
      </c>
      <c r="I4453" s="102">
        <v>0.66788926046417219</v>
      </c>
      <c r="J4453" s="103">
        <v>1.6521269611394229E-3</v>
      </c>
      <c r="K4453" s="103"/>
      <c r="L4453" s="103">
        <v>4.4400000000000002E-2</v>
      </c>
      <c r="O4453" s="100"/>
    </row>
    <row r="4454" spans="2:15" x14ac:dyDescent="0.2">
      <c r="B4454" s="1">
        <f t="shared" si="252"/>
        <v>4439</v>
      </c>
      <c r="C4454" s="101">
        <f ca="1"/>
        <v>-1.5656460683436337</v>
      </c>
      <c r="D4454" s="101">
        <f t="shared" ca="1" si="253"/>
        <v>0.56940999725681596</v>
      </c>
      <c r="E4454" s="101">
        <f t="shared" ca="1" si="254"/>
        <v>0</v>
      </c>
      <c r="F4454" s="21">
        <f t="shared" ca="1" si="255"/>
        <v>0</v>
      </c>
      <c r="H4454" s="21">
        <v>4439</v>
      </c>
      <c r="I4454" s="102">
        <v>0.66775027179286162</v>
      </c>
      <c r="J4454" s="103">
        <v>1.4099857170219335E-3</v>
      </c>
      <c r="K4454" s="103"/>
      <c r="L4454" s="103">
        <v>4.1000000000000002E-2</v>
      </c>
      <c r="O4454" s="100"/>
    </row>
    <row r="4455" spans="2:15" x14ac:dyDescent="0.2">
      <c r="B4455" s="1">
        <f t="shared" si="252"/>
        <v>4440</v>
      </c>
      <c r="C4455" s="101">
        <f ca="1"/>
        <v>1.4504818573097147</v>
      </c>
      <c r="D4455" s="101">
        <f t="shared" ca="1" si="253"/>
        <v>0.76671533332573316</v>
      </c>
      <c r="E4455" s="101">
        <f t="shared" ca="1" si="254"/>
        <v>0</v>
      </c>
      <c r="F4455" s="21">
        <f t="shared" ca="1" si="255"/>
        <v>0</v>
      </c>
      <c r="H4455" s="21">
        <v>4440</v>
      </c>
      <c r="I4455" s="102">
        <v>0.66782492069840349</v>
      </c>
      <c r="J4455" s="103">
        <v>1.3226969924300907E-3</v>
      </c>
      <c r="K4455" s="103"/>
      <c r="L4455" s="103">
        <v>4.5199999999999997E-2</v>
      </c>
      <c r="O4455" s="100"/>
    </row>
    <row r="4456" spans="2:15" x14ac:dyDescent="0.2">
      <c r="B4456" s="1">
        <f t="shared" si="252"/>
        <v>4441</v>
      </c>
      <c r="C4456" s="101">
        <f ca="1"/>
        <v>0.1341328328603818</v>
      </c>
      <c r="D4456" s="101">
        <f t="shared" ca="1" si="253"/>
        <v>0.67335264131928463</v>
      </c>
      <c r="E4456" s="101">
        <f t="shared" ca="1" si="254"/>
        <v>0</v>
      </c>
      <c r="F4456" s="21">
        <f t="shared" ca="1" si="255"/>
        <v>0</v>
      </c>
      <c r="H4456" s="21">
        <v>4441</v>
      </c>
      <c r="I4456" s="102">
        <v>0.66775796648681074</v>
      </c>
      <c r="J4456" s="103">
        <v>1.4382204503895779E-3</v>
      </c>
      <c r="K4456" s="103"/>
      <c r="L4456" s="103">
        <v>4.2200000000000001E-2</v>
      </c>
      <c r="O4456" s="100"/>
    </row>
    <row r="4457" spans="2:15" x14ac:dyDescent="0.2">
      <c r="B4457" s="1">
        <f t="shared" si="252"/>
        <v>4442</v>
      </c>
      <c r="C4457" s="101">
        <f ca="1"/>
        <v>9.6501572844593653E-2</v>
      </c>
      <c r="D4457" s="101">
        <f t="shared" ca="1" si="253"/>
        <v>0.67085779138300261</v>
      </c>
      <c r="E4457" s="101">
        <f t="shared" ca="1" si="254"/>
        <v>0</v>
      </c>
      <c r="F4457" s="21">
        <f t="shared" ca="1" si="255"/>
        <v>0</v>
      </c>
      <c r="H4457" s="21">
        <v>4442</v>
      </c>
      <c r="I4457" s="102">
        <v>0.6677952884098185</v>
      </c>
      <c r="J4457" s="103">
        <v>1.4911415655858504E-3</v>
      </c>
      <c r="K4457" s="103"/>
      <c r="L4457" s="103">
        <v>4.5199999999999997E-2</v>
      </c>
      <c r="O4457" s="100"/>
    </row>
    <row r="4458" spans="2:15" x14ac:dyDescent="0.2">
      <c r="B4458" s="1">
        <f t="shared" si="252"/>
        <v>4443</v>
      </c>
      <c r="C4458" s="101">
        <f ca="1"/>
        <v>-0.22389004191677464</v>
      </c>
      <c r="D4458" s="101">
        <f t="shared" ca="1" si="253"/>
        <v>0.64998762582750691</v>
      </c>
      <c r="E4458" s="101">
        <f t="shared" ca="1" si="254"/>
        <v>0</v>
      </c>
      <c r="F4458" s="21">
        <f t="shared" ca="1" si="255"/>
        <v>0</v>
      </c>
      <c r="H4458" s="21">
        <v>4443</v>
      </c>
      <c r="I4458" s="102">
        <v>0.66784361806603365</v>
      </c>
      <c r="J4458" s="103">
        <v>1.3982607039157463E-3</v>
      </c>
      <c r="K4458" s="103"/>
      <c r="L4458" s="103">
        <v>4.24E-2</v>
      </c>
      <c r="O4458" s="100"/>
    </row>
    <row r="4459" spans="2:15" x14ac:dyDescent="0.2">
      <c r="B4459" s="1">
        <f t="shared" si="252"/>
        <v>4444</v>
      </c>
      <c r="C4459" s="101">
        <f ca="1"/>
        <v>-0.24674445405157691</v>
      </c>
      <c r="D4459" s="101">
        <f t="shared" ca="1" si="253"/>
        <v>0.64852395100701377</v>
      </c>
      <c r="E4459" s="101">
        <f t="shared" ca="1" si="254"/>
        <v>0</v>
      </c>
      <c r="F4459" s="21">
        <f t="shared" ca="1" si="255"/>
        <v>0</v>
      </c>
      <c r="H4459" s="21">
        <v>4444</v>
      </c>
      <c r="I4459" s="102">
        <v>0.66774017994525614</v>
      </c>
      <c r="J4459" s="103">
        <v>1.399406456429239E-3</v>
      </c>
      <c r="K4459" s="103"/>
      <c r="L4459" s="103">
        <v>4.0800000000000003E-2</v>
      </c>
      <c r="O4459" s="100"/>
    </row>
    <row r="4460" spans="2:15" x14ac:dyDescent="0.2">
      <c r="B4460" s="1">
        <f t="shared" si="252"/>
        <v>4445</v>
      </c>
      <c r="C4460" s="101">
        <f ca="1"/>
        <v>1.8232354933849291</v>
      </c>
      <c r="D4460" s="101">
        <f t="shared" ca="1" si="253"/>
        <v>0.79543131516324084</v>
      </c>
      <c r="E4460" s="101">
        <f t="shared" ca="1" si="254"/>
        <v>7.2313151632408257E-3</v>
      </c>
      <c r="F4460" s="21">
        <f t="shared" ca="1" si="255"/>
        <v>1</v>
      </c>
      <c r="H4460" s="21">
        <v>4445</v>
      </c>
      <c r="I4460" s="102">
        <v>0.6676148929099982</v>
      </c>
      <c r="J4460" s="103">
        <v>1.1829049669967028E-3</v>
      </c>
      <c r="K4460" s="103"/>
      <c r="L4460" s="103">
        <v>3.8199999999999998E-2</v>
      </c>
      <c r="O4460" s="100"/>
    </row>
    <row r="4461" spans="2:15" x14ac:dyDescent="0.2">
      <c r="B4461" s="1">
        <f t="shared" si="252"/>
        <v>4446</v>
      </c>
      <c r="C4461" s="101">
        <f ca="1"/>
        <v>1.9425275855205111</v>
      </c>
      <c r="D4461" s="101">
        <f t="shared" ca="1" si="253"/>
        <v>0.80484654543145828</v>
      </c>
      <c r="E4461" s="101">
        <f t="shared" ca="1" si="254"/>
        <v>1.6646545431458271E-2</v>
      </c>
      <c r="F4461" s="21">
        <f t="shared" ca="1" si="255"/>
        <v>1</v>
      </c>
      <c r="H4461" s="21">
        <v>4446</v>
      </c>
      <c r="I4461" s="102">
        <v>0.667634099101034</v>
      </c>
      <c r="J4461" s="103">
        <v>1.2724681813631017E-3</v>
      </c>
      <c r="K4461" s="103"/>
      <c r="L4461" s="103">
        <v>3.7999999999999999E-2</v>
      </c>
      <c r="O4461" s="100"/>
    </row>
    <row r="4462" spans="2:15" x14ac:dyDescent="0.2">
      <c r="B4462" s="1">
        <f t="shared" si="252"/>
        <v>4447</v>
      </c>
      <c r="C4462" s="101">
        <f ca="1"/>
        <v>0.62370525793589149</v>
      </c>
      <c r="D4462" s="101">
        <f t="shared" ca="1" si="253"/>
        <v>0.70666820056801416</v>
      </c>
      <c r="E4462" s="101">
        <f t="shared" ca="1" si="254"/>
        <v>0</v>
      </c>
      <c r="F4462" s="21">
        <f t="shared" ca="1" si="255"/>
        <v>0</v>
      </c>
      <c r="H4462" s="21">
        <v>4447</v>
      </c>
      <c r="I4462" s="102">
        <v>0.66783407791856675</v>
      </c>
      <c r="J4462" s="103">
        <v>1.5068726149372134E-3</v>
      </c>
      <c r="K4462" s="103"/>
      <c r="L4462" s="103">
        <v>4.5400000000000003E-2</v>
      </c>
      <c r="O4462" s="100"/>
    </row>
    <row r="4463" spans="2:15" x14ac:dyDescent="0.2">
      <c r="B4463" s="1">
        <f t="shared" si="252"/>
        <v>4448</v>
      </c>
      <c r="C4463" s="101">
        <f ca="1"/>
        <v>9.1391297452315917E-2</v>
      </c>
      <c r="D4463" s="101">
        <f t="shared" ca="1" si="253"/>
        <v>0.67051970769468949</v>
      </c>
      <c r="E4463" s="101">
        <f t="shared" ca="1" si="254"/>
        <v>0</v>
      </c>
      <c r="F4463" s="21">
        <f t="shared" ca="1" si="255"/>
        <v>0</v>
      </c>
      <c r="H4463" s="21">
        <v>4448</v>
      </c>
      <c r="I4463" s="102">
        <v>0.66776836422178798</v>
      </c>
      <c r="J4463" s="103">
        <v>1.3801957075747716E-3</v>
      </c>
      <c r="K4463" s="103"/>
      <c r="L4463" s="103">
        <v>4.1399999999999999E-2</v>
      </c>
      <c r="O4463" s="100"/>
    </row>
    <row r="4464" spans="2:15" x14ac:dyDescent="0.2">
      <c r="B4464" s="1">
        <f t="shared" ref="B4464:B4527" si="256">B4463+1</f>
        <v>4449</v>
      </c>
      <c r="C4464" s="101">
        <f ca="1"/>
        <v>6.9732701834934491E-2</v>
      </c>
      <c r="D4464" s="101">
        <f t="shared" ca="1" si="253"/>
        <v>0.66908871669385706</v>
      </c>
      <c r="E4464" s="101">
        <f t="shared" ca="1" si="254"/>
        <v>0</v>
      </c>
      <c r="F4464" s="21">
        <f t="shared" ca="1" si="255"/>
        <v>0</v>
      </c>
      <c r="H4464" s="21">
        <v>4449</v>
      </c>
      <c r="I4464" s="102">
        <v>0.66796000189303451</v>
      </c>
      <c r="J4464" s="103">
        <v>1.5395717608125926E-3</v>
      </c>
      <c r="K4464" s="103"/>
      <c r="L4464" s="103">
        <v>4.2999999999999997E-2</v>
      </c>
      <c r="O4464" s="100"/>
    </row>
    <row r="4465" spans="2:15" x14ac:dyDescent="0.2">
      <c r="B4465" s="1">
        <f t="shared" si="256"/>
        <v>4450</v>
      </c>
      <c r="C4465" s="101">
        <f ca="1"/>
        <v>1.0479561836087645</v>
      </c>
      <c r="D4465" s="101">
        <f t="shared" ca="1" si="253"/>
        <v>0.73686884865580271</v>
      </c>
      <c r="E4465" s="101">
        <f t="shared" ca="1" si="254"/>
        <v>0</v>
      </c>
      <c r="F4465" s="21">
        <f t="shared" ca="1" si="255"/>
        <v>0</v>
      </c>
      <c r="H4465" s="21">
        <v>4450</v>
      </c>
      <c r="I4465" s="102">
        <v>0.66780428369553346</v>
      </c>
      <c r="J4465" s="103">
        <v>1.4798562015567523E-3</v>
      </c>
      <c r="K4465" s="103"/>
      <c r="L4465" s="103">
        <v>4.02E-2</v>
      </c>
      <c r="O4465" s="100"/>
    </row>
    <row r="4466" spans="2:15" x14ac:dyDescent="0.2">
      <c r="B4466" s="1">
        <f t="shared" si="256"/>
        <v>4451</v>
      </c>
      <c r="C4466" s="101">
        <f ca="1"/>
        <v>-0.9314301281062265</v>
      </c>
      <c r="D4466" s="101">
        <f t="shared" ca="1" si="253"/>
        <v>0.60617009614103412</v>
      </c>
      <c r="E4466" s="101">
        <f t="shared" ca="1" si="254"/>
        <v>0</v>
      </c>
      <c r="F4466" s="21">
        <f t="shared" ca="1" si="255"/>
        <v>0</v>
      </c>
      <c r="H4466" s="21">
        <v>4451</v>
      </c>
      <c r="I4466" s="102">
        <v>0.66768863059455097</v>
      </c>
      <c r="J4466" s="103">
        <v>1.3602141463386194E-3</v>
      </c>
      <c r="K4466" s="103"/>
      <c r="L4466" s="103">
        <v>4.58E-2</v>
      </c>
      <c r="O4466" s="100"/>
    </row>
    <row r="4467" spans="2:15" x14ac:dyDescent="0.2">
      <c r="B4467" s="1">
        <f t="shared" si="256"/>
        <v>4452</v>
      </c>
      <c r="C4467" s="101">
        <f ca="1"/>
        <v>-0.78028741847667515</v>
      </c>
      <c r="D4467" s="101">
        <f t="shared" ca="1" si="253"/>
        <v>0.61527514047284348</v>
      </c>
      <c r="E4467" s="101">
        <f t="shared" ca="1" si="254"/>
        <v>0</v>
      </c>
      <c r="F4467" s="21">
        <f t="shared" ca="1" si="255"/>
        <v>0</v>
      </c>
      <c r="H4467" s="21">
        <v>4452</v>
      </c>
      <c r="I4467" s="102">
        <v>0.66786669800329457</v>
      </c>
      <c r="J4467" s="103">
        <v>1.5309054707914867E-3</v>
      </c>
      <c r="K4467" s="103"/>
      <c r="L4467" s="103">
        <v>4.7399999999999998E-2</v>
      </c>
      <c r="O4467" s="100"/>
    </row>
    <row r="4468" spans="2:15" x14ac:dyDescent="0.2">
      <c r="B4468" s="1">
        <f t="shared" si="256"/>
        <v>4453</v>
      </c>
      <c r="C4468" s="101">
        <f ca="1"/>
        <v>0.5691539989212161</v>
      </c>
      <c r="D4468" s="101">
        <f t="shared" ca="1" si="253"/>
        <v>0.70287582551797667</v>
      </c>
      <c r="E4468" s="101">
        <f t="shared" ca="1" si="254"/>
        <v>0</v>
      </c>
      <c r="F4468" s="21">
        <f t="shared" ca="1" si="255"/>
        <v>0</v>
      </c>
      <c r="H4468" s="21">
        <v>4453</v>
      </c>
      <c r="I4468" s="102">
        <v>0.66787104784719786</v>
      </c>
      <c r="J4468" s="103">
        <v>1.5241176823157494E-3</v>
      </c>
      <c r="K4468" s="103"/>
      <c r="L4468" s="103">
        <v>4.4999999999999998E-2</v>
      </c>
      <c r="O4468" s="100"/>
    </row>
    <row r="4469" spans="2:15" x14ac:dyDescent="0.2">
      <c r="B4469" s="1">
        <f t="shared" si="256"/>
        <v>4454</v>
      </c>
      <c r="C4469" s="101">
        <f ca="1"/>
        <v>0.33050414453175297</v>
      </c>
      <c r="D4469" s="101">
        <f t="shared" ca="1" si="253"/>
        <v>0.68652284563126531</v>
      </c>
      <c r="E4469" s="101">
        <f t="shared" ca="1" si="254"/>
        <v>0</v>
      </c>
      <c r="F4469" s="21">
        <f t="shared" ca="1" si="255"/>
        <v>0</v>
      </c>
      <c r="H4469" s="21">
        <v>4454</v>
      </c>
      <c r="I4469" s="102">
        <v>0.6675160019560149</v>
      </c>
      <c r="J4469" s="103">
        <v>1.1167698047623094E-3</v>
      </c>
      <c r="K4469" s="103"/>
      <c r="L4469" s="103">
        <v>3.4799999999999998E-2</v>
      </c>
      <c r="O4469" s="100"/>
    </row>
    <row r="4470" spans="2:15" x14ac:dyDescent="0.2">
      <c r="B4470" s="1">
        <f t="shared" si="256"/>
        <v>4455</v>
      </c>
      <c r="C4470" s="101">
        <f ca="1"/>
        <v>-0.77724562358014215</v>
      </c>
      <c r="D4470" s="101">
        <f t="shared" ca="1" si="253"/>
        <v>0.61545977943559926</v>
      </c>
      <c r="E4470" s="101">
        <f t="shared" ca="1" si="254"/>
        <v>0</v>
      </c>
      <c r="F4470" s="21">
        <f t="shared" ca="1" si="255"/>
        <v>0</v>
      </c>
      <c r="H4470" s="21">
        <v>4455</v>
      </c>
      <c r="I4470" s="102">
        <v>0.66770056069944017</v>
      </c>
      <c r="J4470" s="103">
        <v>1.3143121387923537E-3</v>
      </c>
      <c r="K4470" s="103"/>
      <c r="L4470" s="103">
        <v>4.1799999999999997E-2</v>
      </c>
      <c r="O4470" s="100"/>
    </row>
    <row r="4471" spans="2:15" x14ac:dyDescent="0.2">
      <c r="B4471" s="1">
        <f t="shared" si="256"/>
        <v>4456</v>
      </c>
      <c r="C4471" s="101">
        <f ca="1"/>
        <v>-0.94295431823635845</v>
      </c>
      <c r="D4471" s="101">
        <f t="shared" ca="1" si="253"/>
        <v>0.60548141688441626</v>
      </c>
      <c r="E4471" s="101">
        <f t="shared" ca="1" si="254"/>
        <v>0</v>
      </c>
      <c r="F4471" s="21">
        <f t="shared" ca="1" si="255"/>
        <v>0</v>
      </c>
      <c r="H4471" s="21">
        <v>4456</v>
      </c>
      <c r="I4471" s="102">
        <v>0.6676647351473689</v>
      </c>
      <c r="J4471" s="103">
        <v>1.1106167623868837E-3</v>
      </c>
      <c r="K4471" s="103"/>
      <c r="L4471" s="103">
        <v>4.0399999999999998E-2</v>
      </c>
      <c r="O4471" s="100"/>
    </row>
    <row r="4472" spans="2:15" x14ac:dyDescent="0.2">
      <c r="B4472" s="1">
        <f t="shared" si="256"/>
        <v>4457</v>
      </c>
      <c r="C4472" s="101">
        <f ca="1"/>
        <v>1.7286169459421128</v>
      </c>
      <c r="D4472" s="101">
        <f t="shared" ca="1" si="253"/>
        <v>0.78804185455924702</v>
      </c>
      <c r="E4472" s="101">
        <f t="shared" ca="1" si="254"/>
        <v>0</v>
      </c>
      <c r="F4472" s="21">
        <f t="shared" ca="1" si="255"/>
        <v>0</v>
      </c>
      <c r="H4472" s="21">
        <v>4457</v>
      </c>
      <c r="I4472" s="102">
        <v>0.66780350220795204</v>
      </c>
      <c r="J4472" s="103">
        <v>1.3436636474231419E-3</v>
      </c>
      <c r="K4472" s="103"/>
      <c r="L4472" s="103">
        <v>4.1200000000000001E-2</v>
      </c>
      <c r="O4472" s="100"/>
    </row>
    <row r="4473" spans="2:15" x14ac:dyDescent="0.2">
      <c r="B4473" s="1">
        <f t="shared" si="256"/>
        <v>4458</v>
      </c>
      <c r="C4473" s="101">
        <f ca="1"/>
        <v>1.0681297083546426</v>
      </c>
      <c r="D4473" s="101">
        <f t="shared" ca="1" si="253"/>
        <v>0.73833663575200559</v>
      </c>
      <c r="E4473" s="101">
        <f t="shared" ca="1" si="254"/>
        <v>0</v>
      </c>
      <c r="F4473" s="21">
        <f t="shared" ca="1" si="255"/>
        <v>0</v>
      </c>
      <c r="H4473" s="21">
        <v>4458</v>
      </c>
      <c r="I4473" s="102">
        <v>0.66772858366956045</v>
      </c>
      <c r="J4473" s="103">
        <v>1.2782016098199164E-3</v>
      </c>
      <c r="K4473" s="103"/>
      <c r="L4473" s="103">
        <v>4.1599999999999998E-2</v>
      </c>
      <c r="O4473" s="100"/>
    </row>
    <row r="4474" spans="2:15" x14ac:dyDescent="0.2">
      <c r="B4474" s="1">
        <f t="shared" si="256"/>
        <v>4459</v>
      </c>
      <c r="C4474" s="101">
        <f ca="1"/>
        <v>1.5612832757643156</v>
      </c>
      <c r="D4474" s="101">
        <f t="shared" ca="1" si="253"/>
        <v>0.77514118604130644</v>
      </c>
      <c r="E4474" s="101">
        <f t="shared" ca="1" si="254"/>
        <v>0</v>
      </c>
      <c r="F4474" s="21">
        <f t="shared" ca="1" si="255"/>
        <v>0</v>
      </c>
      <c r="H4474" s="21">
        <v>4459</v>
      </c>
      <c r="I4474" s="102">
        <v>0.66774780105218201</v>
      </c>
      <c r="J4474" s="103">
        <v>1.3870872419753607E-3</v>
      </c>
      <c r="K4474" s="103"/>
      <c r="L4474" s="103">
        <v>4.0599999999999997E-2</v>
      </c>
      <c r="O4474" s="100"/>
    </row>
    <row r="4475" spans="2:15" x14ac:dyDescent="0.2">
      <c r="B4475" s="1">
        <f t="shared" si="256"/>
        <v>4460</v>
      </c>
      <c r="C4475" s="101">
        <f ca="1"/>
        <v>-0.13652378415612343</v>
      </c>
      <c r="D4475" s="101">
        <f t="shared" ca="1" si="253"/>
        <v>0.65561337578145784</v>
      </c>
      <c r="E4475" s="101">
        <f t="shared" ca="1" si="254"/>
        <v>0</v>
      </c>
      <c r="F4475" s="21">
        <f t="shared" ca="1" si="255"/>
        <v>0</v>
      </c>
      <c r="H4475" s="21">
        <v>4460</v>
      </c>
      <c r="I4475" s="102">
        <v>0.6676626128346701</v>
      </c>
      <c r="J4475" s="103">
        <v>1.3591951642967987E-3</v>
      </c>
      <c r="K4475" s="103"/>
      <c r="L4475" s="103">
        <v>4.2599999999999999E-2</v>
      </c>
      <c r="O4475" s="100"/>
    </row>
    <row r="4476" spans="2:15" x14ac:dyDescent="0.2">
      <c r="B4476" s="1">
        <f t="shared" si="256"/>
        <v>4461</v>
      </c>
      <c r="C4476" s="101">
        <f ca="1"/>
        <v>0.54089573469281527</v>
      </c>
      <c r="D4476" s="101">
        <f t="shared" ca="1" si="253"/>
        <v>0.70091933455508482</v>
      </c>
      <c r="E4476" s="101">
        <f t="shared" ca="1" si="254"/>
        <v>0</v>
      </c>
      <c r="F4476" s="21">
        <f t="shared" ca="1" si="255"/>
        <v>0</v>
      </c>
      <c r="H4476" s="21">
        <v>4461</v>
      </c>
      <c r="I4476" s="102">
        <v>0.66767957409785594</v>
      </c>
      <c r="J4476" s="103">
        <v>1.3469993536288085E-3</v>
      </c>
      <c r="K4476" s="103"/>
      <c r="L4476" s="103">
        <v>4.4200000000000003E-2</v>
      </c>
      <c r="O4476" s="100"/>
    </row>
    <row r="4477" spans="2:15" x14ac:dyDescent="0.2">
      <c r="B4477" s="1">
        <f t="shared" si="256"/>
        <v>4462</v>
      </c>
      <c r="C4477" s="101">
        <f ca="1"/>
        <v>0.9453971969506817</v>
      </c>
      <c r="D4477" s="101">
        <f t="shared" ca="1" si="253"/>
        <v>0.72945185531869972</v>
      </c>
      <c r="E4477" s="101">
        <f t="shared" ca="1" si="254"/>
        <v>0</v>
      </c>
      <c r="F4477" s="21">
        <f t="shared" ca="1" si="255"/>
        <v>0</v>
      </c>
      <c r="H4477" s="21">
        <v>4462</v>
      </c>
      <c r="I4477" s="102">
        <v>0.66763019689167979</v>
      </c>
      <c r="J4477" s="103">
        <v>1.2190012879503384E-3</v>
      </c>
      <c r="K4477" s="103"/>
      <c r="L4477" s="103">
        <v>4.3999999999999997E-2</v>
      </c>
      <c r="O4477" s="100"/>
    </row>
    <row r="4478" spans="2:15" x14ac:dyDescent="0.2">
      <c r="B4478" s="1">
        <f t="shared" si="256"/>
        <v>4463</v>
      </c>
      <c r="C4478" s="101">
        <f ca="1"/>
        <v>1.6577110130162211</v>
      </c>
      <c r="D4478" s="101">
        <f t="shared" ca="1" si="253"/>
        <v>0.78254931918588255</v>
      </c>
      <c r="E4478" s="101">
        <f t="shared" ca="1" si="254"/>
        <v>0</v>
      </c>
      <c r="F4478" s="21">
        <f t="shared" ca="1" si="255"/>
        <v>0</v>
      </c>
      <c r="H4478" s="21">
        <v>4463</v>
      </c>
      <c r="I4478" s="102">
        <v>0.66784391713381419</v>
      </c>
      <c r="J4478" s="103">
        <v>1.4478568233334068E-3</v>
      </c>
      <c r="K4478" s="103"/>
      <c r="L4478" s="103">
        <v>4.02E-2</v>
      </c>
      <c r="O4478" s="100"/>
    </row>
    <row r="4479" spans="2:15" x14ac:dyDescent="0.2">
      <c r="B4479" s="1">
        <f t="shared" si="256"/>
        <v>4464</v>
      </c>
      <c r="C4479" s="101">
        <f ca="1"/>
        <v>1.3211549062975054</v>
      </c>
      <c r="D4479" s="101">
        <f t="shared" ca="1" si="253"/>
        <v>0.75699648309429379</v>
      </c>
      <c r="E4479" s="101">
        <f t="shared" ca="1" si="254"/>
        <v>0</v>
      </c>
      <c r="F4479" s="21">
        <f t="shared" ca="1" si="255"/>
        <v>0</v>
      </c>
      <c r="H4479" s="21">
        <v>4464</v>
      </c>
      <c r="I4479" s="102">
        <v>0.66773894300658532</v>
      </c>
      <c r="J4479" s="103">
        <v>1.4429442589410715E-3</v>
      </c>
      <c r="K4479" s="103"/>
      <c r="L4479" s="103">
        <v>3.9199999999999999E-2</v>
      </c>
      <c r="O4479" s="100"/>
    </row>
    <row r="4480" spans="2:15" x14ac:dyDescent="0.2">
      <c r="B4480" s="1">
        <f t="shared" si="256"/>
        <v>4465</v>
      </c>
      <c r="C4480" s="101">
        <f ca="1"/>
        <v>-6.7271593399015006E-2</v>
      </c>
      <c r="D4480" s="101">
        <f t="shared" ca="1" si="253"/>
        <v>0.66010728637355176</v>
      </c>
      <c r="E4480" s="101">
        <f t="shared" ca="1" si="254"/>
        <v>0</v>
      </c>
      <c r="F4480" s="21">
        <f t="shared" ca="1" si="255"/>
        <v>0</v>
      </c>
      <c r="H4480" s="21">
        <v>4465</v>
      </c>
      <c r="I4480" s="102">
        <v>0.66783746040966896</v>
      </c>
      <c r="J4480" s="103">
        <v>1.3863022813945219E-3</v>
      </c>
      <c r="K4480" s="103"/>
      <c r="L4480" s="103">
        <v>4.2000000000000003E-2</v>
      </c>
      <c r="O4480" s="100"/>
    </row>
    <row r="4481" spans="2:15" x14ac:dyDescent="0.2">
      <c r="B4481" s="1">
        <f t="shared" si="256"/>
        <v>4466</v>
      </c>
      <c r="C4481" s="101">
        <f ca="1"/>
        <v>6.5898080404894852E-2</v>
      </c>
      <c r="D4481" s="101">
        <f t="shared" ca="1" si="253"/>
        <v>0.66883568031259333</v>
      </c>
      <c r="E4481" s="101">
        <f t="shared" ca="1" si="254"/>
        <v>0</v>
      </c>
      <c r="F4481" s="21">
        <f t="shared" ca="1" si="255"/>
        <v>0</v>
      </c>
      <c r="H4481" s="21">
        <v>4466</v>
      </c>
      <c r="I4481" s="102">
        <v>0.66767559747955973</v>
      </c>
      <c r="J4481" s="103">
        <v>1.2242917926495885E-3</v>
      </c>
      <c r="K4481" s="103"/>
      <c r="L4481" s="103">
        <v>4.0399999999999998E-2</v>
      </c>
      <c r="O4481" s="100"/>
    </row>
    <row r="4482" spans="2:15" x14ac:dyDescent="0.2">
      <c r="B4482" s="1">
        <f t="shared" si="256"/>
        <v>4467</v>
      </c>
      <c r="C4482" s="101">
        <f ca="1"/>
        <v>0.35410224238027055</v>
      </c>
      <c r="D4482" s="101">
        <f t="shared" ca="1" si="253"/>
        <v>0.68812275895171948</v>
      </c>
      <c r="E4482" s="101">
        <f t="shared" ca="1" si="254"/>
        <v>0</v>
      </c>
      <c r="F4482" s="21">
        <f t="shared" ca="1" si="255"/>
        <v>0</v>
      </c>
      <c r="H4482" s="21">
        <v>4467</v>
      </c>
      <c r="I4482" s="102">
        <v>0.66785248103570638</v>
      </c>
      <c r="J4482" s="103">
        <v>1.4809121597622803E-3</v>
      </c>
      <c r="K4482" s="103"/>
      <c r="L4482" s="103">
        <v>4.2000000000000003E-2</v>
      </c>
      <c r="O4482" s="100"/>
    </row>
    <row r="4483" spans="2:15" x14ac:dyDescent="0.2">
      <c r="B4483" s="1">
        <f t="shared" si="256"/>
        <v>4468</v>
      </c>
      <c r="C4483" s="101">
        <f ca="1"/>
        <v>-0.14117900076750745</v>
      </c>
      <c r="D4483" s="101">
        <f t="shared" ca="1" si="253"/>
        <v>0.65531238936900726</v>
      </c>
      <c r="E4483" s="101">
        <f t="shared" ca="1" si="254"/>
        <v>0</v>
      </c>
      <c r="F4483" s="21">
        <f t="shared" ca="1" si="255"/>
        <v>0</v>
      </c>
      <c r="H4483" s="21">
        <v>4468</v>
      </c>
      <c r="I4483" s="102">
        <v>0.6676841750763669</v>
      </c>
      <c r="J4483" s="103">
        <v>1.2300010293417334E-3</v>
      </c>
      <c r="K4483" s="103"/>
      <c r="L4483" s="103">
        <v>3.8600000000000002E-2</v>
      </c>
      <c r="O4483" s="100"/>
    </row>
    <row r="4484" spans="2:15" x14ac:dyDescent="0.2">
      <c r="B4484" s="1">
        <f t="shared" si="256"/>
        <v>4469</v>
      </c>
      <c r="C4484" s="101">
        <f ca="1"/>
        <v>2.664100097742033E-2</v>
      </c>
      <c r="D4484" s="101">
        <f t="shared" ca="1" si="253"/>
        <v>0.6662507090613673</v>
      </c>
      <c r="E4484" s="101">
        <f t="shared" ca="1" si="254"/>
        <v>0</v>
      </c>
      <c r="F4484" s="21">
        <f t="shared" ca="1" si="255"/>
        <v>0</v>
      </c>
      <c r="H4484" s="21">
        <v>4469</v>
      </c>
      <c r="I4484" s="102">
        <v>0.66771559515600687</v>
      </c>
      <c r="J4484" s="103">
        <v>1.2631119231570655E-3</v>
      </c>
      <c r="K4484" s="103"/>
      <c r="L4484" s="103">
        <v>3.9199999999999999E-2</v>
      </c>
      <c r="O4484" s="100"/>
    </row>
    <row r="4485" spans="2:15" x14ac:dyDescent="0.2">
      <c r="B4485" s="1">
        <f t="shared" si="256"/>
        <v>4470</v>
      </c>
      <c r="C4485" s="101">
        <f ca="1"/>
        <v>0.85771276107262162</v>
      </c>
      <c r="D4485" s="101">
        <f t="shared" ca="1" si="253"/>
        <v>0.72316980766767769</v>
      </c>
      <c r="E4485" s="101">
        <f t="shared" ca="1" si="254"/>
        <v>0</v>
      </c>
      <c r="F4485" s="21">
        <f t="shared" ca="1" si="255"/>
        <v>0</v>
      </c>
      <c r="H4485" s="21">
        <v>4470</v>
      </c>
      <c r="I4485" s="102">
        <v>0.66763250484611336</v>
      </c>
      <c r="J4485" s="103">
        <v>1.3234249604008688E-3</v>
      </c>
      <c r="K4485" s="103"/>
      <c r="L4485" s="103">
        <v>3.7600000000000001E-2</v>
      </c>
      <c r="O4485" s="100"/>
    </row>
    <row r="4486" spans="2:15" x14ac:dyDescent="0.2">
      <c r="B4486" s="1">
        <f t="shared" si="256"/>
        <v>4471</v>
      </c>
      <c r="C4486" s="101">
        <f ca="1"/>
        <v>0.68865231881138156</v>
      </c>
      <c r="D4486" s="101">
        <f t="shared" ca="1" si="253"/>
        <v>0.71120997792179041</v>
      </c>
      <c r="E4486" s="101">
        <f t="shared" ca="1" si="254"/>
        <v>0</v>
      </c>
      <c r="F4486" s="21">
        <f t="shared" ca="1" si="255"/>
        <v>0</v>
      </c>
      <c r="H4486" s="21">
        <v>4471</v>
      </c>
      <c r="I4486" s="102">
        <v>0.66779471402755297</v>
      </c>
      <c r="J4486" s="103">
        <v>1.4333719107831697E-3</v>
      </c>
      <c r="K4486" s="103"/>
      <c r="L4486" s="103">
        <v>4.3400000000000001E-2</v>
      </c>
      <c r="O4486" s="100"/>
    </row>
    <row r="4487" spans="2:15" x14ac:dyDescent="0.2">
      <c r="B4487" s="1">
        <f t="shared" si="256"/>
        <v>4472</v>
      </c>
      <c r="C4487" s="101">
        <f ca="1"/>
        <v>-0.81941655343134567</v>
      </c>
      <c r="D4487" s="101">
        <f t="shared" ca="1" si="253"/>
        <v>0.61290490959603416</v>
      </c>
      <c r="E4487" s="101">
        <f t="shared" ca="1" si="254"/>
        <v>0</v>
      </c>
      <c r="F4487" s="21">
        <f t="shared" ca="1" si="255"/>
        <v>0</v>
      </c>
      <c r="H4487" s="21">
        <v>4472</v>
      </c>
      <c r="I4487" s="102">
        <v>0.66785855234467639</v>
      </c>
      <c r="J4487" s="103">
        <v>1.5175513602748256E-3</v>
      </c>
      <c r="K4487" s="103"/>
      <c r="L4487" s="103">
        <v>4.1200000000000001E-2</v>
      </c>
      <c r="O4487" s="100"/>
    </row>
    <row r="4488" spans="2:15" x14ac:dyDescent="0.2">
      <c r="B4488" s="1">
        <f t="shared" si="256"/>
        <v>4473</v>
      </c>
      <c r="C4488" s="101">
        <f ca="1"/>
        <v>8.8180836911507909E-2</v>
      </c>
      <c r="D4488" s="101">
        <f t="shared" ca="1" si="253"/>
        <v>0.67030739839447284</v>
      </c>
      <c r="E4488" s="101">
        <f t="shared" ca="1" si="254"/>
        <v>0</v>
      </c>
      <c r="F4488" s="21">
        <f t="shared" ca="1" si="255"/>
        <v>0</v>
      </c>
      <c r="H4488" s="21">
        <v>4473</v>
      </c>
      <c r="I4488" s="102">
        <v>0.66781884028468752</v>
      </c>
      <c r="J4488" s="103">
        <v>1.4620896986438235E-3</v>
      </c>
      <c r="K4488" s="103"/>
      <c r="L4488" s="103">
        <v>4.0399999999999998E-2</v>
      </c>
      <c r="O4488" s="100"/>
    </row>
    <row r="4489" spans="2:15" x14ac:dyDescent="0.2">
      <c r="B4489" s="1">
        <f t="shared" si="256"/>
        <v>4474</v>
      </c>
      <c r="C4489" s="101">
        <f ca="1"/>
        <v>-0.42421166525800996</v>
      </c>
      <c r="D4489" s="101">
        <f t="shared" ca="1" si="253"/>
        <v>0.63726994098463563</v>
      </c>
      <c r="E4489" s="101">
        <f t="shared" ca="1" si="254"/>
        <v>0</v>
      </c>
      <c r="F4489" s="21">
        <f t="shared" ca="1" si="255"/>
        <v>0</v>
      </c>
      <c r="H4489" s="21">
        <v>4474</v>
      </c>
      <c r="I4489" s="102">
        <v>0.66788163899712905</v>
      </c>
      <c r="J4489" s="103">
        <v>1.5047958138941354E-3</v>
      </c>
      <c r="K4489" s="103"/>
      <c r="L4489" s="103">
        <v>4.5199999999999997E-2</v>
      </c>
      <c r="O4489" s="100"/>
    </row>
    <row r="4490" spans="2:15" x14ac:dyDescent="0.2">
      <c r="B4490" s="1">
        <f t="shared" si="256"/>
        <v>4475</v>
      </c>
      <c r="C4490" s="101">
        <f ca="1"/>
        <v>0.7208059019098072</v>
      </c>
      <c r="D4490" s="101">
        <f t="shared" ca="1" si="253"/>
        <v>0.7134692837356984</v>
      </c>
      <c r="E4490" s="101">
        <f t="shared" ca="1" si="254"/>
        <v>0</v>
      </c>
      <c r="F4490" s="21">
        <f t="shared" ca="1" si="255"/>
        <v>0</v>
      </c>
      <c r="H4490" s="21">
        <v>4475</v>
      </c>
      <c r="I4490" s="102">
        <v>0.66769300952586086</v>
      </c>
      <c r="J4490" s="103">
        <v>1.229978158733676E-3</v>
      </c>
      <c r="K4490" s="103"/>
      <c r="L4490" s="103">
        <v>3.9600000000000003E-2</v>
      </c>
      <c r="O4490" s="100"/>
    </row>
    <row r="4491" spans="2:15" x14ac:dyDescent="0.2">
      <c r="B4491" s="1">
        <f t="shared" si="256"/>
        <v>4476</v>
      </c>
      <c r="C4491" s="101">
        <f ca="1"/>
        <v>-1.2313350676507144</v>
      </c>
      <c r="D4491" s="101">
        <f t="shared" ca="1" si="253"/>
        <v>0.58850040361975042</v>
      </c>
      <c r="E4491" s="101">
        <f t="shared" ca="1" si="254"/>
        <v>0</v>
      </c>
      <c r="F4491" s="21">
        <f t="shared" ca="1" si="255"/>
        <v>0</v>
      </c>
      <c r="H4491" s="21">
        <v>4476</v>
      </c>
      <c r="I4491" s="102">
        <v>0.66783089211068003</v>
      </c>
      <c r="J4491" s="103">
        <v>1.5127889547699523E-3</v>
      </c>
      <c r="K4491" s="103"/>
      <c r="L4491" s="103">
        <v>4.48E-2</v>
      </c>
      <c r="O4491" s="100"/>
    </row>
    <row r="4492" spans="2:15" x14ac:dyDescent="0.2">
      <c r="B4492" s="1">
        <f t="shared" si="256"/>
        <v>4477</v>
      </c>
      <c r="C4492" s="101">
        <f ca="1"/>
        <v>-6.8660287174252779E-2</v>
      </c>
      <c r="D4492" s="101">
        <f t="shared" ca="1" si="253"/>
        <v>0.66001686935735804</v>
      </c>
      <c r="E4492" s="101">
        <f t="shared" ca="1" si="254"/>
        <v>0</v>
      </c>
      <c r="F4492" s="21">
        <f t="shared" ca="1" si="255"/>
        <v>0</v>
      </c>
      <c r="H4492" s="21">
        <v>4477</v>
      </c>
      <c r="I4492" s="102">
        <v>0.66763937873655443</v>
      </c>
      <c r="J4492" s="103">
        <v>1.2640052987108043E-3</v>
      </c>
      <c r="K4492" s="103"/>
      <c r="L4492" s="103">
        <v>3.6999999999999998E-2</v>
      </c>
      <c r="O4492" s="100"/>
    </row>
    <row r="4493" spans="2:15" x14ac:dyDescent="0.2">
      <c r="B4493" s="1">
        <f t="shared" si="256"/>
        <v>4478</v>
      </c>
      <c r="C4493" s="101">
        <f ca="1"/>
        <v>-0.26271773313568547</v>
      </c>
      <c r="D4493" s="101">
        <f t="shared" ca="1" si="253"/>
        <v>0.64750292476932103</v>
      </c>
      <c r="E4493" s="101">
        <f t="shared" ca="1" si="254"/>
        <v>0</v>
      </c>
      <c r="F4493" s="21">
        <f t="shared" ca="1" si="255"/>
        <v>0</v>
      </c>
      <c r="H4493" s="21">
        <v>4478</v>
      </c>
      <c r="I4493" s="102">
        <v>0.66774975535110048</v>
      </c>
      <c r="J4493" s="103">
        <v>1.3182735441884942E-3</v>
      </c>
      <c r="K4493" s="103"/>
      <c r="L4493" s="103">
        <v>4.1000000000000002E-2</v>
      </c>
      <c r="O4493" s="100"/>
    </row>
    <row r="4494" spans="2:15" x14ac:dyDescent="0.2">
      <c r="B4494" s="1">
        <f t="shared" si="256"/>
        <v>4479</v>
      </c>
      <c r="C4494" s="101">
        <f ca="1"/>
        <v>1.2962990483521357</v>
      </c>
      <c r="D4494" s="101">
        <f t="shared" ca="1" si="253"/>
        <v>0.7551427413723466</v>
      </c>
      <c r="E4494" s="101">
        <f t="shared" ca="1" si="254"/>
        <v>0</v>
      </c>
      <c r="F4494" s="21">
        <f t="shared" ca="1" si="255"/>
        <v>0</v>
      </c>
      <c r="H4494" s="21">
        <v>4479</v>
      </c>
      <c r="I4494" s="102">
        <v>0.66767091338358464</v>
      </c>
      <c r="J4494" s="103">
        <v>1.2879373838918702E-3</v>
      </c>
      <c r="K4494" s="103"/>
      <c r="L4494" s="103">
        <v>3.9399999999999998E-2</v>
      </c>
      <c r="O4494" s="100"/>
    </row>
    <row r="4495" spans="2:15" x14ac:dyDescent="0.2">
      <c r="B4495" s="1">
        <f t="shared" si="256"/>
        <v>4480</v>
      </c>
      <c r="C4495" s="101">
        <f ca="1"/>
        <v>0.83970792092625857</v>
      </c>
      <c r="D4495" s="101">
        <f t="shared" ca="1" si="253"/>
        <v>0.72188658253900184</v>
      </c>
      <c r="E4495" s="101">
        <f t="shared" ca="1" si="254"/>
        <v>0</v>
      </c>
      <c r="F4495" s="21">
        <f t="shared" ca="1" si="255"/>
        <v>0</v>
      </c>
      <c r="H4495" s="21">
        <v>4480</v>
      </c>
      <c r="I4495" s="102">
        <v>0.6676102389002212</v>
      </c>
      <c r="J4495" s="103">
        <v>1.1477582327579176E-3</v>
      </c>
      <c r="K4495" s="103"/>
      <c r="L4495" s="103">
        <v>3.7600000000000001E-2</v>
      </c>
      <c r="O4495" s="100"/>
    </row>
    <row r="4496" spans="2:15" x14ac:dyDescent="0.2">
      <c r="B4496" s="1">
        <f t="shared" si="256"/>
        <v>4481</v>
      </c>
      <c r="C4496" s="101">
        <f ca="1"/>
        <v>-1.1066226841869351</v>
      </c>
      <c r="D4496" s="101">
        <f t="shared" ref="D4496:D4559" ca="1" si="257">S0*EXP((μ-0.5*σ*σ)*T+σ*SQRT(T)*$C4496)</f>
        <v>0.59578472811998473</v>
      </c>
      <c r="E4496" s="101">
        <f t="shared" ref="E4496:E4559" ca="1" si="258">MAX(0,CP*(D4496-K))</f>
        <v>0</v>
      </c>
      <c r="F4496" s="21">
        <f t="shared" ref="F4496:F4559" ca="1" si="259">(CP*(D4496-K)&gt;0)*1</f>
        <v>0</v>
      </c>
      <c r="H4496" s="21">
        <v>4481</v>
      </c>
      <c r="I4496" s="102">
        <v>0.66768449284665343</v>
      </c>
      <c r="J4496" s="103">
        <v>1.3235580873005414E-3</v>
      </c>
      <c r="K4496" s="103"/>
      <c r="L4496" s="103">
        <v>4.2000000000000003E-2</v>
      </c>
      <c r="O4496" s="100"/>
    </row>
    <row r="4497" spans="2:15" x14ac:dyDescent="0.2">
      <c r="B4497" s="1">
        <f t="shared" si="256"/>
        <v>4482</v>
      </c>
      <c r="C4497" s="101">
        <f ca="1"/>
        <v>0.56694025587743213</v>
      </c>
      <c r="D4497" s="101">
        <f t="shared" ca="1" si="257"/>
        <v>0.70272235770649027</v>
      </c>
      <c r="E4497" s="101">
        <f t="shared" ca="1" si="258"/>
        <v>0</v>
      </c>
      <c r="F4497" s="21">
        <f t="shared" ca="1" si="259"/>
        <v>0</v>
      </c>
      <c r="H4497" s="21">
        <v>4482</v>
      </c>
      <c r="I4497" s="102">
        <v>0.66767017495637004</v>
      </c>
      <c r="J4497" s="103">
        <v>1.2379404269511822E-3</v>
      </c>
      <c r="K4497" s="103"/>
      <c r="L4497" s="103">
        <v>3.9600000000000003E-2</v>
      </c>
      <c r="O4497" s="100"/>
    </row>
    <row r="4498" spans="2:15" x14ac:dyDescent="0.2">
      <c r="B4498" s="1">
        <f t="shared" si="256"/>
        <v>4483</v>
      </c>
      <c r="C4498" s="101">
        <f ca="1"/>
        <v>-1.1347027401783127</v>
      </c>
      <c r="D4498" s="101">
        <f t="shared" ca="1" si="257"/>
        <v>0.59413677478573723</v>
      </c>
      <c r="E4498" s="101">
        <f t="shared" ca="1" si="258"/>
        <v>0</v>
      </c>
      <c r="F4498" s="21">
        <f t="shared" ca="1" si="259"/>
        <v>0</v>
      </c>
      <c r="H4498" s="21">
        <v>4483</v>
      </c>
      <c r="I4498" s="102">
        <v>0.66781887673922269</v>
      </c>
      <c r="J4498" s="103">
        <v>1.450119578232026E-3</v>
      </c>
      <c r="K4498" s="103"/>
      <c r="L4498" s="103">
        <v>4.2999999999999997E-2</v>
      </c>
      <c r="O4498" s="100"/>
    </row>
    <row r="4499" spans="2:15" x14ac:dyDescent="0.2">
      <c r="B4499" s="1">
        <f t="shared" si="256"/>
        <v>4484</v>
      </c>
      <c r="C4499" s="101">
        <f ca="1"/>
        <v>-0.4477932851144707</v>
      </c>
      <c r="D4499" s="101">
        <f t="shared" ca="1" si="257"/>
        <v>0.63578929594628675</v>
      </c>
      <c r="E4499" s="101">
        <f t="shared" ca="1" si="258"/>
        <v>0</v>
      </c>
      <c r="F4499" s="21">
        <f t="shared" ca="1" si="259"/>
        <v>0</v>
      </c>
      <c r="H4499" s="21">
        <v>4484</v>
      </c>
      <c r="I4499" s="102">
        <v>0.66783813881948695</v>
      </c>
      <c r="J4499" s="103">
        <v>1.4590917021654239E-3</v>
      </c>
      <c r="K4499" s="103"/>
      <c r="L4499" s="103">
        <v>4.4400000000000002E-2</v>
      </c>
      <c r="O4499" s="100"/>
    </row>
    <row r="4500" spans="2:15" x14ac:dyDescent="0.2">
      <c r="B4500" s="1">
        <f t="shared" si="256"/>
        <v>4485</v>
      </c>
      <c r="C4500" s="101">
        <f ca="1"/>
        <v>0.63946051563806805</v>
      </c>
      <c r="D4500" s="101">
        <f t="shared" ca="1" si="257"/>
        <v>0.70776730124955345</v>
      </c>
      <c r="E4500" s="101">
        <f t="shared" ca="1" si="258"/>
        <v>0</v>
      </c>
      <c r="F4500" s="21">
        <f t="shared" ca="1" si="259"/>
        <v>0</v>
      </c>
      <c r="H4500" s="21">
        <v>4485</v>
      </c>
      <c r="I4500" s="102">
        <v>0.66776328376655425</v>
      </c>
      <c r="J4500" s="103">
        <v>1.3852083530611068E-3</v>
      </c>
      <c r="K4500" s="103"/>
      <c r="L4500" s="103">
        <v>4.48E-2</v>
      </c>
      <c r="O4500" s="100"/>
    </row>
    <row r="4501" spans="2:15" x14ac:dyDescent="0.2">
      <c r="B4501" s="1">
        <f t="shared" si="256"/>
        <v>4486</v>
      </c>
      <c r="C4501" s="101">
        <f ca="1"/>
        <v>1.9027854733033833</v>
      </c>
      <c r="D4501" s="101">
        <f t="shared" ca="1" si="257"/>
        <v>0.80169755062344084</v>
      </c>
      <c r="E4501" s="101">
        <f t="shared" ca="1" si="258"/>
        <v>1.3497550623440824E-2</v>
      </c>
      <c r="F4501" s="21">
        <f t="shared" ca="1" si="259"/>
        <v>1</v>
      </c>
      <c r="H4501" s="21">
        <v>4486</v>
      </c>
      <c r="I4501" s="102">
        <v>0.66779334510532296</v>
      </c>
      <c r="J4501" s="103">
        <v>1.3084245971829204E-3</v>
      </c>
      <c r="K4501" s="103"/>
      <c r="L4501" s="103">
        <v>4.2000000000000003E-2</v>
      </c>
      <c r="O4501" s="100"/>
    </row>
    <row r="4502" spans="2:15" x14ac:dyDescent="0.2">
      <c r="B4502" s="1">
        <f t="shared" si="256"/>
        <v>4487</v>
      </c>
      <c r="C4502" s="101">
        <f ca="1"/>
        <v>-0.8956808185677464</v>
      </c>
      <c r="D4502" s="101">
        <f t="shared" ca="1" si="257"/>
        <v>0.60831144305000417</v>
      </c>
      <c r="E4502" s="101">
        <f t="shared" ca="1" si="258"/>
        <v>0</v>
      </c>
      <c r="F4502" s="21">
        <f t="shared" ca="1" si="259"/>
        <v>0</v>
      </c>
      <c r="H4502" s="21">
        <v>4487</v>
      </c>
      <c r="I4502" s="102">
        <v>0.66774269510685902</v>
      </c>
      <c r="J4502" s="103">
        <v>1.3460323972119053E-3</v>
      </c>
      <c r="K4502" s="103"/>
      <c r="L4502" s="103">
        <v>4.3400000000000001E-2</v>
      </c>
      <c r="O4502" s="100"/>
    </row>
    <row r="4503" spans="2:15" x14ac:dyDescent="0.2">
      <c r="B4503" s="1">
        <f t="shared" si="256"/>
        <v>4488</v>
      </c>
      <c r="C4503" s="101">
        <f ca="1"/>
        <v>0.18975275868952038</v>
      </c>
      <c r="D4503" s="101">
        <f t="shared" ca="1" si="257"/>
        <v>0.67705709168676709</v>
      </c>
      <c r="E4503" s="101">
        <f t="shared" ca="1" si="258"/>
        <v>0</v>
      </c>
      <c r="F4503" s="21">
        <f t="shared" ca="1" si="259"/>
        <v>0</v>
      </c>
      <c r="H4503" s="21">
        <v>4488</v>
      </c>
      <c r="I4503" s="102">
        <v>0.66776455596429363</v>
      </c>
      <c r="J4503" s="103">
        <v>1.3607576853460071E-3</v>
      </c>
      <c r="K4503" s="103"/>
      <c r="L4503" s="103">
        <v>4.3799999999999999E-2</v>
      </c>
      <c r="O4503" s="100"/>
    </row>
    <row r="4504" spans="2:15" x14ac:dyDescent="0.2">
      <c r="B4504" s="1">
        <f t="shared" si="256"/>
        <v>4489</v>
      </c>
      <c r="C4504" s="101">
        <f ca="1"/>
        <v>-0.97389278979127092</v>
      </c>
      <c r="D4504" s="101">
        <f t="shared" ca="1" si="257"/>
        <v>0.60363641824690373</v>
      </c>
      <c r="E4504" s="101">
        <f t="shared" ca="1" si="258"/>
        <v>0</v>
      </c>
      <c r="F4504" s="21">
        <f t="shared" ca="1" si="259"/>
        <v>0</v>
      </c>
      <c r="H4504" s="21">
        <v>4489</v>
      </c>
      <c r="I4504" s="102">
        <v>0.66780540254381293</v>
      </c>
      <c r="J4504" s="103">
        <v>1.4093339263537659E-3</v>
      </c>
      <c r="K4504" s="103"/>
      <c r="L4504" s="103">
        <v>4.24E-2</v>
      </c>
      <c r="O4504" s="100"/>
    </row>
    <row r="4505" spans="2:15" x14ac:dyDescent="0.2">
      <c r="B4505" s="1">
        <f t="shared" si="256"/>
        <v>4490</v>
      </c>
      <c r="C4505" s="101">
        <f ca="1"/>
        <v>2.400758146137945</v>
      </c>
      <c r="D4505" s="101">
        <f t="shared" ca="1" si="257"/>
        <v>0.842060700466854</v>
      </c>
      <c r="E4505" s="101">
        <f t="shared" ca="1" si="258"/>
        <v>5.3860700466853983E-2</v>
      </c>
      <c r="F4505" s="21">
        <f t="shared" ca="1" si="259"/>
        <v>1</v>
      </c>
      <c r="H4505" s="21">
        <v>4490</v>
      </c>
      <c r="I4505" s="102">
        <v>0.66776398064168296</v>
      </c>
      <c r="J4505" s="103">
        <v>1.3501963908304274E-3</v>
      </c>
      <c r="K4505" s="103"/>
      <c r="L4505" s="103">
        <v>0.04</v>
      </c>
      <c r="O4505" s="100"/>
    </row>
    <row r="4506" spans="2:15" x14ac:dyDescent="0.2">
      <c r="B4506" s="1">
        <f t="shared" si="256"/>
        <v>4491</v>
      </c>
      <c r="C4506" s="101">
        <f ca="1"/>
        <v>2.1351276790695999</v>
      </c>
      <c r="D4506" s="101">
        <f t="shared" ca="1" si="257"/>
        <v>0.82028345800964531</v>
      </c>
      <c r="E4506" s="101">
        <f t="shared" ca="1" si="258"/>
        <v>3.2083458009645294E-2</v>
      </c>
      <c r="F4506" s="21">
        <f t="shared" ca="1" si="259"/>
        <v>1</v>
      </c>
      <c r="H4506" s="21">
        <v>4491</v>
      </c>
      <c r="I4506" s="102">
        <v>0.66774732410053561</v>
      </c>
      <c r="J4506" s="103">
        <v>1.3779236650185121E-3</v>
      </c>
      <c r="K4506" s="103"/>
      <c r="L4506" s="103">
        <v>3.9E-2</v>
      </c>
      <c r="O4506" s="100"/>
    </row>
    <row r="4507" spans="2:15" x14ac:dyDescent="0.2">
      <c r="B4507" s="1">
        <f t="shared" si="256"/>
        <v>4492</v>
      </c>
      <c r="C4507" s="101">
        <f ca="1"/>
        <v>-0.40332514511402739</v>
      </c>
      <c r="D4507" s="101">
        <f t="shared" ca="1" si="257"/>
        <v>0.6385842451474848</v>
      </c>
      <c r="E4507" s="101">
        <f t="shared" ca="1" si="258"/>
        <v>0</v>
      </c>
      <c r="F4507" s="21">
        <f t="shared" ca="1" si="259"/>
        <v>0</v>
      </c>
      <c r="H4507" s="21">
        <v>4492</v>
      </c>
      <c r="I4507" s="102">
        <v>0.66771529259470142</v>
      </c>
      <c r="J4507" s="103">
        <v>1.3819099456600411E-3</v>
      </c>
      <c r="K4507" s="103"/>
      <c r="L4507" s="103">
        <v>4.1399999999999999E-2</v>
      </c>
      <c r="O4507" s="100"/>
    </row>
    <row r="4508" spans="2:15" x14ac:dyDescent="0.2">
      <c r="B4508" s="1">
        <f t="shared" si="256"/>
        <v>4493</v>
      </c>
      <c r="C4508" s="101">
        <f ca="1"/>
        <v>0.2590859535894422</v>
      </c>
      <c r="D4508" s="101">
        <f t="shared" ca="1" si="257"/>
        <v>0.68170343554574919</v>
      </c>
      <c r="E4508" s="101">
        <f t="shared" ca="1" si="258"/>
        <v>0</v>
      </c>
      <c r="F4508" s="21">
        <f t="shared" ca="1" si="259"/>
        <v>0</v>
      </c>
      <c r="H4508" s="21">
        <v>4493</v>
      </c>
      <c r="I4508" s="102">
        <v>0.66788953927560202</v>
      </c>
      <c r="J4508" s="103">
        <v>1.5844620935371789E-3</v>
      </c>
      <c r="K4508" s="103"/>
      <c r="L4508" s="103">
        <v>4.3200000000000002E-2</v>
      </c>
      <c r="O4508" s="100"/>
    </row>
    <row r="4509" spans="2:15" x14ac:dyDescent="0.2">
      <c r="B4509" s="1">
        <f t="shared" si="256"/>
        <v>4494</v>
      </c>
      <c r="C4509" s="101">
        <f ca="1"/>
        <v>0.2281867912582547</v>
      </c>
      <c r="D4509" s="101">
        <f t="shared" ca="1" si="257"/>
        <v>0.67962881150163468</v>
      </c>
      <c r="E4509" s="101">
        <f t="shared" ca="1" si="258"/>
        <v>0</v>
      </c>
      <c r="F4509" s="21">
        <f t="shared" ca="1" si="259"/>
        <v>0</v>
      </c>
      <c r="H4509" s="21">
        <v>4494</v>
      </c>
      <c r="I4509" s="102">
        <v>0.66786566118904589</v>
      </c>
      <c r="J4509" s="103">
        <v>1.647167805162817E-3</v>
      </c>
      <c r="K4509" s="103"/>
      <c r="L4509" s="103">
        <v>4.4400000000000002E-2</v>
      </c>
      <c r="O4509" s="100"/>
    </row>
    <row r="4510" spans="2:15" x14ac:dyDescent="0.2">
      <c r="B4510" s="1">
        <f t="shared" si="256"/>
        <v>4495</v>
      </c>
      <c r="C4510" s="101">
        <f ca="1"/>
        <v>-0.22125405978206383</v>
      </c>
      <c r="D4510" s="101">
        <f t="shared" ca="1" si="257"/>
        <v>0.65015665548643697</v>
      </c>
      <c r="E4510" s="101">
        <f t="shared" ca="1" si="258"/>
        <v>0</v>
      </c>
      <c r="F4510" s="21">
        <f t="shared" ca="1" si="259"/>
        <v>0</v>
      </c>
      <c r="H4510" s="21">
        <v>4495</v>
      </c>
      <c r="I4510" s="102">
        <v>0.66766257230406534</v>
      </c>
      <c r="J4510" s="103">
        <v>1.3180677583185692E-3</v>
      </c>
      <c r="K4510" s="103"/>
      <c r="L4510" s="103">
        <v>4.0599999999999997E-2</v>
      </c>
      <c r="O4510" s="100"/>
    </row>
    <row r="4511" spans="2:15" x14ac:dyDescent="0.2">
      <c r="B4511" s="1">
        <f t="shared" si="256"/>
        <v>4496</v>
      </c>
      <c r="C4511" s="101">
        <f ca="1"/>
        <v>-0.77640260469781242</v>
      </c>
      <c r="D4511" s="101">
        <f t="shared" ca="1" si="257"/>
        <v>0.61551096104488268</v>
      </c>
      <c r="E4511" s="101">
        <f t="shared" ca="1" si="258"/>
        <v>0</v>
      </c>
      <c r="F4511" s="21">
        <f t="shared" ca="1" si="259"/>
        <v>0</v>
      </c>
      <c r="H4511" s="21">
        <v>4496</v>
      </c>
      <c r="I4511" s="102">
        <v>0.667700580218205</v>
      </c>
      <c r="J4511" s="103">
        <v>1.3536121766950251E-3</v>
      </c>
      <c r="K4511" s="103"/>
      <c r="L4511" s="103">
        <v>4.2200000000000001E-2</v>
      </c>
      <c r="O4511" s="100"/>
    </row>
    <row r="4512" spans="2:15" x14ac:dyDescent="0.2">
      <c r="B4512" s="1">
        <f t="shared" si="256"/>
        <v>4497</v>
      </c>
      <c r="C4512" s="101">
        <f ca="1"/>
        <v>0.34260970127831009</v>
      </c>
      <c r="D4512" s="101">
        <f t="shared" ca="1" si="257"/>
        <v>0.68734311781719348</v>
      </c>
      <c r="E4512" s="101">
        <f t="shared" ca="1" si="258"/>
        <v>0</v>
      </c>
      <c r="F4512" s="21">
        <f t="shared" ca="1" si="259"/>
        <v>0</v>
      </c>
      <c r="H4512" s="21">
        <v>4497</v>
      </c>
      <c r="I4512" s="102">
        <v>0.66801850775217098</v>
      </c>
      <c r="J4512" s="103">
        <v>1.766333288678053E-3</v>
      </c>
      <c r="K4512" s="103"/>
      <c r="L4512" s="103">
        <v>5.0200000000000002E-2</v>
      </c>
      <c r="O4512" s="100"/>
    </row>
    <row r="4513" spans="2:15" x14ac:dyDescent="0.2">
      <c r="B4513" s="1">
        <f t="shared" si="256"/>
        <v>4498</v>
      </c>
      <c r="C4513" s="101">
        <f ca="1"/>
        <v>-0.3803625341088277</v>
      </c>
      <c r="D4513" s="101">
        <f t="shared" ca="1" si="257"/>
        <v>0.64003231767387814</v>
      </c>
      <c r="E4513" s="101">
        <f t="shared" ca="1" si="258"/>
        <v>0</v>
      </c>
      <c r="F4513" s="21">
        <f t="shared" ca="1" si="259"/>
        <v>0</v>
      </c>
      <c r="H4513" s="21">
        <v>4498</v>
      </c>
      <c r="I4513" s="102">
        <v>0.66785594177510776</v>
      </c>
      <c r="J4513" s="103">
        <v>1.4832337727204192E-3</v>
      </c>
      <c r="K4513" s="103"/>
      <c r="L4513" s="103">
        <v>4.2599999999999999E-2</v>
      </c>
      <c r="O4513" s="100"/>
    </row>
    <row r="4514" spans="2:15" x14ac:dyDescent="0.2">
      <c r="B4514" s="1">
        <f t="shared" si="256"/>
        <v>4499</v>
      </c>
      <c r="C4514" s="101">
        <f ca="1"/>
        <v>0.7821184084103675</v>
      </c>
      <c r="D4514" s="101">
        <f t="shared" ca="1" si="257"/>
        <v>0.71779738296253803</v>
      </c>
      <c r="E4514" s="101">
        <f t="shared" ca="1" si="258"/>
        <v>0</v>
      </c>
      <c r="F4514" s="21">
        <f t="shared" ca="1" si="259"/>
        <v>0</v>
      </c>
      <c r="H4514" s="21">
        <v>4499</v>
      </c>
      <c r="I4514" s="102">
        <v>0.66770459527142179</v>
      </c>
      <c r="J4514" s="103">
        <v>1.2847418136344483E-3</v>
      </c>
      <c r="K4514" s="103"/>
      <c r="L4514" s="103">
        <v>4.1399999999999999E-2</v>
      </c>
      <c r="O4514" s="100"/>
    </row>
    <row r="4515" spans="2:15" x14ac:dyDescent="0.2">
      <c r="B4515" s="1">
        <f t="shared" si="256"/>
        <v>4500</v>
      </c>
      <c r="C4515" s="101">
        <f ca="1"/>
        <v>1.0835974266141382</v>
      </c>
      <c r="D4515" s="101">
        <f t="shared" ca="1" si="257"/>
        <v>0.73946401731406486</v>
      </c>
      <c r="E4515" s="101">
        <f t="shared" ca="1" si="258"/>
        <v>0</v>
      </c>
      <c r="F4515" s="21">
        <f t="shared" ca="1" si="259"/>
        <v>0</v>
      </c>
      <c r="H4515" s="21">
        <v>4500</v>
      </c>
      <c r="I4515" s="102">
        <v>0.66775315605552044</v>
      </c>
      <c r="J4515" s="103">
        <v>1.4276771359922173E-3</v>
      </c>
      <c r="K4515" s="103"/>
      <c r="L4515" s="103">
        <v>4.1799999999999997E-2</v>
      </c>
      <c r="O4515" s="100"/>
    </row>
    <row r="4516" spans="2:15" x14ac:dyDescent="0.2">
      <c r="B4516" s="1">
        <f t="shared" si="256"/>
        <v>4501</v>
      </c>
      <c r="C4516" s="101">
        <f ca="1"/>
        <v>0.57047896172878831</v>
      </c>
      <c r="D4516" s="101">
        <f t="shared" ca="1" si="257"/>
        <v>0.70296769464200914</v>
      </c>
      <c r="E4516" s="101">
        <f t="shared" ca="1" si="258"/>
        <v>0</v>
      </c>
      <c r="F4516" s="21">
        <f t="shared" ca="1" si="259"/>
        <v>0</v>
      </c>
      <c r="H4516" s="21">
        <v>4501</v>
      </c>
      <c r="I4516" s="102">
        <v>0.66781390774763894</v>
      </c>
      <c r="J4516" s="103">
        <v>1.507082345707554E-3</v>
      </c>
      <c r="K4516" s="103"/>
      <c r="L4516" s="103">
        <v>4.6600000000000003E-2</v>
      </c>
      <c r="O4516" s="100"/>
    </row>
    <row r="4517" spans="2:15" x14ac:dyDescent="0.2">
      <c r="B4517" s="1">
        <f t="shared" si="256"/>
        <v>4502</v>
      </c>
      <c r="C4517" s="101">
        <f ca="1"/>
        <v>-9.6297198336982068E-2</v>
      </c>
      <c r="D4517" s="101">
        <f t="shared" ca="1" si="257"/>
        <v>0.65822002028665394</v>
      </c>
      <c r="E4517" s="101">
        <f t="shared" ca="1" si="258"/>
        <v>0</v>
      </c>
      <c r="F4517" s="21">
        <f t="shared" ca="1" si="259"/>
        <v>0</v>
      </c>
      <c r="H4517" s="21">
        <v>4502</v>
      </c>
      <c r="I4517" s="102">
        <v>0.66775447546473499</v>
      </c>
      <c r="J4517" s="103">
        <v>1.3296393088138533E-3</v>
      </c>
      <c r="K4517" s="103"/>
      <c r="L4517" s="103">
        <v>4.1000000000000002E-2</v>
      </c>
      <c r="O4517" s="100"/>
    </row>
    <row r="4518" spans="2:15" x14ac:dyDescent="0.2">
      <c r="B4518" s="1">
        <f t="shared" si="256"/>
        <v>4503</v>
      </c>
      <c r="C4518" s="101">
        <f ca="1"/>
        <v>-1.1079173504126971</v>
      </c>
      <c r="D4518" s="101">
        <f t="shared" ca="1" si="257"/>
        <v>0.59570864674463775</v>
      </c>
      <c r="E4518" s="101">
        <f t="shared" ca="1" si="258"/>
        <v>0</v>
      </c>
      <c r="F4518" s="21">
        <f t="shared" ca="1" si="259"/>
        <v>0</v>
      </c>
      <c r="H4518" s="21">
        <v>4503</v>
      </c>
      <c r="I4518" s="102">
        <v>0.66780588686798292</v>
      </c>
      <c r="J4518" s="103">
        <v>1.4042412627436847E-3</v>
      </c>
      <c r="K4518" s="103"/>
      <c r="L4518" s="103">
        <v>4.4200000000000003E-2</v>
      </c>
      <c r="O4518" s="100"/>
    </row>
    <row r="4519" spans="2:15" x14ac:dyDescent="0.2">
      <c r="B4519" s="1">
        <f t="shared" si="256"/>
        <v>4504</v>
      </c>
      <c r="C4519" s="101">
        <f ca="1"/>
        <v>-0.83038162661275039</v>
      </c>
      <c r="D4519" s="101">
        <f t="shared" ca="1" si="257"/>
        <v>0.61224234429464552</v>
      </c>
      <c r="E4519" s="101">
        <f t="shared" ca="1" si="258"/>
        <v>0</v>
      </c>
      <c r="F4519" s="21">
        <f t="shared" ca="1" si="259"/>
        <v>0</v>
      </c>
      <c r="H4519" s="21">
        <v>4504</v>
      </c>
      <c r="I4519" s="102">
        <v>0.66776738885563669</v>
      </c>
      <c r="J4519" s="103">
        <v>1.271796195949221E-3</v>
      </c>
      <c r="K4519" s="103"/>
      <c r="L4519" s="103">
        <v>4.48E-2</v>
      </c>
      <c r="O4519" s="100"/>
    </row>
    <row r="4520" spans="2:15" x14ac:dyDescent="0.2">
      <c r="B4520" s="1">
        <f t="shared" si="256"/>
        <v>4505</v>
      </c>
      <c r="C4520" s="101">
        <f ca="1"/>
        <v>-7.2965768262262309E-2</v>
      </c>
      <c r="D4520" s="101">
        <f t="shared" ca="1" si="257"/>
        <v>0.65973662078843154</v>
      </c>
      <c r="E4520" s="101">
        <f t="shared" ca="1" si="258"/>
        <v>0</v>
      </c>
      <c r="F4520" s="21">
        <f t="shared" ca="1" si="259"/>
        <v>0</v>
      </c>
      <c r="H4520" s="21">
        <v>4505</v>
      </c>
      <c r="I4520" s="102">
        <v>0.66770270599950388</v>
      </c>
      <c r="J4520" s="103">
        <v>1.3079355762237066E-3</v>
      </c>
      <c r="K4520" s="103"/>
      <c r="L4520" s="103">
        <v>3.9600000000000003E-2</v>
      </c>
      <c r="O4520" s="100"/>
    </row>
    <row r="4521" spans="2:15" x14ac:dyDescent="0.2">
      <c r="B4521" s="1">
        <f t="shared" si="256"/>
        <v>4506</v>
      </c>
      <c r="C4521" s="101">
        <f ca="1"/>
        <v>0.44948184276891756</v>
      </c>
      <c r="D4521" s="101">
        <f t="shared" ca="1" si="257"/>
        <v>0.69462742380024689</v>
      </c>
      <c r="E4521" s="101">
        <f t="shared" ca="1" si="258"/>
        <v>0</v>
      </c>
      <c r="F4521" s="21">
        <f t="shared" ca="1" si="259"/>
        <v>0</v>
      </c>
      <c r="H4521" s="21">
        <v>4506</v>
      </c>
      <c r="I4521" s="102">
        <v>0.66788740733847529</v>
      </c>
      <c r="J4521" s="103">
        <v>1.5013042695621209E-3</v>
      </c>
      <c r="K4521" s="103"/>
      <c r="L4521" s="103">
        <v>4.7800000000000002E-2</v>
      </c>
      <c r="O4521" s="100"/>
    </row>
    <row r="4522" spans="2:15" x14ac:dyDescent="0.2">
      <c r="B4522" s="1">
        <f t="shared" si="256"/>
        <v>4507</v>
      </c>
      <c r="C4522" s="101">
        <f ca="1"/>
        <v>-0.76836456895761596</v>
      </c>
      <c r="D4522" s="101">
        <f t="shared" ca="1" si="257"/>
        <v>0.61599918244118934</v>
      </c>
      <c r="E4522" s="101">
        <f t="shared" ca="1" si="258"/>
        <v>0</v>
      </c>
      <c r="F4522" s="21">
        <f t="shared" ca="1" si="259"/>
        <v>0</v>
      </c>
      <c r="H4522" s="21">
        <v>4507</v>
      </c>
      <c r="I4522" s="102">
        <v>0.6677008989846156</v>
      </c>
      <c r="J4522" s="103">
        <v>1.2812602556732645E-3</v>
      </c>
      <c r="K4522" s="103"/>
      <c r="L4522" s="103">
        <v>4.1799999999999997E-2</v>
      </c>
      <c r="O4522" s="100"/>
    </row>
    <row r="4523" spans="2:15" x14ac:dyDescent="0.2">
      <c r="B4523" s="1">
        <f t="shared" si="256"/>
        <v>4508</v>
      </c>
      <c r="C4523" s="101">
        <f ca="1"/>
        <v>1.6085421480063982</v>
      </c>
      <c r="D4523" s="101">
        <f t="shared" ca="1" si="257"/>
        <v>0.77876308000191741</v>
      </c>
      <c r="E4523" s="101">
        <f t="shared" ca="1" si="258"/>
        <v>0</v>
      </c>
      <c r="F4523" s="21">
        <f t="shared" ca="1" si="259"/>
        <v>0</v>
      </c>
      <c r="H4523" s="21">
        <v>4508</v>
      </c>
      <c r="I4523" s="102">
        <v>0.66786876495935343</v>
      </c>
      <c r="J4523" s="103">
        <v>1.4494665633500721E-3</v>
      </c>
      <c r="K4523" s="103"/>
      <c r="L4523" s="103">
        <v>4.6399999999999997E-2</v>
      </c>
      <c r="O4523" s="100"/>
    </row>
    <row r="4524" spans="2:15" x14ac:dyDescent="0.2">
      <c r="B4524" s="1">
        <f t="shared" si="256"/>
        <v>4509</v>
      </c>
      <c r="C4524" s="101">
        <f ca="1"/>
        <v>-4.528370129820266E-2</v>
      </c>
      <c r="D4524" s="101">
        <f t="shared" ca="1" si="257"/>
        <v>0.66154055661346611</v>
      </c>
      <c r="E4524" s="101">
        <f t="shared" ca="1" si="258"/>
        <v>0</v>
      </c>
      <c r="F4524" s="21">
        <f t="shared" ca="1" si="259"/>
        <v>0</v>
      </c>
      <c r="H4524" s="21">
        <v>4509</v>
      </c>
      <c r="I4524" s="102">
        <v>0.66773903192869843</v>
      </c>
      <c r="J4524" s="103">
        <v>1.2701408005093956E-3</v>
      </c>
      <c r="K4524" s="103"/>
      <c r="L4524" s="103">
        <v>4.2999999999999997E-2</v>
      </c>
      <c r="O4524" s="100"/>
    </row>
    <row r="4525" spans="2:15" x14ac:dyDescent="0.2">
      <c r="B4525" s="1">
        <f t="shared" si="256"/>
        <v>4510</v>
      </c>
      <c r="C4525" s="101">
        <f ca="1"/>
        <v>-0.30600851038760962</v>
      </c>
      <c r="D4525" s="101">
        <f t="shared" ca="1" si="257"/>
        <v>0.64474381440050232</v>
      </c>
      <c r="E4525" s="101">
        <f t="shared" ca="1" si="258"/>
        <v>0</v>
      </c>
      <c r="F4525" s="21">
        <f t="shared" ca="1" si="259"/>
        <v>0</v>
      </c>
      <c r="H4525" s="21">
        <v>4510</v>
      </c>
      <c r="I4525" s="102">
        <v>0.66769784928920584</v>
      </c>
      <c r="J4525" s="103">
        <v>1.3600967713260153E-3</v>
      </c>
      <c r="K4525" s="103"/>
      <c r="L4525" s="103">
        <v>0.04</v>
      </c>
      <c r="O4525" s="100"/>
    </row>
    <row r="4526" spans="2:15" x14ac:dyDescent="0.2">
      <c r="B4526" s="1">
        <f t="shared" si="256"/>
        <v>4511</v>
      </c>
      <c r="C4526" s="101">
        <f ca="1"/>
        <v>1.2407058500626074</v>
      </c>
      <c r="D4526" s="101">
        <f t="shared" ca="1" si="257"/>
        <v>0.75101303315671375</v>
      </c>
      <c r="E4526" s="101">
        <f t="shared" ca="1" si="258"/>
        <v>0</v>
      </c>
      <c r="F4526" s="21">
        <f t="shared" ca="1" si="259"/>
        <v>0</v>
      </c>
      <c r="H4526" s="21">
        <v>4511</v>
      </c>
      <c r="I4526" s="102">
        <v>0.66764270524509084</v>
      </c>
      <c r="J4526" s="103">
        <v>1.2324588165189259E-3</v>
      </c>
      <c r="K4526" s="103"/>
      <c r="L4526" s="103">
        <v>4.0399999999999998E-2</v>
      </c>
      <c r="O4526" s="100"/>
    </row>
    <row r="4527" spans="2:15" x14ac:dyDescent="0.2">
      <c r="B4527" s="1">
        <f t="shared" si="256"/>
        <v>4512</v>
      </c>
      <c r="C4527" s="101">
        <f ca="1"/>
        <v>0.47539154429597136</v>
      </c>
      <c r="D4527" s="101">
        <f t="shared" ca="1" si="257"/>
        <v>0.69640500043035003</v>
      </c>
      <c r="E4527" s="101">
        <f t="shared" ca="1" si="258"/>
        <v>0</v>
      </c>
      <c r="F4527" s="21">
        <f t="shared" ca="1" si="259"/>
        <v>0</v>
      </c>
      <c r="H4527" s="21">
        <v>4512</v>
      </c>
      <c r="I4527" s="102">
        <v>0.66774033809422639</v>
      </c>
      <c r="J4527" s="103">
        <v>1.4552470722290465E-3</v>
      </c>
      <c r="K4527" s="103"/>
      <c r="L4527" s="103">
        <v>4.3200000000000002E-2</v>
      </c>
      <c r="O4527" s="100"/>
    </row>
    <row r="4528" spans="2:15" x14ac:dyDescent="0.2">
      <c r="B4528" s="1">
        <f t="shared" ref="B4528:B4591" si="260">B4527+1</f>
        <v>4513</v>
      </c>
      <c r="C4528" s="101">
        <f ca="1"/>
        <v>-8.1829767872997075E-2</v>
      </c>
      <c r="D4528" s="101">
        <f t="shared" ca="1" si="257"/>
        <v>0.65916002778219973</v>
      </c>
      <c r="E4528" s="101">
        <f t="shared" ca="1" si="258"/>
        <v>0</v>
      </c>
      <c r="F4528" s="21">
        <f t="shared" ca="1" si="259"/>
        <v>0</v>
      </c>
      <c r="H4528" s="21">
        <v>4513</v>
      </c>
      <c r="I4528" s="102">
        <v>0.66761946031214847</v>
      </c>
      <c r="J4528" s="103">
        <v>1.1739542240271229E-3</v>
      </c>
      <c r="K4528" s="103"/>
      <c r="L4528" s="103">
        <v>4.1200000000000001E-2</v>
      </c>
      <c r="O4528" s="100"/>
    </row>
    <row r="4529" spans="2:15" x14ac:dyDescent="0.2">
      <c r="B4529" s="1">
        <f t="shared" si="260"/>
        <v>4514</v>
      </c>
      <c r="C4529" s="101">
        <f ca="1"/>
        <v>1.4369513177270736</v>
      </c>
      <c r="D4529" s="101">
        <f t="shared" ca="1" si="257"/>
        <v>0.76569270368220999</v>
      </c>
      <c r="E4529" s="101">
        <f t="shared" ca="1" si="258"/>
        <v>0</v>
      </c>
      <c r="F4529" s="21">
        <f t="shared" ca="1" si="259"/>
        <v>0</v>
      </c>
      <c r="H4529" s="21">
        <v>4514</v>
      </c>
      <c r="I4529" s="102">
        <v>0.66774375219465221</v>
      </c>
      <c r="J4529" s="103">
        <v>1.4412459527211104E-3</v>
      </c>
      <c r="K4529" s="103"/>
      <c r="L4529" s="103">
        <v>4.2599999999999999E-2</v>
      </c>
      <c r="O4529" s="100"/>
    </row>
    <row r="4530" spans="2:15" x14ac:dyDescent="0.2">
      <c r="B4530" s="1">
        <f t="shared" si="260"/>
        <v>4515</v>
      </c>
      <c r="C4530" s="101">
        <f ca="1"/>
        <v>-0.73234606840259275</v>
      </c>
      <c r="D4530" s="101">
        <f t="shared" ca="1" si="257"/>
        <v>0.618191666272361</v>
      </c>
      <c r="E4530" s="101">
        <f t="shared" ca="1" si="258"/>
        <v>0</v>
      </c>
      <c r="F4530" s="21">
        <f t="shared" ca="1" si="259"/>
        <v>0</v>
      </c>
      <c r="H4530" s="21">
        <v>4515</v>
      </c>
      <c r="I4530" s="102">
        <v>0.66771939657535595</v>
      </c>
      <c r="J4530" s="103">
        <v>1.3573492921241596E-3</v>
      </c>
      <c r="K4530" s="103"/>
      <c r="L4530" s="103">
        <v>4.0599999999999997E-2</v>
      </c>
      <c r="O4530" s="100"/>
    </row>
    <row r="4531" spans="2:15" x14ac:dyDescent="0.2">
      <c r="B4531" s="1">
        <f t="shared" si="260"/>
        <v>4516</v>
      </c>
      <c r="C4531" s="101">
        <f ca="1"/>
        <v>0.49011885094574681</v>
      </c>
      <c r="D4531" s="101">
        <f t="shared" ca="1" si="257"/>
        <v>0.69741741783781042</v>
      </c>
      <c r="E4531" s="101">
        <f t="shared" ca="1" si="258"/>
        <v>0</v>
      </c>
      <c r="F4531" s="21">
        <f t="shared" ca="1" si="259"/>
        <v>0</v>
      </c>
      <c r="H4531" s="21">
        <v>4516</v>
      </c>
      <c r="I4531" s="102">
        <v>0.66758312057212588</v>
      </c>
      <c r="J4531" s="103">
        <v>1.1790476281492563E-3</v>
      </c>
      <c r="K4531" s="103"/>
      <c r="L4531" s="103">
        <v>4.1399999999999999E-2</v>
      </c>
      <c r="O4531" s="100"/>
    </row>
    <row r="4532" spans="2:15" x14ac:dyDescent="0.2">
      <c r="B4532" s="1">
        <f t="shared" si="260"/>
        <v>4517</v>
      </c>
      <c r="C4532" s="101">
        <f ca="1"/>
        <v>-1.1651169110157504</v>
      </c>
      <c r="D4532" s="101">
        <f t="shared" ca="1" si="257"/>
        <v>0.59235697964462553</v>
      </c>
      <c r="E4532" s="101">
        <f t="shared" ca="1" si="258"/>
        <v>0</v>
      </c>
      <c r="F4532" s="21">
        <f t="shared" ca="1" si="259"/>
        <v>0</v>
      </c>
      <c r="H4532" s="21">
        <v>4517</v>
      </c>
      <c r="I4532" s="102">
        <v>0.66773840372535076</v>
      </c>
      <c r="J4532" s="103">
        <v>1.3952117217326909E-3</v>
      </c>
      <c r="K4532" s="103"/>
      <c r="L4532" s="103">
        <v>4.4600000000000001E-2</v>
      </c>
      <c r="O4532" s="100"/>
    </row>
    <row r="4533" spans="2:15" x14ac:dyDescent="0.2">
      <c r="B4533" s="1">
        <f t="shared" si="260"/>
        <v>4518</v>
      </c>
      <c r="C4533" s="101">
        <f ca="1"/>
        <v>1.2956093354346039</v>
      </c>
      <c r="D4533" s="101">
        <f t="shared" ca="1" si="257"/>
        <v>0.7550913675902382</v>
      </c>
      <c r="E4533" s="101">
        <f t="shared" ca="1" si="258"/>
        <v>0</v>
      </c>
      <c r="F4533" s="21">
        <f t="shared" ca="1" si="259"/>
        <v>0</v>
      </c>
      <c r="H4533" s="21">
        <v>4518</v>
      </c>
      <c r="I4533" s="102">
        <v>0.6678687842072053</v>
      </c>
      <c r="J4533" s="103">
        <v>1.4550191681486409E-3</v>
      </c>
      <c r="K4533" s="103"/>
      <c r="L4533" s="103">
        <v>4.1599999999999998E-2</v>
      </c>
      <c r="O4533" s="100"/>
    </row>
    <row r="4534" spans="2:15" x14ac:dyDescent="0.2">
      <c r="B4534" s="1">
        <f t="shared" si="260"/>
        <v>4519</v>
      </c>
      <c r="C4534" s="101">
        <f ca="1"/>
        <v>-0.61632397044030118</v>
      </c>
      <c r="D4534" s="101">
        <f t="shared" ca="1" si="257"/>
        <v>0.62530724599434839</v>
      </c>
      <c r="E4534" s="101">
        <f t="shared" ca="1" si="258"/>
        <v>0</v>
      </c>
      <c r="F4534" s="21">
        <f t="shared" ca="1" si="259"/>
        <v>0</v>
      </c>
      <c r="H4534" s="21">
        <v>4519</v>
      </c>
      <c r="I4534" s="102">
        <v>0.66760636600572876</v>
      </c>
      <c r="J4534" s="103">
        <v>1.2878738665714781E-3</v>
      </c>
      <c r="K4534" s="103"/>
      <c r="L4534" s="103">
        <v>4.0399999999999998E-2</v>
      </c>
      <c r="O4534" s="100"/>
    </row>
    <row r="4535" spans="2:15" x14ac:dyDescent="0.2">
      <c r="B4535" s="1">
        <f t="shared" si="260"/>
        <v>4520</v>
      </c>
      <c r="C4535" s="101">
        <f ca="1"/>
        <v>0.99152296771735138</v>
      </c>
      <c r="D4535" s="101">
        <f t="shared" ca="1" si="257"/>
        <v>0.73277835544772163</v>
      </c>
      <c r="E4535" s="101">
        <f t="shared" ca="1" si="258"/>
        <v>0</v>
      </c>
      <c r="F4535" s="21">
        <f t="shared" ca="1" si="259"/>
        <v>0</v>
      </c>
      <c r="H4535" s="21">
        <v>4520</v>
      </c>
      <c r="I4535" s="102">
        <v>0.66767642934720262</v>
      </c>
      <c r="J4535" s="103">
        <v>1.1460279803556551E-3</v>
      </c>
      <c r="K4535" s="103"/>
      <c r="L4535" s="103">
        <v>3.9E-2</v>
      </c>
      <c r="O4535" s="100"/>
    </row>
    <row r="4536" spans="2:15" x14ac:dyDescent="0.2">
      <c r="B4536" s="1">
        <f t="shared" si="260"/>
        <v>4521</v>
      </c>
      <c r="C4536" s="101">
        <f ca="1"/>
        <v>-1.1648244373566949</v>
      </c>
      <c r="D4536" s="101">
        <f t="shared" ca="1" si="257"/>
        <v>0.59237406938377546</v>
      </c>
      <c r="E4536" s="101">
        <f t="shared" ca="1" si="258"/>
        <v>0</v>
      </c>
      <c r="F4536" s="21">
        <f t="shared" ca="1" si="259"/>
        <v>0</v>
      </c>
      <c r="H4536" s="21">
        <v>4521</v>
      </c>
      <c r="I4536" s="102">
        <v>0.66787565972474305</v>
      </c>
      <c r="J4536" s="103">
        <v>1.5625606514096167E-3</v>
      </c>
      <c r="K4536" s="103"/>
      <c r="L4536" s="103">
        <v>4.48E-2</v>
      </c>
      <c r="O4536" s="100"/>
    </row>
    <row r="4537" spans="2:15" x14ac:dyDescent="0.2">
      <c r="B4537" s="1">
        <f t="shared" si="260"/>
        <v>4522</v>
      </c>
      <c r="C4537" s="101">
        <f ca="1"/>
        <v>-1.0120164825109179</v>
      </c>
      <c r="D4537" s="101">
        <f t="shared" ca="1" si="257"/>
        <v>0.60137066321713561</v>
      </c>
      <c r="E4537" s="101">
        <f t="shared" ca="1" si="258"/>
        <v>0</v>
      </c>
      <c r="F4537" s="21">
        <f t="shared" ca="1" si="259"/>
        <v>0</v>
      </c>
      <c r="H4537" s="21">
        <v>4522</v>
      </c>
      <c r="I4537" s="102">
        <v>0.66781940417482188</v>
      </c>
      <c r="J4537" s="103">
        <v>1.5081670438737698E-3</v>
      </c>
      <c r="K4537" s="103"/>
      <c r="L4537" s="103">
        <v>4.2999999999999997E-2</v>
      </c>
      <c r="O4537" s="100"/>
    </row>
    <row r="4538" spans="2:15" x14ac:dyDescent="0.2">
      <c r="B4538" s="1">
        <f t="shared" si="260"/>
        <v>4523</v>
      </c>
      <c r="C4538" s="101">
        <f ca="1"/>
        <v>-2.0303827990725392</v>
      </c>
      <c r="D4538" s="101">
        <f t="shared" ca="1" si="257"/>
        <v>0.54389623542994781</v>
      </c>
      <c r="E4538" s="101">
        <f t="shared" ca="1" si="258"/>
        <v>0</v>
      </c>
      <c r="F4538" s="21">
        <f t="shared" ca="1" si="259"/>
        <v>0</v>
      </c>
      <c r="H4538" s="21">
        <v>4523</v>
      </c>
      <c r="I4538" s="102">
        <v>0.66763689721003916</v>
      </c>
      <c r="J4538" s="103">
        <v>1.204909307879868E-3</v>
      </c>
      <c r="K4538" s="103"/>
      <c r="L4538" s="103">
        <v>3.9800000000000002E-2</v>
      </c>
      <c r="O4538" s="100"/>
    </row>
    <row r="4539" spans="2:15" x14ac:dyDescent="0.2">
      <c r="B4539" s="1">
        <f t="shared" si="260"/>
        <v>4524</v>
      </c>
      <c r="C4539" s="101">
        <f ca="1"/>
        <v>0.22308020842941115</v>
      </c>
      <c r="D4539" s="101">
        <f t="shared" ca="1" si="257"/>
        <v>0.67928655501646162</v>
      </c>
      <c r="E4539" s="101">
        <f t="shared" ca="1" si="258"/>
        <v>0</v>
      </c>
      <c r="F4539" s="21">
        <f t="shared" ca="1" si="259"/>
        <v>0</v>
      </c>
      <c r="H4539" s="21">
        <v>4524</v>
      </c>
      <c r="I4539" s="102">
        <v>0.66764496267709406</v>
      </c>
      <c r="J4539" s="103">
        <v>1.2573649593649093E-3</v>
      </c>
      <c r="K4539" s="103"/>
      <c r="L4539" s="103">
        <v>3.6999999999999998E-2</v>
      </c>
      <c r="O4539" s="100"/>
    </row>
    <row r="4540" spans="2:15" x14ac:dyDescent="0.2">
      <c r="B4540" s="1">
        <f t="shared" si="260"/>
        <v>4525</v>
      </c>
      <c r="C4540" s="101">
        <f ca="1"/>
        <v>-0.77921756479229443</v>
      </c>
      <c r="D4540" s="101">
        <f t="shared" ca="1" si="257"/>
        <v>0.61534007498344501</v>
      </c>
      <c r="E4540" s="101">
        <f t="shared" ca="1" si="258"/>
        <v>0</v>
      </c>
      <c r="F4540" s="21">
        <f t="shared" ca="1" si="259"/>
        <v>0</v>
      </c>
      <c r="H4540" s="21">
        <v>4525</v>
      </c>
      <c r="I4540" s="102">
        <v>0.66775799587773599</v>
      </c>
      <c r="J4540" s="103">
        <v>1.2815016918599302E-3</v>
      </c>
      <c r="K4540" s="103"/>
      <c r="L4540" s="103">
        <v>4.58E-2</v>
      </c>
      <c r="O4540" s="100"/>
    </row>
    <row r="4541" spans="2:15" x14ac:dyDescent="0.2">
      <c r="B4541" s="1">
        <f t="shared" si="260"/>
        <v>4526</v>
      </c>
      <c r="C4541" s="101">
        <f ca="1"/>
        <v>1.0155579919490392</v>
      </c>
      <c r="D4541" s="101">
        <f t="shared" ca="1" si="257"/>
        <v>0.7345177216311316</v>
      </c>
      <c r="E4541" s="101">
        <f t="shared" ca="1" si="258"/>
        <v>0</v>
      </c>
      <c r="F4541" s="21">
        <f t="shared" ca="1" si="259"/>
        <v>0</v>
      </c>
      <c r="H4541" s="21">
        <v>4526</v>
      </c>
      <c r="I4541" s="102">
        <v>0.66771160933944529</v>
      </c>
      <c r="J4541" s="103">
        <v>1.2738957711567491E-3</v>
      </c>
      <c r="K4541" s="103"/>
      <c r="L4541" s="103">
        <v>4.0399999999999998E-2</v>
      </c>
      <c r="O4541" s="100"/>
    </row>
    <row r="4542" spans="2:15" x14ac:dyDescent="0.2">
      <c r="B4542" s="1">
        <f t="shared" si="260"/>
        <v>4527</v>
      </c>
      <c r="C4542" s="101">
        <f ca="1"/>
        <v>-0.59653290355348265</v>
      </c>
      <c r="D4542" s="101">
        <f t="shared" ca="1" si="257"/>
        <v>0.62652917382386031</v>
      </c>
      <c r="E4542" s="101">
        <f t="shared" ca="1" si="258"/>
        <v>0</v>
      </c>
      <c r="F4542" s="21">
        <f t="shared" ca="1" si="259"/>
        <v>0</v>
      </c>
      <c r="H4542" s="21">
        <v>4527</v>
      </c>
      <c r="I4542" s="102">
        <v>0.66786949642997051</v>
      </c>
      <c r="J4542" s="103">
        <v>1.5166540249372444E-3</v>
      </c>
      <c r="K4542" s="103"/>
      <c r="L4542" s="103">
        <v>4.5199999999999997E-2</v>
      </c>
      <c r="O4542" s="100"/>
    </row>
    <row r="4543" spans="2:15" x14ac:dyDescent="0.2">
      <c r="B4543" s="1">
        <f t="shared" si="260"/>
        <v>4528</v>
      </c>
      <c r="C4543" s="101">
        <f ca="1"/>
        <v>-8.9268772493908785E-2</v>
      </c>
      <c r="D4543" s="101">
        <f t="shared" ca="1" si="257"/>
        <v>0.65867651800437121</v>
      </c>
      <c r="E4543" s="101">
        <f t="shared" ca="1" si="258"/>
        <v>0</v>
      </c>
      <c r="F4543" s="21">
        <f t="shared" ca="1" si="259"/>
        <v>0</v>
      </c>
      <c r="H4543" s="21">
        <v>4528</v>
      </c>
      <c r="I4543" s="102">
        <v>0.66775221915627747</v>
      </c>
      <c r="J4543" s="103">
        <v>1.443979038144699E-3</v>
      </c>
      <c r="K4543" s="103"/>
      <c r="L4543" s="103">
        <v>4.24E-2</v>
      </c>
      <c r="O4543" s="100"/>
    </row>
    <row r="4544" spans="2:15" x14ac:dyDescent="0.2">
      <c r="B4544" s="1">
        <f t="shared" si="260"/>
        <v>4529</v>
      </c>
      <c r="C4544" s="101">
        <f ca="1"/>
        <v>-0.93789585067187231</v>
      </c>
      <c r="D4544" s="101">
        <f t="shared" ca="1" si="257"/>
        <v>0.6057836117241836</v>
      </c>
      <c r="E4544" s="101">
        <f t="shared" ca="1" si="258"/>
        <v>0</v>
      </c>
      <c r="F4544" s="21">
        <f t="shared" ca="1" si="259"/>
        <v>0</v>
      </c>
      <c r="H4544" s="21">
        <v>4529</v>
      </c>
      <c r="I4544" s="102">
        <v>0.6676496486255562</v>
      </c>
      <c r="J4544" s="103">
        <v>1.3241793464691867E-3</v>
      </c>
      <c r="K4544" s="103"/>
      <c r="L4544" s="103">
        <v>4.1799999999999997E-2</v>
      </c>
      <c r="O4544" s="100"/>
    </row>
    <row r="4545" spans="2:15" x14ac:dyDescent="0.2">
      <c r="B4545" s="1">
        <f t="shared" si="260"/>
        <v>4530</v>
      </c>
      <c r="C4545" s="101">
        <f ca="1"/>
        <v>-1.8478992191209789</v>
      </c>
      <c r="D4545" s="101">
        <f t="shared" ca="1" si="257"/>
        <v>0.55377524374797693</v>
      </c>
      <c r="E4545" s="101">
        <f t="shared" ca="1" si="258"/>
        <v>0</v>
      </c>
      <c r="F4545" s="21">
        <f t="shared" ca="1" si="259"/>
        <v>0</v>
      </c>
      <c r="H4545" s="21">
        <v>4530</v>
      </c>
      <c r="I4545" s="102">
        <v>0.66784990829148505</v>
      </c>
      <c r="J4545" s="103">
        <v>1.5119315440315227E-3</v>
      </c>
      <c r="K4545" s="103"/>
      <c r="L4545" s="103">
        <v>4.6199999999999998E-2</v>
      </c>
      <c r="O4545" s="100"/>
    </row>
    <row r="4546" spans="2:15" x14ac:dyDescent="0.2">
      <c r="B4546" s="1">
        <f t="shared" si="260"/>
        <v>4531</v>
      </c>
      <c r="C4546" s="101">
        <f ca="1"/>
        <v>1.2969239690558569</v>
      </c>
      <c r="D4546" s="101">
        <f t="shared" ca="1" si="257"/>
        <v>0.7551892920761708</v>
      </c>
      <c r="E4546" s="101">
        <f t="shared" ca="1" si="258"/>
        <v>0</v>
      </c>
      <c r="F4546" s="21">
        <f t="shared" ca="1" si="259"/>
        <v>0</v>
      </c>
      <c r="H4546" s="21">
        <v>4531</v>
      </c>
      <c r="I4546" s="102">
        <v>0.66772627944074825</v>
      </c>
      <c r="J4546" s="103">
        <v>1.4561902017308647E-3</v>
      </c>
      <c r="K4546" s="103"/>
      <c r="L4546" s="103">
        <v>4.2599999999999999E-2</v>
      </c>
      <c r="O4546" s="100"/>
    </row>
    <row r="4547" spans="2:15" x14ac:dyDescent="0.2">
      <c r="B4547" s="1">
        <f t="shared" si="260"/>
        <v>4532</v>
      </c>
      <c r="C4547" s="101">
        <f ca="1"/>
        <v>-0.90309646791097475</v>
      </c>
      <c r="D4547" s="101">
        <f t="shared" ca="1" si="257"/>
        <v>0.60786663233426164</v>
      </c>
      <c r="E4547" s="101">
        <f t="shared" ca="1" si="258"/>
        <v>0</v>
      </c>
      <c r="F4547" s="21">
        <f t="shared" ca="1" si="259"/>
        <v>0</v>
      </c>
      <c r="H4547" s="21">
        <v>4532</v>
      </c>
      <c r="I4547" s="102">
        <v>0.66780130942851779</v>
      </c>
      <c r="J4547" s="103">
        <v>1.4371334501797001E-3</v>
      </c>
      <c r="K4547" s="103"/>
      <c r="L4547" s="103">
        <v>4.1200000000000001E-2</v>
      </c>
      <c r="O4547" s="100"/>
    </row>
    <row r="4548" spans="2:15" x14ac:dyDescent="0.2">
      <c r="B4548" s="1">
        <f t="shared" si="260"/>
        <v>4533</v>
      </c>
      <c r="C4548" s="101">
        <f ca="1"/>
        <v>-1.3590711592542575</v>
      </c>
      <c r="D4548" s="101">
        <f t="shared" ca="1" si="257"/>
        <v>0.58113178473809324</v>
      </c>
      <c r="E4548" s="101">
        <f t="shared" ca="1" si="258"/>
        <v>0</v>
      </c>
      <c r="F4548" s="21">
        <f t="shared" ca="1" si="259"/>
        <v>0</v>
      </c>
      <c r="H4548" s="21">
        <v>4533</v>
      </c>
      <c r="I4548" s="102">
        <v>0.66756950493538514</v>
      </c>
      <c r="J4548" s="103">
        <v>1.1078076827633872E-3</v>
      </c>
      <c r="K4548" s="103"/>
      <c r="L4548" s="103">
        <v>3.7999999999999999E-2</v>
      </c>
      <c r="O4548" s="100"/>
    </row>
    <row r="4549" spans="2:15" x14ac:dyDescent="0.2">
      <c r="B4549" s="1">
        <f t="shared" si="260"/>
        <v>4534</v>
      </c>
      <c r="C4549" s="101">
        <f ca="1"/>
        <v>-0.54659363086877177</v>
      </c>
      <c r="D4549" s="101">
        <f t="shared" ca="1" si="257"/>
        <v>0.62962311843805052</v>
      </c>
      <c r="E4549" s="101">
        <f t="shared" ca="1" si="258"/>
        <v>0</v>
      </c>
      <c r="F4549" s="21">
        <f t="shared" ca="1" si="259"/>
        <v>0</v>
      </c>
      <c r="H4549" s="21">
        <v>4534</v>
      </c>
      <c r="I4549" s="102">
        <v>0.66777747058217951</v>
      </c>
      <c r="J4549" s="103">
        <v>1.3372518902418477E-3</v>
      </c>
      <c r="K4549" s="103"/>
      <c r="L4549" s="103">
        <v>4.4600000000000001E-2</v>
      </c>
      <c r="O4549" s="100"/>
    </row>
    <row r="4550" spans="2:15" x14ac:dyDescent="0.2">
      <c r="B4550" s="1">
        <f t="shared" si="260"/>
        <v>4535</v>
      </c>
      <c r="C4550" s="101">
        <f ca="1"/>
        <v>1.778656262767896E-2</v>
      </c>
      <c r="D4550" s="101">
        <f t="shared" ca="1" si="257"/>
        <v>0.66566905072365834</v>
      </c>
      <c r="E4550" s="101">
        <f t="shared" ca="1" si="258"/>
        <v>0</v>
      </c>
      <c r="F4550" s="21">
        <f t="shared" ca="1" si="259"/>
        <v>0</v>
      </c>
      <c r="H4550" s="21">
        <v>4535</v>
      </c>
      <c r="I4550" s="102">
        <v>0.66767444154169564</v>
      </c>
      <c r="J4550" s="103">
        <v>1.4370406166392743E-3</v>
      </c>
      <c r="K4550" s="103"/>
      <c r="L4550" s="103">
        <v>4.2000000000000003E-2</v>
      </c>
      <c r="O4550" s="100"/>
    </row>
    <row r="4551" spans="2:15" x14ac:dyDescent="0.2">
      <c r="B4551" s="1">
        <f t="shared" si="260"/>
        <v>4536</v>
      </c>
      <c r="C4551" s="101">
        <f ca="1"/>
        <v>0.83162080636260161</v>
      </c>
      <c r="D4551" s="101">
        <f t="shared" ca="1" si="257"/>
        <v>0.72131094613175206</v>
      </c>
      <c r="E4551" s="101">
        <f t="shared" ca="1" si="258"/>
        <v>0</v>
      </c>
      <c r="F4551" s="21">
        <f t="shared" ca="1" si="259"/>
        <v>0</v>
      </c>
      <c r="H4551" s="21">
        <v>4536</v>
      </c>
      <c r="I4551" s="102">
        <v>0.6679390165129141</v>
      </c>
      <c r="J4551" s="103">
        <v>1.5642911978828867E-3</v>
      </c>
      <c r="K4551" s="103"/>
      <c r="L4551" s="103">
        <v>4.5999999999999999E-2</v>
      </c>
      <c r="O4551" s="100"/>
    </row>
    <row r="4552" spans="2:15" x14ac:dyDescent="0.2">
      <c r="B4552" s="1">
        <f t="shared" si="260"/>
        <v>4537</v>
      </c>
      <c r="C4552" s="101">
        <f ca="1"/>
        <v>-1.0289094257762759</v>
      </c>
      <c r="D4552" s="101">
        <f t="shared" ca="1" si="257"/>
        <v>0.60036940827955709</v>
      </c>
      <c r="E4552" s="101">
        <f t="shared" ca="1" si="258"/>
        <v>0</v>
      </c>
      <c r="F4552" s="21">
        <f t="shared" ca="1" si="259"/>
        <v>0</v>
      </c>
      <c r="H4552" s="21">
        <v>4537</v>
      </c>
      <c r="I4552" s="102">
        <v>0.66783268256096595</v>
      </c>
      <c r="J4552" s="103">
        <v>1.526182370512259E-3</v>
      </c>
      <c r="K4552" s="103"/>
      <c r="L4552" s="103">
        <v>4.2999999999999997E-2</v>
      </c>
      <c r="O4552" s="100"/>
    </row>
    <row r="4553" spans="2:15" x14ac:dyDescent="0.2">
      <c r="B4553" s="1">
        <f t="shared" si="260"/>
        <v>4538</v>
      </c>
      <c r="C4553" s="101">
        <f ca="1"/>
        <v>-1.6658276718354048</v>
      </c>
      <c r="D4553" s="101">
        <f t="shared" ca="1" si="257"/>
        <v>0.56381077282833469</v>
      </c>
      <c r="E4553" s="101">
        <f t="shared" ca="1" si="258"/>
        <v>0</v>
      </c>
      <c r="F4553" s="21">
        <f t="shared" ca="1" si="259"/>
        <v>0</v>
      </c>
      <c r="H4553" s="21">
        <v>4538</v>
      </c>
      <c r="I4553" s="102">
        <v>0.66765032293702165</v>
      </c>
      <c r="J4553" s="103">
        <v>1.1544059473230222E-3</v>
      </c>
      <c r="K4553" s="103"/>
      <c r="L4553" s="103">
        <v>4.0399999999999998E-2</v>
      </c>
      <c r="O4553" s="100"/>
    </row>
    <row r="4554" spans="2:15" x14ac:dyDescent="0.2">
      <c r="B4554" s="1">
        <f t="shared" si="260"/>
        <v>4539</v>
      </c>
      <c r="C4554" s="101">
        <f ca="1"/>
        <v>1.0517412420588765</v>
      </c>
      <c r="D4554" s="101">
        <f t="shared" ca="1" si="257"/>
        <v>0.73714401972122445</v>
      </c>
      <c r="E4554" s="101">
        <f t="shared" ca="1" si="258"/>
        <v>0</v>
      </c>
      <c r="F4554" s="21">
        <f t="shared" ca="1" si="259"/>
        <v>0</v>
      </c>
      <c r="H4554" s="21">
        <v>4539</v>
      </c>
      <c r="I4554" s="102">
        <v>0.66766436382377137</v>
      </c>
      <c r="J4554" s="103">
        <v>1.2210549059948168E-3</v>
      </c>
      <c r="K4554" s="103"/>
      <c r="L4554" s="103">
        <v>4.02E-2</v>
      </c>
      <c r="O4554" s="100"/>
    </row>
    <row r="4555" spans="2:15" x14ac:dyDescent="0.2">
      <c r="B4555" s="1">
        <f t="shared" si="260"/>
        <v>4540</v>
      </c>
      <c r="C4555" s="101">
        <f ca="1"/>
        <v>-0.90832789856969753</v>
      </c>
      <c r="D4555" s="101">
        <f t="shared" ca="1" si="257"/>
        <v>0.60755303264234206</v>
      </c>
      <c r="E4555" s="101">
        <f t="shared" ca="1" si="258"/>
        <v>0</v>
      </c>
      <c r="F4555" s="21">
        <f t="shared" ca="1" si="259"/>
        <v>0</v>
      </c>
      <c r="H4555" s="21">
        <v>4540</v>
      </c>
      <c r="I4555" s="102">
        <v>0.6676665049629793</v>
      </c>
      <c r="J4555" s="103">
        <v>1.288484712551777E-3</v>
      </c>
      <c r="K4555" s="103"/>
      <c r="L4555" s="103">
        <v>3.9399999999999998E-2</v>
      </c>
      <c r="O4555" s="100"/>
    </row>
    <row r="4556" spans="2:15" x14ac:dyDescent="0.2">
      <c r="B4556" s="1">
        <f t="shared" si="260"/>
        <v>4541</v>
      </c>
      <c r="C4556" s="101">
        <f ca="1"/>
        <v>-0.15861485928060023</v>
      </c>
      <c r="D4556" s="101">
        <f t="shared" ca="1" si="257"/>
        <v>0.65418628874665652</v>
      </c>
      <c r="E4556" s="101">
        <f t="shared" ca="1" si="258"/>
        <v>0</v>
      </c>
      <c r="F4556" s="21">
        <f t="shared" ca="1" si="259"/>
        <v>0</v>
      </c>
      <c r="H4556" s="21">
        <v>4541</v>
      </c>
      <c r="I4556" s="102">
        <v>0.66786145209023806</v>
      </c>
      <c r="J4556" s="103">
        <v>1.3965155451894386E-3</v>
      </c>
      <c r="K4556" s="103"/>
      <c r="L4556" s="103">
        <v>4.4999999999999998E-2</v>
      </c>
      <c r="O4556" s="100"/>
    </row>
    <row r="4557" spans="2:15" x14ac:dyDescent="0.2">
      <c r="B4557" s="1">
        <f t="shared" si="260"/>
        <v>4542</v>
      </c>
      <c r="C4557" s="101">
        <f ca="1"/>
        <v>-1.7231903026980326</v>
      </c>
      <c r="D4557" s="101">
        <f t="shared" ca="1" si="257"/>
        <v>0.56062955636469425</v>
      </c>
      <c r="E4557" s="101">
        <f t="shared" ca="1" si="258"/>
        <v>0</v>
      </c>
      <c r="F4557" s="21">
        <f t="shared" ca="1" si="259"/>
        <v>0</v>
      </c>
      <c r="H4557" s="21">
        <v>4542</v>
      </c>
      <c r="I4557" s="102">
        <v>0.66793049549342753</v>
      </c>
      <c r="J4557" s="103">
        <v>1.5178259814792763E-3</v>
      </c>
      <c r="K4557" s="103"/>
      <c r="L4557" s="103">
        <v>4.7800000000000002E-2</v>
      </c>
      <c r="O4557" s="100"/>
    </row>
    <row r="4558" spans="2:15" x14ac:dyDescent="0.2">
      <c r="B4558" s="1">
        <f t="shared" si="260"/>
        <v>4543</v>
      </c>
      <c r="C4558" s="101">
        <f ca="1"/>
        <v>1.581015336003162</v>
      </c>
      <c r="D4558" s="101">
        <f t="shared" ca="1" si="257"/>
        <v>0.77665138744507733</v>
      </c>
      <c r="E4558" s="101">
        <f t="shared" ca="1" si="258"/>
        <v>0</v>
      </c>
      <c r="F4558" s="21">
        <f t="shared" ca="1" si="259"/>
        <v>0</v>
      </c>
      <c r="H4558" s="21">
        <v>4543</v>
      </c>
      <c r="I4558" s="102">
        <v>0.66766942913087368</v>
      </c>
      <c r="J4558" s="103">
        <v>1.3454442927257413E-3</v>
      </c>
      <c r="K4558" s="103"/>
      <c r="L4558" s="103">
        <v>4.02E-2</v>
      </c>
      <c r="O4558" s="100"/>
    </row>
    <row r="4559" spans="2:15" x14ac:dyDescent="0.2">
      <c r="B4559" s="1">
        <f t="shared" si="260"/>
        <v>4544</v>
      </c>
      <c r="C4559" s="101">
        <f ca="1"/>
        <v>0.82367653171669808</v>
      </c>
      <c r="D4559" s="101">
        <f t="shared" ca="1" si="257"/>
        <v>0.7207459239202435</v>
      </c>
      <c r="E4559" s="101">
        <f t="shared" ca="1" si="258"/>
        <v>0</v>
      </c>
      <c r="F4559" s="21">
        <f t="shared" ca="1" si="259"/>
        <v>0</v>
      </c>
      <c r="H4559" s="21">
        <v>4544</v>
      </c>
      <c r="I4559" s="102">
        <v>0.66772978911032699</v>
      </c>
      <c r="J4559" s="103">
        <v>1.4955874925996909E-3</v>
      </c>
      <c r="K4559" s="103"/>
      <c r="L4559" s="103">
        <v>4.0800000000000003E-2</v>
      </c>
      <c r="O4559" s="100"/>
    </row>
    <row r="4560" spans="2:15" x14ac:dyDescent="0.2">
      <c r="B4560" s="1">
        <f t="shared" si="260"/>
        <v>4545</v>
      </c>
      <c r="C4560" s="101">
        <f ca="1"/>
        <v>-0.8915617542751777</v>
      </c>
      <c r="D4560" s="101">
        <f t="shared" ref="D4560:D4623" ca="1" si="261">S0*EXP((μ-0.5*σ*σ)*T+σ*SQRT(T)*$C4560)</f>
        <v>0.60855865626895711</v>
      </c>
      <c r="E4560" s="101">
        <f t="shared" ref="E4560:E4623" ca="1" si="262">MAX(0,CP*(D4560-K))</f>
        <v>0</v>
      </c>
      <c r="F4560" s="21">
        <f t="shared" ref="F4560:F4623" ca="1" si="263">(CP*(D4560-K)&gt;0)*1</f>
        <v>0</v>
      </c>
      <c r="H4560" s="21">
        <v>4545</v>
      </c>
      <c r="I4560" s="102">
        <v>0.66768484825667684</v>
      </c>
      <c r="J4560" s="103">
        <v>1.3246923459271232E-3</v>
      </c>
      <c r="K4560" s="103"/>
      <c r="L4560" s="103">
        <v>4.02E-2</v>
      </c>
      <c r="O4560" s="100"/>
    </row>
    <row r="4561" spans="2:15" x14ac:dyDescent="0.2">
      <c r="B4561" s="1">
        <f t="shared" si="260"/>
        <v>4546</v>
      </c>
      <c r="C4561" s="101">
        <f ca="1"/>
        <v>-0.49404588474015554</v>
      </c>
      <c r="D4561" s="101">
        <f t="shared" ca="1" si="261"/>
        <v>0.63289516671252832</v>
      </c>
      <c r="E4561" s="101">
        <f t="shared" ca="1" si="262"/>
        <v>0</v>
      </c>
      <c r="F4561" s="21">
        <f t="shared" ca="1" si="263"/>
        <v>0</v>
      </c>
      <c r="H4561" s="21">
        <v>4546</v>
      </c>
      <c r="I4561" s="102">
        <v>0.66768377830672843</v>
      </c>
      <c r="J4561" s="103">
        <v>1.3758671389186368E-3</v>
      </c>
      <c r="K4561" s="103"/>
      <c r="L4561" s="103">
        <v>3.9600000000000003E-2</v>
      </c>
      <c r="O4561" s="100"/>
    </row>
    <row r="4562" spans="2:15" x14ac:dyDescent="0.2">
      <c r="B4562" s="1">
        <f t="shared" si="260"/>
        <v>4547</v>
      </c>
      <c r="C4562" s="101">
        <f ca="1"/>
        <v>-0.82523973438702269</v>
      </c>
      <c r="D4562" s="101">
        <f t="shared" ca="1" si="261"/>
        <v>0.61255295425336642</v>
      </c>
      <c r="E4562" s="101">
        <f t="shared" ca="1" si="262"/>
        <v>0</v>
      </c>
      <c r="F4562" s="21">
        <f t="shared" ca="1" si="263"/>
        <v>0</v>
      </c>
      <c r="H4562" s="21">
        <v>4547</v>
      </c>
      <c r="I4562" s="102">
        <v>0.66767419578238318</v>
      </c>
      <c r="J4562" s="103">
        <v>1.2356223808955142E-3</v>
      </c>
      <c r="K4562" s="103"/>
      <c r="L4562" s="103">
        <v>4.1799999999999997E-2</v>
      </c>
      <c r="O4562" s="100"/>
    </row>
    <row r="4563" spans="2:15" x14ac:dyDescent="0.2">
      <c r="B4563" s="1">
        <f t="shared" si="260"/>
        <v>4548</v>
      </c>
      <c r="C4563" s="101">
        <f ca="1"/>
        <v>0.45828929098268145</v>
      </c>
      <c r="D4563" s="101">
        <f t="shared" ca="1" si="261"/>
        <v>0.69523116330009271</v>
      </c>
      <c r="E4563" s="101">
        <f t="shared" ca="1" si="262"/>
        <v>0</v>
      </c>
      <c r="F4563" s="21">
        <f t="shared" ca="1" si="263"/>
        <v>0</v>
      </c>
      <c r="H4563" s="21">
        <v>4548</v>
      </c>
      <c r="I4563" s="102">
        <v>0.66787475000464624</v>
      </c>
      <c r="J4563" s="103">
        <v>1.5833351148873988E-3</v>
      </c>
      <c r="K4563" s="103"/>
      <c r="L4563" s="103">
        <v>4.36E-2</v>
      </c>
      <c r="O4563" s="100"/>
    </row>
    <row r="4564" spans="2:15" x14ac:dyDescent="0.2">
      <c r="B4564" s="1">
        <f t="shared" si="260"/>
        <v>4549</v>
      </c>
      <c r="C4564" s="101">
        <f ca="1"/>
        <v>-0.74626590133935788</v>
      </c>
      <c r="D4564" s="101">
        <f t="shared" ca="1" si="261"/>
        <v>0.6173434278408193</v>
      </c>
      <c r="E4564" s="101">
        <f t="shared" ca="1" si="262"/>
        <v>0</v>
      </c>
      <c r="F4564" s="21">
        <f t="shared" ca="1" si="263"/>
        <v>0</v>
      </c>
      <c r="H4564" s="21">
        <v>4549</v>
      </c>
      <c r="I4564" s="102">
        <v>0.66752765593792951</v>
      </c>
      <c r="J4564" s="103">
        <v>1.1484420716815023E-3</v>
      </c>
      <c r="K4564" s="103"/>
      <c r="L4564" s="103">
        <v>3.5200000000000002E-2</v>
      </c>
      <c r="O4564" s="100"/>
    </row>
    <row r="4565" spans="2:15" x14ac:dyDescent="0.2">
      <c r="B4565" s="1">
        <f t="shared" si="260"/>
        <v>4550</v>
      </c>
      <c r="C4565" s="101">
        <f ca="1"/>
        <v>0.29750650246013405</v>
      </c>
      <c r="D4565" s="101">
        <f t="shared" ca="1" si="261"/>
        <v>0.68429189379520117</v>
      </c>
      <c r="E4565" s="101">
        <f t="shared" ca="1" si="262"/>
        <v>0</v>
      </c>
      <c r="F4565" s="21">
        <f t="shared" ca="1" si="263"/>
        <v>0</v>
      </c>
      <c r="H4565" s="21">
        <v>4550</v>
      </c>
      <c r="I4565" s="102">
        <v>0.66773433476098787</v>
      </c>
      <c r="J4565" s="103">
        <v>1.4868422129062958E-3</v>
      </c>
      <c r="K4565" s="103"/>
      <c r="L4565" s="103">
        <v>3.9E-2</v>
      </c>
      <c r="O4565" s="100"/>
    </row>
    <row r="4566" spans="2:15" x14ac:dyDescent="0.2">
      <c r="B4566" s="1">
        <f t="shared" si="260"/>
        <v>4551</v>
      </c>
      <c r="C4566" s="101">
        <f ca="1"/>
        <v>-0.22568473514635964</v>
      </c>
      <c r="D4566" s="101">
        <f t="shared" ca="1" si="261"/>
        <v>0.64987256810512428</v>
      </c>
      <c r="E4566" s="101">
        <f t="shared" ca="1" si="262"/>
        <v>0</v>
      </c>
      <c r="F4566" s="21">
        <f t="shared" ca="1" si="263"/>
        <v>0</v>
      </c>
      <c r="H4566" s="21">
        <v>4551</v>
      </c>
      <c r="I4566" s="102">
        <v>0.66765145129873094</v>
      </c>
      <c r="J4566" s="103">
        <v>1.2970835224621392E-3</v>
      </c>
      <c r="K4566" s="103"/>
      <c r="L4566" s="103">
        <v>4.0599999999999997E-2</v>
      </c>
      <c r="O4566" s="100"/>
    </row>
    <row r="4567" spans="2:15" x14ac:dyDescent="0.2">
      <c r="B4567" s="1">
        <f t="shared" si="260"/>
        <v>4552</v>
      </c>
      <c r="C4567" s="101">
        <f ca="1"/>
        <v>0.92701072063994416</v>
      </c>
      <c r="D4567" s="101">
        <f t="shared" ca="1" si="261"/>
        <v>0.7281300719980035</v>
      </c>
      <c r="E4567" s="101">
        <f t="shared" ca="1" si="262"/>
        <v>0</v>
      </c>
      <c r="F4567" s="21">
        <f t="shared" ca="1" si="263"/>
        <v>0</v>
      </c>
      <c r="H4567" s="21">
        <v>4552</v>
      </c>
      <c r="I4567" s="102">
        <v>0.66766988000908323</v>
      </c>
      <c r="J4567" s="103">
        <v>1.3257681474272316E-3</v>
      </c>
      <c r="K4567" s="103"/>
      <c r="L4567" s="103">
        <v>4.0800000000000003E-2</v>
      </c>
      <c r="O4567" s="100"/>
    </row>
    <row r="4568" spans="2:15" x14ac:dyDescent="0.2">
      <c r="B4568" s="1">
        <f t="shared" si="260"/>
        <v>4553</v>
      </c>
      <c r="C4568" s="101">
        <f ca="1"/>
        <v>0.64137704947510343</v>
      </c>
      <c r="D4568" s="101">
        <f t="shared" ca="1" si="261"/>
        <v>0.70790111690897561</v>
      </c>
      <c r="E4568" s="101">
        <f t="shared" ca="1" si="262"/>
        <v>0</v>
      </c>
      <c r="F4568" s="21">
        <f t="shared" ca="1" si="263"/>
        <v>0</v>
      </c>
      <c r="H4568" s="21">
        <v>4553</v>
      </c>
      <c r="I4568" s="102">
        <v>0.66783366216014017</v>
      </c>
      <c r="J4568" s="103">
        <v>1.4663877904329294E-3</v>
      </c>
      <c r="K4568" s="103"/>
      <c r="L4568" s="103">
        <v>4.6199999999999998E-2</v>
      </c>
      <c r="O4568" s="100"/>
    </row>
    <row r="4569" spans="2:15" x14ac:dyDescent="0.2">
      <c r="B4569" s="1">
        <f t="shared" si="260"/>
        <v>4554</v>
      </c>
      <c r="C4569" s="101">
        <f ca="1"/>
        <v>-1.4594412245270407</v>
      </c>
      <c r="D4569" s="101">
        <f t="shared" ca="1" si="261"/>
        <v>0.57540659855119269</v>
      </c>
      <c r="E4569" s="101">
        <f t="shared" ca="1" si="262"/>
        <v>0</v>
      </c>
      <c r="F4569" s="21">
        <f t="shared" ca="1" si="263"/>
        <v>0</v>
      </c>
      <c r="H4569" s="21">
        <v>4554</v>
      </c>
      <c r="I4569" s="102">
        <v>0.66777096815307324</v>
      </c>
      <c r="J4569" s="103">
        <v>1.3917792713362184E-3</v>
      </c>
      <c r="K4569" s="103"/>
      <c r="L4569" s="103">
        <v>4.2599999999999999E-2</v>
      </c>
      <c r="O4569" s="100"/>
    </row>
    <row r="4570" spans="2:15" x14ac:dyDescent="0.2">
      <c r="B4570" s="1">
        <f t="shared" si="260"/>
        <v>4555</v>
      </c>
      <c r="C4570" s="101">
        <f ca="1"/>
        <v>2.0270820898080442</v>
      </c>
      <c r="D4570" s="101">
        <f t="shared" ca="1" si="261"/>
        <v>0.81158749569763267</v>
      </c>
      <c r="E4570" s="101">
        <f t="shared" ca="1" si="262"/>
        <v>2.3387495697632654E-2</v>
      </c>
      <c r="F4570" s="21">
        <f t="shared" ca="1" si="263"/>
        <v>1</v>
      </c>
      <c r="H4570" s="21">
        <v>4555</v>
      </c>
      <c r="I4570" s="102">
        <v>0.66762446998635783</v>
      </c>
      <c r="J4570" s="103">
        <v>1.4382270422669057E-3</v>
      </c>
      <c r="K4570" s="103"/>
      <c r="L4570" s="103">
        <v>3.9399999999999998E-2</v>
      </c>
      <c r="O4570" s="100"/>
    </row>
    <row r="4571" spans="2:15" x14ac:dyDescent="0.2">
      <c r="B4571" s="1">
        <f t="shared" si="260"/>
        <v>4556</v>
      </c>
      <c r="C4571" s="101">
        <f ca="1"/>
        <v>6.441380660310486E-3</v>
      </c>
      <c r="D4571" s="101">
        <f t="shared" ca="1" si="261"/>
        <v>0.66492451465016988</v>
      </c>
      <c r="E4571" s="101">
        <f t="shared" ca="1" si="262"/>
        <v>0</v>
      </c>
      <c r="F4571" s="21">
        <f t="shared" ca="1" si="263"/>
        <v>0</v>
      </c>
      <c r="H4571" s="21">
        <v>4556</v>
      </c>
      <c r="I4571" s="102">
        <v>0.66778670059914835</v>
      </c>
      <c r="J4571" s="103">
        <v>1.5152612699816485E-3</v>
      </c>
      <c r="K4571" s="103"/>
      <c r="L4571" s="103">
        <v>4.2799999999999998E-2</v>
      </c>
      <c r="O4571" s="100"/>
    </row>
    <row r="4572" spans="2:15" x14ac:dyDescent="0.2">
      <c r="B4572" s="1">
        <f t="shared" si="260"/>
        <v>4557</v>
      </c>
      <c r="C4572" s="101">
        <f ca="1"/>
        <v>-1.679254174300818</v>
      </c>
      <c r="D4572" s="101">
        <f t="shared" ca="1" si="261"/>
        <v>0.56306455158805735</v>
      </c>
      <c r="E4572" s="101">
        <f t="shared" ca="1" si="262"/>
        <v>0</v>
      </c>
      <c r="F4572" s="21">
        <f t="shared" ca="1" si="263"/>
        <v>0</v>
      </c>
      <c r="H4572" s="21">
        <v>4557</v>
      </c>
      <c r="I4572" s="102">
        <v>0.66763887281725809</v>
      </c>
      <c r="J4572" s="103">
        <v>1.2315629588970697E-3</v>
      </c>
      <c r="K4572" s="103"/>
      <c r="L4572" s="103">
        <v>0.04</v>
      </c>
      <c r="O4572" s="100"/>
    </row>
    <row r="4573" spans="2:15" x14ac:dyDescent="0.2">
      <c r="B4573" s="1">
        <f t="shared" si="260"/>
        <v>4558</v>
      </c>
      <c r="C4573" s="101">
        <f ca="1"/>
        <v>-0.37269777124767517</v>
      </c>
      <c r="D4573" s="101">
        <f t="shared" ca="1" si="261"/>
        <v>0.64051640500209872</v>
      </c>
      <c r="E4573" s="101">
        <f t="shared" ca="1" si="262"/>
        <v>0</v>
      </c>
      <c r="F4573" s="21">
        <f t="shared" ca="1" si="263"/>
        <v>0</v>
      </c>
      <c r="H4573" s="21">
        <v>4558</v>
      </c>
      <c r="I4573" s="102">
        <v>0.66773109108376849</v>
      </c>
      <c r="J4573" s="103">
        <v>1.4864597176799399E-3</v>
      </c>
      <c r="K4573" s="103"/>
      <c r="L4573" s="103">
        <v>4.1399999999999999E-2</v>
      </c>
      <c r="O4573" s="100"/>
    </row>
    <row r="4574" spans="2:15" x14ac:dyDescent="0.2">
      <c r="B4574" s="1">
        <f t="shared" si="260"/>
        <v>4559</v>
      </c>
      <c r="C4574" s="101">
        <f ca="1"/>
        <v>0.82902552265691787</v>
      </c>
      <c r="D4574" s="101">
        <f t="shared" ca="1" si="261"/>
        <v>0.72112631255859905</v>
      </c>
      <c r="E4574" s="101">
        <f t="shared" ca="1" si="262"/>
        <v>0</v>
      </c>
      <c r="F4574" s="21">
        <f t="shared" ca="1" si="263"/>
        <v>0</v>
      </c>
      <c r="H4574" s="21">
        <v>4559</v>
      </c>
      <c r="I4574" s="102">
        <v>0.66794848066543688</v>
      </c>
      <c r="J4574" s="103">
        <v>1.5916291644890641E-3</v>
      </c>
      <c r="K4574" s="103"/>
      <c r="L4574" s="103">
        <v>4.7199999999999999E-2</v>
      </c>
      <c r="O4574" s="100"/>
    </row>
    <row r="4575" spans="2:15" x14ac:dyDescent="0.2">
      <c r="B4575" s="1">
        <f t="shared" si="260"/>
        <v>4560</v>
      </c>
      <c r="C4575" s="101">
        <f ca="1"/>
        <v>-0.41357923311978367</v>
      </c>
      <c r="D4575" s="101">
        <f t="shared" ca="1" si="261"/>
        <v>0.63793865852905529</v>
      </c>
      <c r="E4575" s="101">
        <f t="shared" ca="1" si="262"/>
        <v>0</v>
      </c>
      <c r="F4575" s="21">
        <f t="shared" ca="1" si="263"/>
        <v>0</v>
      </c>
      <c r="H4575" s="21">
        <v>4560</v>
      </c>
      <c r="I4575" s="102">
        <v>0.66791742719334235</v>
      </c>
      <c r="J4575" s="103">
        <v>1.6305240880798654E-3</v>
      </c>
      <c r="K4575" s="103"/>
      <c r="L4575" s="103">
        <v>4.3999999999999997E-2</v>
      </c>
      <c r="O4575" s="100"/>
    </row>
    <row r="4576" spans="2:15" x14ac:dyDescent="0.2">
      <c r="B4576" s="1">
        <f t="shared" si="260"/>
        <v>4561</v>
      </c>
      <c r="C4576" s="101">
        <f ca="1"/>
        <v>-2.1677964687978268</v>
      </c>
      <c r="D4576" s="101">
        <f t="shared" ca="1" si="261"/>
        <v>0.53657364307826905</v>
      </c>
      <c r="E4576" s="101">
        <f t="shared" ca="1" si="262"/>
        <v>0</v>
      </c>
      <c r="F4576" s="21">
        <f t="shared" ca="1" si="263"/>
        <v>0</v>
      </c>
      <c r="H4576" s="21">
        <v>4561</v>
      </c>
      <c r="I4576" s="102">
        <v>0.66780225502405743</v>
      </c>
      <c r="J4576" s="103">
        <v>1.3594098595049934E-3</v>
      </c>
      <c r="K4576" s="103"/>
      <c r="L4576" s="103">
        <v>3.9399999999999998E-2</v>
      </c>
      <c r="O4576" s="100"/>
    </row>
    <row r="4577" spans="2:15" x14ac:dyDescent="0.2">
      <c r="B4577" s="1">
        <f t="shared" si="260"/>
        <v>4562</v>
      </c>
      <c r="C4577" s="101">
        <f ca="1"/>
        <v>-0.67167777140270779</v>
      </c>
      <c r="D4577" s="101">
        <f t="shared" ca="1" si="261"/>
        <v>0.62190226503347823</v>
      </c>
      <c r="E4577" s="101">
        <f t="shared" ca="1" si="262"/>
        <v>0</v>
      </c>
      <c r="F4577" s="21">
        <f t="shared" ca="1" si="263"/>
        <v>0</v>
      </c>
      <c r="H4577" s="21">
        <v>4562</v>
      </c>
      <c r="I4577" s="102">
        <v>0.6677896159794604</v>
      </c>
      <c r="J4577" s="103">
        <v>1.4532884476826987E-3</v>
      </c>
      <c r="K4577" s="103"/>
      <c r="L4577" s="103">
        <v>4.4200000000000003E-2</v>
      </c>
      <c r="O4577" s="100"/>
    </row>
    <row r="4578" spans="2:15" x14ac:dyDescent="0.2">
      <c r="B4578" s="1">
        <f t="shared" si="260"/>
        <v>4563</v>
      </c>
      <c r="C4578" s="101">
        <f ca="1"/>
        <v>-2.166758641097458</v>
      </c>
      <c r="D4578" s="101">
        <f t="shared" ca="1" si="261"/>
        <v>0.53662857638279815</v>
      </c>
      <c r="E4578" s="101">
        <f t="shared" ca="1" si="262"/>
        <v>0</v>
      </c>
      <c r="F4578" s="21">
        <f t="shared" ca="1" si="263"/>
        <v>0</v>
      </c>
      <c r="H4578" s="21">
        <v>4563</v>
      </c>
      <c r="I4578" s="102">
        <v>0.6678342422247292</v>
      </c>
      <c r="J4578" s="103">
        <v>1.5013884470196539E-3</v>
      </c>
      <c r="K4578" s="103"/>
      <c r="L4578" s="103">
        <v>4.58E-2</v>
      </c>
      <c r="O4578" s="100"/>
    </row>
    <row r="4579" spans="2:15" x14ac:dyDescent="0.2">
      <c r="B4579" s="1">
        <f t="shared" si="260"/>
        <v>4564</v>
      </c>
      <c r="C4579" s="101">
        <f ca="1"/>
        <v>1.1655520112006674</v>
      </c>
      <c r="D4579" s="101">
        <f t="shared" ca="1" si="261"/>
        <v>0.74546615321213017</v>
      </c>
      <c r="E4579" s="101">
        <f t="shared" ca="1" si="262"/>
        <v>0</v>
      </c>
      <c r="F4579" s="21">
        <f t="shared" ca="1" si="263"/>
        <v>0</v>
      </c>
      <c r="H4579" s="21">
        <v>4564</v>
      </c>
      <c r="I4579" s="102">
        <v>0.66775416569393842</v>
      </c>
      <c r="J4579" s="103">
        <v>1.3868768876529318E-3</v>
      </c>
      <c r="K4579" s="103"/>
      <c r="L4579" s="103">
        <v>4.0399999999999998E-2</v>
      </c>
      <c r="O4579" s="100"/>
    </row>
    <row r="4580" spans="2:15" x14ac:dyDescent="0.2">
      <c r="B4580" s="1">
        <f t="shared" si="260"/>
        <v>4565</v>
      </c>
      <c r="C4580" s="101">
        <f ca="1"/>
        <v>-0.32072457279431077</v>
      </c>
      <c r="D4580" s="101">
        <f t="shared" ca="1" si="261"/>
        <v>0.64380857556942905</v>
      </c>
      <c r="E4580" s="101">
        <f t="shared" ca="1" si="262"/>
        <v>0</v>
      </c>
      <c r="F4580" s="21">
        <f t="shared" ca="1" si="263"/>
        <v>0</v>
      </c>
      <c r="H4580" s="21">
        <v>4565</v>
      </c>
      <c r="I4580" s="102">
        <v>0.66770688890906171</v>
      </c>
      <c r="J4580" s="103">
        <v>1.3816938026105928E-3</v>
      </c>
      <c r="K4580" s="103"/>
      <c r="L4580" s="103">
        <v>4.2999999999999997E-2</v>
      </c>
      <c r="O4580" s="100"/>
    </row>
    <row r="4581" spans="2:15" x14ac:dyDescent="0.2">
      <c r="B4581" s="1">
        <f t="shared" si="260"/>
        <v>4566</v>
      </c>
      <c r="C4581" s="101">
        <f ca="1"/>
        <v>5.122742724368555E-2</v>
      </c>
      <c r="D4581" s="101">
        <f t="shared" ca="1" si="261"/>
        <v>0.6678684863414075</v>
      </c>
      <c r="E4581" s="101">
        <f t="shared" ca="1" si="262"/>
        <v>0</v>
      </c>
      <c r="F4581" s="21">
        <f t="shared" ca="1" si="263"/>
        <v>0</v>
      </c>
      <c r="H4581" s="21">
        <v>4566</v>
      </c>
      <c r="I4581" s="102">
        <v>0.66776258824529866</v>
      </c>
      <c r="J4581" s="103">
        <v>1.3385960235945309E-3</v>
      </c>
      <c r="K4581" s="103"/>
      <c r="L4581" s="103">
        <v>4.24E-2</v>
      </c>
      <c r="O4581" s="100"/>
    </row>
    <row r="4582" spans="2:15" x14ac:dyDescent="0.2">
      <c r="B4582" s="1">
        <f t="shared" si="260"/>
        <v>4567</v>
      </c>
      <c r="C4582" s="101">
        <f ca="1"/>
        <v>-3.2373536256204566E-2</v>
      </c>
      <c r="D4582" s="101">
        <f t="shared" ca="1" si="261"/>
        <v>0.66238354915149356</v>
      </c>
      <c r="E4582" s="101">
        <f t="shared" ca="1" si="262"/>
        <v>0</v>
      </c>
      <c r="F4582" s="21">
        <f t="shared" ca="1" si="263"/>
        <v>0</v>
      </c>
      <c r="H4582" s="21">
        <v>4567</v>
      </c>
      <c r="I4582" s="102">
        <v>0.66773811733662702</v>
      </c>
      <c r="J4582" s="103">
        <v>1.3827954220619531E-3</v>
      </c>
      <c r="K4582" s="103"/>
      <c r="L4582" s="103">
        <v>4.3799999999999999E-2</v>
      </c>
      <c r="O4582" s="100"/>
    </row>
    <row r="4583" spans="2:15" x14ac:dyDescent="0.2">
      <c r="B4583" s="1">
        <f t="shared" si="260"/>
        <v>4568</v>
      </c>
      <c r="C4583" s="101">
        <f ca="1"/>
        <v>1.7191586175158389</v>
      </c>
      <c r="D4583" s="101">
        <f t="shared" ca="1" si="261"/>
        <v>0.78730696852101079</v>
      </c>
      <c r="E4583" s="101">
        <f t="shared" ca="1" si="262"/>
        <v>0</v>
      </c>
      <c r="F4583" s="21">
        <f t="shared" ca="1" si="263"/>
        <v>0</v>
      </c>
      <c r="H4583" s="21">
        <v>4568</v>
      </c>
      <c r="I4583" s="102">
        <v>0.66778046792010004</v>
      </c>
      <c r="J4583" s="103">
        <v>1.5259098172431174E-3</v>
      </c>
      <c r="K4583" s="103"/>
      <c r="L4583" s="103">
        <v>4.2000000000000003E-2</v>
      </c>
      <c r="O4583" s="100"/>
    </row>
    <row r="4584" spans="2:15" x14ac:dyDescent="0.2">
      <c r="B4584" s="1">
        <f t="shared" si="260"/>
        <v>4569</v>
      </c>
      <c r="C4584" s="101">
        <f ca="1"/>
        <v>0.419603581004661</v>
      </c>
      <c r="D4584" s="101">
        <f t="shared" ca="1" si="261"/>
        <v>0.69258320994413503</v>
      </c>
      <c r="E4584" s="101">
        <f t="shared" ca="1" si="262"/>
        <v>0</v>
      </c>
      <c r="F4584" s="21">
        <f t="shared" ca="1" si="263"/>
        <v>0</v>
      </c>
      <c r="H4584" s="21">
        <v>4569</v>
      </c>
      <c r="I4584" s="102">
        <v>0.66783241469081933</v>
      </c>
      <c r="J4584" s="103">
        <v>1.5375942944844858E-3</v>
      </c>
      <c r="K4584" s="103"/>
      <c r="L4584" s="103">
        <v>4.4200000000000003E-2</v>
      </c>
      <c r="O4584" s="100"/>
    </row>
    <row r="4585" spans="2:15" x14ac:dyDescent="0.2">
      <c r="B4585" s="1">
        <f t="shared" si="260"/>
        <v>4570</v>
      </c>
      <c r="C4585" s="101">
        <f ca="1"/>
        <v>-1.3757949142602452</v>
      </c>
      <c r="D4585" s="101">
        <f t="shared" ca="1" si="261"/>
        <v>0.58017390903222221</v>
      </c>
      <c r="E4585" s="101">
        <f t="shared" ca="1" si="262"/>
        <v>0</v>
      </c>
      <c r="F4585" s="21">
        <f t="shared" ca="1" si="263"/>
        <v>0</v>
      </c>
      <c r="H4585" s="21">
        <v>4570</v>
      </c>
      <c r="I4585" s="102">
        <v>0.66751636000585879</v>
      </c>
      <c r="J4585" s="103">
        <v>1.1719859989215555E-3</v>
      </c>
      <c r="K4585" s="103"/>
      <c r="L4585" s="103">
        <v>3.4799999999999998E-2</v>
      </c>
      <c r="O4585" s="100"/>
    </row>
    <row r="4586" spans="2:15" x14ac:dyDescent="0.2">
      <c r="B4586" s="1">
        <f t="shared" si="260"/>
        <v>4571</v>
      </c>
      <c r="C4586" s="101">
        <f ca="1"/>
        <v>0.9083787692544355</v>
      </c>
      <c r="D4586" s="101">
        <f t="shared" ca="1" si="261"/>
        <v>0.72679308500744222</v>
      </c>
      <c r="E4586" s="101">
        <f t="shared" ca="1" si="262"/>
        <v>0</v>
      </c>
      <c r="F4586" s="21">
        <f t="shared" ca="1" si="263"/>
        <v>0</v>
      </c>
      <c r="H4586" s="21">
        <v>4571</v>
      </c>
      <c r="I4586" s="102">
        <v>0.66772721215349062</v>
      </c>
      <c r="J4586" s="103">
        <v>1.319500509898937E-3</v>
      </c>
      <c r="K4586" s="103"/>
      <c r="L4586" s="103">
        <v>4.4600000000000001E-2</v>
      </c>
      <c r="O4586" s="100"/>
    </row>
    <row r="4587" spans="2:15" x14ac:dyDescent="0.2">
      <c r="B4587" s="1">
        <f t="shared" si="260"/>
        <v>4572</v>
      </c>
      <c r="C4587" s="101">
        <f ca="1"/>
        <v>-0.74537219793235099</v>
      </c>
      <c r="D4587" s="101">
        <f t="shared" ca="1" si="261"/>
        <v>0.6173978528218429</v>
      </c>
      <c r="E4587" s="101">
        <f t="shared" ca="1" si="262"/>
        <v>0</v>
      </c>
      <c r="F4587" s="21">
        <f t="shared" ca="1" si="263"/>
        <v>0</v>
      </c>
      <c r="H4587" s="21">
        <v>4572</v>
      </c>
      <c r="I4587" s="102">
        <v>0.66768440572568277</v>
      </c>
      <c r="J4587" s="103">
        <v>1.2606876160503474E-3</v>
      </c>
      <c r="K4587" s="103"/>
      <c r="L4587" s="103">
        <v>4.2799999999999998E-2</v>
      </c>
      <c r="O4587" s="100"/>
    </row>
    <row r="4588" spans="2:15" x14ac:dyDescent="0.2">
      <c r="B4588" s="1">
        <f t="shared" si="260"/>
        <v>4573</v>
      </c>
      <c r="C4588" s="101">
        <f ca="1"/>
        <v>-2.0841934284008219</v>
      </c>
      <c r="D4588" s="101">
        <f t="shared" ca="1" si="261"/>
        <v>0.54101690884235532</v>
      </c>
      <c r="E4588" s="101">
        <f t="shared" ca="1" si="262"/>
        <v>0</v>
      </c>
      <c r="F4588" s="21">
        <f t="shared" ca="1" si="263"/>
        <v>0</v>
      </c>
      <c r="H4588" s="21">
        <v>4573</v>
      </c>
      <c r="I4588" s="102">
        <v>0.66775720838980868</v>
      </c>
      <c r="J4588" s="103">
        <v>1.361819824125682E-3</v>
      </c>
      <c r="K4588" s="103"/>
      <c r="L4588" s="103">
        <v>4.4400000000000002E-2</v>
      </c>
      <c r="O4588" s="100"/>
    </row>
    <row r="4589" spans="2:15" x14ac:dyDescent="0.2">
      <c r="B4589" s="1">
        <f t="shared" si="260"/>
        <v>4574</v>
      </c>
      <c r="C4589" s="101">
        <f ca="1"/>
        <v>0.24200717425988569</v>
      </c>
      <c r="D4589" s="101">
        <f t="shared" ca="1" si="261"/>
        <v>0.68055595471360042</v>
      </c>
      <c r="E4589" s="101">
        <f t="shared" ca="1" si="262"/>
        <v>0</v>
      </c>
      <c r="F4589" s="21">
        <f t="shared" ca="1" si="263"/>
        <v>0</v>
      </c>
      <c r="H4589" s="21">
        <v>4574</v>
      </c>
      <c r="I4589" s="102">
        <v>0.6676905672531348</v>
      </c>
      <c r="J4589" s="103">
        <v>1.2810739546048459E-3</v>
      </c>
      <c r="K4589" s="103"/>
      <c r="L4589" s="103">
        <v>3.8800000000000001E-2</v>
      </c>
      <c r="O4589" s="100"/>
    </row>
    <row r="4590" spans="2:15" x14ac:dyDescent="0.2">
      <c r="B4590" s="1">
        <f t="shared" si="260"/>
        <v>4575</v>
      </c>
      <c r="C4590" s="101">
        <f ca="1"/>
        <v>1.9359696846997725</v>
      </c>
      <c r="D4590" s="101">
        <f t="shared" ca="1" si="261"/>
        <v>0.80432607463227046</v>
      </c>
      <c r="E4590" s="101">
        <f t="shared" ca="1" si="262"/>
        <v>1.6126074632270448E-2</v>
      </c>
      <c r="F4590" s="21">
        <f t="shared" ca="1" si="263"/>
        <v>1</v>
      </c>
      <c r="H4590" s="21">
        <v>4575</v>
      </c>
      <c r="I4590" s="102">
        <v>0.66762186385162481</v>
      </c>
      <c r="J4590" s="103">
        <v>1.3880349440971462E-3</v>
      </c>
      <c r="K4590" s="103"/>
      <c r="L4590" s="103">
        <v>4.02E-2</v>
      </c>
      <c r="O4590" s="100"/>
    </row>
    <row r="4591" spans="2:15" x14ac:dyDescent="0.2">
      <c r="B4591" s="1">
        <f t="shared" si="260"/>
        <v>4576</v>
      </c>
      <c r="C4591" s="101">
        <f ca="1"/>
        <v>-1.8049142514452334</v>
      </c>
      <c r="D4591" s="101">
        <f t="shared" ca="1" si="261"/>
        <v>0.55612828798613223</v>
      </c>
      <c r="E4591" s="101">
        <f t="shared" ca="1" si="262"/>
        <v>0</v>
      </c>
      <c r="F4591" s="21">
        <f t="shared" ca="1" si="263"/>
        <v>0</v>
      </c>
      <c r="H4591" s="21">
        <v>4576</v>
      </c>
      <c r="I4591" s="102">
        <v>0.66763740173499497</v>
      </c>
      <c r="J4591" s="103">
        <v>1.223841565567134E-3</v>
      </c>
      <c r="K4591" s="103"/>
      <c r="L4591" s="103">
        <v>4.1599999999999998E-2</v>
      </c>
      <c r="O4591" s="100"/>
    </row>
    <row r="4592" spans="2:15" x14ac:dyDescent="0.2">
      <c r="B4592" s="1">
        <f t="shared" ref="B4592:B4655" si="264">B4591+1</f>
        <v>4577</v>
      </c>
      <c r="C4592" s="101">
        <f ca="1"/>
        <v>1.839522974650923</v>
      </c>
      <c r="D4592" s="101">
        <f t="shared" ca="1" si="261"/>
        <v>0.79671029716803654</v>
      </c>
      <c r="E4592" s="101">
        <f t="shared" ca="1" si="262"/>
        <v>8.5102971680365291E-3</v>
      </c>
      <c r="F4592" s="21">
        <f t="shared" ca="1" si="263"/>
        <v>1</v>
      </c>
      <c r="H4592" s="21">
        <v>4577</v>
      </c>
      <c r="I4592" s="102">
        <v>0.66765461337715282</v>
      </c>
      <c r="J4592" s="103">
        <v>1.1864799715112292E-3</v>
      </c>
      <c r="K4592" s="103"/>
      <c r="L4592" s="103">
        <v>4.2799999999999998E-2</v>
      </c>
      <c r="O4592" s="100"/>
    </row>
    <row r="4593" spans="2:15" x14ac:dyDescent="0.2">
      <c r="B4593" s="1">
        <f t="shared" si="264"/>
        <v>4578</v>
      </c>
      <c r="C4593" s="101">
        <f ca="1"/>
        <v>0.86574643086315672</v>
      </c>
      <c r="D4593" s="101">
        <f t="shared" ca="1" si="261"/>
        <v>0.72374311203965536</v>
      </c>
      <c r="E4593" s="101">
        <f t="shared" ca="1" si="262"/>
        <v>0</v>
      </c>
      <c r="F4593" s="21">
        <f t="shared" ca="1" si="263"/>
        <v>0</v>
      </c>
      <c r="H4593" s="21">
        <v>4578</v>
      </c>
      <c r="I4593" s="102">
        <v>0.66774401946860062</v>
      </c>
      <c r="J4593" s="103">
        <v>1.4374690439051324E-3</v>
      </c>
      <c r="K4593" s="103"/>
      <c r="L4593" s="103">
        <v>4.1599999999999998E-2</v>
      </c>
      <c r="O4593" s="100"/>
    </row>
    <row r="4594" spans="2:15" x14ac:dyDescent="0.2">
      <c r="B4594" s="1">
        <f t="shared" si="264"/>
        <v>4579</v>
      </c>
      <c r="C4594" s="101">
        <f ca="1"/>
        <v>-0.40591542770957006</v>
      </c>
      <c r="D4594" s="101">
        <f t="shared" ca="1" si="261"/>
        <v>0.63842110202663771</v>
      </c>
      <c r="E4594" s="101">
        <f t="shared" ca="1" si="262"/>
        <v>0</v>
      </c>
      <c r="F4594" s="21">
        <f t="shared" ca="1" si="263"/>
        <v>0</v>
      </c>
      <c r="H4594" s="21">
        <v>4579</v>
      </c>
      <c r="I4594" s="102">
        <v>0.66784407372085386</v>
      </c>
      <c r="J4594" s="103">
        <v>1.5531381921380198E-3</v>
      </c>
      <c r="K4594" s="103"/>
      <c r="L4594" s="103">
        <v>4.2999999999999997E-2</v>
      </c>
      <c r="O4594" s="100"/>
    </row>
    <row r="4595" spans="2:15" x14ac:dyDescent="0.2">
      <c r="B4595" s="1">
        <f t="shared" si="264"/>
        <v>4580</v>
      </c>
      <c r="C4595" s="101">
        <f ca="1"/>
        <v>0.67366907397661357</v>
      </c>
      <c r="D4595" s="101">
        <f t="shared" ca="1" si="261"/>
        <v>0.71015960934481248</v>
      </c>
      <c r="E4595" s="101">
        <f t="shared" ca="1" si="262"/>
        <v>0</v>
      </c>
      <c r="F4595" s="21">
        <f t="shared" ca="1" si="263"/>
        <v>0</v>
      </c>
      <c r="H4595" s="21">
        <v>4580</v>
      </c>
      <c r="I4595" s="102">
        <v>0.66773592953688365</v>
      </c>
      <c r="J4595" s="103">
        <v>1.3801588684705492E-3</v>
      </c>
      <c r="K4595" s="103"/>
      <c r="L4595" s="103">
        <v>3.9E-2</v>
      </c>
      <c r="O4595" s="100"/>
    </row>
    <row r="4596" spans="2:15" x14ac:dyDescent="0.2">
      <c r="B4596" s="1">
        <f t="shared" si="264"/>
        <v>4581</v>
      </c>
      <c r="C4596" s="101">
        <f ca="1"/>
        <v>-1.0056440452033191</v>
      </c>
      <c r="D4596" s="101">
        <f t="shared" ca="1" si="261"/>
        <v>0.60174879502668155</v>
      </c>
      <c r="E4596" s="101">
        <f t="shared" ca="1" si="262"/>
        <v>0</v>
      </c>
      <c r="F4596" s="21">
        <f t="shared" ca="1" si="263"/>
        <v>0</v>
      </c>
      <c r="H4596" s="21">
        <v>4581</v>
      </c>
      <c r="I4596" s="102">
        <v>0.66780430493709475</v>
      </c>
      <c r="J4596" s="103">
        <v>1.3894004004294503E-3</v>
      </c>
      <c r="K4596" s="103"/>
      <c r="L4596" s="103">
        <v>4.1799999999999997E-2</v>
      </c>
      <c r="O4596" s="100"/>
    </row>
    <row r="4597" spans="2:15" x14ac:dyDescent="0.2">
      <c r="B4597" s="1">
        <f t="shared" si="264"/>
        <v>4582</v>
      </c>
      <c r="C4597" s="101">
        <f ca="1"/>
        <v>-0.78655775368635727</v>
      </c>
      <c r="D4597" s="101">
        <f t="shared" ca="1" si="261"/>
        <v>0.61489470174054317</v>
      </c>
      <c r="E4597" s="101">
        <f t="shared" ca="1" si="262"/>
        <v>0</v>
      </c>
      <c r="F4597" s="21">
        <f t="shared" ca="1" si="263"/>
        <v>0</v>
      </c>
      <c r="H4597" s="21">
        <v>4582</v>
      </c>
      <c r="I4597" s="102">
        <v>0.66760306789291546</v>
      </c>
      <c r="J4597" s="103">
        <v>1.174925394717049E-3</v>
      </c>
      <c r="K4597" s="103"/>
      <c r="L4597" s="103">
        <v>3.7999999999999999E-2</v>
      </c>
      <c r="O4597" s="100"/>
    </row>
    <row r="4598" spans="2:15" x14ac:dyDescent="0.2">
      <c r="B4598" s="1">
        <f t="shared" si="264"/>
        <v>4583</v>
      </c>
      <c r="C4598" s="101">
        <f ca="1"/>
        <v>-1.0748185781214601</v>
      </c>
      <c r="D4598" s="101">
        <f t="shared" ca="1" si="261"/>
        <v>0.59765675841531485</v>
      </c>
      <c r="E4598" s="101">
        <f t="shared" ca="1" si="262"/>
        <v>0</v>
      </c>
      <c r="F4598" s="21">
        <f t="shared" ca="1" si="263"/>
        <v>0</v>
      </c>
      <c r="H4598" s="21">
        <v>4583</v>
      </c>
      <c r="I4598" s="102">
        <v>0.6675604376809452</v>
      </c>
      <c r="J4598" s="103">
        <v>1.1229040448732348E-3</v>
      </c>
      <c r="K4598" s="103"/>
      <c r="L4598" s="103">
        <v>3.5799999999999998E-2</v>
      </c>
      <c r="O4598" s="100"/>
    </row>
    <row r="4599" spans="2:15" x14ac:dyDescent="0.2">
      <c r="B4599" s="1">
        <f t="shared" si="264"/>
        <v>4584</v>
      </c>
      <c r="C4599" s="101">
        <f ca="1"/>
        <v>-0.47947525254317047</v>
      </c>
      <c r="D4599" s="101">
        <f t="shared" ca="1" si="261"/>
        <v>0.63380545972931912</v>
      </c>
      <c r="E4599" s="101">
        <f t="shared" ca="1" si="262"/>
        <v>0</v>
      </c>
      <c r="F4599" s="21">
        <f t="shared" ca="1" si="263"/>
        <v>0</v>
      </c>
      <c r="H4599" s="21">
        <v>4584</v>
      </c>
      <c r="I4599" s="102">
        <v>0.66780933943597254</v>
      </c>
      <c r="J4599" s="103">
        <v>1.614704678553478E-3</v>
      </c>
      <c r="K4599" s="103"/>
      <c r="L4599" s="103">
        <v>4.0800000000000003E-2</v>
      </c>
      <c r="O4599" s="100"/>
    </row>
    <row r="4600" spans="2:15" x14ac:dyDescent="0.2">
      <c r="B4600" s="1">
        <f t="shared" si="264"/>
        <v>4585</v>
      </c>
      <c r="C4600" s="101">
        <f ca="1"/>
        <v>-0.89947712896310228</v>
      </c>
      <c r="D4600" s="101">
        <f t="shared" ca="1" si="261"/>
        <v>0.60808368943045099</v>
      </c>
      <c r="E4600" s="101">
        <f t="shared" ca="1" si="262"/>
        <v>0</v>
      </c>
      <c r="F4600" s="21">
        <f t="shared" ca="1" si="263"/>
        <v>0</v>
      </c>
      <c r="H4600" s="21">
        <v>4585</v>
      </c>
      <c r="I4600" s="102">
        <v>0.66775440419251664</v>
      </c>
      <c r="J4600" s="103">
        <v>1.4243696260418496E-3</v>
      </c>
      <c r="K4600" s="103"/>
      <c r="L4600" s="103">
        <v>4.0800000000000003E-2</v>
      </c>
      <c r="O4600" s="100"/>
    </row>
    <row r="4601" spans="2:15" x14ac:dyDescent="0.2">
      <c r="B4601" s="1">
        <f t="shared" si="264"/>
        <v>4586</v>
      </c>
      <c r="C4601" s="101">
        <f ca="1"/>
        <v>0.54494271135727579</v>
      </c>
      <c r="D4601" s="101">
        <f t="shared" ca="1" si="261"/>
        <v>0.70119919680979048</v>
      </c>
      <c r="E4601" s="101">
        <f t="shared" ca="1" si="262"/>
        <v>0</v>
      </c>
      <c r="F4601" s="21">
        <f t="shared" ca="1" si="263"/>
        <v>0</v>
      </c>
      <c r="H4601" s="21">
        <v>4586</v>
      </c>
      <c r="I4601" s="102">
        <v>0.66768846232451962</v>
      </c>
      <c r="J4601" s="103">
        <v>1.1779687075989767E-3</v>
      </c>
      <c r="K4601" s="103"/>
      <c r="L4601" s="103">
        <v>3.8600000000000002E-2</v>
      </c>
      <c r="O4601" s="100"/>
    </row>
    <row r="4602" spans="2:15" x14ac:dyDescent="0.2">
      <c r="B4602" s="1">
        <f t="shared" si="264"/>
        <v>4587</v>
      </c>
      <c r="C4602" s="101">
        <f ca="1"/>
        <v>0.72304698868110207</v>
      </c>
      <c r="D4602" s="101">
        <f t="shared" ca="1" si="261"/>
        <v>0.71362702338015627</v>
      </c>
      <c r="E4602" s="101">
        <f t="shared" ca="1" si="262"/>
        <v>0</v>
      </c>
      <c r="F4602" s="21">
        <f t="shared" ca="1" si="263"/>
        <v>0</v>
      </c>
      <c r="H4602" s="21">
        <v>4587</v>
      </c>
      <c r="I4602" s="102">
        <v>0.66782208471520577</v>
      </c>
      <c r="J4602" s="103">
        <v>1.5186332766234842E-3</v>
      </c>
      <c r="K4602" s="103"/>
      <c r="L4602" s="103">
        <v>4.3400000000000001E-2</v>
      </c>
      <c r="O4602" s="100"/>
    </row>
    <row r="4603" spans="2:15" x14ac:dyDescent="0.2">
      <c r="B4603" s="1">
        <f t="shared" si="264"/>
        <v>4588</v>
      </c>
      <c r="C4603" s="101">
        <f ca="1"/>
        <v>1.0335855292354887</v>
      </c>
      <c r="D4603" s="101">
        <f t="shared" ca="1" si="261"/>
        <v>0.7358250472837875</v>
      </c>
      <c r="E4603" s="101">
        <f t="shared" ca="1" si="262"/>
        <v>0</v>
      </c>
      <c r="F4603" s="21">
        <f t="shared" ca="1" si="263"/>
        <v>0</v>
      </c>
      <c r="H4603" s="21">
        <v>4588</v>
      </c>
      <c r="I4603" s="102">
        <v>0.66760515504680673</v>
      </c>
      <c r="J4603" s="103">
        <v>1.1346809437684862E-3</v>
      </c>
      <c r="K4603" s="103"/>
      <c r="L4603" s="103">
        <v>3.9199999999999999E-2</v>
      </c>
      <c r="O4603" s="100"/>
    </row>
    <row r="4604" spans="2:15" x14ac:dyDescent="0.2">
      <c r="B4604" s="1">
        <f t="shared" si="264"/>
        <v>4589</v>
      </c>
      <c r="C4604" s="101">
        <f ca="1"/>
        <v>0.14361707315245978</v>
      </c>
      <c r="D4604" s="101">
        <f t="shared" ca="1" si="261"/>
        <v>0.6739828830886857</v>
      </c>
      <c r="E4604" s="101">
        <f t="shared" ca="1" si="262"/>
        <v>0</v>
      </c>
      <c r="F4604" s="21">
        <f t="shared" ca="1" si="263"/>
        <v>0</v>
      </c>
      <c r="H4604" s="21">
        <v>4589</v>
      </c>
      <c r="I4604" s="102">
        <v>0.66773946454456012</v>
      </c>
      <c r="J4604" s="103">
        <v>1.3448461889793055E-3</v>
      </c>
      <c r="K4604" s="103"/>
      <c r="L4604" s="103">
        <v>4.3799999999999999E-2</v>
      </c>
      <c r="O4604" s="100"/>
    </row>
    <row r="4605" spans="2:15" x14ac:dyDescent="0.2">
      <c r="B4605" s="1">
        <f t="shared" si="264"/>
        <v>4590</v>
      </c>
      <c r="C4605" s="101">
        <f ca="1"/>
        <v>-1.1919675312421603</v>
      </c>
      <c r="D4605" s="101">
        <f t="shared" ca="1" si="261"/>
        <v>0.59079015018847703</v>
      </c>
      <c r="E4605" s="101">
        <f t="shared" ca="1" si="262"/>
        <v>0</v>
      </c>
      <c r="F4605" s="21">
        <f t="shared" ca="1" si="263"/>
        <v>0</v>
      </c>
      <c r="H4605" s="21">
        <v>4590</v>
      </c>
      <c r="I4605" s="102">
        <v>0.66779586998116125</v>
      </c>
      <c r="J4605" s="103">
        <v>1.3686153906326761E-3</v>
      </c>
      <c r="K4605" s="103"/>
      <c r="L4605" s="103">
        <v>4.1399999999999999E-2</v>
      </c>
      <c r="O4605" s="100"/>
    </row>
    <row r="4606" spans="2:15" x14ac:dyDescent="0.2">
      <c r="B4606" s="1">
        <f t="shared" si="264"/>
        <v>4591</v>
      </c>
      <c r="C4606" s="101">
        <f ca="1"/>
        <v>1.7598471090174548</v>
      </c>
      <c r="D4606" s="101">
        <f t="shared" ca="1" si="261"/>
        <v>0.79047322733326386</v>
      </c>
      <c r="E4606" s="101">
        <f t="shared" ca="1" si="262"/>
        <v>2.2732273332638497E-3</v>
      </c>
      <c r="F4606" s="21">
        <f t="shared" ca="1" si="263"/>
        <v>1</v>
      </c>
      <c r="H4606" s="21">
        <v>4591</v>
      </c>
      <c r="I4606" s="102">
        <v>0.66787758981397927</v>
      </c>
      <c r="J4606" s="103">
        <v>1.5103855659299374E-3</v>
      </c>
      <c r="K4606" s="103"/>
      <c r="L4606" s="103">
        <v>4.4600000000000001E-2</v>
      </c>
      <c r="O4606" s="100"/>
    </row>
    <row r="4607" spans="2:15" x14ac:dyDescent="0.2">
      <c r="B4607" s="1">
        <f t="shared" si="264"/>
        <v>4592</v>
      </c>
      <c r="C4607" s="101">
        <f ca="1"/>
        <v>1.0010811576226302</v>
      </c>
      <c r="D4607" s="101">
        <f t="shared" ca="1" si="261"/>
        <v>0.73346956851212997</v>
      </c>
      <c r="E4607" s="101">
        <f t="shared" ca="1" si="262"/>
        <v>0</v>
      </c>
      <c r="F4607" s="21">
        <f t="shared" ca="1" si="263"/>
        <v>0</v>
      </c>
      <c r="H4607" s="21">
        <v>4592</v>
      </c>
      <c r="I4607" s="102">
        <v>0.66774221090653507</v>
      </c>
      <c r="J4607" s="103">
        <v>1.4368907604413843E-3</v>
      </c>
      <c r="K4607" s="103"/>
      <c r="L4607" s="103">
        <v>4.2799999999999998E-2</v>
      </c>
      <c r="O4607" s="100"/>
    </row>
    <row r="4608" spans="2:15" x14ac:dyDescent="0.2">
      <c r="B4608" s="1">
        <f t="shared" si="264"/>
        <v>4593</v>
      </c>
      <c r="C4608" s="101">
        <f ca="1"/>
        <v>3.4290093892405359E-3</v>
      </c>
      <c r="D4608" s="101">
        <f t="shared" ca="1" si="261"/>
        <v>0.66472696547521049</v>
      </c>
      <c r="E4608" s="101">
        <f t="shared" ca="1" si="262"/>
        <v>0</v>
      </c>
      <c r="F4608" s="21">
        <f t="shared" ca="1" si="263"/>
        <v>0</v>
      </c>
      <c r="H4608" s="21">
        <v>4593</v>
      </c>
      <c r="I4608" s="102">
        <v>0.66791177823497661</v>
      </c>
      <c r="J4608" s="103">
        <v>1.5767646656180674E-3</v>
      </c>
      <c r="K4608" s="103"/>
      <c r="L4608" s="103">
        <v>4.58E-2</v>
      </c>
      <c r="O4608" s="100"/>
    </row>
    <row r="4609" spans="2:15" x14ac:dyDescent="0.2">
      <c r="B4609" s="1">
        <f t="shared" si="264"/>
        <v>4594</v>
      </c>
      <c r="C4609" s="101">
        <f ca="1"/>
        <v>-3.7612175045152421E-2</v>
      </c>
      <c r="D4609" s="101">
        <f t="shared" ca="1" si="261"/>
        <v>0.66204135334143477</v>
      </c>
      <c r="E4609" s="101">
        <f t="shared" ca="1" si="262"/>
        <v>0</v>
      </c>
      <c r="F4609" s="21">
        <f t="shared" ca="1" si="263"/>
        <v>0</v>
      </c>
      <c r="H4609" s="21">
        <v>4594</v>
      </c>
      <c r="I4609" s="102">
        <v>0.66781011994295103</v>
      </c>
      <c r="J4609" s="103">
        <v>1.482116118733405E-3</v>
      </c>
      <c r="K4609" s="103"/>
      <c r="L4609" s="103">
        <v>4.4999999999999998E-2</v>
      </c>
      <c r="O4609" s="100"/>
    </row>
    <row r="4610" spans="2:15" x14ac:dyDescent="0.2">
      <c r="B4610" s="1">
        <f t="shared" si="264"/>
        <v>4595</v>
      </c>
      <c r="C4610" s="101">
        <f ca="1"/>
        <v>-1.8183487817171551</v>
      </c>
      <c r="D4610" s="101">
        <f t="shared" ca="1" si="261"/>
        <v>0.55539179495527846</v>
      </c>
      <c r="E4610" s="101">
        <f t="shared" ca="1" si="262"/>
        <v>0</v>
      </c>
      <c r="F4610" s="21">
        <f t="shared" ca="1" si="263"/>
        <v>0</v>
      </c>
      <c r="H4610" s="21">
        <v>4595</v>
      </c>
      <c r="I4610" s="102">
        <v>0.66778993811805865</v>
      </c>
      <c r="J4610" s="103">
        <v>1.4182134592864151E-3</v>
      </c>
      <c r="K4610" s="103"/>
      <c r="L4610" s="103">
        <v>4.6199999999999998E-2</v>
      </c>
      <c r="O4610" s="100"/>
    </row>
    <row r="4611" spans="2:15" x14ac:dyDescent="0.2">
      <c r="B4611" s="1">
        <f t="shared" si="264"/>
        <v>4596</v>
      </c>
      <c r="C4611" s="101">
        <f ca="1"/>
        <v>-1.0744764165703906</v>
      </c>
      <c r="D4611" s="101">
        <f t="shared" ca="1" si="261"/>
        <v>0.59767693042976566</v>
      </c>
      <c r="E4611" s="101">
        <f t="shared" ca="1" si="262"/>
        <v>0</v>
      </c>
      <c r="F4611" s="21">
        <f t="shared" ca="1" si="263"/>
        <v>0</v>
      </c>
      <c r="H4611" s="21">
        <v>4596</v>
      </c>
      <c r="I4611" s="102">
        <v>0.66771750418833886</v>
      </c>
      <c r="J4611" s="103">
        <v>1.2724980165642764E-3</v>
      </c>
      <c r="K4611" s="103"/>
      <c r="L4611" s="103">
        <v>4.02E-2</v>
      </c>
      <c r="O4611" s="100"/>
    </row>
    <row r="4612" spans="2:15" x14ac:dyDescent="0.2">
      <c r="B4612" s="1">
        <f t="shared" si="264"/>
        <v>4597</v>
      </c>
      <c r="C4612" s="101">
        <f ca="1"/>
        <v>0.74997793195474538</v>
      </c>
      <c r="D4612" s="101">
        <f t="shared" ca="1" si="261"/>
        <v>0.71552529665450648</v>
      </c>
      <c r="E4612" s="101">
        <f t="shared" ca="1" si="262"/>
        <v>0</v>
      </c>
      <c r="F4612" s="21">
        <f t="shared" ca="1" si="263"/>
        <v>0</v>
      </c>
      <c r="H4612" s="21">
        <v>4597</v>
      </c>
      <c r="I4612" s="102">
        <v>0.66776794751525526</v>
      </c>
      <c r="J4612" s="103">
        <v>1.4643934229454719E-3</v>
      </c>
      <c r="K4612" s="103"/>
      <c r="L4612" s="103">
        <v>4.1799999999999997E-2</v>
      </c>
      <c r="O4612" s="100"/>
    </row>
    <row r="4613" spans="2:15" x14ac:dyDescent="0.2">
      <c r="B4613" s="1">
        <f t="shared" si="264"/>
        <v>4598</v>
      </c>
      <c r="C4613" s="101">
        <f ca="1"/>
        <v>0.39761009755755961</v>
      </c>
      <c r="D4613" s="101">
        <f t="shared" ca="1" si="261"/>
        <v>0.69108230263753156</v>
      </c>
      <c r="E4613" s="101">
        <f t="shared" ca="1" si="262"/>
        <v>0</v>
      </c>
      <c r="F4613" s="21">
        <f t="shared" ca="1" si="263"/>
        <v>0</v>
      </c>
      <c r="H4613" s="21">
        <v>4598</v>
      </c>
      <c r="I4613" s="102">
        <v>0.66769550255276466</v>
      </c>
      <c r="J4613" s="103">
        <v>1.303407798847387E-3</v>
      </c>
      <c r="K4613" s="103"/>
      <c r="L4613" s="103">
        <v>3.9800000000000002E-2</v>
      </c>
      <c r="O4613" s="100"/>
    </row>
    <row r="4614" spans="2:15" x14ac:dyDescent="0.2">
      <c r="B4614" s="1">
        <f t="shared" si="264"/>
        <v>4599</v>
      </c>
      <c r="C4614" s="101">
        <f ca="1"/>
        <v>-1.2676157691996199</v>
      </c>
      <c r="D4614" s="101">
        <f t="shared" ca="1" si="261"/>
        <v>0.58639805636405318</v>
      </c>
      <c r="E4614" s="101">
        <f t="shared" ca="1" si="262"/>
        <v>0</v>
      </c>
      <c r="F4614" s="21">
        <f t="shared" ca="1" si="263"/>
        <v>0</v>
      </c>
      <c r="H4614" s="21">
        <v>4599</v>
      </c>
      <c r="I4614" s="102">
        <v>0.66781809595777919</v>
      </c>
      <c r="J4614" s="103">
        <v>1.4703926174251673E-3</v>
      </c>
      <c r="K4614" s="103"/>
      <c r="L4614" s="103">
        <v>4.5400000000000003E-2</v>
      </c>
      <c r="O4614" s="100"/>
    </row>
    <row r="4615" spans="2:15" x14ac:dyDescent="0.2">
      <c r="B4615" s="1">
        <f t="shared" si="264"/>
        <v>4600</v>
      </c>
      <c r="C4615" s="101">
        <f ca="1"/>
        <v>-1.0597156198708673</v>
      </c>
      <c r="D4615" s="101">
        <f t="shared" ca="1" si="261"/>
        <v>0.59854779656429535</v>
      </c>
      <c r="E4615" s="101">
        <f t="shared" ca="1" si="262"/>
        <v>0</v>
      </c>
      <c r="F4615" s="21">
        <f t="shared" ca="1" si="263"/>
        <v>0</v>
      </c>
      <c r="H4615" s="21">
        <v>4600</v>
      </c>
      <c r="I4615" s="102">
        <v>0.66772228300999281</v>
      </c>
      <c r="J4615" s="103">
        <v>1.3095035423973727E-3</v>
      </c>
      <c r="K4615" s="103"/>
      <c r="L4615" s="103">
        <v>4.1200000000000001E-2</v>
      </c>
      <c r="O4615" s="100"/>
    </row>
    <row r="4616" spans="2:15" x14ac:dyDescent="0.2">
      <c r="B4616" s="1">
        <f t="shared" si="264"/>
        <v>4601</v>
      </c>
      <c r="C4616" s="101">
        <f ca="1"/>
        <v>-0.66588777282235367</v>
      </c>
      <c r="D4616" s="101">
        <f t="shared" ca="1" si="261"/>
        <v>0.62225755547389994</v>
      </c>
      <c r="E4616" s="101">
        <f t="shared" ca="1" si="262"/>
        <v>0</v>
      </c>
      <c r="F4616" s="21">
        <f t="shared" ca="1" si="263"/>
        <v>0</v>
      </c>
      <c r="H4616" s="21">
        <v>4601</v>
      </c>
      <c r="I4616" s="102">
        <v>0.66760202455713946</v>
      </c>
      <c r="J4616" s="103">
        <v>1.3059931902414282E-3</v>
      </c>
      <c r="K4616" s="103"/>
      <c r="L4616" s="103">
        <v>3.9199999999999999E-2</v>
      </c>
      <c r="O4616" s="100"/>
    </row>
    <row r="4617" spans="2:15" x14ac:dyDescent="0.2">
      <c r="B4617" s="1">
        <f t="shared" si="264"/>
        <v>4602</v>
      </c>
      <c r="C4617" s="101">
        <f ca="1"/>
        <v>-0.86792862869535259</v>
      </c>
      <c r="D4617" s="101">
        <f t="shared" ca="1" si="261"/>
        <v>0.60997898483002222</v>
      </c>
      <c r="E4617" s="101">
        <f t="shared" ca="1" si="262"/>
        <v>0</v>
      </c>
      <c r="F4617" s="21">
        <f t="shared" ca="1" si="263"/>
        <v>0</v>
      </c>
      <c r="H4617" s="21">
        <v>4602</v>
      </c>
      <c r="I4617" s="102">
        <v>0.66784291060994649</v>
      </c>
      <c r="J4617" s="103">
        <v>1.446998225393134E-3</v>
      </c>
      <c r="K4617" s="103"/>
      <c r="L4617" s="103">
        <v>4.58E-2</v>
      </c>
      <c r="O4617" s="100"/>
    </row>
    <row r="4618" spans="2:15" x14ac:dyDescent="0.2">
      <c r="B4618" s="1">
        <f t="shared" si="264"/>
        <v>4603</v>
      </c>
      <c r="C4618" s="101">
        <f ca="1"/>
        <v>0.68224274759270642</v>
      </c>
      <c r="D4618" s="101">
        <f t="shared" ca="1" si="261"/>
        <v>0.71076045852607095</v>
      </c>
      <c r="E4618" s="101">
        <f t="shared" ca="1" si="262"/>
        <v>0</v>
      </c>
      <c r="F4618" s="21">
        <f t="shared" ca="1" si="263"/>
        <v>0</v>
      </c>
      <c r="H4618" s="21">
        <v>4603</v>
      </c>
      <c r="I4618" s="102">
        <v>0.66783442980398533</v>
      </c>
      <c r="J4618" s="103">
        <v>1.4852714056483899E-3</v>
      </c>
      <c r="K4618" s="103"/>
      <c r="L4618" s="103">
        <v>4.3799999999999999E-2</v>
      </c>
      <c r="O4618" s="100"/>
    </row>
    <row r="4619" spans="2:15" x14ac:dyDescent="0.2">
      <c r="B4619" s="1">
        <f t="shared" si="264"/>
        <v>4604</v>
      </c>
      <c r="C4619" s="101">
        <f ca="1"/>
        <v>0.13677683268870855</v>
      </c>
      <c r="D4619" s="101">
        <f t="shared" ca="1" si="261"/>
        <v>0.67352827974113194</v>
      </c>
      <c r="E4619" s="101">
        <f t="shared" ca="1" si="262"/>
        <v>0</v>
      </c>
      <c r="F4619" s="21">
        <f t="shared" ca="1" si="263"/>
        <v>0</v>
      </c>
      <c r="H4619" s="21">
        <v>4604</v>
      </c>
      <c r="I4619" s="102">
        <v>0.66762761361289891</v>
      </c>
      <c r="J4619" s="103">
        <v>1.2433614012382975E-3</v>
      </c>
      <c r="K4619" s="103"/>
      <c r="L4619" s="103">
        <v>3.8600000000000002E-2</v>
      </c>
      <c r="O4619" s="100"/>
    </row>
    <row r="4620" spans="2:15" x14ac:dyDescent="0.2">
      <c r="B4620" s="1">
        <f t="shared" si="264"/>
        <v>4605</v>
      </c>
      <c r="C4620" s="101">
        <f ca="1"/>
        <v>0.69624224317758587</v>
      </c>
      <c r="D4620" s="101">
        <f t="shared" ca="1" si="261"/>
        <v>0.71174264612587634</v>
      </c>
      <c r="E4620" s="101">
        <f t="shared" ca="1" si="262"/>
        <v>0</v>
      </c>
      <c r="F4620" s="21">
        <f t="shared" ca="1" si="263"/>
        <v>0</v>
      </c>
      <c r="H4620" s="21">
        <v>4605</v>
      </c>
      <c r="I4620" s="102">
        <v>0.66773314466222122</v>
      </c>
      <c r="J4620" s="103">
        <v>1.3321166560385338E-3</v>
      </c>
      <c r="K4620" s="103"/>
      <c r="L4620" s="103">
        <v>4.1200000000000001E-2</v>
      </c>
      <c r="O4620" s="100"/>
    </row>
    <row r="4621" spans="2:15" x14ac:dyDescent="0.2">
      <c r="B4621" s="1">
        <f t="shared" si="264"/>
        <v>4606</v>
      </c>
      <c r="C4621" s="101">
        <f ca="1"/>
        <v>-8.113186193240382E-2</v>
      </c>
      <c r="D4621" s="101">
        <f t="shared" ca="1" si="261"/>
        <v>0.65920540748090739</v>
      </c>
      <c r="E4621" s="101">
        <f t="shared" ca="1" si="262"/>
        <v>0</v>
      </c>
      <c r="F4621" s="21">
        <f t="shared" ca="1" si="263"/>
        <v>0</v>
      </c>
      <c r="H4621" s="21">
        <v>4606</v>
      </c>
      <c r="I4621" s="102">
        <v>0.66778760918590729</v>
      </c>
      <c r="J4621" s="103">
        <v>1.3469842590590219E-3</v>
      </c>
      <c r="K4621" s="103"/>
      <c r="L4621" s="103">
        <v>3.9800000000000002E-2</v>
      </c>
      <c r="O4621" s="100"/>
    </row>
    <row r="4622" spans="2:15" x14ac:dyDescent="0.2">
      <c r="B4622" s="1">
        <f t="shared" si="264"/>
        <v>4607</v>
      </c>
      <c r="C4622" s="101">
        <f ca="1"/>
        <v>1.9041175118779561</v>
      </c>
      <c r="D4622" s="101">
        <f t="shared" ca="1" si="261"/>
        <v>0.80180289583298348</v>
      </c>
      <c r="E4622" s="101">
        <f t="shared" ca="1" si="262"/>
        <v>1.3602895832983464E-2</v>
      </c>
      <c r="F4622" s="21">
        <f t="shared" ca="1" si="263"/>
        <v>1</v>
      </c>
      <c r="H4622" s="21">
        <v>4607</v>
      </c>
      <c r="I4622" s="102">
        <v>0.66785847455962943</v>
      </c>
      <c r="J4622" s="103">
        <v>1.429617074394723E-3</v>
      </c>
      <c r="K4622" s="103"/>
      <c r="L4622" s="103">
        <v>4.4200000000000003E-2</v>
      </c>
      <c r="O4622" s="100"/>
    </row>
    <row r="4623" spans="2:15" x14ac:dyDescent="0.2">
      <c r="B4623" s="1">
        <f t="shared" si="264"/>
        <v>4608</v>
      </c>
      <c r="C4623" s="101">
        <f ca="1"/>
        <v>-1.6333517113592049</v>
      </c>
      <c r="D4623" s="101">
        <f t="shared" ca="1" si="261"/>
        <v>0.56561982080789952</v>
      </c>
      <c r="E4623" s="101">
        <f t="shared" ca="1" si="262"/>
        <v>0</v>
      </c>
      <c r="F4623" s="21">
        <f t="shared" ca="1" si="263"/>
        <v>0</v>
      </c>
      <c r="H4623" s="21">
        <v>4608</v>
      </c>
      <c r="I4623" s="102">
        <v>0.66771312593880972</v>
      </c>
      <c r="J4623" s="103">
        <v>1.3668499802734319E-3</v>
      </c>
      <c r="K4623" s="103"/>
      <c r="L4623" s="103">
        <v>4.36E-2</v>
      </c>
      <c r="O4623" s="100"/>
    </row>
    <row r="4624" spans="2:15" x14ac:dyDescent="0.2">
      <c r="B4624" s="1">
        <f t="shared" si="264"/>
        <v>4609</v>
      </c>
      <c r="C4624" s="101">
        <f ca="1"/>
        <v>0.27868835833357336</v>
      </c>
      <c r="D4624" s="101">
        <f t="shared" ref="D4624:D4687" ca="1" si="265">S0*EXP((μ-0.5*σ*σ)*T+σ*SQRT(T)*$C4624)</f>
        <v>0.68302285742236857</v>
      </c>
      <c r="E4624" s="101">
        <f t="shared" ref="E4624:E4687" ca="1" si="266">MAX(0,CP*(D4624-K))</f>
        <v>0</v>
      </c>
      <c r="F4624" s="21">
        <f t="shared" ref="F4624:F4687" ca="1" si="267">(CP*(D4624-K)&gt;0)*1</f>
        <v>0</v>
      </c>
      <c r="H4624" s="21">
        <v>4609</v>
      </c>
      <c r="I4624" s="102">
        <v>0.66789062990081061</v>
      </c>
      <c r="J4624" s="103">
        <v>1.5459285587375014E-3</v>
      </c>
      <c r="K4624" s="103"/>
      <c r="L4624" s="103">
        <v>4.8599999999999997E-2</v>
      </c>
      <c r="O4624" s="100"/>
    </row>
    <row r="4625" spans="2:15" x14ac:dyDescent="0.2">
      <c r="B4625" s="1">
        <f t="shared" si="264"/>
        <v>4610</v>
      </c>
      <c r="C4625" s="101">
        <f ca="1"/>
        <v>1.347439386150824</v>
      </c>
      <c r="D4625" s="101">
        <f t="shared" ca="1" si="265"/>
        <v>0.75896172165373466</v>
      </c>
      <c r="E4625" s="101">
        <f t="shared" ca="1" si="266"/>
        <v>0</v>
      </c>
      <c r="F4625" s="21">
        <f t="shared" ca="1" si="267"/>
        <v>0</v>
      </c>
      <c r="H4625" s="21">
        <v>4610</v>
      </c>
      <c r="I4625" s="102">
        <v>0.66797359339245299</v>
      </c>
      <c r="J4625" s="103">
        <v>1.5369594227673015E-3</v>
      </c>
      <c r="K4625" s="103"/>
      <c r="L4625" s="103">
        <v>4.8599999999999997E-2</v>
      </c>
      <c r="O4625" s="100"/>
    </row>
    <row r="4626" spans="2:15" x14ac:dyDescent="0.2">
      <c r="B4626" s="1">
        <f t="shared" si="264"/>
        <v>4611</v>
      </c>
      <c r="C4626" s="101">
        <f ca="1"/>
        <v>-2.2027262847447</v>
      </c>
      <c r="D4626" s="101">
        <f t="shared" ca="1" si="265"/>
        <v>0.53472804740737079</v>
      </c>
      <c r="E4626" s="101">
        <f t="shared" ca="1" si="266"/>
        <v>0</v>
      </c>
      <c r="F4626" s="21">
        <f t="shared" ca="1" si="267"/>
        <v>0</v>
      </c>
      <c r="H4626" s="21">
        <v>4611</v>
      </c>
      <c r="I4626" s="102">
        <v>0.6676843346521204</v>
      </c>
      <c r="J4626" s="103">
        <v>1.2674810597795697E-3</v>
      </c>
      <c r="K4626" s="103"/>
      <c r="L4626" s="103">
        <v>3.8600000000000002E-2</v>
      </c>
      <c r="O4626" s="100"/>
    </row>
    <row r="4627" spans="2:15" x14ac:dyDescent="0.2">
      <c r="B4627" s="1">
        <f t="shared" si="264"/>
        <v>4612</v>
      </c>
      <c r="C4627" s="101">
        <f ca="1"/>
        <v>0.39307723221471941</v>
      </c>
      <c r="D4627" s="101">
        <f t="shared" ca="1" si="265"/>
        <v>0.69077336956693292</v>
      </c>
      <c r="E4627" s="101">
        <f t="shared" ca="1" si="266"/>
        <v>0</v>
      </c>
      <c r="F4627" s="21">
        <f t="shared" ca="1" si="267"/>
        <v>0</v>
      </c>
      <c r="H4627" s="21">
        <v>4612</v>
      </c>
      <c r="I4627" s="102">
        <v>0.66767071620258889</v>
      </c>
      <c r="J4627" s="103">
        <v>1.1931712868551016E-3</v>
      </c>
      <c r="K4627" s="103"/>
      <c r="L4627" s="103">
        <v>3.9399999999999998E-2</v>
      </c>
      <c r="O4627" s="100"/>
    </row>
    <row r="4628" spans="2:15" x14ac:dyDescent="0.2">
      <c r="B4628" s="1">
        <f t="shared" si="264"/>
        <v>4613</v>
      </c>
      <c r="C4628" s="101">
        <f ca="1"/>
        <v>-1.6401621843119918</v>
      </c>
      <c r="D4628" s="101">
        <f t="shared" ca="1" si="265"/>
        <v>0.56523996836569224</v>
      </c>
      <c r="E4628" s="101">
        <f t="shared" ca="1" si="266"/>
        <v>0</v>
      </c>
      <c r="F4628" s="21">
        <f t="shared" ca="1" si="267"/>
        <v>0</v>
      </c>
      <c r="H4628" s="21">
        <v>4613</v>
      </c>
      <c r="I4628" s="102">
        <v>0.66781182317219012</v>
      </c>
      <c r="J4628" s="103">
        <v>1.3987421968228251E-3</v>
      </c>
      <c r="K4628" s="103"/>
      <c r="L4628" s="103">
        <v>4.2000000000000003E-2</v>
      </c>
      <c r="O4628" s="100"/>
    </row>
    <row r="4629" spans="2:15" x14ac:dyDescent="0.2">
      <c r="B4629" s="1">
        <f t="shared" si="264"/>
        <v>4614</v>
      </c>
      <c r="C4629" s="101">
        <f ca="1"/>
        <v>0.6228702563332732</v>
      </c>
      <c r="D4629" s="101">
        <f t="shared" ca="1" si="265"/>
        <v>0.70660999776865896</v>
      </c>
      <c r="E4629" s="101">
        <f t="shared" ca="1" si="266"/>
        <v>0</v>
      </c>
      <c r="F4629" s="21">
        <f t="shared" ca="1" si="267"/>
        <v>0</v>
      </c>
      <c r="H4629" s="21">
        <v>4614</v>
      </c>
      <c r="I4629" s="102">
        <v>0.66762489367686573</v>
      </c>
      <c r="J4629" s="103">
        <v>1.2239804761468992E-3</v>
      </c>
      <c r="K4629" s="103"/>
      <c r="L4629" s="103">
        <v>3.8600000000000002E-2</v>
      </c>
      <c r="O4629" s="100"/>
    </row>
    <row r="4630" spans="2:15" x14ac:dyDescent="0.2">
      <c r="B4630" s="1">
        <f t="shared" si="264"/>
        <v>4615</v>
      </c>
      <c r="C4630" s="101">
        <f ca="1"/>
        <v>-0.67816462097317765</v>
      </c>
      <c r="D4630" s="101">
        <f t="shared" ca="1" si="265"/>
        <v>0.62150445482183891</v>
      </c>
      <c r="E4630" s="101">
        <f t="shared" ca="1" si="266"/>
        <v>0</v>
      </c>
      <c r="F4630" s="21">
        <f t="shared" ca="1" si="267"/>
        <v>0</v>
      </c>
      <c r="H4630" s="21">
        <v>4615</v>
      </c>
      <c r="I4630" s="102">
        <v>0.66775939912633187</v>
      </c>
      <c r="J4630" s="103">
        <v>1.3049792426090469E-3</v>
      </c>
      <c r="K4630" s="103"/>
      <c r="L4630" s="103">
        <v>4.1799999999999997E-2</v>
      </c>
      <c r="O4630" s="100"/>
    </row>
    <row r="4631" spans="2:15" x14ac:dyDescent="0.2">
      <c r="B4631" s="1">
        <f t="shared" si="264"/>
        <v>4616</v>
      </c>
      <c r="C4631" s="101">
        <f ca="1"/>
        <v>1.7272097623429075</v>
      </c>
      <c r="D4631" s="101">
        <f t="shared" ca="1" si="265"/>
        <v>0.7879324768537177</v>
      </c>
      <c r="E4631" s="101">
        <f t="shared" ca="1" si="266"/>
        <v>0</v>
      </c>
      <c r="F4631" s="21">
        <f t="shared" ca="1" si="267"/>
        <v>0</v>
      </c>
      <c r="H4631" s="21">
        <v>4616</v>
      </c>
      <c r="I4631" s="102">
        <v>0.66778096060702619</v>
      </c>
      <c r="J4631" s="103">
        <v>1.4567448561780239E-3</v>
      </c>
      <c r="K4631" s="103"/>
      <c r="L4631" s="103">
        <v>4.1399999999999999E-2</v>
      </c>
      <c r="O4631" s="100"/>
    </row>
    <row r="4632" spans="2:15" x14ac:dyDescent="0.2">
      <c r="B4632" s="1">
        <f t="shared" si="264"/>
        <v>4617</v>
      </c>
      <c r="C4632" s="101">
        <f ca="1"/>
        <v>0.49059857233876514</v>
      </c>
      <c r="D4632" s="101">
        <f t="shared" ca="1" si="265"/>
        <v>0.69745042065789831</v>
      </c>
      <c r="E4632" s="101">
        <f t="shared" ca="1" si="266"/>
        <v>0</v>
      </c>
      <c r="F4632" s="21">
        <f t="shared" ca="1" si="267"/>
        <v>0</v>
      </c>
      <c r="H4632" s="21">
        <v>4617</v>
      </c>
      <c r="I4632" s="102">
        <v>0.66778942676138908</v>
      </c>
      <c r="J4632" s="103">
        <v>1.3848740188895673E-3</v>
      </c>
      <c r="K4632" s="103"/>
      <c r="L4632" s="103">
        <v>4.36E-2</v>
      </c>
      <c r="O4632" s="100"/>
    </row>
    <row r="4633" spans="2:15" x14ac:dyDescent="0.2">
      <c r="B4633" s="1">
        <f t="shared" si="264"/>
        <v>4618</v>
      </c>
      <c r="C4633" s="101">
        <f ca="1"/>
        <v>-0.11877728493197301</v>
      </c>
      <c r="D4633" s="101">
        <f t="shared" ca="1" si="265"/>
        <v>0.65676205715951252</v>
      </c>
      <c r="E4633" s="101">
        <f t="shared" ca="1" si="266"/>
        <v>0</v>
      </c>
      <c r="F4633" s="21">
        <f t="shared" ca="1" si="267"/>
        <v>0</v>
      </c>
      <c r="H4633" s="21">
        <v>4618</v>
      </c>
      <c r="I4633" s="102">
        <v>0.66772018189413429</v>
      </c>
      <c r="J4633" s="103">
        <v>1.2914287278541548E-3</v>
      </c>
      <c r="K4633" s="103"/>
      <c r="L4633" s="103">
        <v>3.8600000000000002E-2</v>
      </c>
      <c r="O4633" s="100"/>
    </row>
    <row r="4634" spans="2:15" x14ac:dyDescent="0.2">
      <c r="B4634" s="1">
        <f t="shared" si="264"/>
        <v>4619</v>
      </c>
      <c r="C4634" s="101">
        <f ca="1"/>
        <v>-0.97470140842763198</v>
      </c>
      <c r="D4634" s="101">
        <f t="shared" ca="1" si="265"/>
        <v>0.60358827218606559</v>
      </c>
      <c r="E4634" s="101">
        <f t="shared" ca="1" si="266"/>
        <v>0</v>
      </c>
      <c r="F4634" s="21">
        <f t="shared" ca="1" si="267"/>
        <v>0</v>
      </c>
      <c r="H4634" s="21">
        <v>4619</v>
      </c>
      <c r="I4634" s="102">
        <v>0.6678303721408273</v>
      </c>
      <c r="J4634" s="103">
        <v>1.4501886862527767E-3</v>
      </c>
      <c r="K4634" s="103"/>
      <c r="L4634" s="103">
        <v>4.2200000000000001E-2</v>
      </c>
      <c r="O4634" s="100"/>
    </row>
    <row r="4635" spans="2:15" x14ac:dyDescent="0.2">
      <c r="B4635" s="1">
        <f t="shared" si="264"/>
        <v>4620</v>
      </c>
      <c r="C4635" s="101">
        <f ca="1"/>
        <v>-0.56426245952249954</v>
      </c>
      <c r="D4635" s="101">
        <f t="shared" ca="1" si="265"/>
        <v>0.62852671870805843</v>
      </c>
      <c r="E4635" s="101">
        <f t="shared" ca="1" si="266"/>
        <v>0</v>
      </c>
      <c r="F4635" s="21">
        <f t="shared" ca="1" si="267"/>
        <v>0</v>
      </c>
      <c r="H4635" s="21">
        <v>4620</v>
      </c>
      <c r="I4635" s="102">
        <v>0.66753496246568522</v>
      </c>
      <c r="J4635" s="103">
        <v>1.1582953504831741E-3</v>
      </c>
      <c r="K4635" s="103"/>
      <c r="L4635" s="103">
        <v>3.4599999999999999E-2</v>
      </c>
      <c r="O4635" s="100"/>
    </row>
    <row r="4636" spans="2:15" x14ac:dyDescent="0.2">
      <c r="B4636" s="1">
        <f t="shared" si="264"/>
        <v>4621</v>
      </c>
      <c r="C4636" s="101">
        <f ca="1"/>
        <v>0.19979886039862704</v>
      </c>
      <c r="D4636" s="101">
        <f t="shared" ca="1" si="265"/>
        <v>0.67772836126413005</v>
      </c>
      <c r="E4636" s="101">
        <f t="shared" ca="1" si="266"/>
        <v>0</v>
      </c>
      <c r="F4636" s="21">
        <f t="shared" ca="1" si="267"/>
        <v>0</v>
      </c>
      <c r="H4636" s="21">
        <v>4621</v>
      </c>
      <c r="I4636" s="102">
        <v>0.6678916213166759</v>
      </c>
      <c r="J4636" s="103">
        <v>1.4555205277774507E-3</v>
      </c>
      <c r="K4636" s="103"/>
      <c r="L4636" s="103">
        <v>4.4600000000000001E-2</v>
      </c>
      <c r="O4636" s="100"/>
    </row>
    <row r="4637" spans="2:15" x14ac:dyDescent="0.2">
      <c r="B4637" s="1">
        <f t="shared" si="264"/>
        <v>4622</v>
      </c>
      <c r="C4637" s="101">
        <f ca="1"/>
        <v>-0.71667086434427807</v>
      </c>
      <c r="D4637" s="101">
        <f t="shared" ca="1" si="265"/>
        <v>0.61914826775848231</v>
      </c>
      <c r="E4637" s="101">
        <f t="shared" ca="1" si="266"/>
        <v>0</v>
      </c>
      <c r="F4637" s="21">
        <f t="shared" ca="1" si="267"/>
        <v>0</v>
      </c>
      <c r="H4637" s="21">
        <v>4622</v>
      </c>
      <c r="I4637" s="102">
        <v>0.66762803029601214</v>
      </c>
      <c r="J4637" s="103">
        <v>1.1145454045328009E-3</v>
      </c>
      <c r="K4637" s="103"/>
      <c r="L4637" s="103">
        <v>3.9399999999999998E-2</v>
      </c>
      <c r="O4637" s="100"/>
    </row>
    <row r="4638" spans="2:15" x14ac:dyDescent="0.2">
      <c r="B4638" s="1">
        <f t="shared" si="264"/>
        <v>4623</v>
      </c>
      <c r="C4638" s="101">
        <f ca="1"/>
        <v>-1.0540596932331256</v>
      </c>
      <c r="D4638" s="101">
        <f t="shared" ca="1" si="265"/>
        <v>0.59888182439917625</v>
      </c>
      <c r="E4638" s="101">
        <f t="shared" ca="1" si="266"/>
        <v>0</v>
      </c>
      <c r="F4638" s="21">
        <f t="shared" ca="1" si="267"/>
        <v>0</v>
      </c>
      <c r="H4638" s="21">
        <v>4623</v>
      </c>
      <c r="I4638" s="102">
        <v>0.66791143850162105</v>
      </c>
      <c r="J4638" s="103">
        <v>1.4754155539388812E-3</v>
      </c>
      <c r="K4638" s="103"/>
      <c r="L4638" s="103">
        <v>4.4999999999999998E-2</v>
      </c>
      <c r="O4638" s="100"/>
    </row>
    <row r="4639" spans="2:15" x14ac:dyDescent="0.2">
      <c r="B4639" s="1">
        <f t="shared" si="264"/>
        <v>4624</v>
      </c>
      <c r="C4639" s="101">
        <f ca="1"/>
        <v>-1.6808252521952105</v>
      </c>
      <c r="D4639" s="101">
        <f t="shared" ca="1" si="265"/>
        <v>0.56297729843022148</v>
      </c>
      <c r="E4639" s="101">
        <f t="shared" ca="1" si="266"/>
        <v>0</v>
      </c>
      <c r="F4639" s="21">
        <f t="shared" ca="1" si="267"/>
        <v>0</v>
      </c>
      <c r="H4639" s="21">
        <v>4624</v>
      </c>
      <c r="I4639" s="102">
        <v>0.66775238816979587</v>
      </c>
      <c r="J4639" s="103">
        <v>1.3894003124455105E-3</v>
      </c>
      <c r="K4639" s="103"/>
      <c r="L4639" s="103">
        <v>4.1000000000000002E-2</v>
      </c>
      <c r="O4639" s="100"/>
    </row>
    <row r="4640" spans="2:15" x14ac:dyDescent="0.2">
      <c r="B4640" s="1">
        <f t="shared" si="264"/>
        <v>4625</v>
      </c>
      <c r="C4640" s="101">
        <f ca="1"/>
        <v>-4.882913093966627E-3</v>
      </c>
      <c r="D4640" s="101">
        <f t="shared" ca="1" si="265"/>
        <v>0.66418217983057726</v>
      </c>
      <c r="E4640" s="101">
        <f t="shared" ca="1" si="266"/>
        <v>0</v>
      </c>
      <c r="F4640" s="21">
        <f t="shared" ca="1" si="267"/>
        <v>0</v>
      </c>
      <c r="H4640" s="21">
        <v>4625</v>
      </c>
      <c r="I4640" s="102">
        <v>0.66776326612309089</v>
      </c>
      <c r="J4640" s="103">
        <v>1.3552157859866353E-3</v>
      </c>
      <c r="K4640" s="103"/>
      <c r="L4640" s="103">
        <v>4.1599999999999998E-2</v>
      </c>
      <c r="O4640" s="100"/>
    </row>
    <row r="4641" spans="2:15" x14ac:dyDescent="0.2">
      <c r="B4641" s="1">
        <f t="shared" si="264"/>
        <v>4626</v>
      </c>
      <c r="C4641" s="101">
        <f ca="1"/>
        <v>1.4793986176930648E-2</v>
      </c>
      <c r="D4641" s="101">
        <f t="shared" ca="1" si="265"/>
        <v>0.66547257973897</v>
      </c>
      <c r="E4641" s="101">
        <f t="shared" ca="1" si="266"/>
        <v>0</v>
      </c>
      <c r="F4641" s="21">
        <f t="shared" ca="1" si="267"/>
        <v>0</v>
      </c>
      <c r="H4641" s="21">
        <v>4626</v>
      </c>
      <c r="I4641" s="102">
        <v>0.66756833156789996</v>
      </c>
      <c r="J4641" s="103">
        <v>1.1786764616647054E-3</v>
      </c>
      <c r="K4641" s="103"/>
      <c r="L4641" s="103">
        <v>3.5200000000000002E-2</v>
      </c>
      <c r="O4641" s="100"/>
    </row>
    <row r="4642" spans="2:15" x14ac:dyDescent="0.2">
      <c r="B4642" s="1">
        <f t="shared" si="264"/>
        <v>4627</v>
      </c>
      <c r="C4642" s="101">
        <f ca="1"/>
        <v>1.1031328018575939</v>
      </c>
      <c r="D4642" s="101">
        <f t="shared" ca="1" si="265"/>
        <v>0.74089033482203703</v>
      </c>
      <c r="E4642" s="101">
        <f t="shared" ca="1" si="266"/>
        <v>0</v>
      </c>
      <c r="F4642" s="21">
        <f t="shared" ca="1" si="267"/>
        <v>0</v>
      </c>
      <c r="H4642" s="21">
        <v>4627</v>
      </c>
      <c r="I4642" s="102">
        <v>0.66780201804766992</v>
      </c>
      <c r="J4642" s="103">
        <v>1.5611616475483875E-3</v>
      </c>
      <c r="K4642" s="103"/>
      <c r="L4642" s="103">
        <v>4.4400000000000002E-2</v>
      </c>
      <c r="O4642" s="100"/>
    </row>
    <row r="4643" spans="2:15" x14ac:dyDescent="0.2">
      <c r="B4643" s="1">
        <f t="shared" si="264"/>
        <v>4628</v>
      </c>
      <c r="C4643" s="101">
        <f ca="1"/>
        <v>0.20071565504540781</v>
      </c>
      <c r="D4643" s="101">
        <f t="shared" ca="1" si="265"/>
        <v>0.67778965361332821</v>
      </c>
      <c r="E4643" s="101">
        <f t="shared" ca="1" si="266"/>
        <v>0</v>
      </c>
      <c r="F4643" s="21">
        <f t="shared" ca="1" si="267"/>
        <v>0</v>
      </c>
      <c r="H4643" s="21">
        <v>4628</v>
      </c>
      <c r="I4643" s="102">
        <v>0.66762269290045073</v>
      </c>
      <c r="J4643" s="103">
        <v>1.1926405004790907E-3</v>
      </c>
      <c r="K4643" s="103"/>
      <c r="L4643" s="103">
        <v>4.1799999999999997E-2</v>
      </c>
      <c r="O4643" s="100"/>
    </row>
    <row r="4644" spans="2:15" x14ac:dyDescent="0.2">
      <c r="B4644" s="1">
        <f t="shared" si="264"/>
        <v>4629</v>
      </c>
      <c r="C4644" s="101">
        <f ca="1"/>
        <v>-0.77337487242806724</v>
      </c>
      <c r="D4644" s="101">
        <f t="shared" ca="1" si="265"/>
        <v>0.61569481670999093</v>
      </c>
      <c r="E4644" s="101">
        <f t="shared" ca="1" si="266"/>
        <v>0</v>
      </c>
      <c r="F4644" s="21">
        <f t="shared" ca="1" si="267"/>
        <v>0</v>
      </c>
      <c r="H4644" s="21">
        <v>4629</v>
      </c>
      <c r="I4644" s="102">
        <v>0.66776148134765767</v>
      </c>
      <c r="J4644" s="103">
        <v>1.4808005280668984E-3</v>
      </c>
      <c r="K4644" s="103"/>
      <c r="L4644" s="103">
        <v>4.1200000000000001E-2</v>
      </c>
      <c r="O4644" s="100"/>
    </row>
    <row r="4645" spans="2:15" x14ac:dyDescent="0.2">
      <c r="B4645" s="1">
        <f t="shared" si="264"/>
        <v>4630</v>
      </c>
      <c r="C4645" s="101">
        <f ca="1"/>
        <v>-0.85283602806565373</v>
      </c>
      <c r="D4645" s="101">
        <f t="shared" ca="1" si="265"/>
        <v>0.6108877698770756</v>
      </c>
      <c r="E4645" s="101">
        <f t="shared" ca="1" si="266"/>
        <v>0</v>
      </c>
      <c r="F4645" s="21">
        <f t="shared" ca="1" si="267"/>
        <v>0</v>
      </c>
      <c r="H4645" s="21">
        <v>4630</v>
      </c>
      <c r="I4645" s="102">
        <v>0.66781339418551799</v>
      </c>
      <c r="J4645" s="103">
        <v>1.5238333174392936E-3</v>
      </c>
      <c r="K4645" s="103"/>
      <c r="L4645" s="103">
        <v>4.2799999999999998E-2</v>
      </c>
      <c r="O4645" s="100"/>
    </row>
    <row r="4646" spans="2:15" x14ac:dyDescent="0.2">
      <c r="B4646" s="1">
        <f t="shared" si="264"/>
        <v>4631</v>
      </c>
      <c r="C4646" s="101">
        <f ca="1"/>
        <v>-0.87946561339776375</v>
      </c>
      <c r="D4646" s="101">
        <f t="shared" ca="1" si="265"/>
        <v>0.60928520927258856</v>
      </c>
      <c r="E4646" s="101">
        <f t="shared" ca="1" si="266"/>
        <v>0</v>
      </c>
      <c r="F4646" s="21">
        <f t="shared" ca="1" si="267"/>
        <v>0</v>
      </c>
      <c r="H4646" s="21">
        <v>4631</v>
      </c>
      <c r="I4646" s="102">
        <v>0.66789423599916098</v>
      </c>
      <c r="J4646" s="103">
        <v>1.3583553728260724E-3</v>
      </c>
      <c r="K4646" s="103"/>
      <c r="L4646" s="103">
        <v>4.1799999999999997E-2</v>
      </c>
      <c r="O4646" s="100"/>
    </row>
    <row r="4647" spans="2:15" x14ac:dyDescent="0.2">
      <c r="B4647" s="1">
        <f t="shared" si="264"/>
        <v>4632</v>
      </c>
      <c r="C4647" s="101">
        <f ca="1"/>
        <v>0.40687722124130188</v>
      </c>
      <c r="D4647" s="101">
        <f t="shared" ca="1" si="265"/>
        <v>0.69171432456454085</v>
      </c>
      <c r="E4647" s="101">
        <f t="shared" ca="1" si="266"/>
        <v>0</v>
      </c>
      <c r="F4647" s="21">
        <f t="shared" ca="1" si="267"/>
        <v>0</v>
      </c>
      <c r="H4647" s="21">
        <v>4632</v>
      </c>
      <c r="I4647" s="102">
        <v>0.66783165022175917</v>
      </c>
      <c r="J4647" s="103">
        <v>1.350262045087964E-3</v>
      </c>
      <c r="K4647" s="103"/>
      <c r="L4647" s="103">
        <v>4.1599999999999998E-2</v>
      </c>
      <c r="O4647" s="100"/>
    </row>
    <row r="4648" spans="2:15" x14ac:dyDescent="0.2">
      <c r="B4648" s="1">
        <f t="shared" si="264"/>
        <v>4633</v>
      </c>
      <c r="C4648" s="101">
        <f ca="1"/>
        <v>-0.64527354641791101</v>
      </c>
      <c r="D4648" s="101">
        <f t="shared" ca="1" si="265"/>
        <v>0.62352415040586595</v>
      </c>
      <c r="E4648" s="101">
        <f t="shared" ca="1" si="266"/>
        <v>0</v>
      </c>
      <c r="F4648" s="21">
        <f t="shared" ca="1" si="267"/>
        <v>0</v>
      </c>
      <c r="H4648" s="21">
        <v>4633</v>
      </c>
      <c r="I4648" s="102">
        <v>0.66763191615021056</v>
      </c>
      <c r="J4648" s="103">
        <v>1.2161222499892279E-3</v>
      </c>
      <c r="K4648" s="103"/>
      <c r="L4648" s="103">
        <v>3.9399999999999998E-2</v>
      </c>
      <c r="O4648" s="100"/>
    </row>
    <row r="4649" spans="2:15" x14ac:dyDescent="0.2">
      <c r="B4649" s="1">
        <f t="shared" si="264"/>
        <v>4634</v>
      </c>
      <c r="C4649" s="101">
        <f ca="1"/>
        <v>0.31783107602287441</v>
      </c>
      <c r="D4649" s="101">
        <f t="shared" ca="1" si="265"/>
        <v>0.68566516766678787</v>
      </c>
      <c r="E4649" s="101">
        <f t="shared" ca="1" si="266"/>
        <v>0</v>
      </c>
      <c r="F4649" s="21">
        <f t="shared" ca="1" si="267"/>
        <v>0</v>
      </c>
      <c r="H4649" s="21">
        <v>4634</v>
      </c>
      <c r="I4649" s="102">
        <v>0.66784031270729027</v>
      </c>
      <c r="J4649" s="103">
        <v>1.4873372913786159E-3</v>
      </c>
      <c r="K4649" s="103"/>
      <c r="L4649" s="103">
        <v>4.4200000000000003E-2</v>
      </c>
      <c r="O4649" s="100"/>
    </row>
    <row r="4650" spans="2:15" x14ac:dyDescent="0.2">
      <c r="B4650" s="1">
        <f t="shared" si="264"/>
        <v>4635</v>
      </c>
      <c r="C4650" s="101">
        <f ca="1"/>
        <v>-0.61604864679042104</v>
      </c>
      <c r="D4650" s="101">
        <f t="shared" ca="1" si="265"/>
        <v>0.62532422850038039</v>
      </c>
      <c r="E4650" s="101">
        <f t="shared" ca="1" si="266"/>
        <v>0</v>
      </c>
      <c r="F4650" s="21">
        <f t="shared" ca="1" si="267"/>
        <v>0</v>
      </c>
      <c r="H4650" s="21">
        <v>4635</v>
      </c>
      <c r="I4650" s="102">
        <v>0.66789407271881929</v>
      </c>
      <c r="J4650" s="103">
        <v>1.5766212052791533E-3</v>
      </c>
      <c r="K4650" s="103"/>
      <c r="L4650" s="103">
        <v>4.5999999999999999E-2</v>
      </c>
      <c r="O4650" s="100"/>
    </row>
    <row r="4651" spans="2:15" x14ac:dyDescent="0.2">
      <c r="B4651" s="1">
        <f t="shared" si="264"/>
        <v>4636</v>
      </c>
      <c r="C4651" s="101">
        <f ca="1"/>
        <v>-0.20400933938762675</v>
      </c>
      <c r="D4651" s="101">
        <f t="shared" ca="1" si="265"/>
        <v>0.65126354047950052</v>
      </c>
      <c r="E4651" s="101">
        <f t="shared" ca="1" si="266"/>
        <v>0</v>
      </c>
      <c r="F4651" s="21">
        <f t="shared" ca="1" si="267"/>
        <v>0</v>
      </c>
      <c r="H4651" s="21">
        <v>4636</v>
      </c>
      <c r="I4651" s="102">
        <v>0.66761592481665899</v>
      </c>
      <c r="J4651" s="103">
        <v>1.2303348077878353E-3</v>
      </c>
      <c r="K4651" s="103"/>
      <c r="L4651" s="103">
        <v>3.7400000000000003E-2</v>
      </c>
      <c r="O4651" s="100"/>
    </row>
    <row r="4652" spans="2:15" x14ac:dyDescent="0.2">
      <c r="B4652" s="1">
        <f t="shared" si="264"/>
        <v>4637</v>
      </c>
      <c r="C4652" s="101">
        <f ca="1"/>
        <v>0.25003297716766748</v>
      </c>
      <c r="D4652" s="101">
        <f t="shared" ca="1" si="265"/>
        <v>0.68109494774587442</v>
      </c>
      <c r="E4652" s="101">
        <f t="shared" ca="1" si="266"/>
        <v>0</v>
      </c>
      <c r="F4652" s="21">
        <f t="shared" ca="1" si="267"/>
        <v>0</v>
      </c>
      <c r="H4652" s="21">
        <v>4637</v>
      </c>
      <c r="I4652" s="102">
        <v>0.66754250164995499</v>
      </c>
      <c r="J4652" s="103">
        <v>1.1273988444692297E-3</v>
      </c>
      <c r="K4652" s="103"/>
      <c r="L4652" s="103">
        <v>3.6999999999999998E-2</v>
      </c>
      <c r="O4652" s="100"/>
    </row>
    <row r="4653" spans="2:15" x14ac:dyDescent="0.2">
      <c r="B4653" s="1">
        <f t="shared" si="264"/>
        <v>4638</v>
      </c>
      <c r="C4653" s="101">
        <f ca="1"/>
        <v>-0.75331615412675668</v>
      </c>
      <c r="D4653" s="101">
        <f t="shared" ca="1" si="265"/>
        <v>0.61691424790234362</v>
      </c>
      <c r="E4653" s="101">
        <f t="shared" ca="1" si="266"/>
        <v>0</v>
      </c>
      <c r="F4653" s="21">
        <f t="shared" ca="1" si="267"/>
        <v>0</v>
      </c>
      <c r="H4653" s="21">
        <v>4638</v>
      </c>
      <c r="I4653" s="102">
        <v>0.66759699530158478</v>
      </c>
      <c r="J4653" s="103">
        <v>1.2203020399585128E-3</v>
      </c>
      <c r="K4653" s="103"/>
      <c r="L4653" s="103">
        <v>3.9199999999999999E-2</v>
      </c>
      <c r="O4653" s="100"/>
    </row>
    <row r="4654" spans="2:15" x14ac:dyDescent="0.2">
      <c r="B4654" s="1">
        <f t="shared" si="264"/>
        <v>4639</v>
      </c>
      <c r="C4654" s="101">
        <f ca="1"/>
        <v>-0.32292765054936806</v>
      </c>
      <c r="D4654" s="101">
        <f t="shared" ca="1" si="265"/>
        <v>0.64366868182497827</v>
      </c>
      <c r="E4654" s="101">
        <f t="shared" ca="1" si="266"/>
        <v>0</v>
      </c>
      <c r="F4654" s="21">
        <f t="shared" ca="1" si="267"/>
        <v>0</v>
      </c>
      <c r="H4654" s="21">
        <v>4639</v>
      </c>
      <c r="I4654" s="102">
        <v>0.66767517224285655</v>
      </c>
      <c r="J4654" s="103">
        <v>1.2270367061927984E-3</v>
      </c>
      <c r="K4654" s="103"/>
      <c r="L4654" s="103">
        <v>4.1200000000000001E-2</v>
      </c>
      <c r="O4654" s="100"/>
    </row>
    <row r="4655" spans="2:15" x14ac:dyDescent="0.2">
      <c r="B4655" s="1">
        <f t="shared" si="264"/>
        <v>4640</v>
      </c>
      <c r="C4655" s="101">
        <f ca="1"/>
        <v>0.22733949647034937</v>
      </c>
      <c r="D4655" s="101">
        <f t="shared" ca="1" si="265"/>
        <v>0.67957201166736891</v>
      </c>
      <c r="E4655" s="101">
        <f t="shared" ca="1" si="266"/>
        <v>0</v>
      </c>
      <c r="F4655" s="21">
        <f t="shared" ca="1" si="267"/>
        <v>0</v>
      </c>
      <c r="H4655" s="21">
        <v>4640</v>
      </c>
      <c r="I4655" s="102">
        <v>0.6676901177127611</v>
      </c>
      <c r="J4655" s="103">
        <v>1.3736208815074836E-3</v>
      </c>
      <c r="K4655" s="103"/>
      <c r="L4655" s="103">
        <v>4.1000000000000002E-2</v>
      </c>
      <c r="O4655" s="100"/>
    </row>
    <row r="4656" spans="2:15" x14ac:dyDescent="0.2">
      <c r="B4656" s="1">
        <f t="shared" ref="B4656:B4719" si="268">B4655+1</f>
        <v>4641</v>
      </c>
      <c r="C4656" s="101">
        <f ca="1"/>
        <v>1.2032017702347348</v>
      </c>
      <c r="D4656" s="101">
        <f t="shared" ca="1" si="265"/>
        <v>0.74823982920261978</v>
      </c>
      <c r="E4656" s="101">
        <f t="shared" ca="1" si="266"/>
        <v>0</v>
      </c>
      <c r="F4656" s="21">
        <f t="shared" ca="1" si="267"/>
        <v>0</v>
      </c>
      <c r="H4656" s="21">
        <v>4641</v>
      </c>
      <c r="I4656" s="102">
        <v>0.66767101432075993</v>
      </c>
      <c r="J4656" s="103">
        <v>1.2171037945741534E-3</v>
      </c>
      <c r="K4656" s="103"/>
      <c r="L4656" s="103">
        <v>3.9800000000000002E-2</v>
      </c>
      <c r="O4656" s="100"/>
    </row>
    <row r="4657" spans="2:15" x14ac:dyDescent="0.2">
      <c r="B4657" s="1">
        <f t="shared" si="268"/>
        <v>4642</v>
      </c>
      <c r="C4657" s="101">
        <f ca="1"/>
        <v>0.18651867578220627</v>
      </c>
      <c r="D4657" s="101">
        <f t="shared" ca="1" si="265"/>
        <v>0.6768411352913779</v>
      </c>
      <c r="E4657" s="101">
        <f t="shared" ca="1" si="266"/>
        <v>0</v>
      </c>
      <c r="F4657" s="21">
        <f t="shared" ca="1" si="267"/>
        <v>0</v>
      </c>
      <c r="H4657" s="21">
        <v>4642</v>
      </c>
      <c r="I4657" s="102">
        <v>0.66782879437158438</v>
      </c>
      <c r="J4657" s="103">
        <v>1.5140808445077473E-3</v>
      </c>
      <c r="K4657" s="103"/>
      <c r="L4657" s="103">
        <v>4.2999999999999997E-2</v>
      </c>
      <c r="O4657" s="100"/>
    </row>
    <row r="4658" spans="2:15" x14ac:dyDescent="0.2">
      <c r="B4658" s="1">
        <f t="shared" si="268"/>
        <v>4643</v>
      </c>
      <c r="C4658" s="101">
        <f ca="1"/>
        <v>1.4976874821045614</v>
      </c>
      <c r="D4658" s="101">
        <f t="shared" ca="1" si="265"/>
        <v>0.77029381108024353</v>
      </c>
      <c r="E4658" s="101">
        <f t="shared" ca="1" si="266"/>
        <v>0</v>
      </c>
      <c r="F4658" s="21">
        <f t="shared" ca="1" si="267"/>
        <v>0</v>
      </c>
      <c r="H4658" s="21">
        <v>4643</v>
      </c>
      <c r="I4658" s="102">
        <v>0.66775660312254292</v>
      </c>
      <c r="J4658" s="103">
        <v>1.2889457061050315E-3</v>
      </c>
      <c r="K4658" s="103"/>
      <c r="L4658" s="103">
        <v>3.9199999999999999E-2</v>
      </c>
      <c r="O4658" s="100"/>
    </row>
    <row r="4659" spans="2:15" x14ac:dyDescent="0.2">
      <c r="B4659" s="1">
        <f t="shared" si="268"/>
        <v>4644</v>
      </c>
      <c r="C4659" s="101">
        <f ca="1"/>
        <v>-2.0413082453111686</v>
      </c>
      <c r="D4659" s="101">
        <f t="shared" ca="1" si="265"/>
        <v>0.54331039392177038</v>
      </c>
      <c r="E4659" s="101">
        <f t="shared" ca="1" si="266"/>
        <v>0</v>
      </c>
      <c r="F4659" s="21">
        <f t="shared" ca="1" si="267"/>
        <v>0</v>
      </c>
      <c r="H4659" s="21">
        <v>4644</v>
      </c>
      <c r="I4659" s="102">
        <v>0.66770494112102063</v>
      </c>
      <c r="J4659" s="103">
        <v>1.4081532369999731E-3</v>
      </c>
      <c r="K4659" s="103"/>
      <c r="L4659" s="103">
        <v>4.2999999999999997E-2</v>
      </c>
      <c r="O4659" s="100"/>
    </row>
    <row r="4660" spans="2:15" x14ac:dyDescent="0.2">
      <c r="B4660" s="1">
        <f t="shared" si="268"/>
        <v>4645</v>
      </c>
      <c r="C4660" s="101">
        <f ca="1"/>
        <v>-0.20997125290771518</v>
      </c>
      <c r="D4660" s="101">
        <f t="shared" ca="1" si="265"/>
        <v>0.65088065081575541</v>
      </c>
      <c r="E4660" s="101">
        <f t="shared" ca="1" si="266"/>
        <v>0</v>
      </c>
      <c r="F4660" s="21">
        <f t="shared" ca="1" si="267"/>
        <v>0</v>
      </c>
      <c r="H4660" s="21">
        <v>4645</v>
      </c>
      <c r="I4660" s="102">
        <v>0.66782892735702482</v>
      </c>
      <c r="J4660" s="103">
        <v>1.4181735896713287E-3</v>
      </c>
      <c r="K4660" s="103"/>
      <c r="L4660" s="103">
        <v>4.4400000000000002E-2</v>
      </c>
      <c r="O4660" s="100"/>
    </row>
    <row r="4661" spans="2:15" x14ac:dyDescent="0.2">
      <c r="B4661" s="1">
        <f t="shared" si="268"/>
        <v>4646</v>
      </c>
      <c r="C4661" s="101">
        <f ca="1"/>
        <v>1.3210890964245434</v>
      </c>
      <c r="D4661" s="101">
        <f t="shared" ca="1" si="265"/>
        <v>0.7569915690122242</v>
      </c>
      <c r="E4661" s="101">
        <f t="shared" ca="1" si="266"/>
        <v>0</v>
      </c>
      <c r="F4661" s="21">
        <f t="shared" ca="1" si="267"/>
        <v>0</v>
      </c>
      <c r="H4661" s="21">
        <v>4646</v>
      </c>
      <c r="I4661" s="102">
        <v>0.66772683431844482</v>
      </c>
      <c r="J4661" s="103">
        <v>1.419345864621316E-3</v>
      </c>
      <c r="K4661" s="103"/>
      <c r="L4661" s="103">
        <v>4.2999999999999997E-2</v>
      </c>
      <c r="O4661" s="100"/>
    </row>
    <row r="4662" spans="2:15" x14ac:dyDescent="0.2">
      <c r="B4662" s="1">
        <f t="shared" si="268"/>
        <v>4647</v>
      </c>
      <c r="C4662" s="101">
        <f ca="1"/>
        <v>1.2121040811274857</v>
      </c>
      <c r="D4662" s="101">
        <f t="shared" ca="1" si="265"/>
        <v>0.74889717392205912</v>
      </c>
      <c r="E4662" s="101">
        <f t="shared" ca="1" si="266"/>
        <v>0</v>
      </c>
      <c r="F4662" s="21">
        <f t="shared" ca="1" si="267"/>
        <v>0</v>
      </c>
      <c r="H4662" s="21">
        <v>4647</v>
      </c>
      <c r="I4662" s="102">
        <v>0.66765518875748975</v>
      </c>
      <c r="J4662" s="103">
        <v>1.3370572251333662E-3</v>
      </c>
      <c r="K4662" s="103"/>
      <c r="L4662" s="103">
        <v>4.1200000000000001E-2</v>
      </c>
      <c r="O4662" s="100"/>
    </row>
    <row r="4663" spans="2:15" x14ac:dyDescent="0.2">
      <c r="B4663" s="1">
        <f t="shared" si="268"/>
        <v>4648</v>
      </c>
      <c r="C4663" s="101">
        <f ca="1"/>
        <v>0.53935262918764204</v>
      </c>
      <c r="D4663" s="101">
        <f t="shared" ca="1" si="265"/>
        <v>0.70081265295796136</v>
      </c>
      <c r="E4663" s="101">
        <f t="shared" ca="1" si="266"/>
        <v>0</v>
      </c>
      <c r="F4663" s="21">
        <f t="shared" ca="1" si="267"/>
        <v>0</v>
      </c>
      <c r="H4663" s="21">
        <v>4648</v>
      </c>
      <c r="I4663" s="102">
        <v>0.66774802388533816</v>
      </c>
      <c r="J4663" s="103">
        <v>1.4553620095549666E-3</v>
      </c>
      <c r="K4663" s="103"/>
      <c r="L4663" s="103">
        <v>4.0599999999999997E-2</v>
      </c>
      <c r="O4663" s="100"/>
    </row>
    <row r="4664" spans="2:15" x14ac:dyDescent="0.2">
      <c r="B4664" s="1">
        <f t="shared" si="268"/>
        <v>4649</v>
      </c>
      <c r="C4664" s="101">
        <f ca="1"/>
        <v>-0.30987451272428851</v>
      </c>
      <c r="D4664" s="101">
        <f t="shared" ca="1" si="265"/>
        <v>0.64449798977220052</v>
      </c>
      <c r="E4664" s="101">
        <f t="shared" ca="1" si="266"/>
        <v>0</v>
      </c>
      <c r="F4664" s="21">
        <f t="shared" ca="1" si="267"/>
        <v>0</v>
      </c>
      <c r="H4664" s="21">
        <v>4649</v>
      </c>
      <c r="I4664" s="102">
        <v>0.66774551390907277</v>
      </c>
      <c r="J4664" s="103">
        <v>1.3073189250549281E-3</v>
      </c>
      <c r="K4664" s="103"/>
      <c r="L4664" s="103">
        <v>4.36E-2</v>
      </c>
      <c r="O4664" s="100"/>
    </row>
    <row r="4665" spans="2:15" x14ac:dyDescent="0.2">
      <c r="B4665" s="1">
        <f t="shared" si="268"/>
        <v>4650</v>
      </c>
      <c r="C4665" s="101">
        <f ca="1"/>
        <v>-0.28253304892429393</v>
      </c>
      <c r="D4665" s="101">
        <f t="shared" ca="1" si="265"/>
        <v>0.64623854579799533</v>
      </c>
      <c r="E4665" s="101">
        <f t="shared" ca="1" si="266"/>
        <v>0</v>
      </c>
      <c r="F4665" s="21">
        <f t="shared" ca="1" si="267"/>
        <v>0</v>
      </c>
      <c r="H4665" s="21">
        <v>4650</v>
      </c>
      <c r="I4665" s="102">
        <v>0.66778564540234098</v>
      </c>
      <c r="J4665" s="103">
        <v>1.3770342620685358E-3</v>
      </c>
      <c r="K4665" s="103"/>
      <c r="L4665" s="103">
        <v>0.04</v>
      </c>
      <c r="O4665" s="100"/>
    </row>
    <row r="4666" spans="2:15" x14ac:dyDescent="0.2">
      <c r="B4666" s="1">
        <f t="shared" si="268"/>
        <v>4651</v>
      </c>
      <c r="C4666" s="101">
        <f ca="1"/>
        <v>-1.3775767877882208</v>
      </c>
      <c r="D4666" s="101">
        <f t="shared" ca="1" si="265"/>
        <v>0.5800719429332859</v>
      </c>
      <c r="E4666" s="101">
        <f t="shared" ca="1" si="266"/>
        <v>0</v>
      </c>
      <c r="F4666" s="21">
        <f t="shared" ca="1" si="267"/>
        <v>0</v>
      </c>
      <c r="H4666" s="21">
        <v>4651</v>
      </c>
      <c r="I4666" s="102">
        <v>0.66763882647885098</v>
      </c>
      <c r="J4666" s="103">
        <v>1.2947208028673603E-3</v>
      </c>
      <c r="K4666" s="103"/>
      <c r="L4666" s="103">
        <v>3.8399999999999997E-2</v>
      </c>
      <c r="O4666" s="100"/>
    </row>
    <row r="4667" spans="2:15" x14ac:dyDescent="0.2">
      <c r="B4667" s="1">
        <f t="shared" si="268"/>
        <v>4652</v>
      </c>
      <c r="C4667" s="101">
        <f ca="1"/>
        <v>0.84142554038689732</v>
      </c>
      <c r="D4667" s="101">
        <f t="shared" ca="1" si="265"/>
        <v>0.72200890088894687</v>
      </c>
      <c r="E4667" s="101">
        <f t="shared" ca="1" si="266"/>
        <v>0</v>
      </c>
      <c r="F4667" s="21">
        <f t="shared" ca="1" si="267"/>
        <v>0</v>
      </c>
      <c r="H4667" s="21">
        <v>4652</v>
      </c>
      <c r="I4667" s="102">
        <v>0.66771536551858712</v>
      </c>
      <c r="J4667" s="103">
        <v>1.376563127169081E-3</v>
      </c>
      <c r="K4667" s="103"/>
      <c r="L4667" s="103">
        <v>4.1200000000000001E-2</v>
      </c>
      <c r="O4667" s="100"/>
    </row>
    <row r="4668" spans="2:15" x14ac:dyDescent="0.2">
      <c r="B4668" s="1">
        <f t="shared" si="268"/>
        <v>4653</v>
      </c>
      <c r="C4668" s="101">
        <f ca="1"/>
        <v>0.41125651391377049</v>
      </c>
      <c r="D4668" s="101">
        <f t="shared" ca="1" si="265"/>
        <v>0.69201319533773165</v>
      </c>
      <c r="E4668" s="101">
        <f t="shared" ca="1" si="266"/>
        <v>0</v>
      </c>
      <c r="F4668" s="21">
        <f t="shared" ca="1" si="267"/>
        <v>0</v>
      </c>
      <c r="H4668" s="21">
        <v>4653</v>
      </c>
      <c r="I4668" s="102">
        <v>0.66771114397454168</v>
      </c>
      <c r="J4668" s="103">
        <v>1.2088240793820537E-3</v>
      </c>
      <c r="K4668" s="103"/>
      <c r="L4668" s="103">
        <v>4.1200000000000001E-2</v>
      </c>
      <c r="O4668" s="100"/>
    </row>
    <row r="4669" spans="2:15" x14ac:dyDescent="0.2">
      <c r="B4669" s="1">
        <f t="shared" si="268"/>
        <v>4654</v>
      </c>
      <c r="C4669" s="101">
        <f ca="1"/>
        <v>2.003578620869745</v>
      </c>
      <c r="D4669" s="101">
        <f t="shared" ca="1" si="265"/>
        <v>0.80970807989728688</v>
      </c>
      <c r="E4669" s="101">
        <f t="shared" ca="1" si="266"/>
        <v>2.1508079897286869E-2</v>
      </c>
      <c r="F4669" s="21">
        <f t="shared" ca="1" si="267"/>
        <v>1</v>
      </c>
      <c r="H4669" s="21">
        <v>4654</v>
      </c>
      <c r="I4669" s="102">
        <v>0.66758333368535983</v>
      </c>
      <c r="J4669" s="103">
        <v>1.1837579484164024E-3</v>
      </c>
      <c r="K4669" s="103"/>
      <c r="L4669" s="103">
        <v>3.7999999999999999E-2</v>
      </c>
      <c r="O4669" s="100"/>
    </row>
    <row r="4670" spans="2:15" x14ac:dyDescent="0.2">
      <c r="B4670" s="1">
        <f t="shared" si="268"/>
        <v>4655</v>
      </c>
      <c r="C4670" s="101">
        <f ca="1"/>
        <v>0.90060768414599535</v>
      </c>
      <c r="D4670" s="101">
        <f t="shared" ca="1" si="265"/>
        <v>0.7262361751449582</v>
      </c>
      <c r="E4670" s="101">
        <f t="shared" ca="1" si="266"/>
        <v>0</v>
      </c>
      <c r="F4670" s="21">
        <f t="shared" ca="1" si="267"/>
        <v>0</v>
      </c>
      <c r="H4670" s="21">
        <v>4655</v>
      </c>
      <c r="I4670" s="102">
        <v>0.66771360590500684</v>
      </c>
      <c r="J4670" s="103">
        <v>1.3166418630206379E-3</v>
      </c>
      <c r="K4670" s="103"/>
      <c r="L4670" s="103">
        <v>4.3400000000000001E-2</v>
      </c>
      <c r="O4670" s="100"/>
    </row>
    <row r="4671" spans="2:15" x14ac:dyDescent="0.2">
      <c r="B4671" s="1">
        <f t="shared" si="268"/>
        <v>4656</v>
      </c>
      <c r="C4671" s="101">
        <f ca="1"/>
        <v>-8.3441354728187964E-2</v>
      </c>
      <c r="D4671" s="101">
        <f t="shared" ca="1" si="265"/>
        <v>0.65905525005799692</v>
      </c>
      <c r="E4671" s="101">
        <f t="shared" ca="1" si="266"/>
        <v>0</v>
      </c>
      <c r="F4671" s="21">
        <f t="shared" ca="1" si="267"/>
        <v>0</v>
      </c>
      <c r="H4671" s="21">
        <v>4656</v>
      </c>
      <c r="I4671" s="102">
        <v>0.66776653668283059</v>
      </c>
      <c r="J4671" s="103">
        <v>1.3335959130300965E-3</v>
      </c>
      <c r="K4671" s="103"/>
      <c r="L4671" s="103">
        <v>4.5400000000000003E-2</v>
      </c>
      <c r="O4671" s="100"/>
    </row>
    <row r="4672" spans="2:15" x14ac:dyDescent="0.2">
      <c r="B4672" s="1">
        <f t="shared" si="268"/>
        <v>4657</v>
      </c>
      <c r="C4672" s="101">
        <f ca="1"/>
        <v>-0.49211859160814159</v>
      </c>
      <c r="D4672" s="101">
        <f t="shared" ca="1" si="265"/>
        <v>0.63301549832494619</v>
      </c>
      <c r="E4672" s="101">
        <f t="shared" ca="1" si="266"/>
        <v>0</v>
      </c>
      <c r="F4672" s="21">
        <f t="shared" ca="1" si="267"/>
        <v>0</v>
      </c>
      <c r="H4672" s="21">
        <v>4657</v>
      </c>
      <c r="I4672" s="102">
        <v>0.6677609312874857</v>
      </c>
      <c r="J4672" s="103">
        <v>1.300464853261954E-3</v>
      </c>
      <c r="K4672" s="103"/>
      <c r="L4672" s="103">
        <v>0.04</v>
      </c>
      <c r="O4672" s="100"/>
    </row>
    <row r="4673" spans="2:15" x14ac:dyDescent="0.2">
      <c r="B4673" s="1">
        <f t="shared" si="268"/>
        <v>4658</v>
      </c>
      <c r="C4673" s="101">
        <f ca="1"/>
        <v>1.1600373898235918</v>
      </c>
      <c r="D4673" s="101">
        <f t="shared" ca="1" si="265"/>
        <v>0.74506075258678661</v>
      </c>
      <c r="E4673" s="101">
        <f t="shared" ca="1" si="266"/>
        <v>0</v>
      </c>
      <c r="F4673" s="21">
        <f t="shared" ca="1" si="267"/>
        <v>0</v>
      </c>
      <c r="H4673" s="21">
        <v>4658</v>
      </c>
      <c r="I4673" s="102">
        <v>0.66780651347656717</v>
      </c>
      <c r="J4673" s="103">
        <v>1.4285907372482969E-3</v>
      </c>
      <c r="K4673" s="103"/>
      <c r="L4673" s="103">
        <v>4.0399999999999998E-2</v>
      </c>
      <c r="O4673" s="100"/>
    </row>
    <row r="4674" spans="2:15" x14ac:dyDescent="0.2">
      <c r="B4674" s="1">
        <f t="shared" si="268"/>
        <v>4659</v>
      </c>
      <c r="C4674" s="101">
        <f ca="1"/>
        <v>1.5853982639188606</v>
      </c>
      <c r="D4674" s="101">
        <f t="shared" ca="1" si="265"/>
        <v>0.77698723580783446</v>
      </c>
      <c r="E4674" s="101">
        <f t="shared" ca="1" si="266"/>
        <v>0</v>
      </c>
      <c r="F4674" s="21">
        <f t="shared" ca="1" si="267"/>
        <v>0</v>
      </c>
      <c r="H4674" s="21">
        <v>4659</v>
      </c>
      <c r="I4674" s="102">
        <v>0.66787937683765453</v>
      </c>
      <c r="J4674" s="103">
        <v>1.4257142540130871E-3</v>
      </c>
      <c r="K4674" s="103"/>
      <c r="L4674" s="103">
        <v>4.3400000000000001E-2</v>
      </c>
      <c r="O4674" s="100"/>
    </row>
    <row r="4675" spans="2:15" x14ac:dyDescent="0.2">
      <c r="B4675" s="1">
        <f t="shared" si="268"/>
        <v>4660</v>
      </c>
      <c r="C4675" s="101">
        <f ca="1"/>
        <v>1.4617883713434392</v>
      </c>
      <c r="D4675" s="101">
        <f t="shared" ca="1" si="265"/>
        <v>0.76757091993732085</v>
      </c>
      <c r="E4675" s="101">
        <f t="shared" ca="1" si="266"/>
        <v>0</v>
      </c>
      <c r="F4675" s="21">
        <f t="shared" ca="1" si="267"/>
        <v>0</v>
      </c>
      <c r="H4675" s="21">
        <v>4660</v>
      </c>
      <c r="I4675" s="102">
        <v>0.6677880940761507</v>
      </c>
      <c r="J4675" s="103">
        <v>1.3269970233498593E-3</v>
      </c>
      <c r="K4675" s="103"/>
      <c r="L4675" s="103">
        <v>3.8600000000000002E-2</v>
      </c>
      <c r="O4675" s="100"/>
    </row>
    <row r="4676" spans="2:15" x14ac:dyDescent="0.2">
      <c r="B4676" s="1">
        <f t="shared" si="268"/>
        <v>4661</v>
      </c>
      <c r="C4676" s="101">
        <f ca="1"/>
        <v>-0.38231028400911166</v>
      </c>
      <c r="D4676" s="101">
        <f t="shared" ca="1" si="265"/>
        <v>0.63990936095210715</v>
      </c>
      <c r="E4676" s="101">
        <f t="shared" ca="1" si="266"/>
        <v>0</v>
      </c>
      <c r="F4676" s="21">
        <f t="shared" ca="1" si="267"/>
        <v>0</v>
      </c>
      <c r="H4676" s="21">
        <v>4661</v>
      </c>
      <c r="I4676" s="102">
        <v>0.66780513184228507</v>
      </c>
      <c r="J4676" s="103">
        <v>1.3659670676766527E-3</v>
      </c>
      <c r="K4676" s="103"/>
      <c r="L4676" s="103">
        <v>4.0399999999999998E-2</v>
      </c>
      <c r="O4676" s="100"/>
    </row>
    <row r="4677" spans="2:15" x14ac:dyDescent="0.2">
      <c r="B4677" s="1">
        <f t="shared" si="268"/>
        <v>4662</v>
      </c>
      <c r="C4677" s="101">
        <f ca="1"/>
        <v>-2.2970483719467407</v>
      </c>
      <c r="D4677" s="101">
        <f t="shared" ca="1" si="265"/>
        <v>0.52977598072883869</v>
      </c>
      <c r="E4677" s="101">
        <f t="shared" ca="1" si="266"/>
        <v>0</v>
      </c>
      <c r="F4677" s="21">
        <f t="shared" ca="1" si="267"/>
        <v>0</v>
      </c>
      <c r="H4677" s="21">
        <v>4662</v>
      </c>
      <c r="I4677" s="102">
        <v>0.66775118676750966</v>
      </c>
      <c r="J4677" s="103">
        <v>1.3347818975477047E-3</v>
      </c>
      <c r="K4677" s="103"/>
      <c r="L4677" s="103">
        <v>4.0800000000000003E-2</v>
      </c>
      <c r="O4677" s="100"/>
    </row>
    <row r="4678" spans="2:15" x14ac:dyDescent="0.2">
      <c r="B4678" s="1">
        <f t="shared" si="268"/>
        <v>4663</v>
      </c>
      <c r="C4678" s="101">
        <f ca="1"/>
        <v>1.6680369727978053</v>
      </c>
      <c r="D4678" s="101">
        <f t="shared" ca="1" si="265"/>
        <v>0.7833468036760215</v>
      </c>
      <c r="E4678" s="101">
        <f t="shared" ca="1" si="266"/>
        <v>0</v>
      </c>
      <c r="F4678" s="21">
        <f t="shared" ca="1" si="267"/>
        <v>0</v>
      </c>
      <c r="H4678" s="21">
        <v>4663</v>
      </c>
      <c r="I4678" s="102">
        <v>0.66774672268636048</v>
      </c>
      <c r="J4678" s="103">
        <v>1.3120088213640216E-3</v>
      </c>
      <c r="K4678" s="103"/>
      <c r="L4678" s="103">
        <v>4.1200000000000001E-2</v>
      </c>
      <c r="O4678" s="100"/>
    </row>
    <row r="4679" spans="2:15" x14ac:dyDescent="0.2">
      <c r="B4679" s="1">
        <f t="shared" si="268"/>
        <v>4664</v>
      </c>
      <c r="C4679" s="101">
        <f ca="1"/>
        <v>-1.7854102683980579</v>
      </c>
      <c r="D4679" s="101">
        <f t="shared" ca="1" si="265"/>
        <v>0.55719925238491708</v>
      </c>
      <c r="E4679" s="101">
        <f t="shared" ca="1" si="266"/>
        <v>0</v>
      </c>
      <c r="F4679" s="21">
        <f t="shared" ca="1" si="267"/>
        <v>0</v>
      </c>
      <c r="H4679" s="21">
        <v>4664</v>
      </c>
      <c r="I4679" s="102">
        <v>0.66775704969789862</v>
      </c>
      <c r="J4679" s="103">
        <v>1.4400363467149233E-3</v>
      </c>
      <c r="K4679" s="103"/>
      <c r="L4679" s="103">
        <v>4.1399999999999999E-2</v>
      </c>
      <c r="O4679" s="100"/>
    </row>
    <row r="4680" spans="2:15" x14ac:dyDescent="0.2">
      <c r="B4680" s="1">
        <f t="shared" si="268"/>
        <v>4665</v>
      </c>
      <c r="C4680" s="101">
        <f ca="1"/>
        <v>-1.35501493862904</v>
      </c>
      <c r="D4680" s="101">
        <f t="shared" ca="1" si="265"/>
        <v>0.5813643484685842</v>
      </c>
      <c r="E4680" s="101">
        <f t="shared" ca="1" si="266"/>
        <v>0</v>
      </c>
      <c r="F4680" s="21">
        <f t="shared" ca="1" si="267"/>
        <v>0</v>
      </c>
      <c r="H4680" s="21">
        <v>4665</v>
      </c>
      <c r="I4680" s="102">
        <v>0.66775272349618164</v>
      </c>
      <c r="J4680" s="103">
        <v>1.3597894116548653E-3</v>
      </c>
      <c r="K4680" s="103"/>
      <c r="L4680" s="103">
        <v>4.1399999999999999E-2</v>
      </c>
      <c r="O4680" s="100"/>
    </row>
    <row r="4681" spans="2:15" x14ac:dyDescent="0.2">
      <c r="B4681" s="1">
        <f t="shared" si="268"/>
        <v>4666</v>
      </c>
      <c r="C4681" s="101">
        <f ca="1"/>
        <v>-0.69242132382520261</v>
      </c>
      <c r="D4681" s="101">
        <f t="shared" ca="1" si="265"/>
        <v>0.62063104734372454</v>
      </c>
      <c r="E4681" s="101">
        <f t="shared" ca="1" si="266"/>
        <v>0</v>
      </c>
      <c r="F4681" s="21">
        <f t="shared" ca="1" si="267"/>
        <v>0</v>
      </c>
      <c r="H4681" s="21">
        <v>4666</v>
      </c>
      <c r="I4681" s="102">
        <v>0.66779107494985612</v>
      </c>
      <c r="J4681" s="103">
        <v>1.3759252067177133E-3</v>
      </c>
      <c r="K4681" s="103"/>
      <c r="L4681" s="103">
        <v>4.2799999999999998E-2</v>
      </c>
      <c r="O4681" s="100"/>
    </row>
    <row r="4682" spans="2:15" x14ac:dyDescent="0.2">
      <c r="B4682" s="1">
        <f t="shared" si="268"/>
        <v>4667</v>
      </c>
      <c r="C4682" s="101">
        <f ca="1"/>
        <v>0.4579014851619671</v>
      </c>
      <c r="D4682" s="101">
        <f t="shared" ca="1" si="265"/>
        <v>0.69520456865811531</v>
      </c>
      <c r="E4682" s="101">
        <f t="shared" ca="1" si="266"/>
        <v>0</v>
      </c>
      <c r="F4682" s="21">
        <f t="shared" ca="1" si="267"/>
        <v>0</v>
      </c>
      <c r="H4682" s="21">
        <v>4667</v>
      </c>
      <c r="I4682" s="102">
        <v>0.66774731248737662</v>
      </c>
      <c r="J4682" s="103">
        <v>1.4986293300874333E-3</v>
      </c>
      <c r="K4682" s="103"/>
      <c r="L4682" s="103">
        <v>4.0800000000000003E-2</v>
      </c>
      <c r="O4682" s="100"/>
    </row>
    <row r="4683" spans="2:15" x14ac:dyDescent="0.2">
      <c r="B4683" s="1">
        <f t="shared" si="268"/>
        <v>4668</v>
      </c>
      <c r="C4683" s="101">
        <f ca="1"/>
        <v>-1.0897620690407024</v>
      </c>
      <c r="D4683" s="101">
        <f t="shared" ca="1" si="265"/>
        <v>0.59677643398576075</v>
      </c>
      <c r="E4683" s="101">
        <f t="shared" ca="1" si="266"/>
        <v>0</v>
      </c>
      <c r="F4683" s="21">
        <f t="shared" ca="1" si="267"/>
        <v>0</v>
      </c>
      <c r="H4683" s="21">
        <v>4668</v>
      </c>
      <c r="I4683" s="102">
        <v>0.66768396007423803</v>
      </c>
      <c r="J4683" s="103">
        <v>1.2372628184167643E-3</v>
      </c>
      <c r="K4683" s="103"/>
      <c r="L4683" s="103">
        <v>3.8600000000000002E-2</v>
      </c>
      <c r="O4683" s="100"/>
    </row>
    <row r="4684" spans="2:15" x14ac:dyDescent="0.2">
      <c r="B4684" s="1">
        <f t="shared" si="268"/>
        <v>4669</v>
      </c>
      <c r="C4684" s="101">
        <f ca="1"/>
        <v>-0.71713821082529905</v>
      </c>
      <c r="D4684" s="101">
        <f t="shared" ca="1" si="265"/>
        <v>0.61911972588153608</v>
      </c>
      <c r="E4684" s="101">
        <f t="shared" ca="1" si="266"/>
        <v>0</v>
      </c>
      <c r="F4684" s="21">
        <f t="shared" ca="1" si="267"/>
        <v>0</v>
      </c>
      <c r="H4684" s="21">
        <v>4669</v>
      </c>
      <c r="I4684" s="102">
        <v>0.66755095467363024</v>
      </c>
      <c r="J4684" s="103">
        <v>1.081029903436055E-3</v>
      </c>
      <c r="K4684" s="103"/>
      <c r="L4684" s="103">
        <v>3.6999999999999998E-2</v>
      </c>
      <c r="O4684" s="100"/>
    </row>
    <row r="4685" spans="2:15" x14ac:dyDescent="0.2">
      <c r="B4685" s="1">
        <f t="shared" si="268"/>
        <v>4670</v>
      </c>
      <c r="C4685" s="101">
        <f ca="1"/>
        <v>-0.73310992593637769</v>
      </c>
      <c r="D4685" s="101">
        <f t="shared" ca="1" si="265"/>
        <v>0.61814508857104022</v>
      </c>
      <c r="E4685" s="101">
        <f t="shared" ca="1" si="266"/>
        <v>0</v>
      </c>
      <c r="F4685" s="21">
        <f t="shared" ca="1" si="267"/>
        <v>0</v>
      </c>
      <c r="H4685" s="21">
        <v>4670</v>
      </c>
      <c r="I4685" s="102">
        <v>0.66779200378288084</v>
      </c>
      <c r="J4685" s="103">
        <v>1.3413995595603168E-3</v>
      </c>
      <c r="K4685" s="103"/>
      <c r="L4685" s="103">
        <v>4.36E-2</v>
      </c>
      <c r="O4685" s="100"/>
    </row>
    <row r="4686" spans="2:15" x14ac:dyDescent="0.2">
      <c r="B4686" s="1">
        <f t="shared" si="268"/>
        <v>4671</v>
      </c>
      <c r="C4686" s="101">
        <f ca="1"/>
        <v>-0.87857150177747145</v>
      </c>
      <c r="D4686" s="101">
        <f t="shared" ca="1" si="265"/>
        <v>0.60933894837733438</v>
      </c>
      <c r="E4686" s="101">
        <f t="shared" ca="1" si="266"/>
        <v>0</v>
      </c>
      <c r="F4686" s="21">
        <f t="shared" ca="1" si="267"/>
        <v>0</v>
      </c>
      <c r="H4686" s="21">
        <v>4671</v>
      </c>
      <c r="I4686" s="102">
        <v>0.66789533143851121</v>
      </c>
      <c r="J4686" s="103">
        <v>1.6345868475767568E-3</v>
      </c>
      <c r="K4686" s="103"/>
      <c r="L4686" s="103">
        <v>4.5400000000000003E-2</v>
      </c>
      <c r="O4686" s="100"/>
    </row>
    <row r="4687" spans="2:15" x14ac:dyDescent="0.2">
      <c r="B4687" s="1">
        <f t="shared" si="268"/>
        <v>4672</v>
      </c>
      <c r="C4687" s="101">
        <f ca="1"/>
        <v>-1.2322690287952465</v>
      </c>
      <c r="D4687" s="101">
        <f t="shared" ca="1" si="265"/>
        <v>0.58844618924300984</v>
      </c>
      <c r="E4687" s="101">
        <f t="shared" ca="1" si="266"/>
        <v>0</v>
      </c>
      <c r="F4687" s="21">
        <f t="shared" ca="1" si="267"/>
        <v>0</v>
      </c>
      <c r="H4687" s="21">
        <v>4672</v>
      </c>
      <c r="I4687" s="102">
        <v>0.66786658071035543</v>
      </c>
      <c r="J4687" s="103">
        <v>1.4693453520898711E-3</v>
      </c>
      <c r="K4687" s="103"/>
      <c r="L4687" s="103">
        <v>4.4200000000000003E-2</v>
      </c>
      <c r="O4687" s="100"/>
    </row>
    <row r="4688" spans="2:15" x14ac:dyDescent="0.2">
      <c r="B4688" s="1">
        <f t="shared" si="268"/>
        <v>4673</v>
      </c>
      <c r="C4688" s="101">
        <f ca="1"/>
        <v>1.3271626839069026</v>
      </c>
      <c r="D4688" s="101">
        <f t="shared" ref="D4688:D4751" ca="1" si="269">S0*EXP((μ-0.5*σ*σ)*T+σ*SQRT(T)*$C4688)</f>
        <v>0.75744522362947142</v>
      </c>
      <c r="E4688" s="101">
        <f t="shared" ref="E4688:E4751" ca="1" si="270">MAX(0,CP*(D4688-K))</f>
        <v>0</v>
      </c>
      <c r="F4688" s="21">
        <f t="shared" ref="F4688:F4751" ca="1" si="271">(CP*(D4688-K)&gt;0)*1</f>
        <v>0</v>
      </c>
      <c r="H4688" s="21">
        <v>4673</v>
      </c>
      <c r="I4688" s="102">
        <v>0.66781538030037613</v>
      </c>
      <c r="J4688" s="103">
        <v>1.363235662079918E-3</v>
      </c>
      <c r="K4688" s="103"/>
      <c r="L4688" s="103">
        <v>4.3999999999999997E-2</v>
      </c>
      <c r="O4688" s="100"/>
    </row>
    <row r="4689" spans="2:15" x14ac:dyDescent="0.2">
      <c r="B4689" s="1">
        <f t="shared" si="268"/>
        <v>4674</v>
      </c>
      <c r="C4689" s="101">
        <f ca="1"/>
        <v>1.6328604838156335</v>
      </c>
      <c r="D4689" s="101">
        <f t="shared" ca="1" si="269"/>
        <v>0.78063341371179551</v>
      </c>
      <c r="E4689" s="101">
        <f t="shared" ca="1" si="270"/>
        <v>0</v>
      </c>
      <c r="F4689" s="21">
        <f t="shared" ca="1" si="271"/>
        <v>0</v>
      </c>
      <c r="H4689" s="21">
        <v>4674</v>
      </c>
      <c r="I4689" s="102">
        <v>0.66771036849747389</v>
      </c>
      <c r="J4689" s="103">
        <v>1.1532359329993664E-3</v>
      </c>
      <c r="K4689" s="103"/>
      <c r="L4689" s="103">
        <v>4.3200000000000002E-2</v>
      </c>
      <c r="O4689" s="100"/>
    </row>
    <row r="4690" spans="2:15" x14ac:dyDescent="0.2">
      <c r="B4690" s="1">
        <f t="shared" si="268"/>
        <v>4675</v>
      </c>
      <c r="C4690" s="101">
        <f ca="1"/>
        <v>0.82903362446572337</v>
      </c>
      <c r="D4690" s="101">
        <f t="shared" ca="1" si="269"/>
        <v>0.72112688886362453</v>
      </c>
      <c r="E4690" s="101">
        <f t="shared" ca="1" si="270"/>
        <v>0</v>
      </c>
      <c r="F4690" s="21">
        <f t="shared" ca="1" si="271"/>
        <v>0</v>
      </c>
      <c r="H4690" s="21">
        <v>4675</v>
      </c>
      <c r="I4690" s="102">
        <v>0.66785300398104286</v>
      </c>
      <c r="J4690" s="103">
        <v>1.5270877801894667E-3</v>
      </c>
      <c r="K4690" s="103"/>
      <c r="L4690" s="103">
        <v>4.4600000000000001E-2</v>
      </c>
      <c r="O4690" s="100"/>
    </row>
    <row r="4691" spans="2:15" x14ac:dyDescent="0.2">
      <c r="B4691" s="1">
        <f t="shared" si="268"/>
        <v>4676</v>
      </c>
      <c r="C4691" s="101">
        <f ca="1"/>
        <v>-0.43489539440742703</v>
      </c>
      <c r="D4691" s="101">
        <f t="shared" ca="1" si="269"/>
        <v>0.63659870322075485</v>
      </c>
      <c r="E4691" s="101">
        <f t="shared" ca="1" si="270"/>
        <v>0</v>
      </c>
      <c r="F4691" s="21">
        <f t="shared" ca="1" si="271"/>
        <v>0</v>
      </c>
      <c r="H4691" s="21">
        <v>4676</v>
      </c>
      <c r="I4691" s="102">
        <v>0.6676552593968561</v>
      </c>
      <c r="J4691" s="103">
        <v>1.2263818811765609E-3</v>
      </c>
      <c r="K4691" s="103"/>
      <c r="L4691" s="103">
        <v>4.24E-2</v>
      </c>
      <c r="O4691" s="100"/>
    </row>
    <row r="4692" spans="2:15" x14ac:dyDescent="0.2">
      <c r="B4692" s="1">
        <f t="shared" si="268"/>
        <v>4677</v>
      </c>
      <c r="C4692" s="101">
        <f ca="1"/>
        <v>-4.6992784011512911E-2</v>
      </c>
      <c r="D4692" s="101">
        <f t="shared" ca="1" si="269"/>
        <v>0.66142903941540576</v>
      </c>
      <c r="E4692" s="101">
        <f t="shared" ca="1" si="270"/>
        <v>0</v>
      </c>
      <c r="F4692" s="21">
        <f t="shared" ca="1" si="271"/>
        <v>0</v>
      </c>
      <c r="H4692" s="21">
        <v>4677</v>
      </c>
      <c r="I4692" s="102">
        <v>0.66774549328015209</v>
      </c>
      <c r="J4692" s="103">
        <v>1.3684193762113798E-3</v>
      </c>
      <c r="K4692" s="103"/>
      <c r="L4692" s="103">
        <v>4.1799999999999997E-2</v>
      </c>
      <c r="O4692" s="100"/>
    </row>
    <row r="4693" spans="2:15" x14ac:dyDescent="0.2">
      <c r="B4693" s="1">
        <f t="shared" si="268"/>
        <v>4678</v>
      </c>
      <c r="C4693" s="101">
        <f ca="1"/>
        <v>-0.76125700472116653</v>
      </c>
      <c r="D4693" s="101">
        <f t="shared" ca="1" si="269"/>
        <v>0.61643121062618689</v>
      </c>
      <c r="E4693" s="101">
        <f t="shared" ca="1" si="270"/>
        <v>0</v>
      </c>
      <c r="F4693" s="21">
        <f t="shared" ca="1" si="271"/>
        <v>0</v>
      </c>
      <c r="H4693" s="21">
        <v>4678</v>
      </c>
      <c r="I4693" s="102">
        <v>0.66786704966230015</v>
      </c>
      <c r="J4693" s="103">
        <v>1.5677387641654494E-3</v>
      </c>
      <c r="K4693" s="103"/>
      <c r="L4693" s="103">
        <v>4.4400000000000002E-2</v>
      </c>
      <c r="O4693" s="100"/>
    </row>
    <row r="4694" spans="2:15" x14ac:dyDescent="0.2">
      <c r="B4694" s="1">
        <f t="shared" si="268"/>
        <v>4679</v>
      </c>
      <c r="C4694" s="101">
        <f ca="1"/>
        <v>-1.0226041511012542</v>
      </c>
      <c r="D4694" s="101">
        <f t="shared" ca="1" si="269"/>
        <v>0.60074293057497508</v>
      </c>
      <c r="E4694" s="101">
        <f t="shared" ca="1" si="270"/>
        <v>0</v>
      </c>
      <c r="F4694" s="21">
        <f t="shared" ca="1" si="271"/>
        <v>0</v>
      </c>
      <c r="H4694" s="21">
        <v>4679</v>
      </c>
      <c r="I4694" s="102">
        <v>0.667715358890967</v>
      </c>
      <c r="J4694" s="103">
        <v>1.2133508444630698E-3</v>
      </c>
      <c r="K4694" s="103"/>
      <c r="L4694" s="103">
        <v>4.3999999999999997E-2</v>
      </c>
      <c r="O4694" s="100"/>
    </row>
    <row r="4695" spans="2:15" x14ac:dyDescent="0.2">
      <c r="B4695" s="1">
        <f t="shared" si="268"/>
        <v>4680</v>
      </c>
      <c r="C4695" s="101">
        <f ca="1"/>
        <v>0.12640714815238552</v>
      </c>
      <c r="D4695" s="101">
        <f t="shared" ca="1" si="269"/>
        <v>0.67283969374822694</v>
      </c>
      <c r="E4695" s="101">
        <f t="shared" ca="1" si="270"/>
        <v>0</v>
      </c>
      <c r="F4695" s="21">
        <f t="shared" ca="1" si="271"/>
        <v>0</v>
      </c>
      <c r="H4695" s="21">
        <v>4680</v>
      </c>
      <c r="I4695" s="102">
        <v>0.66775479724342535</v>
      </c>
      <c r="J4695" s="103">
        <v>1.4811261408527892E-3</v>
      </c>
      <c r="K4695" s="103"/>
      <c r="L4695" s="103">
        <v>4.2200000000000001E-2</v>
      </c>
      <c r="O4695" s="100"/>
    </row>
    <row r="4696" spans="2:15" x14ac:dyDescent="0.2">
      <c r="B4696" s="1">
        <f t="shared" si="268"/>
        <v>4681</v>
      </c>
      <c r="C4696" s="101">
        <f ca="1"/>
        <v>0.87346148439558324</v>
      </c>
      <c r="D4696" s="101">
        <f t="shared" ca="1" si="269"/>
        <v>0.72429410690606988</v>
      </c>
      <c r="E4696" s="101">
        <f t="shared" ca="1" si="270"/>
        <v>0</v>
      </c>
      <c r="F4696" s="21">
        <f t="shared" ca="1" si="271"/>
        <v>0</v>
      </c>
      <c r="H4696" s="21">
        <v>4681</v>
      </c>
      <c r="I4696" s="102">
        <v>0.66780569372880794</v>
      </c>
      <c r="J4696" s="103">
        <v>1.4958160236190573E-3</v>
      </c>
      <c r="K4696" s="103"/>
      <c r="L4696" s="103">
        <v>4.2999999999999997E-2</v>
      </c>
      <c r="O4696" s="100"/>
    </row>
    <row r="4697" spans="2:15" x14ac:dyDescent="0.2">
      <c r="B4697" s="1">
        <f t="shared" si="268"/>
        <v>4682</v>
      </c>
      <c r="C4697" s="101">
        <f ca="1"/>
        <v>0.38247448165568859</v>
      </c>
      <c r="D4697" s="101">
        <f t="shared" ca="1" si="269"/>
        <v>0.6900512885238147</v>
      </c>
      <c r="E4697" s="101">
        <f t="shared" ca="1" si="270"/>
        <v>0</v>
      </c>
      <c r="F4697" s="21">
        <f t="shared" ca="1" si="271"/>
        <v>0</v>
      </c>
      <c r="H4697" s="21">
        <v>4682</v>
      </c>
      <c r="I4697" s="102">
        <v>0.66759276782461374</v>
      </c>
      <c r="J4697" s="103">
        <v>1.2512566873724266E-3</v>
      </c>
      <c r="K4697" s="103"/>
      <c r="L4697" s="103">
        <v>3.56E-2</v>
      </c>
      <c r="O4697" s="100"/>
    </row>
    <row r="4698" spans="2:15" x14ac:dyDescent="0.2">
      <c r="B4698" s="1">
        <f t="shared" si="268"/>
        <v>4683</v>
      </c>
      <c r="C4698" s="101">
        <f ca="1"/>
        <v>6.8550920707394639E-3</v>
      </c>
      <c r="D4698" s="101">
        <f t="shared" ca="1" si="269"/>
        <v>0.66495165013630397</v>
      </c>
      <c r="E4698" s="101">
        <f t="shared" ca="1" si="270"/>
        <v>0</v>
      </c>
      <c r="F4698" s="21">
        <f t="shared" ca="1" si="271"/>
        <v>0</v>
      </c>
      <c r="H4698" s="21">
        <v>4683</v>
      </c>
      <c r="I4698" s="102">
        <v>0.66765912048264731</v>
      </c>
      <c r="J4698" s="103">
        <v>1.3083870353666394E-3</v>
      </c>
      <c r="K4698" s="103"/>
      <c r="L4698" s="103">
        <v>3.7600000000000001E-2</v>
      </c>
      <c r="O4698" s="100"/>
    </row>
    <row r="4699" spans="2:15" x14ac:dyDescent="0.2">
      <c r="B4699" s="1">
        <f t="shared" si="268"/>
        <v>4684</v>
      </c>
      <c r="C4699" s="101">
        <f ca="1"/>
        <v>-9.7859206938405413E-2</v>
      </c>
      <c r="D4699" s="101">
        <f t="shared" ca="1" si="269"/>
        <v>0.65811861048063625</v>
      </c>
      <c r="E4699" s="101">
        <f t="shared" ca="1" si="270"/>
        <v>0</v>
      </c>
      <c r="F4699" s="21">
        <f t="shared" ca="1" si="271"/>
        <v>0</v>
      </c>
      <c r="H4699" s="21">
        <v>4684</v>
      </c>
      <c r="I4699" s="102">
        <v>0.66776890866193028</v>
      </c>
      <c r="J4699" s="103">
        <v>1.4328141646844869E-3</v>
      </c>
      <c r="K4699" s="103"/>
      <c r="L4699" s="103">
        <v>4.3400000000000001E-2</v>
      </c>
      <c r="O4699" s="100"/>
    </row>
    <row r="4700" spans="2:15" x14ac:dyDescent="0.2">
      <c r="B4700" s="1">
        <f t="shared" si="268"/>
        <v>4685</v>
      </c>
      <c r="C4700" s="101">
        <f ca="1"/>
        <v>0.14336641910984393</v>
      </c>
      <c r="D4700" s="101">
        <f t="shared" ca="1" si="269"/>
        <v>0.67396621917097921</v>
      </c>
      <c r="E4700" s="101">
        <f t="shared" ca="1" si="270"/>
        <v>0</v>
      </c>
      <c r="F4700" s="21">
        <f t="shared" ca="1" si="271"/>
        <v>0</v>
      </c>
      <c r="H4700" s="21">
        <v>4685</v>
      </c>
      <c r="I4700" s="102">
        <v>0.66770629370460965</v>
      </c>
      <c r="J4700" s="103">
        <v>1.2718877873515737E-3</v>
      </c>
      <c r="K4700" s="103"/>
      <c r="L4700" s="103">
        <v>3.8600000000000002E-2</v>
      </c>
      <c r="O4700" s="100"/>
    </row>
    <row r="4701" spans="2:15" x14ac:dyDescent="0.2">
      <c r="B4701" s="1">
        <f t="shared" si="268"/>
        <v>4686</v>
      </c>
      <c r="C4701" s="101">
        <f ca="1"/>
        <v>0.2342512479757351</v>
      </c>
      <c r="D4701" s="101">
        <f t="shared" ca="1" si="269"/>
        <v>0.68003549119587992</v>
      </c>
      <c r="E4701" s="101">
        <f t="shared" ca="1" si="270"/>
        <v>0</v>
      </c>
      <c r="F4701" s="21">
        <f t="shared" ca="1" si="271"/>
        <v>0</v>
      </c>
      <c r="H4701" s="21">
        <v>4686</v>
      </c>
      <c r="I4701" s="102">
        <v>0.66769400442888993</v>
      </c>
      <c r="J4701" s="103">
        <v>1.3887679215054917E-3</v>
      </c>
      <c r="K4701" s="103"/>
      <c r="L4701" s="103">
        <v>3.9399999999999998E-2</v>
      </c>
      <c r="O4701" s="100"/>
    </row>
    <row r="4702" spans="2:15" x14ac:dyDescent="0.2">
      <c r="B4702" s="1">
        <f t="shared" si="268"/>
        <v>4687</v>
      </c>
      <c r="C4702" s="101">
        <f ca="1"/>
        <v>1.4176397321155736</v>
      </c>
      <c r="D4702" s="101">
        <f t="shared" ca="1" si="269"/>
        <v>0.76423550838636878</v>
      </c>
      <c r="E4702" s="101">
        <f t="shared" ca="1" si="270"/>
        <v>0</v>
      </c>
      <c r="F4702" s="21">
        <f t="shared" ca="1" si="271"/>
        <v>0</v>
      </c>
      <c r="H4702" s="21">
        <v>4687</v>
      </c>
      <c r="I4702" s="102">
        <v>0.66783908108439249</v>
      </c>
      <c r="J4702" s="103">
        <v>1.4811224216057994E-3</v>
      </c>
      <c r="K4702" s="103"/>
      <c r="L4702" s="103">
        <v>4.5199999999999997E-2</v>
      </c>
      <c r="O4702" s="100"/>
    </row>
    <row r="4703" spans="2:15" x14ac:dyDescent="0.2">
      <c r="B4703" s="1">
        <f t="shared" si="268"/>
        <v>4688</v>
      </c>
      <c r="C4703" s="101">
        <f ca="1"/>
        <v>1.1353917323612694</v>
      </c>
      <c r="D4703" s="101">
        <f t="shared" ca="1" si="269"/>
        <v>0.74325164997703996</v>
      </c>
      <c r="E4703" s="101">
        <f t="shared" ca="1" si="270"/>
        <v>0</v>
      </c>
      <c r="F4703" s="21">
        <f t="shared" ca="1" si="271"/>
        <v>0</v>
      </c>
      <c r="H4703" s="21">
        <v>4688</v>
      </c>
      <c r="I4703" s="102">
        <v>0.66775271502204392</v>
      </c>
      <c r="J4703" s="103">
        <v>1.3076289050513207E-3</v>
      </c>
      <c r="K4703" s="103"/>
      <c r="L4703" s="103">
        <v>4.0599999999999997E-2</v>
      </c>
      <c r="O4703" s="100"/>
    </row>
    <row r="4704" spans="2:15" x14ac:dyDescent="0.2">
      <c r="B4704" s="1">
        <f t="shared" si="268"/>
        <v>4689</v>
      </c>
      <c r="C4704" s="101">
        <f ca="1"/>
        <v>-0.92352919378058962</v>
      </c>
      <c r="D4704" s="101">
        <f t="shared" ca="1" si="269"/>
        <v>0.60664270418241195</v>
      </c>
      <c r="E4704" s="101">
        <f t="shared" ca="1" si="270"/>
        <v>0</v>
      </c>
      <c r="F4704" s="21">
        <f t="shared" ca="1" si="271"/>
        <v>0</v>
      </c>
      <c r="H4704" s="21">
        <v>4689</v>
      </c>
      <c r="I4704" s="102">
        <v>0.66784841841662046</v>
      </c>
      <c r="J4704" s="103">
        <v>1.5977084574734098E-3</v>
      </c>
      <c r="K4704" s="103"/>
      <c r="L4704" s="103">
        <v>4.2599999999999999E-2</v>
      </c>
      <c r="O4704" s="100"/>
    </row>
    <row r="4705" spans="2:15" x14ac:dyDescent="0.2">
      <c r="B4705" s="1">
        <f t="shared" si="268"/>
        <v>4690</v>
      </c>
      <c r="C4705" s="101">
        <f ca="1"/>
        <v>0.46770904456499379</v>
      </c>
      <c r="D4705" s="101">
        <f t="shared" ca="1" si="269"/>
        <v>0.69587745630782061</v>
      </c>
      <c r="E4705" s="101">
        <f t="shared" ca="1" si="270"/>
        <v>0</v>
      </c>
      <c r="F4705" s="21">
        <f t="shared" ca="1" si="271"/>
        <v>0</v>
      </c>
      <c r="H4705" s="21">
        <v>4690</v>
      </c>
      <c r="I4705" s="102">
        <v>0.66767191985664609</v>
      </c>
      <c r="J4705" s="103">
        <v>1.2449625215042474E-3</v>
      </c>
      <c r="K4705" s="103"/>
      <c r="L4705" s="103">
        <v>3.9199999999999999E-2</v>
      </c>
      <c r="O4705" s="100"/>
    </row>
    <row r="4706" spans="2:15" x14ac:dyDescent="0.2">
      <c r="B4706" s="1">
        <f t="shared" si="268"/>
        <v>4691</v>
      </c>
      <c r="C4706" s="101">
        <f ca="1"/>
        <v>-0.52623751154289655</v>
      </c>
      <c r="D4706" s="101">
        <f t="shared" ca="1" si="269"/>
        <v>0.63088864320650895</v>
      </c>
      <c r="E4706" s="101">
        <f t="shared" ca="1" si="270"/>
        <v>0</v>
      </c>
      <c r="F4706" s="21">
        <f t="shared" ca="1" si="271"/>
        <v>0</v>
      </c>
      <c r="H4706" s="21">
        <v>4691</v>
      </c>
      <c r="I4706" s="102">
        <v>0.66761513289462393</v>
      </c>
      <c r="J4706" s="103">
        <v>1.1698060363858492E-3</v>
      </c>
      <c r="K4706" s="103"/>
      <c r="L4706" s="103">
        <v>3.6600000000000001E-2</v>
      </c>
      <c r="O4706" s="100"/>
    </row>
    <row r="4707" spans="2:15" x14ac:dyDescent="0.2">
      <c r="B4707" s="1">
        <f t="shared" si="268"/>
        <v>4692</v>
      </c>
      <c r="C4707" s="101">
        <f ca="1"/>
        <v>2.0619515550095295</v>
      </c>
      <c r="D4707" s="101">
        <f t="shared" ca="1" si="269"/>
        <v>0.81438381423460504</v>
      </c>
      <c r="E4707" s="101">
        <f t="shared" ca="1" si="270"/>
        <v>2.618381423460503E-2</v>
      </c>
      <c r="F4707" s="21">
        <f t="shared" ca="1" si="271"/>
        <v>1</v>
      </c>
      <c r="H4707" s="21">
        <v>4692</v>
      </c>
      <c r="I4707" s="102">
        <v>0.66786889195652421</v>
      </c>
      <c r="J4707" s="103">
        <v>1.3708747503011741E-3</v>
      </c>
      <c r="K4707" s="103"/>
      <c r="L4707" s="103">
        <v>4.3799999999999999E-2</v>
      </c>
      <c r="O4707" s="100"/>
    </row>
    <row r="4708" spans="2:15" x14ac:dyDescent="0.2">
      <c r="B4708" s="1">
        <f t="shared" si="268"/>
        <v>4693</v>
      </c>
      <c r="C4708" s="101">
        <f ca="1"/>
        <v>9.7890493451772378E-2</v>
      </c>
      <c r="D4708" s="101">
        <f t="shared" ca="1" si="269"/>
        <v>0.67094970853104563</v>
      </c>
      <c r="E4708" s="101">
        <f t="shared" ca="1" si="270"/>
        <v>0</v>
      </c>
      <c r="F4708" s="21">
        <f t="shared" ca="1" si="271"/>
        <v>0</v>
      </c>
      <c r="H4708" s="21">
        <v>4693</v>
      </c>
      <c r="I4708" s="102">
        <v>0.66762389090973806</v>
      </c>
      <c r="J4708" s="103">
        <v>1.2947766148700293E-3</v>
      </c>
      <c r="K4708" s="103"/>
      <c r="L4708" s="103">
        <v>4.1399999999999999E-2</v>
      </c>
      <c r="O4708" s="100"/>
    </row>
    <row r="4709" spans="2:15" x14ac:dyDescent="0.2">
      <c r="B4709" s="1">
        <f t="shared" si="268"/>
        <v>4694</v>
      </c>
      <c r="C4709" s="101">
        <f ca="1"/>
        <v>0.29387164923225878</v>
      </c>
      <c r="D4709" s="101">
        <f t="shared" ca="1" si="269"/>
        <v>0.68404658714611732</v>
      </c>
      <c r="E4709" s="101">
        <f t="shared" ca="1" si="270"/>
        <v>0</v>
      </c>
      <c r="F4709" s="21">
        <f t="shared" ca="1" si="271"/>
        <v>0</v>
      </c>
      <c r="H4709" s="21">
        <v>4694</v>
      </c>
      <c r="I4709" s="102">
        <v>0.66764050324536361</v>
      </c>
      <c r="J4709" s="103">
        <v>1.2960654150360666E-3</v>
      </c>
      <c r="K4709" s="103"/>
      <c r="L4709" s="103">
        <v>4.1200000000000001E-2</v>
      </c>
      <c r="O4709" s="100"/>
    </row>
    <row r="4710" spans="2:15" x14ac:dyDescent="0.2">
      <c r="B4710" s="1">
        <f t="shared" si="268"/>
        <v>4695</v>
      </c>
      <c r="C4710" s="101">
        <f ca="1"/>
        <v>-0.12261937713573628</v>
      </c>
      <c r="D4710" s="101">
        <f t="shared" ca="1" si="269"/>
        <v>0.65651319867941582</v>
      </c>
      <c r="E4710" s="101">
        <f t="shared" ca="1" si="270"/>
        <v>0</v>
      </c>
      <c r="F4710" s="21">
        <f t="shared" ca="1" si="271"/>
        <v>0</v>
      </c>
      <c r="H4710" s="21">
        <v>4695</v>
      </c>
      <c r="I4710" s="102">
        <v>0.66771241648378143</v>
      </c>
      <c r="J4710" s="103">
        <v>1.3876582421410604E-3</v>
      </c>
      <c r="K4710" s="103"/>
      <c r="L4710" s="103">
        <v>4.1200000000000001E-2</v>
      </c>
      <c r="O4710" s="100"/>
    </row>
    <row r="4711" spans="2:15" x14ac:dyDescent="0.2">
      <c r="B4711" s="1">
        <f t="shared" si="268"/>
        <v>4696</v>
      </c>
      <c r="C4711" s="101">
        <f ca="1"/>
        <v>-1.2413025042397829</v>
      </c>
      <c r="D4711" s="101">
        <f t="shared" ca="1" si="269"/>
        <v>0.58792207369438021</v>
      </c>
      <c r="E4711" s="101">
        <f t="shared" ca="1" si="270"/>
        <v>0</v>
      </c>
      <c r="F4711" s="21">
        <f t="shared" ca="1" si="271"/>
        <v>0</v>
      </c>
      <c r="H4711" s="21">
        <v>4696</v>
      </c>
      <c r="I4711" s="102">
        <v>0.66779783959516015</v>
      </c>
      <c r="J4711" s="103">
        <v>1.3832437146343694E-3</v>
      </c>
      <c r="K4711" s="103"/>
      <c r="L4711" s="103">
        <v>4.4600000000000001E-2</v>
      </c>
      <c r="O4711" s="100"/>
    </row>
    <row r="4712" spans="2:15" x14ac:dyDescent="0.2">
      <c r="B4712" s="1">
        <f t="shared" si="268"/>
        <v>4697</v>
      </c>
      <c r="C4712" s="101">
        <f ca="1"/>
        <v>0.17090091817754646</v>
      </c>
      <c r="D4712" s="101">
        <f t="shared" ca="1" si="269"/>
        <v>0.67579922617163601</v>
      </c>
      <c r="E4712" s="101">
        <f t="shared" ca="1" si="270"/>
        <v>0</v>
      </c>
      <c r="F4712" s="21">
        <f t="shared" ca="1" si="271"/>
        <v>0</v>
      </c>
      <c r="H4712" s="21">
        <v>4697</v>
      </c>
      <c r="I4712" s="102">
        <v>0.66770215300895996</v>
      </c>
      <c r="J4712" s="103">
        <v>1.4215031340512028E-3</v>
      </c>
      <c r="K4712" s="103"/>
      <c r="L4712" s="103">
        <v>4.2000000000000003E-2</v>
      </c>
      <c r="O4712" s="100"/>
    </row>
    <row r="4713" spans="2:15" x14ac:dyDescent="0.2">
      <c r="B4713" s="1">
        <f t="shared" si="268"/>
        <v>4698</v>
      </c>
      <c r="C4713" s="101">
        <f ca="1"/>
        <v>0.24079830376661093</v>
      </c>
      <c r="D4713" s="101">
        <f t="shared" ca="1" si="269"/>
        <v>0.6804748069373896</v>
      </c>
      <c r="E4713" s="101">
        <f t="shared" ca="1" si="270"/>
        <v>0</v>
      </c>
      <c r="F4713" s="21">
        <f t="shared" ca="1" si="271"/>
        <v>0</v>
      </c>
      <c r="H4713" s="21">
        <v>4698</v>
      </c>
      <c r="I4713" s="102">
        <v>0.66771974703804238</v>
      </c>
      <c r="J4713" s="103">
        <v>1.3762284289512332E-3</v>
      </c>
      <c r="K4713" s="103"/>
      <c r="L4713" s="103">
        <v>3.9399999999999998E-2</v>
      </c>
      <c r="O4713" s="100"/>
    </row>
    <row r="4714" spans="2:15" x14ac:dyDescent="0.2">
      <c r="B4714" s="1">
        <f t="shared" si="268"/>
        <v>4699</v>
      </c>
      <c r="C4714" s="101">
        <f ca="1"/>
        <v>0.25530170657410145</v>
      </c>
      <c r="D4714" s="101">
        <f t="shared" ca="1" si="269"/>
        <v>0.68144901463346685</v>
      </c>
      <c r="E4714" s="101">
        <f t="shared" ca="1" si="270"/>
        <v>0</v>
      </c>
      <c r="F4714" s="21">
        <f t="shared" ca="1" si="271"/>
        <v>0</v>
      </c>
      <c r="H4714" s="21">
        <v>4699</v>
      </c>
      <c r="I4714" s="102">
        <v>0.66765572886353552</v>
      </c>
      <c r="J4714" s="103">
        <v>1.2398714497400618E-3</v>
      </c>
      <c r="K4714" s="103"/>
      <c r="L4714" s="103">
        <v>4.2999999999999997E-2</v>
      </c>
      <c r="O4714" s="100"/>
    </row>
    <row r="4715" spans="2:15" x14ac:dyDescent="0.2">
      <c r="B4715" s="1">
        <f t="shared" si="268"/>
        <v>4700</v>
      </c>
      <c r="C4715" s="101">
        <f ca="1"/>
        <v>-0.21576638168992882</v>
      </c>
      <c r="D4715" s="101">
        <f t="shared" ca="1" si="269"/>
        <v>0.65050868825461527</v>
      </c>
      <c r="E4715" s="101">
        <f t="shared" ca="1" si="270"/>
        <v>0</v>
      </c>
      <c r="F4715" s="21">
        <f t="shared" ca="1" si="271"/>
        <v>0</v>
      </c>
      <c r="H4715" s="21">
        <v>4700</v>
      </c>
      <c r="I4715" s="102">
        <v>0.66788610395295678</v>
      </c>
      <c r="J4715" s="103">
        <v>1.4569970800113799E-3</v>
      </c>
      <c r="K4715" s="103"/>
      <c r="L4715" s="103">
        <v>4.2799999999999998E-2</v>
      </c>
      <c r="O4715" s="100"/>
    </row>
    <row r="4716" spans="2:15" x14ac:dyDescent="0.2">
      <c r="B4716" s="1">
        <f t="shared" si="268"/>
        <v>4701</v>
      </c>
      <c r="C4716" s="101">
        <f ca="1"/>
        <v>2.0524935719772999</v>
      </c>
      <c r="D4716" s="101">
        <f t="shared" ca="1" si="269"/>
        <v>0.81362439080215765</v>
      </c>
      <c r="E4716" s="101">
        <f t="shared" ca="1" si="270"/>
        <v>2.5424390802157637E-2</v>
      </c>
      <c r="F4716" s="21">
        <f t="shared" ca="1" si="271"/>
        <v>1</v>
      </c>
      <c r="H4716" s="21">
        <v>4701</v>
      </c>
      <c r="I4716" s="102">
        <v>0.66759192499289688</v>
      </c>
      <c r="J4716" s="103">
        <v>1.2163949543451973E-3</v>
      </c>
      <c r="K4716" s="103"/>
      <c r="L4716" s="103">
        <v>3.8800000000000001E-2</v>
      </c>
      <c r="O4716" s="100"/>
    </row>
    <row r="4717" spans="2:15" x14ac:dyDescent="0.2">
      <c r="B4717" s="1">
        <f t="shared" si="268"/>
        <v>4702</v>
      </c>
      <c r="C4717" s="101">
        <f ca="1"/>
        <v>-1.2748917639035589</v>
      </c>
      <c r="D4717" s="101">
        <f t="shared" ca="1" si="269"/>
        <v>0.58597734140241631</v>
      </c>
      <c r="E4717" s="101">
        <f t="shared" ca="1" si="270"/>
        <v>0</v>
      </c>
      <c r="F4717" s="21">
        <f t="shared" ca="1" si="271"/>
        <v>0</v>
      </c>
      <c r="H4717" s="21">
        <v>4702</v>
      </c>
      <c r="I4717" s="102">
        <v>0.66779545453789413</v>
      </c>
      <c r="J4717" s="103">
        <v>1.4656204948376437E-3</v>
      </c>
      <c r="K4717" s="103"/>
      <c r="L4717" s="103">
        <v>4.8000000000000001E-2</v>
      </c>
      <c r="O4717" s="100"/>
    </row>
    <row r="4718" spans="2:15" x14ac:dyDescent="0.2">
      <c r="B4718" s="1">
        <f t="shared" si="268"/>
        <v>4703</v>
      </c>
      <c r="C4718" s="101">
        <f ca="1"/>
        <v>0.18058613578145011</v>
      </c>
      <c r="D4718" s="101">
        <f t="shared" ca="1" si="269"/>
        <v>0.6764451680535033</v>
      </c>
      <c r="E4718" s="101">
        <f t="shared" ca="1" si="270"/>
        <v>0</v>
      </c>
      <c r="F4718" s="21">
        <f t="shared" ca="1" si="271"/>
        <v>0</v>
      </c>
      <c r="H4718" s="21">
        <v>4703</v>
      </c>
      <c r="I4718" s="102">
        <v>0.66752699157170226</v>
      </c>
      <c r="J4718" s="103">
        <v>1.0494102241264806E-3</v>
      </c>
      <c r="K4718" s="103"/>
      <c r="L4718" s="103">
        <v>3.2800000000000003E-2</v>
      </c>
      <c r="O4718" s="100"/>
    </row>
    <row r="4719" spans="2:15" x14ac:dyDescent="0.2">
      <c r="B4719" s="1">
        <f t="shared" si="268"/>
        <v>4704</v>
      </c>
      <c r="C4719" s="101">
        <f ca="1"/>
        <v>0.98198078823076018</v>
      </c>
      <c r="D4719" s="101">
        <f t="shared" ca="1" si="269"/>
        <v>0.73208894995340501</v>
      </c>
      <c r="E4719" s="101">
        <f t="shared" ca="1" si="270"/>
        <v>0</v>
      </c>
      <c r="F4719" s="21">
        <f t="shared" ca="1" si="271"/>
        <v>0</v>
      </c>
      <c r="H4719" s="21">
        <v>4704</v>
      </c>
      <c r="I4719" s="102">
        <v>0.66771158671959707</v>
      </c>
      <c r="J4719" s="103">
        <v>1.3983212544395876E-3</v>
      </c>
      <c r="K4719" s="103"/>
      <c r="L4719" s="103">
        <v>4.0399999999999998E-2</v>
      </c>
      <c r="O4719" s="100"/>
    </row>
    <row r="4720" spans="2:15" x14ac:dyDescent="0.2">
      <c r="B4720" s="1">
        <f t="shared" ref="B4720:B4783" si="272">B4719+1</f>
        <v>4705</v>
      </c>
      <c r="C4720" s="101">
        <f ca="1"/>
        <v>-6.0449642060027849E-2</v>
      </c>
      <c r="D4720" s="101">
        <f t="shared" ca="1" si="269"/>
        <v>0.66055163943514261</v>
      </c>
      <c r="E4720" s="101">
        <f t="shared" ca="1" si="270"/>
        <v>0</v>
      </c>
      <c r="F4720" s="21">
        <f t="shared" ca="1" si="271"/>
        <v>0</v>
      </c>
      <c r="H4720" s="21">
        <v>4705</v>
      </c>
      <c r="I4720" s="102">
        <v>0.66788460941361905</v>
      </c>
      <c r="J4720" s="103">
        <v>1.5153635174388078E-3</v>
      </c>
      <c r="K4720" s="103"/>
      <c r="L4720" s="103">
        <v>4.6800000000000001E-2</v>
      </c>
      <c r="O4720" s="100"/>
    </row>
    <row r="4721" spans="2:15" x14ac:dyDescent="0.2">
      <c r="B4721" s="1">
        <f t="shared" si="272"/>
        <v>4706</v>
      </c>
      <c r="C4721" s="101">
        <f ca="1"/>
        <v>0.76766268364171408</v>
      </c>
      <c r="D4721" s="101">
        <f t="shared" ca="1" si="269"/>
        <v>0.71677458220334844</v>
      </c>
      <c r="E4721" s="101">
        <f t="shared" ca="1" si="270"/>
        <v>0</v>
      </c>
      <c r="F4721" s="21">
        <f t="shared" ca="1" si="271"/>
        <v>0</v>
      </c>
      <c r="H4721" s="21">
        <v>4706</v>
      </c>
      <c r="I4721" s="102">
        <v>0.66777298066666313</v>
      </c>
      <c r="J4721" s="103">
        <v>1.3921349653258472E-3</v>
      </c>
      <c r="K4721" s="103"/>
      <c r="L4721" s="103">
        <v>4.36E-2</v>
      </c>
      <c r="O4721" s="100"/>
    </row>
    <row r="4722" spans="2:15" x14ac:dyDescent="0.2">
      <c r="B4722" s="1">
        <f t="shared" si="272"/>
        <v>4707</v>
      </c>
      <c r="C4722" s="101">
        <f ca="1"/>
        <v>-0.46810699082423307</v>
      </c>
      <c r="D4722" s="101">
        <f t="shared" ca="1" si="269"/>
        <v>0.63451659540638494</v>
      </c>
      <c r="E4722" s="101">
        <f t="shared" ca="1" si="270"/>
        <v>0</v>
      </c>
      <c r="F4722" s="21">
        <f t="shared" ca="1" si="271"/>
        <v>0</v>
      </c>
      <c r="H4722" s="21">
        <v>4707</v>
      </c>
      <c r="I4722" s="102">
        <v>0.66787214525970007</v>
      </c>
      <c r="J4722" s="103">
        <v>1.5131179979945193E-3</v>
      </c>
      <c r="K4722" s="103"/>
      <c r="L4722" s="103">
        <v>4.5199999999999997E-2</v>
      </c>
      <c r="O4722" s="100"/>
    </row>
    <row r="4723" spans="2:15" x14ac:dyDescent="0.2">
      <c r="B4723" s="1">
        <f t="shared" si="272"/>
        <v>4708</v>
      </c>
      <c r="C4723" s="101">
        <f ca="1"/>
        <v>8.2000179516214911E-2</v>
      </c>
      <c r="D4723" s="101">
        <f t="shared" ca="1" si="269"/>
        <v>0.66989885781268033</v>
      </c>
      <c r="E4723" s="101">
        <f t="shared" ca="1" si="270"/>
        <v>0</v>
      </c>
      <c r="F4723" s="21">
        <f t="shared" ca="1" si="271"/>
        <v>0</v>
      </c>
      <c r="H4723" s="21">
        <v>4708</v>
      </c>
      <c r="I4723" s="102">
        <v>0.66753788439585193</v>
      </c>
      <c r="J4723" s="103">
        <v>1.1219334542634418E-3</v>
      </c>
      <c r="K4723" s="103"/>
      <c r="L4723" s="103">
        <v>3.5799999999999998E-2</v>
      </c>
      <c r="O4723" s="100"/>
    </row>
    <row r="4724" spans="2:15" x14ac:dyDescent="0.2">
      <c r="B4724" s="1">
        <f t="shared" si="272"/>
        <v>4709</v>
      </c>
      <c r="C4724" s="101">
        <f ca="1"/>
        <v>0.83229923319320631</v>
      </c>
      <c r="D4724" s="101">
        <f t="shared" ca="1" si="269"/>
        <v>0.72135921854051943</v>
      </c>
      <c r="E4724" s="101">
        <f t="shared" ca="1" si="270"/>
        <v>0</v>
      </c>
      <c r="F4724" s="21">
        <f t="shared" ca="1" si="271"/>
        <v>0</v>
      </c>
      <c r="H4724" s="21">
        <v>4709</v>
      </c>
      <c r="I4724" s="102">
        <v>0.66767559953604405</v>
      </c>
      <c r="J4724" s="103">
        <v>1.3478573183868026E-3</v>
      </c>
      <c r="K4724" s="103"/>
      <c r="L4724" s="103">
        <v>4.24E-2</v>
      </c>
      <c r="O4724" s="100"/>
    </row>
    <row r="4725" spans="2:15" x14ac:dyDescent="0.2">
      <c r="B4725" s="1">
        <f t="shared" si="272"/>
        <v>4710</v>
      </c>
      <c r="C4725" s="101">
        <f ca="1"/>
        <v>-0.45332365385360401</v>
      </c>
      <c r="D4725" s="101">
        <f t="shared" ca="1" si="269"/>
        <v>0.6354425529097063</v>
      </c>
      <c r="E4725" s="101">
        <f t="shared" ca="1" si="270"/>
        <v>0</v>
      </c>
      <c r="F4725" s="21">
        <f t="shared" ca="1" si="271"/>
        <v>0</v>
      </c>
      <c r="H4725" s="21">
        <v>4710</v>
      </c>
      <c r="I4725" s="102">
        <v>0.66756863262057331</v>
      </c>
      <c r="J4725" s="103">
        <v>1.0617846966743591E-3</v>
      </c>
      <c r="K4725" s="103"/>
      <c r="L4725" s="103">
        <v>3.7199999999999997E-2</v>
      </c>
      <c r="O4725" s="100"/>
    </row>
    <row r="4726" spans="2:15" x14ac:dyDescent="0.2">
      <c r="B4726" s="1">
        <f t="shared" si="272"/>
        <v>4711</v>
      </c>
      <c r="C4726" s="101">
        <f ca="1"/>
        <v>-0.36225382318065319</v>
      </c>
      <c r="D4726" s="101">
        <f t="shared" ca="1" si="269"/>
        <v>0.64117660814439514</v>
      </c>
      <c r="E4726" s="101">
        <f t="shared" ca="1" si="270"/>
        <v>0</v>
      </c>
      <c r="F4726" s="21">
        <f t="shared" ca="1" si="271"/>
        <v>0</v>
      </c>
      <c r="H4726" s="21">
        <v>4711</v>
      </c>
      <c r="I4726" s="102">
        <v>0.66780783382526332</v>
      </c>
      <c r="J4726" s="103">
        <v>1.4562926645894099E-3</v>
      </c>
      <c r="K4726" s="103"/>
      <c r="L4726" s="103">
        <v>4.4600000000000001E-2</v>
      </c>
      <c r="O4726" s="100"/>
    </row>
    <row r="4727" spans="2:15" x14ac:dyDescent="0.2">
      <c r="B4727" s="1">
        <f t="shared" si="272"/>
        <v>4712</v>
      </c>
      <c r="C4727" s="101">
        <f ca="1"/>
        <v>-0.83145980654710683</v>
      </c>
      <c r="D4727" s="101">
        <f t="shared" ca="1" si="269"/>
        <v>0.6121772338869258</v>
      </c>
      <c r="E4727" s="101">
        <f t="shared" ca="1" si="270"/>
        <v>0</v>
      </c>
      <c r="F4727" s="21">
        <f t="shared" ca="1" si="271"/>
        <v>0</v>
      </c>
      <c r="H4727" s="21">
        <v>4712</v>
      </c>
      <c r="I4727" s="102">
        <v>0.66762740406641374</v>
      </c>
      <c r="J4727" s="103">
        <v>1.2256760970842278E-3</v>
      </c>
      <c r="K4727" s="103"/>
      <c r="L4727" s="103">
        <v>3.78E-2</v>
      </c>
      <c r="O4727" s="100"/>
    </row>
    <row r="4728" spans="2:15" x14ac:dyDescent="0.2">
      <c r="B4728" s="1">
        <f t="shared" si="272"/>
        <v>4713</v>
      </c>
      <c r="C4728" s="101">
        <f ca="1"/>
        <v>-0.11516980190967584</v>
      </c>
      <c r="D4728" s="101">
        <f t="shared" ca="1" si="269"/>
        <v>0.65699580549368797</v>
      </c>
      <c r="E4728" s="101">
        <f t="shared" ca="1" si="270"/>
        <v>0</v>
      </c>
      <c r="F4728" s="21">
        <f t="shared" ca="1" si="271"/>
        <v>0</v>
      </c>
      <c r="H4728" s="21">
        <v>4713</v>
      </c>
      <c r="I4728" s="102">
        <v>0.66770608457318703</v>
      </c>
      <c r="J4728" s="103">
        <v>1.3916310578630344E-3</v>
      </c>
      <c r="K4728" s="103"/>
      <c r="L4728" s="103">
        <v>4.02E-2</v>
      </c>
      <c r="O4728" s="100"/>
    </row>
    <row r="4729" spans="2:15" x14ac:dyDescent="0.2">
      <c r="B4729" s="1">
        <f t="shared" si="272"/>
        <v>4714</v>
      </c>
      <c r="C4729" s="101">
        <f ca="1"/>
        <v>0.47793798790416309</v>
      </c>
      <c r="D4729" s="101">
        <f t="shared" ca="1" si="269"/>
        <v>0.69657994859458727</v>
      </c>
      <c r="E4729" s="101">
        <f t="shared" ca="1" si="270"/>
        <v>0</v>
      </c>
      <c r="F4729" s="21">
        <f t="shared" ca="1" si="271"/>
        <v>0</v>
      </c>
      <c r="H4729" s="21">
        <v>4714</v>
      </c>
      <c r="I4729" s="102">
        <v>0.66766882267508387</v>
      </c>
      <c r="J4729" s="103">
        <v>1.3009198303569826E-3</v>
      </c>
      <c r="K4729" s="103"/>
      <c r="L4729" s="103">
        <v>4.0399999999999998E-2</v>
      </c>
      <c r="O4729" s="100"/>
    </row>
    <row r="4730" spans="2:15" x14ac:dyDescent="0.2">
      <c r="B4730" s="1">
        <f t="shared" si="272"/>
        <v>4715</v>
      </c>
      <c r="C4730" s="101">
        <f ca="1"/>
        <v>-0.80200864638120029</v>
      </c>
      <c r="D4730" s="101">
        <f t="shared" ca="1" si="269"/>
        <v>0.61395825665097647</v>
      </c>
      <c r="E4730" s="101">
        <f t="shared" ca="1" si="270"/>
        <v>0</v>
      </c>
      <c r="F4730" s="21">
        <f t="shared" ca="1" si="271"/>
        <v>0</v>
      </c>
      <c r="H4730" s="21">
        <v>4715</v>
      </c>
      <c r="I4730" s="102">
        <v>0.66778831510839221</v>
      </c>
      <c r="J4730" s="103">
        <v>1.5529351067183781E-3</v>
      </c>
      <c r="K4730" s="103"/>
      <c r="L4730" s="103">
        <v>4.3999999999999997E-2</v>
      </c>
      <c r="O4730" s="100"/>
    </row>
    <row r="4731" spans="2:15" x14ac:dyDescent="0.2">
      <c r="B4731" s="1">
        <f t="shared" si="272"/>
        <v>4716</v>
      </c>
      <c r="C4731" s="101">
        <f ca="1"/>
        <v>-1.6017077087802807</v>
      </c>
      <c r="D4731" s="101">
        <f t="shared" ca="1" si="269"/>
        <v>0.56738810845426468</v>
      </c>
      <c r="E4731" s="101">
        <f t="shared" ca="1" si="270"/>
        <v>0</v>
      </c>
      <c r="F4731" s="21">
        <f t="shared" ca="1" si="271"/>
        <v>0</v>
      </c>
      <c r="H4731" s="21">
        <v>4716</v>
      </c>
      <c r="I4731" s="102">
        <v>0.66763666195279958</v>
      </c>
      <c r="J4731" s="103">
        <v>1.2504547270161797E-3</v>
      </c>
      <c r="K4731" s="103"/>
      <c r="L4731" s="103">
        <v>3.6999999999999998E-2</v>
      </c>
      <c r="O4731" s="100"/>
    </row>
    <row r="4732" spans="2:15" x14ac:dyDescent="0.2">
      <c r="B4732" s="1">
        <f t="shared" si="272"/>
        <v>4717</v>
      </c>
      <c r="C4732" s="101">
        <f ca="1"/>
        <v>0.43104123831403995</v>
      </c>
      <c r="D4732" s="101">
        <f t="shared" ca="1" si="269"/>
        <v>0.69336504106562813</v>
      </c>
      <c r="E4732" s="101">
        <f t="shared" ca="1" si="270"/>
        <v>0</v>
      </c>
      <c r="F4732" s="21">
        <f t="shared" ca="1" si="271"/>
        <v>0</v>
      </c>
      <c r="H4732" s="21">
        <v>4717</v>
      </c>
      <c r="I4732" s="102">
        <v>0.66775212173971166</v>
      </c>
      <c r="J4732" s="103">
        <v>1.378000628301985E-3</v>
      </c>
      <c r="K4732" s="103"/>
      <c r="L4732" s="103">
        <v>4.36E-2</v>
      </c>
      <c r="O4732" s="100"/>
    </row>
    <row r="4733" spans="2:15" x14ac:dyDescent="0.2">
      <c r="B4733" s="1">
        <f t="shared" si="272"/>
        <v>4718</v>
      </c>
      <c r="C4733" s="101">
        <f ca="1"/>
        <v>0.38057260857314507</v>
      </c>
      <c r="D4733" s="101">
        <f t="shared" ca="1" si="269"/>
        <v>0.68992184477954688</v>
      </c>
      <c r="E4733" s="101">
        <f t="shared" ca="1" si="270"/>
        <v>0</v>
      </c>
      <c r="F4733" s="21">
        <f t="shared" ca="1" si="271"/>
        <v>0</v>
      </c>
      <c r="H4733" s="21">
        <v>4718</v>
      </c>
      <c r="I4733" s="102">
        <v>0.66766961996323881</v>
      </c>
      <c r="J4733" s="103">
        <v>1.2996162815054407E-3</v>
      </c>
      <c r="K4733" s="103"/>
      <c r="L4733" s="103">
        <v>4.0399999999999998E-2</v>
      </c>
      <c r="O4733" s="100"/>
    </row>
    <row r="4734" spans="2:15" x14ac:dyDescent="0.2">
      <c r="B4734" s="1">
        <f t="shared" si="272"/>
        <v>4719</v>
      </c>
      <c r="C4734" s="101">
        <f ca="1"/>
        <v>0.98885976706072309</v>
      </c>
      <c r="D4734" s="101">
        <f t="shared" ca="1" si="269"/>
        <v>0.73258587865247882</v>
      </c>
      <c r="E4734" s="101">
        <f t="shared" ca="1" si="270"/>
        <v>0</v>
      </c>
      <c r="F4734" s="21">
        <f t="shared" ca="1" si="271"/>
        <v>0</v>
      </c>
      <c r="H4734" s="21">
        <v>4719</v>
      </c>
      <c r="I4734" s="102">
        <v>0.66787587535569082</v>
      </c>
      <c r="J4734" s="103">
        <v>1.5423161541687524E-3</v>
      </c>
      <c r="K4734" s="103"/>
      <c r="L4734" s="103">
        <v>4.36E-2</v>
      </c>
      <c r="O4734" s="100"/>
    </row>
    <row r="4735" spans="2:15" x14ac:dyDescent="0.2">
      <c r="B4735" s="1">
        <f t="shared" si="272"/>
        <v>4720</v>
      </c>
      <c r="C4735" s="101">
        <f ca="1"/>
        <v>-0.49086030925774266</v>
      </c>
      <c r="D4735" s="101">
        <f t="shared" ca="1" si="269"/>
        <v>0.63309407222335257</v>
      </c>
      <c r="E4735" s="101">
        <f t="shared" ca="1" si="270"/>
        <v>0</v>
      </c>
      <c r="F4735" s="21">
        <f t="shared" ca="1" si="271"/>
        <v>0</v>
      </c>
      <c r="H4735" s="21">
        <v>4720</v>
      </c>
      <c r="I4735" s="102">
        <v>0.66780776217038951</v>
      </c>
      <c r="J4735" s="103">
        <v>1.4486409078030527E-3</v>
      </c>
      <c r="K4735" s="103"/>
      <c r="L4735" s="103">
        <v>4.2799999999999998E-2</v>
      </c>
      <c r="O4735" s="100"/>
    </row>
    <row r="4736" spans="2:15" x14ac:dyDescent="0.2">
      <c r="B4736" s="1">
        <f t="shared" si="272"/>
        <v>4721</v>
      </c>
      <c r="C4736" s="101">
        <f ca="1"/>
        <v>-2.2519274762290498</v>
      </c>
      <c r="D4736" s="101">
        <f t="shared" ca="1" si="269"/>
        <v>0.53213915479180995</v>
      </c>
      <c r="E4736" s="101">
        <f t="shared" ca="1" si="270"/>
        <v>0</v>
      </c>
      <c r="F4736" s="21">
        <f t="shared" ca="1" si="271"/>
        <v>0</v>
      </c>
      <c r="H4736" s="21">
        <v>4721</v>
      </c>
      <c r="I4736" s="102">
        <v>0.66782308253801892</v>
      </c>
      <c r="J4736" s="103">
        <v>1.3536573858344838E-3</v>
      </c>
      <c r="K4736" s="103"/>
      <c r="L4736" s="103">
        <v>4.5400000000000003E-2</v>
      </c>
      <c r="O4736" s="100"/>
    </row>
    <row r="4737" spans="2:15" x14ac:dyDescent="0.2">
      <c r="B4737" s="1">
        <f t="shared" si="272"/>
        <v>4722</v>
      </c>
      <c r="C4737" s="101">
        <f ca="1"/>
        <v>6.7976630863056123E-2</v>
      </c>
      <c r="D4737" s="101">
        <f t="shared" ca="1" si="269"/>
        <v>0.66897282640193245</v>
      </c>
      <c r="E4737" s="101">
        <f t="shared" ca="1" si="270"/>
        <v>0</v>
      </c>
      <c r="F4737" s="21">
        <f t="shared" ca="1" si="271"/>
        <v>0</v>
      </c>
      <c r="H4737" s="21">
        <v>4722</v>
      </c>
      <c r="I4737" s="102">
        <v>0.66769683172360061</v>
      </c>
      <c r="J4737" s="103">
        <v>1.2988065576574432E-3</v>
      </c>
      <c r="K4737" s="103"/>
      <c r="L4737" s="103">
        <v>4.2000000000000003E-2</v>
      </c>
      <c r="O4737" s="100"/>
    </row>
    <row r="4738" spans="2:15" x14ac:dyDescent="0.2">
      <c r="B4738" s="1">
        <f t="shared" si="272"/>
        <v>4723</v>
      </c>
      <c r="C4738" s="101">
        <f ca="1"/>
        <v>1.0351259278086975</v>
      </c>
      <c r="D4738" s="101">
        <f t="shared" ca="1" si="269"/>
        <v>0.73593686215570187</v>
      </c>
      <c r="E4738" s="101">
        <f t="shared" ca="1" si="270"/>
        <v>0</v>
      </c>
      <c r="F4738" s="21">
        <f t="shared" ca="1" si="271"/>
        <v>0</v>
      </c>
      <c r="H4738" s="21">
        <v>4723</v>
      </c>
      <c r="I4738" s="102">
        <v>0.6677640240477245</v>
      </c>
      <c r="J4738" s="103">
        <v>1.3730481840878495E-3</v>
      </c>
      <c r="K4738" s="103"/>
      <c r="L4738" s="103">
        <v>3.7999999999999999E-2</v>
      </c>
      <c r="O4738" s="100"/>
    </row>
    <row r="4739" spans="2:15" x14ac:dyDescent="0.2">
      <c r="B4739" s="1">
        <f t="shared" si="272"/>
        <v>4724</v>
      </c>
      <c r="C4739" s="101">
        <f ca="1"/>
        <v>0.22129147545312483</v>
      </c>
      <c r="D4739" s="101">
        <f t="shared" ca="1" si="269"/>
        <v>0.67916671023731445</v>
      </c>
      <c r="E4739" s="101">
        <f t="shared" ca="1" si="270"/>
        <v>0</v>
      </c>
      <c r="F4739" s="21">
        <f t="shared" ca="1" si="271"/>
        <v>0</v>
      </c>
      <c r="H4739" s="21">
        <v>4724</v>
      </c>
      <c r="I4739" s="102">
        <v>0.66772598392637916</v>
      </c>
      <c r="J4739" s="103">
        <v>1.3061097184127789E-3</v>
      </c>
      <c r="K4739" s="103"/>
      <c r="L4739" s="103">
        <v>4.1000000000000002E-2</v>
      </c>
      <c r="O4739" s="100"/>
    </row>
    <row r="4740" spans="2:15" x14ac:dyDescent="0.2">
      <c r="B4740" s="1">
        <f t="shared" si="272"/>
        <v>4725</v>
      </c>
      <c r="C4740" s="101">
        <f ca="1"/>
        <v>-0.31456784550757266</v>
      </c>
      <c r="D4740" s="101">
        <f t="shared" ca="1" si="269"/>
        <v>0.64419968425134733</v>
      </c>
      <c r="E4740" s="101">
        <f t="shared" ca="1" si="270"/>
        <v>0</v>
      </c>
      <c r="F4740" s="21">
        <f t="shared" ca="1" si="271"/>
        <v>0</v>
      </c>
      <c r="H4740" s="21">
        <v>4725</v>
      </c>
      <c r="I4740" s="102">
        <v>0.66779281505475108</v>
      </c>
      <c r="J4740" s="103">
        <v>1.3257360631652091E-3</v>
      </c>
      <c r="K4740" s="103"/>
      <c r="L4740" s="103">
        <v>4.1200000000000001E-2</v>
      </c>
      <c r="O4740" s="100"/>
    </row>
    <row r="4741" spans="2:15" x14ac:dyDescent="0.2">
      <c r="B4741" s="1">
        <f t="shared" si="272"/>
        <v>4726</v>
      </c>
      <c r="C4741" s="101">
        <f ca="1"/>
        <v>-0.52477070680551008</v>
      </c>
      <c r="D4741" s="101">
        <f t="shared" ca="1" si="269"/>
        <v>0.6309799315513942</v>
      </c>
      <c r="E4741" s="101">
        <f t="shared" ca="1" si="270"/>
        <v>0</v>
      </c>
      <c r="F4741" s="21">
        <f t="shared" ca="1" si="271"/>
        <v>0</v>
      </c>
      <c r="H4741" s="21">
        <v>4726</v>
      </c>
      <c r="I4741" s="102">
        <v>0.66768615363883255</v>
      </c>
      <c r="J4741" s="103">
        <v>1.4831232487312722E-3</v>
      </c>
      <c r="K4741" s="103"/>
      <c r="L4741" s="103">
        <v>4.1399999999999999E-2</v>
      </c>
      <c r="O4741" s="100"/>
    </row>
    <row r="4742" spans="2:15" x14ac:dyDescent="0.2">
      <c r="B4742" s="1">
        <f t="shared" si="272"/>
        <v>4727</v>
      </c>
      <c r="C4742" s="101">
        <f ca="1"/>
        <v>0.26101729203631235</v>
      </c>
      <c r="D4742" s="101">
        <f t="shared" ca="1" si="269"/>
        <v>0.68183331909227263</v>
      </c>
      <c r="E4742" s="101">
        <f t="shared" ca="1" si="270"/>
        <v>0</v>
      </c>
      <c r="F4742" s="21">
        <f t="shared" ca="1" si="271"/>
        <v>0</v>
      </c>
      <c r="H4742" s="21">
        <v>4727</v>
      </c>
      <c r="I4742" s="102">
        <v>0.66772159152028165</v>
      </c>
      <c r="J4742" s="103">
        <v>1.4425821500023606E-3</v>
      </c>
      <c r="K4742" s="103"/>
      <c r="L4742" s="103">
        <v>4.2799999999999998E-2</v>
      </c>
      <c r="O4742" s="100"/>
    </row>
    <row r="4743" spans="2:15" x14ac:dyDescent="0.2">
      <c r="B4743" s="1">
        <f t="shared" si="272"/>
        <v>4728</v>
      </c>
      <c r="C4743" s="101">
        <f ca="1"/>
        <v>0.9773139142212105</v>
      </c>
      <c r="D4743" s="101">
        <f t="shared" ca="1" si="269"/>
        <v>0.73175201282537694</v>
      </c>
      <c r="E4743" s="101">
        <f t="shared" ca="1" si="270"/>
        <v>0</v>
      </c>
      <c r="F4743" s="21">
        <f t="shared" ca="1" si="271"/>
        <v>0</v>
      </c>
      <c r="H4743" s="21">
        <v>4728</v>
      </c>
      <c r="I4743" s="102">
        <v>0.66763179245256121</v>
      </c>
      <c r="J4743" s="103">
        <v>1.2010883105193334E-3</v>
      </c>
      <c r="K4743" s="103"/>
      <c r="L4743" s="103">
        <v>0.04</v>
      </c>
      <c r="O4743" s="100"/>
    </row>
    <row r="4744" spans="2:15" x14ac:dyDescent="0.2">
      <c r="B4744" s="1">
        <f t="shared" si="272"/>
        <v>4729</v>
      </c>
      <c r="C4744" s="101">
        <f ca="1"/>
        <v>-0.89031165349310903</v>
      </c>
      <c r="D4744" s="101">
        <f t="shared" ca="1" si="269"/>
        <v>0.60863370323661903</v>
      </c>
      <c r="E4744" s="101">
        <f t="shared" ca="1" si="270"/>
        <v>0</v>
      </c>
      <c r="F4744" s="21">
        <f t="shared" ca="1" si="271"/>
        <v>0</v>
      </c>
      <c r="H4744" s="21">
        <v>4729</v>
      </c>
      <c r="I4744" s="102">
        <v>0.66793842255084668</v>
      </c>
      <c r="J4744" s="103">
        <v>1.6441257993942606E-3</v>
      </c>
      <c r="K4744" s="103"/>
      <c r="L4744" s="103">
        <v>4.4600000000000001E-2</v>
      </c>
      <c r="O4744" s="100"/>
    </row>
    <row r="4745" spans="2:15" x14ac:dyDescent="0.2">
      <c r="B4745" s="1">
        <f t="shared" si="272"/>
        <v>4730</v>
      </c>
      <c r="C4745" s="101">
        <f ca="1"/>
        <v>0.38776152708463407</v>
      </c>
      <c r="D4745" s="101">
        <f t="shared" ca="1" si="269"/>
        <v>0.69041125873739362</v>
      </c>
      <c r="E4745" s="101">
        <f t="shared" ca="1" si="270"/>
        <v>0</v>
      </c>
      <c r="F4745" s="21">
        <f t="shared" ca="1" si="271"/>
        <v>0</v>
      </c>
      <c r="H4745" s="21">
        <v>4730</v>
      </c>
      <c r="I4745" s="102">
        <v>0.66772459617084878</v>
      </c>
      <c r="J4745" s="103">
        <v>1.3068348219690495E-3</v>
      </c>
      <c r="K4745" s="103"/>
      <c r="L4745" s="103">
        <v>0.04</v>
      </c>
      <c r="O4745" s="100"/>
    </row>
    <row r="4746" spans="2:15" x14ac:dyDescent="0.2">
      <c r="B4746" s="1">
        <f t="shared" si="272"/>
        <v>4731</v>
      </c>
      <c r="C4746" s="101">
        <f ca="1"/>
        <v>0.6183700136501401</v>
      </c>
      <c r="D4746" s="101">
        <f t="shared" ca="1" si="269"/>
        <v>0.70629639620257711</v>
      </c>
      <c r="E4746" s="101">
        <f t="shared" ca="1" si="270"/>
        <v>0</v>
      </c>
      <c r="F4746" s="21">
        <f t="shared" ca="1" si="271"/>
        <v>0</v>
      </c>
      <c r="H4746" s="21">
        <v>4731</v>
      </c>
      <c r="I4746" s="102">
        <v>0.66755498971293459</v>
      </c>
      <c r="J4746" s="103">
        <v>1.1513577721393429E-3</v>
      </c>
      <c r="K4746" s="103"/>
      <c r="L4746" s="103">
        <v>3.5400000000000001E-2</v>
      </c>
      <c r="O4746" s="100"/>
    </row>
    <row r="4747" spans="2:15" x14ac:dyDescent="0.2">
      <c r="B4747" s="1">
        <f t="shared" si="272"/>
        <v>4732</v>
      </c>
      <c r="C4747" s="101">
        <f ca="1"/>
        <v>-0.19002050149868144</v>
      </c>
      <c r="D4747" s="101">
        <f t="shared" ca="1" si="269"/>
        <v>0.65216282470388864</v>
      </c>
      <c r="E4747" s="101">
        <f t="shared" ca="1" si="270"/>
        <v>0</v>
      </c>
      <c r="F4747" s="21">
        <f t="shared" ca="1" si="271"/>
        <v>0</v>
      </c>
      <c r="H4747" s="21">
        <v>4732</v>
      </c>
      <c r="I4747" s="102">
        <v>0.66770913114363128</v>
      </c>
      <c r="J4747" s="103">
        <v>1.3220843214296343E-3</v>
      </c>
      <c r="K4747" s="103"/>
      <c r="L4747" s="103">
        <v>4.3999999999999997E-2</v>
      </c>
      <c r="O4747" s="100"/>
    </row>
    <row r="4748" spans="2:15" x14ac:dyDescent="0.2">
      <c r="B4748" s="1">
        <f t="shared" si="272"/>
        <v>4733</v>
      </c>
      <c r="C4748" s="101">
        <f ca="1"/>
        <v>-1.4987061439723932</v>
      </c>
      <c r="D4748" s="101">
        <f t="shared" ca="1" si="269"/>
        <v>0.57318227644343323</v>
      </c>
      <c r="E4748" s="101">
        <f t="shared" ca="1" si="270"/>
        <v>0</v>
      </c>
      <c r="F4748" s="21">
        <f t="shared" ca="1" si="271"/>
        <v>0</v>
      </c>
      <c r="H4748" s="21">
        <v>4733</v>
      </c>
      <c r="I4748" s="102">
        <v>0.66772002020983123</v>
      </c>
      <c r="J4748" s="103">
        <v>1.4340588065006592E-3</v>
      </c>
      <c r="K4748" s="103"/>
      <c r="L4748" s="103">
        <v>0.04</v>
      </c>
      <c r="O4748" s="100"/>
    </row>
    <row r="4749" spans="2:15" x14ac:dyDescent="0.2">
      <c r="B4749" s="1">
        <f t="shared" si="272"/>
        <v>4734</v>
      </c>
      <c r="C4749" s="101">
        <f ca="1"/>
        <v>-1.3390717835643029</v>
      </c>
      <c r="D4749" s="101">
        <f t="shared" ca="1" si="269"/>
        <v>0.58227935271297071</v>
      </c>
      <c r="E4749" s="101">
        <f t="shared" ca="1" si="270"/>
        <v>0</v>
      </c>
      <c r="F4749" s="21">
        <f t="shared" ca="1" si="271"/>
        <v>0</v>
      </c>
      <c r="H4749" s="21">
        <v>4734</v>
      </c>
      <c r="I4749" s="102">
        <v>0.66772409936048671</v>
      </c>
      <c r="J4749" s="103">
        <v>1.3952283061189649E-3</v>
      </c>
      <c r="K4749" s="103"/>
      <c r="L4749" s="103">
        <v>4.1799999999999997E-2</v>
      </c>
      <c r="O4749" s="100"/>
    </row>
    <row r="4750" spans="2:15" x14ac:dyDescent="0.2">
      <c r="B4750" s="1">
        <f t="shared" si="272"/>
        <v>4735</v>
      </c>
      <c r="C4750" s="101">
        <f ca="1"/>
        <v>0.41721505743686677</v>
      </c>
      <c r="D4750" s="101">
        <f t="shared" ca="1" si="269"/>
        <v>0.6924200516222051</v>
      </c>
      <c r="E4750" s="101">
        <f t="shared" ca="1" si="270"/>
        <v>0</v>
      </c>
      <c r="F4750" s="21">
        <f t="shared" ca="1" si="271"/>
        <v>0</v>
      </c>
      <c r="H4750" s="21">
        <v>4735</v>
      </c>
      <c r="I4750" s="102">
        <v>0.66764112306317924</v>
      </c>
      <c r="J4750" s="103">
        <v>1.130806976812751E-3</v>
      </c>
      <c r="K4750" s="103"/>
      <c r="L4750" s="103">
        <v>3.7199999999999997E-2</v>
      </c>
      <c r="O4750" s="100"/>
    </row>
    <row r="4751" spans="2:15" x14ac:dyDescent="0.2">
      <c r="B4751" s="1">
        <f t="shared" si="272"/>
        <v>4736</v>
      </c>
      <c r="C4751" s="101">
        <f ca="1"/>
        <v>-1.9748930796011879</v>
      </c>
      <c r="D4751" s="101">
        <f t="shared" ca="1" si="269"/>
        <v>0.54688145718280134</v>
      </c>
      <c r="E4751" s="101">
        <f t="shared" ca="1" si="270"/>
        <v>0</v>
      </c>
      <c r="F4751" s="21">
        <f t="shared" ca="1" si="271"/>
        <v>0</v>
      </c>
      <c r="H4751" s="21">
        <v>4736</v>
      </c>
      <c r="I4751" s="102">
        <v>0.66782324429266549</v>
      </c>
      <c r="J4751" s="103">
        <v>1.2802720344969026E-3</v>
      </c>
      <c r="K4751" s="103"/>
      <c r="L4751" s="103">
        <v>4.4999999999999998E-2</v>
      </c>
      <c r="O4751" s="100"/>
    </row>
    <row r="4752" spans="2:15" x14ac:dyDescent="0.2">
      <c r="B4752" s="1">
        <f t="shared" si="272"/>
        <v>4737</v>
      </c>
      <c r="C4752" s="101">
        <f ca="1"/>
        <v>0.39490196279507073</v>
      </c>
      <c r="D4752" s="101">
        <f t="shared" ref="D4752:D4815" ca="1" si="273">S0*EXP((μ-0.5*σ*σ)*T+σ*SQRT(T)*$C4752)</f>
        <v>0.69089771571122072</v>
      </c>
      <c r="E4752" s="101">
        <f t="shared" ref="E4752:E4815" ca="1" si="274">MAX(0,CP*(D4752-K))</f>
        <v>0</v>
      </c>
      <c r="F4752" s="21">
        <f t="shared" ref="F4752:F4815" ca="1" si="275">(CP*(D4752-K)&gt;0)*1</f>
        <v>0</v>
      </c>
      <c r="H4752" s="21">
        <v>4737</v>
      </c>
      <c r="I4752" s="102">
        <v>0.66770072299209915</v>
      </c>
      <c r="J4752" s="103">
        <v>1.205865569631166E-3</v>
      </c>
      <c r="K4752" s="103"/>
      <c r="L4752" s="103">
        <v>4.02E-2</v>
      </c>
      <c r="O4752" s="100"/>
    </row>
    <row r="4753" spans="2:15" x14ac:dyDescent="0.2">
      <c r="B4753" s="1">
        <f t="shared" si="272"/>
        <v>4738</v>
      </c>
      <c r="C4753" s="101">
        <f ca="1"/>
        <v>0.23625847637227784</v>
      </c>
      <c r="D4753" s="101">
        <f t="shared" ca="1" si="273"/>
        <v>0.68017014860903791</v>
      </c>
      <c r="E4753" s="101">
        <f t="shared" ca="1" si="274"/>
        <v>0</v>
      </c>
      <c r="F4753" s="21">
        <f t="shared" ca="1" si="275"/>
        <v>0</v>
      </c>
      <c r="H4753" s="21">
        <v>4738</v>
      </c>
      <c r="I4753" s="102">
        <v>0.66764412473497203</v>
      </c>
      <c r="J4753" s="103">
        <v>1.3386142527683741E-3</v>
      </c>
      <c r="K4753" s="103"/>
      <c r="L4753" s="103">
        <v>3.7600000000000001E-2</v>
      </c>
      <c r="O4753" s="100"/>
    </row>
    <row r="4754" spans="2:15" x14ac:dyDescent="0.2">
      <c r="B4754" s="1">
        <f t="shared" si="272"/>
        <v>4739</v>
      </c>
      <c r="C4754" s="101">
        <f ca="1"/>
        <v>0.6232686643345593</v>
      </c>
      <c r="D4754" s="101">
        <f t="shared" ca="1" si="273"/>
        <v>0.70663776772930187</v>
      </c>
      <c r="E4754" s="101">
        <f t="shared" ca="1" si="274"/>
        <v>0</v>
      </c>
      <c r="F4754" s="21">
        <f t="shared" ca="1" si="275"/>
        <v>0</v>
      </c>
      <c r="H4754" s="21">
        <v>4739</v>
      </c>
      <c r="I4754" s="102">
        <v>0.66788786929189992</v>
      </c>
      <c r="J4754" s="103">
        <v>1.4660780011714791E-3</v>
      </c>
      <c r="K4754" s="103"/>
      <c r="L4754" s="103">
        <v>4.6600000000000003E-2</v>
      </c>
      <c r="O4754" s="100"/>
    </row>
    <row r="4755" spans="2:15" x14ac:dyDescent="0.2">
      <c r="B4755" s="1">
        <f t="shared" si="272"/>
        <v>4740</v>
      </c>
      <c r="C4755" s="101">
        <f ca="1"/>
        <v>-0.69242079384180566</v>
      </c>
      <c r="D4755" s="101">
        <f t="shared" ca="1" si="273"/>
        <v>0.6206310797892397</v>
      </c>
      <c r="E4755" s="101">
        <f t="shared" ca="1" si="274"/>
        <v>0</v>
      </c>
      <c r="F4755" s="21">
        <f t="shared" ca="1" si="275"/>
        <v>0</v>
      </c>
      <c r="H4755" s="21">
        <v>4740</v>
      </c>
      <c r="I4755" s="102">
        <v>0.66764985948120992</v>
      </c>
      <c r="J4755" s="103">
        <v>1.2600895393727147E-3</v>
      </c>
      <c r="K4755" s="103"/>
      <c r="L4755" s="103">
        <v>3.9399999999999998E-2</v>
      </c>
      <c r="O4755" s="100"/>
    </row>
    <row r="4756" spans="2:15" x14ac:dyDescent="0.2">
      <c r="B4756" s="1">
        <f t="shared" si="272"/>
        <v>4741</v>
      </c>
      <c r="C4756" s="101">
        <f ca="1"/>
        <v>-1.3277142985623933</v>
      </c>
      <c r="D4756" s="101">
        <f t="shared" ca="1" si="273"/>
        <v>0.58293205593975728</v>
      </c>
      <c r="E4756" s="101">
        <f t="shared" ca="1" si="274"/>
        <v>0</v>
      </c>
      <c r="F4756" s="21">
        <f t="shared" ca="1" si="275"/>
        <v>0</v>
      </c>
      <c r="H4756" s="21">
        <v>4741</v>
      </c>
      <c r="I4756" s="102">
        <v>0.66789449459737515</v>
      </c>
      <c r="J4756" s="103">
        <v>1.4786809352494376E-3</v>
      </c>
      <c r="K4756" s="103"/>
      <c r="L4756" s="103">
        <v>4.3799999999999999E-2</v>
      </c>
      <c r="O4756" s="100"/>
    </row>
    <row r="4757" spans="2:15" x14ac:dyDescent="0.2">
      <c r="B4757" s="1">
        <f t="shared" si="272"/>
        <v>4742</v>
      </c>
      <c r="C4757" s="101">
        <f ca="1"/>
        <v>-0.32594121808956084</v>
      </c>
      <c r="D4757" s="101">
        <f t="shared" ca="1" si="273"/>
        <v>0.64347737182985509</v>
      </c>
      <c r="E4757" s="101">
        <f t="shared" ca="1" si="274"/>
        <v>0</v>
      </c>
      <c r="F4757" s="21">
        <f t="shared" ca="1" si="275"/>
        <v>0</v>
      </c>
      <c r="H4757" s="21">
        <v>4742</v>
      </c>
      <c r="I4757" s="102">
        <v>0.66787403831753989</v>
      </c>
      <c r="J4757" s="103">
        <v>1.5396580503632842E-3</v>
      </c>
      <c r="K4757" s="103"/>
      <c r="L4757" s="103">
        <v>4.5400000000000003E-2</v>
      </c>
      <c r="O4757" s="100"/>
    </row>
    <row r="4758" spans="2:15" x14ac:dyDescent="0.2">
      <c r="B4758" s="1">
        <f t="shared" si="272"/>
        <v>4743</v>
      </c>
      <c r="C4758" s="101">
        <f ca="1"/>
        <v>-0.91860697505621991</v>
      </c>
      <c r="D4758" s="101">
        <f t="shared" ca="1" si="273"/>
        <v>0.60693732146834789</v>
      </c>
      <c r="E4758" s="101">
        <f t="shared" ca="1" si="274"/>
        <v>0</v>
      </c>
      <c r="F4758" s="21">
        <f t="shared" ca="1" si="275"/>
        <v>0</v>
      </c>
      <c r="H4758" s="21">
        <v>4743</v>
      </c>
      <c r="I4758" s="102">
        <v>0.66771823917873685</v>
      </c>
      <c r="J4758" s="103">
        <v>1.4066909040928997E-3</v>
      </c>
      <c r="K4758" s="103"/>
      <c r="L4758" s="103">
        <v>4.24E-2</v>
      </c>
      <c r="O4758" s="100"/>
    </row>
    <row r="4759" spans="2:15" x14ac:dyDescent="0.2">
      <c r="B4759" s="1">
        <f t="shared" si="272"/>
        <v>4744</v>
      </c>
      <c r="C4759" s="101">
        <f ca="1"/>
        <v>-0.43788785938099234</v>
      </c>
      <c r="D4759" s="101">
        <f t="shared" ca="1" si="273"/>
        <v>0.63641081929330789</v>
      </c>
      <c r="E4759" s="101">
        <f t="shared" ca="1" si="274"/>
        <v>0</v>
      </c>
      <c r="F4759" s="21">
        <f t="shared" ca="1" si="275"/>
        <v>0</v>
      </c>
      <c r="H4759" s="21">
        <v>4744</v>
      </c>
      <c r="I4759" s="102">
        <v>0.66790590026381047</v>
      </c>
      <c r="J4759" s="103">
        <v>1.6492424480937706E-3</v>
      </c>
      <c r="K4759" s="103"/>
      <c r="L4759" s="103">
        <v>4.5600000000000002E-2</v>
      </c>
      <c r="O4759" s="100"/>
    </row>
    <row r="4760" spans="2:15" x14ac:dyDescent="0.2">
      <c r="B4760" s="1">
        <f t="shared" si="272"/>
        <v>4745</v>
      </c>
      <c r="C4760" s="101">
        <f ca="1"/>
        <v>0.18371442338479288</v>
      </c>
      <c r="D4760" s="101">
        <f t="shared" ca="1" si="273"/>
        <v>0.67665393665497564</v>
      </c>
      <c r="E4760" s="101">
        <f t="shared" ca="1" si="274"/>
        <v>0</v>
      </c>
      <c r="F4760" s="21">
        <f t="shared" ca="1" si="275"/>
        <v>0</v>
      </c>
      <c r="H4760" s="21">
        <v>4745</v>
      </c>
      <c r="I4760" s="102">
        <v>0.6676464699090866</v>
      </c>
      <c r="J4760" s="103">
        <v>1.2315158448291473E-3</v>
      </c>
      <c r="K4760" s="103"/>
      <c r="L4760" s="103">
        <v>4.02E-2</v>
      </c>
      <c r="O4760" s="100"/>
    </row>
    <row r="4761" spans="2:15" x14ac:dyDescent="0.2">
      <c r="B4761" s="1">
        <f t="shared" si="272"/>
        <v>4746</v>
      </c>
      <c r="C4761" s="101">
        <f ca="1"/>
        <v>1.1247119757790438</v>
      </c>
      <c r="D4761" s="101">
        <f t="shared" ca="1" si="273"/>
        <v>0.74246907240040194</v>
      </c>
      <c r="E4761" s="101">
        <f t="shared" ca="1" si="274"/>
        <v>0</v>
      </c>
      <c r="F4761" s="21">
        <f t="shared" ca="1" si="275"/>
        <v>0</v>
      </c>
      <c r="H4761" s="21">
        <v>4746</v>
      </c>
      <c r="I4761" s="102">
        <v>0.66773409941784911</v>
      </c>
      <c r="J4761" s="103">
        <v>1.3343651359582673E-3</v>
      </c>
      <c r="K4761" s="103"/>
      <c r="L4761" s="103">
        <v>4.0800000000000003E-2</v>
      </c>
      <c r="O4761" s="100"/>
    </row>
    <row r="4762" spans="2:15" x14ac:dyDescent="0.2">
      <c r="B4762" s="1">
        <f t="shared" si="272"/>
        <v>4747</v>
      </c>
      <c r="C4762" s="101">
        <f ca="1"/>
        <v>-0.51697717902265483</v>
      </c>
      <c r="D4762" s="101">
        <f t="shared" ca="1" si="273"/>
        <v>0.63146519265424605</v>
      </c>
      <c r="E4762" s="101">
        <f t="shared" ca="1" si="274"/>
        <v>0</v>
      </c>
      <c r="F4762" s="21">
        <f t="shared" ca="1" si="275"/>
        <v>0</v>
      </c>
      <c r="H4762" s="21">
        <v>4747</v>
      </c>
      <c r="I4762" s="102">
        <v>0.66758919705260034</v>
      </c>
      <c r="J4762" s="103">
        <v>1.1869394511733959E-3</v>
      </c>
      <c r="K4762" s="103"/>
      <c r="L4762" s="103">
        <v>4.1799999999999997E-2</v>
      </c>
      <c r="O4762" s="100"/>
    </row>
    <row r="4763" spans="2:15" x14ac:dyDescent="0.2">
      <c r="B4763" s="1">
        <f t="shared" si="272"/>
        <v>4748</v>
      </c>
      <c r="C4763" s="101">
        <f ca="1"/>
        <v>0.49155757458715615</v>
      </c>
      <c r="D4763" s="101">
        <f t="shared" ca="1" si="273"/>
        <v>0.69751640067264642</v>
      </c>
      <c r="E4763" s="101">
        <f t="shared" ca="1" si="274"/>
        <v>0</v>
      </c>
      <c r="F4763" s="21">
        <f t="shared" ca="1" si="275"/>
        <v>0</v>
      </c>
      <c r="H4763" s="21">
        <v>4748</v>
      </c>
      <c r="I4763" s="102">
        <v>0.66776955879357092</v>
      </c>
      <c r="J4763" s="103">
        <v>1.4720955491876375E-3</v>
      </c>
      <c r="K4763" s="103"/>
      <c r="L4763" s="103">
        <v>4.2599999999999999E-2</v>
      </c>
      <c r="O4763" s="100"/>
    </row>
    <row r="4764" spans="2:15" x14ac:dyDescent="0.2">
      <c r="B4764" s="1">
        <f t="shared" si="272"/>
        <v>4749</v>
      </c>
      <c r="C4764" s="101">
        <f ca="1"/>
        <v>0.47572816881063607</v>
      </c>
      <c r="D4764" s="101">
        <f t="shared" ca="1" si="273"/>
        <v>0.69642812500388462</v>
      </c>
      <c r="E4764" s="101">
        <f t="shared" ca="1" si="274"/>
        <v>0</v>
      </c>
      <c r="F4764" s="21">
        <f t="shared" ca="1" si="275"/>
        <v>0</v>
      </c>
      <c r="H4764" s="21">
        <v>4749</v>
      </c>
      <c r="I4764" s="102">
        <v>0.66782027291808921</v>
      </c>
      <c r="J4764" s="103">
        <v>1.3770971951140569E-3</v>
      </c>
      <c r="K4764" s="103"/>
      <c r="L4764" s="103">
        <v>4.1399999999999999E-2</v>
      </c>
      <c r="O4764" s="100"/>
    </row>
    <row r="4765" spans="2:15" x14ac:dyDescent="0.2">
      <c r="B4765" s="1">
        <f t="shared" si="272"/>
        <v>4750</v>
      </c>
      <c r="C4765" s="101">
        <f ca="1"/>
        <v>-0.70955961535157019</v>
      </c>
      <c r="D4765" s="101">
        <f t="shared" ca="1" si="273"/>
        <v>0.61958272973916473</v>
      </c>
      <c r="E4765" s="101">
        <f t="shared" ca="1" si="274"/>
        <v>0</v>
      </c>
      <c r="F4765" s="21">
        <f t="shared" ca="1" si="275"/>
        <v>0</v>
      </c>
      <c r="H4765" s="21">
        <v>4750</v>
      </c>
      <c r="I4765" s="102">
        <v>0.66771123346110028</v>
      </c>
      <c r="J4765" s="103">
        <v>1.2708159433548224E-3</v>
      </c>
      <c r="K4765" s="103"/>
      <c r="L4765" s="103">
        <v>4.1000000000000002E-2</v>
      </c>
      <c r="O4765" s="100"/>
    </row>
    <row r="4766" spans="2:15" x14ac:dyDescent="0.2">
      <c r="B4766" s="1">
        <f t="shared" si="272"/>
        <v>4751</v>
      </c>
      <c r="C4766" s="101">
        <f ca="1"/>
        <v>0.92799075738235637</v>
      </c>
      <c r="D4766" s="101">
        <f t="shared" ca="1" si="273"/>
        <v>0.72820046528077886</v>
      </c>
      <c r="E4766" s="101">
        <f t="shared" ca="1" si="274"/>
        <v>0</v>
      </c>
      <c r="F4766" s="21">
        <f t="shared" ca="1" si="275"/>
        <v>0</v>
      </c>
      <c r="H4766" s="21">
        <v>4751</v>
      </c>
      <c r="I4766" s="102">
        <v>0.66783416382323069</v>
      </c>
      <c r="J4766" s="103">
        <v>1.4621130641893729E-3</v>
      </c>
      <c r="K4766" s="103"/>
      <c r="L4766" s="103">
        <v>4.2000000000000003E-2</v>
      </c>
      <c r="O4766" s="100"/>
    </row>
    <row r="4767" spans="2:15" x14ac:dyDescent="0.2">
      <c r="B4767" s="1">
        <f t="shared" si="272"/>
        <v>4752</v>
      </c>
      <c r="C4767" s="101">
        <f ca="1"/>
        <v>0.18047715546424722</v>
      </c>
      <c r="D4767" s="101">
        <f t="shared" ca="1" si="273"/>
        <v>0.67643789633208007</v>
      </c>
      <c r="E4767" s="101">
        <f t="shared" ca="1" si="274"/>
        <v>0</v>
      </c>
      <c r="F4767" s="21">
        <f t="shared" ca="1" si="275"/>
        <v>0</v>
      </c>
      <c r="H4767" s="21">
        <v>4752</v>
      </c>
      <c r="I4767" s="102">
        <v>0.66775749144994234</v>
      </c>
      <c r="J4767" s="103">
        <v>1.3758844974552052E-3</v>
      </c>
      <c r="K4767" s="103"/>
      <c r="L4767" s="103">
        <v>4.48E-2</v>
      </c>
      <c r="O4767" s="100"/>
    </row>
    <row r="4768" spans="2:15" x14ac:dyDescent="0.2">
      <c r="B4768" s="1">
        <f t="shared" si="272"/>
        <v>4753</v>
      </c>
      <c r="C4768" s="101">
        <f ca="1"/>
        <v>1.4712499441402973</v>
      </c>
      <c r="D4768" s="101">
        <f t="shared" ca="1" si="273"/>
        <v>0.76828762987832866</v>
      </c>
      <c r="E4768" s="101">
        <f t="shared" ca="1" si="274"/>
        <v>0</v>
      </c>
      <c r="F4768" s="21">
        <f t="shared" ca="1" si="275"/>
        <v>0</v>
      </c>
      <c r="H4768" s="21">
        <v>4753</v>
      </c>
      <c r="I4768" s="102">
        <v>0.66767588188737648</v>
      </c>
      <c r="J4768" s="103">
        <v>1.2469159010119618E-3</v>
      </c>
      <c r="K4768" s="103"/>
      <c r="L4768" s="103">
        <v>4.0599999999999997E-2</v>
      </c>
      <c r="O4768" s="100"/>
    </row>
    <row r="4769" spans="2:15" x14ac:dyDescent="0.2">
      <c r="B4769" s="1">
        <f t="shared" si="272"/>
        <v>4754</v>
      </c>
      <c r="C4769" s="101">
        <f ca="1"/>
        <v>1.6591316872480009</v>
      </c>
      <c r="D4769" s="101">
        <f t="shared" ca="1" si="273"/>
        <v>0.78265899113265824</v>
      </c>
      <c r="E4769" s="101">
        <f t="shared" ca="1" si="274"/>
        <v>0</v>
      </c>
      <c r="F4769" s="21">
        <f t="shared" ca="1" si="275"/>
        <v>0</v>
      </c>
      <c r="H4769" s="21">
        <v>4754</v>
      </c>
      <c r="I4769" s="102">
        <v>0.66770902611164173</v>
      </c>
      <c r="J4769" s="103">
        <v>1.275450023155159E-3</v>
      </c>
      <c r="K4769" s="103"/>
      <c r="L4769" s="103">
        <v>4.02E-2</v>
      </c>
      <c r="O4769" s="100"/>
    </row>
    <row r="4770" spans="2:15" x14ac:dyDescent="0.2">
      <c r="B4770" s="1">
        <f t="shared" si="272"/>
        <v>4755</v>
      </c>
      <c r="C4770" s="101">
        <f ca="1"/>
        <v>6.4513835167356384E-2</v>
      </c>
      <c r="D4770" s="101">
        <f t="shared" ca="1" si="273"/>
        <v>0.66874436119165315</v>
      </c>
      <c r="E4770" s="101">
        <f t="shared" ca="1" si="274"/>
        <v>0</v>
      </c>
      <c r="F4770" s="21">
        <f t="shared" ca="1" si="275"/>
        <v>0</v>
      </c>
      <c r="H4770" s="21">
        <v>4755</v>
      </c>
      <c r="I4770" s="102">
        <v>0.6678942028052014</v>
      </c>
      <c r="J4770" s="103">
        <v>1.6022700940612627E-3</v>
      </c>
      <c r="K4770" s="103"/>
      <c r="L4770" s="103">
        <v>4.3200000000000002E-2</v>
      </c>
      <c r="O4770" s="100"/>
    </row>
    <row r="4771" spans="2:15" x14ac:dyDescent="0.2">
      <c r="B4771" s="1">
        <f t="shared" si="272"/>
        <v>4756</v>
      </c>
      <c r="C4771" s="101">
        <f ca="1"/>
        <v>-0.50243651497496722</v>
      </c>
      <c r="D4771" s="101">
        <f t="shared" ca="1" si="273"/>
        <v>0.63237155958452684</v>
      </c>
      <c r="E4771" s="101">
        <f t="shared" ca="1" si="274"/>
        <v>0</v>
      </c>
      <c r="F4771" s="21">
        <f t="shared" ca="1" si="275"/>
        <v>0</v>
      </c>
      <c r="H4771" s="21">
        <v>4756</v>
      </c>
      <c r="I4771" s="102">
        <v>0.66774229001414964</v>
      </c>
      <c r="J4771" s="103">
        <v>1.424814007695667E-3</v>
      </c>
      <c r="K4771" s="103"/>
      <c r="L4771" s="103">
        <v>4.2599999999999999E-2</v>
      </c>
      <c r="O4771" s="100"/>
    </row>
    <row r="4772" spans="2:15" x14ac:dyDescent="0.2">
      <c r="B4772" s="1">
        <f t="shared" si="272"/>
        <v>4757</v>
      </c>
      <c r="C4772" s="101">
        <f ca="1"/>
        <v>1.5139127348927148</v>
      </c>
      <c r="D4772" s="101">
        <f t="shared" ca="1" si="273"/>
        <v>0.77152763835732807</v>
      </c>
      <c r="E4772" s="101">
        <f t="shared" ca="1" si="274"/>
        <v>0</v>
      </c>
      <c r="F4772" s="21">
        <f t="shared" ca="1" si="275"/>
        <v>0</v>
      </c>
      <c r="H4772" s="21">
        <v>4757</v>
      </c>
      <c r="I4772" s="102">
        <v>0.6677606224406869</v>
      </c>
      <c r="J4772" s="103">
        <v>1.4203643989465836E-3</v>
      </c>
      <c r="K4772" s="103"/>
      <c r="L4772" s="103">
        <v>4.3200000000000002E-2</v>
      </c>
      <c r="O4772" s="100"/>
    </row>
    <row r="4773" spans="2:15" x14ac:dyDescent="0.2">
      <c r="B4773" s="1">
        <f t="shared" si="272"/>
        <v>4758</v>
      </c>
      <c r="C4773" s="101">
        <f ca="1"/>
        <v>0.37662104579679634</v>
      </c>
      <c r="D4773" s="101">
        <f t="shared" ca="1" si="273"/>
        <v>0.68965297434815831</v>
      </c>
      <c r="E4773" s="101">
        <f t="shared" ca="1" si="274"/>
        <v>0</v>
      </c>
      <c r="F4773" s="21">
        <f t="shared" ca="1" si="275"/>
        <v>0</v>
      </c>
      <c r="H4773" s="21">
        <v>4758</v>
      </c>
      <c r="I4773" s="102">
        <v>0.66774179206739059</v>
      </c>
      <c r="J4773" s="103">
        <v>1.4243777286948845E-3</v>
      </c>
      <c r="K4773" s="103"/>
      <c r="L4773" s="103">
        <v>4.3200000000000002E-2</v>
      </c>
      <c r="O4773" s="100"/>
    </row>
    <row r="4774" spans="2:15" x14ac:dyDescent="0.2">
      <c r="B4774" s="1">
        <f t="shared" si="272"/>
        <v>4759</v>
      </c>
      <c r="C4774" s="101">
        <f ca="1"/>
        <v>1.4221149705628513E-2</v>
      </c>
      <c r="D4774" s="101">
        <f t="shared" ca="1" si="273"/>
        <v>0.66543497804097618</v>
      </c>
      <c r="E4774" s="101">
        <f t="shared" ca="1" si="274"/>
        <v>0</v>
      </c>
      <c r="F4774" s="21">
        <f t="shared" ca="1" si="275"/>
        <v>0</v>
      </c>
      <c r="H4774" s="21">
        <v>4759</v>
      </c>
      <c r="I4774" s="102">
        <v>0.66777873880522631</v>
      </c>
      <c r="J4774" s="103">
        <v>1.4191116388478553E-3</v>
      </c>
      <c r="K4774" s="103"/>
      <c r="L4774" s="103">
        <v>4.48E-2</v>
      </c>
      <c r="O4774" s="100"/>
    </row>
    <row r="4775" spans="2:15" x14ac:dyDescent="0.2">
      <c r="B4775" s="1">
        <f t="shared" si="272"/>
        <v>4760</v>
      </c>
      <c r="C4775" s="101">
        <f ca="1"/>
        <v>0.22326634534941087</v>
      </c>
      <c r="D4775" s="101">
        <f t="shared" ca="1" si="273"/>
        <v>0.67929902737048986</v>
      </c>
      <c r="E4775" s="101">
        <f t="shared" ca="1" si="274"/>
        <v>0</v>
      </c>
      <c r="F4775" s="21">
        <f t="shared" ca="1" si="275"/>
        <v>0</v>
      </c>
      <c r="H4775" s="21">
        <v>4760</v>
      </c>
      <c r="I4775" s="102">
        <v>0.66783227340121987</v>
      </c>
      <c r="J4775" s="103">
        <v>1.7028294034735179E-3</v>
      </c>
      <c r="K4775" s="103"/>
      <c r="L4775" s="103">
        <v>4.1599999999999998E-2</v>
      </c>
      <c r="O4775" s="100"/>
    </row>
    <row r="4776" spans="2:15" x14ac:dyDescent="0.2">
      <c r="B4776" s="1">
        <f t="shared" si="272"/>
        <v>4761</v>
      </c>
      <c r="C4776" s="101">
        <f ca="1"/>
        <v>-1.0377879299751376</v>
      </c>
      <c r="D4776" s="101">
        <f t="shared" ca="1" si="273"/>
        <v>0.59984384247698619</v>
      </c>
      <c r="E4776" s="101">
        <f t="shared" ca="1" si="274"/>
        <v>0</v>
      </c>
      <c r="F4776" s="21">
        <f t="shared" ca="1" si="275"/>
        <v>0</v>
      </c>
      <c r="H4776" s="21">
        <v>4761</v>
      </c>
      <c r="I4776" s="102">
        <v>0.66772980403606674</v>
      </c>
      <c r="J4776" s="103">
        <v>1.4486798972460355E-3</v>
      </c>
      <c r="K4776" s="103"/>
      <c r="L4776" s="103">
        <v>4.3400000000000001E-2</v>
      </c>
      <c r="O4776" s="100"/>
    </row>
    <row r="4777" spans="2:15" x14ac:dyDescent="0.2">
      <c r="B4777" s="1">
        <f t="shared" si="272"/>
        <v>4762</v>
      </c>
      <c r="C4777" s="101">
        <f ca="1"/>
        <v>-1.6216038297254876</v>
      </c>
      <c r="D4777" s="101">
        <f t="shared" ca="1" si="273"/>
        <v>0.56627565603892183</v>
      </c>
      <c r="E4777" s="101">
        <f t="shared" ca="1" si="274"/>
        <v>0</v>
      </c>
      <c r="F4777" s="21">
        <f t="shared" ca="1" si="275"/>
        <v>0</v>
      </c>
      <c r="H4777" s="21">
        <v>4762</v>
      </c>
      <c r="I4777" s="102">
        <v>0.66775747013292974</v>
      </c>
      <c r="J4777" s="103">
        <v>1.4730144992469222E-3</v>
      </c>
      <c r="K4777" s="103"/>
      <c r="L4777" s="103">
        <v>4.2200000000000001E-2</v>
      </c>
      <c r="O4777" s="100"/>
    </row>
    <row r="4778" spans="2:15" x14ac:dyDescent="0.2">
      <c r="B4778" s="1">
        <f t="shared" si="272"/>
        <v>4763</v>
      </c>
      <c r="C4778" s="101">
        <f ca="1"/>
        <v>0.38866107251723686</v>
      </c>
      <c r="D4778" s="101">
        <f t="shared" ca="1" si="273"/>
        <v>0.69047252327168307</v>
      </c>
      <c r="E4778" s="101">
        <f t="shared" ca="1" si="274"/>
        <v>0</v>
      </c>
      <c r="F4778" s="21">
        <f t="shared" ca="1" si="275"/>
        <v>0</v>
      </c>
      <c r="H4778" s="21">
        <v>4763</v>
      </c>
      <c r="I4778" s="102">
        <v>0.66787026404108585</v>
      </c>
      <c r="J4778" s="103">
        <v>1.6079286233322324E-3</v>
      </c>
      <c r="K4778" s="103"/>
      <c r="L4778" s="103">
        <v>4.4200000000000003E-2</v>
      </c>
      <c r="O4778" s="100"/>
    </row>
    <row r="4779" spans="2:15" x14ac:dyDescent="0.2">
      <c r="B4779" s="1">
        <f t="shared" si="272"/>
        <v>4764</v>
      </c>
      <c r="C4779" s="101">
        <f ca="1"/>
        <v>-0.27344401235950722</v>
      </c>
      <c r="D4779" s="101">
        <f t="shared" ca="1" si="273"/>
        <v>0.64681819375391059</v>
      </c>
      <c r="E4779" s="101">
        <f t="shared" ca="1" si="274"/>
        <v>0</v>
      </c>
      <c r="F4779" s="21">
        <f t="shared" ca="1" si="275"/>
        <v>0</v>
      </c>
      <c r="H4779" s="21">
        <v>4764</v>
      </c>
      <c r="I4779" s="102">
        <v>0.66768434809575017</v>
      </c>
      <c r="J4779" s="103">
        <v>1.3911791075261048E-3</v>
      </c>
      <c r="K4779" s="103"/>
      <c r="L4779" s="103">
        <v>3.6200000000000003E-2</v>
      </c>
      <c r="O4779" s="100"/>
    </row>
    <row r="4780" spans="2:15" x14ac:dyDescent="0.2">
      <c r="B4780" s="1">
        <f t="shared" si="272"/>
        <v>4765</v>
      </c>
      <c r="C4780" s="101">
        <f ca="1"/>
        <v>-6.6524609026304984E-2</v>
      </c>
      <c r="D4780" s="101">
        <f t="shared" ca="1" si="273"/>
        <v>0.66015592719982374</v>
      </c>
      <c r="E4780" s="101">
        <f t="shared" ca="1" si="274"/>
        <v>0</v>
      </c>
      <c r="F4780" s="21">
        <f t="shared" ca="1" si="275"/>
        <v>0</v>
      </c>
      <c r="H4780" s="21">
        <v>4765</v>
      </c>
      <c r="I4780" s="102">
        <v>0.66773672183518407</v>
      </c>
      <c r="J4780" s="103">
        <v>1.3579680248906574E-3</v>
      </c>
      <c r="K4780" s="103"/>
      <c r="L4780" s="103">
        <v>4.2799999999999998E-2</v>
      </c>
      <c r="O4780" s="100"/>
    </row>
    <row r="4781" spans="2:15" x14ac:dyDescent="0.2">
      <c r="B4781" s="1">
        <f t="shared" si="272"/>
        <v>4766</v>
      </c>
      <c r="C4781" s="101">
        <f ca="1"/>
        <v>0.9693764742706702</v>
      </c>
      <c r="D4781" s="101">
        <f t="shared" ca="1" si="273"/>
        <v>0.7311793047950631</v>
      </c>
      <c r="E4781" s="101">
        <f t="shared" ca="1" si="274"/>
        <v>0</v>
      </c>
      <c r="F4781" s="21">
        <f t="shared" ca="1" si="275"/>
        <v>0</v>
      </c>
      <c r="H4781" s="21">
        <v>4766</v>
      </c>
      <c r="I4781" s="102">
        <v>0.66784101482998315</v>
      </c>
      <c r="J4781" s="103">
        <v>1.4568124922950331E-3</v>
      </c>
      <c r="K4781" s="103"/>
      <c r="L4781" s="103">
        <v>4.2799999999999998E-2</v>
      </c>
      <c r="O4781" s="100"/>
    </row>
    <row r="4782" spans="2:15" x14ac:dyDescent="0.2">
      <c r="B4782" s="1">
        <f t="shared" si="272"/>
        <v>4767</v>
      </c>
      <c r="C4782" s="101">
        <f ca="1"/>
        <v>0.90653608801646202</v>
      </c>
      <c r="D4782" s="101">
        <f t="shared" ca="1" si="273"/>
        <v>0.72666099181629573</v>
      </c>
      <c r="E4782" s="101">
        <f t="shared" ca="1" si="274"/>
        <v>0</v>
      </c>
      <c r="F4782" s="21">
        <f t="shared" ca="1" si="275"/>
        <v>0</v>
      </c>
      <c r="H4782" s="21">
        <v>4767</v>
      </c>
      <c r="I4782" s="102">
        <v>0.66791502055532359</v>
      </c>
      <c r="J4782" s="103">
        <v>1.534206350710463E-3</v>
      </c>
      <c r="K4782" s="103"/>
      <c r="L4782" s="103">
        <v>4.48E-2</v>
      </c>
      <c r="O4782" s="100"/>
    </row>
    <row r="4783" spans="2:15" x14ac:dyDescent="0.2">
      <c r="B4783" s="1">
        <f t="shared" si="272"/>
        <v>4768</v>
      </c>
      <c r="C4783" s="101">
        <f ca="1"/>
        <v>0.10329833969394232</v>
      </c>
      <c r="D4783" s="101">
        <f t="shared" ca="1" si="273"/>
        <v>0.67130771349123197</v>
      </c>
      <c r="E4783" s="101">
        <f t="shared" ca="1" si="274"/>
        <v>0</v>
      </c>
      <c r="F4783" s="21">
        <f t="shared" ca="1" si="275"/>
        <v>0</v>
      </c>
      <c r="H4783" s="21">
        <v>4768</v>
      </c>
      <c r="I4783" s="102">
        <v>0.66769558969403986</v>
      </c>
      <c r="J4783" s="103">
        <v>1.3382241750432762E-3</v>
      </c>
      <c r="K4783" s="103"/>
      <c r="L4783" s="103">
        <v>4.0800000000000003E-2</v>
      </c>
      <c r="O4783" s="100"/>
    </row>
    <row r="4784" spans="2:15" x14ac:dyDescent="0.2">
      <c r="B4784" s="1">
        <f t="shared" ref="B4784:B4847" si="276">B4783+1</f>
        <v>4769</v>
      </c>
      <c r="C4784" s="101">
        <f ca="1"/>
        <v>1.2400421312874368</v>
      </c>
      <c r="D4784" s="101">
        <f t="shared" ca="1" si="273"/>
        <v>0.75096386586790387</v>
      </c>
      <c r="E4784" s="101">
        <f t="shared" ca="1" si="274"/>
        <v>0</v>
      </c>
      <c r="F4784" s="21">
        <f t="shared" ca="1" si="275"/>
        <v>0</v>
      </c>
      <c r="H4784" s="21">
        <v>4769</v>
      </c>
      <c r="I4784" s="102">
        <v>0.6677547043982015</v>
      </c>
      <c r="J4784" s="103">
        <v>1.2661046502003947E-3</v>
      </c>
      <c r="K4784" s="103"/>
      <c r="L4784" s="103">
        <v>4.2799999999999998E-2</v>
      </c>
      <c r="O4784" s="100"/>
    </row>
    <row r="4785" spans="2:15" x14ac:dyDescent="0.2">
      <c r="B4785" s="1">
        <f t="shared" si="276"/>
        <v>4770</v>
      </c>
      <c r="C4785" s="101">
        <f ca="1"/>
        <v>0.49374513042866902</v>
      </c>
      <c r="D4785" s="101">
        <f t="shared" ca="1" si="273"/>
        <v>0.69766692937920916</v>
      </c>
      <c r="E4785" s="101">
        <f t="shared" ca="1" si="274"/>
        <v>0</v>
      </c>
      <c r="F4785" s="21">
        <f t="shared" ca="1" si="275"/>
        <v>0</v>
      </c>
      <c r="H4785" s="21">
        <v>4770</v>
      </c>
      <c r="I4785" s="102">
        <v>0.66778754415442954</v>
      </c>
      <c r="J4785" s="103">
        <v>1.3297858360253535E-3</v>
      </c>
      <c r="K4785" s="103"/>
      <c r="L4785" s="103">
        <v>4.3799999999999999E-2</v>
      </c>
      <c r="O4785" s="100"/>
    </row>
    <row r="4786" spans="2:15" x14ac:dyDescent="0.2">
      <c r="B4786" s="1">
        <f t="shared" si="276"/>
        <v>4771</v>
      </c>
      <c r="C4786" s="101">
        <f ca="1"/>
        <v>0.54494340052800705</v>
      </c>
      <c r="D4786" s="101">
        <f t="shared" ca="1" si="273"/>
        <v>0.70119924447781468</v>
      </c>
      <c r="E4786" s="101">
        <f t="shared" ca="1" si="274"/>
        <v>0</v>
      </c>
      <c r="F4786" s="21">
        <f t="shared" ca="1" si="275"/>
        <v>0</v>
      </c>
      <c r="H4786" s="21">
        <v>4771</v>
      </c>
      <c r="I4786" s="102">
        <v>0.66754592141213243</v>
      </c>
      <c r="J4786" s="103">
        <v>1.2172192032063184E-3</v>
      </c>
      <c r="K4786" s="103"/>
      <c r="L4786" s="103">
        <v>3.6600000000000001E-2</v>
      </c>
      <c r="O4786" s="100"/>
    </row>
    <row r="4787" spans="2:15" x14ac:dyDescent="0.2">
      <c r="B4787" s="1">
        <f t="shared" si="276"/>
        <v>4772</v>
      </c>
      <c r="C4787" s="101">
        <f ca="1"/>
        <v>0.86253011205857633</v>
      </c>
      <c r="D4787" s="101">
        <f t="shared" ca="1" si="273"/>
        <v>0.7235135323083105</v>
      </c>
      <c r="E4787" s="101">
        <f t="shared" ca="1" si="274"/>
        <v>0</v>
      </c>
      <c r="F4787" s="21">
        <f t="shared" ca="1" si="275"/>
        <v>0</v>
      </c>
      <c r="H4787" s="21">
        <v>4772</v>
      </c>
      <c r="I4787" s="102">
        <v>0.66755602455158081</v>
      </c>
      <c r="J4787" s="103">
        <v>1.2022666251869818E-3</v>
      </c>
      <c r="K4787" s="103"/>
      <c r="L4787" s="103">
        <v>3.9600000000000003E-2</v>
      </c>
      <c r="O4787" s="100"/>
    </row>
    <row r="4788" spans="2:15" x14ac:dyDescent="0.2">
      <c r="B4788" s="1">
        <f t="shared" si="276"/>
        <v>4773</v>
      </c>
      <c r="C4788" s="101">
        <f ca="1"/>
        <v>-0.62741602599295709</v>
      </c>
      <c r="D4788" s="101">
        <f t="shared" ca="1" si="273"/>
        <v>0.62462344956103455</v>
      </c>
      <c r="E4788" s="101">
        <f t="shared" ca="1" si="274"/>
        <v>0</v>
      </c>
      <c r="F4788" s="21">
        <f t="shared" ca="1" si="275"/>
        <v>0</v>
      </c>
      <c r="H4788" s="21">
        <v>4773</v>
      </c>
      <c r="I4788" s="102">
        <v>0.66770365661201836</v>
      </c>
      <c r="J4788" s="103">
        <v>1.2929637277991821E-3</v>
      </c>
      <c r="K4788" s="103"/>
      <c r="L4788" s="103">
        <v>4.0599999999999997E-2</v>
      </c>
      <c r="O4788" s="100"/>
    </row>
    <row r="4789" spans="2:15" x14ac:dyDescent="0.2">
      <c r="B4789" s="1">
        <f t="shared" si="276"/>
        <v>4774</v>
      </c>
      <c r="C4789" s="101">
        <f ca="1"/>
        <v>1.248057267455817</v>
      </c>
      <c r="D4789" s="101">
        <f t="shared" ca="1" si="273"/>
        <v>0.75155783043672664</v>
      </c>
      <c r="E4789" s="101">
        <f t="shared" ca="1" si="274"/>
        <v>0</v>
      </c>
      <c r="F4789" s="21">
        <f t="shared" ca="1" si="275"/>
        <v>0</v>
      </c>
      <c r="H4789" s="21">
        <v>4774</v>
      </c>
      <c r="I4789" s="102">
        <v>0.66775732333516979</v>
      </c>
      <c r="J4789" s="103">
        <v>1.3989969081969753E-3</v>
      </c>
      <c r="K4789" s="103"/>
      <c r="L4789" s="103">
        <v>4.24E-2</v>
      </c>
      <c r="O4789" s="100"/>
    </row>
    <row r="4790" spans="2:15" x14ac:dyDescent="0.2">
      <c r="B4790" s="1">
        <f t="shared" si="276"/>
        <v>4775</v>
      </c>
      <c r="C4790" s="101">
        <f ca="1"/>
        <v>1.1545502804018797</v>
      </c>
      <c r="D4790" s="101">
        <f t="shared" ca="1" si="273"/>
        <v>0.74465759328783943</v>
      </c>
      <c r="E4790" s="101">
        <f t="shared" ca="1" si="274"/>
        <v>0</v>
      </c>
      <c r="F4790" s="21">
        <f t="shared" ca="1" si="275"/>
        <v>0</v>
      </c>
      <c r="H4790" s="21">
        <v>4775</v>
      </c>
      <c r="I4790" s="102">
        <v>0.66774831880360852</v>
      </c>
      <c r="J4790" s="103">
        <v>1.5153489777355047E-3</v>
      </c>
      <c r="K4790" s="103"/>
      <c r="L4790" s="103">
        <v>4.1399999999999999E-2</v>
      </c>
      <c r="O4790" s="100"/>
    </row>
    <row r="4791" spans="2:15" x14ac:dyDescent="0.2">
      <c r="B4791" s="1">
        <f t="shared" si="276"/>
        <v>4776</v>
      </c>
      <c r="C4791" s="101">
        <f ca="1"/>
        <v>1.7479379679869265</v>
      </c>
      <c r="D4791" s="101">
        <f t="shared" ca="1" si="273"/>
        <v>0.7895451771963905</v>
      </c>
      <c r="E4791" s="101">
        <f t="shared" ca="1" si="274"/>
        <v>1.3451771963904902E-3</v>
      </c>
      <c r="F4791" s="21">
        <f t="shared" ca="1" si="275"/>
        <v>1</v>
      </c>
      <c r="H4791" s="21">
        <v>4776</v>
      </c>
      <c r="I4791" s="102">
        <v>0.66788097996297469</v>
      </c>
      <c r="J4791" s="103">
        <v>1.5704295518264657E-3</v>
      </c>
      <c r="K4791" s="103"/>
      <c r="L4791" s="103">
        <v>4.6199999999999998E-2</v>
      </c>
      <c r="O4791" s="100"/>
    </row>
    <row r="4792" spans="2:15" x14ac:dyDescent="0.2">
      <c r="B4792" s="1">
        <f t="shared" si="276"/>
        <v>4777</v>
      </c>
      <c r="C4792" s="101">
        <f ca="1"/>
        <v>1.1625731754537414</v>
      </c>
      <c r="D4792" s="101">
        <f t="shared" ca="1" si="273"/>
        <v>0.7452471403689791</v>
      </c>
      <c r="E4792" s="101">
        <f t="shared" ca="1" si="274"/>
        <v>0</v>
      </c>
      <c r="F4792" s="21">
        <f t="shared" ca="1" si="275"/>
        <v>0</v>
      </c>
      <c r="H4792" s="21">
        <v>4777</v>
      </c>
      <c r="I4792" s="102">
        <v>0.66766954093748032</v>
      </c>
      <c r="J4792" s="103">
        <v>1.2596403480575379E-3</v>
      </c>
      <c r="K4792" s="103"/>
      <c r="L4792" s="103">
        <v>4.0800000000000003E-2</v>
      </c>
      <c r="O4792" s="100"/>
    </row>
    <row r="4793" spans="2:15" x14ac:dyDescent="0.2">
      <c r="B4793" s="1">
        <f t="shared" si="276"/>
        <v>4778</v>
      </c>
      <c r="C4793" s="101">
        <f ca="1"/>
        <v>-3.249961020022963E-2</v>
      </c>
      <c r="D4793" s="101">
        <f t="shared" ca="1" si="273"/>
        <v>0.66237531173400743</v>
      </c>
      <c r="E4793" s="101">
        <f t="shared" ca="1" si="274"/>
        <v>0</v>
      </c>
      <c r="F4793" s="21">
        <f t="shared" ca="1" si="275"/>
        <v>0</v>
      </c>
      <c r="H4793" s="21">
        <v>4778</v>
      </c>
      <c r="I4793" s="102">
        <v>0.66778373465799035</v>
      </c>
      <c r="J4793" s="103">
        <v>1.4841750716901906E-3</v>
      </c>
      <c r="K4793" s="103"/>
      <c r="L4793" s="103">
        <v>4.3400000000000001E-2</v>
      </c>
      <c r="O4793" s="100"/>
    </row>
    <row r="4794" spans="2:15" x14ac:dyDescent="0.2">
      <c r="B4794" s="1">
        <f t="shared" si="276"/>
        <v>4779</v>
      </c>
      <c r="C4794" s="101">
        <f ca="1"/>
        <v>-0.48894507132671972</v>
      </c>
      <c r="D4794" s="101">
        <f t="shared" ca="1" si="273"/>
        <v>0.63321368867262917</v>
      </c>
      <c r="E4794" s="101">
        <f t="shared" ca="1" si="274"/>
        <v>0</v>
      </c>
      <c r="F4794" s="21">
        <f t="shared" ca="1" si="275"/>
        <v>0</v>
      </c>
      <c r="H4794" s="21">
        <v>4779</v>
      </c>
      <c r="I4794" s="102">
        <v>0.66773614240648704</v>
      </c>
      <c r="J4794" s="103">
        <v>1.4486097592628401E-3</v>
      </c>
      <c r="K4794" s="103"/>
      <c r="L4794" s="103">
        <v>4.2599999999999999E-2</v>
      </c>
      <c r="O4794" s="100"/>
    </row>
    <row r="4795" spans="2:15" x14ac:dyDescent="0.2">
      <c r="B4795" s="1">
        <f t="shared" si="276"/>
        <v>4780</v>
      </c>
      <c r="C4795" s="101">
        <f ca="1"/>
        <v>0.59477898347075975</v>
      </c>
      <c r="D4795" s="101">
        <f t="shared" ca="1" si="273"/>
        <v>0.70465471969841798</v>
      </c>
      <c r="E4795" s="101">
        <f t="shared" ca="1" si="274"/>
        <v>0</v>
      </c>
      <c r="F4795" s="21">
        <f t="shared" ca="1" si="275"/>
        <v>0</v>
      </c>
      <c r="H4795" s="21">
        <v>4780</v>
      </c>
      <c r="I4795" s="102">
        <v>0.66770451438285916</v>
      </c>
      <c r="J4795" s="103">
        <v>1.2270426760320257E-3</v>
      </c>
      <c r="K4795" s="103"/>
      <c r="L4795" s="103">
        <v>3.78E-2</v>
      </c>
      <c r="O4795" s="100"/>
    </row>
    <row r="4796" spans="2:15" x14ac:dyDescent="0.2">
      <c r="B4796" s="1">
        <f t="shared" si="276"/>
        <v>4781</v>
      </c>
      <c r="C4796" s="101">
        <f ca="1"/>
        <v>-1.5647623301670439</v>
      </c>
      <c r="D4796" s="101">
        <f t="shared" ca="1" si="273"/>
        <v>0.56945963665808386</v>
      </c>
      <c r="E4796" s="101">
        <f t="shared" ca="1" si="274"/>
        <v>0</v>
      </c>
      <c r="F4796" s="21">
        <f t="shared" ca="1" si="275"/>
        <v>0</v>
      </c>
      <c r="H4796" s="21">
        <v>4781</v>
      </c>
      <c r="I4796" s="102">
        <v>0.66772660341264556</v>
      </c>
      <c r="J4796" s="103">
        <v>1.4284394898759244E-3</v>
      </c>
      <c r="K4796" s="103"/>
      <c r="L4796" s="103">
        <v>4.0599999999999997E-2</v>
      </c>
      <c r="O4796" s="100"/>
    </row>
    <row r="4797" spans="2:15" x14ac:dyDescent="0.2">
      <c r="B4797" s="1">
        <f t="shared" si="276"/>
        <v>4782</v>
      </c>
      <c r="C4797" s="101">
        <f ca="1"/>
        <v>-0.83057374621074032</v>
      </c>
      <c r="D4797" s="101">
        <f t="shared" ca="1" si="273"/>
        <v>0.61223074184164128</v>
      </c>
      <c r="E4797" s="101">
        <f t="shared" ca="1" si="274"/>
        <v>0</v>
      </c>
      <c r="F4797" s="21">
        <f t="shared" ca="1" si="275"/>
        <v>0</v>
      </c>
      <c r="H4797" s="21">
        <v>4782</v>
      </c>
      <c r="I4797" s="102">
        <v>0.66786281065553932</v>
      </c>
      <c r="J4797" s="103">
        <v>1.4744597961354547E-3</v>
      </c>
      <c r="K4797" s="103"/>
      <c r="L4797" s="103">
        <v>4.7E-2</v>
      </c>
      <c r="O4797" s="100"/>
    </row>
    <row r="4798" spans="2:15" x14ac:dyDescent="0.2">
      <c r="B4798" s="1">
        <f t="shared" si="276"/>
        <v>4783</v>
      </c>
      <c r="C4798" s="101">
        <f ca="1"/>
        <v>1.0701084321740413</v>
      </c>
      <c r="D4798" s="101">
        <f t="shared" ca="1" si="273"/>
        <v>0.73848076127129669</v>
      </c>
      <c r="E4798" s="101">
        <f t="shared" ca="1" si="274"/>
        <v>0</v>
      </c>
      <c r="F4798" s="21">
        <f t="shared" ca="1" si="275"/>
        <v>0</v>
      </c>
      <c r="H4798" s="21">
        <v>4783</v>
      </c>
      <c r="I4798" s="102">
        <v>0.6677878899278803</v>
      </c>
      <c r="J4798" s="103">
        <v>1.5190349285896857E-3</v>
      </c>
      <c r="K4798" s="103"/>
      <c r="L4798" s="103">
        <v>4.24E-2</v>
      </c>
      <c r="O4798" s="100"/>
    </row>
    <row r="4799" spans="2:15" x14ac:dyDescent="0.2">
      <c r="B4799" s="1">
        <f t="shared" si="276"/>
        <v>4784</v>
      </c>
      <c r="C4799" s="101">
        <f ca="1"/>
        <v>2.3651844993480494E-2</v>
      </c>
      <c r="D4799" s="101">
        <f t="shared" ca="1" si="273"/>
        <v>0.66605429112756787</v>
      </c>
      <c r="E4799" s="101">
        <f t="shared" ca="1" si="274"/>
        <v>0</v>
      </c>
      <c r="F4799" s="21">
        <f t="shared" ca="1" si="275"/>
        <v>0</v>
      </c>
      <c r="H4799" s="21">
        <v>4784</v>
      </c>
      <c r="I4799" s="102">
        <v>0.66763920953434119</v>
      </c>
      <c r="J4799" s="103">
        <v>1.1706246777859835E-3</v>
      </c>
      <c r="K4799" s="103"/>
      <c r="L4799" s="103">
        <v>3.9399999999999998E-2</v>
      </c>
      <c r="O4799" s="100"/>
    </row>
    <row r="4800" spans="2:15" x14ac:dyDescent="0.2">
      <c r="B4800" s="1">
        <f t="shared" si="276"/>
        <v>4785</v>
      </c>
      <c r="C4800" s="101">
        <f ca="1"/>
        <v>1.46089170938306</v>
      </c>
      <c r="D4800" s="101">
        <f t="shared" ca="1" si="273"/>
        <v>0.76750303288479693</v>
      </c>
      <c r="E4800" s="101">
        <f t="shared" ca="1" si="274"/>
        <v>0</v>
      </c>
      <c r="F4800" s="21">
        <f t="shared" ca="1" si="275"/>
        <v>0</v>
      </c>
      <c r="H4800" s="21">
        <v>4785</v>
      </c>
      <c r="I4800" s="102">
        <v>0.66779223176507874</v>
      </c>
      <c r="J4800" s="103">
        <v>1.375677723863708E-3</v>
      </c>
      <c r="K4800" s="103"/>
      <c r="L4800" s="103">
        <v>4.2000000000000003E-2</v>
      </c>
      <c r="O4800" s="100"/>
    </row>
    <row r="4801" spans="2:15" x14ac:dyDescent="0.2">
      <c r="B4801" s="1">
        <f t="shared" si="276"/>
        <v>4786</v>
      </c>
      <c r="C4801" s="101">
        <f ca="1"/>
        <v>-0.59937120169554681</v>
      </c>
      <c r="D4801" s="101">
        <f t="shared" ca="1" si="273"/>
        <v>0.62635378681644449</v>
      </c>
      <c r="E4801" s="101">
        <f t="shared" ca="1" si="274"/>
        <v>0</v>
      </c>
      <c r="F4801" s="21">
        <f t="shared" ca="1" si="275"/>
        <v>0</v>
      </c>
      <c r="H4801" s="21">
        <v>4786</v>
      </c>
      <c r="I4801" s="102">
        <v>0.66769756724232832</v>
      </c>
      <c r="J4801" s="103">
        <v>1.2860687760700288E-3</v>
      </c>
      <c r="K4801" s="103"/>
      <c r="L4801" s="103">
        <v>4.2000000000000003E-2</v>
      </c>
      <c r="O4801" s="100"/>
    </row>
    <row r="4802" spans="2:15" x14ac:dyDescent="0.2">
      <c r="B4802" s="1">
        <f t="shared" si="276"/>
        <v>4787</v>
      </c>
      <c r="C4802" s="101">
        <f ca="1"/>
        <v>2.0364508803267132</v>
      </c>
      <c r="D4802" s="101">
        <f t="shared" ca="1" si="273"/>
        <v>0.81233787089107823</v>
      </c>
      <c r="E4802" s="101">
        <f t="shared" ca="1" si="274"/>
        <v>2.4137870891078217E-2</v>
      </c>
      <c r="F4802" s="21">
        <f t="shared" ca="1" si="275"/>
        <v>1</v>
      </c>
      <c r="H4802" s="21">
        <v>4787</v>
      </c>
      <c r="I4802" s="102">
        <v>0.66780361676387601</v>
      </c>
      <c r="J4802" s="103">
        <v>1.4852905542654109E-3</v>
      </c>
      <c r="K4802" s="103"/>
      <c r="L4802" s="103">
        <v>4.0599999999999997E-2</v>
      </c>
      <c r="O4802" s="100"/>
    </row>
    <row r="4803" spans="2:15" x14ac:dyDescent="0.2">
      <c r="B4803" s="1">
        <f t="shared" si="276"/>
        <v>4788</v>
      </c>
      <c r="C4803" s="101">
        <f ca="1"/>
        <v>0.66437378849762441</v>
      </c>
      <c r="D4803" s="101">
        <f t="shared" ca="1" si="273"/>
        <v>0.70950876293407339</v>
      </c>
      <c r="E4803" s="101">
        <f t="shared" ca="1" si="274"/>
        <v>0</v>
      </c>
      <c r="F4803" s="21">
        <f t="shared" ca="1" si="275"/>
        <v>0</v>
      </c>
      <c r="H4803" s="21">
        <v>4788</v>
      </c>
      <c r="I4803" s="102">
        <v>0.66795994616566789</v>
      </c>
      <c r="J4803" s="103">
        <v>1.5146810970266258E-3</v>
      </c>
      <c r="K4803" s="103"/>
      <c r="L4803" s="103">
        <v>4.6199999999999998E-2</v>
      </c>
      <c r="O4803" s="100"/>
    </row>
    <row r="4804" spans="2:15" x14ac:dyDescent="0.2">
      <c r="B4804" s="1">
        <f t="shared" si="276"/>
        <v>4789</v>
      </c>
      <c r="C4804" s="101">
        <f ca="1"/>
        <v>-0.84169468811508374</v>
      </c>
      <c r="D4804" s="101">
        <f t="shared" ca="1" si="273"/>
        <v>0.61155950247295021</v>
      </c>
      <c r="E4804" s="101">
        <f t="shared" ca="1" si="274"/>
        <v>0</v>
      </c>
      <c r="F4804" s="21">
        <f t="shared" ca="1" si="275"/>
        <v>0</v>
      </c>
      <c r="H4804" s="21">
        <v>4789</v>
      </c>
      <c r="I4804" s="102">
        <v>0.66781674033927441</v>
      </c>
      <c r="J4804" s="103">
        <v>1.5305740095696526E-3</v>
      </c>
      <c r="K4804" s="103"/>
      <c r="L4804" s="103">
        <v>4.7E-2</v>
      </c>
      <c r="O4804" s="100"/>
    </row>
    <row r="4805" spans="2:15" x14ac:dyDescent="0.2">
      <c r="B4805" s="1">
        <f t="shared" si="276"/>
        <v>4790</v>
      </c>
      <c r="C4805" s="101">
        <f ca="1"/>
        <v>-0.42439362526502966</v>
      </c>
      <c r="D4805" s="101">
        <f t="shared" ca="1" si="273"/>
        <v>0.6372585028716542</v>
      </c>
      <c r="E4805" s="101">
        <f t="shared" ca="1" si="274"/>
        <v>0</v>
      </c>
      <c r="F4805" s="21">
        <f t="shared" ca="1" si="275"/>
        <v>0</v>
      </c>
      <c r="H4805" s="21">
        <v>4790</v>
      </c>
      <c r="I4805" s="102">
        <v>0.66773497964757822</v>
      </c>
      <c r="J4805" s="103">
        <v>1.4445647914004224E-3</v>
      </c>
      <c r="K4805" s="103"/>
      <c r="L4805" s="103">
        <v>4.5999999999999999E-2</v>
      </c>
      <c r="O4805" s="100"/>
    </row>
    <row r="4806" spans="2:15" x14ac:dyDescent="0.2">
      <c r="B4806" s="1">
        <f t="shared" si="276"/>
        <v>4791</v>
      </c>
      <c r="C4806" s="101">
        <f ca="1"/>
        <v>-1.3319475150228133</v>
      </c>
      <c r="D4806" s="101">
        <f t="shared" ca="1" si="273"/>
        <v>0.58268869176657923</v>
      </c>
      <c r="E4806" s="101">
        <f t="shared" ca="1" si="274"/>
        <v>0</v>
      </c>
      <c r="F4806" s="21">
        <f t="shared" ca="1" si="275"/>
        <v>0</v>
      </c>
      <c r="H4806" s="21">
        <v>4791</v>
      </c>
      <c r="I4806" s="102">
        <v>0.66783596538201928</v>
      </c>
      <c r="J4806" s="103">
        <v>1.5680360422142053E-3</v>
      </c>
      <c r="K4806" s="103"/>
      <c r="L4806" s="103">
        <v>4.4600000000000001E-2</v>
      </c>
      <c r="O4806" s="100"/>
    </row>
    <row r="4807" spans="2:15" x14ac:dyDescent="0.2">
      <c r="B4807" s="1">
        <f t="shared" si="276"/>
        <v>4792</v>
      </c>
      <c r="C4807" s="101">
        <f ca="1"/>
        <v>0.15834888455476631</v>
      </c>
      <c r="D4807" s="101">
        <f t="shared" ca="1" si="273"/>
        <v>0.67496300366592932</v>
      </c>
      <c r="E4807" s="101">
        <f t="shared" ca="1" si="274"/>
        <v>0</v>
      </c>
      <c r="F4807" s="21">
        <f t="shared" ca="1" si="275"/>
        <v>0</v>
      </c>
      <c r="H4807" s="21">
        <v>4792</v>
      </c>
      <c r="I4807" s="102">
        <v>0.66773695100104935</v>
      </c>
      <c r="J4807" s="103">
        <v>1.328788282981263E-3</v>
      </c>
      <c r="K4807" s="103"/>
      <c r="L4807" s="103">
        <v>4.3400000000000001E-2</v>
      </c>
      <c r="O4807" s="100"/>
    </row>
    <row r="4808" spans="2:15" x14ac:dyDescent="0.2">
      <c r="B4808" s="1">
        <f t="shared" si="276"/>
        <v>4793</v>
      </c>
      <c r="C4808" s="101">
        <f ca="1"/>
        <v>1.1897168190766465</v>
      </c>
      <c r="D4808" s="101">
        <f t="shared" ca="1" si="273"/>
        <v>0.74724520209994683</v>
      </c>
      <c r="E4808" s="101">
        <f t="shared" ca="1" si="274"/>
        <v>0</v>
      </c>
      <c r="F4808" s="21">
        <f t="shared" ca="1" si="275"/>
        <v>0</v>
      </c>
      <c r="H4808" s="21">
        <v>4793</v>
      </c>
      <c r="I4808" s="102">
        <v>0.66786262610780145</v>
      </c>
      <c r="J4808" s="103">
        <v>1.5648859056169146E-3</v>
      </c>
      <c r="K4808" s="103"/>
      <c r="L4808" s="103">
        <v>4.58E-2</v>
      </c>
      <c r="O4808" s="100"/>
    </row>
    <row r="4809" spans="2:15" x14ac:dyDescent="0.2">
      <c r="B4809" s="1">
        <f t="shared" si="276"/>
        <v>4794</v>
      </c>
      <c r="C4809" s="101">
        <f ca="1"/>
        <v>0.97663935329620222</v>
      </c>
      <c r="D4809" s="101">
        <f t="shared" ca="1" si="273"/>
        <v>0.73170332397077276</v>
      </c>
      <c r="E4809" s="101">
        <f t="shared" ca="1" si="274"/>
        <v>0</v>
      </c>
      <c r="F4809" s="21">
        <f t="shared" ca="1" si="275"/>
        <v>0</v>
      </c>
      <c r="H4809" s="21">
        <v>4794</v>
      </c>
      <c r="I4809" s="102">
        <v>0.66780803023864677</v>
      </c>
      <c r="J4809" s="103">
        <v>1.3787683904637688E-3</v>
      </c>
      <c r="K4809" s="103"/>
      <c r="L4809" s="103">
        <v>4.3999999999999997E-2</v>
      </c>
      <c r="O4809" s="100"/>
    </row>
    <row r="4810" spans="2:15" x14ac:dyDescent="0.2">
      <c r="B4810" s="1">
        <f t="shared" si="276"/>
        <v>4795</v>
      </c>
      <c r="C4810" s="101">
        <f ca="1"/>
        <v>0.21472996090419227</v>
      </c>
      <c r="D4810" s="101">
        <f t="shared" ca="1" si="273"/>
        <v>0.67872727098274521</v>
      </c>
      <c r="E4810" s="101">
        <f t="shared" ca="1" si="274"/>
        <v>0</v>
      </c>
      <c r="F4810" s="21">
        <f t="shared" ca="1" si="275"/>
        <v>0</v>
      </c>
      <c r="H4810" s="21">
        <v>4795</v>
      </c>
      <c r="I4810" s="102">
        <v>0.66781422318250427</v>
      </c>
      <c r="J4810" s="103">
        <v>1.4676829497687522E-3</v>
      </c>
      <c r="K4810" s="103"/>
      <c r="L4810" s="103">
        <v>4.3200000000000002E-2</v>
      </c>
      <c r="O4810" s="100"/>
    </row>
    <row r="4811" spans="2:15" x14ac:dyDescent="0.2">
      <c r="B4811" s="1">
        <f t="shared" si="276"/>
        <v>4796</v>
      </c>
      <c r="C4811" s="101">
        <f ca="1"/>
        <v>-0.88667975813332578</v>
      </c>
      <c r="D4811" s="101">
        <f t="shared" ca="1" si="273"/>
        <v>0.60885178835044762</v>
      </c>
      <c r="E4811" s="101">
        <f t="shared" ca="1" si="274"/>
        <v>0</v>
      </c>
      <c r="F4811" s="21">
        <f t="shared" ca="1" si="275"/>
        <v>0</v>
      </c>
      <c r="H4811" s="21">
        <v>4796</v>
      </c>
      <c r="I4811" s="102">
        <v>0.66760060795411025</v>
      </c>
      <c r="J4811" s="103">
        <v>1.3476610677376807E-3</v>
      </c>
      <c r="K4811" s="103"/>
      <c r="L4811" s="103">
        <v>3.7199999999999997E-2</v>
      </c>
      <c r="O4811" s="100"/>
    </row>
    <row r="4812" spans="2:15" x14ac:dyDescent="0.2">
      <c r="B4812" s="1">
        <f t="shared" si="276"/>
        <v>4797</v>
      </c>
      <c r="C4812" s="101">
        <f ca="1"/>
        <v>-1.1830912372206366</v>
      </c>
      <c r="D4812" s="101">
        <f t="shared" ca="1" si="273"/>
        <v>0.59130765449422307</v>
      </c>
      <c r="E4812" s="101">
        <f t="shared" ca="1" si="274"/>
        <v>0</v>
      </c>
      <c r="F4812" s="21">
        <f t="shared" ca="1" si="275"/>
        <v>0</v>
      </c>
      <c r="H4812" s="21">
        <v>4797</v>
      </c>
      <c r="I4812" s="102">
        <v>0.66772714535994404</v>
      </c>
      <c r="J4812" s="103">
        <v>1.3137851092676169E-3</v>
      </c>
      <c r="K4812" s="103"/>
      <c r="L4812" s="103">
        <v>4.1000000000000002E-2</v>
      </c>
      <c r="O4812" s="100"/>
    </row>
    <row r="4813" spans="2:15" x14ac:dyDescent="0.2">
      <c r="B4813" s="1">
        <f t="shared" si="276"/>
        <v>4798</v>
      </c>
      <c r="C4813" s="101">
        <f ca="1"/>
        <v>0.99760274851258179</v>
      </c>
      <c r="D4813" s="101">
        <f t="shared" ca="1" si="273"/>
        <v>0.73321794735456991</v>
      </c>
      <c r="E4813" s="101">
        <f t="shared" ca="1" si="274"/>
        <v>0</v>
      </c>
      <c r="F4813" s="21">
        <f t="shared" ca="1" si="275"/>
        <v>0</v>
      </c>
      <c r="H4813" s="21">
        <v>4798</v>
      </c>
      <c r="I4813" s="102">
        <v>0.66770454655483402</v>
      </c>
      <c r="J4813" s="103">
        <v>1.3416287565589818E-3</v>
      </c>
      <c r="K4813" s="103"/>
      <c r="L4813" s="103">
        <v>4.1399999999999999E-2</v>
      </c>
      <c r="O4813" s="100"/>
    </row>
    <row r="4814" spans="2:15" x14ac:dyDescent="0.2">
      <c r="B4814" s="1">
        <f t="shared" si="276"/>
        <v>4799</v>
      </c>
      <c r="C4814" s="101">
        <f ca="1"/>
        <v>-0.18111339041227398</v>
      </c>
      <c r="D4814" s="101">
        <f t="shared" ca="1" si="273"/>
        <v>0.652736072785429</v>
      </c>
      <c r="E4814" s="101">
        <f t="shared" ca="1" si="274"/>
        <v>0</v>
      </c>
      <c r="F4814" s="21">
        <f t="shared" ca="1" si="275"/>
        <v>0</v>
      </c>
      <c r="H4814" s="21">
        <v>4799</v>
      </c>
      <c r="I4814" s="102">
        <v>0.66782993216607811</v>
      </c>
      <c r="J4814" s="103">
        <v>1.4161840295847032E-3</v>
      </c>
      <c r="K4814" s="103"/>
      <c r="L4814" s="103">
        <v>4.4600000000000001E-2</v>
      </c>
      <c r="O4814" s="100"/>
    </row>
    <row r="4815" spans="2:15" x14ac:dyDescent="0.2">
      <c r="B4815" s="1">
        <f t="shared" si="276"/>
        <v>4800</v>
      </c>
      <c r="C4815" s="101">
        <f ca="1"/>
        <v>-7.5188354504040503E-2</v>
      </c>
      <c r="D4815" s="101">
        <f t="shared" ca="1" si="273"/>
        <v>0.65959199674224989</v>
      </c>
      <c r="E4815" s="101">
        <f t="shared" ca="1" si="274"/>
        <v>0</v>
      </c>
      <c r="F4815" s="21">
        <f t="shared" ca="1" si="275"/>
        <v>0</v>
      </c>
      <c r="H4815" s="21">
        <v>4800</v>
      </c>
      <c r="I4815" s="102">
        <v>0.66780883616983389</v>
      </c>
      <c r="J4815" s="103">
        <v>1.5843515393178912E-3</v>
      </c>
      <c r="K4815" s="103"/>
      <c r="L4815" s="103">
        <v>4.7E-2</v>
      </c>
      <c r="O4815" s="100"/>
    </row>
    <row r="4816" spans="2:15" x14ac:dyDescent="0.2">
      <c r="B4816" s="1">
        <f t="shared" si="276"/>
        <v>4801</v>
      </c>
      <c r="C4816" s="101">
        <f ca="1"/>
        <v>0.8335919878863286</v>
      </c>
      <c r="D4816" s="101">
        <f t="shared" ref="D4816:D4879" ca="1" si="277">S0*EXP((μ-0.5*σ*σ)*T+σ*SQRT(T)*$C4816)</f>
        <v>0.72145121143856739</v>
      </c>
      <c r="E4816" s="101">
        <f t="shared" ref="E4816:E4879" ca="1" si="278">MAX(0,CP*(D4816-K))</f>
        <v>0</v>
      </c>
      <c r="F4816" s="21">
        <f t="shared" ref="F4816:F4879" ca="1" si="279">(CP*(D4816-K)&gt;0)*1</f>
        <v>0</v>
      </c>
      <c r="H4816" s="21">
        <v>4801</v>
      </c>
      <c r="I4816" s="102">
        <v>0.66766610435220053</v>
      </c>
      <c r="J4816" s="103">
        <v>1.1733398865310018E-3</v>
      </c>
      <c r="K4816" s="103"/>
      <c r="L4816" s="103">
        <v>4.02E-2</v>
      </c>
      <c r="O4816" s="100"/>
    </row>
    <row r="4817" spans="2:15" x14ac:dyDescent="0.2">
      <c r="B4817" s="1">
        <f t="shared" si="276"/>
        <v>4802</v>
      </c>
      <c r="C4817" s="101">
        <f ca="1"/>
        <v>-0.18296707798002201</v>
      </c>
      <c r="D4817" s="101">
        <f t="shared" ca="1" si="277"/>
        <v>0.65261673077565729</v>
      </c>
      <c r="E4817" s="101">
        <f t="shared" ca="1" si="278"/>
        <v>0</v>
      </c>
      <c r="F4817" s="21">
        <f t="shared" ca="1" si="279"/>
        <v>0</v>
      </c>
      <c r="H4817" s="21">
        <v>4802</v>
      </c>
      <c r="I4817" s="102">
        <v>0.66776745533656379</v>
      </c>
      <c r="J4817" s="103">
        <v>1.1953866239845018E-3</v>
      </c>
      <c r="K4817" s="103"/>
      <c r="L4817" s="103">
        <v>4.2000000000000003E-2</v>
      </c>
      <c r="O4817" s="100"/>
    </row>
    <row r="4818" spans="2:15" x14ac:dyDescent="0.2">
      <c r="B4818" s="1">
        <f t="shared" si="276"/>
        <v>4803</v>
      </c>
      <c r="C4818" s="101">
        <f ca="1"/>
        <v>-0.17240388090605424</v>
      </c>
      <c r="D4818" s="101">
        <f t="shared" ca="1" si="277"/>
        <v>0.65329709076621423</v>
      </c>
      <c r="E4818" s="101">
        <f t="shared" ca="1" si="278"/>
        <v>0</v>
      </c>
      <c r="F4818" s="21">
        <f t="shared" ca="1" si="279"/>
        <v>0</v>
      </c>
      <c r="H4818" s="21">
        <v>4803</v>
      </c>
      <c r="I4818" s="102">
        <v>0.6679458968902765</v>
      </c>
      <c r="J4818" s="103">
        <v>1.572807873173642E-3</v>
      </c>
      <c r="K4818" s="103"/>
      <c r="L4818" s="103">
        <v>4.6199999999999998E-2</v>
      </c>
      <c r="O4818" s="100"/>
    </row>
    <row r="4819" spans="2:15" x14ac:dyDescent="0.2">
      <c r="B4819" s="1">
        <f t="shared" si="276"/>
        <v>4804</v>
      </c>
      <c r="C4819" s="101">
        <f ca="1"/>
        <v>0.92564272348926435</v>
      </c>
      <c r="D4819" s="101">
        <f t="shared" ca="1" si="277"/>
        <v>0.72803182398866151</v>
      </c>
      <c r="E4819" s="101">
        <f t="shared" ca="1" si="278"/>
        <v>0</v>
      </c>
      <c r="F4819" s="21">
        <f t="shared" ca="1" si="279"/>
        <v>0</v>
      </c>
      <c r="H4819" s="21">
        <v>4804</v>
      </c>
      <c r="I4819" s="102">
        <v>0.66766457967787307</v>
      </c>
      <c r="J4819" s="103">
        <v>1.3120478671249883E-3</v>
      </c>
      <c r="K4819" s="103"/>
      <c r="L4819" s="103">
        <v>4.36E-2</v>
      </c>
      <c r="O4819" s="100"/>
    </row>
    <row r="4820" spans="2:15" x14ac:dyDescent="0.2">
      <c r="B4820" s="1">
        <f t="shared" si="276"/>
        <v>4805</v>
      </c>
      <c r="C4820" s="101">
        <f ca="1"/>
        <v>-5.0024853785818592E-2</v>
      </c>
      <c r="D4820" s="101">
        <f t="shared" ca="1" si="277"/>
        <v>0.66123124391593813</v>
      </c>
      <c r="E4820" s="101">
        <f t="shared" ca="1" si="278"/>
        <v>0</v>
      </c>
      <c r="F4820" s="21">
        <f t="shared" ca="1" si="279"/>
        <v>0</v>
      </c>
      <c r="H4820" s="21">
        <v>4805</v>
      </c>
      <c r="I4820" s="102">
        <v>0.66766159832280669</v>
      </c>
      <c r="J4820" s="103">
        <v>1.2464530067988161E-3</v>
      </c>
      <c r="K4820" s="103"/>
      <c r="L4820" s="103">
        <v>3.9800000000000002E-2</v>
      </c>
      <c r="O4820" s="100"/>
    </row>
    <row r="4821" spans="2:15" x14ac:dyDescent="0.2">
      <c r="B4821" s="1">
        <f t="shared" si="276"/>
        <v>4806</v>
      </c>
      <c r="C4821" s="101">
        <f ca="1"/>
        <v>1.002089202667058</v>
      </c>
      <c r="D4821" s="101">
        <f t="shared" ca="1" si="277"/>
        <v>0.73354250461118187</v>
      </c>
      <c r="E4821" s="101">
        <f t="shared" ca="1" si="278"/>
        <v>0</v>
      </c>
      <c r="F4821" s="21">
        <f t="shared" ca="1" si="279"/>
        <v>0</v>
      </c>
      <c r="H4821" s="21">
        <v>4806</v>
      </c>
      <c r="I4821" s="102">
        <v>0.66782940521810319</v>
      </c>
      <c r="J4821" s="103">
        <v>1.4617454362857033E-3</v>
      </c>
      <c r="K4821" s="103"/>
      <c r="L4821" s="103">
        <v>3.9399999999999998E-2</v>
      </c>
      <c r="O4821" s="100"/>
    </row>
    <row r="4822" spans="2:15" x14ac:dyDescent="0.2">
      <c r="B4822" s="1">
        <f t="shared" si="276"/>
        <v>4807</v>
      </c>
      <c r="C4822" s="101">
        <f ca="1"/>
        <v>-0.16899666421992202</v>
      </c>
      <c r="D4822" s="101">
        <f t="shared" ca="1" si="277"/>
        <v>0.65351669583620509</v>
      </c>
      <c r="E4822" s="101">
        <f t="shared" ca="1" si="278"/>
        <v>0</v>
      </c>
      <c r="F4822" s="21">
        <f t="shared" ca="1" si="279"/>
        <v>0</v>
      </c>
      <c r="H4822" s="21">
        <v>4807</v>
      </c>
      <c r="I4822" s="102">
        <v>0.66776355000360921</v>
      </c>
      <c r="J4822" s="103">
        <v>1.3062102578148486E-3</v>
      </c>
      <c r="K4822" s="103"/>
      <c r="L4822" s="103">
        <v>4.1000000000000002E-2</v>
      </c>
      <c r="O4822" s="100"/>
    </row>
    <row r="4823" spans="2:15" x14ac:dyDescent="0.2">
      <c r="B4823" s="1">
        <f t="shared" si="276"/>
        <v>4808</v>
      </c>
      <c r="C4823" s="101">
        <f ca="1"/>
        <v>-1.3463328316853186E-2</v>
      </c>
      <c r="D4823" s="101">
        <f t="shared" ca="1" si="277"/>
        <v>0.66362026480187553</v>
      </c>
      <c r="E4823" s="101">
        <f t="shared" ca="1" si="278"/>
        <v>0</v>
      </c>
      <c r="F4823" s="21">
        <f t="shared" ca="1" si="279"/>
        <v>0</v>
      </c>
      <c r="H4823" s="21">
        <v>4808</v>
      </c>
      <c r="I4823" s="102">
        <v>0.66776833048721551</v>
      </c>
      <c r="J4823" s="103">
        <v>1.3470277197058643E-3</v>
      </c>
      <c r="K4823" s="103"/>
      <c r="L4823" s="103">
        <v>4.24E-2</v>
      </c>
      <c r="O4823" s="100"/>
    </row>
    <row r="4824" spans="2:15" x14ac:dyDescent="0.2">
      <c r="B4824" s="1">
        <f t="shared" si="276"/>
        <v>4809</v>
      </c>
      <c r="C4824" s="101">
        <f ca="1"/>
        <v>-1.2255497222192022</v>
      </c>
      <c r="D4824" s="101">
        <f t="shared" ca="1" si="277"/>
        <v>0.58883634142985886</v>
      </c>
      <c r="E4824" s="101">
        <f t="shared" ca="1" si="278"/>
        <v>0</v>
      </c>
      <c r="F4824" s="21">
        <f t="shared" ca="1" si="279"/>
        <v>0</v>
      </c>
      <c r="H4824" s="21">
        <v>4809</v>
      </c>
      <c r="I4824" s="102">
        <v>0.66763439710085493</v>
      </c>
      <c r="J4824" s="103">
        <v>1.1985990088316583E-3</v>
      </c>
      <c r="K4824" s="103"/>
      <c r="L4824" s="103">
        <v>3.9399999999999998E-2</v>
      </c>
      <c r="O4824" s="100"/>
    </row>
    <row r="4825" spans="2:15" x14ac:dyDescent="0.2">
      <c r="B4825" s="1">
        <f t="shared" si="276"/>
        <v>4810</v>
      </c>
      <c r="C4825" s="101">
        <f ca="1"/>
        <v>0.65131905323166772</v>
      </c>
      <c r="D4825" s="101">
        <f t="shared" ca="1" si="277"/>
        <v>0.7085956907024149</v>
      </c>
      <c r="E4825" s="101">
        <f t="shared" ca="1" si="278"/>
        <v>0</v>
      </c>
      <c r="F4825" s="21">
        <f t="shared" ca="1" si="279"/>
        <v>0</v>
      </c>
      <c r="H4825" s="21">
        <v>4810</v>
      </c>
      <c r="I4825" s="102">
        <v>0.66781823843405319</v>
      </c>
      <c r="J4825" s="103">
        <v>1.3553651727722681E-3</v>
      </c>
      <c r="K4825" s="103"/>
      <c r="L4825" s="103">
        <v>4.1200000000000001E-2</v>
      </c>
      <c r="O4825" s="100"/>
    </row>
    <row r="4826" spans="2:15" x14ac:dyDescent="0.2">
      <c r="B4826" s="1">
        <f t="shared" si="276"/>
        <v>4811</v>
      </c>
      <c r="C4826" s="101">
        <f ca="1"/>
        <v>0.96255274358023812</v>
      </c>
      <c r="D4826" s="101">
        <f t="shared" ca="1" si="277"/>
        <v>0.7306873122573081</v>
      </c>
      <c r="E4826" s="101">
        <f t="shared" ca="1" si="278"/>
        <v>0</v>
      </c>
      <c r="F4826" s="21">
        <f t="shared" ca="1" si="279"/>
        <v>0</v>
      </c>
      <c r="H4826" s="21">
        <v>4811</v>
      </c>
      <c r="I4826" s="102">
        <v>0.66787595749104245</v>
      </c>
      <c r="J4826" s="103">
        <v>1.5204596820056931E-3</v>
      </c>
      <c r="K4826" s="103"/>
      <c r="L4826" s="103">
        <v>4.5999999999999999E-2</v>
      </c>
      <c r="O4826" s="100"/>
    </row>
    <row r="4827" spans="2:15" x14ac:dyDescent="0.2">
      <c r="B4827" s="1">
        <f t="shared" si="276"/>
        <v>4812</v>
      </c>
      <c r="C4827" s="101">
        <f ca="1"/>
        <v>-1.0042189977452309</v>
      </c>
      <c r="D4827" s="101">
        <f t="shared" ca="1" si="277"/>
        <v>0.60183338794003916</v>
      </c>
      <c r="E4827" s="101">
        <f t="shared" ca="1" si="278"/>
        <v>0</v>
      </c>
      <c r="F4827" s="21">
        <f t="shared" ca="1" si="279"/>
        <v>0</v>
      </c>
      <c r="H4827" s="21">
        <v>4812</v>
      </c>
      <c r="I4827" s="102">
        <v>0.66773915344682222</v>
      </c>
      <c r="J4827" s="103">
        <v>1.3902764892187978E-3</v>
      </c>
      <c r="K4827" s="103"/>
      <c r="L4827" s="103">
        <v>4.02E-2</v>
      </c>
      <c r="O4827" s="100"/>
    </row>
    <row r="4828" spans="2:15" x14ac:dyDescent="0.2">
      <c r="B4828" s="1">
        <f t="shared" si="276"/>
        <v>4813</v>
      </c>
      <c r="C4828" s="101">
        <f ca="1"/>
        <v>1.1684581027839152</v>
      </c>
      <c r="D4828" s="101">
        <f t="shared" ca="1" si="277"/>
        <v>0.74567987971327654</v>
      </c>
      <c r="E4828" s="101">
        <f t="shared" ca="1" si="278"/>
        <v>0</v>
      </c>
      <c r="F4828" s="21">
        <f t="shared" ca="1" si="279"/>
        <v>0</v>
      </c>
      <c r="H4828" s="21">
        <v>4813</v>
      </c>
      <c r="I4828" s="102">
        <v>0.66759849611827471</v>
      </c>
      <c r="J4828" s="103">
        <v>1.1910311672775988E-3</v>
      </c>
      <c r="K4828" s="103"/>
      <c r="L4828" s="103">
        <v>3.6999999999999998E-2</v>
      </c>
      <c r="O4828" s="100"/>
    </row>
    <row r="4829" spans="2:15" x14ac:dyDescent="0.2">
      <c r="B4829" s="1">
        <f t="shared" si="276"/>
        <v>4814</v>
      </c>
      <c r="C4829" s="101">
        <f ca="1"/>
        <v>8.0824359037333648E-2</v>
      </c>
      <c r="D4829" s="101">
        <f t="shared" ca="1" si="277"/>
        <v>0.66982116444040274</v>
      </c>
      <c r="E4829" s="101">
        <f t="shared" ca="1" si="278"/>
        <v>0</v>
      </c>
      <c r="F4829" s="21">
        <f t="shared" ca="1" si="279"/>
        <v>0</v>
      </c>
      <c r="H4829" s="21">
        <v>4814</v>
      </c>
      <c r="I4829" s="102">
        <v>0.66775514249157208</v>
      </c>
      <c r="J4829" s="103">
        <v>1.5065009047380061E-3</v>
      </c>
      <c r="K4829" s="103"/>
      <c r="L4829" s="103">
        <v>4.1200000000000001E-2</v>
      </c>
      <c r="O4829" s="100"/>
    </row>
    <row r="4830" spans="2:15" x14ac:dyDescent="0.2">
      <c r="B4830" s="1">
        <f t="shared" si="276"/>
        <v>4815</v>
      </c>
      <c r="C4830" s="101">
        <f ca="1"/>
        <v>0.17138933246037599</v>
      </c>
      <c r="D4830" s="101">
        <f t="shared" ca="1" si="277"/>
        <v>0.67583178549779066</v>
      </c>
      <c r="E4830" s="101">
        <f t="shared" ca="1" si="278"/>
        <v>0</v>
      </c>
      <c r="F4830" s="21">
        <f t="shared" ca="1" si="279"/>
        <v>0</v>
      </c>
      <c r="H4830" s="21">
        <v>4815</v>
      </c>
      <c r="I4830" s="102">
        <v>0.66774155021118808</v>
      </c>
      <c r="J4830" s="103">
        <v>1.455460924088223E-3</v>
      </c>
      <c r="K4830" s="103"/>
      <c r="L4830" s="103">
        <v>4.1599999999999998E-2</v>
      </c>
      <c r="O4830" s="100"/>
    </row>
    <row r="4831" spans="2:15" x14ac:dyDescent="0.2">
      <c r="B4831" s="1">
        <f t="shared" si="276"/>
        <v>4816</v>
      </c>
      <c r="C4831" s="101">
        <f ca="1"/>
        <v>-0.76151705320331187</v>
      </c>
      <c r="D4831" s="101">
        <f t="shared" ca="1" si="277"/>
        <v>0.61641539842712212</v>
      </c>
      <c r="E4831" s="101">
        <f t="shared" ca="1" si="278"/>
        <v>0</v>
      </c>
      <c r="F4831" s="21">
        <f t="shared" ca="1" si="279"/>
        <v>0</v>
      </c>
      <c r="H4831" s="21">
        <v>4816</v>
      </c>
      <c r="I4831" s="102">
        <v>0.66767824265362175</v>
      </c>
      <c r="J4831" s="103">
        <v>1.2775985758908229E-3</v>
      </c>
      <c r="K4831" s="103"/>
      <c r="L4831" s="103">
        <v>3.9399999999999998E-2</v>
      </c>
      <c r="O4831" s="100"/>
    </row>
    <row r="4832" spans="2:15" x14ac:dyDescent="0.2">
      <c r="B4832" s="1">
        <f t="shared" si="276"/>
        <v>4817</v>
      </c>
      <c r="C4832" s="101">
        <f ca="1"/>
        <v>1.5592481490625481</v>
      </c>
      <c r="D4832" s="101">
        <f t="shared" ca="1" si="277"/>
        <v>0.77498559392956912</v>
      </c>
      <c r="E4832" s="101">
        <f t="shared" ca="1" si="278"/>
        <v>0</v>
      </c>
      <c r="F4832" s="21">
        <f t="shared" ca="1" si="279"/>
        <v>0</v>
      </c>
      <c r="H4832" s="21">
        <v>4817</v>
      </c>
      <c r="I4832" s="102">
        <v>0.6678067344156795</v>
      </c>
      <c r="J4832" s="103">
        <v>1.6059064481130452E-3</v>
      </c>
      <c r="K4832" s="103"/>
      <c r="L4832" s="103">
        <v>4.2999999999999997E-2</v>
      </c>
      <c r="O4832" s="100"/>
    </row>
    <row r="4833" spans="2:15" x14ac:dyDescent="0.2">
      <c r="B4833" s="1">
        <f t="shared" si="276"/>
        <v>4818</v>
      </c>
      <c r="C4833" s="101">
        <f ca="1"/>
        <v>0.60974964200110915</v>
      </c>
      <c r="D4833" s="101">
        <f t="shared" ca="1" si="277"/>
        <v>0.70569607007083801</v>
      </c>
      <c r="E4833" s="101">
        <f t="shared" ca="1" si="278"/>
        <v>0</v>
      </c>
      <c r="F4833" s="21">
        <f t="shared" ca="1" si="279"/>
        <v>0</v>
      </c>
      <c r="H4833" s="21">
        <v>4818</v>
      </c>
      <c r="I4833" s="102">
        <v>0.66765023128430234</v>
      </c>
      <c r="J4833" s="103">
        <v>1.1777129805632849E-3</v>
      </c>
      <c r="K4833" s="103"/>
      <c r="L4833" s="103">
        <v>3.8199999999999998E-2</v>
      </c>
      <c r="O4833" s="100"/>
    </row>
    <row r="4834" spans="2:15" x14ac:dyDescent="0.2">
      <c r="B4834" s="1">
        <f t="shared" si="276"/>
        <v>4819</v>
      </c>
      <c r="C4834" s="101">
        <f ca="1"/>
        <v>0.3223174034066445</v>
      </c>
      <c r="D4834" s="101">
        <f t="shared" ca="1" si="277"/>
        <v>0.68596866721571303</v>
      </c>
      <c r="E4834" s="101">
        <f t="shared" ca="1" si="278"/>
        <v>0</v>
      </c>
      <c r="F4834" s="21">
        <f t="shared" ca="1" si="279"/>
        <v>0</v>
      </c>
      <c r="H4834" s="21">
        <v>4819</v>
      </c>
      <c r="I4834" s="102">
        <v>0.66792118719469196</v>
      </c>
      <c r="J4834" s="103">
        <v>1.6210432944415768E-3</v>
      </c>
      <c r="K4834" s="103"/>
      <c r="L4834" s="103">
        <v>4.8599999999999997E-2</v>
      </c>
      <c r="O4834" s="100"/>
    </row>
    <row r="4835" spans="2:15" x14ac:dyDescent="0.2">
      <c r="B4835" s="1">
        <f t="shared" si="276"/>
        <v>4820</v>
      </c>
      <c r="C4835" s="101">
        <f ca="1"/>
        <v>1.9185385921658007</v>
      </c>
      <c r="D4835" s="101">
        <f t="shared" ca="1" si="277"/>
        <v>0.80294428368917303</v>
      </c>
      <c r="E4835" s="101">
        <f t="shared" ca="1" si="278"/>
        <v>1.4744283689173021E-2</v>
      </c>
      <c r="F4835" s="21">
        <f t="shared" ca="1" si="279"/>
        <v>1</v>
      </c>
      <c r="H4835" s="21">
        <v>4820</v>
      </c>
      <c r="I4835" s="102">
        <v>0.66767794770084343</v>
      </c>
      <c r="J4835" s="103">
        <v>1.3157502731606866E-3</v>
      </c>
      <c r="K4835" s="103"/>
      <c r="L4835" s="103">
        <v>4.2200000000000001E-2</v>
      </c>
      <c r="O4835" s="100"/>
    </row>
    <row r="4836" spans="2:15" x14ac:dyDescent="0.2">
      <c r="B4836" s="1">
        <f t="shared" si="276"/>
        <v>4821</v>
      </c>
      <c r="C4836" s="101">
        <f ca="1"/>
        <v>-1.9483751537873719</v>
      </c>
      <c r="D4836" s="101">
        <f t="shared" ca="1" si="277"/>
        <v>0.5483138422335736</v>
      </c>
      <c r="E4836" s="101">
        <f t="shared" ca="1" si="278"/>
        <v>0</v>
      </c>
      <c r="F4836" s="21">
        <f t="shared" ca="1" si="279"/>
        <v>0</v>
      </c>
      <c r="H4836" s="21">
        <v>4821</v>
      </c>
      <c r="I4836" s="102">
        <v>0.66777439354241419</v>
      </c>
      <c r="J4836" s="103">
        <v>1.4021178838220679E-3</v>
      </c>
      <c r="K4836" s="103"/>
      <c r="L4836" s="103">
        <v>4.1399999999999999E-2</v>
      </c>
      <c r="O4836" s="100"/>
    </row>
    <row r="4837" spans="2:15" x14ac:dyDescent="0.2">
      <c r="B4837" s="1">
        <f t="shared" si="276"/>
        <v>4822</v>
      </c>
      <c r="C4837" s="101">
        <f ca="1"/>
        <v>0.20419265408225426</v>
      </c>
      <c r="D4837" s="101">
        <f t="shared" ca="1" si="277"/>
        <v>0.67802215892797224</v>
      </c>
      <c r="E4837" s="101">
        <f t="shared" ca="1" si="278"/>
        <v>0</v>
      </c>
      <c r="F4837" s="21">
        <f t="shared" ca="1" si="279"/>
        <v>0</v>
      </c>
      <c r="H4837" s="21">
        <v>4822</v>
      </c>
      <c r="I4837" s="102">
        <v>0.66749358108191947</v>
      </c>
      <c r="J4837" s="103">
        <v>1.1433610417944879E-3</v>
      </c>
      <c r="K4837" s="103"/>
      <c r="L4837" s="103">
        <v>3.4799999999999998E-2</v>
      </c>
      <c r="O4837" s="100"/>
    </row>
    <row r="4838" spans="2:15" x14ac:dyDescent="0.2">
      <c r="B4838" s="1">
        <f t="shared" si="276"/>
        <v>4823</v>
      </c>
      <c r="C4838" s="101">
        <f ca="1"/>
        <v>1.6904347502756634</v>
      </c>
      <c r="D4838" s="101">
        <f t="shared" ca="1" si="277"/>
        <v>0.78507940141688648</v>
      </c>
      <c r="E4838" s="101">
        <f t="shared" ca="1" si="278"/>
        <v>0</v>
      </c>
      <c r="F4838" s="21">
        <f t="shared" ca="1" si="279"/>
        <v>0</v>
      </c>
      <c r="H4838" s="21">
        <v>4823</v>
      </c>
      <c r="I4838" s="102">
        <v>0.66773162434714839</v>
      </c>
      <c r="J4838" s="103">
        <v>1.4381296634417028E-3</v>
      </c>
      <c r="K4838" s="103"/>
      <c r="L4838" s="103">
        <v>4.3400000000000001E-2</v>
      </c>
      <c r="O4838" s="100"/>
    </row>
    <row r="4839" spans="2:15" x14ac:dyDescent="0.2">
      <c r="B4839" s="1">
        <f t="shared" si="276"/>
        <v>4824</v>
      </c>
      <c r="C4839" s="101">
        <f ca="1"/>
        <v>0.31823530209528716</v>
      </c>
      <c r="D4839" s="101">
        <f t="shared" ca="1" si="277"/>
        <v>0.68569250801040305</v>
      </c>
      <c r="E4839" s="101">
        <f t="shared" ca="1" si="278"/>
        <v>0</v>
      </c>
      <c r="F4839" s="21">
        <f t="shared" ca="1" si="279"/>
        <v>0</v>
      </c>
      <c r="H4839" s="21">
        <v>4824</v>
      </c>
      <c r="I4839" s="102">
        <v>0.66763248596592006</v>
      </c>
      <c r="J4839" s="103">
        <v>1.2272740215271442E-3</v>
      </c>
      <c r="K4839" s="103"/>
      <c r="L4839" s="103">
        <v>3.9199999999999999E-2</v>
      </c>
      <c r="O4839" s="100"/>
    </row>
    <row r="4840" spans="2:15" x14ac:dyDescent="0.2">
      <c r="B4840" s="1">
        <f t="shared" si="276"/>
        <v>4825</v>
      </c>
      <c r="C4840" s="101">
        <f ca="1"/>
        <v>-1.1558556258073971</v>
      </c>
      <c r="D4840" s="101">
        <f t="shared" ca="1" si="277"/>
        <v>0.5928983719244717</v>
      </c>
      <c r="E4840" s="101">
        <f t="shared" ca="1" si="278"/>
        <v>0</v>
      </c>
      <c r="F4840" s="21">
        <f t="shared" ca="1" si="279"/>
        <v>0</v>
      </c>
      <c r="H4840" s="21">
        <v>4825</v>
      </c>
      <c r="I4840" s="102">
        <v>0.66788245606429852</v>
      </c>
      <c r="J4840" s="103">
        <v>1.6121958570685707E-3</v>
      </c>
      <c r="K4840" s="103"/>
      <c r="L4840" s="103">
        <v>4.4600000000000001E-2</v>
      </c>
      <c r="O4840" s="100"/>
    </row>
    <row r="4841" spans="2:15" x14ac:dyDescent="0.2">
      <c r="B4841" s="1">
        <f t="shared" si="276"/>
        <v>4826</v>
      </c>
      <c r="C4841" s="101">
        <f ca="1"/>
        <v>0.63470075556946404</v>
      </c>
      <c r="D4841" s="101">
        <f t="shared" ca="1" si="277"/>
        <v>0.7074350760983853</v>
      </c>
      <c r="E4841" s="101">
        <f t="shared" ca="1" si="278"/>
        <v>0</v>
      </c>
      <c r="F4841" s="21">
        <f t="shared" ca="1" si="279"/>
        <v>0</v>
      </c>
      <c r="H4841" s="21">
        <v>4826</v>
      </c>
      <c r="I4841" s="102">
        <v>0.66785567829376524</v>
      </c>
      <c r="J4841" s="103">
        <v>1.5975426077628869E-3</v>
      </c>
      <c r="K4841" s="103"/>
      <c r="L4841" s="103">
        <v>4.7800000000000002E-2</v>
      </c>
      <c r="O4841" s="100"/>
    </row>
    <row r="4842" spans="2:15" x14ac:dyDescent="0.2">
      <c r="B4842" s="1">
        <f t="shared" si="276"/>
        <v>4827</v>
      </c>
      <c r="C4842" s="101">
        <f ca="1"/>
        <v>0.69769961329701013</v>
      </c>
      <c r="D4842" s="101">
        <f t="shared" ca="1" si="277"/>
        <v>0.71184497141183067</v>
      </c>
      <c r="E4842" s="101">
        <f t="shared" ca="1" si="278"/>
        <v>0</v>
      </c>
      <c r="F4842" s="21">
        <f t="shared" ca="1" si="279"/>
        <v>0</v>
      </c>
      <c r="H4842" s="21">
        <v>4827</v>
      </c>
      <c r="I4842" s="102">
        <v>0.66783646313188882</v>
      </c>
      <c r="J4842" s="103">
        <v>1.541535231474571E-3</v>
      </c>
      <c r="K4842" s="103"/>
      <c r="L4842" s="103">
        <v>4.58E-2</v>
      </c>
      <c r="O4842" s="100"/>
    </row>
    <row r="4843" spans="2:15" x14ac:dyDescent="0.2">
      <c r="B4843" s="1">
        <f t="shared" si="276"/>
        <v>4828</v>
      </c>
      <c r="C4843" s="101">
        <f ca="1"/>
        <v>-0.44867656770809533</v>
      </c>
      <c r="D4843" s="101">
        <f t="shared" ca="1" si="277"/>
        <v>0.6357339032040985</v>
      </c>
      <c r="E4843" s="101">
        <f t="shared" ca="1" si="278"/>
        <v>0</v>
      </c>
      <c r="F4843" s="21">
        <f t="shared" ca="1" si="279"/>
        <v>0</v>
      </c>
      <c r="H4843" s="21">
        <v>4828</v>
      </c>
      <c r="I4843" s="102">
        <v>0.66770774356038376</v>
      </c>
      <c r="J4843" s="103">
        <v>1.3439475897040793E-3</v>
      </c>
      <c r="K4843" s="103"/>
      <c r="L4843" s="103">
        <v>4.2000000000000003E-2</v>
      </c>
      <c r="O4843" s="100"/>
    </row>
    <row r="4844" spans="2:15" x14ac:dyDescent="0.2">
      <c r="B4844" s="1">
        <f t="shared" si="276"/>
        <v>4829</v>
      </c>
      <c r="C4844" s="101">
        <f ca="1"/>
        <v>-0.91017363754058078</v>
      </c>
      <c r="D4844" s="101">
        <f t="shared" ca="1" si="277"/>
        <v>0.60744242787638336</v>
      </c>
      <c r="E4844" s="101">
        <f t="shared" ca="1" si="278"/>
        <v>0</v>
      </c>
      <c r="F4844" s="21">
        <f t="shared" ca="1" si="279"/>
        <v>0</v>
      </c>
      <c r="H4844" s="21">
        <v>4829</v>
      </c>
      <c r="I4844" s="102">
        <v>0.66772293988253439</v>
      </c>
      <c r="J4844" s="103">
        <v>1.3147903646375709E-3</v>
      </c>
      <c r="K4844" s="103"/>
      <c r="L4844" s="103">
        <v>4.2000000000000003E-2</v>
      </c>
      <c r="O4844" s="100"/>
    </row>
    <row r="4845" spans="2:15" x14ac:dyDescent="0.2">
      <c r="B4845" s="1">
        <f t="shared" si="276"/>
        <v>4830</v>
      </c>
      <c r="C4845" s="101">
        <f ca="1"/>
        <v>0.502686737187932</v>
      </c>
      <c r="D4845" s="101">
        <f t="shared" ca="1" si="277"/>
        <v>0.69828255139777951</v>
      </c>
      <c r="E4845" s="101">
        <f t="shared" ca="1" si="278"/>
        <v>0</v>
      </c>
      <c r="F4845" s="21">
        <f t="shared" ca="1" si="279"/>
        <v>0</v>
      </c>
      <c r="H4845" s="21">
        <v>4830</v>
      </c>
      <c r="I4845" s="102">
        <v>0.66783557483598222</v>
      </c>
      <c r="J4845" s="103">
        <v>1.5311949744212891E-3</v>
      </c>
      <c r="K4845" s="103"/>
      <c r="L4845" s="103">
        <v>4.3999999999999997E-2</v>
      </c>
      <c r="O4845" s="100"/>
    </row>
    <row r="4846" spans="2:15" x14ac:dyDescent="0.2">
      <c r="B4846" s="1">
        <f t="shared" si="276"/>
        <v>4831</v>
      </c>
      <c r="C4846" s="101">
        <f ca="1"/>
        <v>0.11444622385769646</v>
      </c>
      <c r="D4846" s="101">
        <f t="shared" ca="1" si="277"/>
        <v>0.67204631772290235</v>
      </c>
      <c r="E4846" s="101">
        <f t="shared" ca="1" si="278"/>
        <v>0</v>
      </c>
      <c r="F4846" s="21">
        <f t="shared" ca="1" si="279"/>
        <v>0</v>
      </c>
      <c r="H4846" s="21">
        <v>4831</v>
      </c>
      <c r="I4846" s="102">
        <v>0.66784135312665971</v>
      </c>
      <c r="J4846" s="103">
        <v>1.4784472628238678E-3</v>
      </c>
      <c r="K4846" s="103"/>
      <c r="L4846" s="103">
        <v>4.3200000000000002E-2</v>
      </c>
      <c r="O4846" s="100"/>
    </row>
    <row r="4847" spans="2:15" x14ac:dyDescent="0.2">
      <c r="B4847" s="1">
        <f t="shared" si="276"/>
        <v>4832</v>
      </c>
      <c r="C4847" s="101">
        <f ca="1"/>
        <v>-1.4020215070148454</v>
      </c>
      <c r="D4847" s="101">
        <f t="shared" ca="1" si="277"/>
        <v>0.5786749239075385</v>
      </c>
      <c r="E4847" s="101">
        <f t="shared" ca="1" si="278"/>
        <v>0</v>
      </c>
      <c r="F4847" s="21">
        <f t="shared" ca="1" si="279"/>
        <v>0</v>
      </c>
      <c r="H4847" s="21">
        <v>4832</v>
      </c>
      <c r="I4847" s="102">
        <v>0.66764334497514544</v>
      </c>
      <c r="J4847" s="103">
        <v>1.2232583065925518E-3</v>
      </c>
      <c r="K4847" s="103"/>
      <c r="L4847" s="103">
        <v>3.6999999999999998E-2</v>
      </c>
      <c r="O4847" s="100"/>
    </row>
    <row r="4848" spans="2:15" x14ac:dyDescent="0.2">
      <c r="B4848" s="1">
        <f t="shared" ref="B4848:B4911" si="280">B4847+1</f>
        <v>4833</v>
      </c>
      <c r="C4848" s="101">
        <f ca="1"/>
        <v>0.84697015213568638</v>
      </c>
      <c r="D4848" s="101">
        <f t="shared" ca="1" si="277"/>
        <v>0.72240389567448426</v>
      </c>
      <c r="E4848" s="101">
        <f t="shared" ca="1" si="278"/>
        <v>0</v>
      </c>
      <c r="F4848" s="21">
        <f t="shared" ca="1" si="279"/>
        <v>0</v>
      </c>
      <c r="H4848" s="21">
        <v>4833</v>
      </c>
      <c r="I4848" s="102">
        <v>0.66790275131088006</v>
      </c>
      <c r="J4848" s="103">
        <v>1.5801451298418669E-3</v>
      </c>
      <c r="K4848" s="103"/>
      <c r="L4848" s="103">
        <v>4.3200000000000002E-2</v>
      </c>
      <c r="O4848" s="100"/>
    </row>
    <row r="4849" spans="2:15" x14ac:dyDescent="0.2">
      <c r="B4849" s="1">
        <f t="shared" si="280"/>
        <v>4834</v>
      </c>
      <c r="C4849" s="101">
        <f ca="1"/>
        <v>0.81156226757755434</v>
      </c>
      <c r="D4849" s="101">
        <f t="shared" ca="1" si="277"/>
        <v>0.71988517065978253</v>
      </c>
      <c r="E4849" s="101">
        <f t="shared" ca="1" si="278"/>
        <v>0</v>
      </c>
      <c r="F4849" s="21">
        <f t="shared" ca="1" si="279"/>
        <v>0</v>
      </c>
      <c r="H4849" s="21">
        <v>4834</v>
      </c>
      <c r="I4849" s="102">
        <v>0.66782252500496719</v>
      </c>
      <c r="J4849" s="103">
        <v>1.5365816331702011E-3</v>
      </c>
      <c r="K4849" s="103"/>
      <c r="L4849" s="103">
        <v>4.3799999999999999E-2</v>
      </c>
      <c r="O4849" s="100"/>
    </row>
    <row r="4850" spans="2:15" x14ac:dyDescent="0.2">
      <c r="B4850" s="1">
        <f t="shared" si="280"/>
        <v>4835</v>
      </c>
      <c r="C4850" s="101">
        <f ca="1"/>
        <v>-0.80368086977434239</v>
      </c>
      <c r="D4850" s="101">
        <f t="shared" ca="1" si="277"/>
        <v>0.6138569923844317</v>
      </c>
      <c r="E4850" s="101">
        <f t="shared" ca="1" si="278"/>
        <v>0</v>
      </c>
      <c r="F4850" s="21">
        <f t="shared" ca="1" si="279"/>
        <v>0</v>
      </c>
      <c r="H4850" s="21">
        <v>4835</v>
      </c>
      <c r="I4850" s="102">
        <v>0.66758550934364425</v>
      </c>
      <c r="J4850" s="103">
        <v>1.1711389405937125E-3</v>
      </c>
      <c r="K4850" s="103"/>
      <c r="L4850" s="103">
        <v>4.1599999999999998E-2</v>
      </c>
      <c r="O4850" s="100"/>
    </row>
    <row r="4851" spans="2:15" x14ac:dyDescent="0.2">
      <c r="B4851" s="1">
        <f t="shared" si="280"/>
        <v>4836</v>
      </c>
      <c r="C4851" s="101">
        <f ca="1"/>
        <v>0.78621668317254634</v>
      </c>
      <c r="D4851" s="101">
        <f t="shared" ca="1" si="277"/>
        <v>0.7180876178595772</v>
      </c>
      <c r="E4851" s="101">
        <f t="shared" ca="1" si="278"/>
        <v>0</v>
      </c>
      <c r="F4851" s="21">
        <f t="shared" ca="1" si="279"/>
        <v>0</v>
      </c>
      <c r="H4851" s="21">
        <v>4836</v>
      </c>
      <c r="I4851" s="102">
        <v>0.66790206908252669</v>
      </c>
      <c r="J4851" s="103">
        <v>1.5909099268040683E-3</v>
      </c>
      <c r="K4851" s="103"/>
      <c r="L4851" s="103">
        <v>4.6399999999999997E-2</v>
      </c>
      <c r="O4851" s="100"/>
    </row>
    <row r="4852" spans="2:15" x14ac:dyDescent="0.2">
      <c r="B4852" s="1">
        <f t="shared" si="280"/>
        <v>4837</v>
      </c>
      <c r="C4852" s="101">
        <f ca="1"/>
        <v>-2.169078696939251</v>
      </c>
      <c r="D4852" s="101">
        <f t="shared" ca="1" si="277"/>
        <v>0.53650578116868175</v>
      </c>
      <c r="E4852" s="101">
        <f t="shared" ca="1" si="278"/>
        <v>0</v>
      </c>
      <c r="F4852" s="21">
        <f t="shared" ca="1" si="279"/>
        <v>0</v>
      </c>
      <c r="H4852" s="21">
        <v>4837</v>
      </c>
      <c r="I4852" s="102">
        <v>0.66772494774075775</v>
      </c>
      <c r="J4852" s="103">
        <v>1.4031041603959065E-3</v>
      </c>
      <c r="K4852" s="103"/>
      <c r="L4852" s="103">
        <v>4.1599999999999998E-2</v>
      </c>
      <c r="O4852" s="100"/>
    </row>
    <row r="4853" spans="2:15" x14ac:dyDescent="0.2">
      <c r="B4853" s="1">
        <f t="shared" si="280"/>
        <v>4838</v>
      </c>
      <c r="C4853" s="101">
        <f ca="1"/>
        <v>4.7015935319720835E-2</v>
      </c>
      <c r="D4853" s="101">
        <f t="shared" ca="1" si="277"/>
        <v>0.66759109326396338</v>
      </c>
      <c r="E4853" s="101">
        <f t="shared" ca="1" si="278"/>
        <v>0</v>
      </c>
      <c r="F4853" s="21">
        <f t="shared" ca="1" si="279"/>
        <v>0</v>
      </c>
      <c r="H4853" s="21">
        <v>4838</v>
      </c>
      <c r="I4853" s="102">
        <v>0.66770279659401843</v>
      </c>
      <c r="J4853" s="103">
        <v>1.3212868748270889E-3</v>
      </c>
      <c r="K4853" s="103"/>
      <c r="L4853" s="103">
        <v>4.1200000000000001E-2</v>
      </c>
      <c r="O4853" s="100"/>
    </row>
    <row r="4854" spans="2:15" x14ac:dyDescent="0.2">
      <c r="B4854" s="1">
        <f t="shared" si="280"/>
        <v>4839</v>
      </c>
      <c r="C4854" s="101">
        <f ca="1"/>
        <v>-0.80403475582590844</v>
      </c>
      <c r="D4854" s="101">
        <f t="shared" ca="1" si="277"/>
        <v>0.61383556436788778</v>
      </c>
      <c r="E4854" s="101">
        <f t="shared" ca="1" si="278"/>
        <v>0</v>
      </c>
      <c r="F4854" s="21">
        <f t="shared" ca="1" si="279"/>
        <v>0</v>
      </c>
      <c r="H4854" s="21">
        <v>4839</v>
      </c>
      <c r="I4854" s="102">
        <v>0.66772336768574281</v>
      </c>
      <c r="J4854" s="103">
        <v>1.5192279823951339E-3</v>
      </c>
      <c r="K4854" s="103"/>
      <c r="L4854" s="103">
        <v>4.1200000000000001E-2</v>
      </c>
      <c r="O4854" s="100"/>
    </row>
    <row r="4855" spans="2:15" x14ac:dyDescent="0.2">
      <c r="B4855" s="1">
        <f t="shared" si="280"/>
        <v>4840</v>
      </c>
      <c r="C4855" s="101">
        <f ca="1"/>
        <v>-0.1451047337916018</v>
      </c>
      <c r="D4855" s="101">
        <f t="shared" ca="1" si="277"/>
        <v>0.65505867564754394</v>
      </c>
      <c r="E4855" s="101">
        <f t="shared" ca="1" si="278"/>
        <v>0</v>
      </c>
      <c r="F4855" s="21">
        <f t="shared" ca="1" si="279"/>
        <v>0</v>
      </c>
      <c r="H4855" s="21">
        <v>4840</v>
      </c>
      <c r="I4855" s="102">
        <v>0.6677955037507558</v>
      </c>
      <c r="J4855" s="103">
        <v>1.4219545690789949E-3</v>
      </c>
      <c r="K4855" s="103"/>
      <c r="L4855" s="103">
        <v>4.48E-2</v>
      </c>
      <c r="O4855" s="100"/>
    </row>
    <row r="4856" spans="2:15" x14ac:dyDescent="0.2">
      <c r="B4856" s="1">
        <f t="shared" si="280"/>
        <v>4841</v>
      </c>
      <c r="C4856" s="101">
        <f ca="1"/>
        <v>0.51741969825549705</v>
      </c>
      <c r="D4856" s="101">
        <f t="shared" ca="1" si="277"/>
        <v>0.69929808838508878</v>
      </c>
      <c r="E4856" s="101">
        <f t="shared" ca="1" si="278"/>
        <v>0</v>
      </c>
      <c r="F4856" s="21">
        <f t="shared" ca="1" si="279"/>
        <v>0</v>
      </c>
      <c r="H4856" s="21">
        <v>4841</v>
      </c>
      <c r="I4856" s="102">
        <v>0.66775604282474099</v>
      </c>
      <c r="J4856" s="103">
        <v>1.3900885227531071E-3</v>
      </c>
      <c r="K4856" s="103"/>
      <c r="L4856" s="103">
        <v>4.24E-2</v>
      </c>
      <c r="O4856" s="100"/>
    </row>
    <row r="4857" spans="2:15" x14ac:dyDescent="0.2">
      <c r="B4857" s="1">
        <f t="shared" si="280"/>
        <v>4842</v>
      </c>
      <c r="C4857" s="101">
        <f ca="1"/>
        <v>0.66664324935403874</v>
      </c>
      <c r="D4857" s="101">
        <f t="shared" ca="1" si="277"/>
        <v>0.70966761320974203</v>
      </c>
      <c r="E4857" s="101">
        <f t="shared" ca="1" si="278"/>
        <v>0</v>
      </c>
      <c r="F4857" s="21">
        <f t="shared" ca="1" si="279"/>
        <v>0</v>
      </c>
      <c r="H4857" s="21">
        <v>4842</v>
      </c>
      <c r="I4857" s="102">
        <v>0.66779160028362949</v>
      </c>
      <c r="J4857" s="103">
        <v>1.5168767633353137E-3</v>
      </c>
      <c r="K4857" s="103"/>
      <c r="L4857" s="103">
        <v>4.1799999999999997E-2</v>
      </c>
      <c r="O4857" s="100"/>
    </row>
    <row r="4858" spans="2:15" x14ac:dyDescent="0.2">
      <c r="B4858" s="1">
        <f t="shared" si="280"/>
        <v>4843</v>
      </c>
      <c r="C4858" s="101">
        <f ca="1"/>
        <v>0.22037205670493676</v>
      </c>
      <c r="D4858" s="101">
        <f t="shared" ca="1" si="277"/>
        <v>0.67910511757835013</v>
      </c>
      <c r="E4858" s="101">
        <f t="shared" ca="1" si="278"/>
        <v>0</v>
      </c>
      <c r="F4858" s="21">
        <f t="shared" ca="1" si="279"/>
        <v>0</v>
      </c>
      <c r="H4858" s="21">
        <v>4843</v>
      </c>
      <c r="I4858" s="102">
        <v>0.66761425031306665</v>
      </c>
      <c r="J4858" s="103">
        <v>1.1632876217291103E-3</v>
      </c>
      <c r="K4858" s="103"/>
      <c r="L4858" s="103">
        <v>3.9600000000000003E-2</v>
      </c>
      <c r="O4858" s="100"/>
    </row>
    <row r="4859" spans="2:15" x14ac:dyDescent="0.2">
      <c r="B4859" s="1">
        <f t="shared" si="280"/>
        <v>4844</v>
      </c>
      <c r="C4859" s="101">
        <f ca="1"/>
        <v>-0.68105934674256041</v>
      </c>
      <c r="D4859" s="101">
        <f t="shared" ca="1" si="277"/>
        <v>0.62132701603020946</v>
      </c>
      <c r="E4859" s="101">
        <f t="shared" ca="1" si="278"/>
        <v>0</v>
      </c>
      <c r="F4859" s="21">
        <f t="shared" ca="1" si="279"/>
        <v>0</v>
      </c>
      <c r="H4859" s="21">
        <v>4844</v>
      </c>
      <c r="I4859" s="102">
        <v>0.667672639622652</v>
      </c>
      <c r="J4859" s="103">
        <v>1.2904008470845806E-3</v>
      </c>
      <c r="K4859" s="103"/>
      <c r="L4859" s="103">
        <v>4.0399999999999998E-2</v>
      </c>
      <c r="O4859" s="100"/>
    </row>
    <row r="4860" spans="2:15" x14ac:dyDescent="0.2">
      <c r="B4860" s="1">
        <f t="shared" si="280"/>
        <v>4845</v>
      </c>
      <c r="C4860" s="101">
        <f ca="1"/>
        <v>-0.57715282180830862</v>
      </c>
      <c r="D4860" s="101">
        <f t="shared" ca="1" si="277"/>
        <v>0.62772804076627164</v>
      </c>
      <c r="E4860" s="101">
        <f t="shared" ca="1" si="278"/>
        <v>0</v>
      </c>
      <c r="F4860" s="21">
        <f t="shared" ca="1" si="279"/>
        <v>0</v>
      </c>
      <c r="H4860" s="21">
        <v>4845</v>
      </c>
      <c r="I4860" s="102">
        <v>0.66758510325841469</v>
      </c>
      <c r="J4860" s="103">
        <v>1.0998688223373832E-3</v>
      </c>
      <c r="K4860" s="103"/>
      <c r="L4860" s="103">
        <v>3.6200000000000003E-2</v>
      </c>
      <c r="O4860" s="100"/>
    </row>
    <row r="4861" spans="2:15" x14ac:dyDescent="0.2">
      <c r="B4861" s="1">
        <f t="shared" si="280"/>
        <v>4846</v>
      </c>
      <c r="C4861" s="101">
        <f ca="1"/>
        <v>-0.13906535040594101</v>
      </c>
      <c r="D4861" s="101">
        <f t="shared" ca="1" si="277"/>
        <v>0.65544903183849801</v>
      </c>
      <c r="E4861" s="101">
        <f t="shared" ca="1" si="278"/>
        <v>0</v>
      </c>
      <c r="F4861" s="21">
        <f t="shared" ca="1" si="279"/>
        <v>0</v>
      </c>
      <c r="H4861" s="21">
        <v>4846</v>
      </c>
      <c r="I4861" s="102">
        <v>0.66791575456383212</v>
      </c>
      <c r="J4861" s="103">
        <v>1.6499485383467132E-3</v>
      </c>
      <c r="K4861" s="103"/>
      <c r="L4861" s="103">
        <v>4.8399999999999999E-2</v>
      </c>
      <c r="O4861" s="100"/>
    </row>
    <row r="4862" spans="2:15" x14ac:dyDescent="0.2">
      <c r="B4862" s="1">
        <f t="shared" si="280"/>
        <v>4847</v>
      </c>
      <c r="C4862" s="101">
        <f ca="1"/>
        <v>0.53506394271645374</v>
      </c>
      <c r="D4862" s="101">
        <f t="shared" ca="1" si="277"/>
        <v>0.70051624266971679</v>
      </c>
      <c r="E4862" s="101">
        <f t="shared" ca="1" si="278"/>
        <v>0</v>
      </c>
      <c r="F4862" s="21">
        <f t="shared" ca="1" si="279"/>
        <v>0</v>
      </c>
      <c r="H4862" s="21">
        <v>4847</v>
      </c>
      <c r="I4862" s="102">
        <v>0.66777185107794657</v>
      </c>
      <c r="J4862" s="103">
        <v>1.4320308246451596E-3</v>
      </c>
      <c r="K4862" s="103"/>
      <c r="L4862" s="103">
        <v>3.8800000000000001E-2</v>
      </c>
      <c r="O4862" s="100"/>
    </row>
    <row r="4863" spans="2:15" x14ac:dyDescent="0.2">
      <c r="B4863" s="1">
        <f t="shared" si="280"/>
        <v>4848</v>
      </c>
      <c r="C4863" s="101">
        <f ca="1"/>
        <v>-0.10376117446137378</v>
      </c>
      <c r="D4863" s="101">
        <f t="shared" ca="1" si="277"/>
        <v>0.65773557987611031</v>
      </c>
      <c r="E4863" s="101">
        <f t="shared" ca="1" si="278"/>
        <v>0</v>
      </c>
      <c r="F4863" s="21">
        <f t="shared" ca="1" si="279"/>
        <v>0</v>
      </c>
      <c r="H4863" s="21">
        <v>4848</v>
      </c>
      <c r="I4863" s="102">
        <v>0.66769264188397748</v>
      </c>
      <c r="J4863" s="103">
        <v>1.3038701165069238E-3</v>
      </c>
      <c r="K4863" s="103"/>
      <c r="L4863" s="103">
        <v>3.8199999999999998E-2</v>
      </c>
      <c r="O4863" s="100"/>
    </row>
    <row r="4864" spans="2:15" x14ac:dyDescent="0.2">
      <c r="B4864" s="1">
        <f t="shared" si="280"/>
        <v>4849</v>
      </c>
      <c r="C4864" s="101">
        <f ca="1"/>
        <v>1.4183857888874933</v>
      </c>
      <c r="D4864" s="101">
        <f t="shared" ca="1" si="277"/>
        <v>0.76429175209764422</v>
      </c>
      <c r="E4864" s="101">
        <f t="shared" ca="1" si="278"/>
        <v>0</v>
      </c>
      <c r="F4864" s="21">
        <f t="shared" ca="1" si="279"/>
        <v>0</v>
      </c>
      <c r="H4864" s="21">
        <v>4849</v>
      </c>
      <c r="I4864" s="102">
        <v>0.66768599153040498</v>
      </c>
      <c r="J4864" s="103">
        <v>1.3680569154793218E-3</v>
      </c>
      <c r="K4864" s="103"/>
      <c r="L4864" s="103">
        <v>4.2000000000000003E-2</v>
      </c>
      <c r="O4864" s="100"/>
    </row>
    <row r="4865" spans="2:15" x14ac:dyDescent="0.2">
      <c r="B4865" s="1">
        <f t="shared" si="280"/>
        <v>4850</v>
      </c>
      <c r="C4865" s="101">
        <f ca="1"/>
        <v>0.99466767543933132</v>
      </c>
      <c r="D4865" s="101">
        <f t="shared" ca="1" si="277"/>
        <v>0.73300569718843567</v>
      </c>
      <c r="E4865" s="101">
        <f t="shared" ca="1" si="278"/>
        <v>0</v>
      </c>
      <c r="F4865" s="21">
        <f t="shared" ca="1" si="279"/>
        <v>0</v>
      </c>
      <c r="H4865" s="21">
        <v>4850</v>
      </c>
      <c r="I4865" s="102">
        <v>0.66780007520682161</v>
      </c>
      <c r="J4865" s="103">
        <v>1.4102876399303883E-3</v>
      </c>
      <c r="K4865" s="103"/>
      <c r="L4865" s="103">
        <v>4.2799999999999998E-2</v>
      </c>
      <c r="O4865" s="100"/>
    </row>
    <row r="4866" spans="2:15" x14ac:dyDescent="0.2">
      <c r="B4866" s="1">
        <f t="shared" si="280"/>
        <v>4851</v>
      </c>
      <c r="C4866" s="101">
        <f ca="1"/>
        <v>6.5631526388726047E-2</v>
      </c>
      <c r="D4866" s="101">
        <f t="shared" ca="1" si="277"/>
        <v>0.66881809468569087</v>
      </c>
      <c r="E4866" s="101">
        <f t="shared" ca="1" si="278"/>
        <v>0</v>
      </c>
      <c r="F4866" s="21">
        <f t="shared" ca="1" si="279"/>
        <v>0</v>
      </c>
      <c r="H4866" s="21">
        <v>4851</v>
      </c>
      <c r="I4866" s="102">
        <v>0.66766741789580797</v>
      </c>
      <c r="J4866" s="103">
        <v>1.2149789477251453E-3</v>
      </c>
      <c r="K4866" s="103"/>
      <c r="L4866" s="103">
        <v>3.6600000000000001E-2</v>
      </c>
      <c r="O4866" s="100"/>
    </row>
    <row r="4867" spans="2:15" x14ac:dyDescent="0.2">
      <c r="B4867" s="1">
        <f t="shared" si="280"/>
        <v>4852</v>
      </c>
      <c r="C4867" s="101">
        <f ca="1"/>
        <v>-0.95720029950065799</v>
      </c>
      <c r="D4867" s="101">
        <f t="shared" ca="1" si="277"/>
        <v>0.60463116622140678</v>
      </c>
      <c r="E4867" s="101">
        <f t="shared" ca="1" si="278"/>
        <v>0</v>
      </c>
      <c r="F4867" s="21">
        <f t="shared" ca="1" si="279"/>
        <v>0</v>
      </c>
      <c r="H4867" s="21">
        <v>4852</v>
      </c>
      <c r="I4867" s="102">
        <v>0.66779153592778506</v>
      </c>
      <c r="J4867" s="103">
        <v>1.3769551299717389E-3</v>
      </c>
      <c r="K4867" s="103"/>
      <c r="L4867" s="103">
        <v>4.5600000000000002E-2</v>
      </c>
      <c r="O4867" s="100"/>
    </row>
    <row r="4868" spans="2:15" x14ac:dyDescent="0.2">
      <c r="B4868" s="1">
        <f t="shared" si="280"/>
        <v>4853</v>
      </c>
      <c r="C4868" s="101">
        <f ca="1"/>
        <v>5.9320535441587025E-2</v>
      </c>
      <c r="D4868" s="101">
        <f t="shared" ca="1" si="277"/>
        <v>0.66840186859530704</v>
      </c>
      <c r="E4868" s="101">
        <f t="shared" ca="1" si="278"/>
        <v>0</v>
      </c>
      <c r="F4868" s="21">
        <f t="shared" ca="1" si="279"/>
        <v>0</v>
      </c>
      <c r="H4868" s="21">
        <v>4853</v>
      </c>
      <c r="I4868" s="102">
        <v>0.66780556708436456</v>
      </c>
      <c r="J4868" s="103">
        <v>1.4315764523150165E-3</v>
      </c>
      <c r="K4868" s="103"/>
      <c r="L4868" s="103">
        <v>4.0399999999999998E-2</v>
      </c>
      <c r="O4868" s="100"/>
    </row>
    <row r="4869" spans="2:15" x14ac:dyDescent="0.2">
      <c r="B4869" s="1">
        <f t="shared" si="280"/>
        <v>4854</v>
      </c>
      <c r="C4869" s="101">
        <f ca="1"/>
        <v>-1.1484337845241372</v>
      </c>
      <c r="D4869" s="101">
        <f t="shared" ca="1" si="277"/>
        <v>0.59333259190585586</v>
      </c>
      <c r="E4869" s="101">
        <f t="shared" ca="1" si="278"/>
        <v>0</v>
      </c>
      <c r="F4869" s="21">
        <f t="shared" ca="1" si="279"/>
        <v>0</v>
      </c>
      <c r="H4869" s="21">
        <v>4854</v>
      </c>
      <c r="I4869" s="102">
        <v>0.66783319977917677</v>
      </c>
      <c r="J4869" s="103">
        <v>1.479041694855831E-3</v>
      </c>
      <c r="K4869" s="103"/>
      <c r="L4869" s="103">
        <v>4.6600000000000003E-2</v>
      </c>
      <c r="O4869" s="100"/>
    </row>
    <row r="4870" spans="2:15" x14ac:dyDescent="0.2">
      <c r="B4870" s="1">
        <f t="shared" si="280"/>
        <v>4855</v>
      </c>
      <c r="C4870" s="101">
        <f ca="1"/>
        <v>-0.5008605618247487</v>
      </c>
      <c r="D4870" s="101">
        <f t="shared" ca="1" si="277"/>
        <v>0.63246987198263427</v>
      </c>
      <c r="E4870" s="101">
        <f t="shared" ca="1" si="278"/>
        <v>0</v>
      </c>
      <c r="F4870" s="21">
        <f t="shared" ca="1" si="279"/>
        <v>0</v>
      </c>
      <c r="H4870" s="21">
        <v>4855</v>
      </c>
      <c r="I4870" s="102">
        <v>0.66775963954259032</v>
      </c>
      <c r="J4870" s="103">
        <v>1.3249009816954991E-3</v>
      </c>
      <c r="K4870" s="103"/>
      <c r="L4870" s="103">
        <v>3.9600000000000003E-2</v>
      </c>
      <c r="O4870" s="100"/>
    </row>
    <row r="4871" spans="2:15" x14ac:dyDescent="0.2">
      <c r="B4871" s="1">
        <f t="shared" si="280"/>
        <v>4856</v>
      </c>
      <c r="C4871" s="101">
        <f ca="1"/>
        <v>-0.25870544333280077</v>
      </c>
      <c r="D4871" s="101">
        <f t="shared" ca="1" si="277"/>
        <v>0.64775924263258677</v>
      </c>
      <c r="E4871" s="101">
        <f t="shared" ca="1" si="278"/>
        <v>0</v>
      </c>
      <c r="F4871" s="21">
        <f t="shared" ca="1" si="279"/>
        <v>0</v>
      </c>
      <c r="H4871" s="21">
        <v>4856</v>
      </c>
      <c r="I4871" s="102">
        <v>0.66776711663129096</v>
      </c>
      <c r="J4871" s="103">
        <v>1.2932919890923918E-3</v>
      </c>
      <c r="K4871" s="103"/>
      <c r="L4871" s="103">
        <v>3.9800000000000002E-2</v>
      </c>
      <c r="O4871" s="100"/>
    </row>
    <row r="4872" spans="2:15" x14ac:dyDescent="0.2">
      <c r="B4872" s="1">
        <f t="shared" si="280"/>
        <v>4857</v>
      </c>
      <c r="C4872" s="101">
        <f ca="1"/>
        <v>0.79223097960043498</v>
      </c>
      <c r="D4872" s="101">
        <f t="shared" ca="1" si="277"/>
        <v>0.71851375560029507</v>
      </c>
      <c r="E4872" s="101">
        <f t="shared" ca="1" si="278"/>
        <v>0</v>
      </c>
      <c r="F4872" s="21">
        <f t="shared" ca="1" si="279"/>
        <v>0</v>
      </c>
      <c r="H4872" s="21">
        <v>4857</v>
      </c>
      <c r="I4872" s="102">
        <v>0.66764432227694315</v>
      </c>
      <c r="J4872" s="103">
        <v>1.3217089734500161E-3</v>
      </c>
      <c r="K4872" s="103"/>
      <c r="L4872" s="103">
        <v>3.9E-2</v>
      </c>
      <c r="O4872" s="100"/>
    </row>
    <row r="4873" spans="2:15" x14ac:dyDescent="0.2">
      <c r="B4873" s="1">
        <f t="shared" si="280"/>
        <v>4858</v>
      </c>
      <c r="C4873" s="101">
        <f ca="1"/>
        <v>-0.54709887026924553</v>
      </c>
      <c r="D4873" s="101">
        <f t="shared" ca="1" si="277"/>
        <v>0.62959174038768351</v>
      </c>
      <c r="E4873" s="101">
        <f t="shared" ca="1" si="278"/>
        <v>0</v>
      </c>
      <c r="F4873" s="21">
        <f t="shared" ca="1" si="279"/>
        <v>0</v>
      </c>
      <c r="H4873" s="21">
        <v>4858</v>
      </c>
      <c r="I4873" s="102">
        <v>0.66772497059731095</v>
      </c>
      <c r="J4873" s="103">
        <v>1.2822662384023859E-3</v>
      </c>
      <c r="K4873" s="103"/>
      <c r="L4873" s="103">
        <v>3.9800000000000002E-2</v>
      </c>
      <c r="O4873" s="100"/>
    </row>
    <row r="4874" spans="2:15" x14ac:dyDescent="0.2">
      <c r="B4874" s="1">
        <f t="shared" si="280"/>
        <v>4859</v>
      </c>
      <c r="C4874" s="101">
        <f ca="1"/>
        <v>0.11001215503449717</v>
      </c>
      <c r="D4874" s="101">
        <f t="shared" ca="1" si="277"/>
        <v>0.67175244074622398</v>
      </c>
      <c r="E4874" s="101">
        <f t="shared" ca="1" si="278"/>
        <v>0</v>
      </c>
      <c r="F4874" s="21">
        <f t="shared" ca="1" si="279"/>
        <v>0</v>
      </c>
      <c r="H4874" s="21">
        <v>4859</v>
      </c>
      <c r="I4874" s="102">
        <v>0.66785116613567097</v>
      </c>
      <c r="J4874" s="103">
        <v>1.4600707819195993E-3</v>
      </c>
      <c r="K4874" s="103"/>
      <c r="L4874" s="103">
        <v>4.3999999999999997E-2</v>
      </c>
      <c r="O4874" s="100"/>
    </row>
    <row r="4875" spans="2:15" x14ac:dyDescent="0.2">
      <c r="B4875" s="1">
        <f t="shared" si="280"/>
        <v>4860</v>
      </c>
      <c r="C4875" s="101">
        <f ca="1"/>
        <v>-0.3530915197081142</v>
      </c>
      <c r="D4875" s="101">
        <f t="shared" ca="1" si="277"/>
        <v>0.64175635381112051</v>
      </c>
      <c r="E4875" s="101">
        <f t="shared" ca="1" si="278"/>
        <v>0</v>
      </c>
      <c r="F4875" s="21">
        <f t="shared" ca="1" si="279"/>
        <v>0</v>
      </c>
      <c r="H4875" s="21">
        <v>4860</v>
      </c>
      <c r="I4875" s="102">
        <v>0.66769333058083447</v>
      </c>
      <c r="J4875" s="103">
        <v>1.3952906262599193E-3</v>
      </c>
      <c r="K4875" s="103"/>
      <c r="L4875" s="103">
        <v>4.1000000000000002E-2</v>
      </c>
      <c r="O4875" s="100"/>
    </row>
    <row r="4876" spans="2:15" x14ac:dyDescent="0.2">
      <c r="B4876" s="1">
        <f t="shared" si="280"/>
        <v>4861</v>
      </c>
      <c r="C4876" s="101">
        <f ca="1"/>
        <v>1.0979833818331077</v>
      </c>
      <c r="D4876" s="101">
        <f t="shared" ca="1" si="277"/>
        <v>0.74051409838485427</v>
      </c>
      <c r="E4876" s="101">
        <f t="shared" ca="1" si="278"/>
        <v>0</v>
      </c>
      <c r="F4876" s="21">
        <f t="shared" ca="1" si="279"/>
        <v>0</v>
      </c>
      <c r="H4876" s="21">
        <v>4861</v>
      </c>
      <c r="I4876" s="102">
        <v>0.66758632123329842</v>
      </c>
      <c r="J4876" s="103">
        <v>1.1338896456746905E-3</v>
      </c>
      <c r="K4876" s="103"/>
      <c r="L4876" s="103">
        <v>3.8800000000000001E-2</v>
      </c>
      <c r="O4876" s="100"/>
    </row>
    <row r="4877" spans="2:15" x14ac:dyDescent="0.2">
      <c r="B4877" s="1">
        <f t="shared" si="280"/>
        <v>4862</v>
      </c>
      <c r="C4877" s="101">
        <f ca="1"/>
        <v>2.3922270546316384</v>
      </c>
      <c r="D4877" s="101">
        <f t="shared" ca="1" si="277"/>
        <v>0.84135238915198884</v>
      </c>
      <c r="E4877" s="101">
        <f t="shared" ca="1" si="278"/>
        <v>5.3152389151988833E-2</v>
      </c>
      <c r="F4877" s="21">
        <f t="shared" ca="1" si="279"/>
        <v>1</v>
      </c>
      <c r="H4877" s="21">
        <v>4862</v>
      </c>
      <c r="I4877" s="102">
        <v>0.66788708216491155</v>
      </c>
      <c r="J4877" s="103">
        <v>1.5104791983490276E-3</v>
      </c>
      <c r="K4877" s="103"/>
      <c r="L4877" s="103">
        <v>4.4400000000000002E-2</v>
      </c>
      <c r="O4877" s="100"/>
    </row>
    <row r="4878" spans="2:15" x14ac:dyDescent="0.2">
      <c r="B4878" s="1">
        <f t="shared" si="280"/>
        <v>4863</v>
      </c>
      <c r="C4878" s="101">
        <f ca="1"/>
        <v>-0.32250798959506444</v>
      </c>
      <c r="D4878" s="101">
        <f t="shared" ca="1" si="277"/>
        <v>0.64369532762918058</v>
      </c>
      <c r="E4878" s="101">
        <f t="shared" ca="1" si="278"/>
        <v>0</v>
      </c>
      <c r="F4878" s="21">
        <f t="shared" ca="1" si="279"/>
        <v>0</v>
      </c>
      <c r="H4878" s="21">
        <v>4863</v>
      </c>
      <c r="I4878" s="102">
        <v>0.66773929312083524</v>
      </c>
      <c r="J4878" s="103">
        <v>1.3670439472323378E-3</v>
      </c>
      <c r="K4878" s="103"/>
      <c r="L4878" s="103">
        <v>4.1599999999999998E-2</v>
      </c>
      <c r="O4878" s="100"/>
    </row>
    <row r="4879" spans="2:15" x14ac:dyDescent="0.2">
      <c r="B4879" s="1">
        <f t="shared" si="280"/>
        <v>4864</v>
      </c>
      <c r="C4879" s="101">
        <f ca="1"/>
        <v>-1.1752456453634383</v>
      </c>
      <c r="D4879" s="101">
        <f t="shared" ca="1" si="277"/>
        <v>0.59176544435984102</v>
      </c>
      <c r="E4879" s="101">
        <f t="shared" ca="1" si="278"/>
        <v>0</v>
      </c>
      <c r="F4879" s="21">
        <f t="shared" ca="1" si="279"/>
        <v>0</v>
      </c>
      <c r="H4879" s="21">
        <v>4864</v>
      </c>
      <c r="I4879" s="102">
        <v>0.66787598852089558</v>
      </c>
      <c r="J4879" s="103">
        <v>1.4790740663548562E-3</v>
      </c>
      <c r="K4879" s="103"/>
      <c r="L4879" s="103">
        <v>4.6399999999999997E-2</v>
      </c>
      <c r="O4879" s="100"/>
    </row>
    <row r="4880" spans="2:15" x14ac:dyDescent="0.2">
      <c r="B4880" s="1">
        <f t="shared" si="280"/>
        <v>4865</v>
      </c>
      <c r="C4880" s="101">
        <f ca="1"/>
        <v>-1.4528217261785081</v>
      </c>
      <c r="D4880" s="101">
        <f t="shared" ref="D4880:D4943" ca="1" si="281">S0*EXP((μ-0.5*σ*σ)*T+σ*SQRT(T)*$C4880)</f>
        <v>0.57578243648515415</v>
      </c>
      <c r="E4880" s="101">
        <f t="shared" ref="E4880:E4943" ca="1" si="282">MAX(0,CP*(D4880-K))</f>
        <v>0</v>
      </c>
      <c r="F4880" s="21">
        <f t="shared" ref="F4880:F4943" ca="1" si="283">(CP*(D4880-K)&gt;0)*1</f>
        <v>0</v>
      </c>
      <c r="H4880" s="21">
        <v>4865</v>
      </c>
      <c r="I4880" s="102">
        <v>0.6677731852166191</v>
      </c>
      <c r="J4880" s="103">
        <v>1.4184390315364805E-3</v>
      </c>
      <c r="K4880" s="103"/>
      <c r="L4880" s="103">
        <v>4.2000000000000003E-2</v>
      </c>
      <c r="O4880" s="100"/>
    </row>
    <row r="4881" spans="2:15" x14ac:dyDescent="0.2">
      <c r="B4881" s="1">
        <f t="shared" si="280"/>
        <v>4866</v>
      </c>
      <c r="C4881" s="101">
        <f ca="1"/>
        <v>-1.3852175111842104</v>
      </c>
      <c r="D4881" s="101">
        <f t="shared" ca="1" si="281"/>
        <v>0.57963491259451738</v>
      </c>
      <c r="E4881" s="101">
        <f t="shared" ca="1" si="282"/>
        <v>0</v>
      </c>
      <c r="F4881" s="21">
        <f t="shared" ca="1" si="283"/>
        <v>0</v>
      </c>
      <c r="H4881" s="21">
        <v>4866</v>
      </c>
      <c r="I4881" s="102">
        <v>0.66764867446212117</v>
      </c>
      <c r="J4881" s="103">
        <v>1.249506558108822E-3</v>
      </c>
      <c r="K4881" s="103"/>
      <c r="L4881" s="103">
        <v>3.9600000000000003E-2</v>
      </c>
      <c r="O4881" s="100"/>
    </row>
    <row r="4882" spans="2:15" x14ac:dyDescent="0.2">
      <c r="B4882" s="1">
        <f t="shared" si="280"/>
        <v>4867</v>
      </c>
      <c r="C4882" s="101">
        <f ca="1"/>
        <v>0.31445268877315119</v>
      </c>
      <c r="D4882" s="101">
        <f t="shared" ca="1" si="281"/>
        <v>0.68543670878038576</v>
      </c>
      <c r="E4882" s="101">
        <f t="shared" ca="1" si="282"/>
        <v>0</v>
      </c>
      <c r="F4882" s="21">
        <f t="shared" ca="1" si="283"/>
        <v>0</v>
      </c>
      <c r="H4882" s="21">
        <v>4867</v>
      </c>
      <c r="I4882" s="102">
        <v>0.66773671966431458</v>
      </c>
      <c r="J4882" s="103">
        <v>1.4140738726107437E-3</v>
      </c>
      <c r="K4882" s="103"/>
      <c r="L4882" s="103">
        <v>4.2000000000000003E-2</v>
      </c>
      <c r="O4882" s="100"/>
    </row>
    <row r="4883" spans="2:15" x14ac:dyDescent="0.2">
      <c r="B4883" s="1">
        <f t="shared" si="280"/>
        <v>4868</v>
      </c>
      <c r="C4883" s="101">
        <f ca="1"/>
        <v>-0.59163305408614986</v>
      </c>
      <c r="D4883" s="101">
        <f t="shared" ca="1" si="281"/>
        <v>0.62683206588770057</v>
      </c>
      <c r="E4883" s="101">
        <f t="shared" ca="1" si="282"/>
        <v>0</v>
      </c>
      <c r="F4883" s="21">
        <f t="shared" ca="1" si="283"/>
        <v>0</v>
      </c>
      <c r="H4883" s="21">
        <v>4868</v>
      </c>
      <c r="I4883" s="102">
        <v>0.6677718715263139</v>
      </c>
      <c r="J4883" s="103">
        <v>1.388018172280488E-3</v>
      </c>
      <c r="K4883" s="103"/>
      <c r="L4883" s="103">
        <v>4.2000000000000003E-2</v>
      </c>
      <c r="O4883" s="100"/>
    </row>
    <row r="4884" spans="2:15" x14ac:dyDescent="0.2">
      <c r="B4884" s="1">
        <f t="shared" si="280"/>
        <v>4869</v>
      </c>
      <c r="C4884" s="101">
        <f ca="1"/>
        <v>0.20698844765329819</v>
      </c>
      <c r="D4884" s="101">
        <f t="shared" ca="1" si="281"/>
        <v>0.67820917019668503</v>
      </c>
      <c r="E4884" s="101">
        <f t="shared" ca="1" si="282"/>
        <v>0</v>
      </c>
      <c r="F4884" s="21">
        <f t="shared" ca="1" si="283"/>
        <v>0</v>
      </c>
      <c r="H4884" s="21">
        <v>4869</v>
      </c>
      <c r="I4884" s="102">
        <v>0.667809128781362</v>
      </c>
      <c r="J4884" s="103">
        <v>1.4691827050863414E-3</v>
      </c>
      <c r="K4884" s="103"/>
      <c r="L4884" s="103">
        <v>4.0800000000000003E-2</v>
      </c>
      <c r="O4884" s="100"/>
    </row>
    <row r="4885" spans="2:15" x14ac:dyDescent="0.2">
      <c r="B4885" s="1">
        <f t="shared" si="280"/>
        <v>4870</v>
      </c>
      <c r="C4885" s="101">
        <f ca="1"/>
        <v>3.6893030809075481E-3</v>
      </c>
      <c r="D4885" s="101">
        <f t="shared" ca="1" si="281"/>
        <v>0.66474403303432883</v>
      </c>
      <c r="E4885" s="101">
        <f t="shared" ca="1" si="282"/>
        <v>0</v>
      </c>
      <c r="F4885" s="21">
        <f t="shared" ca="1" si="283"/>
        <v>0</v>
      </c>
      <c r="H4885" s="21">
        <v>4870</v>
      </c>
      <c r="I4885" s="102">
        <v>0.66768269298132832</v>
      </c>
      <c r="J4885" s="103">
        <v>1.3625639388044786E-3</v>
      </c>
      <c r="K4885" s="103"/>
      <c r="L4885" s="103">
        <v>3.78E-2</v>
      </c>
      <c r="O4885" s="100"/>
    </row>
    <row r="4886" spans="2:15" x14ac:dyDescent="0.2">
      <c r="B4886" s="1">
        <f t="shared" si="280"/>
        <v>4871</v>
      </c>
      <c r="C4886" s="101">
        <f ca="1"/>
        <v>0.99037127880910203</v>
      </c>
      <c r="D4886" s="101">
        <f t="shared" ca="1" si="281"/>
        <v>0.73269511353532601</v>
      </c>
      <c r="E4886" s="101">
        <f t="shared" ca="1" si="282"/>
        <v>0</v>
      </c>
      <c r="F4886" s="21">
        <f t="shared" ca="1" si="283"/>
        <v>0</v>
      </c>
      <c r="H4886" s="21">
        <v>4871</v>
      </c>
      <c r="I4886" s="102">
        <v>0.66768940354355044</v>
      </c>
      <c r="J4886" s="103">
        <v>1.3850354794366344E-3</v>
      </c>
      <c r="K4886" s="103"/>
      <c r="L4886" s="103">
        <v>4.2200000000000001E-2</v>
      </c>
      <c r="O4886" s="100"/>
    </row>
    <row r="4887" spans="2:15" x14ac:dyDescent="0.2">
      <c r="B4887" s="1">
        <f t="shared" si="280"/>
        <v>4872</v>
      </c>
      <c r="C4887" s="101">
        <f ca="1"/>
        <v>1.5580953154981962</v>
      </c>
      <c r="D4887" s="101">
        <f t="shared" ca="1" si="281"/>
        <v>0.7748974698793214</v>
      </c>
      <c r="E4887" s="101">
        <f t="shared" ca="1" si="282"/>
        <v>0</v>
      </c>
      <c r="F4887" s="21">
        <f t="shared" ca="1" si="283"/>
        <v>0</v>
      </c>
      <c r="H4887" s="21">
        <v>4872</v>
      </c>
      <c r="I4887" s="102">
        <v>0.66759715581335521</v>
      </c>
      <c r="J4887" s="103">
        <v>1.1794974783928258E-3</v>
      </c>
      <c r="K4887" s="103"/>
      <c r="L4887" s="103">
        <v>3.8800000000000001E-2</v>
      </c>
      <c r="O4887" s="100"/>
    </row>
    <row r="4888" spans="2:15" x14ac:dyDescent="0.2">
      <c r="B4888" s="1">
        <f t="shared" si="280"/>
        <v>4873</v>
      </c>
      <c r="C4888" s="101">
        <f ca="1"/>
        <v>1.2188465645332671</v>
      </c>
      <c r="D4888" s="101">
        <f t="shared" ca="1" si="281"/>
        <v>0.74939542174362828</v>
      </c>
      <c r="E4888" s="101">
        <f t="shared" ca="1" si="282"/>
        <v>0</v>
      </c>
      <c r="F4888" s="21">
        <f t="shared" ca="1" si="283"/>
        <v>0</v>
      </c>
      <c r="H4888" s="21">
        <v>4873</v>
      </c>
      <c r="I4888" s="102">
        <v>0.66767581428255096</v>
      </c>
      <c r="J4888" s="103">
        <v>1.2462983185666258E-3</v>
      </c>
      <c r="K4888" s="103"/>
      <c r="L4888" s="103">
        <v>4.0399999999999998E-2</v>
      </c>
      <c r="O4888" s="100"/>
    </row>
    <row r="4889" spans="2:15" x14ac:dyDescent="0.2">
      <c r="B4889" s="1">
        <f t="shared" si="280"/>
        <v>4874</v>
      </c>
      <c r="C4889" s="101">
        <f ca="1"/>
        <v>2.4071484618637649</v>
      </c>
      <c r="D4889" s="101">
        <f t="shared" ca="1" si="281"/>
        <v>0.84259166009600606</v>
      </c>
      <c r="E4889" s="101">
        <f t="shared" ca="1" si="282"/>
        <v>5.4391660096006045E-2</v>
      </c>
      <c r="F4889" s="21">
        <f t="shared" ca="1" si="283"/>
        <v>1</v>
      </c>
      <c r="H4889" s="21">
        <v>4874</v>
      </c>
      <c r="I4889" s="102">
        <v>0.66773281801625806</v>
      </c>
      <c r="J4889" s="103">
        <v>1.2582440424560046E-3</v>
      </c>
      <c r="K4889" s="103"/>
      <c r="L4889" s="103">
        <v>4.0399999999999998E-2</v>
      </c>
      <c r="O4889" s="100"/>
    </row>
    <row r="4890" spans="2:15" x14ac:dyDescent="0.2">
      <c r="B4890" s="1">
        <f t="shared" si="280"/>
        <v>4875</v>
      </c>
      <c r="C4890" s="101">
        <f ca="1"/>
        <v>0.26468497510810274</v>
      </c>
      <c r="D4890" s="101">
        <f t="shared" ca="1" si="281"/>
        <v>0.68208004086935503</v>
      </c>
      <c r="E4890" s="101">
        <f t="shared" ca="1" si="282"/>
        <v>0</v>
      </c>
      <c r="F4890" s="21">
        <f t="shared" ca="1" si="283"/>
        <v>0</v>
      </c>
      <c r="H4890" s="21">
        <v>4875</v>
      </c>
      <c r="I4890" s="102">
        <v>0.66765614102916793</v>
      </c>
      <c r="J4890" s="103">
        <v>1.2610724360273278E-3</v>
      </c>
      <c r="K4890" s="103"/>
      <c r="L4890" s="103">
        <v>3.9600000000000003E-2</v>
      </c>
      <c r="O4890" s="100"/>
    </row>
    <row r="4891" spans="2:15" x14ac:dyDescent="0.2">
      <c r="B4891" s="1">
        <f t="shared" si="280"/>
        <v>4876</v>
      </c>
      <c r="C4891" s="101">
        <f ca="1"/>
        <v>-0.49645091387003204</v>
      </c>
      <c r="D4891" s="101">
        <f t="shared" ca="1" si="281"/>
        <v>0.63274503947035421</v>
      </c>
      <c r="E4891" s="101">
        <f t="shared" ca="1" si="282"/>
        <v>0</v>
      </c>
      <c r="F4891" s="21">
        <f t="shared" ca="1" si="283"/>
        <v>0</v>
      </c>
      <c r="H4891" s="21">
        <v>4876</v>
      </c>
      <c r="I4891" s="102">
        <v>0.66764784782671471</v>
      </c>
      <c r="J4891" s="103">
        <v>1.2240473078671201E-3</v>
      </c>
      <c r="K4891" s="103"/>
      <c r="L4891" s="103">
        <v>4.1799999999999997E-2</v>
      </c>
      <c r="O4891" s="100"/>
    </row>
    <row r="4892" spans="2:15" x14ac:dyDescent="0.2">
      <c r="B4892" s="1">
        <f t="shared" si="280"/>
        <v>4877</v>
      </c>
      <c r="C4892" s="101">
        <f ca="1"/>
        <v>-0.38775270013089186</v>
      </c>
      <c r="D4892" s="101">
        <f t="shared" ca="1" si="281"/>
        <v>0.63956591963677445</v>
      </c>
      <c r="E4892" s="101">
        <f t="shared" ca="1" si="282"/>
        <v>0</v>
      </c>
      <c r="F4892" s="21">
        <f t="shared" ca="1" si="283"/>
        <v>0</v>
      </c>
      <c r="H4892" s="21">
        <v>4877</v>
      </c>
      <c r="I4892" s="102">
        <v>0.6676051646706499</v>
      </c>
      <c r="J4892" s="103">
        <v>1.2546637964267005E-3</v>
      </c>
      <c r="K4892" s="103"/>
      <c r="L4892" s="103">
        <v>4.1200000000000001E-2</v>
      </c>
      <c r="O4892" s="100"/>
    </row>
    <row r="4893" spans="2:15" x14ac:dyDescent="0.2">
      <c r="B4893" s="1">
        <f t="shared" si="280"/>
        <v>4878</v>
      </c>
      <c r="C4893" s="101">
        <f ca="1"/>
        <v>-1.7767098762140732</v>
      </c>
      <c r="D4893" s="101">
        <f t="shared" ca="1" si="281"/>
        <v>0.55767765619339382</v>
      </c>
      <c r="E4893" s="101">
        <f t="shared" ca="1" si="282"/>
        <v>0</v>
      </c>
      <c r="F4893" s="21">
        <f t="shared" ca="1" si="283"/>
        <v>0</v>
      </c>
      <c r="H4893" s="21">
        <v>4878</v>
      </c>
      <c r="I4893" s="102">
        <v>0.66788491367888225</v>
      </c>
      <c r="J4893" s="103">
        <v>1.4445697212366149E-3</v>
      </c>
      <c r="K4893" s="103"/>
      <c r="L4893" s="103">
        <v>4.48E-2</v>
      </c>
      <c r="O4893" s="100"/>
    </row>
    <row r="4894" spans="2:15" x14ac:dyDescent="0.2">
      <c r="B4894" s="1">
        <f t="shared" si="280"/>
        <v>4879</v>
      </c>
      <c r="C4894" s="101">
        <f ca="1"/>
        <v>-0.50650330222986961</v>
      </c>
      <c r="D4894" s="101">
        <f t="shared" ca="1" si="281"/>
        <v>0.63211793253021731</v>
      </c>
      <c r="E4894" s="101">
        <f t="shared" ca="1" si="282"/>
        <v>0</v>
      </c>
      <c r="F4894" s="21">
        <f t="shared" ca="1" si="283"/>
        <v>0</v>
      </c>
      <c r="H4894" s="21">
        <v>4879</v>
      </c>
      <c r="I4894" s="102">
        <v>0.66768140975237578</v>
      </c>
      <c r="J4894" s="103">
        <v>1.319066989346115E-3</v>
      </c>
      <c r="K4894" s="103"/>
      <c r="L4894" s="103">
        <v>3.8600000000000002E-2</v>
      </c>
      <c r="O4894" s="100"/>
    </row>
    <row r="4895" spans="2:15" x14ac:dyDescent="0.2">
      <c r="B4895" s="1">
        <f t="shared" si="280"/>
        <v>4880</v>
      </c>
      <c r="C4895" s="101">
        <f ca="1"/>
        <v>3.8388746184087351E-2</v>
      </c>
      <c r="D4895" s="101">
        <f t="shared" ca="1" si="281"/>
        <v>0.66702321666172659</v>
      </c>
      <c r="E4895" s="101">
        <f t="shared" ca="1" si="282"/>
        <v>0</v>
      </c>
      <c r="F4895" s="21">
        <f t="shared" ca="1" si="283"/>
        <v>0</v>
      </c>
      <c r="H4895" s="21">
        <v>4880</v>
      </c>
      <c r="I4895" s="102">
        <v>0.66779949444133113</v>
      </c>
      <c r="J4895" s="103">
        <v>1.3385242401322956E-3</v>
      </c>
      <c r="K4895" s="103"/>
      <c r="L4895" s="103">
        <v>4.2000000000000003E-2</v>
      </c>
      <c r="O4895" s="100"/>
    </row>
    <row r="4896" spans="2:15" x14ac:dyDescent="0.2">
      <c r="B4896" s="1">
        <f t="shared" si="280"/>
        <v>4881</v>
      </c>
      <c r="C4896" s="101">
        <f ca="1"/>
        <v>-0.25336834485353665</v>
      </c>
      <c r="D4896" s="101">
        <f t="shared" ca="1" si="281"/>
        <v>0.6481003507539741</v>
      </c>
      <c r="E4896" s="101">
        <f t="shared" ca="1" si="282"/>
        <v>0</v>
      </c>
      <c r="F4896" s="21">
        <f t="shared" ca="1" si="283"/>
        <v>0</v>
      </c>
      <c r="H4896" s="21">
        <v>4881</v>
      </c>
      <c r="I4896" s="102">
        <v>0.66783510795560019</v>
      </c>
      <c r="J4896" s="103">
        <v>1.4410625271204277E-3</v>
      </c>
      <c r="K4896" s="103"/>
      <c r="L4896" s="103">
        <v>4.2200000000000001E-2</v>
      </c>
      <c r="O4896" s="100"/>
    </row>
    <row r="4897" spans="2:15" x14ac:dyDescent="0.2">
      <c r="B4897" s="1">
        <f t="shared" si="280"/>
        <v>4882</v>
      </c>
      <c r="C4897" s="101">
        <f ca="1"/>
        <v>0.83301707673742886</v>
      </c>
      <c r="D4897" s="101">
        <f t="shared" ca="1" si="281"/>
        <v>0.72141029910194365</v>
      </c>
      <c r="E4897" s="101">
        <f t="shared" ca="1" si="282"/>
        <v>0</v>
      </c>
      <c r="F4897" s="21">
        <f t="shared" ca="1" si="283"/>
        <v>0</v>
      </c>
      <c r="H4897" s="21">
        <v>4882</v>
      </c>
      <c r="I4897" s="102">
        <v>0.66790087926583186</v>
      </c>
      <c r="J4897" s="103">
        <v>1.4731501760029912E-3</v>
      </c>
      <c r="K4897" s="103"/>
      <c r="L4897" s="103">
        <v>4.58E-2</v>
      </c>
      <c r="O4897" s="100"/>
    </row>
    <row r="4898" spans="2:15" x14ac:dyDescent="0.2">
      <c r="B4898" s="1">
        <f t="shared" si="280"/>
        <v>4883</v>
      </c>
      <c r="C4898" s="101">
        <f ca="1"/>
        <v>-0.63954112076707559</v>
      </c>
      <c r="D4898" s="101">
        <f t="shared" ca="1" si="281"/>
        <v>0.62387682437306369</v>
      </c>
      <c r="E4898" s="101">
        <f t="shared" ca="1" si="282"/>
        <v>0</v>
      </c>
      <c r="F4898" s="21">
        <f t="shared" ca="1" si="283"/>
        <v>0</v>
      </c>
      <c r="H4898" s="21">
        <v>4883</v>
      </c>
      <c r="I4898" s="102">
        <v>0.66762036880821296</v>
      </c>
      <c r="J4898" s="103">
        <v>1.1438036055876598E-3</v>
      </c>
      <c r="K4898" s="103"/>
      <c r="L4898" s="103">
        <v>3.78E-2</v>
      </c>
      <c r="O4898" s="100"/>
    </row>
    <row r="4899" spans="2:15" x14ac:dyDescent="0.2">
      <c r="B4899" s="1">
        <f t="shared" si="280"/>
        <v>4884</v>
      </c>
      <c r="C4899" s="101">
        <f ca="1"/>
        <v>-1.1168909255871233</v>
      </c>
      <c r="D4899" s="101">
        <f t="shared" ca="1" si="281"/>
        <v>0.59518157939590344</v>
      </c>
      <c r="E4899" s="101">
        <f t="shared" ca="1" si="282"/>
        <v>0</v>
      </c>
      <c r="F4899" s="21">
        <f t="shared" ca="1" si="283"/>
        <v>0</v>
      </c>
      <c r="H4899" s="21">
        <v>4884</v>
      </c>
      <c r="I4899" s="102">
        <v>0.66786790862784073</v>
      </c>
      <c r="J4899" s="103">
        <v>1.5671284588200914E-3</v>
      </c>
      <c r="K4899" s="103"/>
      <c r="L4899" s="103">
        <v>4.6399999999999997E-2</v>
      </c>
      <c r="O4899" s="100"/>
    </row>
    <row r="4900" spans="2:15" x14ac:dyDescent="0.2">
      <c r="B4900" s="1">
        <f t="shared" si="280"/>
        <v>4885</v>
      </c>
      <c r="C4900" s="101">
        <f ca="1"/>
        <v>-0.54446405524123787</v>
      </c>
      <c r="D4900" s="101">
        <f t="shared" ca="1" si="281"/>
        <v>0.62975539358421628</v>
      </c>
      <c r="E4900" s="101">
        <f t="shared" ca="1" si="282"/>
        <v>0</v>
      </c>
      <c r="F4900" s="21">
        <f t="shared" ca="1" si="283"/>
        <v>0</v>
      </c>
      <c r="H4900" s="21">
        <v>4885</v>
      </c>
      <c r="I4900" s="102">
        <v>0.66781213207746681</v>
      </c>
      <c r="J4900" s="103">
        <v>1.4176846505473955E-3</v>
      </c>
      <c r="K4900" s="103"/>
      <c r="L4900" s="103">
        <v>4.24E-2</v>
      </c>
      <c r="O4900" s="100"/>
    </row>
    <row r="4901" spans="2:15" x14ac:dyDescent="0.2">
      <c r="B4901" s="1">
        <f t="shared" si="280"/>
        <v>4886</v>
      </c>
      <c r="C4901" s="101">
        <f ca="1"/>
        <v>1.4534139089984985</v>
      </c>
      <c r="D4901" s="101">
        <f t="shared" ca="1" si="281"/>
        <v>0.76693711592888525</v>
      </c>
      <c r="E4901" s="101">
        <f t="shared" ca="1" si="282"/>
        <v>0</v>
      </c>
      <c r="F4901" s="21">
        <f t="shared" ca="1" si="283"/>
        <v>0</v>
      </c>
      <c r="H4901" s="21">
        <v>4886</v>
      </c>
      <c r="I4901" s="102">
        <v>0.66771905826467359</v>
      </c>
      <c r="J4901" s="103">
        <v>1.3196405136650124E-3</v>
      </c>
      <c r="K4901" s="103"/>
      <c r="L4901" s="103">
        <v>4.2000000000000003E-2</v>
      </c>
      <c r="O4901" s="100"/>
    </row>
    <row r="4902" spans="2:15" x14ac:dyDescent="0.2">
      <c r="B4902" s="1">
        <f t="shared" si="280"/>
        <v>4887</v>
      </c>
      <c r="C4902" s="101">
        <f ca="1"/>
        <v>-1.0522276353469484</v>
      </c>
      <c r="D4902" s="101">
        <f t="shared" ca="1" si="281"/>
        <v>0.59899006207740535</v>
      </c>
      <c r="E4902" s="101">
        <f t="shared" ca="1" si="282"/>
        <v>0</v>
      </c>
      <c r="F4902" s="21">
        <f t="shared" ca="1" si="283"/>
        <v>0</v>
      </c>
      <c r="H4902" s="21">
        <v>4887</v>
      </c>
      <c r="I4902" s="102">
        <v>0.66791747682504743</v>
      </c>
      <c r="J4902" s="103">
        <v>1.6094959899280593E-3</v>
      </c>
      <c r="K4902" s="103"/>
      <c r="L4902" s="103">
        <v>4.7399999999999998E-2</v>
      </c>
      <c r="O4902" s="100"/>
    </row>
    <row r="4903" spans="2:15" x14ac:dyDescent="0.2">
      <c r="B4903" s="1">
        <f t="shared" si="280"/>
        <v>4888</v>
      </c>
      <c r="C4903" s="101">
        <f ca="1"/>
        <v>1.22736448700084</v>
      </c>
      <c r="D4903" s="101">
        <f t="shared" ca="1" si="281"/>
        <v>0.75002534273790911</v>
      </c>
      <c r="E4903" s="101">
        <f t="shared" ca="1" si="282"/>
        <v>0</v>
      </c>
      <c r="F4903" s="21">
        <f t="shared" ca="1" si="283"/>
        <v>0</v>
      </c>
      <c r="H4903" s="21">
        <v>4888</v>
      </c>
      <c r="I4903" s="102">
        <v>0.6678996338844635</v>
      </c>
      <c r="J4903" s="103">
        <v>1.6237107953419334E-3</v>
      </c>
      <c r="K4903" s="103"/>
      <c r="L4903" s="103">
        <v>4.5400000000000003E-2</v>
      </c>
      <c r="O4903" s="100"/>
    </row>
    <row r="4904" spans="2:15" x14ac:dyDescent="0.2">
      <c r="B4904" s="1">
        <f t="shared" si="280"/>
        <v>4889</v>
      </c>
      <c r="C4904" s="101">
        <f ca="1"/>
        <v>1.0464782853547774</v>
      </c>
      <c r="D4904" s="101">
        <f t="shared" ca="1" si="281"/>
        <v>0.73676143438662267</v>
      </c>
      <c r="E4904" s="101">
        <f t="shared" ca="1" si="282"/>
        <v>0</v>
      </c>
      <c r="F4904" s="21">
        <f t="shared" ca="1" si="283"/>
        <v>0</v>
      </c>
      <c r="H4904" s="21">
        <v>4889</v>
      </c>
      <c r="I4904" s="102">
        <v>0.66781246601763045</v>
      </c>
      <c r="J4904" s="103">
        <v>1.4702026425959715E-3</v>
      </c>
      <c r="K4904" s="103"/>
      <c r="L4904" s="103">
        <v>4.3799999999999999E-2</v>
      </c>
      <c r="O4904" s="100"/>
    </row>
    <row r="4905" spans="2:15" x14ac:dyDescent="0.2">
      <c r="B4905" s="1">
        <f t="shared" si="280"/>
        <v>4890</v>
      </c>
      <c r="C4905" s="101">
        <f ca="1"/>
        <v>0.37467070838104877</v>
      </c>
      <c r="D4905" s="101">
        <f t="shared" ca="1" si="281"/>
        <v>0.68952030900285821</v>
      </c>
      <c r="E4905" s="101">
        <f t="shared" ca="1" si="282"/>
        <v>0</v>
      </c>
      <c r="F4905" s="21">
        <f t="shared" ca="1" si="283"/>
        <v>0</v>
      </c>
      <c r="H4905" s="21">
        <v>4890</v>
      </c>
      <c r="I4905" s="102">
        <v>0.66763007969676891</v>
      </c>
      <c r="J4905" s="103">
        <v>1.2150702513316217E-3</v>
      </c>
      <c r="K4905" s="103"/>
      <c r="L4905" s="103">
        <v>3.9600000000000003E-2</v>
      </c>
      <c r="O4905" s="100"/>
    </row>
    <row r="4906" spans="2:15" x14ac:dyDescent="0.2">
      <c r="B4906" s="1">
        <f t="shared" si="280"/>
        <v>4891</v>
      </c>
      <c r="C4906" s="101">
        <f ca="1"/>
        <v>0.75228319128926235</v>
      </c>
      <c r="D4906" s="101">
        <f t="shared" ca="1" si="281"/>
        <v>0.71568802119775521</v>
      </c>
      <c r="E4906" s="101">
        <f t="shared" ca="1" si="282"/>
        <v>0</v>
      </c>
      <c r="F4906" s="21">
        <f t="shared" ca="1" si="283"/>
        <v>0</v>
      </c>
      <c r="H4906" s="21">
        <v>4891</v>
      </c>
      <c r="I4906" s="102">
        <v>0.66764202870800071</v>
      </c>
      <c r="J4906" s="103">
        <v>1.248005629483065E-3</v>
      </c>
      <c r="K4906" s="103"/>
      <c r="L4906" s="103">
        <v>3.7600000000000001E-2</v>
      </c>
      <c r="O4906" s="100"/>
    </row>
    <row r="4907" spans="2:15" x14ac:dyDescent="0.2">
      <c r="B4907" s="1">
        <f t="shared" si="280"/>
        <v>4892</v>
      </c>
      <c r="C4907" s="101">
        <f ca="1"/>
        <v>-0.50391394312157967</v>
      </c>
      <c r="D4907" s="101">
        <f t="shared" ca="1" si="281"/>
        <v>0.63227940733246568</v>
      </c>
      <c r="E4907" s="101">
        <f t="shared" ca="1" si="282"/>
        <v>0</v>
      </c>
      <c r="F4907" s="21">
        <f t="shared" ca="1" si="283"/>
        <v>0</v>
      </c>
      <c r="H4907" s="21">
        <v>4892</v>
      </c>
      <c r="I4907" s="102">
        <v>0.66767073633212348</v>
      </c>
      <c r="J4907" s="103">
        <v>1.2478245983477709E-3</v>
      </c>
      <c r="K4907" s="103"/>
      <c r="L4907" s="103">
        <v>3.8600000000000002E-2</v>
      </c>
      <c r="O4907" s="100"/>
    </row>
    <row r="4908" spans="2:15" x14ac:dyDescent="0.2">
      <c r="B4908" s="1">
        <f t="shared" si="280"/>
        <v>4893</v>
      </c>
      <c r="C4908" s="101">
        <f ca="1"/>
        <v>-0.67106306135616578</v>
      </c>
      <c r="D4908" s="101">
        <f t="shared" ca="1" si="281"/>
        <v>0.62193997572681536</v>
      </c>
      <c r="E4908" s="101">
        <f t="shared" ca="1" si="282"/>
        <v>0</v>
      </c>
      <c r="F4908" s="21">
        <f t="shared" ca="1" si="283"/>
        <v>0</v>
      </c>
      <c r="H4908" s="21">
        <v>4893</v>
      </c>
      <c r="I4908" s="102">
        <v>0.66766953040828259</v>
      </c>
      <c r="J4908" s="103">
        <v>1.2005727099526232E-3</v>
      </c>
      <c r="K4908" s="103"/>
      <c r="L4908" s="103">
        <v>3.8199999999999998E-2</v>
      </c>
      <c r="O4908" s="100"/>
    </row>
    <row r="4909" spans="2:15" x14ac:dyDescent="0.2">
      <c r="B4909" s="1">
        <f t="shared" si="280"/>
        <v>4894</v>
      </c>
      <c r="C4909" s="101">
        <f ca="1"/>
        <v>-1.7618122052601564</v>
      </c>
      <c r="D4909" s="101">
        <f t="shared" ca="1" si="281"/>
        <v>0.5584977804658301</v>
      </c>
      <c r="E4909" s="101">
        <f t="shared" ca="1" si="282"/>
        <v>0</v>
      </c>
      <c r="F4909" s="21">
        <f t="shared" ca="1" si="283"/>
        <v>0</v>
      </c>
      <c r="H4909" s="21">
        <v>4894</v>
      </c>
      <c r="I4909" s="102">
        <v>0.66791578935763096</v>
      </c>
      <c r="J4909" s="103">
        <v>1.6363340266163885E-3</v>
      </c>
      <c r="K4909" s="103"/>
      <c r="L4909" s="103">
        <v>4.7399999999999998E-2</v>
      </c>
      <c r="O4909" s="100"/>
    </row>
    <row r="4910" spans="2:15" x14ac:dyDescent="0.2">
      <c r="B4910" s="1">
        <f t="shared" si="280"/>
        <v>4895</v>
      </c>
      <c r="C4910" s="101">
        <f ca="1"/>
        <v>-2.7545469184007816</v>
      </c>
      <c r="D4910" s="101">
        <f t="shared" ca="1" si="281"/>
        <v>0.50639954694147671</v>
      </c>
      <c r="E4910" s="101">
        <f t="shared" ca="1" si="282"/>
        <v>0</v>
      </c>
      <c r="F4910" s="21">
        <f t="shared" ca="1" si="283"/>
        <v>0</v>
      </c>
      <c r="H4910" s="21">
        <v>4895</v>
      </c>
      <c r="I4910" s="102">
        <v>0.66780042507505177</v>
      </c>
      <c r="J4910" s="103">
        <v>1.6143409142465829E-3</v>
      </c>
      <c r="K4910" s="103"/>
      <c r="L4910" s="103">
        <v>4.2799999999999998E-2</v>
      </c>
      <c r="O4910" s="100"/>
    </row>
    <row r="4911" spans="2:15" x14ac:dyDescent="0.2">
      <c r="B4911" s="1">
        <f t="shared" si="280"/>
        <v>4896</v>
      </c>
      <c r="C4911" s="101">
        <f ca="1"/>
        <v>-1.547847494702149</v>
      </c>
      <c r="D4911" s="101">
        <f t="shared" ca="1" si="281"/>
        <v>0.57041057418411667</v>
      </c>
      <c r="E4911" s="101">
        <f t="shared" ca="1" si="282"/>
        <v>0</v>
      </c>
      <c r="F4911" s="21">
        <f t="shared" ca="1" si="283"/>
        <v>0</v>
      </c>
      <c r="H4911" s="21">
        <v>4896</v>
      </c>
      <c r="I4911" s="102">
        <v>0.66784114595533162</v>
      </c>
      <c r="J4911" s="103">
        <v>1.4285575159699957E-3</v>
      </c>
      <c r="K4911" s="103"/>
      <c r="L4911" s="103">
        <v>4.36E-2</v>
      </c>
      <c r="O4911" s="100"/>
    </row>
    <row r="4912" spans="2:15" x14ac:dyDescent="0.2">
      <c r="B4912" s="1">
        <f t="shared" ref="B4912:B4975" si="284">B4911+1</f>
        <v>4897</v>
      </c>
      <c r="C4912" s="101">
        <f ca="1"/>
        <v>-2.5356026734808883</v>
      </c>
      <c r="D4912" s="101">
        <f t="shared" ca="1" si="281"/>
        <v>0.51745518727484863</v>
      </c>
      <c r="E4912" s="101">
        <f t="shared" ca="1" si="282"/>
        <v>0</v>
      </c>
      <c r="F4912" s="21">
        <f t="shared" ca="1" si="283"/>
        <v>0</v>
      </c>
      <c r="H4912" s="21">
        <v>4897</v>
      </c>
      <c r="I4912" s="102">
        <v>0.66765628322881054</v>
      </c>
      <c r="J4912" s="103">
        <v>1.2895427424401747E-3</v>
      </c>
      <c r="K4912" s="103"/>
      <c r="L4912" s="103">
        <v>3.8600000000000002E-2</v>
      </c>
      <c r="O4912" s="100"/>
    </row>
    <row r="4913" spans="2:15" x14ac:dyDescent="0.2">
      <c r="B4913" s="1">
        <f t="shared" si="284"/>
        <v>4898</v>
      </c>
      <c r="C4913" s="101">
        <f ca="1"/>
        <v>0.81044219043917032</v>
      </c>
      <c r="D4913" s="101">
        <f t="shared" ca="1" si="281"/>
        <v>0.71980563789690866</v>
      </c>
      <c r="E4913" s="101">
        <f t="shared" ca="1" si="282"/>
        <v>0</v>
      </c>
      <c r="F4913" s="21">
        <f t="shared" ca="1" si="283"/>
        <v>0</v>
      </c>
      <c r="H4913" s="21">
        <v>4898</v>
      </c>
      <c r="I4913" s="102">
        <v>0.66778651245994547</v>
      </c>
      <c r="J4913" s="103">
        <v>1.5242450027479902E-3</v>
      </c>
      <c r="K4913" s="103"/>
      <c r="L4913" s="103">
        <v>4.3200000000000002E-2</v>
      </c>
      <c r="O4913" s="100"/>
    </row>
    <row r="4914" spans="2:15" x14ac:dyDescent="0.2">
      <c r="B4914" s="1">
        <f t="shared" si="284"/>
        <v>4899</v>
      </c>
      <c r="C4914" s="101">
        <f ca="1"/>
        <v>1.0027528760588797</v>
      </c>
      <c r="D4914" s="101">
        <f t="shared" ca="1" si="281"/>
        <v>0.73359052800034641</v>
      </c>
      <c r="E4914" s="101">
        <f t="shared" ca="1" si="282"/>
        <v>0</v>
      </c>
      <c r="F4914" s="21">
        <f t="shared" ca="1" si="283"/>
        <v>0</v>
      </c>
      <c r="H4914" s="21">
        <v>4899</v>
      </c>
      <c r="I4914" s="102">
        <v>0.66770603160070063</v>
      </c>
      <c r="J4914" s="103">
        <v>1.3183810560531228E-3</v>
      </c>
      <c r="K4914" s="103"/>
      <c r="L4914" s="103">
        <v>4.1799999999999997E-2</v>
      </c>
      <c r="O4914" s="100"/>
    </row>
    <row r="4915" spans="2:15" x14ac:dyDescent="0.2">
      <c r="B4915" s="1">
        <f t="shared" si="284"/>
        <v>4900</v>
      </c>
      <c r="C4915" s="101">
        <f ca="1"/>
        <v>5.9109666366401172E-2</v>
      </c>
      <c r="D4915" s="101">
        <f t="shared" ca="1" si="281"/>
        <v>0.66838796571023751</v>
      </c>
      <c r="E4915" s="101">
        <f t="shared" ca="1" si="282"/>
        <v>0</v>
      </c>
      <c r="F4915" s="21">
        <f t="shared" ca="1" si="283"/>
        <v>0</v>
      </c>
      <c r="H4915" s="21">
        <v>4900</v>
      </c>
      <c r="I4915" s="102">
        <v>0.66778644452756453</v>
      </c>
      <c r="J4915" s="103">
        <v>1.4237035860434422E-3</v>
      </c>
      <c r="K4915" s="103"/>
      <c r="L4915" s="103">
        <v>4.36E-2</v>
      </c>
      <c r="O4915" s="100"/>
    </row>
    <row r="4916" spans="2:15" x14ac:dyDescent="0.2">
      <c r="B4916" s="1">
        <f t="shared" si="284"/>
        <v>4901</v>
      </c>
      <c r="C4916" s="101">
        <f ca="1"/>
        <v>0.52648077788136893</v>
      </c>
      <c r="D4916" s="101">
        <f t="shared" ca="1" si="281"/>
        <v>0.69992339826206518</v>
      </c>
      <c r="E4916" s="101">
        <f t="shared" ca="1" si="282"/>
        <v>0</v>
      </c>
      <c r="F4916" s="21">
        <f t="shared" ca="1" si="283"/>
        <v>0</v>
      </c>
      <c r="H4916" s="21">
        <v>4901</v>
      </c>
      <c r="I4916" s="102">
        <v>0.66779635588493313</v>
      </c>
      <c r="J4916" s="103">
        <v>1.4443778622309131E-3</v>
      </c>
      <c r="K4916" s="103"/>
      <c r="L4916" s="103">
        <v>4.1200000000000001E-2</v>
      </c>
      <c r="O4916" s="100"/>
    </row>
    <row r="4917" spans="2:15" x14ac:dyDescent="0.2">
      <c r="B4917" s="1">
        <f t="shared" si="284"/>
        <v>4902</v>
      </c>
      <c r="C4917" s="101">
        <f ca="1"/>
        <v>0.36346288255229764</v>
      </c>
      <c r="D4917" s="101">
        <f t="shared" ca="1" si="281"/>
        <v>0.68875842774477702</v>
      </c>
      <c r="E4917" s="101">
        <f t="shared" ca="1" si="282"/>
        <v>0</v>
      </c>
      <c r="F4917" s="21">
        <f t="shared" ca="1" si="283"/>
        <v>0</v>
      </c>
      <c r="H4917" s="21">
        <v>4902</v>
      </c>
      <c r="I4917" s="102">
        <v>0.667847903219422</v>
      </c>
      <c r="J4917" s="103">
        <v>1.4298777819258409E-3</v>
      </c>
      <c r="K4917" s="103"/>
      <c r="L4917" s="103">
        <v>4.3400000000000001E-2</v>
      </c>
      <c r="O4917" s="100"/>
    </row>
    <row r="4918" spans="2:15" x14ac:dyDescent="0.2">
      <c r="B4918" s="1">
        <f t="shared" si="284"/>
        <v>4903</v>
      </c>
      <c r="C4918" s="101">
        <f ca="1"/>
        <v>-0.11821246062661936</v>
      </c>
      <c r="D4918" s="101">
        <f t="shared" ca="1" si="281"/>
        <v>0.65679864968891655</v>
      </c>
      <c r="E4918" s="101">
        <f t="shared" ca="1" si="282"/>
        <v>0</v>
      </c>
      <c r="F4918" s="21">
        <f t="shared" ca="1" si="283"/>
        <v>0</v>
      </c>
      <c r="H4918" s="21">
        <v>4903</v>
      </c>
      <c r="I4918" s="102">
        <v>0.66776553690766871</v>
      </c>
      <c r="J4918" s="103">
        <v>1.4705712066090601E-3</v>
      </c>
      <c r="K4918" s="103"/>
      <c r="L4918" s="103">
        <v>4.02E-2</v>
      </c>
      <c r="O4918" s="100"/>
    </row>
    <row r="4919" spans="2:15" x14ac:dyDescent="0.2">
      <c r="B4919" s="1">
        <f t="shared" si="284"/>
        <v>4904</v>
      </c>
      <c r="C4919" s="101">
        <f ca="1"/>
        <v>-0.90736879989000707</v>
      </c>
      <c r="D4919" s="101">
        <f t="shared" ca="1" si="281"/>
        <v>0.60761051398853094</v>
      </c>
      <c r="E4919" s="101">
        <f t="shared" ca="1" si="282"/>
        <v>0</v>
      </c>
      <c r="F4919" s="21">
        <f t="shared" ca="1" si="283"/>
        <v>0</v>
      </c>
      <c r="H4919" s="21">
        <v>4904</v>
      </c>
      <c r="I4919" s="102">
        <v>0.66782078112751198</v>
      </c>
      <c r="J4919" s="103">
        <v>1.4050561675552154E-3</v>
      </c>
      <c r="K4919" s="103"/>
      <c r="L4919" s="103">
        <v>4.4200000000000003E-2</v>
      </c>
      <c r="O4919" s="100"/>
    </row>
    <row r="4920" spans="2:15" x14ac:dyDescent="0.2">
      <c r="B4920" s="1">
        <f t="shared" si="284"/>
        <v>4905</v>
      </c>
      <c r="C4920" s="101">
        <f ca="1"/>
        <v>3.5669424439343601E-2</v>
      </c>
      <c r="D4920" s="101">
        <f t="shared" ca="1" si="281"/>
        <v>0.66684432001472316</v>
      </c>
      <c r="E4920" s="101">
        <f t="shared" ca="1" si="282"/>
        <v>0</v>
      </c>
      <c r="F4920" s="21">
        <f t="shared" ca="1" si="283"/>
        <v>0</v>
      </c>
      <c r="H4920" s="21">
        <v>4905</v>
      </c>
      <c r="I4920" s="102">
        <v>0.66766003844073962</v>
      </c>
      <c r="J4920" s="103">
        <v>1.3070508976680984E-3</v>
      </c>
      <c r="K4920" s="103"/>
      <c r="L4920" s="103">
        <v>3.9E-2</v>
      </c>
      <c r="O4920" s="100"/>
    </row>
    <row r="4921" spans="2:15" x14ac:dyDescent="0.2">
      <c r="B4921" s="1">
        <f t="shared" si="284"/>
        <v>4906</v>
      </c>
      <c r="C4921" s="101">
        <f ca="1"/>
        <v>0.45028396741557103</v>
      </c>
      <c r="D4921" s="101">
        <f t="shared" ca="1" si="281"/>
        <v>0.69468238672922222</v>
      </c>
      <c r="E4921" s="101">
        <f t="shared" ca="1" si="282"/>
        <v>0</v>
      </c>
      <c r="F4921" s="21">
        <f t="shared" ca="1" si="283"/>
        <v>0</v>
      </c>
      <c r="H4921" s="21">
        <v>4906</v>
      </c>
      <c r="I4921" s="102">
        <v>0.66765361479819763</v>
      </c>
      <c r="J4921" s="103">
        <v>1.4838258107543155E-3</v>
      </c>
      <c r="K4921" s="103"/>
      <c r="L4921" s="103">
        <v>4.1000000000000002E-2</v>
      </c>
      <c r="O4921" s="100"/>
    </row>
    <row r="4922" spans="2:15" x14ac:dyDescent="0.2">
      <c r="B4922" s="1">
        <f t="shared" si="284"/>
        <v>4907</v>
      </c>
      <c r="C4922" s="101">
        <f ca="1"/>
        <v>0.50816612875819489</v>
      </c>
      <c r="D4922" s="101">
        <f t="shared" ca="1" si="281"/>
        <v>0.6986600712550648</v>
      </c>
      <c r="E4922" s="101">
        <f t="shared" ca="1" si="282"/>
        <v>0</v>
      </c>
      <c r="F4922" s="21">
        <f t="shared" ca="1" si="283"/>
        <v>0</v>
      </c>
      <c r="H4922" s="21">
        <v>4907</v>
      </c>
      <c r="I4922" s="102">
        <v>0.66783841992192261</v>
      </c>
      <c r="J4922" s="103">
        <v>1.3821803469893353E-3</v>
      </c>
      <c r="K4922" s="103"/>
      <c r="L4922" s="103">
        <v>4.1599999999999998E-2</v>
      </c>
      <c r="O4922" s="100"/>
    </row>
    <row r="4923" spans="2:15" x14ac:dyDescent="0.2">
      <c r="B4923" s="1">
        <f t="shared" si="284"/>
        <v>4908</v>
      </c>
      <c r="C4923" s="101">
        <f ca="1"/>
        <v>-0.47956170632182465</v>
      </c>
      <c r="D4923" s="101">
        <f t="shared" ca="1" si="281"/>
        <v>0.63380005471306078</v>
      </c>
      <c r="E4923" s="101">
        <f t="shared" ca="1" si="282"/>
        <v>0</v>
      </c>
      <c r="F4923" s="21">
        <f t="shared" ca="1" si="283"/>
        <v>0</v>
      </c>
      <c r="H4923" s="21">
        <v>4908</v>
      </c>
      <c r="I4923" s="102">
        <v>0.66764294080674347</v>
      </c>
      <c r="J4923" s="103">
        <v>1.3388317916457754E-3</v>
      </c>
      <c r="K4923" s="103"/>
      <c r="L4923" s="103">
        <v>3.8800000000000001E-2</v>
      </c>
      <c r="O4923" s="100"/>
    </row>
    <row r="4924" spans="2:15" x14ac:dyDescent="0.2">
      <c r="B4924" s="1">
        <f t="shared" si="284"/>
        <v>4909</v>
      </c>
      <c r="C4924" s="101">
        <f ca="1"/>
        <v>1.297862766180524</v>
      </c>
      <c r="D4924" s="101">
        <f t="shared" ca="1" si="281"/>
        <v>0.75525922900930442</v>
      </c>
      <c r="E4924" s="101">
        <f t="shared" ca="1" si="282"/>
        <v>0</v>
      </c>
      <c r="F4924" s="21">
        <f t="shared" ca="1" si="283"/>
        <v>0</v>
      </c>
      <c r="H4924" s="21">
        <v>4909</v>
      </c>
      <c r="I4924" s="102">
        <v>0.66771219781539681</v>
      </c>
      <c r="J4924" s="103">
        <v>1.3176550624382569E-3</v>
      </c>
      <c r="K4924" s="103"/>
      <c r="L4924" s="103">
        <v>3.8600000000000002E-2</v>
      </c>
      <c r="O4924" s="100"/>
    </row>
    <row r="4925" spans="2:15" x14ac:dyDescent="0.2">
      <c r="B4925" s="1">
        <f t="shared" si="284"/>
        <v>4910</v>
      </c>
      <c r="C4925" s="101">
        <f ca="1"/>
        <v>-0.37292511565812775</v>
      </c>
      <c r="D4925" s="101">
        <f t="shared" ca="1" si="281"/>
        <v>0.64050204122789511</v>
      </c>
      <c r="E4925" s="101">
        <f t="shared" ca="1" si="282"/>
        <v>0</v>
      </c>
      <c r="F4925" s="21">
        <f t="shared" ca="1" si="283"/>
        <v>0</v>
      </c>
      <c r="H4925" s="21">
        <v>4910</v>
      </c>
      <c r="I4925" s="102">
        <v>0.6678432472522704</v>
      </c>
      <c r="J4925" s="103">
        <v>1.375988912040146E-3</v>
      </c>
      <c r="K4925" s="103"/>
      <c r="L4925" s="103">
        <v>4.4600000000000001E-2</v>
      </c>
      <c r="O4925" s="100"/>
    </row>
    <row r="4926" spans="2:15" x14ac:dyDescent="0.2">
      <c r="B4926" s="1">
        <f t="shared" si="284"/>
        <v>4911</v>
      </c>
      <c r="C4926" s="101">
        <f ca="1"/>
        <v>0.28826177411808929</v>
      </c>
      <c r="D4926" s="101">
        <f t="shared" ca="1" si="281"/>
        <v>0.68366816406444308</v>
      </c>
      <c r="E4926" s="101">
        <f t="shared" ca="1" si="282"/>
        <v>0</v>
      </c>
      <c r="F4926" s="21">
        <f t="shared" ca="1" si="283"/>
        <v>0</v>
      </c>
      <c r="H4926" s="21">
        <v>4911</v>
      </c>
      <c r="I4926" s="102">
        <v>0.66767943153359521</v>
      </c>
      <c r="J4926" s="103">
        <v>1.2479658902405809E-3</v>
      </c>
      <c r="K4926" s="103"/>
      <c r="L4926" s="103">
        <v>3.9600000000000003E-2</v>
      </c>
      <c r="O4926" s="100"/>
    </row>
    <row r="4927" spans="2:15" x14ac:dyDescent="0.2">
      <c r="B4927" s="1">
        <f t="shared" si="284"/>
        <v>4912</v>
      </c>
      <c r="C4927" s="101">
        <f ca="1"/>
        <v>-1.3229881639931322</v>
      </c>
      <c r="D4927" s="101">
        <f t="shared" ca="1" si="281"/>
        <v>0.58320387766116777</v>
      </c>
      <c r="E4927" s="101">
        <f t="shared" ca="1" si="282"/>
        <v>0</v>
      </c>
      <c r="F4927" s="21">
        <f t="shared" ca="1" si="283"/>
        <v>0</v>
      </c>
      <c r="H4927" s="21">
        <v>4912</v>
      </c>
      <c r="I4927" s="102">
        <v>0.66755769052911396</v>
      </c>
      <c r="J4927" s="103">
        <v>1.2902210009093898E-3</v>
      </c>
      <c r="K4927" s="103"/>
      <c r="L4927" s="103">
        <v>3.8800000000000001E-2</v>
      </c>
      <c r="O4927" s="100"/>
    </row>
    <row r="4928" spans="2:15" x14ac:dyDescent="0.2">
      <c r="B4928" s="1">
        <f t="shared" si="284"/>
        <v>4913</v>
      </c>
      <c r="C4928" s="101">
        <f ca="1"/>
        <v>1.1309027471189894</v>
      </c>
      <c r="D4928" s="101">
        <f t="shared" ca="1" si="281"/>
        <v>0.74292261140545035</v>
      </c>
      <c r="E4928" s="101">
        <f t="shared" ca="1" si="282"/>
        <v>0</v>
      </c>
      <c r="F4928" s="21">
        <f t="shared" ca="1" si="283"/>
        <v>0</v>
      </c>
      <c r="H4928" s="21">
        <v>4913</v>
      </c>
      <c r="I4928" s="102">
        <v>0.66784173129492774</v>
      </c>
      <c r="J4928" s="103">
        <v>1.4022356704233084E-3</v>
      </c>
      <c r="K4928" s="103"/>
      <c r="L4928" s="103">
        <v>4.3999999999999997E-2</v>
      </c>
      <c r="O4928" s="100"/>
    </row>
    <row r="4929" spans="2:15" x14ac:dyDescent="0.2">
      <c r="B4929" s="1">
        <f t="shared" si="284"/>
        <v>4914</v>
      </c>
      <c r="C4929" s="101">
        <f ca="1"/>
        <v>1.1869340508602861</v>
      </c>
      <c r="D4929" s="101">
        <f t="shared" ca="1" si="281"/>
        <v>0.74704011447033059</v>
      </c>
      <c r="E4929" s="101">
        <f t="shared" ca="1" si="282"/>
        <v>0</v>
      </c>
      <c r="F4929" s="21">
        <f t="shared" ca="1" si="283"/>
        <v>0</v>
      </c>
      <c r="H4929" s="21">
        <v>4914</v>
      </c>
      <c r="I4929" s="102">
        <v>0.66781437257061749</v>
      </c>
      <c r="J4929" s="103">
        <v>1.5636017388132497E-3</v>
      </c>
      <c r="K4929" s="103"/>
      <c r="L4929" s="103">
        <v>4.1599999999999998E-2</v>
      </c>
      <c r="O4929" s="100"/>
    </row>
    <row r="4930" spans="2:15" x14ac:dyDescent="0.2">
      <c r="B4930" s="1">
        <f t="shared" si="284"/>
        <v>4915</v>
      </c>
      <c r="C4930" s="101">
        <f ca="1"/>
        <v>-0.58566904296917011</v>
      </c>
      <c r="D4930" s="101">
        <f t="shared" ca="1" si="281"/>
        <v>0.62720093840833346</v>
      </c>
      <c r="E4930" s="101">
        <f t="shared" ca="1" si="282"/>
        <v>0</v>
      </c>
      <c r="F4930" s="21">
        <f t="shared" ca="1" si="283"/>
        <v>0</v>
      </c>
      <c r="H4930" s="21">
        <v>4915</v>
      </c>
      <c r="I4930" s="102">
        <v>0.66780864710024979</v>
      </c>
      <c r="J4930" s="103">
        <v>1.4911593954311879E-3</v>
      </c>
      <c r="K4930" s="103"/>
      <c r="L4930" s="103">
        <v>4.36E-2</v>
      </c>
      <c r="O4930" s="100"/>
    </row>
    <row r="4931" spans="2:15" x14ac:dyDescent="0.2">
      <c r="B4931" s="1">
        <f t="shared" si="284"/>
        <v>4916</v>
      </c>
      <c r="C4931" s="101">
        <f ca="1"/>
        <v>-0.56198772999442559</v>
      </c>
      <c r="D4931" s="101">
        <f t="shared" ca="1" si="281"/>
        <v>0.62866776482523434</v>
      </c>
      <c r="E4931" s="101">
        <f t="shared" ca="1" si="282"/>
        <v>0</v>
      </c>
      <c r="F4931" s="21">
        <f t="shared" ca="1" si="283"/>
        <v>0</v>
      </c>
      <c r="H4931" s="21">
        <v>4916</v>
      </c>
      <c r="I4931" s="102">
        <v>0.66772332514274679</v>
      </c>
      <c r="J4931" s="103">
        <v>1.4003129372524158E-3</v>
      </c>
      <c r="K4931" s="103"/>
      <c r="L4931" s="103">
        <v>3.8600000000000002E-2</v>
      </c>
      <c r="O4931" s="100"/>
    </row>
    <row r="4932" spans="2:15" x14ac:dyDescent="0.2">
      <c r="B4932" s="1">
        <f t="shared" si="284"/>
        <v>4917</v>
      </c>
      <c r="C4932" s="101">
        <f ca="1"/>
        <v>0.53783454620269411</v>
      </c>
      <c r="D4932" s="101">
        <f t="shared" ca="1" si="281"/>
        <v>0.70070771712092184</v>
      </c>
      <c r="E4932" s="101">
        <f t="shared" ca="1" si="282"/>
        <v>0</v>
      </c>
      <c r="F4932" s="21">
        <f t="shared" ca="1" si="283"/>
        <v>0</v>
      </c>
      <c r="H4932" s="21">
        <v>4917</v>
      </c>
      <c r="I4932" s="102">
        <v>0.66778511388216322</v>
      </c>
      <c r="J4932" s="103">
        <v>1.481075844197668E-3</v>
      </c>
      <c r="K4932" s="103"/>
      <c r="L4932" s="103">
        <v>4.48E-2</v>
      </c>
      <c r="O4932" s="100"/>
    </row>
    <row r="4933" spans="2:15" x14ac:dyDescent="0.2">
      <c r="B4933" s="1">
        <f t="shared" si="284"/>
        <v>4918</v>
      </c>
      <c r="C4933" s="101">
        <f ca="1"/>
        <v>-0.832484264120946</v>
      </c>
      <c r="D4933" s="101">
        <f t="shared" ca="1" si="281"/>
        <v>0.61211537414418982</v>
      </c>
      <c r="E4933" s="101">
        <f t="shared" ca="1" si="282"/>
        <v>0</v>
      </c>
      <c r="F4933" s="21">
        <f t="shared" ca="1" si="283"/>
        <v>0</v>
      </c>
      <c r="H4933" s="21">
        <v>4918</v>
      </c>
      <c r="I4933" s="102">
        <v>0.66773342301986294</v>
      </c>
      <c r="J4933" s="103">
        <v>1.3244768389685418E-3</v>
      </c>
      <c r="K4933" s="103"/>
      <c r="L4933" s="103">
        <v>4.0399999999999998E-2</v>
      </c>
      <c r="O4933" s="100"/>
    </row>
    <row r="4934" spans="2:15" x14ac:dyDescent="0.2">
      <c r="B4934" s="1">
        <f t="shared" si="284"/>
        <v>4919</v>
      </c>
      <c r="C4934" s="101">
        <f ca="1"/>
        <v>0.85724199002840173</v>
      </c>
      <c r="D4934" s="101">
        <f t="shared" ca="1" si="281"/>
        <v>0.7231362262639689</v>
      </c>
      <c r="E4934" s="101">
        <f t="shared" ca="1" si="282"/>
        <v>0</v>
      </c>
      <c r="F4934" s="21">
        <f t="shared" ca="1" si="283"/>
        <v>0</v>
      </c>
      <c r="H4934" s="21">
        <v>4919</v>
      </c>
      <c r="I4934" s="102">
        <v>0.66775629147287241</v>
      </c>
      <c r="J4934" s="103">
        <v>1.3277722088142997E-3</v>
      </c>
      <c r="K4934" s="103"/>
      <c r="L4934" s="103">
        <v>4.1399999999999999E-2</v>
      </c>
      <c r="O4934" s="100"/>
    </row>
    <row r="4935" spans="2:15" x14ac:dyDescent="0.2">
      <c r="B4935" s="1">
        <f t="shared" si="284"/>
        <v>4920</v>
      </c>
      <c r="C4935" s="101">
        <f ca="1"/>
        <v>0.42130222614765489</v>
      </c>
      <c r="D4935" s="101">
        <f t="shared" ca="1" si="281"/>
        <v>0.69269926656093739</v>
      </c>
      <c r="E4935" s="101">
        <f t="shared" ca="1" si="282"/>
        <v>0</v>
      </c>
      <c r="F4935" s="21">
        <f t="shared" ca="1" si="283"/>
        <v>0</v>
      </c>
      <c r="H4935" s="21">
        <v>4920</v>
      </c>
      <c r="I4935" s="102">
        <v>0.6677921403132494</v>
      </c>
      <c r="J4935" s="103">
        <v>1.2264065097665907E-3</v>
      </c>
      <c r="K4935" s="103"/>
      <c r="L4935" s="103">
        <v>4.36E-2</v>
      </c>
      <c r="O4935" s="100"/>
    </row>
    <row r="4936" spans="2:15" x14ac:dyDescent="0.2">
      <c r="B4936" s="1">
        <f t="shared" si="284"/>
        <v>4921</v>
      </c>
      <c r="C4936" s="101">
        <f ca="1"/>
        <v>-1.2362318833168886</v>
      </c>
      <c r="D4936" s="101">
        <f t="shared" ca="1" si="281"/>
        <v>0.58821620986001422</v>
      </c>
      <c r="E4936" s="101">
        <f t="shared" ca="1" si="282"/>
        <v>0</v>
      </c>
      <c r="F4936" s="21">
        <f t="shared" ca="1" si="283"/>
        <v>0</v>
      </c>
      <c r="H4936" s="21">
        <v>4921</v>
      </c>
      <c r="I4936" s="102">
        <v>0.66785347527720318</v>
      </c>
      <c r="J4936" s="103">
        <v>1.5662187984805225E-3</v>
      </c>
      <c r="K4936" s="103"/>
      <c r="L4936" s="103">
        <v>4.5199999999999997E-2</v>
      </c>
      <c r="O4936" s="100"/>
    </row>
    <row r="4937" spans="2:15" x14ac:dyDescent="0.2">
      <c r="B4937" s="1">
        <f t="shared" si="284"/>
        <v>4922</v>
      </c>
      <c r="C4937" s="101">
        <f ca="1"/>
        <v>0.32472897323917554</v>
      </c>
      <c r="D4937" s="101">
        <f t="shared" ca="1" si="281"/>
        <v>0.68613186515787106</v>
      </c>
      <c r="E4937" s="101">
        <f t="shared" ca="1" si="282"/>
        <v>0</v>
      </c>
      <c r="F4937" s="21">
        <f t="shared" ca="1" si="283"/>
        <v>0</v>
      </c>
      <c r="H4937" s="21">
        <v>4922</v>
      </c>
      <c r="I4937" s="102">
        <v>0.66773132446733652</v>
      </c>
      <c r="J4937" s="103">
        <v>1.2686914069807086E-3</v>
      </c>
      <c r="K4937" s="103"/>
      <c r="L4937" s="103">
        <v>3.9600000000000003E-2</v>
      </c>
      <c r="O4937" s="100"/>
    </row>
    <row r="4938" spans="2:15" x14ac:dyDescent="0.2">
      <c r="B4938" s="1">
        <f t="shared" si="284"/>
        <v>4923</v>
      </c>
      <c r="C4938" s="101">
        <f ca="1"/>
        <v>0.90705170358290299</v>
      </c>
      <c r="D4938" s="101">
        <f t="shared" ca="1" si="281"/>
        <v>0.726697951463118</v>
      </c>
      <c r="E4938" s="101">
        <f t="shared" ca="1" si="282"/>
        <v>0</v>
      </c>
      <c r="F4938" s="21">
        <f t="shared" ca="1" si="283"/>
        <v>0</v>
      </c>
      <c r="H4938" s="21">
        <v>4923</v>
      </c>
      <c r="I4938" s="102">
        <v>0.6677487627569465</v>
      </c>
      <c r="J4938" s="103">
        <v>1.4830883028791161E-3</v>
      </c>
      <c r="K4938" s="103"/>
      <c r="L4938" s="103">
        <v>4.7E-2</v>
      </c>
      <c r="O4938" s="100"/>
    </row>
    <row r="4939" spans="2:15" x14ac:dyDescent="0.2">
      <c r="B4939" s="1">
        <f t="shared" si="284"/>
        <v>4924</v>
      </c>
      <c r="C4939" s="101">
        <f ca="1"/>
        <v>9.7388979288222113E-2</v>
      </c>
      <c r="D4939" s="101">
        <f t="shared" ca="1" si="281"/>
        <v>0.67091651745520342</v>
      </c>
      <c r="E4939" s="101">
        <f t="shared" ca="1" si="282"/>
        <v>0</v>
      </c>
      <c r="F4939" s="21">
        <f t="shared" ca="1" si="283"/>
        <v>0</v>
      </c>
      <c r="H4939" s="21">
        <v>4924</v>
      </c>
      <c r="I4939" s="102">
        <v>0.66768807951207843</v>
      </c>
      <c r="J4939" s="103">
        <v>1.2739876605246143E-3</v>
      </c>
      <c r="K4939" s="103"/>
      <c r="L4939" s="103">
        <v>4.02E-2</v>
      </c>
      <c r="O4939" s="100"/>
    </row>
    <row r="4940" spans="2:15" x14ac:dyDescent="0.2">
      <c r="B4940" s="1">
        <f t="shared" si="284"/>
        <v>4925</v>
      </c>
      <c r="C4940" s="101">
        <f ca="1"/>
        <v>0.93765921352285564</v>
      </c>
      <c r="D4940" s="101">
        <f t="shared" ca="1" si="281"/>
        <v>0.72889528813680193</v>
      </c>
      <c r="E4940" s="101">
        <f t="shared" ca="1" si="282"/>
        <v>0</v>
      </c>
      <c r="F4940" s="21">
        <f t="shared" ca="1" si="283"/>
        <v>0</v>
      </c>
      <c r="H4940" s="21">
        <v>4925</v>
      </c>
      <c r="I4940" s="102">
        <v>0.66783422818095561</v>
      </c>
      <c r="J4940" s="103">
        <v>1.4826481206178768E-3</v>
      </c>
      <c r="K4940" s="103"/>
      <c r="L4940" s="103">
        <v>4.6399999999999997E-2</v>
      </c>
      <c r="O4940" s="100"/>
    </row>
    <row r="4941" spans="2:15" x14ac:dyDescent="0.2">
      <c r="B4941" s="1">
        <f t="shared" si="284"/>
        <v>4926</v>
      </c>
      <c r="C4941" s="101">
        <f ca="1"/>
        <v>-1.3709147504826242</v>
      </c>
      <c r="D4941" s="101">
        <f t="shared" ca="1" si="281"/>
        <v>0.58045326376136275</v>
      </c>
      <c r="E4941" s="101">
        <f t="shared" ca="1" si="282"/>
        <v>0</v>
      </c>
      <c r="F4941" s="21">
        <f t="shared" ca="1" si="283"/>
        <v>0</v>
      </c>
      <c r="H4941" s="21">
        <v>4926</v>
      </c>
      <c r="I4941" s="102">
        <v>0.66774035544199661</v>
      </c>
      <c r="J4941" s="103">
        <v>1.3596028360849022E-3</v>
      </c>
      <c r="K4941" s="103"/>
      <c r="L4941" s="103">
        <v>4.1799999999999997E-2</v>
      </c>
      <c r="O4941" s="100"/>
    </row>
    <row r="4942" spans="2:15" x14ac:dyDescent="0.2">
      <c r="B4942" s="1">
        <f t="shared" si="284"/>
        <v>4927</v>
      </c>
      <c r="C4942" s="101">
        <f ca="1"/>
        <v>0.36649639238341891</v>
      </c>
      <c r="D4942" s="101">
        <f t="shared" ca="1" si="281"/>
        <v>0.68896455537571777</v>
      </c>
      <c r="E4942" s="101">
        <f t="shared" ca="1" si="282"/>
        <v>0</v>
      </c>
      <c r="F4942" s="21">
        <f t="shared" ca="1" si="283"/>
        <v>0</v>
      </c>
      <c r="H4942" s="21">
        <v>4927</v>
      </c>
      <c r="I4942" s="102">
        <v>0.66768743246491791</v>
      </c>
      <c r="J4942" s="103">
        <v>1.1651163591998898E-3</v>
      </c>
      <c r="K4942" s="103"/>
      <c r="L4942" s="103">
        <v>3.7600000000000001E-2</v>
      </c>
      <c r="O4942" s="100"/>
    </row>
    <row r="4943" spans="2:15" x14ac:dyDescent="0.2">
      <c r="B4943" s="1">
        <f t="shared" si="284"/>
        <v>4928</v>
      </c>
      <c r="C4943" s="101">
        <f ca="1"/>
        <v>0.93063801794426926</v>
      </c>
      <c r="D4943" s="101">
        <f t="shared" ca="1" si="281"/>
        <v>0.72839064458194225</v>
      </c>
      <c r="E4943" s="101">
        <f t="shared" ca="1" si="282"/>
        <v>0</v>
      </c>
      <c r="F4943" s="21">
        <f t="shared" ca="1" si="283"/>
        <v>0</v>
      </c>
      <c r="H4943" s="21">
        <v>4928</v>
      </c>
      <c r="I4943" s="102">
        <v>0.66760069102541963</v>
      </c>
      <c r="J4943" s="103">
        <v>1.0824145344256689E-3</v>
      </c>
      <c r="K4943" s="103"/>
      <c r="L4943" s="103">
        <v>3.6400000000000002E-2</v>
      </c>
      <c r="O4943" s="100"/>
    </row>
    <row r="4944" spans="2:15" x14ac:dyDescent="0.2">
      <c r="B4944" s="1">
        <f t="shared" si="284"/>
        <v>4929</v>
      </c>
      <c r="C4944" s="101">
        <f ca="1"/>
        <v>-0.73904440580268271</v>
      </c>
      <c r="D4944" s="101">
        <f t="shared" ref="D4944:D5007" ca="1" si="285">S0*EXP((μ-0.5*σ*σ)*T+σ*SQRT(T)*$C4944)</f>
        <v>0.61778334162295589</v>
      </c>
      <c r="E4944" s="101">
        <f t="shared" ref="E4944:E5007" ca="1" si="286">MAX(0,CP*(D4944-K))</f>
        <v>0</v>
      </c>
      <c r="F4944" s="21">
        <f t="shared" ref="F4944:F5007" ca="1" si="287">(CP*(D4944-K)&gt;0)*1</f>
        <v>0</v>
      </c>
      <c r="H4944" s="21">
        <v>4929</v>
      </c>
      <c r="I4944" s="102">
        <v>0.66769688886336387</v>
      </c>
      <c r="J4944" s="103">
        <v>1.2801894396061333E-3</v>
      </c>
      <c r="K4944" s="103"/>
      <c r="L4944" s="103">
        <v>4.2000000000000003E-2</v>
      </c>
      <c r="O4944" s="100"/>
    </row>
    <row r="4945" spans="2:15" x14ac:dyDescent="0.2">
      <c r="B4945" s="1">
        <f t="shared" si="284"/>
        <v>4930</v>
      </c>
      <c r="C4945" s="101">
        <f ca="1"/>
        <v>-1.5218141194909902</v>
      </c>
      <c r="D4945" s="101">
        <f t="shared" ca="1" si="285"/>
        <v>0.57187725189630301</v>
      </c>
      <c r="E4945" s="101">
        <f t="shared" ca="1" si="286"/>
        <v>0</v>
      </c>
      <c r="F4945" s="21">
        <f t="shared" ca="1" si="287"/>
        <v>0</v>
      </c>
      <c r="H4945" s="21">
        <v>4930</v>
      </c>
      <c r="I4945" s="102">
        <v>0.66774543615039161</v>
      </c>
      <c r="J4945" s="103">
        <v>1.3559801158052592E-3</v>
      </c>
      <c r="K4945" s="103"/>
      <c r="L4945" s="103">
        <v>3.7600000000000001E-2</v>
      </c>
      <c r="O4945" s="100"/>
    </row>
    <row r="4946" spans="2:15" x14ac:dyDescent="0.2">
      <c r="B4946" s="1">
        <f t="shared" si="284"/>
        <v>4931</v>
      </c>
      <c r="C4946" s="101">
        <f ca="1"/>
        <v>-0.48641481841769846</v>
      </c>
      <c r="D4946" s="101">
        <f t="shared" ca="1" si="285"/>
        <v>0.63337175061940398</v>
      </c>
      <c r="E4946" s="101">
        <f t="shared" ca="1" si="286"/>
        <v>0</v>
      </c>
      <c r="F4946" s="21">
        <f t="shared" ca="1" si="287"/>
        <v>0</v>
      </c>
      <c r="H4946" s="21">
        <v>4931</v>
      </c>
      <c r="I4946" s="102">
        <v>0.66771833198149166</v>
      </c>
      <c r="J4946" s="103">
        <v>1.3060210478766739E-3</v>
      </c>
      <c r="K4946" s="103"/>
      <c r="L4946" s="103">
        <v>4.0399999999999998E-2</v>
      </c>
      <c r="O4946" s="100"/>
    </row>
    <row r="4947" spans="2:15" x14ac:dyDescent="0.2">
      <c r="B4947" s="1">
        <f t="shared" si="284"/>
        <v>4932</v>
      </c>
      <c r="C4947" s="101">
        <f ca="1"/>
        <v>-1.8065273287632053</v>
      </c>
      <c r="D4947" s="101">
        <f t="shared" ca="1" si="285"/>
        <v>0.55603980606970915</v>
      </c>
      <c r="E4947" s="101">
        <f t="shared" ca="1" si="286"/>
        <v>0</v>
      </c>
      <c r="F4947" s="21">
        <f t="shared" ca="1" si="287"/>
        <v>0</v>
      </c>
      <c r="H4947" s="21">
        <v>4932</v>
      </c>
      <c r="I4947" s="102">
        <v>0.66782766413568884</v>
      </c>
      <c r="J4947" s="103">
        <v>1.4606514492205844E-3</v>
      </c>
      <c r="K4947" s="103"/>
      <c r="L4947" s="103">
        <v>4.5199999999999997E-2</v>
      </c>
      <c r="O4947" s="100"/>
    </row>
    <row r="4948" spans="2:15" x14ac:dyDescent="0.2">
      <c r="B4948" s="1">
        <f t="shared" si="284"/>
        <v>4933</v>
      </c>
      <c r="C4948" s="101">
        <f ca="1"/>
        <v>-0.57963351790309836</v>
      </c>
      <c r="D4948" s="101">
        <f t="shared" ca="1" si="285"/>
        <v>0.62757445503916731</v>
      </c>
      <c r="E4948" s="101">
        <f t="shared" ca="1" si="286"/>
        <v>0</v>
      </c>
      <c r="F4948" s="21">
        <f t="shared" ca="1" si="287"/>
        <v>0</v>
      </c>
      <c r="H4948" s="21">
        <v>4933</v>
      </c>
      <c r="I4948" s="102">
        <v>0.66775665533752604</v>
      </c>
      <c r="J4948" s="103">
        <v>1.4549489919953823E-3</v>
      </c>
      <c r="K4948" s="103"/>
      <c r="L4948" s="103">
        <v>4.3400000000000001E-2</v>
      </c>
      <c r="O4948" s="100"/>
    </row>
    <row r="4949" spans="2:15" x14ac:dyDescent="0.2">
      <c r="B4949" s="1">
        <f t="shared" si="284"/>
        <v>4934</v>
      </c>
      <c r="C4949" s="101">
        <f ca="1"/>
        <v>-0.73286361543123513</v>
      </c>
      <c r="D4949" s="101">
        <f t="shared" ca="1" si="285"/>
        <v>0.61816010745059347</v>
      </c>
      <c r="E4949" s="101">
        <f t="shared" ca="1" si="286"/>
        <v>0</v>
      </c>
      <c r="F4949" s="21">
        <f t="shared" ca="1" si="287"/>
        <v>0</v>
      </c>
      <c r="H4949" s="21">
        <v>4934</v>
      </c>
      <c r="I4949" s="102">
        <v>0.66772710191861584</v>
      </c>
      <c r="J4949" s="103">
        <v>1.3899243085391741E-3</v>
      </c>
      <c r="K4949" s="103"/>
      <c r="L4949" s="103">
        <v>4.02E-2</v>
      </c>
      <c r="O4949" s="100"/>
    </row>
    <row r="4950" spans="2:15" x14ac:dyDescent="0.2">
      <c r="B4950" s="1">
        <f t="shared" si="284"/>
        <v>4935</v>
      </c>
      <c r="C4950" s="101">
        <f ca="1"/>
        <v>0.67350278051377943</v>
      </c>
      <c r="D4950" s="101">
        <f t="shared" ca="1" si="285"/>
        <v>0.71014796040279216</v>
      </c>
      <c r="E4950" s="101">
        <f t="shared" ca="1" si="286"/>
        <v>0</v>
      </c>
      <c r="F4950" s="21">
        <f t="shared" ca="1" si="287"/>
        <v>0</v>
      </c>
      <c r="H4950" s="21">
        <v>4935</v>
      </c>
      <c r="I4950" s="102">
        <v>0.66763608331801472</v>
      </c>
      <c r="J4950" s="103">
        <v>1.2628312113404907E-3</v>
      </c>
      <c r="K4950" s="103"/>
      <c r="L4950" s="103">
        <v>3.78E-2</v>
      </c>
      <c r="O4950" s="100"/>
    </row>
    <row r="4951" spans="2:15" x14ac:dyDescent="0.2">
      <c r="B4951" s="1">
        <f t="shared" si="284"/>
        <v>4936</v>
      </c>
      <c r="C4951" s="101">
        <f ca="1"/>
        <v>-0.19859118469787801</v>
      </c>
      <c r="D4951" s="101">
        <f t="shared" ca="1" si="285"/>
        <v>0.65161170388925727</v>
      </c>
      <c r="E4951" s="101">
        <f t="shared" ca="1" si="286"/>
        <v>0</v>
      </c>
      <c r="F4951" s="21">
        <f t="shared" ca="1" si="287"/>
        <v>0</v>
      </c>
      <c r="H4951" s="21">
        <v>4936</v>
      </c>
      <c r="I4951" s="102">
        <v>0.66771149442705446</v>
      </c>
      <c r="J4951" s="103">
        <v>1.3168560338794792E-3</v>
      </c>
      <c r="K4951" s="103"/>
      <c r="L4951" s="103">
        <v>3.9399999999999998E-2</v>
      </c>
      <c r="O4951" s="100"/>
    </row>
    <row r="4952" spans="2:15" x14ac:dyDescent="0.2">
      <c r="B4952" s="1">
        <f t="shared" si="284"/>
        <v>4937</v>
      </c>
      <c r="C4952" s="101">
        <f ca="1"/>
        <v>-0.16973554696621115</v>
      </c>
      <c r="D4952" s="101">
        <f t="shared" ca="1" si="285"/>
        <v>0.65346906641688118</v>
      </c>
      <c r="E4952" s="101">
        <f t="shared" ca="1" si="286"/>
        <v>0</v>
      </c>
      <c r="F4952" s="21">
        <f t="shared" ca="1" si="287"/>
        <v>0</v>
      </c>
      <c r="H4952" s="21">
        <v>4937</v>
      </c>
      <c r="I4952" s="102">
        <v>0.66763082795985262</v>
      </c>
      <c r="J4952" s="103">
        <v>1.1891335664506581E-3</v>
      </c>
      <c r="K4952" s="103"/>
      <c r="L4952" s="103">
        <v>3.5999999999999997E-2</v>
      </c>
      <c r="O4952" s="100"/>
    </row>
    <row r="4953" spans="2:15" x14ac:dyDescent="0.2">
      <c r="B4953" s="1">
        <f t="shared" si="284"/>
        <v>4938</v>
      </c>
      <c r="C4953" s="101">
        <f ca="1"/>
        <v>-0.83962934431471026</v>
      </c>
      <c r="D4953" s="101">
        <f t="shared" ca="1" si="285"/>
        <v>0.61168410711285803</v>
      </c>
      <c r="E4953" s="101">
        <f t="shared" ca="1" si="286"/>
        <v>0</v>
      </c>
      <c r="F4953" s="21">
        <f t="shared" ca="1" si="287"/>
        <v>0</v>
      </c>
      <c r="H4953" s="21">
        <v>4938</v>
      </c>
      <c r="I4953" s="102">
        <v>0.66785978710333627</v>
      </c>
      <c r="J4953" s="103">
        <v>1.4683322500738264E-3</v>
      </c>
      <c r="K4953" s="103"/>
      <c r="L4953" s="103">
        <v>4.58E-2</v>
      </c>
      <c r="O4953" s="100"/>
    </row>
    <row r="4954" spans="2:15" x14ac:dyDescent="0.2">
      <c r="B4954" s="1">
        <f t="shared" si="284"/>
        <v>4939</v>
      </c>
      <c r="C4954" s="101">
        <f ca="1"/>
        <v>0.85401286370167129</v>
      </c>
      <c r="D4954" s="101">
        <f t="shared" ca="1" si="285"/>
        <v>0.72290592575937396</v>
      </c>
      <c r="E4954" s="101">
        <f t="shared" ca="1" si="286"/>
        <v>0</v>
      </c>
      <c r="F4954" s="21">
        <f t="shared" ca="1" si="287"/>
        <v>0</v>
      </c>
      <c r="H4954" s="21">
        <v>4939</v>
      </c>
      <c r="I4954" s="102">
        <v>0.66774293835901732</v>
      </c>
      <c r="J4954" s="103">
        <v>1.2827190333251843E-3</v>
      </c>
      <c r="K4954" s="103"/>
      <c r="L4954" s="103">
        <v>4.2999999999999997E-2</v>
      </c>
      <c r="O4954" s="100"/>
    </row>
    <row r="4955" spans="2:15" x14ac:dyDescent="0.2">
      <c r="B4955" s="1">
        <f t="shared" si="284"/>
        <v>4940</v>
      </c>
      <c r="C4955" s="101">
        <f ca="1"/>
        <v>-0.8092844439218928</v>
      </c>
      <c r="D4955" s="101">
        <f t="shared" ca="1" si="285"/>
        <v>0.61351778038283622</v>
      </c>
      <c r="E4955" s="101">
        <f t="shared" ca="1" si="286"/>
        <v>0</v>
      </c>
      <c r="F4955" s="21">
        <f t="shared" ca="1" si="287"/>
        <v>0</v>
      </c>
      <c r="H4955" s="21">
        <v>4940</v>
      </c>
      <c r="I4955" s="102">
        <v>0.66763419218689579</v>
      </c>
      <c r="J4955" s="103">
        <v>1.2792699747648871E-3</v>
      </c>
      <c r="K4955" s="103"/>
      <c r="L4955" s="103">
        <v>4.1399999999999999E-2</v>
      </c>
      <c r="O4955" s="100"/>
    </row>
    <row r="4956" spans="2:15" x14ac:dyDescent="0.2">
      <c r="B4956" s="1">
        <f t="shared" si="284"/>
        <v>4941</v>
      </c>
      <c r="C4956" s="101">
        <f ca="1"/>
        <v>0.93292383673712498</v>
      </c>
      <c r="D4956" s="101">
        <f t="shared" ca="1" si="285"/>
        <v>0.72855489785072725</v>
      </c>
      <c r="E4956" s="101">
        <f t="shared" ca="1" si="286"/>
        <v>0</v>
      </c>
      <c r="F4956" s="21">
        <f t="shared" ca="1" si="287"/>
        <v>0</v>
      </c>
      <c r="H4956" s="21">
        <v>4941</v>
      </c>
      <c r="I4956" s="102">
        <v>0.66768500709121792</v>
      </c>
      <c r="J4956" s="103">
        <v>1.3210334639082184E-3</v>
      </c>
      <c r="K4956" s="103"/>
      <c r="L4956" s="103">
        <v>3.8399999999999997E-2</v>
      </c>
      <c r="O4956" s="100"/>
    </row>
    <row r="4957" spans="2:15" x14ac:dyDescent="0.2">
      <c r="B4957" s="1">
        <f t="shared" si="284"/>
        <v>4942</v>
      </c>
      <c r="C4957" s="101">
        <f ca="1"/>
        <v>3.0724037967864208</v>
      </c>
      <c r="D4957" s="101">
        <f t="shared" ca="1" si="285"/>
        <v>0.89973845891382043</v>
      </c>
      <c r="E4957" s="101">
        <f t="shared" ca="1" si="286"/>
        <v>0.11153845891382042</v>
      </c>
      <c r="F4957" s="21">
        <f t="shared" ca="1" si="287"/>
        <v>1</v>
      </c>
      <c r="H4957" s="21">
        <v>4942</v>
      </c>
      <c r="I4957" s="102">
        <v>0.6678665107922086</v>
      </c>
      <c r="J4957" s="103">
        <v>1.5146292000579186E-3</v>
      </c>
      <c r="K4957" s="103"/>
      <c r="L4957" s="103">
        <v>4.3799999999999999E-2</v>
      </c>
      <c r="O4957" s="100"/>
    </row>
    <row r="4958" spans="2:15" x14ac:dyDescent="0.2">
      <c r="B4958" s="1">
        <f t="shared" si="284"/>
        <v>4943</v>
      </c>
      <c r="C4958" s="101">
        <f ca="1"/>
        <v>-0.77544018910609225</v>
      </c>
      <c r="D4958" s="101">
        <f t="shared" ca="1" si="285"/>
        <v>0.61556939670534483</v>
      </c>
      <c r="E4958" s="101">
        <f t="shared" ca="1" si="286"/>
        <v>0</v>
      </c>
      <c r="F4958" s="21">
        <f t="shared" ca="1" si="287"/>
        <v>0</v>
      </c>
      <c r="H4958" s="21">
        <v>4943</v>
      </c>
      <c r="I4958" s="102">
        <v>0.66771438043520626</v>
      </c>
      <c r="J4958" s="103">
        <v>1.3592108153180869E-3</v>
      </c>
      <c r="K4958" s="103"/>
      <c r="L4958" s="103">
        <v>4.1000000000000002E-2</v>
      </c>
      <c r="O4958" s="100"/>
    </row>
    <row r="4959" spans="2:15" x14ac:dyDescent="0.2">
      <c r="B4959" s="1">
        <f t="shared" si="284"/>
        <v>4944</v>
      </c>
      <c r="C4959" s="101">
        <f ca="1"/>
        <v>-1.3070325966667296</v>
      </c>
      <c r="D4959" s="101">
        <f t="shared" ca="1" si="285"/>
        <v>0.58412249230131563</v>
      </c>
      <c r="E4959" s="101">
        <f t="shared" ca="1" si="286"/>
        <v>0</v>
      </c>
      <c r="F4959" s="21">
        <f t="shared" ca="1" si="287"/>
        <v>0</v>
      </c>
      <c r="H4959" s="21">
        <v>4944</v>
      </c>
      <c r="I4959" s="102">
        <v>0.66775131992360404</v>
      </c>
      <c r="J4959" s="103">
        <v>1.3048168865764692E-3</v>
      </c>
      <c r="K4959" s="103"/>
      <c r="L4959" s="103">
        <v>4.2200000000000001E-2</v>
      </c>
      <c r="O4959" s="100"/>
    </row>
    <row r="4960" spans="2:15" x14ac:dyDescent="0.2">
      <c r="B4960" s="1">
        <f t="shared" si="284"/>
        <v>4945</v>
      </c>
      <c r="C4960" s="101">
        <f ca="1"/>
        <v>-0.64407716035465978</v>
      </c>
      <c r="D4960" s="101">
        <f t="shared" ca="1" si="285"/>
        <v>0.62359773877050928</v>
      </c>
      <c r="E4960" s="101">
        <f t="shared" ca="1" si="286"/>
        <v>0</v>
      </c>
      <c r="F4960" s="21">
        <f t="shared" ca="1" si="287"/>
        <v>0</v>
      </c>
      <c r="H4960" s="21">
        <v>4945</v>
      </c>
      <c r="I4960" s="102">
        <v>0.66759047791129655</v>
      </c>
      <c r="J4960" s="103">
        <v>1.0948250462518372E-3</v>
      </c>
      <c r="K4960" s="103"/>
      <c r="L4960" s="103">
        <v>3.5400000000000001E-2</v>
      </c>
      <c r="O4960" s="100"/>
    </row>
    <row r="4961" spans="2:15" x14ac:dyDescent="0.2">
      <c r="B4961" s="1">
        <f t="shared" si="284"/>
        <v>4946</v>
      </c>
      <c r="C4961" s="101">
        <f ca="1"/>
        <v>-1.022930527233086</v>
      </c>
      <c r="D4961" s="101">
        <f t="shared" ca="1" si="285"/>
        <v>0.60072359046365431</v>
      </c>
      <c r="E4961" s="101">
        <f t="shared" ca="1" si="286"/>
        <v>0</v>
      </c>
      <c r="F4961" s="21">
        <f t="shared" ca="1" si="287"/>
        <v>0</v>
      </c>
      <c r="H4961" s="21">
        <v>4946</v>
      </c>
      <c r="I4961" s="102">
        <v>0.66784818254787381</v>
      </c>
      <c r="J4961" s="103">
        <v>1.4479062531919588E-3</v>
      </c>
      <c r="K4961" s="103"/>
      <c r="L4961" s="103">
        <v>4.7E-2</v>
      </c>
      <c r="O4961" s="100"/>
    </row>
    <row r="4962" spans="2:15" x14ac:dyDescent="0.2">
      <c r="B4962" s="1">
        <f t="shared" si="284"/>
        <v>4947</v>
      </c>
      <c r="C4962" s="101">
        <f ca="1"/>
        <v>0.40011689823050373</v>
      </c>
      <c r="D4962" s="101">
        <f t="shared" ca="1" si="285"/>
        <v>0.69125321055052003</v>
      </c>
      <c r="E4962" s="101">
        <f t="shared" ca="1" si="286"/>
        <v>0</v>
      </c>
      <c r="F4962" s="21">
        <f t="shared" ca="1" si="287"/>
        <v>0</v>
      </c>
      <c r="H4962" s="21">
        <v>4947</v>
      </c>
      <c r="I4962" s="102">
        <v>0.66769629834337696</v>
      </c>
      <c r="J4962" s="103">
        <v>1.1549283151915187E-3</v>
      </c>
      <c r="K4962" s="103"/>
      <c r="L4962" s="103">
        <v>3.8399999999999997E-2</v>
      </c>
      <c r="O4962" s="100"/>
    </row>
    <row r="4963" spans="2:15" x14ac:dyDescent="0.2">
      <c r="B4963" s="1">
        <f t="shared" si="284"/>
        <v>4948</v>
      </c>
      <c r="C4963" s="101">
        <f ca="1"/>
        <v>0.5121728867104447</v>
      </c>
      <c r="D4963" s="101">
        <f t="shared" ca="1" si="285"/>
        <v>0.69893625858939257</v>
      </c>
      <c r="E4963" s="101">
        <f t="shared" ca="1" si="286"/>
        <v>0</v>
      </c>
      <c r="F4963" s="21">
        <f t="shared" ca="1" si="287"/>
        <v>0</v>
      </c>
      <c r="H4963" s="21">
        <v>4948</v>
      </c>
      <c r="I4963" s="102">
        <v>0.66772612127592179</v>
      </c>
      <c r="J4963" s="103">
        <v>1.3895770317905885E-3</v>
      </c>
      <c r="K4963" s="103"/>
      <c r="L4963" s="103">
        <v>4.1799999999999997E-2</v>
      </c>
      <c r="O4963" s="100"/>
    </row>
    <row r="4964" spans="2:15" x14ac:dyDescent="0.2">
      <c r="B4964" s="1">
        <f t="shared" si="284"/>
        <v>4949</v>
      </c>
      <c r="C4964" s="101">
        <f ca="1"/>
        <v>-1.9458796382852845</v>
      </c>
      <c r="D4964" s="101">
        <f t="shared" ca="1" si="285"/>
        <v>0.54844883230800234</v>
      </c>
      <c r="E4964" s="101">
        <f t="shared" ca="1" si="286"/>
        <v>0</v>
      </c>
      <c r="F4964" s="21">
        <f t="shared" ca="1" si="287"/>
        <v>0</v>
      </c>
      <c r="H4964" s="21">
        <v>4949</v>
      </c>
      <c r="I4964" s="102">
        <v>0.66780119916166902</v>
      </c>
      <c r="J4964" s="103">
        <v>1.4884814212872944E-3</v>
      </c>
      <c r="K4964" s="103"/>
      <c r="L4964" s="103">
        <v>4.1399999999999999E-2</v>
      </c>
      <c r="O4964" s="100"/>
    </row>
    <row r="4965" spans="2:15" x14ac:dyDescent="0.2">
      <c r="B4965" s="1">
        <f t="shared" si="284"/>
        <v>4950</v>
      </c>
      <c r="C4965" s="101">
        <f ca="1"/>
        <v>1.8024322928202088</v>
      </c>
      <c r="D4965" s="101">
        <f t="shared" ca="1" si="285"/>
        <v>0.79380071973816546</v>
      </c>
      <c r="E4965" s="101">
        <f t="shared" ca="1" si="286"/>
        <v>5.6007197381654494E-3</v>
      </c>
      <c r="F4965" s="21">
        <f t="shared" ca="1" si="287"/>
        <v>1</v>
      </c>
      <c r="H4965" s="21">
        <v>4950</v>
      </c>
      <c r="I4965" s="102">
        <v>0.66790053603605315</v>
      </c>
      <c r="J4965" s="103">
        <v>1.649176806739066E-3</v>
      </c>
      <c r="K4965" s="103"/>
      <c r="L4965" s="103">
        <v>4.3200000000000002E-2</v>
      </c>
      <c r="O4965" s="100"/>
    </row>
    <row r="4966" spans="2:15" x14ac:dyDescent="0.2">
      <c r="B4966" s="1">
        <f t="shared" si="284"/>
        <v>4951</v>
      </c>
      <c r="C4966" s="101">
        <f ca="1"/>
        <v>-0.97673995686496029</v>
      </c>
      <c r="D4966" s="101">
        <f t="shared" ca="1" si="285"/>
        <v>0.60346691176791878</v>
      </c>
      <c r="E4966" s="101">
        <f t="shared" ca="1" si="286"/>
        <v>0</v>
      </c>
      <c r="F4966" s="21">
        <f t="shared" ca="1" si="287"/>
        <v>0</v>
      </c>
      <c r="H4966" s="21">
        <v>4951</v>
      </c>
      <c r="I4966" s="102">
        <v>0.66759871796003956</v>
      </c>
      <c r="J4966" s="103">
        <v>1.2619331746895168E-3</v>
      </c>
      <c r="K4966" s="103"/>
      <c r="L4966" s="103">
        <v>3.6600000000000001E-2</v>
      </c>
      <c r="O4966" s="100"/>
    </row>
    <row r="4967" spans="2:15" x14ac:dyDescent="0.2">
      <c r="B4967" s="1">
        <f t="shared" si="284"/>
        <v>4952</v>
      </c>
      <c r="C4967" s="101">
        <f ca="1"/>
        <v>-0.13839342118908579</v>
      </c>
      <c r="D4967" s="101">
        <f t="shared" ca="1" si="285"/>
        <v>0.65549247643270636</v>
      </c>
      <c r="E4967" s="101">
        <f t="shared" ca="1" si="286"/>
        <v>0</v>
      </c>
      <c r="F4967" s="21">
        <f t="shared" ca="1" si="287"/>
        <v>0</v>
      </c>
      <c r="H4967" s="21">
        <v>4952</v>
      </c>
      <c r="I4967" s="102">
        <v>0.6677573495976461</v>
      </c>
      <c r="J4967" s="103">
        <v>1.4879636470555605E-3</v>
      </c>
      <c r="K4967" s="103"/>
      <c r="L4967" s="103">
        <v>4.2799999999999998E-2</v>
      </c>
      <c r="O4967" s="100"/>
    </row>
    <row r="4968" spans="2:15" x14ac:dyDescent="0.2">
      <c r="B4968" s="1">
        <f t="shared" si="284"/>
        <v>4953</v>
      </c>
      <c r="C4968" s="101">
        <f ca="1"/>
        <v>-6.3293198931045347E-2</v>
      </c>
      <c r="D4968" s="101">
        <f t="shared" ca="1" si="285"/>
        <v>0.66036638582191798</v>
      </c>
      <c r="E4968" s="101">
        <f t="shared" ca="1" si="286"/>
        <v>0</v>
      </c>
      <c r="F4968" s="21">
        <f t="shared" ca="1" si="287"/>
        <v>0</v>
      </c>
      <c r="H4968" s="21">
        <v>4953</v>
      </c>
      <c r="I4968" s="102">
        <v>0.66768465125009757</v>
      </c>
      <c r="J4968" s="103">
        <v>1.3295891549669745E-3</v>
      </c>
      <c r="K4968" s="103"/>
      <c r="L4968" s="103">
        <v>3.9800000000000002E-2</v>
      </c>
      <c r="O4968" s="100"/>
    </row>
    <row r="4969" spans="2:15" x14ac:dyDescent="0.2">
      <c r="B4969" s="1">
        <f t="shared" si="284"/>
        <v>4954</v>
      </c>
      <c r="C4969" s="101">
        <f ca="1"/>
        <v>-0.70326629585787592</v>
      </c>
      <c r="D4969" s="101">
        <f t="shared" ca="1" si="285"/>
        <v>0.61996747456897783</v>
      </c>
      <c r="E4969" s="101">
        <f t="shared" ca="1" si="286"/>
        <v>0</v>
      </c>
      <c r="F4969" s="21">
        <f t="shared" ca="1" si="287"/>
        <v>0</v>
      </c>
      <c r="H4969" s="21">
        <v>4954</v>
      </c>
      <c r="I4969" s="102">
        <v>0.66790264453563719</v>
      </c>
      <c r="J4969" s="103">
        <v>1.4696639860089231E-3</v>
      </c>
      <c r="K4969" s="103"/>
      <c r="L4969" s="103">
        <v>4.1599999999999998E-2</v>
      </c>
      <c r="O4969" s="100"/>
    </row>
    <row r="4970" spans="2:15" x14ac:dyDescent="0.2">
      <c r="B4970" s="1">
        <f t="shared" si="284"/>
        <v>4955</v>
      </c>
      <c r="C4970" s="101">
        <f ca="1"/>
        <v>-0.26762051184421254</v>
      </c>
      <c r="D4970" s="101">
        <f t="shared" ca="1" si="285"/>
        <v>0.6471898573201057</v>
      </c>
      <c r="E4970" s="101">
        <f t="shared" ca="1" si="286"/>
        <v>0</v>
      </c>
      <c r="F4970" s="21">
        <f t="shared" ca="1" si="287"/>
        <v>0</v>
      </c>
      <c r="H4970" s="21">
        <v>4955</v>
      </c>
      <c r="I4970" s="102">
        <v>0.66762976774539518</v>
      </c>
      <c r="J4970" s="103">
        <v>1.2708966330242006E-3</v>
      </c>
      <c r="K4970" s="103"/>
      <c r="L4970" s="103">
        <v>3.7999999999999999E-2</v>
      </c>
      <c r="O4970" s="100"/>
    </row>
    <row r="4971" spans="2:15" x14ac:dyDescent="0.2">
      <c r="B4971" s="1">
        <f t="shared" si="284"/>
        <v>4956</v>
      </c>
      <c r="C4971" s="101">
        <f ca="1"/>
        <v>0.21092313366315027</v>
      </c>
      <c r="D4971" s="101">
        <f t="shared" ca="1" si="285"/>
        <v>0.67847244962238462</v>
      </c>
      <c r="E4971" s="101">
        <f t="shared" ca="1" si="286"/>
        <v>0</v>
      </c>
      <c r="F4971" s="21">
        <f t="shared" ca="1" si="287"/>
        <v>0</v>
      </c>
      <c r="H4971" s="21">
        <v>4956</v>
      </c>
      <c r="I4971" s="102">
        <v>0.66772947805811822</v>
      </c>
      <c r="J4971" s="103">
        <v>1.315138181200998E-3</v>
      </c>
      <c r="K4971" s="103"/>
      <c r="L4971" s="103">
        <v>4.2599999999999999E-2</v>
      </c>
      <c r="O4971" s="100"/>
    </row>
    <row r="4972" spans="2:15" x14ac:dyDescent="0.2">
      <c r="B4972" s="1">
        <f t="shared" si="284"/>
        <v>4957</v>
      </c>
      <c r="C4972" s="101">
        <f ca="1"/>
        <v>-3.2852149136460541E-2</v>
      </c>
      <c r="D4972" s="101">
        <f t="shared" ca="1" si="285"/>
        <v>0.66235227809394337</v>
      </c>
      <c r="E4972" s="101">
        <f t="shared" ca="1" si="286"/>
        <v>0</v>
      </c>
      <c r="F4972" s="21">
        <f t="shared" ca="1" si="287"/>
        <v>0</v>
      </c>
      <c r="H4972" s="21">
        <v>4957</v>
      </c>
      <c r="I4972" s="102">
        <v>0.66775549028578818</v>
      </c>
      <c r="J4972" s="103">
        <v>1.3320376020311629E-3</v>
      </c>
      <c r="K4972" s="103"/>
      <c r="L4972" s="103">
        <v>4.02E-2</v>
      </c>
      <c r="O4972" s="100"/>
    </row>
    <row r="4973" spans="2:15" x14ac:dyDescent="0.2">
      <c r="B4973" s="1">
        <f t="shared" si="284"/>
        <v>4958</v>
      </c>
      <c r="C4973" s="101">
        <f ca="1"/>
        <v>1.1349950248219989</v>
      </c>
      <c r="D4973" s="101">
        <f t="shared" ca="1" si="285"/>
        <v>0.74322256580268709</v>
      </c>
      <c r="E4973" s="101">
        <f t="shared" ca="1" si="286"/>
        <v>0</v>
      </c>
      <c r="F4973" s="21">
        <f t="shared" ca="1" si="287"/>
        <v>0</v>
      </c>
      <c r="H4973" s="21">
        <v>4958</v>
      </c>
      <c r="I4973" s="102">
        <v>0.66786245579143833</v>
      </c>
      <c r="J4973" s="103">
        <v>1.5053560785213917E-3</v>
      </c>
      <c r="K4973" s="103"/>
      <c r="L4973" s="103">
        <v>4.4600000000000001E-2</v>
      </c>
      <c r="O4973" s="100"/>
    </row>
    <row r="4974" spans="2:15" x14ac:dyDescent="0.2">
      <c r="B4974" s="1">
        <f t="shared" si="284"/>
        <v>4959</v>
      </c>
      <c r="C4974" s="101">
        <f ca="1"/>
        <v>0.40082473529885965</v>
      </c>
      <c r="D4974" s="101">
        <f t="shared" ca="1" si="285"/>
        <v>0.6913014769081034</v>
      </c>
      <c r="E4974" s="101">
        <f t="shared" ca="1" si="286"/>
        <v>0</v>
      </c>
      <c r="F4974" s="21">
        <f t="shared" ca="1" si="287"/>
        <v>0</v>
      </c>
      <c r="H4974" s="21">
        <v>4959</v>
      </c>
      <c r="I4974" s="102">
        <v>0.66779414848264684</v>
      </c>
      <c r="J4974" s="103">
        <v>1.4843695248522211E-3</v>
      </c>
      <c r="K4974" s="103"/>
      <c r="L4974" s="103">
        <v>4.5199999999999997E-2</v>
      </c>
      <c r="O4974" s="100"/>
    </row>
    <row r="4975" spans="2:15" x14ac:dyDescent="0.2">
      <c r="B4975" s="1">
        <f t="shared" si="284"/>
        <v>4960</v>
      </c>
      <c r="C4975" s="101">
        <f ca="1"/>
        <v>1.2634672591481519</v>
      </c>
      <c r="D4975" s="101">
        <f t="shared" ca="1" si="285"/>
        <v>0.75270111365408099</v>
      </c>
      <c r="E4975" s="101">
        <f t="shared" ca="1" si="286"/>
        <v>0</v>
      </c>
      <c r="F4975" s="21">
        <f t="shared" ca="1" si="287"/>
        <v>0</v>
      </c>
      <c r="H4975" s="21">
        <v>4960</v>
      </c>
      <c r="I4975" s="102">
        <v>0.6677499798038421</v>
      </c>
      <c r="J4975" s="103">
        <v>1.3388330196948321E-3</v>
      </c>
      <c r="K4975" s="103"/>
      <c r="L4975" s="103">
        <v>4.4400000000000002E-2</v>
      </c>
      <c r="O4975" s="100"/>
    </row>
    <row r="4976" spans="2:15" x14ac:dyDescent="0.2">
      <c r="B4976" s="1">
        <f t="shared" ref="B4976:B5015" si="288">B4975+1</f>
        <v>4961</v>
      </c>
      <c r="C4976" s="101">
        <f ca="1"/>
        <v>-0.68343990777077268</v>
      </c>
      <c r="D4976" s="101">
        <f t="shared" ca="1" si="285"/>
        <v>0.62118113209562953</v>
      </c>
      <c r="E4976" s="101">
        <f t="shared" ca="1" si="286"/>
        <v>0</v>
      </c>
      <c r="F4976" s="21">
        <f t="shared" ca="1" si="287"/>
        <v>0</v>
      </c>
      <c r="H4976" s="21">
        <v>4961</v>
      </c>
      <c r="I4976" s="102">
        <v>0.66772228373600673</v>
      </c>
      <c r="J4976" s="103">
        <v>1.3503329256414507E-3</v>
      </c>
      <c r="K4976" s="103"/>
      <c r="L4976" s="103">
        <v>4.3799999999999999E-2</v>
      </c>
      <c r="O4976" s="100"/>
    </row>
    <row r="4977" spans="2:15" x14ac:dyDescent="0.2">
      <c r="B4977" s="1">
        <f t="shared" si="288"/>
        <v>4962</v>
      </c>
      <c r="C4977" s="101">
        <f ca="1"/>
        <v>0.34433468537961232</v>
      </c>
      <c r="D4977" s="101">
        <f t="shared" ca="1" si="285"/>
        <v>0.68746008244280021</v>
      </c>
      <c r="E4977" s="101">
        <f t="shared" ca="1" si="286"/>
        <v>0</v>
      </c>
      <c r="F4977" s="21">
        <f t="shared" ca="1" si="287"/>
        <v>0</v>
      </c>
      <c r="H4977" s="21">
        <v>4962</v>
      </c>
      <c r="I4977" s="102">
        <v>0.66771804627125619</v>
      </c>
      <c r="J4977" s="103">
        <v>1.4059807614355672E-3</v>
      </c>
      <c r="K4977" s="103"/>
      <c r="L4977" s="103">
        <v>3.9600000000000003E-2</v>
      </c>
      <c r="O4977" s="100"/>
    </row>
    <row r="4978" spans="2:15" x14ac:dyDescent="0.2">
      <c r="B4978" s="1">
        <f t="shared" si="288"/>
        <v>4963</v>
      </c>
      <c r="C4978" s="101">
        <f ca="1"/>
        <v>4.2160302598164166E-3</v>
      </c>
      <c r="D4978" s="101">
        <f t="shared" ca="1" si="285"/>
        <v>0.66477857208201974</v>
      </c>
      <c r="E4978" s="101">
        <f t="shared" ca="1" si="286"/>
        <v>0</v>
      </c>
      <c r="F4978" s="21">
        <f t="shared" ca="1" si="287"/>
        <v>0</v>
      </c>
      <c r="H4978" s="21">
        <v>4963</v>
      </c>
      <c r="I4978" s="102">
        <v>0.66765987395768867</v>
      </c>
      <c r="J4978" s="103">
        <v>1.3409839062465598E-3</v>
      </c>
      <c r="K4978" s="103"/>
      <c r="L4978" s="103">
        <v>4.0399999999999998E-2</v>
      </c>
      <c r="O4978" s="100"/>
    </row>
    <row r="4979" spans="2:15" x14ac:dyDescent="0.2">
      <c r="B4979" s="1">
        <f t="shared" si="288"/>
        <v>4964</v>
      </c>
      <c r="C4979" s="101">
        <f ca="1"/>
        <v>-1.5588100227145618</v>
      </c>
      <c r="D4979" s="101">
        <f t="shared" ca="1" si="285"/>
        <v>0.56979408935765097</v>
      </c>
      <c r="E4979" s="101">
        <f t="shared" ca="1" si="286"/>
        <v>0</v>
      </c>
      <c r="F4979" s="21">
        <f t="shared" ca="1" si="287"/>
        <v>0</v>
      </c>
      <c r="H4979" s="21">
        <v>4964</v>
      </c>
      <c r="I4979" s="102">
        <v>0.66764418377859169</v>
      </c>
      <c r="J4979" s="103">
        <v>1.2305243726060831E-3</v>
      </c>
      <c r="K4979" s="103"/>
      <c r="L4979" s="103">
        <v>0.04</v>
      </c>
      <c r="O4979" s="100"/>
    </row>
    <row r="4980" spans="2:15" x14ac:dyDescent="0.2">
      <c r="B4980" s="1">
        <f t="shared" si="288"/>
        <v>4965</v>
      </c>
      <c r="C4980" s="101">
        <f ca="1"/>
        <v>2.2075366458944914</v>
      </c>
      <c r="D4980" s="101">
        <f t="shared" ca="1" si="285"/>
        <v>0.8261633196381265</v>
      </c>
      <c r="E4980" s="101">
        <f t="shared" ca="1" si="286"/>
        <v>3.7963319638126491E-2</v>
      </c>
      <c r="F4980" s="21">
        <f t="shared" ca="1" si="287"/>
        <v>1</v>
      </c>
      <c r="H4980" s="21">
        <v>4965</v>
      </c>
      <c r="I4980" s="102">
        <v>0.66766595301802056</v>
      </c>
      <c r="J4980" s="103">
        <v>1.419081070394898E-3</v>
      </c>
      <c r="K4980" s="103"/>
      <c r="L4980" s="103">
        <v>4.2200000000000001E-2</v>
      </c>
      <c r="O4980" s="100"/>
    </row>
    <row r="4981" spans="2:15" x14ac:dyDescent="0.2">
      <c r="B4981" s="1">
        <f t="shared" si="288"/>
        <v>4966</v>
      </c>
      <c r="C4981" s="101">
        <f ca="1"/>
        <v>-1.1679040806053766</v>
      </c>
      <c r="D4981" s="101">
        <f t="shared" ca="1" si="285"/>
        <v>0.59219414526399117</v>
      </c>
      <c r="E4981" s="101">
        <f t="shared" ca="1" si="286"/>
        <v>0</v>
      </c>
      <c r="F4981" s="21">
        <f t="shared" ca="1" si="287"/>
        <v>0</v>
      </c>
      <c r="H4981" s="21">
        <v>4966</v>
      </c>
      <c r="I4981" s="102">
        <v>0.66787059560122219</v>
      </c>
      <c r="J4981" s="103">
        <v>1.6060820894800809E-3</v>
      </c>
      <c r="K4981" s="103"/>
      <c r="L4981" s="103">
        <v>4.7E-2</v>
      </c>
      <c r="O4981" s="100"/>
    </row>
    <row r="4982" spans="2:15" x14ac:dyDescent="0.2">
      <c r="B4982" s="1">
        <f t="shared" si="288"/>
        <v>4967</v>
      </c>
      <c r="C4982" s="101">
        <f ca="1"/>
        <v>1.8761863846898552</v>
      </c>
      <c r="D4982" s="101">
        <f t="shared" ca="1" si="285"/>
        <v>0.79959683824763594</v>
      </c>
      <c r="E4982" s="101">
        <f t="shared" ca="1" si="286"/>
        <v>1.1396838247635932E-2</v>
      </c>
      <c r="F4982" s="21">
        <f t="shared" ca="1" si="287"/>
        <v>1</v>
      </c>
      <c r="H4982" s="21">
        <v>4967</v>
      </c>
      <c r="I4982" s="102">
        <v>0.66777965285761709</v>
      </c>
      <c r="J4982" s="103">
        <v>1.5128658555362902E-3</v>
      </c>
      <c r="K4982" s="103"/>
      <c r="L4982" s="103">
        <v>4.82E-2</v>
      </c>
      <c r="O4982" s="100"/>
    </row>
    <row r="4983" spans="2:15" x14ac:dyDescent="0.2">
      <c r="B4983" s="1">
        <f t="shared" si="288"/>
        <v>4968</v>
      </c>
      <c r="C4983" s="101">
        <f ca="1"/>
        <v>2.6537439477731399</v>
      </c>
      <c r="D4983" s="101">
        <f t="shared" ca="1" si="285"/>
        <v>0.86333859217816</v>
      </c>
      <c r="E4983" s="101">
        <f t="shared" ca="1" si="286"/>
        <v>7.5138592178159991E-2</v>
      </c>
      <c r="F4983" s="21">
        <f t="shared" ca="1" si="287"/>
        <v>1</v>
      </c>
      <c r="H4983" s="21">
        <v>4968</v>
      </c>
      <c r="I4983" s="102">
        <v>0.66762913409701086</v>
      </c>
      <c r="J4983" s="103">
        <v>1.1309768602523809E-3</v>
      </c>
      <c r="K4983" s="103"/>
      <c r="L4983" s="103">
        <v>3.9800000000000002E-2</v>
      </c>
      <c r="O4983" s="100"/>
    </row>
    <row r="4984" spans="2:15" x14ac:dyDescent="0.2">
      <c r="B4984" s="1">
        <f t="shared" si="288"/>
        <v>4969</v>
      </c>
      <c r="C4984" s="101">
        <f ca="1"/>
        <v>1.9347101760243961</v>
      </c>
      <c r="D4984" s="101">
        <f t="shared" ca="1" si="285"/>
        <v>0.80422615168534428</v>
      </c>
      <c r="E4984" s="101">
        <f t="shared" ca="1" si="286"/>
        <v>1.602615168534427E-2</v>
      </c>
      <c r="F4984" s="21">
        <f t="shared" ca="1" si="287"/>
        <v>1</v>
      </c>
      <c r="H4984" s="21">
        <v>4969</v>
      </c>
      <c r="I4984" s="102">
        <v>0.66767400784755837</v>
      </c>
      <c r="J4984" s="103">
        <v>1.1917363023885566E-3</v>
      </c>
      <c r="K4984" s="103"/>
      <c r="L4984" s="103">
        <v>3.5999999999999997E-2</v>
      </c>
      <c r="O4984" s="100"/>
    </row>
    <row r="4985" spans="2:15" x14ac:dyDescent="0.2">
      <c r="B4985" s="1">
        <f t="shared" si="288"/>
        <v>4970</v>
      </c>
      <c r="C4985" s="101">
        <f ca="1"/>
        <v>-1.1454433126968844</v>
      </c>
      <c r="D4985" s="101">
        <f t="shared" ca="1" si="285"/>
        <v>0.59350764140700674</v>
      </c>
      <c r="E4985" s="101">
        <f t="shared" ca="1" si="286"/>
        <v>0</v>
      </c>
      <c r="F4985" s="21">
        <f t="shared" ca="1" si="287"/>
        <v>0</v>
      </c>
      <c r="H4985" s="21">
        <v>4970</v>
      </c>
      <c r="I4985" s="102">
        <v>0.6677289570356294</v>
      </c>
      <c r="J4985" s="103">
        <v>1.2792553446846168E-3</v>
      </c>
      <c r="K4985" s="103"/>
      <c r="L4985" s="103">
        <v>4.0800000000000003E-2</v>
      </c>
      <c r="O4985" s="100"/>
    </row>
    <row r="4986" spans="2:15" x14ac:dyDescent="0.2">
      <c r="B4986" s="1">
        <f t="shared" si="288"/>
        <v>4971</v>
      </c>
      <c r="C4986" s="101">
        <f ca="1"/>
        <v>0.18900237933351818</v>
      </c>
      <c r="D4986" s="101">
        <f t="shared" ca="1" si="285"/>
        <v>0.6770069788489711</v>
      </c>
      <c r="E4986" s="101">
        <f t="shared" ca="1" si="286"/>
        <v>0</v>
      </c>
      <c r="F4986" s="21">
        <f t="shared" ca="1" si="287"/>
        <v>0</v>
      </c>
      <c r="H4986" s="21">
        <v>4971</v>
      </c>
      <c r="I4986" s="102">
        <v>0.66768830794712264</v>
      </c>
      <c r="J4986" s="103">
        <v>1.4186795715895209E-3</v>
      </c>
      <c r="K4986" s="103"/>
      <c r="L4986" s="103">
        <v>4.1399999999999999E-2</v>
      </c>
      <c r="O4986" s="100"/>
    </row>
    <row r="4987" spans="2:15" x14ac:dyDescent="0.2">
      <c r="B4987" s="1">
        <f t="shared" si="288"/>
        <v>4972</v>
      </c>
      <c r="C4987" s="101">
        <f ca="1"/>
        <v>0.21306665275029923</v>
      </c>
      <c r="D4987" s="101">
        <f t="shared" ca="1" si="285"/>
        <v>0.6786159207088972</v>
      </c>
      <c r="E4987" s="101">
        <f t="shared" ca="1" si="286"/>
        <v>0</v>
      </c>
      <c r="F4987" s="21">
        <f t="shared" ca="1" si="287"/>
        <v>0</v>
      </c>
      <c r="H4987" s="21">
        <v>4972</v>
      </c>
      <c r="I4987" s="102">
        <v>0.66769784011605238</v>
      </c>
      <c r="J4987" s="103">
        <v>1.3357317618522175E-3</v>
      </c>
      <c r="K4987" s="103"/>
      <c r="L4987" s="103">
        <v>3.9600000000000003E-2</v>
      </c>
      <c r="O4987" s="100"/>
    </row>
    <row r="4988" spans="2:15" x14ac:dyDescent="0.2">
      <c r="B4988" s="1">
        <f t="shared" si="288"/>
        <v>4973</v>
      </c>
      <c r="C4988" s="101">
        <f ca="1"/>
        <v>-0.75868499042149651</v>
      </c>
      <c r="D4988" s="101">
        <f t="shared" ca="1" si="285"/>
        <v>0.61658762331860095</v>
      </c>
      <c r="E4988" s="101">
        <f t="shared" ca="1" si="286"/>
        <v>0</v>
      </c>
      <c r="F4988" s="21">
        <f t="shared" ca="1" si="287"/>
        <v>0</v>
      </c>
      <c r="H4988" s="21">
        <v>4973</v>
      </c>
      <c r="I4988" s="102">
        <v>0.66798656820552793</v>
      </c>
      <c r="J4988" s="103">
        <v>1.5436819017958169E-3</v>
      </c>
      <c r="K4988" s="103"/>
      <c r="L4988" s="103">
        <v>4.8000000000000001E-2</v>
      </c>
      <c r="O4988" s="100"/>
    </row>
    <row r="4989" spans="2:15" x14ac:dyDescent="0.2">
      <c r="B4989" s="1">
        <f t="shared" si="288"/>
        <v>4974</v>
      </c>
      <c r="C4989" s="101">
        <f ca="1"/>
        <v>0.19118951614510585</v>
      </c>
      <c r="D4989" s="101">
        <f t="shared" ca="1" si="285"/>
        <v>0.67715305349584998</v>
      </c>
      <c r="E4989" s="101">
        <f t="shared" ca="1" si="286"/>
        <v>0</v>
      </c>
      <c r="F4989" s="21">
        <f t="shared" ca="1" si="287"/>
        <v>0</v>
      </c>
      <c r="H4989" s="21">
        <v>4974</v>
      </c>
      <c r="I4989" s="102">
        <v>0.66781909354560454</v>
      </c>
      <c r="J4989" s="103">
        <v>1.5371428786604968E-3</v>
      </c>
      <c r="K4989" s="103"/>
      <c r="L4989" s="103">
        <v>4.7600000000000003E-2</v>
      </c>
      <c r="O4989" s="100"/>
    </row>
    <row r="4990" spans="2:15" x14ac:dyDescent="0.2">
      <c r="B4990" s="1">
        <f t="shared" si="288"/>
        <v>4975</v>
      </c>
      <c r="C4990" s="101">
        <f ca="1"/>
        <v>-0.65965899038386999</v>
      </c>
      <c r="D4990" s="101">
        <f t="shared" ca="1" si="285"/>
        <v>0.62263999754950272</v>
      </c>
      <c r="E4990" s="101">
        <f t="shared" ca="1" si="286"/>
        <v>0</v>
      </c>
      <c r="F4990" s="21">
        <f t="shared" ca="1" si="287"/>
        <v>0</v>
      </c>
      <c r="H4990" s="21">
        <v>4975</v>
      </c>
      <c r="I4990" s="102">
        <v>0.66768907974379832</v>
      </c>
      <c r="J4990" s="103">
        <v>1.3544341224293987E-3</v>
      </c>
      <c r="K4990" s="103"/>
      <c r="L4990" s="103">
        <v>4.0800000000000003E-2</v>
      </c>
      <c r="O4990" s="100"/>
    </row>
    <row r="4991" spans="2:15" x14ac:dyDescent="0.2">
      <c r="B4991" s="1">
        <f t="shared" si="288"/>
        <v>4976</v>
      </c>
      <c r="C4991" s="101">
        <f ca="1"/>
        <v>-0.54388346424845235</v>
      </c>
      <c r="D4991" s="101">
        <f t="shared" ca="1" si="285"/>
        <v>0.62979146087543525</v>
      </c>
      <c r="E4991" s="101">
        <f t="shared" ca="1" si="286"/>
        <v>0</v>
      </c>
      <c r="F4991" s="21">
        <f t="shared" ca="1" si="287"/>
        <v>0</v>
      </c>
      <c r="H4991" s="21">
        <v>4976</v>
      </c>
      <c r="I4991" s="102">
        <v>0.66772218712665254</v>
      </c>
      <c r="J4991" s="103">
        <v>1.3149113159115163E-3</v>
      </c>
      <c r="K4991" s="103"/>
      <c r="L4991" s="103">
        <v>4.0399999999999998E-2</v>
      </c>
      <c r="O4991" s="100"/>
    </row>
    <row r="4992" spans="2:15" x14ac:dyDescent="0.2">
      <c r="B4992" s="1">
        <f t="shared" si="288"/>
        <v>4977</v>
      </c>
      <c r="C4992" s="101">
        <f ca="1"/>
        <v>-0.92856620336009088</v>
      </c>
      <c r="D4992" s="101">
        <f t="shared" ca="1" si="285"/>
        <v>0.60634136419232354</v>
      </c>
      <c r="E4992" s="101">
        <f t="shared" ca="1" si="286"/>
        <v>0</v>
      </c>
      <c r="F4992" s="21">
        <f t="shared" ca="1" si="287"/>
        <v>0</v>
      </c>
      <c r="H4992" s="21">
        <v>4977</v>
      </c>
      <c r="I4992" s="102">
        <v>0.66773723985556088</v>
      </c>
      <c r="J4992" s="103">
        <v>1.3843941347064877E-3</v>
      </c>
      <c r="K4992" s="103"/>
      <c r="L4992" s="103">
        <v>4.1399999999999999E-2</v>
      </c>
      <c r="O4992" s="100"/>
    </row>
    <row r="4993" spans="2:15" x14ac:dyDescent="0.2">
      <c r="B4993" s="1">
        <f t="shared" si="288"/>
        <v>4978</v>
      </c>
      <c r="C4993" s="101">
        <f ca="1"/>
        <v>0.17409589694078684</v>
      </c>
      <c r="D4993" s="101">
        <f t="shared" ca="1" si="285"/>
        <v>0.67601224255351966</v>
      </c>
      <c r="E4993" s="101">
        <f t="shared" ca="1" si="286"/>
        <v>0</v>
      </c>
      <c r="F4993" s="21">
        <f t="shared" ca="1" si="287"/>
        <v>0</v>
      </c>
      <c r="H4993" s="21">
        <v>4978</v>
      </c>
      <c r="I4993" s="102">
        <v>0.66773357599309757</v>
      </c>
      <c r="J4993" s="103">
        <v>1.3085766049555456E-3</v>
      </c>
      <c r="K4993" s="103"/>
      <c r="L4993" s="103">
        <v>4.0399999999999998E-2</v>
      </c>
      <c r="O4993" s="100"/>
    </row>
    <row r="4994" spans="2:15" x14ac:dyDescent="0.2">
      <c r="B4994" s="1">
        <f t="shared" si="288"/>
        <v>4979</v>
      </c>
      <c r="C4994" s="101">
        <f ca="1"/>
        <v>0.42798929885579162</v>
      </c>
      <c r="D4994" s="101">
        <f t="shared" ca="1" si="285"/>
        <v>0.69315633677095156</v>
      </c>
      <c r="E4994" s="101">
        <f t="shared" ca="1" si="286"/>
        <v>0</v>
      </c>
      <c r="F4994" s="21">
        <f t="shared" ca="1" si="287"/>
        <v>0</v>
      </c>
      <c r="H4994" s="21">
        <v>4979</v>
      </c>
      <c r="I4994" s="102">
        <v>0.6679274902757385</v>
      </c>
      <c r="J4994" s="103">
        <v>1.5022813404294271E-3</v>
      </c>
      <c r="K4994" s="103"/>
      <c r="L4994" s="103">
        <v>0.05</v>
      </c>
      <c r="O4994" s="100"/>
    </row>
    <row r="4995" spans="2:15" x14ac:dyDescent="0.2">
      <c r="B4995" s="1">
        <f t="shared" si="288"/>
        <v>4980</v>
      </c>
      <c r="C4995" s="101">
        <f ca="1"/>
        <v>0.57496971094529825</v>
      </c>
      <c r="D4995" s="101">
        <f t="shared" ca="1" si="285"/>
        <v>0.70327915965171517</v>
      </c>
      <c r="E4995" s="101">
        <f t="shared" ca="1" si="286"/>
        <v>0</v>
      </c>
      <c r="F4995" s="21">
        <f t="shared" ca="1" si="287"/>
        <v>0</v>
      </c>
      <c r="H4995" s="21">
        <v>4980</v>
      </c>
      <c r="I4995" s="102">
        <v>0.66786955227196065</v>
      </c>
      <c r="J4995" s="103">
        <v>1.5795769512718981E-3</v>
      </c>
      <c r="K4995" s="103"/>
      <c r="L4995" s="103">
        <v>4.6199999999999998E-2</v>
      </c>
      <c r="O4995" s="100"/>
    </row>
    <row r="4996" spans="2:15" x14ac:dyDescent="0.2">
      <c r="B4996" s="1">
        <f t="shared" si="288"/>
        <v>4981</v>
      </c>
      <c r="C4996" s="101">
        <f ca="1"/>
        <v>4.1240365388589204E-2</v>
      </c>
      <c r="D4996" s="101">
        <f t="shared" ca="1" si="285"/>
        <v>0.66721086834485688</v>
      </c>
      <c r="E4996" s="101">
        <f t="shared" ca="1" si="286"/>
        <v>0</v>
      </c>
      <c r="F4996" s="21">
        <f t="shared" ca="1" si="287"/>
        <v>0</v>
      </c>
      <c r="H4996" s="21">
        <v>4981</v>
      </c>
      <c r="I4996" s="102">
        <v>0.66771623662166735</v>
      </c>
      <c r="J4996" s="103">
        <v>1.3755971081408581E-3</v>
      </c>
      <c r="K4996" s="103"/>
      <c r="L4996" s="103">
        <v>4.2000000000000003E-2</v>
      </c>
      <c r="O4996" s="100"/>
    </row>
    <row r="4997" spans="2:15" x14ac:dyDescent="0.2">
      <c r="B4997" s="1">
        <f t="shared" si="288"/>
        <v>4982</v>
      </c>
      <c r="C4997" s="101">
        <f ca="1"/>
        <v>-0.91116559561625043</v>
      </c>
      <c r="D4997" s="101">
        <f t="shared" ca="1" si="285"/>
        <v>0.60738299372124893</v>
      </c>
      <c r="E4997" s="101">
        <f t="shared" ca="1" si="286"/>
        <v>0</v>
      </c>
      <c r="F4997" s="21">
        <f t="shared" ca="1" si="287"/>
        <v>0</v>
      </c>
      <c r="H4997" s="21">
        <v>4982</v>
      </c>
      <c r="I4997" s="102">
        <v>0.66781023439162746</v>
      </c>
      <c r="J4997" s="103">
        <v>1.3736132744040076E-3</v>
      </c>
      <c r="K4997" s="103"/>
      <c r="L4997" s="103">
        <v>4.1200000000000001E-2</v>
      </c>
      <c r="O4997" s="100"/>
    </row>
    <row r="4998" spans="2:15" x14ac:dyDescent="0.2">
      <c r="B4998" s="1">
        <f t="shared" si="288"/>
        <v>4983</v>
      </c>
      <c r="C4998" s="101">
        <f ca="1"/>
        <v>-0.71434980576458307</v>
      </c>
      <c r="D4998" s="101">
        <f t="shared" ca="1" si="285"/>
        <v>0.61929003940448191</v>
      </c>
      <c r="E4998" s="101">
        <f t="shared" ca="1" si="286"/>
        <v>0</v>
      </c>
      <c r="F4998" s="21">
        <f t="shared" ca="1" si="287"/>
        <v>0</v>
      </c>
      <c r="H4998" s="21">
        <v>4983</v>
      </c>
      <c r="I4998" s="102">
        <v>0.66777330495227938</v>
      </c>
      <c r="J4998" s="103">
        <v>1.3364401285467589E-3</v>
      </c>
      <c r="K4998" s="103"/>
      <c r="L4998" s="103">
        <v>4.5400000000000003E-2</v>
      </c>
      <c r="O4998" s="100"/>
    </row>
    <row r="4999" spans="2:15" x14ac:dyDescent="0.2">
      <c r="B4999" s="1">
        <f t="shared" si="288"/>
        <v>4984</v>
      </c>
      <c r="C4999" s="101">
        <f ca="1"/>
        <v>1.3732981009499723</v>
      </c>
      <c r="D4999" s="101">
        <f t="shared" ca="1" si="285"/>
        <v>0.76090010519291795</v>
      </c>
      <c r="E4999" s="101">
        <f t="shared" ca="1" si="286"/>
        <v>0</v>
      </c>
      <c r="F4999" s="21">
        <f t="shared" ca="1" si="287"/>
        <v>0</v>
      </c>
      <c r="H4999" s="21">
        <v>4984</v>
      </c>
      <c r="I4999" s="102">
        <v>0.66766931964222409</v>
      </c>
      <c r="J4999" s="103">
        <v>1.3382888777104256E-3</v>
      </c>
      <c r="K4999" s="103"/>
      <c r="L4999" s="103">
        <v>3.7600000000000001E-2</v>
      </c>
      <c r="O4999" s="100"/>
    </row>
    <row r="5000" spans="2:15" x14ac:dyDescent="0.2">
      <c r="B5000" s="1">
        <f t="shared" si="288"/>
        <v>4985</v>
      </c>
      <c r="C5000" s="101">
        <f ca="1"/>
        <v>-0.90101793903268401</v>
      </c>
      <c r="D5000" s="101">
        <f t="shared" ca="1" si="285"/>
        <v>0.60799127530458108</v>
      </c>
      <c r="E5000" s="101">
        <f t="shared" ca="1" si="286"/>
        <v>0</v>
      </c>
      <c r="F5000" s="21">
        <f t="shared" ca="1" si="287"/>
        <v>0</v>
      </c>
      <c r="H5000" s="21">
        <v>4985</v>
      </c>
      <c r="I5000" s="102">
        <v>0.66786669990964898</v>
      </c>
      <c r="J5000" s="103">
        <v>1.4877798254363478E-3</v>
      </c>
      <c r="K5000" s="103"/>
      <c r="L5000" s="103">
        <v>4.7E-2</v>
      </c>
      <c r="O5000" s="100"/>
    </row>
    <row r="5001" spans="2:15" x14ac:dyDescent="0.2">
      <c r="B5001" s="1">
        <f t="shared" si="288"/>
        <v>4986</v>
      </c>
      <c r="C5001" s="101">
        <f ca="1"/>
        <v>1.5775150585259541</v>
      </c>
      <c r="D5001" s="101">
        <f t="shared" ca="1" si="285"/>
        <v>0.77638327774681559</v>
      </c>
      <c r="E5001" s="101">
        <f t="shared" ca="1" si="286"/>
        <v>0</v>
      </c>
      <c r="F5001" s="21">
        <f t="shared" ca="1" si="287"/>
        <v>0</v>
      </c>
      <c r="H5001" s="21">
        <v>4986</v>
      </c>
      <c r="I5001" s="102">
        <v>0.66779258089952187</v>
      </c>
      <c r="J5001" s="103">
        <v>1.4086793766811168E-3</v>
      </c>
      <c r="K5001" s="103"/>
      <c r="L5001" s="103">
        <v>4.1000000000000002E-2</v>
      </c>
      <c r="O5001" s="100"/>
    </row>
    <row r="5002" spans="2:15" x14ac:dyDescent="0.2">
      <c r="B5002" s="1">
        <f t="shared" si="288"/>
        <v>4987</v>
      </c>
      <c r="C5002" s="101">
        <f ca="1"/>
        <v>-2.4472638929720754</v>
      </c>
      <c r="D5002" s="101">
        <f t="shared" ca="1" si="285"/>
        <v>0.5219839191478679</v>
      </c>
      <c r="E5002" s="101">
        <f t="shared" ca="1" si="286"/>
        <v>0</v>
      </c>
      <c r="F5002" s="21">
        <f t="shared" ca="1" si="287"/>
        <v>0</v>
      </c>
      <c r="H5002" s="21">
        <v>4987</v>
      </c>
      <c r="I5002" s="102">
        <v>0.66763255686026901</v>
      </c>
      <c r="J5002" s="103">
        <v>1.1692410083664609E-3</v>
      </c>
      <c r="K5002" s="103"/>
      <c r="L5002" s="103">
        <v>3.9E-2</v>
      </c>
      <c r="O5002" s="100"/>
    </row>
    <row r="5003" spans="2:15" x14ac:dyDescent="0.2">
      <c r="B5003" s="1">
        <f t="shared" si="288"/>
        <v>4988</v>
      </c>
      <c r="C5003" s="101">
        <f ca="1"/>
        <v>-0.2470648665616326</v>
      </c>
      <c r="D5003" s="101">
        <f t="shared" ca="1" si="285"/>
        <v>0.64850345413819566</v>
      </c>
      <c r="E5003" s="101">
        <f t="shared" ca="1" si="286"/>
        <v>0</v>
      </c>
      <c r="F5003" s="21">
        <f t="shared" ca="1" si="287"/>
        <v>0</v>
      </c>
      <c r="H5003" s="21">
        <v>4988</v>
      </c>
      <c r="I5003" s="102">
        <v>0.66771772980061728</v>
      </c>
      <c r="J5003" s="103">
        <v>1.4755199009843308E-3</v>
      </c>
      <c r="K5003" s="103"/>
      <c r="L5003" s="103">
        <v>4.24E-2</v>
      </c>
      <c r="O5003" s="100"/>
    </row>
    <row r="5004" spans="2:15" x14ac:dyDescent="0.2">
      <c r="B5004" s="1">
        <f t="shared" si="288"/>
        <v>4989</v>
      </c>
      <c r="C5004" s="101">
        <f ca="1"/>
        <v>1.1643021332408918</v>
      </c>
      <c r="D5004" s="101">
        <f t="shared" ca="1" si="285"/>
        <v>0.74537425063955765</v>
      </c>
      <c r="E5004" s="101">
        <f t="shared" ca="1" si="286"/>
        <v>0</v>
      </c>
      <c r="F5004" s="21">
        <f t="shared" ca="1" si="287"/>
        <v>0</v>
      </c>
      <c r="H5004" s="21">
        <v>4989</v>
      </c>
      <c r="I5004" s="102">
        <v>0.66777187728362875</v>
      </c>
      <c r="J5004" s="103">
        <v>1.3882417292466077E-3</v>
      </c>
      <c r="K5004" s="103"/>
      <c r="L5004" s="103">
        <v>4.2599999999999999E-2</v>
      </c>
      <c r="O5004" s="100"/>
    </row>
    <row r="5005" spans="2:15" x14ac:dyDescent="0.2">
      <c r="B5005" s="1">
        <f t="shared" si="288"/>
        <v>4990</v>
      </c>
      <c r="C5005" s="101">
        <f ca="1"/>
        <v>-0.41416483741834098</v>
      </c>
      <c r="D5005" s="101">
        <f t="shared" ca="1" si="285"/>
        <v>0.63790180920430195</v>
      </c>
      <c r="E5005" s="101">
        <f t="shared" ca="1" si="286"/>
        <v>0</v>
      </c>
      <c r="F5005" s="21">
        <f t="shared" ca="1" si="287"/>
        <v>0</v>
      </c>
      <c r="H5005" s="21">
        <v>4990</v>
      </c>
      <c r="I5005" s="102">
        <v>0.66769720333861271</v>
      </c>
      <c r="J5005" s="103">
        <v>1.2942040092615275E-3</v>
      </c>
      <c r="K5005" s="103"/>
      <c r="L5005" s="103">
        <v>4.2799999999999998E-2</v>
      </c>
      <c r="O5005" s="100"/>
    </row>
    <row r="5006" spans="2:15" x14ac:dyDescent="0.2">
      <c r="B5006" s="1">
        <f t="shared" si="288"/>
        <v>4991</v>
      </c>
      <c r="C5006" s="101">
        <f ca="1"/>
        <v>-1.7082419356412748</v>
      </c>
      <c r="D5006" s="101">
        <f t="shared" ca="1" si="285"/>
        <v>0.56145682940754482</v>
      </c>
      <c r="E5006" s="101">
        <f t="shared" ca="1" si="286"/>
        <v>0</v>
      </c>
      <c r="F5006" s="21">
        <f t="shared" ca="1" si="287"/>
        <v>0</v>
      </c>
      <c r="H5006" s="21">
        <v>4991</v>
      </c>
      <c r="I5006" s="102">
        <v>0.66782222100849997</v>
      </c>
      <c r="J5006" s="103">
        <v>1.4592287064767034E-3</v>
      </c>
      <c r="K5006" s="103"/>
      <c r="L5006" s="103">
        <v>4.1599999999999998E-2</v>
      </c>
      <c r="O5006" s="100"/>
    </row>
    <row r="5007" spans="2:15" x14ac:dyDescent="0.2">
      <c r="B5007" s="1">
        <f t="shared" si="288"/>
        <v>4992</v>
      </c>
      <c r="C5007" s="101">
        <f ca="1"/>
        <v>0.48737387923731329</v>
      </c>
      <c r="D5007" s="101">
        <f t="shared" ca="1" si="285"/>
        <v>0.69722860532686559</v>
      </c>
      <c r="E5007" s="101">
        <f t="shared" ca="1" si="286"/>
        <v>0</v>
      </c>
      <c r="F5007" s="21">
        <f t="shared" ca="1" si="287"/>
        <v>0</v>
      </c>
      <c r="H5007" s="21">
        <v>4992</v>
      </c>
      <c r="I5007" s="102">
        <v>0.66778282325021032</v>
      </c>
      <c r="J5007" s="103">
        <v>1.4063764954839928E-3</v>
      </c>
      <c r="K5007" s="103"/>
      <c r="L5007" s="103">
        <v>4.24E-2</v>
      </c>
      <c r="O5007" s="100"/>
    </row>
    <row r="5008" spans="2:15" x14ac:dyDescent="0.2">
      <c r="B5008" s="1">
        <f t="shared" si="288"/>
        <v>4993</v>
      </c>
      <c r="C5008" s="101">
        <f ca="1"/>
        <v>0.46072030734074032</v>
      </c>
      <c r="D5008" s="101">
        <f t="shared" ref="D5008:D5015" ca="1" si="289">S0*EXP((μ-0.5*σ*σ)*T+σ*SQRT(T)*$C5008)</f>
        <v>0.69539789880360392</v>
      </c>
      <c r="E5008" s="101">
        <f t="shared" ref="E5008:E5015" ca="1" si="290">MAX(0,CP*(D5008-K))</f>
        <v>0</v>
      </c>
      <c r="F5008" s="21">
        <f t="shared" ref="F5008:F5015" ca="1" si="291">(CP*(D5008-K)&gt;0)*1</f>
        <v>0</v>
      </c>
      <c r="H5008" s="21">
        <v>4993</v>
      </c>
      <c r="I5008" s="102">
        <v>0.66773028475575424</v>
      </c>
      <c r="J5008" s="103">
        <v>1.3976388833137068E-3</v>
      </c>
      <c r="K5008" s="103"/>
      <c r="L5008" s="103">
        <v>4.02E-2</v>
      </c>
      <c r="O5008" s="100"/>
    </row>
    <row r="5009" spans="2:15" x14ac:dyDescent="0.2">
      <c r="B5009" s="1">
        <f t="shared" si="288"/>
        <v>4994</v>
      </c>
      <c r="C5009" s="101">
        <f ca="1"/>
        <v>0.15410145971944414</v>
      </c>
      <c r="D5009" s="101">
        <f t="shared" ca="1" si="289"/>
        <v>0.67468027255726115</v>
      </c>
      <c r="E5009" s="101">
        <f t="shared" ca="1" si="290"/>
        <v>0</v>
      </c>
      <c r="F5009" s="21">
        <f t="shared" ca="1" si="291"/>
        <v>0</v>
      </c>
      <c r="H5009" s="21">
        <v>4994</v>
      </c>
      <c r="I5009" s="102">
        <v>0.66786714593881547</v>
      </c>
      <c r="J5009" s="103">
        <v>1.5143364288895639E-3</v>
      </c>
      <c r="K5009" s="103"/>
      <c r="L5009" s="103">
        <v>4.2999999999999997E-2</v>
      </c>
      <c r="O5009" s="100"/>
    </row>
    <row r="5010" spans="2:15" x14ac:dyDescent="0.2">
      <c r="B5010" s="1">
        <f t="shared" si="288"/>
        <v>4995</v>
      </c>
      <c r="C5010" s="101">
        <f ca="1"/>
        <v>-0.97166239733385973</v>
      </c>
      <c r="D5010" s="101">
        <f t="shared" ca="1" si="289"/>
        <v>0.6037692382228067</v>
      </c>
      <c r="E5010" s="101">
        <f t="shared" ca="1" si="290"/>
        <v>0</v>
      </c>
      <c r="F5010" s="21">
        <f t="shared" ca="1" si="291"/>
        <v>0</v>
      </c>
      <c r="H5010" s="21">
        <v>4995</v>
      </c>
      <c r="I5010" s="102">
        <v>0.66774748619769875</v>
      </c>
      <c r="J5010" s="103">
        <v>1.3195569704529308E-3</v>
      </c>
      <c r="K5010" s="103"/>
      <c r="L5010" s="103">
        <v>4.2200000000000001E-2</v>
      </c>
      <c r="O5010" s="100"/>
    </row>
    <row r="5011" spans="2:15" x14ac:dyDescent="0.2">
      <c r="B5011" s="1">
        <f t="shared" si="288"/>
        <v>4996</v>
      </c>
      <c r="C5011" s="101">
        <f ca="1"/>
        <v>0.63942452984643039</v>
      </c>
      <c r="D5011" s="101">
        <f t="shared" ca="1" si="289"/>
        <v>0.7077647889021933</v>
      </c>
      <c r="E5011" s="101">
        <f t="shared" ca="1" si="290"/>
        <v>0</v>
      </c>
      <c r="F5011" s="21">
        <f t="shared" ca="1" si="291"/>
        <v>0</v>
      </c>
      <c r="H5011" s="21">
        <v>4996</v>
      </c>
      <c r="I5011" s="102">
        <v>0.66774936283889808</v>
      </c>
      <c r="J5011" s="103">
        <v>1.3646118872898388E-3</v>
      </c>
      <c r="K5011" s="103"/>
      <c r="L5011" s="103">
        <v>3.9800000000000002E-2</v>
      </c>
      <c r="O5011" s="100"/>
    </row>
    <row r="5012" spans="2:15" x14ac:dyDescent="0.2">
      <c r="B5012" s="1">
        <f t="shared" si="288"/>
        <v>4997</v>
      </c>
      <c r="C5012" s="101">
        <f ca="1"/>
        <v>0.23137453558757695</v>
      </c>
      <c r="D5012" s="101">
        <f t="shared" ca="1" si="289"/>
        <v>0.67984254984868242</v>
      </c>
      <c r="E5012" s="101">
        <f t="shared" ca="1" si="290"/>
        <v>0</v>
      </c>
      <c r="F5012" s="21">
        <f t="shared" ca="1" si="291"/>
        <v>0</v>
      </c>
      <c r="H5012" s="21">
        <v>4997</v>
      </c>
      <c r="I5012" s="102">
        <v>0.66759329897862918</v>
      </c>
      <c r="J5012" s="103">
        <v>1.1724996728924067E-3</v>
      </c>
      <c r="K5012" s="103"/>
      <c r="L5012" s="103">
        <v>3.9800000000000002E-2</v>
      </c>
      <c r="O5012" s="100"/>
    </row>
    <row r="5013" spans="2:15" x14ac:dyDescent="0.2">
      <c r="B5013" s="1">
        <f t="shared" si="288"/>
        <v>4998</v>
      </c>
      <c r="C5013" s="101">
        <f ca="1"/>
        <v>-0.86784058125770513</v>
      </c>
      <c r="D5013" s="101">
        <f t="shared" ca="1" si="289"/>
        <v>0.60998428259125659</v>
      </c>
      <c r="E5013" s="101">
        <f t="shared" ca="1" si="290"/>
        <v>0</v>
      </c>
      <c r="F5013" s="21">
        <f t="shared" ca="1" si="291"/>
        <v>0</v>
      </c>
      <c r="H5013" s="21">
        <v>4998</v>
      </c>
      <c r="I5013" s="102">
        <v>0.66782005223356655</v>
      </c>
      <c r="J5013" s="103">
        <v>1.4630509961063535E-3</v>
      </c>
      <c r="K5013" s="103"/>
      <c r="L5013" s="103">
        <v>4.24E-2</v>
      </c>
      <c r="O5013" s="100"/>
    </row>
    <row r="5014" spans="2:15" x14ac:dyDescent="0.2">
      <c r="B5014" s="1">
        <f t="shared" si="288"/>
        <v>4999</v>
      </c>
      <c r="C5014" s="101">
        <f ca="1"/>
        <v>0.28854919707469595</v>
      </c>
      <c r="D5014" s="101">
        <f t="shared" ca="1" si="289"/>
        <v>0.6836875475496228</v>
      </c>
      <c r="E5014" s="101">
        <f t="shared" ca="1" si="290"/>
        <v>0</v>
      </c>
      <c r="F5014" s="21">
        <f t="shared" ca="1" si="291"/>
        <v>0</v>
      </c>
      <c r="H5014" s="21">
        <v>4999</v>
      </c>
      <c r="I5014" s="102">
        <v>0.66775355860212571</v>
      </c>
      <c r="J5014" s="103">
        <v>1.367065907133613E-3</v>
      </c>
      <c r="K5014" s="103"/>
      <c r="L5014" s="103">
        <v>4.2999999999999997E-2</v>
      </c>
      <c r="O5014" s="100"/>
    </row>
    <row r="5015" spans="2:15" x14ac:dyDescent="0.2">
      <c r="B5015" s="1">
        <f t="shared" si="288"/>
        <v>5000</v>
      </c>
      <c r="C5015" s="101">
        <f ca="1"/>
        <v>1.3512828768871885</v>
      </c>
      <c r="D5015" s="101">
        <f t="shared" ca="1" si="289"/>
        <v>0.75924951910337712</v>
      </c>
      <c r="E5015" s="101">
        <f t="shared" ca="1" si="290"/>
        <v>0</v>
      </c>
      <c r="F5015" s="21">
        <f t="shared" ca="1" si="291"/>
        <v>0</v>
      </c>
      <c r="H5015" s="21">
        <v>5000</v>
      </c>
      <c r="I5015" s="102">
        <v>0.66776633669506147</v>
      </c>
      <c r="J5015" s="103">
        <v>1.3642397370456766E-3</v>
      </c>
      <c r="K5015" s="103"/>
      <c r="L5015" s="103">
        <v>4.0599999999999997E-2</v>
      </c>
      <c r="O5015" s="100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K10 L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workbookViewId="0">
      <selection activeCell="E39" sqref="D39:E39"/>
    </sheetView>
  </sheetViews>
  <sheetFormatPr defaultRowHeight="12" x14ac:dyDescent="0.2"/>
  <cols>
    <col min="1" max="1" width="9.140625" style="1"/>
    <col min="2" max="2" width="7.28515625" style="1" bestFit="1" customWidth="1"/>
    <col min="3" max="3" width="10.28515625" style="1" bestFit="1" customWidth="1"/>
    <col min="4" max="4" width="8.85546875" style="1" bestFit="1" customWidth="1"/>
    <col min="5" max="5" width="16" style="1" bestFit="1" customWidth="1"/>
    <col min="6" max="6" width="13" style="1" bestFit="1" customWidth="1"/>
    <col min="7" max="7" width="14.5703125" style="1" bestFit="1" customWidth="1"/>
    <col min="8" max="8" width="14.140625" style="1" bestFit="1" customWidth="1"/>
    <col min="9" max="9" width="12.7109375" style="1" bestFit="1" customWidth="1"/>
    <col min="10" max="11" width="8.85546875" style="1" bestFit="1" customWidth="1"/>
    <col min="12" max="12" width="7" style="1" bestFit="1" customWidth="1"/>
    <col min="13" max="14" width="6" style="1" bestFit="1" customWidth="1"/>
    <col min="15" max="15" width="12.7109375" style="1" bestFit="1" customWidth="1"/>
    <col min="16" max="16" width="17.140625" style="1" bestFit="1" customWidth="1"/>
    <col min="17" max="17" width="5.85546875" style="1" bestFit="1" customWidth="1"/>
    <col min="18" max="18" width="6.85546875" style="1" bestFit="1" customWidth="1"/>
    <col min="19" max="19" width="15.7109375" style="1" bestFit="1" customWidth="1"/>
    <col min="20" max="20" width="14.7109375" style="1" bestFit="1" customWidth="1"/>
    <col min="21" max="21" width="10.7109375" style="1" bestFit="1" customWidth="1"/>
    <col min="22" max="22" width="14.28515625" style="1" bestFit="1" customWidth="1"/>
    <col min="23" max="23" width="15" style="1" bestFit="1" customWidth="1"/>
    <col min="24" max="24" width="19.5703125" style="1" bestFit="1" customWidth="1"/>
    <col min="25" max="26" width="6" style="1" bestFit="1" customWidth="1"/>
    <col min="27" max="27" width="6.7109375" style="1" bestFit="1" customWidth="1"/>
    <col min="28" max="29" width="7.5703125" style="1" bestFit="1" customWidth="1"/>
    <col min="30" max="30" width="8" style="1" bestFit="1" customWidth="1"/>
    <col min="31" max="31" width="10.7109375" style="1" bestFit="1" customWidth="1"/>
    <col min="32" max="32" width="12.5703125" style="1" bestFit="1" customWidth="1"/>
    <col min="33" max="33" width="11.7109375" style="1" bestFit="1" customWidth="1"/>
    <col min="34" max="34" width="12.140625" style="1" bestFit="1" customWidth="1"/>
    <col min="35" max="35" width="14" style="1" bestFit="1" customWidth="1"/>
    <col min="36" max="36" width="19.5703125" style="1" bestFit="1" customWidth="1"/>
    <col min="37" max="37" width="20.5703125" style="1" bestFit="1" customWidth="1"/>
    <col min="38" max="38" width="14.5703125" style="1" bestFit="1" customWidth="1"/>
    <col min="39" max="40" width="10.5703125" style="1" bestFit="1" customWidth="1"/>
    <col min="41" max="41" width="8" style="1" bestFit="1" customWidth="1"/>
    <col min="42" max="42" width="8.42578125" style="1" bestFit="1" customWidth="1"/>
    <col min="43" max="43" width="10.140625" style="1" bestFit="1" customWidth="1"/>
    <col min="44" max="44" width="15.28515625" style="1" bestFit="1" customWidth="1"/>
    <col min="45" max="45" width="16.42578125" style="1" bestFit="1" customWidth="1"/>
    <col min="46" max="16384" width="9.140625" style="1"/>
  </cols>
  <sheetData>
    <row r="1" spans="2:45" ht="12.75" thickBot="1" x14ac:dyDescent="0.25"/>
    <row r="2" spans="2:45" s="48" customFormat="1" ht="12.75" thickBot="1" x14ac:dyDescent="0.25">
      <c r="C2" s="49" t="s">
        <v>78</v>
      </c>
      <c r="D2" s="50"/>
      <c r="E2" s="50"/>
      <c r="F2" s="50"/>
      <c r="G2" s="50"/>
      <c r="H2" s="51"/>
      <c r="I2" s="49" t="s">
        <v>77</v>
      </c>
      <c r="J2" s="52"/>
      <c r="K2" s="52"/>
      <c r="L2" s="52"/>
      <c r="M2" s="52"/>
      <c r="N2" s="52"/>
      <c r="O2" s="52"/>
      <c r="P2" s="51"/>
      <c r="Q2" s="49" t="s">
        <v>76</v>
      </c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49" t="s">
        <v>75</v>
      </c>
      <c r="AE2" s="50"/>
      <c r="AF2" s="50"/>
      <c r="AG2" s="50"/>
      <c r="AH2" s="50"/>
      <c r="AI2" s="50"/>
      <c r="AJ2" s="50"/>
      <c r="AK2" s="51"/>
      <c r="AL2" s="49" t="str">
        <f>"Vanilla European Option Results in Result Currency, "&amp;ResultCurrency</f>
        <v>Vanilla European Option Results in Result Currency, FOR</v>
      </c>
      <c r="AM2" s="50"/>
      <c r="AN2" s="50"/>
      <c r="AO2" s="50"/>
      <c r="AP2" s="50"/>
      <c r="AQ2" s="50"/>
      <c r="AR2" s="50"/>
      <c r="AS2" s="51"/>
    </row>
    <row r="3" spans="2:45" s="53" customFormat="1" x14ac:dyDescent="0.2">
      <c r="B3" s="53" t="s">
        <v>74</v>
      </c>
      <c r="C3" s="54" t="s">
        <v>73</v>
      </c>
      <c r="D3" s="53" t="s">
        <v>3</v>
      </c>
      <c r="G3" s="53" t="s">
        <v>72</v>
      </c>
      <c r="H3" s="55" t="s">
        <v>70</v>
      </c>
      <c r="I3" s="54" t="s">
        <v>71</v>
      </c>
      <c r="J3" s="53" t="s">
        <v>3</v>
      </c>
      <c r="K3" s="53" t="s">
        <v>3</v>
      </c>
      <c r="L3" s="53" t="s">
        <v>65</v>
      </c>
      <c r="M3" s="53" t="s">
        <v>65</v>
      </c>
      <c r="N3" s="53" t="s">
        <v>65</v>
      </c>
      <c r="O3" s="53" t="s">
        <v>70</v>
      </c>
      <c r="P3" s="55"/>
      <c r="Q3" s="54" t="s">
        <v>69</v>
      </c>
      <c r="R3" s="53" t="s">
        <v>68</v>
      </c>
      <c r="S3" s="53" t="s">
        <v>65</v>
      </c>
      <c r="T3" s="53" t="s">
        <v>65</v>
      </c>
      <c r="U3" s="53" t="s">
        <v>65</v>
      </c>
      <c r="V3" s="53" t="s">
        <v>67</v>
      </c>
      <c r="W3" s="53" t="s">
        <v>66</v>
      </c>
      <c r="Y3" s="53" t="s">
        <v>65</v>
      </c>
      <c r="Z3" s="53" t="s">
        <v>65</v>
      </c>
      <c r="AA3" s="53" t="s">
        <v>65</v>
      </c>
      <c r="AD3" s="54" t="s">
        <v>63</v>
      </c>
      <c r="AE3" s="53" t="s">
        <v>64</v>
      </c>
      <c r="AF3" s="53" t="s">
        <v>64</v>
      </c>
      <c r="AG3" s="53" t="s">
        <v>63</v>
      </c>
      <c r="AH3" s="53" t="s">
        <v>63</v>
      </c>
      <c r="AI3" s="53" t="s">
        <v>64</v>
      </c>
      <c r="AJ3" s="53" t="s">
        <v>63</v>
      </c>
      <c r="AK3" s="55" t="s">
        <v>63</v>
      </c>
      <c r="AL3" s="54"/>
      <c r="AS3" s="55"/>
    </row>
    <row r="4" spans="2:45" s="48" customFormat="1" ht="13.5" x14ac:dyDescent="0.25">
      <c r="C4" s="56" t="s">
        <v>62</v>
      </c>
      <c r="D4" s="57" t="s">
        <v>61</v>
      </c>
      <c r="E4" s="57" t="s">
        <v>60</v>
      </c>
      <c r="F4" s="57" t="s">
        <v>59</v>
      </c>
      <c r="G4" s="57" t="s">
        <v>58</v>
      </c>
      <c r="H4" s="58" t="s">
        <v>57</v>
      </c>
      <c r="I4" s="59" t="s">
        <v>56</v>
      </c>
      <c r="J4" s="60" t="s">
        <v>131</v>
      </c>
      <c r="K4" s="60" t="s">
        <v>55</v>
      </c>
      <c r="L4" s="60" t="s">
        <v>54</v>
      </c>
      <c r="M4" s="60" t="s">
        <v>132</v>
      </c>
      <c r="N4" s="60" t="s">
        <v>133</v>
      </c>
      <c r="O4" s="57" t="s">
        <v>53</v>
      </c>
      <c r="P4" s="58" t="s">
        <v>52</v>
      </c>
      <c r="Q4" s="56" t="s">
        <v>51</v>
      </c>
      <c r="R4" s="57" t="s">
        <v>50</v>
      </c>
      <c r="S4" s="57" t="s">
        <v>134</v>
      </c>
      <c r="T4" s="57" t="s">
        <v>135</v>
      </c>
      <c r="U4" s="57" t="s">
        <v>136</v>
      </c>
      <c r="V4" s="57" t="s">
        <v>49</v>
      </c>
      <c r="W4" s="57" t="s">
        <v>48</v>
      </c>
      <c r="X4" s="57" t="s">
        <v>47</v>
      </c>
      <c r="Y4" s="57" t="s">
        <v>46</v>
      </c>
      <c r="Z4" s="57" t="s">
        <v>45</v>
      </c>
      <c r="AA4" s="57" t="s">
        <v>44</v>
      </c>
      <c r="AB4" s="57" t="s">
        <v>137</v>
      </c>
      <c r="AC4" s="57" t="s">
        <v>138</v>
      </c>
      <c r="AD4" s="56" t="s">
        <v>43</v>
      </c>
      <c r="AE4" s="61" t="s">
        <v>139</v>
      </c>
      <c r="AF4" s="61" t="s">
        <v>140</v>
      </c>
      <c r="AG4" s="61" t="s">
        <v>42</v>
      </c>
      <c r="AH4" s="61" t="s">
        <v>41</v>
      </c>
      <c r="AI4" s="61" t="s">
        <v>40</v>
      </c>
      <c r="AJ4" s="61" t="s">
        <v>141</v>
      </c>
      <c r="AK4" s="62" t="s">
        <v>142</v>
      </c>
      <c r="AL4" s="56" t="s">
        <v>39</v>
      </c>
      <c r="AM4" s="10" t="s">
        <v>143</v>
      </c>
      <c r="AN4" s="61" t="s">
        <v>144</v>
      </c>
      <c r="AO4" s="61" t="s">
        <v>21</v>
      </c>
      <c r="AP4" s="57" t="s">
        <v>38</v>
      </c>
      <c r="AQ4" s="57" t="s">
        <v>37</v>
      </c>
      <c r="AR4" s="10" t="s">
        <v>127</v>
      </c>
      <c r="AS4" s="63" t="s">
        <v>128</v>
      </c>
    </row>
    <row r="5" spans="2:45" x14ac:dyDescent="0.2">
      <c r="C5" s="64" t="s">
        <v>0</v>
      </c>
      <c r="D5" s="65">
        <v>0.53439999999999999</v>
      </c>
      <c r="E5" s="66" t="s">
        <v>2</v>
      </c>
      <c r="F5" s="67">
        <v>47116</v>
      </c>
      <c r="G5" s="68">
        <v>50000000</v>
      </c>
      <c r="H5" s="69" t="s">
        <v>1</v>
      </c>
      <c r="I5" s="70">
        <v>45289</v>
      </c>
      <c r="J5" s="65">
        <v>0.68120000000000003</v>
      </c>
      <c r="K5" s="65">
        <v>0.67094900000000002</v>
      </c>
      <c r="L5" s="71">
        <v>0.1236131</v>
      </c>
      <c r="M5" s="71">
        <v>3.8730000000000001E-2</v>
      </c>
      <c r="N5" s="71">
        <v>3.5090000000000003E-2</v>
      </c>
      <c r="O5" s="66" t="s">
        <v>1</v>
      </c>
      <c r="P5" s="72" t="s">
        <v>11</v>
      </c>
      <c r="Q5" s="73" cm="1">
        <f t="array" ref="Q5">_xlfn.IFS(Table1[[#This Row],[Call/Put]]="Call FOR, Put DOM",1,Table1[[#This Row],[Call/Put]]="Put FOR, Call DOM",-1)</f>
        <v>1</v>
      </c>
      <c r="R5" s="74">
        <f>YEARFRAC(Table1[[#This Row],[Value Date]],Table1[[#This Row],[Expiry Date]],1)</f>
        <v>5.0009124087591239</v>
      </c>
      <c r="S5" s="24">
        <f>Table1[[#This Row],[rd]]-Table1[[#This Row],[rf]]</f>
        <v>-3.6399999999999974E-3</v>
      </c>
      <c r="T5" s="24">
        <f>LN(Table1[[#This Row],[F]]/Table1[[#This Row],[S0]])/Table1[[#This Row],[T]]</f>
        <v>-3.0320108466896883E-3</v>
      </c>
      <c r="U5" s="24">
        <f>Table1[[#This Row],[rf]]+Table1[[#This Row],[μwith currency basis]]</f>
        <v>3.5697989153310315E-2</v>
      </c>
      <c r="V5" s="46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46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1">
        <f>IF(Table1[[#This Row],[Result Ccy]]="DOM",1,Table1[[#This Row],[S0]])</f>
        <v>0.68120000000000003</v>
      </c>
      <c r="Y5" s="24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4">
        <f>Table1[[#This Row],[rf]]</f>
        <v>3.8730000000000001E-2</v>
      </c>
      <c r="AA5" s="24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45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45">
        <f>Table1[[#This Row],[d1]]-Table1[[#This Row],[σ]]*SQRT(Table1[[#This Row],[T]])</f>
        <v>0.68494489566442285</v>
      </c>
      <c r="AD5" s="75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4">
        <f>Table1[[#This Row],[CP]]*EXP(-Table1[[#This Row],[q]]*Table1[[#This Row],[T]])*_xlfn.NORM.S.DIST(Table1[[#This Row],[CP]]*Table1[[#This Row],[d1]],TRUE)</f>
        <v>0.6853497333116404</v>
      </c>
      <c r="AF5" s="76">
        <f>Table1[[#This Row],[CP]]*_xlfn.NORM.S.DIST(Table1[[#This Row],[CP]]*Table1[[#This Row],[d1]],TRUE)</f>
        <v>0.83181878045308011</v>
      </c>
      <c r="AG5" s="40">
        <f>1%*Table1[[#This Row],[S0]]*SQRT(Table1[[#This Row],[T]])*_xlfn.NORM.S.DIST(Table1[[#This Row],[d1]],FALSE)*EXP(-Table1[[#This Row],[rf]]*T)</f>
        <v>3.6815478748224092E-3</v>
      </c>
      <c r="AH5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0">
        <f>(1%)*(-Table1[[#This Row],[T]]*EXP(-Table1[[#This Row],[q]]*T)*Table1[[#This Row],[S0]]*_xlfn.NORM.S.DIST(Table1[[#This Row],[d1]],TRUE))</f>
        <v>-2.725030165577752E-2</v>
      </c>
      <c r="AK5" s="77">
        <f>1%*-Table1[[#This Row],[T]]*EXP(-Table1[[#This Row],[r]]*Table1[[#This Row],[T]])*Table1[[#This Row],[S0]]*_xlfn.NORM.S.DIST(Table1[[#This Row],[d2]],TRUE)</f>
        <v>-2.1466767484352684E-2</v>
      </c>
      <c r="AL5" s="73">
        <f>Table1[[#This Row],[Px]]*Table1[[#This Row],[FOR Notional]]/Table1[[#This Row],[Result Ccy Divisor]]</f>
        <v>9549984.5734549891</v>
      </c>
      <c r="AM5" s="46">
        <f>Table1[[#This Row],[Unit Δspot]]*Table1[[#This Row],[FOR Notional]]*Table1[[#This Row],[S0]]/Table1[[#This Row],[Result Ccy Divisor]]</f>
        <v>34267486.665582016</v>
      </c>
      <c r="AN5" s="46">
        <f>Table1[[#This Row],[Unit Δforward]]*Table1[[#This Row],[FOR Notional]]*Table1[[#This Row],[S0]]/Table1[[#This Row],[Result Ccy Divisor]]</f>
        <v>41590939.022654004</v>
      </c>
      <c r="AO5" s="46">
        <f>Table1[[#This Row],[Unit Vega]]*Table1[[#This Row],[FOR Notional]]/Table1[[#This Row],[Result Ccy Divisor]]</f>
        <v>270225.18165167421</v>
      </c>
      <c r="AP5" s="46">
        <f>Table1[[#This Row],[Unit Theta]]*Table1[[#This Row],[FOR Notional]]/Table1[[#This Row],[Result Ccy Divisor]]</f>
        <v>422.75254756777781</v>
      </c>
      <c r="AQ5" s="46">
        <f>Table1[[#This Row],[Unit Gamma]]*Table1[[#This Row],[FOR Notional]]*Table1[[#This Row],[S0]]/Table1[[#This Row],[Result Ccy Divisor]]</f>
        <v>374521.61956224928</v>
      </c>
      <c r="AR5" s="46">
        <f>Table1[[#This Row],[Unit Rhoforeign currency]]*Table1[[#This Row],[FOR Notional]]/Table1[[#This Row],[Result Ccy Divisor]]</f>
        <v>-2000168.9412637639</v>
      </c>
      <c r="AS5" s="78">
        <f>Table1[[#This Row],[Unit Rhodomestic currency]]*Table1[[#This Row],[FOR Notional]]/Table1[[#This Row],[Result Ccy Divisor]]</f>
        <v>-1575658.2122983474</v>
      </c>
    </row>
    <row r="6" spans="2:45" x14ac:dyDescent="0.2">
      <c r="C6" s="64" t="s">
        <v>0</v>
      </c>
      <c r="D6" s="65">
        <v>0.53439999999999999</v>
      </c>
      <c r="E6" s="66" t="s">
        <v>8</v>
      </c>
      <c r="F6" s="67">
        <v>47116</v>
      </c>
      <c r="G6" s="68">
        <v>50000000</v>
      </c>
      <c r="H6" s="69" t="s">
        <v>1</v>
      </c>
      <c r="I6" s="70">
        <v>45289</v>
      </c>
      <c r="J6" s="65">
        <v>0.68120000000000003</v>
      </c>
      <c r="K6" s="65">
        <v>0.67094900000000002</v>
      </c>
      <c r="L6" s="71">
        <v>0.1236131</v>
      </c>
      <c r="M6" s="71">
        <v>3.8730000000000001E-2</v>
      </c>
      <c r="N6" s="71">
        <v>3.5090000000000003E-2</v>
      </c>
      <c r="O6" s="66" t="s">
        <v>1</v>
      </c>
      <c r="P6" s="72" t="s">
        <v>11</v>
      </c>
      <c r="Q6" s="73" cm="1">
        <f t="array" ref="Q6">_xlfn.IFS(Table1[[#This Row],[Call/Put]]="Call FOR, Put DOM",1,Table1[[#This Row],[Call/Put]]="Put FOR, Call DOM",-1)</f>
        <v>-1</v>
      </c>
      <c r="R6" s="74">
        <f>YEARFRAC(Table1[[#This Row],[Value Date]],Table1[[#This Row],[Expiry Date]],1)</f>
        <v>5.0009124087591239</v>
      </c>
      <c r="S6" s="24">
        <f>Table1[[#This Row],[rd]]-Table1[[#This Row],[rf]]</f>
        <v>-3.6399999999999974E-3</v>
      </c>
      <c r="T6" s="24">
        <f>LN(Table1[[#This Row],[F]]/Table1[[#This Row],[S0]])/Table1[[#This Row],[T]]</f>
        <v>-3.0320108466896883E-3</v>
      </c>
      <c r="U6" s="24">
        <f>Table1[[#This Row],[rf]]+Table1[[#This Row],[μwith currency basis]]</f>
        <v>3.5697989153310315E-2</v>
      </c>
      <c r="V6" s="46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46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1">
        <f>IF(Table1[[#This Row],[Result Ccy]]="DOM",1,Table1[[#This Row],[S0]])</f>
        <v>0.68120000000000003</v>
      </c>
      <c r="Y6" s="24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4">
        <f>Table1[[#This Row],[rf]]</f>
        <v>3.8730000000000001E-2</v>
      </c>
      <c r="AA6" s="24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79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79">
        <f>Table1[[#This Row],[d1]]-Table1[[#This Row],[σ]]*SQRT(Table1[[#This Row],[T]])</f>
        <v>0.68494489566442285</v>
      </c>
      <c r="AD6" s="75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4">
        <f>Table1[[#This Row],[CP]]*EXP(-Table1[[#This Row],[q]]*Table1[[#This Row],[T]])*_xlfn.NORM.S.DIST(Table1[[#This Row],[CP]]*Table1[[#This Row],[d1]],TRUE)</f>
        <v>-0.13856738591755027</v>
      </c>
      <c r="AF6" s="76">
        <f>Table1[[#This Row],[CP]]*_xlfn.NORM.S.DIST(Table1[[#This Row],[CP]]*Table1[[#This Row],[d1]],TRUE)</f>
        <v>-0.16818121954691986</v>
      </c>
      <c r="AG6" s="40">
        <f>1%*Table1[[#This Row],[S0]]*SQRT(Table1[[#This Row],[T]])*_xlfn.NORM.S.DIST(Table1[[#This Row],[d1]],FALSE)*EXP(-Table1[[#This Row],[rf]]*T)</f>
        <v>3.6815478748224092E-3</v>
      </c>
      <c r="AH6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0">
        <f>(1%)*(-Table1[[#This Row],[T]]*EXP(-Table1[[#This Row],[q]]*T)*Table1[[#This Row],[S0]]*_xlfn.NORM.S.DIST(Table1[[#This Row],[d1]],TRUE))</f>
        <v>-2.725030165577752E-2</v>
      </c>
      <c r="AK6" s="77">
        <f>1%*-Table1[[#This Row],[T]]*EXP(-Table1[[#This Row],[r]]*Table1[[#This Row],[T]])*Table1[[#This Row],[S0]]*_xlfn.NORM.S.DIST(Table1[[#This Row],[d2]],TRUE)</f>
        <v>-2.1466767484352684E-2</v>
      </c>
      <c r="AL6" s="73">
        <f>Table1[[#This Row],[Px]]*Table1[[#This Row],[FOR Notional]]/Table1[[#This Row],[Result Ccy Divisor]]</f>
        <v>1165959.9520883376</v>
      </c>
      <c r="AM6" s="46">
        <f>Table1[[#This Row],[Unit Δspot]]*Table1[[#This Row],[FOR Notional]]*Table1[[#This Row],[S0]]/Table1[[#This Row],[Result Ccy Divisor]]</f>
        <v>-6928369.2958775135</v>
      </c>
      <c r="AN6" s="46">
        <f>Table1[[#This Row],[Unit Δforward]]*Table1[[#This Row],[FOR Notional]]*Table1[[#This Row],[S0]]/Table1[[#This Row],[Result Ccy Divisor]]</f>
        <v>-8409060.9773459937</v>
      </c>
      <c r="AO6" s="46">
        <f>Table1[[#This Row],[Unit Vega]]*Table1[[#This Row],[FOR Notional]]/Table1[[#This Row],[Result Ccy Divisor]]</f>
        <v>270225.18165167421</v>
      </c>
      <c r="AP6" s="46">
        <f>Table1[[#This Row],[Unit Theta]]*Table1[[#This Row],[FOR Notional]]/Table1[[#This Row],[Result Ccy Divisor]]</f>
        <v>-852.398608169721</v>
      </c>
      <c r="AQ6" s="46">
        <f>Table1[[#This Row],[Unit Gamma]]*Table1[[#This Row],[FOR Notional]]*Table1[[#This Row],[S0]]/Table1[[#This Row],[Result Ccy Divisor]]</f>
        <v>374521.61956224928</v>
      </c>
      <c r="AR6" s="46">
        <f>Table1[[#This Row],[Unit Rhoforeign currency]]*Table1[[#This Row],[FOR Notional]]/Table1[[#This Row],[Result Ccy Divisor]]</f>
        <v>-2000168.9412637639</v>
      </c>
      <c r="AS6" s="46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2799D6-6705-43E0-B100-A27005B20E74}">
          <x14:formula1>
            <xm:f>'Data Validation'!$F$1:$F$2</xm:f>
          </x14:formula1>
          <xm:sqref>P5:P6</xm:sqref>
        </x14:dataValidation>
        <x14:dataValidation type="list" allowBlank="1" showInputMessage="1" showErrorMessage="1" xr:uid="{F34DBBA1-E7E1-48AB-841A-B3E75C3F2220}">
          <x14:formula1>
            <xm:f>'Data Validation'!$B$1:$B$2</xm:f>
          </x14:formula1>
          <xm:sqref>O5:O6 H5:H6</xm:sqref>
        </x14:dataValidation>
        <x14:dataValidation type="list" allowBlank="1" showInputMessage="1" showErrorMessage="1" xr:uid="{D3E28F67-2090-4BA3-98B9-07D25453EEE7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539DA48A-1F62-4FB7-912B-C2DBCCE688C1}">
          <x14:formula1>
            <xm:f>'Data Validation'!$C$1:$C$2</xm:f>
          </x14:formula1>
          <xm:sqref>E5:E6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G25" sqref="G25"/>
    </sheetView>
  </sheetViews>
  <sheetFormatPr defaultRowHeight="12" x14ac:dyDescent="0.2"/>
  <cols>
    <col min="1" max="1" width="4" style="1" bestFit="1" customWidth="1"/>
    <col min="2" max="2" width="4.85546875" style="1" bestFit="1" customWidth="1"/>
    <col min="3" max="3" width="16" style="1" bestFit="1" customWidth="1"/>
    <col min="4" max="4" width="8.85546875" style="1" bestFit="1" customWidth="1"/>
    <col min="5" max="5" width="4.140625" style="1" bestFit="1" customWidth="1"/>
    <col min="6" max="6" width="18.28515625" style="1" bestFit="1" customWidth="1"/>
    <col min="7" max="16384" width="9.1406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MonteCarlo</vt:lpstr>
      <vt:lpstr>GK Bulk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2025-01-07T22:41:10Z</dcterms:modified>
</cp:coreProperties>
</file>