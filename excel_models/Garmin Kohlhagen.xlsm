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filterPrivacy="1" codeName="ThisWorkbook"/>
  <xr:revisionPtr revIDLastSave="0" documentId="13_ncr:1_{BA825DE6-643C-4778-A749-EB310E94EC0B}" xr6:coauthVersionLast="47" xr6:coauthVersionMax="47" xr10:uidLastSave="{00000000-0000-0000-0000-000000000000}"/>
  <bookViews>
    <workbookView xWindow="-120" yWindow="-120" windowWidth="29040" windowHeight="15720" xr2:uid="{38728B3C-6E10-490B-A31B-73F062BB067D}"/>
  </bookViews>
  <sheets>
    <sheet name="GK Pricer" sheetId="3" r:id="rId1"/>
    <sheet name="GK Bulk" sheetId="8" r:id="rId2"/>
    <sheet name="MonteCarlo" sheetId="7" r:id="rId3"/>
    <sheet name="Data Validation" sheetId="2" state="hidden" r:id="rId4"/>
  </sheets>
  <definedNames>
    <definedName name="CP">'GK Pricer'!$G$4</definedName>
    <definedName name="d1_">'GK Pricer'!$G$23</definedName>
    <definedName name="d2_">'GK Pricer'!$G$24</definedName>
    <definedName name="Domestic_Ccy_Notional">'GK Pricer'!$G$16</definedName>
    <definedName name="F">'GK Pricer'!$G$11</definedName>
    <definedName name="Foreign_Ccy_Notional">'GK Pricer'!$G$15</definedName>
    <definedName name="H">'GK Pricer'!$G$50</definedName>
    <definedName name="K">'GK Pricer'!$G$6</definedName>
    <definedName name="Methodology">'GK Pricer'!$C$17</definedName>
    <definedName name="Monte_Carlo_Runtime">MonteCarlo!$O$5</definedName>
    <definedName name="Notional_amount">'GK Pricer'!$C$14</definedName>
    <definedName name="Notional_Ccy">'GK Pricer'!$C$15</definedName>
    <definedName name="Number_Of_Refreshes">MonteCarlo!$O$3</definedName>
    <definedName name="q_">'GK Pricer'!$G$18</definedName>
    <definedName name="r_">'GK Pricer'!$G$17</definedName>
    <definedName name="r_d">'GK Pricer'!$G$7</definedName>
    <definedName name="r_d_basis_adj">'GK Pricer'!$G$14</definedName>
    <definedName name="r_f">'GK Pricer'!$G$8</definedName>
    <definedName name="Result_Divisor">'GK Pricer'!$L$4</definedName>
    <definedName name="S0">'GK Pricer'!$G$5</definedName>
    <definedName name="T">'GK Pricer'!$G$10</definedName>
    <definedName name="μ">'GK Pricer'!$G$19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7" l="1"/>
  <c r="K9" i="7"/>
  <c r="J3" i="7" l="1"/>
  <c r="O4" i="7"/>
  <c r="I9" i="7"/>
  <c r="O6" i="7"/>
  <c r="AP5" i="8"/>
  <c r="AP6" i="8"/>
  <c r="M21" i="3"/>
  <c r="M20" i="3"/>
  <c r="M16" i="3"/>
  <c r="M15" i="3"/>
  <c r="M14" i="3"/>
  <c r="M13" i="3"/>
  <c r="M12" i="3"/>
  <c r="M11" i="3"/>
  <c r="M10" i="3"/>
  <c r="M9" i="3"/>
  <c r="M8" i="3"/>
  <c r="L4" i="3" a="1"/>
  <c r="L4" i="3" s="1"/>
  <c r="C21" i="3"/>
  <c r="X5" i="8"/>
  <c r="X6" i="8"/>
  <c r="Q6" i="8" a="1"/>
  <c r="Q6" i="8" s="1"/>
  <c r="R6" i="8"/>
  <c r="T6" i="8" s="1"/>
  <c r="U6" i="8" s="1"/>
  <c r="Y6" i="8" s="1" a="1"/>
  <c r="Y6" i="8" s="1"/>
  <c r="S6" i="8"/>
  <c r="V6" i="8" a="1"/>
  <c r="V6" i="8" s="1"/>
  <c r="W6" i="8" a="1"/>
  <c r="W6" i="8" s="1"/>
  <c r="Z6" i="8"/>
  <c r="Z5" i="8"/>
  <c r="W5" i="8" a="1"/>
  <c r="W5" i="8" s="1"/>
  <c r="V5" i="8" a="1"/>
  <c r="V5" i="8" s="1"/>
  <c r="S5" i="8"/>
  <c r="Q5" i="8" a="1"/>
  <c r="Q5" i="8" s="1"/>
  <c r="R5" i="8"/>
  <c r="T5" i="8" s="1"/>
  <c r="U5" i="8" s="1"/>
  <c r="Y5" i="8" s="1" a="1"/>
  <c r="Y5" i="8" s="1"/>
  <c r="AA6" i="8" l="1" a="1"/>
  <c r="AA6" i="8" s="1"/>
  <c r="AB6" i="8" s="1"/>
  <c r="AA5" i="8" a="1"/>
  <c r="AA5" i="8" s="1"/>
  <c r="AB5" i="8" s="1"/>
  <c r="AI5" i="8" l="1"/>
  <c r="AQ5" i="8" s="1"/>
  <c r="AF5" i="8"/>
  <c r="AN5" i="8" s="1"/>
  <c r="AC6" i="8"/>
  <c r="AK6" i="8" s="1"/>
  <c r="AS6" i="8" s="1"/>
  <c r="AF6" i="8"/>
  <c r="AN6" i="8" s="1"/>
  <c r="AE6" i="8"/>
  <c r="AM6" i="8" s="1"/>
  <c r="AE5" i="8"/>
  <c r="AM5" i="8" s="1"/>
  <c r="AI6" i="8"/>
  <c r="AQ6" i="8" s="1"/>
  <c r="AC5" i="8"/>
  <c r="AK5" i="8" s="1"/>
  <c r="AS5" i="8" s="1"/>
  <c r="AD6" i="8" l="1"/>
  <c r="AL6" i="8" s="1"/>
  <c r="AH6" i="8"/>
  <c r="AH5" i="8"/>
  <c r="AD5" i="8"/>
  <c r="AL5" i="8" s="1"/>
  <c r="H41" i="3" l="1"/>
  <c r="G15" i="3"/>
  <c r="G16" i="3"/>
  <c r="K3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B4010" i="7"/>
  <c r="B4011" i="7" s="1"/>
  <c r="B4012" i="7" s="1"/>
  <c r="B4013" i="7" s="1"/>
  <c r="B4014" i="7" s="1"/>
  <c r="B4015" i="7" s="1"/>
  <c r="B4016" i="7" s="1"/>
  <c r="B4017" i="7" s="1"/>
  <c r="B4018" i="7" s="1"/>
  <c r="B4019" i="7" s="1"/>
  <c r="B4020" i="7" s="1"/>
  <c r="B4021" i="7" s="1"/>
  <c r="B4022" i="7" s="1"/>
  <c r="B4023" i="7" s="1"/>
  <c r="B4024" i="7" s="1"/>
  <c r="B4025" i="7" s="1"/>
  <c r="B4026" i="7" s="1"/>
  <c r="B4027" i="7" s="1"/>
  <c r="B4028" i="7" s="1"/>
  <c r="B4029" i="7" s="1"/>
  <c r="B4030" i="7" s="1"/>
  <c r="B4031" i="7" s="1"/>
  <c r="B4032" i="7" s="1"/>
  <c r="B4033" i="7" s="1"/>
  <c r="B4034" i="7" s="1"/>
  <c r="B4035" i="7" s="1"/>
  <c r="B4036" i="7" s="1"/>
  <c r="B4037" i="7" s="1"/>
  <c r="B4038" i="7" s="1"/>
  <c r="B4039" i="7" s="1"/>
  <c r="B4040" i="7" s="1"/>
  <c r="B4041" i="7" s="1"/>
  <c r="B4042" i="7" s="1"/>
  <c r="B4043" i="7" s="1"/>
  <c r="B4044" i="7" s="1"/>
  <c r="B4045" i="7" s="1"/>
  <c r="B4046" i="7" s="1"/>
  <c r="B4047" i="7" s="1"/>
  <c r="B4048" i="7" s="1"/>
  <c r="B4049" i="7" s="1"/>
  <c r="B4050" i="7" s="1"/>
  <c r="B4051" i="7" s="1"/>
  <c r="B4052" i="7" s="1"/>
  <c r="B4053" i="7" s="1"/>
  <c r="B4054" i="7" s="1"/>
  <c r="B4055" i="7" s="1"/>
  <c r="B4056" i="7" s="1"/>
  <c r="B4057" i="7" s="1"/>
  <c r="B4058" i="7" s="1"/>
  <c r="B4059" i="7" s="1"/>
  <c r="B4060" i="7" s="1"/>
  <c r="B4061" i="7" s="1"/>
  <c r="B4062" i="7" s="1"/>
  <c r="B4063" i="7" s="1"/>
  <c r="B4064" i="7" s="1"/>
  <c r="B4065" i="7" s="1"/>
  <c r="B4066" i="7" s="1"/>
  <c r="B4067" i="7" s="1"/>
  <c r="B4068" i="7" s="1"/>
  <c r="B4069" i="7" s="1"/>
  <c r="B4070" i="7" s="1"/>
  <c r="B4071" i="7" s="1"/>
  <c r="B4072" i="7" s="1"/>
  <c r="B4073" i="7" s="1"/>
  <c r="B4074" i="7" s="1"/>
  <c r="B4075" i="7" s="1"/>
  <c r="B4076" i="7" s="1"/>
  <c r="B4077" i="7" s="1"/>
  <c r="B4078" i="7" s="1"/>
  <c r="B4079" i="7" s="1"/>
  <c r="B4080" i="7" s="1"/>
  <c r="B4081" i="7" s="1"/>
  <c r="B4082" i="7" s="1"/>
  <c r="B4083" i="7" s="1"/>
  <c r="B4084" i="7" s="1"/>
  <c r="B4085" i="7" s="1"/>
  <c r="B4086" i="7" s="1"/>
  <c r="B4087" i="7" s="1"/>
  <c r="B4088" i="7" s="1"/>
  <c r="B4089" i="7" s="1"/>
  <c r="B4090" i="7" s="1"/>
  <c r="B4091" i="7" s="1"/>
  <c r="B4092" i="7" s="1"/>
  <c r="B4093" i="7" s="1"/>
  <c r="B4094" i="7" s="1"/>
  <c r="B4095" i="7" s="1"/>
  <c r="B4096" i="7" s="1"/>
  <c r="B4097" i="7" s="1"/>
  <c r="B4098" i="7" s="1"/>
  <c r="B4099" i="7" s="1"/>
  <c r="B4100" i="7" s="1"/>
  <c r="B4101" i="7" s="1"/>
  <c r="B4102" i="7" s="1"/>
  <c r="B4103" i="7" s="1"/>
  <c r="B4104" i="7" s="1"/>
  <c r="B4105" i="7" s="1"/>
  <c r="B4106" i="7" s="1"/>
  <c r="B4107" i="7" s="1"/>
  <c r="B4108" i="7" s="1"/>
  <c r="B4109" i="7" s="1"/>
  <c r="B4110" i="7" s="1"/>
  <c r="B4111" i="7" s="1"/>
  <c r="B4112" i="7" s="1"/>
  <c r="B4113" i="7" s="1"/>
  <c r="B4114" i="7" s="1"/>
  <c r="B4115" i="7" s="1"/>
  <c r="B4116" i="7" s="1"/>
  <c r="B4117" i="7" s="1"/>
  <c r="B4118" i="7" s="1"/>
  <c r="B4119" i="7" s="1"/>
  <c r="B4120" i="7" s="1"/>
  <c r="B4121" i="7" s="1"/>
  <c r="B4122" i="7" s="1"/>
  <c r="B4123" i="7" s="1"/>
  <c r="B4124" i="7" s="1"/>
  <c r="B4125" i="7" s="1"/>
  <c r="B4126" i="7" s="1"/>
  <c r="B4127" i="7" s="1"/>
  <c r="B4128" i="7" s="1"/>
  <c r="B4129" i="7" s="1"/>
  <c r="B4130" i="7" s="1"/>
  <c r="B4131" i="7" s="1"/>
  <c r="B4132" i="7" s="1"/>
  <c r="B4133" i="7" s="1"/>
  <c r="B4134" i="7" s="1"/>
  <c r="B4135" i="7" s="1"/>
  <c r="B4136" i="7" s="1"/>
  <c r="B4137" i="7" s="1"/>
  <c r="B4138" i="7" s="1"/>
  <c r="B4139" i="7" s="1"/>
  <c r="B4140" i="7" s="1"/>
  <c r="B4141" i="7" s="1"/>
  <c r="B4142" i="7" s="1"/>
  <c r="B4143" i="7" s="1"/>
  <c r="B4144" i="7" s="1"/>
  <c r="B4145" i="7" s="1"/>
  <c r="B4146" i="7" s="1"/>
  <c r="B4147" i="7" s="1"/>
  <c r="B4148" i="7" s="1"/>
  <c r="B4149" i="7" s="1"/>
  <c r="B4150" i="7" s="1"/>
  <c r="B4151" i="7" s="1"/>
  <c r="B4152" i="7" s="1"/>
  <c r="B4153" i="7" s="1"/>
  <c r="B4154" i="7" s="1"/>
  <c r="B4155" i="7" s="1"/>
  <c r="B4156" i="7" s="1"/>
  <c r="B4157" i="7" s="1"/>
  <c r="B4158" i="7" s="1"/>
  <c r="B4159" i="7" s="1"/>
  <c r="B4160" i="7" s="1"/>
  <c r="B4161" i="7" s="1"/>
  <c r="B4162" i="7" s="1"/>
  <c r="B4163" i="7" s="1"/>
  <c r="B4164" i="7" s="1"/>
  <c r="B4165" i="7" s="1"/>
  <c r="B4166" i="7" s="1"/>
  <c r="B4167" i="7" s="1"/>
  <c r="B4168" i="7" s="1"/>
  <c r="B4169" i="7" s="1"/>
  <c r="B4170" i="7" s="1"/>
  <c r="B4171" i="7" s="1"/>
  <c r="B4172" i="7" s="1"/>
  <c r="B4173" i="7" s="1"/>
  <c r="B4174" i="7" s="1"/>
  <c r="B4175" i="7" s="1"/>
  <c r="B4176" i="7" s="1"/>
  <c r="B4177" i="7" s="1"/>
  <c r="B4178" i="7" s="1"/>
  <c r="B4179" i="7" s="1"/>
  <c r="B4180" i="7" s="1"/>
  <c r="B4181" i="7" s="1"/>
  <c r="B4182" i="7" s="1"/>
  <c r="B4183" i="7" s="1"/>
  <c r="B4184" i="7" s="1"/>
  <c r="B4185" i="7" s="1"/>
  <c r="B4186" i="7" s="1"/>
  <c r="B4187" i="7" s="1"/>
  <c r="B4188" i="7" s="1"/>
  <c r="B4189" i="7" s="1"/>
  <c r="B4190" i="7" s="1"/>
  <c r="B4191" i="7" s="1"/>
  <c r="B4192" i="7" s="1"/>
  <c r="B4193" i="7" s="1"/>
  <c r="B4194" i="7" s="1"/>
  <c r="B4195" i="7" s="1"/>
  <c r="B4196" i="7" s="1"/>
  <c r="B4197" i="7" s="1"/>
  <c r="B4198" i="7" s="1"/>
  <c r="B4199" i="7" s="1"/>
  <c r="B4200" i="7" s="1"/>
  <c r="B4201" i="7" s="1"/>
  <c r="B4202" i="7" s="1"/>
  <c r="B4203" i="7" s="1"/>
  <c r="B4204" i="7" s="1"/>
  <c r="B4205" i="7" s="1"/>
  <c r="B4206" i="7" s="1"/>
  <c r="B4207" i="7" s="1"/>
  <c r="B4208" i="7" s="1"/>
  <c r="B4209" i="7" s="1"/>
  <c r="B4210" i="7" s="1"/>
  <c r="B4211" i="7" s="1"/>
  <c r="B4212" i="7" s="1"/>
  <c r="B4213" i="7" s="1"/>
  <c r="B4214" i="7" s="1"/>
  <c r="B4215" i="7" s="1"/>
  <c r="B4216" i="7" s="1"/>
  <c r="B4217" i="7" s="1"/>
  <c r="B4218" i="7" s="1"/>
  <c r="B4219" i="7" s="1"/>
  <c r="B4220" i="7" s="1"/>
  <c r="B4221" i="7" s="1"/>
  <c r="B4222" i="7" s="1"/>
  <c r="B4223" i="7" s="1"/>
  <c r="B4224" i="7" s="1"/>
  <c r="B4225" i="7" s="1"/>
  <c r="B4226" i="7" s="1"/>
  <c r="B4227" i="7" s="1"/>
  <c r="B4228" i="7" s="1"/>
  <c r="B4229" i="7" s="1"/>
  <c r="B4230" i="7" s="1"/>
  <c r="B4231" i="7" s="1"/>
  <c r="B4232" i="7" s="1"/>
  <c r="B4233" i="7" s="1"/>
  <c r="B4234" i="7" s="1"/>
  <c r="B4235" i="7" s="1"/>
  <c r="B4236" i="7" s="1"/>
  <c r="B4237" i="7" s="1"/>
  <c r="B4238" i="7" s="1"/>
  <c r="B4239" i="7" s="1"/>
  <c r="B4240" i="7" s="1"/>
  <c r="B4241" i="7" s="1"/>
  <c r="B4242" i="7" s="1"/>
  <c r="B4243" i="7" s="1"/>
  <c r="B4244" i="7" s="1"/>
  <c r="B4245" i="7" s="1"/>
  <c r="B4246" i="7" s="1"/>
  <c r="B4247" i="7" s="1"/>
  <c r="B4248" i="7" s="1"/>
  <c r="B4249" i="7" s="1"/>
  <c r="B4250" i="7" s="1"/>
  <c r="B4251" i="7" s="1"/>
  <c r="B4252" i="7" s="1"/>
  <c r="B4253" i="7" s="1"/>
  <c r="B4254" i="7" s="1"/>
  <c r="B4255" i="7" s="1"/>
  <c r="B4256" i="7" s="1"/>
  <c r="B4257" i="7" s="1"/>
  <c r="B4258" i="7" s="1"/>
  <c r="B4259" i="7" s="1"/>
  <c r="B4260" i="7" s="1"/>
  <c r="B4261" i="7" s="1"/>
  <c r="B4262" i="7" s="1"/>
  <c r="B4263" i="7" s="1"/>
  <c r="B4264" i="7" s="1"/>
  <c r="B4265" i="7" s="1"/>
  <c r="B4266" i="7" s="1"/>
  <c r="B4267" i="7" s="1"/>
  <c r="B4268" i="7" s="1"/>
  <c r="B4269" i="7" s="1"/>
  <c r="B4270" i="7" s="1"/>
  <c r="B4271" i="7" s="1"/>
  <c r="B4272" i="7" s="1"/>
  <c r="B4273" i="7" s="1"/>
  <c r="B4274" i="7" s="1"/>
  <c r="B4275" i="7" s="1"/>
  <c r="B4276" i="7" s="1"/>
  <c r="B4277" i="7" s="1"/>
  <c r="B4278" i="7" s="1"/>
  <c r="B4279" i="7" s="1"/>
  <c r="B4280" i="7" s="1"/>
  <c r="B4281" i="7" s="1"/>
  <c r="B4282" i="7" s="1"/>
  <c r="B4283" i="7" s="1"/>
  <c r="B4284" i="7" s="1"/>
  <c r="B4285" i="7" s="1"/>
  <c r="B4286" i="7" s="1"/>
  <c r="B4287" i="7" s="1"/>
  <c r="B4288" i="7" s="1"/>
  <c r="B4289" i="7" s="1"/>
  <c r="B4290" i="7" s="1"/>
  <c r="B4291" i="7" s="1"/>
  <c r="B4292" i="7" s="1"/>
  <c r="B4293" i="7" s="1"/>
  <c r="B4294" i="7" s="1"/>
  <c r="B4295" i="7" s="1"/>
  <c r="B4296" i="7" s="1"/>
  <c r="B4297" i="7" s="1"/>
  <c r="B4298" i="7" s="1"/>
  <c r="B4299" i="7" s="1"/>
  <c r="B4300" i="7" s="1"/>
  <c r="B4301" i="7" s="1"/>
  <c r="B4302" i="7" s="1"/>
  <c r="B4303" i="7" s="1"/>
  <c r="B4304" i="7" s="1"/>
  <c r="B4305" i="7" s="1"/>
  <c r="B4306" i="7" s="1"/>
  <c r="B4307" i="7" s="1"/>
  <c r="B4308" i="7" s="1"/>
  <c r="B4309" i="7" s="1"/>
  <c r="B4310" i="7" s="1"/>
  <c r="B4311" i="7" s="1"/>
  <c r="B4312" i="7" s="1"/>
  <c r="B4313" i="7" s="1"/>
  <c r="B4314" i="7" s="1"/>
  <c r="B4315" i="7" s="1"/>
  <c r="B4316" i="7" s="1"/>
  <c r="B4317" i="7" s="1"/>
  <c r="B4318" i="7" s="1"/>
  <c r="B4319" i="7" s="1"/>
  <c r="B4320" i="7" s="1"/>
  <c r="B4321" i="7" s="1"/>
  <c r="B4322" i="7" s="1"/>
  <c r="B4323" i="7" s="1"/>
  <c r="B4324" i="7" s="1"/>
  <c r="B4325" i="7" s="1"/>
  <c r="B4326" i="7" s="1"/>
  <c r="B4327" i="7" s="1"/>
  <c r="B4328" i="7" s="1"/>
  <c r="B4329" i="7" s="1"/>
  <c r="B4330" i="7" s="1"/>
  <c r="B4331" i="7" s="1"/>
  <c r="B4332" i="7" s="1"/>
  <c r="B4333" i="7" s="1"/>
  <c r="B4334" i="7" s="1"/>
  <c r="B4335" i="7" s="1"/>
  <c r="B4336" i="7" s="1"/>
  <c r="B4337" i="7" s="1"/>
  <c r="B4338" i="7" s="1"/>
  <c r="B4339" i="7" s="1"/>
  <c r="B4340" i="7" s="1"/>
  <c r="B4341" i="7" s="1"/>
  <c r="B4342" i="7" s="1"/>
  <c r="B4343" i="7" s="1"/>
  <c r="B4344" i="7" s="1"/>
  <c r="B4345" i="7" s="1"/>
  <c r="B4346" i="7" s="1"/>
  <c r="B4347" i="7" s="1"/>
  <c r="B4348" i="7" s="1"/>
  <c r="B4349" i="7" s="1"/>
  <c r="B4350" i="7" s="1"/>
  <c r="B4351" i="7" s="1"/>
  <c r="B4352" i="7" s="1"/>
  <c r="B4353" i="7" s="1"/>
  <c r="B4354" i="7" s="1"/>
  <c r="B4355" i="7" s="1"/>
  <c r="B4356" i="7" s="1"/>
  <c r="B4357" i="7" s="1"/>
  <c r="B4358" i="7" s="1"/>
  <c r="B4359" i="7" s="1"/>
  <c r="B4360" i="7" s="1"/>
  <c r="B4361" i="7" s="1"/>
  <c r="B4362" i="7" s="1"/>
  <c r="B4363" i="7" s="1"/>
  <c r="B4364" i="7" s="1"/>
  <c r="B4365" i="7" s="1"/>
  <c r="B4366" i="7" s="1"/>
  <c r="B4367" i="7" s="1"/>
  <c r="B4368" i="7" s="1"/>
  <c r="B4369" i="7" s="1"/>
  <c r="B4370" i="7" s="1"/>
  <c r="B4371" i="7" s="1"/>
  <c r="B4372" i="7" s="1"/>
  <c r="B4373" i="7" s="1"/>
  <c r="B4374" i="7" s="1"/>
  <c r="B4375" i="7" s="1"/>
  <c r="B4376" i="7" s="1"/>
  <c r="B4377" i="7" s="1"/>
  <c r="B4378" i="7" s="1"/>
  <c r="B4379" i="7" s="1"/>
  <c r="B4380" i="7" s="1"/>
  <c r="B4381" i="7" s="1"/>
  <c r="B4382" i="7" s="1"/>
  <c r="B4383" i="7" s="1"/>
  <c r="B4384" i="7" s="1"/>
  <c r="B4385" i="7" s="1"/>
  <c r="B4386" i="7" s="1"/>
  <c r="B4387" i="7" s="1"/>
  <c r="B4388" i="7" s="1"/>
  <c r="B4389" i="7" s="1"/>
  <c r="B4390" i="7" s="1"/>
  <c r="B4391" i="7" s="1"/>
  <c r="B4392" i="7" s="1"/>
  <c r="B4393" i="7" s="1"/>
  <c r="B4394" i="7" s="1"/>
  <c r="B4395" i="7" s="1"/>
  <c r="B4396" i="7" s="1"/>
  <c r="B4397" i="7" s="1"/>
  <c r="B4398" i="7" s="1"/>
  <c r="B4399" i="7" s="1"/>
  <c r="B4400" i="7" s="1"/>
  <c r="B4401" i="7" s="1"/>
  <c r="B4402" i="7" s="1"/>
  <c r="B4403" i="7" s="1"/>
  <c r="B4404" i="7" s="1"/>
  <c r="B4405" i="7" s="1"/>
  <c r="B4406" i="7" s="1"/>
  <c r="B4407" i="7" s="1"/>
  <c r="B4408" i="7" s="1"/>
  <c r="B4409" i="7" s="1"/>
  <c r="B4410" i="7" s="1"/>
  <c r="B4411" i="7" s="1"/>
  <c r="B4412" i="7" s="1"/>
  <c r="B4413" i="7" s="1"/>
  <c r="B4414" i="7" s="1"/>
  <c r="B4415" i="7" s="1"/>
  <c r="B4416" i="7" s="1"/>
  <c r="B4417" i="7" s="1"/>
  <c r="B4418" i="7" s="1"/>
  <c r="B4419" i="7" s="1"/>
  <c r="B4420" i="7" s="1"/>
  <c r="B4421" i="7" s="1"/>
  <c r="B4422" i="7" s="1"/>
  <c r="B4423" i="7" s="1"/>
  <c r="B4424" i="7" s="1"/>
  <c r="B4425" i="7" s="1"/>
  <c r="B4426" i="7" s="1"/>
  <c r="B4427" i="7" s="1"/>
  <c r="B4428" i="7" s="1"/>
  <c r="B4429" i="7" s="1"/>
  <c r="B4430" i="7" s="1"/>
  <c r="B4431" i="7" s="1"/>
  <c r="B4432" i="7" s="1"/>
  <c r="B4433" i="7" s="1"/>
  <c r="B4434" i="7" s="1"/>
  <c r="B4435" i="7" s="1"/>
  <c r="B4436" i="7" s="1"/>
  <c r="B4437" i="7" s="1"/>
  <c r="B4438" i="7" s="1"/>
  <c r="B4439" i="7" s="1"/>
  <c r="B4440" i="7" s="1"/>
  <c r="B4441" i="7" s="1"/>
  <c r="B4442" i="7" s="1"/>
  <c r="B4443" i="7" s="1"/>
  <c r="B4444" i="7" s="1"/>
  <c r="B4445" i="7" s="1"/>
  <c r="B4446" i="7" s="1"/>
  <c r="B4447" i="7" s="1"/>
  <c r="B4448" i="7" s="1"/>
  <c r="B4449" i="7" s="1"/>
  <c r="B4450" i="7" s="1"/>
  <c r="B4451" i="7" s="1"/>
  <c r="B4452" i="7" s="1"/>
  <c r="B4453" i="7" s="1"/>
  <c r="B4454" i="7" s="1"/>
  <c r="B4455" i="7" s="1"/>
  <c r="B4456" i="7" s="1"/>
  <c r="B4457" i="7" s="1"/>
  <c r="B4458" i="7" s="1"/>
  <c r="B4459" i="7" s="1"/>
  <c r="B4460" i="7" s="1"/>
  <c r="B4461" i="7" s="1"/>
  <c r="B4462" i="7" s="1"/>
  <c r="B4463" i="7" s="1"/>
  <c r="B4464" i="7" s="1"/>
  <c r="B4465" i="7" s="1"/>
  <c r="B4466" i="7" s="1"/>
  <c r="B4467" i="7" s="1"/>
  <c r="B4468" i="7" s="1"/>
  <c r="B4469" i="7" s="1"/>
  <c r="B4470" i="7" s="1"/>
  <c r="B4471" i="7" s="1"/>
  <c r="B4472" i="7" s="1"/>
  <c r="B4473" i="7" s="1"/>
  <c r="B4474" i="7" s="1"/>
  <c r="B4475" i="7" s="1"/>
  <c r="B4476" i="7" s="1"/>
  <c r="B4477" i="7" s="1"/>
  <c r="B4478" i="7" s="1"/>
  <c r="B4479" i="7" s="1"/>
  <c r="B4480" i="7" s="1"/>
  <c r="B4481" i="7" s="1"/>
  <c r="B4482" i="7" s="1"/>
  <c r="B4483" i="7" s="1"/>
  <c r="B4484" i="7" s="1"/>
  <c r="B4485" i="7" s="1"/>
  <c r="B4486" i="7" s="1"/>
  <c r="B4487" i="7" s="1"/>
  <c r="B4488" i="7" s="1"/>
  <c r="B4489" i="7" s="1"/>
  <c r="B4490" i="7" s="1"/>
  <c r="B4491" i="7" s="1"/>
  <c r="B4492" i="7" s="1"/>
  <c r="B4493" i="7" s="1"/>
  <c r="B4494" i="7" s="1"/>
  <c r="B4495" i="7" s="1"/>
  <c r="B4496" i="7" s="1"/>
  <c r="B4497" i="7" s="1"/>
  <c r="B4498" i="7" s="1"/>
  <c r="B4499" i="7" s="1"/>
  <c r="B4500" i="7" s="1"/>
  <c r="B4501" i="7" s="1"/>
  <c r="B4502" i="7" s="1"/>
  <c r="B4503" i="7" s="1"/>
  <c r="B4504" i="7" s="1"/>
  <c r="B4505" i="7" s="1"/>
  <c r="B4506" i="7" s="1"/>
  <c r="B4507" i="7" s="1"/>
  <c r="B4508" i="7" s="1"/>
  <c r="B4509" i="7" s="1"/>
  <c r="B4510" i="7" s="1"/>
  <c r="B4511" i="7" s="1"/>
  <c r="B4512" i="7" s="1"/>
  <c r="B4513" i="7" s="1"/>
  <c r="B4514" i="7" s="1"/>
  <c r="B4515" i="7" s="1"/>
  <c r="B4516" i="7" s="1"/>
  <c r="B4517" i="7" s="1"/>
  <c r="B4518" i="7" s="1"/>
  <c r="B4519" i="7" s="1"/>
  <c r="B4520" i="7" s="1"/>
  <c r="B4521" i="7" s="1"/>
  <c r="B4522" i="7" s="1"/>
  <c r="B4523" i="7" s="1"/>
  <c r="B4524" i="7" s="1"/>
  <c r="B4525" i="7" s="1"/>
  <c r="B4526" i="7" s="1"/>
  <c r="B4527" i="7" s="1"/>
  <c r="B4528" i="7" s="1"/>
  <c r="B4529" i="7" s="1"/>
  <c r="B4530" i="7" s="1"/>
  <c r="B4531" i="7" s="1"/>
  <c r="B4532" i="7" s="1"/>
  <c r="B4533" i="7" s="1"/>
  <c r="B4534" i="7" s="1"/>
  <c r="B4535" i="7" s="1"/>
  <c r="B4536" i="7" s="1"/>
  <c r="B4537" i="7" s="1"/>
  <c r="B4538" i="7" s="1"/>
  <c r="B4539" i="7" s="1"/>
  <c r="B4540" i="7" s="1"/>
  <c r="B4541" i="7" s="1"/>
  <c r="B4542" i="7" s="1"/>
  <c r="B4543" i="7" s="1"/>
  <c r="B4544" i="7" s="1"/>
  <c r="B4545" i="7" s="1"/>
  <c r="B4546" i="7" s="1"/>
  <c r="B4547" i="7" s="1"/>
  <c r="B4548" i="7" s="1"/>
  <c r="B4549" i="7" s="1"/>
  <c r="B4550" i="7" s="1"/>
  <c r="B4551" i="7" s="1"/>
  <c r="B4552" i="7" s="1"/>
  <c r="B4553" i="7" s="1"/>
  <c r="B4554" i="7" s="1"/>
  <c r="B4555" i="7" s="1"/>
  <c r="B4556" i="7" s="1"/>
  <c r="B4557" i="7" s="1"/>
  <c r="B4558" i="7" s="1"/>
  <c r="B4559" i="7" s="1"/>
  <c r="B4560" i="7" s="1"/>
  <c r="B4561" i="7" s="1"/>
  <c r="B4562" i="7" s="1"/>
  <c r="B4563" i="7" s="1"/>
  <c r="B4564" i="7" s="1"/>
  <c r="B4565" i="7" s="1"/>
  <c r="B4566" i="7" s="1"/>
  <c r="B4567" i="7" s="1"/>
  <c r="B4568" i="7" s="1"/>
  <c r="B4569" i="7" s="1"/>
  <c r="B4570" i="7" s="1"/>
  <c r="B4571" i="7" s="1"/>
  <c r="B4572" i="7" s="1"/>
  <c r="B4573" i="7" s="1"/>
  <c r="B4574" i="7" s="1"/>
  <c r="B4575" i="7" s="1"/>
  <c r="B4576" i="7" s="1"/>
  <c r="B4577" i="7" s="1"/>
  <c r="B4578" i="7" s="1"/>
  <c r="B4579" i="7" s="1"/>
  <c r="B4580" i="7" s="1"/>
  <c r="B4581" i="7" s="1"/>
  <c r="B4582" i="7" s="1"/>
  <c r="B4583" i="7" s="1"/>
  <c r="B4584" i="7" s="1"/>
  <c r="B4585" i="7" s="1"/>
  <c r="B4586" i="7" s="1"/>
  <c r="B4587" i="7" s="1"/>
  <c r="B4588" i="7" s="1"/>
  <c r="B4589" i="7" s="1"/>
  <c r="B4590" i="7" s="1"/>
  <c r="B4591" i="7" s="1"/>
  <c r="B4592" i="7" s="1"/>
  <c r="B4593" i="7" s="1"/>
  <c r="B4594" i="7" s="1"/>
  <c r="B4595" i="7" s="1"/>
  <c r="B4596" i="7" s="1"/>
  <c r="B4597" i="7" s="1"/>
  <c r="B4598" i="7" s="1"/>
  <c r="B4599" i="7" s="1"/>
  <c r="B4600" i="7" s="1"/>
  <c r="B4601" i="7" s="1"/>
  <c r="B4602" i="7" s="1"/>
  <c r="B4603" i="7" s="1"/>
  <c r="B4604" i="7" s="1"/>
  <c r="B4605" i="7" s="1"/>
  <c r="B4606" i="7" s="1"/>
  <c r="B4607" i="7" s="1"/>
  <c r="B4608" i="7" s="1"/>
  <c r="B4609" i="7" s="1"/>
  <c r="B4610" i="7" s="1"/>
  <c r="B4611" i="7" s="1"/>
  <c r="B4612" i="7" s="1"/>
  <c r="B4613" i="7" s="1"/>
  <c r="B4614" i="7" s="1"/>
  <c r="B4615" i="7" s="1"/>
  <c r="B4616" i="7" s="1"/>
  <c r="B4617" i="7" s="1"/>
  <c r="B4618" i="7" s="1"/>
  <c r="B4619" i="7" s="1"/>
  <c r="B4620" i="7" s="1"/>
  <c r="B4621" i="7" s="1"/>
  <c r="B4622" i="7" s="1"/>
  <c r="B4623" i="7" s="1"/>
  <c r="B4624" i="7" s="1"/>
  <c r="B4625" i="7" s="1"/>
  <c r="B4626" i="7" s="1"/>
  <c r="B4627" i="7" s="1"/>
  <c r="B4628" i="7" s="1"/>
  <c r="B4629" i="7" s="1"/>
  <c r="B4630" i="7" s="1"/>
  <c r="B4631" i="7" s="1"/>
  <c r="B4632" i="7" s="1"/>
  <c r="B4633" i="7" s="1"/>
  <c r="B4634" i="7" s="1"/>
  <c r="B4635" i="7" s="1"/>
  <c r="B4636" i="7" s="1"/>
  <c r="B4637" i="7" s="1"/>
  <c r="B4638" i="7" s="1"/>
  <c r="B4639" i="7" s="1"/>
  <c r="B4640" i="7" s="1"/>
  <c r="B4641" i="7" s="1"/>
  <c r="B4642" i="7" s="1"/>
  <c r="B4643" i="7" s="1"/>
  <c r="B4644" i="7" s="1"/>
  <c r="B4645" i="7" s="1"/>
  <c r="B4646" i="7" s="1"/>
  <c r="B4647" i="7" s="1"/>
  <c r="B4648" i="7" s="1"/>
  <c r="B4649" i="7" s="1"/>
  <c r="B4650" i="7" s="1"/>
  <c r="B4651" i="7" s="1"/>
  <c r="B4652" i="7" s="1"/>
  <c r="B4653" i="7" s="1"/>
  <c r="B4654" i="7" s="1"/>
  <c r="B4655" i="7" s="1"/>
  <c r="B4656" i="7" s="1"/>
  <c r="B4657" i="7" s="1"/>
  <c r="B4658" i="7" s="1"/>
  <c r="B4659" i="7" s="1"/>
  <c r="B4660" i="7" s="1"/>
  <c r="B4661" i="7" s="1"/>
  <c r="B4662" i="7" s="1"/>
  <c r="B4663" i="7" s="1"/>
  <c r="B4664" i="7" s="1"/>
  <c r="B4665" i="7" s="1"/>
  <c r="B4666" i="7" s="1"/>
  <c r="B4667" i="7" s="1"/>
  <c r="B4668" i="7" s="1"/>
  <c r="B4669" i="7" s="1"/>
  <c r="B4670" i="7" s="1"/>
  <c r="B4671" i="7" s="1"/>
  <c r="B4672" i="7" s="1"/>
  <c r="B4673" i="7" s="1"/>
  <c r="B4674" i="7" s="1"/>
  <c r="B4675" i="7" s="1"/>
  <c r="B4676" i="7" s="1"/>
  <c r="B4677" i="7" s="1"/>
  <c r="B4678" i="7" s="1"/>
  <c r="B4679" i="7" s="1"/>
  <c r="B4680" i="7" s="1"/>
  <c r="B4681" i="7" s="1"/>
  <c r="B4682" i="7" s="1"/>
  <c r="B4683" i="7" s="1"/>
  <c r="B4684" i="7" s="1"/>
  <c r="B4685" i="7" s="1"/>
  <c r="B4686" i="7" s="1"/>
  <c r="B4687" i="7" s="1"/>
  <c r="B4688" i="7" s="1"/>
  <c r="B4689" i="7" s="1"/>
  <c r="B4690" i="7" s="1"/>
  <c r="B4691" i="7" s="1"/>
  <c r="B4692" i="7" s="1"/>
  <c r="B4693" i="7" s="1"/>
  <c r="B4694" i="7" s="1"/>
  <c r="B4695" i="7" s="1"/>
  <c r="B4696" i="7" s="1"/>
  <c r="B4697" i="7" s="1"/>
  <c r="B4698" i="7" s="1"/>
  <c r="B4699" i="7" s="1"/>
  <c r="B4700" i="7" s="1"/>
  <c r="B4701" i="7" s="1"/>
  <c r="B4702" i="7" s="1"/>
  <c r="B4703" i="7" s="1"/>
  <c r="B4704" i="7" s="1"/>
  <c r="B4705" i="7" s="1"/>
  <c r="B4706" i="7" s="1"/>
  <c r="B4707" i="7" s="1"/>
  <c r="B4708" i="7" s="1"/>
  <c r="B4709" i="7" s="1"/>
  <c r="B4710" i="7" s="1"/>
  <c r="B4711" i="7" s="1"/>
  <c r="B4712" i="7" s="1"/>
  <c r="B4713" i="7" s="1"/>
  <c r="B4714" i="7" s="1"/>
  <c r="B4715" i="7" s="1"/>
  <c r="B4716" i="7" s="1"/>
  <c r="B4717" i="7" s="1"/>
  <c r="B4718" i="7" s="1"/>
  <c r="B4719" i="7" s="1"/>
  <c r="B4720" i="7" s="1"/>
  <c r="B4721" i="7" s="1"/>
  <c r="B4722" i="7" s="1"/>
  <c r="B4723" i="7" s="1"/>
  <c r="B4724" i="7" s="1"/>
  <c r="B4725" i="7" s="1"/>
  <c r="B4726" i="7" s="1"/>
  <c r="B4727" i="7" s="1"/>
  <c r="B4728" i="7" s="1"/>
  <c r="B4729" i="7" s="1"/>
  <c r="B4730" i="7" s="1"/>
  <c r="B4731" i="7" s="1"/>
  <c r="B4732" i="7" s="1"/>
  <c r="B4733" i="7" s="1"/>
  <c r="B4734" i="7" s="1"/>
  <c r="B4735" i="7" s="1"/>
  <c r="B4736" i="7" s="1"/>
  <c r="B4737" i="7" s="1"/>
  <c r="B4738" i="7" s="1"/>
  <c r="B4739" i="7" s="1"/>
  <c r="B4740" i="7" s="1"/>
  <c r="B4741" i="7" s="1"/>
  <c r="B4742" i="7" s="1"/>
  <c r="B4743" i="7" s="1"/>
  <c r="B4744" i="7" s="1"/>
  <c r="B4745" i="7" s="1"/>
  <c r="B4746" i="7" s="1"/>
  <c r="B4747" i="7" s="1"/>
  <c r="B4748" i="7" s="1"/>
  <c r="B4749" i="7" s="1"/>
  <c r="B4750" i="7" s="1"/>
  <c r="B4751" i="7" s="1"/>
  <c r="B4752" i="7" s="1"/>
  <c r="B4753" i="7" s="1"/>
  <c r="B4754" i="7" s="1"/>
  <c r="B4755" i="7" s="1"/>
  <c r="B4756" i="7" s="1"/>
  <c r="B4757" i="7" s="1"/>
  <c r="B4758" i="7" s="1"/>
  <c r="B4759" i="7" s="1"/>
  <c r="B4760" i="7" s="1"/>
  <c r="B4761" i="7" s="1"/>
  <c r="B4762" i="7" s="1"/>
  <c r="B4763" i="7" s="1"/>
  <c r="B4764" i="7" s="1"/>
  <c r="B4765" i="7" s="1"/>
  <c r="B4766" i="7" s="1"/>
  <c r="B4767" i="7" s="1"/>
  <c r="B4768" i="7" s="1"/>
  <c r="B4769" i="7" s="1"/>
  <c r="B4770" i="7" s="1"/>
  <c r="B4771" i="7" s="1"/>
  <c r="B4772" i="7" s="1"/>
  <c r="B4773" i="7" s="1"/>
  <c r="B4774" i="7" s="1"/>
  <c r="B4775" i="7" s="1"/>
  <c r="B4776" i="7" s="1"/>
  <c r="B4777" i="7" s="1"/>
  <c r="B4778" i="7" s="1"/>
  <c r="B4779" i="7" s="1"/>
  <c r="B4780" i="7" s="1"/>
  <c r="B4781" i="7" s="1"/>
  <c r="B4782" i="7" s="1"/>
  <c r="B4783" i="7" s="1"/>
  <c r="B4784" i="7" s="1"/>
  <c r="B4785" i="7" s="1"/>
  <c r="B4786" i="7" s="1"/>
  <c r="B4787" i="7" s="1"/>
  <c r="B4788" i="7" s="1"/>
  <c r="B4789" i="7" s="1"/>
  <c r="B4790" i="7" s="1"/>
  <c r="B4791" i="7" s="1"/>
  <c r="B4792" i="7" s="1"/>
  <c r="B4793" i="7" s="1"/>
  <c r="B4794" i="7" s="1"/>
  <c r="B4795" i="7" s="1"/>
  <c r="B4796" i="7" s="1"/>
  <c r="B4797" i="7" s="1"/>
  <c r="B4798" i="7" s="1"/>
  <c r="B4799" i="7" s="1"/>
  <c r="B4800" i="7" s="1"/>
  <c r="B4801" i="7" s="1"/>
  <c r="B4802" i="7" s="1"/>
  <c r="B4803" i="7" s="1"/>
  <c r="B4804" i="7" s="1"/>
  <c r="B4805" i="7" s="1"/>
  <c r="B4806" i="7" s="1"/>
  <c r="B4807" i="7" s="1"/>
  <c r="B4808" i="7" s="1"/>
  <c r="B4809" i="7" s="1"/>
  <c r="B4810" i="7" s="1"/>
  <c r="B4811" i="7" s="1"/>
  <c r="B4812" i="7" s="1"/>
  <c r="B4813" i="7" s="1"/>
  <c r="B4814" i="7" s="1"/>
  <c r="B4815" i="7" s="1"/>
  <c r="B4816" i="7" s="1"/>
  <c r="B4817" i="7" s="1"/>
  <c r="B4818" i="7" s="1"/>
  <c r="B4819" i="7" s="1"/>
  <c r="B4820" i="7" s="1"/>
  <c r="B4821" i="7" s="1"/>
  <c r="B4822" i="7" s="1"/>
  <c r="B4823" i="7" s="1"/>
  <c r="B4824" i="7" s="1"/>
  <c r="B4825" i="7" s="1"/>
  <c r="B4826" i="7" s="1"/>
  <c r="B4827" i="7" s="1"/>
  <c r="B4828" i="7" s="1"/>
  <c r="B4829" i="7" s="1"/>
  <c r="B4830" i="7" s="1"/>
  <c r="B4831" i="7" s="1"/>
  <c r="B4832" i="7" s="1"/>
  <c r="B4833" i="7" s="1"/>
  <c r="B4834" i="7" s="1"/>
  <c r="B4835" i="7" s="1"/>
  <c r="B4836" i="7" s="1"/>
  <c r="B4837" i="7" s="1"/>
  <c r="B4838" i="7" s="1"/>
  <c r="B4839" i="7" s="1"/>
  <c r="B4840" i="7" s="1"/>
  <c r="B4841" i="7" s="1"/>
  <c r="B4842" i="7" s="1"/>
  <c r="B4843" i="7" s="1"/>
  <c r="B4844" i="7" s="1"/>
  <c r="B4845" i="7" s="1"/>
  <c r="B4846" i="7" s="1"/>
  <c r="B4847" i="7" s="1"/>
  <c r="B4848" i="7" s="1"/>
  <c r="B4849" i="7" s="1"/>
  <c r="B4850" i="7" s="1"/>
  <c r="B4851" i="7" s="1"/>
  <c r="B4852" i="7" s="1"/>
  <c r="B4853" i="7" s="1"/>
  <c r="B4854" i="7" s="1"/>
  <c r="B4855" i="7" s="1"/>
  <c r="B4856" i="7" s="1"/>
  <c r="B4857" i="7" s="1"/>
  <c r="B4858" i="7" s="1"/>
  <c r="B4859" i="7" s="1"/>
  <c r="B4860" i="7" s="1"/>
  <c r="B4861" i="7" s="1"/>
  <c r="B4862" i="7" s="1"/>
  <c r="B4863" i="7" s="1"/>
  <c r="B4864" i="7" s="1"/>
  <c r="B4865" i="7" s="1"/>
  <c r="B4866" i="7" s="1"/>
  <c r="B4867" i="7" s="1"/>
  <c r="B4868" i="7" s="1"/>
  <c r="B4869" i="7" s="1"/>
  <c r="B4870" i="7" s="1"/>
  <c r="B4871" i="7" s="1"/>
  <c r="B4872" i="7" s="1"/>
  <c r="B4873" i="7" s="1"/>
  <c r="B4874" i="7" s="1"/>
  <c r="B4875" i="7" s="1"/>
  <c r="B4876" i="7" s="1"/>
  <c r="B4877" i="7" s="1"/>
  <c r="B4878" i="7" s="1"/>
  <c r="B4879" i="7" s="1"/>
  <c r="B4880" i="7" s="1"/>
  <c r="B4881" i="7" s="1"/>
  <c r="B4882" i="7" s="1"/>
  <c r="B4883" i="7" s="1"/>
  <c r="B4884" i="7" s="1"/>
  <c r="B4885" i="7" s="1"/>
  <c r="B4886" i="7" s="1"/>
  <c r="B4887" i="7" s="1"/>
  <c r="B4888" i="7" s="1"/>
  <c r="B4889" i="7" s="1"/>
  <c r="B4890" i="7" s="1"/>
  <c r="B4891" i="7" s="1"/>
  <c r="B4892" i="7" s="1"/>
  <c r="B4893" i="7" s="1"/>
  <c r="B4894" i="7" s="1"/>
  <c r="B4895" i="7" s="1"/>
  <c r="B4896" i="7" s="1"/>
  <c r="B4897" i="7" s="1"/>
  <c r="B4898" i="7" s="1"/>
  <c r="B4899" i="7" s="1"/>
  <c r="B4900" i="7" s="1"/>
  <c r="B4901" i="7" s="1"/>
  <c r="B4902" i="7" s="1"/>
  <c r="B4903" i="7" s="1"/>
  <c r="B4904" i="7" s="1"/>
  <c r="B4905" i="7" s="1"/>
  <c r="B4906" i="7" s="1"/>
  <c r="B4907" i="7" s="1"/>
  <c r="B4908" i="7" s="1"/>
  <c r="B4909" i="7" s="1"/>
  <c r="B4910" i="7" s="1"/>
  <c r="B4911" i="7" s="1"/>
  <c r="B4912" i="7" s="1"/>
  <c r="B4913" i="7" s="1"/>
  <c r="B4914" i="7" s="1"/>
  <c r="B4915" i="7" s="1"/>
  <c r="B4916" i="7" s="1"/>
  <c r="B4917" i="7" s="1"/>
  <c r="B4918" i="7" s="1"/>
  <c r="B4919" i="7" s="1"/>
  <c r="B4920" i="7" s="1"/>
  <c r="B4921" i="7" s="1"/>
  <c r="B4922" i="7" s="1"/>
  <c r="B4923" i="7" s="1"/>
  <c r="B4924" i="7" s="1"/>
  <c r="B4925" i="7" s="1"/>
  <c r="B4926" i="7" s="1"/>
  <c r="B4927" i="7" s="1"/>
  <c r="B4928" i="7" s="1"/>
  <c r="B4929" i="7" s="1"/>
  <c r="B4930" i="7" s="1"/>
  <c r="B4931" i="7" s="1"/>
  <c r="B4932" i="7" s="1"/>
  <c r="B4933" i="7" s="1"/>
  <c r="B4934" i="7" s="1"/>
  <c r="B4935" i="7" s="1"/>
  <c r="B4936" i="7" s="1"/>
  <c r="B4937" i="7" s="1"/>
  <c r="B4938" i="7" s="1"/>
  <c r="B4939" i="7" s="1"/>
  <c r="B4940" i="7" s="1"/>
  <c r="B4941" i="7" s="1"/>
  <c r="B4942" i="7" s="1"/>
  <c r="B4943" i="7" s="1"/>
  <c r="B4944" i="7" s="1"/>
  <c r="B4945" i="7" s="1"/>
  <c r="B4946" i="7" s="1"/>
  <c r="B4947" i="7" s="1"/>
  <c r="B4948" i="7" s="1"/>
  <c r="B4949" i="7" s="1"/>
  <c r="B4950" i="7" s="1"/>
  <c r="B4951" i="7" s="1"/>
  <c r="B4952" i="7" s="1"/>
  <c r="B4953" i="7" s="1"/>
  <c r="B4954" i="7" s="1"/>
  <c r="B4955" i="7" s="1"/>
  <c r="B4956" i="7" s="1"/>
  <c r="B4957" i="7" s="1"/>
  <c r="B4958" i="7" s="1"/>
  <c r="B4959" i="7" s="1"/>
  <c r="B4960" i="7" s="1"/>
  <c r="B4961" i="7" s="1"/>
  <c r="B4962" i="7" s="1"/>
  <c r="B4963" i="7" s="1"/>
  <c r="B4964" i="7" s="1"/>
  <c r="B4965" i="7" s="1"/>
  <c r="B4966" i="7" s="1"/>
  <c r="B4967" i="7" s="1"/>
  <c r="B4968" i="7" s="1"/>
  <c r="B4969" i="7" s="1"/>
  <c r="B4970" i="7" s="1"/>
  <c r="B4971" i="7" s="1"/>
  <c r="B4972" i="7" s="1"/>
  <c r="B4973" i="7" s="1"/>
  <c r="B4974" i="7" s="1"/>
  <c r="B4975" i="7" s="1"/>
  <c r="B4976" i="7" s="1"/>
  <c r="B4977" i="7" s="1"/>
  <c r="B4978" i="7" s="1"/>
  <c r="B4979" i="7" s="1"/>
  <c r="B4980" i="7" s="1"/>
  <c r="B4981" i="7" s="1"/>
  <c r="B4982" i="7" s="1"/>
  <c r="B4983" i="7" s="1"/>
  <c r="B4984" i="7" s="1"/>
  <c r="B4985" i="7" s="1"/>
  <c r="B4986" i="7" s="1"/>
  <c r="B4987" i="7" s="1"/>
  <c r="B4988" i="7" s="1"/>
  <c r="B4989" i="7" s="1"/>
  <c r="B4990" i="7" s="1"/>
  <c r="B4991" i="7" s="1"/>
  <c r="B4992" i="7" s="1"/>
  <c r="B4993" i="7" s="1"/>
  <c r="B4994" i="7" s="1"/>
  <c r="B4995" i="7" s="1"/>
  <c r="B4996" i="7" s="1"/>
  <c r="B4997" i="7" s="1"/>
  <c r="B4998" i="7" s="1"/>
  <c r="B4999" i="7" s="1"/>
  <c r="B5000" i="7" s="1"/>
  <c r="B5001" i="7" s="1"/>
  <c r="B5002" i="7" s="1"/>
  <c r="B5003" i="7" s="1"/>
  <c r="B5004" i="7" s="1"/>
  <c r="B5005" i="7" s="1"/>
  <c r="B5006" i="7" s="1"/>
  <c r="B5007" i="7" s="1"/>
  <c r="B5008" i="7" s="1"/>
  <c r="B5009" i="7" s="1"/>
  <c r="C2009" i="7"/>
  <c r="C2008" i="7"/>
  <c r="C2007" i="7"/>
  <c r="C2006" i="7"/>
  <c r="C2005" i="7"/>
  <c r="C2004" i="7"/>
  <c r="C2003" i="7"/>
  <c r="C2002" i="7"/>
  <c r="C2001" i="7"/>
  <c r="C2000" i="7"/>
  <c r="C1999" i="7"/>
  <c r="C1998" i="7"/>
  <c r="C1997" i="7"/>
  <c r="C1996" i="7"/>
  <c r="C1995" i="7"/>
  <c r="C1994" i="7"/>
  <c r="C1993" i="7"/>
  <c r="C1992" i="7"/>
  <c r="C1991" i="7"/>
  <c r="C1990" i="7"/>
  <c r="C1989" i="7"/>
  <c r="C1988" i="7"/>
  <c r="C1987" i="7"/>
  <c r="C1986" i="7"/>
  <c r="C1985" i="7"/>
  <c r="C1984" i="7"/>
  <c r="C1983" i="7"/>
  <c r="C1982" i="7"/>
  <c r="C1981" i="7"/>
  <c r="C1980" i="7"/>
  <c r="C1979" i="7"/>
  <c r="C1978" i="7"/>
  <c r="C1977" i="7"/>
  <c r="C1976" i="7"/>
  <c r="C1975" i="7"/>
  <c r="C1974" i="7"/>
  <c r="C1973" i="7"/>
  <c r="C1972" i="7"/>
  <c r="C1971" i="7"/>
  <c r="C1970" i="7"/>
  <c r="C1969" i="7"/>
  <c r="C1968" i="7"/>
  <c r="C1967" i="7"/>
  <c r="C1966" i="7"/>
  <c r="C1965" i="7"/>
  <c r="C1964" i="7"/>
  <c r="C1963" i="7"/>
  <c r="C1962" i="7"/>
  <c r="C1961" i="7"/>
  <c r="C1960" i="7"/>
  <c r="C1959" i="7"/>
  <c r="C1958" i="7"/>
  <c r="C1957" i="7"/>
  <c r="C1956" i="7"/>
  <c r="C1955" i="7"/>
  <c r="C1954" i="7"/>
  <c r="C1953" i="7"/>
  <c r="C1952" i="7"/>
  <c r="C1951" i="7"/>
  <c r="C1950" i="7"/>
  <c r="C1949" i="7"/>
  <c r="C1948" i="7"/>
  <c r="C1947" i="7"/>
  <c r="C1946" i="7"/>
  <c r="C1945" i="7"/>
  <c r="C1944" i="7"/>
  <c r="C1943" i="7"/>
  <c r="C1942" i="7"/>
  <c r="C1941" i="7"/>
  <c r="C1940" i="7"/>
  <c r="C1939" i="7"/>
  <c r="C1938" i="7"/>
  <c r="C1937" i="7"/>
  <c r="C1936" i="7"/>
  <c r="C1935" i="7"/>
  <c r="C1934" i="7"/>
  <c r="C1933" i="7"/>
  <c r="C1932" i="7"/>
  <c r="C1931" i="7"/>
  <c r="C1930" i="7"/>
  <c r="C1929" i="7"/>
  <c r="C1928" i="7"/>
  <c r="C1927" i="7"/>
  <c r="C1926" i="7"/>
  <c r="C1925" i="7"/>
  <c r="C1924" i="7"/>
  <c r="C1923" i="7"/>
  <c r="C1922" i="7"/>
  <c r="C1921" i="7"/>
  <c r="C1920" i="7"/>
  <c r="C1919" i="7"/>
  <c r="C1918" i="7"/>
  <c r="C1917" i="7"/>
  <c r="C1916" i="7"/>
  <c r="C1915" i="7"/>
  <c r="C1914" i="7"/>
  <c r="C1913" i="7"/>
  <c r="C1912" i="7"/>
  <c r="C1911" i="7"/>
  <c r="C1910" i="7"/>
  <c r="C1909" i="7"/>
  <c r="C1908" i="7"/>
  <c r="C1907" i="7"/>
  <c r="C1906" i="7"/>
  <c r="C1905" i="7"/>
  <c r="C1904" i="7"/>
  <c r="C1903" i="7"/>
  <c r="C1902" i="7"/>
  <c r="C1901" i="7"/>
  <c r="C1900" i="7"/>
  <c r="C1899" i="7"/>
  <c r="C1898" i="7"/>
  <c r="C1897" i="7"/>
  <c r="C1896" i="7"/>
  <c r="C1895" i="7"/>
  <c r="C1894" i="7"/>
  <c r="C1893" i="7"/>
  <c r="C1892" i="7"/>
  <c r="C1891" i="7"/>
  <c r="C1890" i="7"/>
  <c r="C1889" i="7"/>
  <c r="C1888" i="7"/>
  <c r="C1887" i="7"/>
  <c r="C1886" i="7"/>
  <c r="C1885" i="7"/>
  <c r="C1884" i="7"/>
  <c r="C1883" i="7"/>
  <c r="C1882" i="7"/>
  <c r="C1881" i="7"/>
  <c r="C1880" i="7"/>
  <c r="C1879" i="7"/>
  <c r="C1878" i="7"/>
  <c r="C1877" i="7"/>
  <c r="C1876" i="7"/>
  <c r="C1875" i="7"/>
  <c r="C1874" i="7"/>
  <c r="C1873" i="7"/>
  <c r="C1872" i="7"/>
  <c r="C1871" i="7"/>
  <c r="C1870" i="7"/>
  <c r="C1869" i="7"/>
  <c r="C1868" i="7"/>
  <c r="C1867" i="7"/>
  <c r="C1866" i="7"/>
  <c r="C1865" i="7"/>
  <c r="C1864" i="7"/>
  <c r="C1863" i="7"/>
  <c r="C1862" i="7"/>
  <c r="C1861" i="7"/>
  <c r="C1860" i="7"/>
  <c r="C1859" i="7"/>
  <c r="C1858" i="7"/>
  <c r="C1857" i="7"/>
  <c r="C1856" i="7"/>
  <c r="C1855" i="7"/>
  <c r="C1854" i="7"/>
  <c r="C1853" i="7"/>
  <c r="C1852" i="7"/>
  <c r="C1851" i="7"/>
  <c r="C1850" i="7"/>
  <c r="C1849" i="7"/>
  <c r="C1848" i="7"/>
  <c r="C1847" i="7"/>
  <c r="C1846" i="7"/>
  <c r="C1845" i="7"/>
  <c r="C1844" i="7"/>
  <c r="C1843" i="7"/>
  <c r="C1842" i="7"/>
  <c r="C1841" i="7"/>
  <c r="C1840" i="7"/>
  <c r="C1839" i="7"/>
  <c r="C1838" i="7"/>
  <c r="C1837" i="7"/>
  <c r="C1836" i="7"/>
  <c r="C1835" i="7"/>
  <c r="C1834" i="7"/>
  <c r="C1833" i="7"/>
  <c r="C1832" i="7"/>
  <c r="C1831" i="7"/>
  <c r="C1830" i="7"/>
  <c r="C1829" i="7"/>
  <c r="C1828" i="7"/>
  <c r="C1827" i="7"/>
  <c r="C1826" i="7"/>
  <c r="C1825" i="7"/>
  <c r="C1824" i="7"/>
  <c r="C1823" i="7"/>
  <c r="C1822" i="7"/>
  <c r="C1821" i="7"/>
  <c r="C1820" i="7"/>
  <c r="C1819" i="7"/>
  <c r="C1818" i="7"/>
  <c r="C1817" i="7"/>
  <c r="C1816" i="7"/>
  <c r="C1815" i="7"/>
  <c r="C1814" i="7"/>
  <c r="C1813" i="7"/>
  <c r="C1812" i="7"/>
  <c r="C1811" i="7"/>
  <c r="C1810" i="7"/>
  <c r="C1809" i="7"/>
  <c r="C1808" i="7"/>
  <c r="C1807" i="7"/>
  <c r="C1806" i="7"/>
  <c r="C1805" i="7"/>
  <c r="C1804" i="7"/>
  <c r="C1803" i="7"/>
  <c r="C1802" i="7"/>
  <c r="C1801" i="7"/>
  <c r="C1800" i="7"/>
  <c r="C1799" i="7"/>
  <c r="C1798" i="7"/>
  <c r="C1797" i="7"/>
  <c r="C1796" i="7"/>
  <c r="C1795" i="7"/>
  <c r="C1794" i="7"/>
  <c r="C1793" i="7"/>
  <c r="C1792" i="7"/>
  <c r="C1791" i="7"/>
  <c r="C1790" i="7"/>
  <c r="C1789" i="7"/>
  <c r="C1788" i="7"/>
  <c r="C1787" i="7"/>
  <c r="C1786" i="7"/>
  <c r="C1785" i="7"/>
  <c r="C1784" i="7"/>
  <c r="C1783" i="7"/>
  <c r="C1782" i="7"/>
  <c r="C1781" i="7"/>
  <c r="C1780" i="7"/>
  <c r="C1779" i="7"/>
  <c r="C1778" i="7"/>
  <c r="C1777" i="7"/>
  <c r="C1776" i="7"/>
  <c r="C1775" i="7"/>
  <c r="C1774" i="7"/>
  <c r="C1773" i="7"/>
  <c r="C1772" i="7"/>
  <c r="C1771" i="7"/>
  <c r="C1770" i="7"/>
  <c r="C1769" i="7"/>
  <c r="C1768" i="7"/>
  <c r="C1767" i="7"/>
  <c r="C1766" i="7"/>
  <c r="C1765" i="7"/>
  <c r="C1764" i="7"/>
  <c r="C1763" i="7"/>
  <c r="C1762" i="7"/>
  <c r="C1761" i="7"/>
  <c r="C1760" i="7"/>
  <c r="C1759" i="7"/>
  <c r="C1758" i="7"/>
  <c r="C1757" i="7"/>
  <c r="C1756" i="7"/>
  <c r="C1755" i="7"/>
  <c r="C1754" i="7"/>
  <c r="C1753" i="7"/>
  <c r="C1752" i="7"/>
  <c r="C1751" i="7"/>
  <c r="C1750" i="7"/>
  <c r="C1749" i="7"/>
  <c r="C1748" i="7"/>
  <c r="C1747" i="7"/>
  <c r="C1746" i="7"/>
  <c r="C1745" i="7"/>
  <c r="C1744" i="7"/>
  <c r="C1743" i="7"/>
  <c r="C1742" i="7"/>
  <c r="C1741" i="7"/>
  <c r="C1740" i="7"/>
  <c r="C1739" i="7"/>
  <c r="C1738" i="7"/>
  <c r="C1737" i="7"/>
  <c r="C1736" i="7"/>
  <c r="C1735" i="7"/>
  <c r="C1734" i="7"/>
  <c r="C1733" i="7"/>
  <c r="C1732" i="7"/>
  <c r="C1731" i="7"/>
  <c r="C1730" i="7"/>
  <c r="C1729" i="7"/>
  <c r="C1728" i="7"/>
  <c r="C1727" i="7"/>
  <c r="C1726" i="7"/>
  <c r="C1725" i="7"/>
  <c r="C1724" i="7"/>
  <c r="C1723" i="7"/>
  <c r="C1722" i="7"/>
  <c r="C1721" i="7"/>
  <c r="C1720" i="7"/>
  <c r="C1719" i="7"/>
  <c r="C1718" i="7"/>
  <c r="C1717" i="7"/>
  <c r="C1716" i="7"/>
  <c r="C1715" i="7"/>
  <c r="C1714" i="7"/>
  <c r="C1713" i="7"/>
  <c r="C1712" i="7"/>
  <c r="C1711" i="7"/>
  <c r="C1710" i="7"/>
  <c r="C1709" i="7"/>
  <c r="C1708" i="7"/>
  <c r="C1707" i="7"/>
  <c r="C1706" i="7"/>
  <c r="C1705" i="7"/>
  <c r="C1704" i="7"/>
  <c r="C1703" i="7"/>
  <c r="C1702" i="7"/>
  <c r="C1701" i="7"/>
  <c r="C1700" i="7"/>
  <c r="C1699" i="7"/>
  <c r="C1698" i="7"/>
  <c r="C1697" i="7"/>
  <c r="C1696" i="7"/>
  <c r="C1695" i="7"/>
  <c r="C1694" i="7"/>
  <c r="C1693" i="7"/>
  <c r="C1692" i="7"/>
  <c r="C1691" i="7"/>
  <c r="C1690" i="7"/>
  <c r="C1689" i="7"/>
  <c r="C1688" i="7"/>
  <c r="C1687" i="7"/>
  <c r="C1686" i="7"/>
  <c r="C1685" i="7"/>
  <c r="C1684" i="7"/>
  <c r="C1683" i="7"/>
  <c r="C1682" i="7"/>
  <c r="C1681" i="7"/>
  <c r="C1680" i="7"/>
  <c r="C1679" i="7"/>
  <c r="C1678" i="7"/>
  <c r="C1677" i="7"/>
  <c r="C1676" i="7"/>
  <c r="C1675" i="7"/>
  <c r="C1674" i="7"/>
  <c r="C1673" i="7"/>
  <c r="C1672" i="7"/>
  <c r="C1671" i="7"/>
  <c r="C1670" i="7"/>
  <c r="C1669" i="7"/>
  <c r="C1668" i="7"/>
  <c r="C1667" i="7"/>
  <c r="C1666" i="7"/>
  <c r="C1665" i="7"/>
  <c r="C1664" i="7"/>
  <c r="C1663" i="7"/>
  <c r="C1662" i="7"/>
  <c r="C1661" i="7"/>
  <c r="C1660" i="7"/>
  <c r="C1659" i="7"/>
  <c r="C1658" i="7"/>
  <c r="C1657" i="7"/>
  <c r="C1656" i="7"/>
  <c r="C1655" i="7"/>
  <c r="C1654" i="7"/>
  <c r="C1653" i="7"/>
  <c r="C1652" i="7"/>
  <c r="C1651" i="7"/>
  <c r="C1650" i="7"/>
  <c r="C1649" i="7"/>
  <c r="C1648" i="7"/>
  <c r="C1647" i="7"/>
  <c r="C1646" i="7"/>
  <c r="C1645" i="7"/>
  <c r="C1644" i="7"/>
  <c r="C1643" i="7"/>
  <c r="C1642" i="7"/>
  <c r="C1641" i="7"/>
  <c r="C1640" i="7"/>
  <c r="C1639" i="7"/>
  <c r="C1638" i="7"/>
  <c r="C1637" i="7"/>
  <c r="C1636" i="7"/>
  <c r="C1635" i="7"/>
  <c r="C1634" i="7"/>
  <c r="C1633" i="7"/>
  <c r="C1632" i="7"/>
  <c r="C1631" i="7"/>
  <c r="C1630" i="7"/>
  <c r="C1629" i="7"/>
  <c r="C1628" i="7"/>
  <c r="C1627" i="7"/>
  <c r="C1626" i="7"/>
  <c r="C1625" i="7"/>
  <c r="C1624" i="7"/>
  <c r="C1623" i="7"/>
  <c r="C1622" i="7"/>
  <c r="C1621" i="7"/>
  <c r="C1620" i="7"/>
  <c r="C1619" i="7"/>
  <c r="C1618" i="7"/>
  <c r="C1617" i="7"/>
  <c r="C1616" i="7"/>
  <c r="C1615" i="7"/>
  <c r="C1614" i="7"/>
  <c r="C1613" i="7"/>
  <c r="C1612" i="7"/>
  <c r="C1611" i="7"/>
  <c r="C1610" i="7"/>
  <c r="C1609" i="7"/>
  <c r="C1608" i="7"/>
  <c r="C1607" i="7"/>
  <c r="C1606" i="7"/>
  <c r="C1605" i="7"/>
  <c r="C1604" i="7"/>
  <c r="C1603" i="7"/>
  <c r="C1602" i="7"/>
  <c r="C1601" i="7"/>
  <c r="C1600" i="7"/>
  <c r="C1599" i="7"/>
  <c r="C1598" i="7"/>
  <c r="C1597" i="7"/>
  <c r="C1596" i="7"/>
  <c r="C1595" i="7"/>
  <c r="C1594" i="7"/>
  <c r="C1593" i="7"/>
  <c r="C1592" i="7"/>
  <c r="C1591" i="7"/>
  <c r="C1590" i="7"/>
  <c r="C1589" i="7"/>
  <c r="C1588" i="7"/>
  <c r="C1587" i="7"/>
  <c r="C1586" i="7"/>
  <c r="C1585" i="7"/>
  <c r="C1584" i="7"/>
  <c r="C1583" i="7"/>
  <c r="C1582" i="7"/>
  <c r="C1581" i="7"/>
  <c r="C1580" i="7"/>
  <c r="C1579" i="7"/>
  <c r="C1578" i="7"/>
  <c r="C1577" i="7"/>
  <c r="C1576" i="7"/>
  <c r="C1575" i="7"/>
  <c r="C1574" i="7"/>
  <c r="C1573" i="7"/>
  <c r="C1572" i="7"/>
  <c r="C1571" i="7"/>
  <c r="C1570" i="7"/>
  <c r="C1569" i="7"/>
  <c r="C1568" i="7"/>
  <c r="C1567" i="7"/>
  <c r="C1566" i="7"/>
  <c r="C1565" i="7"/>
  <c r="C1564" i="7"/>
  <c r="C1563" i="7"/>
  <c r="C1562" i="7"/>
  <c r="C1561" i="7"/>
  <c r="C1560" i="7"/>
  <c r="C1559" i="7"/>
  <c r="C1558" i="7"/>
  <c r="C1557" i="7"/>
  <c r="C1556" i="7"/>
  <c r="C1555" i="7"/>
  <c r="C1554" i="7"/>
  <c r="C1553" i="7"/>
  <c r="C1552" i="7"/>
  <c r="C1551" i="7"/>
  <c r="C1550" i="7"/>
  <c r="C1549" i="7"/>
  <c r="C1548" i="7"/>
  <c r="C1547" i="7"/>
  <c r="C1546" i="7"/>
  <c r="C1545" i="7"/>
  <c r="C1544" i="7"/>
  <c r="C1543" i="7"/>
  <c r="C1542" i="7"/>
  <c r="C1541" i="7"/>
  <c r="C1540" i="7"/>
  <c r="C1539" i="7"/>
  <c r="C1538" i="7"/>
  <c r="C1537" i="7"/>
  <c r="C1536" i="7"/>
  <c r="C1535" i="7"/>
  <c r="C1534" i="7"/>
  <c r="C1533" i="7"/>
  <c r="C1532" i="7"/>
  <c r="C1531" i="7"/>
  <c r="C1530" i="7"/>
  <c r="C1529" i="7"/>
  <c r="C1528" i="7"/>
  <c r="C1527" i="7"/>
  <c r="C1526" i="7"/>
  <c r="C1525" i="7"/>
  <c r="C1524" i="7"/>
  <c r="C1523" i="7"/>
  <c r="C1522" i="7"/>
  <c r="C1521" i="7"/>
  <c r="C1520" i="7"/>
  <c r="C1519" i="7"/>
  <c r="C1518" i="7"/>
  <c r="C1517" i="7"/>
  <c r="C1516" i="7"/>
  <c r="C1515" i="7"/>
  <c r="C1514" i="7"/>
  <c r="C1513" i="7"/>
  <c r="C1512" i="7"/>
  <c r="C1511" i="7"/>
  <c r="C1510" i="7"/>
  <c r="C1509" i="7"/>
  <c r="C1508" i="7"/>
  <c r="C1507" i="7"/>
  <c r="C1506" i="7"/>
  <c r="C1505" i="7"/>
  <c r="C1504" i="7"/>
  <c r="C1503" i="7"/>
  <c r="C1502" i="7"/>
  <c r="C1501" i="7"/>
  <c r="C1500" i="7"/>
  <c r="C1499" i="7"/>
  <c r="C1498" i="7"/>
  <c r="C1497" i="7"/>
  <c r="C1496" i="7"/>
  <c r="C1495" i="7"/>
  <c r="C1494" i="7"/>
  <c r="C1493" i="7"/>
  <c r="C1492" i="7"/>
  <c r="C1491" i="7"/>
  <c r="C1490" i="7"/>
  <c r="C1489" i="7"/>
  <c r="C1488" i="7"/>
  <c r="C1487" i="7"/>
  <c r="C1486" i="7"/>
  <c r="C1485" i="7"/>
  <c r="C1484" i="7"/>
  <c r="C1483" i="7"/>
  <c r="C1482" i="7"/>
  <c r="C1481" i="7"/>
  <c r="C1480" i="7"/>
  <c r="C1479" i="7"/>
  <c r="C1478" i="7"/>
  <c r="C1477" i="7"/>
  <c r="C1476" i="7"/>
  <c r="C1475" i="7"/>
  <c r="C1474" i="7"/>
  <c r="C1473" i="7"/>
  <c r="C1472" i="7"/>
  <c r="C1471" i="7"/>
  <c r="C1470" i="7"/>
  <c r="C1469" i="7"/>
  <c r="C1468" i="7"/>
  <c r="C1467" i="7"/>
  <c r="C1466" i="7"/>
  <c r="C1465" i="7"/>
  <c r="C1464" i="7"/>
  <c r="C1463" i="7"/>
  <c r="C1462" i="7"/>
  <c r="C1461" i="7"/>
  <c r="C1460" i="7"/>
  <c r="C1459" i="7"/>
  <c r="C1458" i="7"/>
  <c r="C1457" i="7"/>
  <c r="C1456" i="7"/>
  <c r="C1455" i="7"/>
  <c r="C1454" i="7"/>
  <c r="C1453" i="7"/>
  <c r="C1452" i="7"/>
  <c r="C1451" i="7"/>
  <c r="C1450" i="7"/>
  <c r="C1449" i="7"/>
  <c r="C1448" i="7"/>
  <c r="C1447" i="7"/>
  <c r="C1446" i="7"/>
  <c r="C1445" i="7"/>
  <c r="C1444" i="7"/>
  <c r="C1443" i="7"/>
  <c r="C1442" i="7"/>
  <c r="C1441" i="7"/>
  <c r="C1440" i="7"/>
  <c r="C1439" i="7"/>
  <c r="C1438" i="7"/>
  <c r="C1437" i="7"/>
  <c r="C1436" i="7"/>
  <c r="C1435" i="7"/>
  <c r="C1434" i="7"/>
  <c r="C1433" i="7"/>
  <c r="C1432" i="7"/>
  <c r="C1431" i="7"/>
  <c r="C1430" i="7"/>
  <c r="C1429" i="7"/>
  <c r="C1428" i="7"/>
  <c r="C1427" i="7"/>
  <c r="C1426" i="7"/>
  <c r="C1425" i="7"/>
  <c r="C1424" i="7"/>
  <c r="C1423" i="7"/>
  <c r="C1422" i="7"/>
  <c r="C1421" i="7"/>
  <c r="C1420" i="7"/>
  <c r="C1419" i="7"/>
  <c r="C141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1" i="7" l="1"/>
  <c r="C12" i="7"/>
  <c r="C13" i="7"/>
  <c r="C14" i="7"/>
  <c r="C10" i="7"/>
  <c r="G9" i="3"/>
  <c r="G5" i="3"/>
  <c r="G4" i="3" a="1"/>
  <c r="G4" i="3" s="1"/>
  <c r="G6" i="3"/>
  <c r="G7" i="3"/>
  <c r="G8" i="3"/>
  <c r="G18" i="3" s="1"/>
  <c r="G10" i="3"/>
  <c r="G11" i="3"/>
  <c r="AG6" i="8" l="1"/>
  <c r="AO6" i="8" s="1"/>
  <c r="AJ5" i="8"/>
  <c r="AR5" i="8" s="1"/>
  <c r="AJ6" i="8"/>
  <c r="AR6" i="8" s="1"/>
  <c r="AG5" i="8"/>
  <c r="AO5" i="8" s="1"/>
  <c r="G12" i="3"/>
  <c r="G13" i="3"/>
  <c r="C2510" i="7" a="1"/>
  <c r="G50" i="3"/>
  <c r="G14" i="3"/>
  <c r="G17" i="3" s="1" a="1"/>
  <c r="G17" i="3" s="1"/>
  <c r="G40" i="3" s="1" a="1"/>
  <c r="G40" i="3" s="1"/>
  <c r="K4" i="7" s="1"/>
  <c r="K5" i="7" s="1"/>
  <c r="K6" i="7" s="1"/>
  <c r="J4" i="7" l="1"/>
  <c r="J5" i="7" s="1"/>
  <c r="G48" i="3"/>
  <c r="G49" i="3" s="1"/>
  <c r="G46" i="3"/>
  <c r="G47" i="3" s="1"/>
  <c r="C2510" i="7"/>
  <c r="G19" i="3" a="1"/>
  <c r="G19" i="3" s="1"/>
  <c r="D4587" i="7" s="1"/>
  <c r="L21" i="3"/>
  <c r="D3292" i="7" l="1"/>
  <c r="D2908" i="7"/>
  <c r="D3083" i="7"/>
  <c r="D2697" i="7"/>
  <c r="D2737" i="7"/>
  <c r="D3203" i="7"/>
  <c r="D3268" i="7"/>
  <c r="D3339" i="7"/>
  <c r="D3404" i="7"/>
  <c r="D3475" i="7"/>
  <c r="D2971" i="7"/>
  <c r="D3333" i="7"/>
  <c r="D3255" i="7"/>
  <c r="D3219" i="7"/>
  <c r="D2820" i="7"/>
  <c r="D3659" i="7"/>
  <c r="F3659" i="7" s="1"/>
  <c r="D3819" i="7"/>
  <c r="D3767" i="7"/>
  <c r="D3148" i="7"/>
  <c r="D3459" i="7"/>
  <c r="D2705" i="7"/>
  <c r="D2779" i="7"/>
  <c r="D3899" i="7"/>
  <c r="D4449" i="7"/>
  <c r="D2525" i="7"/>
  <c r="D2542" i="7"/>
  <c r="D2551" i="7"/>
  <c r="D3668" i="7"/>
  <c r="D3669" i="7"/>
  <c r="D2920" i="7"/>
  <c r="D2844" i="7"/>
  <c r="D2538" i="7"/>
  <c r="E2538" i="7" s="1"/>
  <c r="D2555" i="7"/>
  <c r="D2572" i="7"/>
  <c r="D2589" i="7"/>
  <c r="D2606" i="7"/>
  <c r="D2631" i="7"/>
  <c r="D3828" i="7"/>
  <c r="D3845" i="7"/>
  <c r="D3704" i="7"/>
  <c r="D2743" i="7"/>
  <c r="D3524" i="7"/>
  <c r="D3795" i="7"/>
  <c r="D3493" i="7"/>
  <c r="D2713" i="7"/>
  <c r="D2602" i="7"/>
  <c r="D2619" i="7"/>
  <c r="D2636" i="7"/>
  <c r="E2636" i="7" s="1"/>
  <c r="D2653" i="7"/>
  <c r="D2670" i="7"/>
  <c r="D2731" i="7"/>
  <c r="D4277" i="7"/>
  <c r="D4284" i="7"/>
  <c r="D3817" i="7"/>
  <c r="D3012" i="7"/>
  <c r="D3157" i="7"/>
  <c r="E3157" i="7" s="1"/>
  <c r="D2625" i="7"/>
  <c r="D3826" i="7"/>
  <c r="D2947" i="7"/>
  <c r="D2640" i="7"/>
  <c r="D2756" i="7"/>
  <c r="D3988" i="7"/>
  <c r="D2876" i="7"/>
  <c r="D2666" i="7"/>
  <c r="F2666" i="7" s="1"/>
  <c r="D2683" i="7"/>
  <c r="D2700" i="7"/>
  <c r="D2717" i="7"/>
  <c r="D2748" i="7"/>
  <c r="D3188" i="7"/>
  <c r="D2821" i="7"/>
  <c r="D3078" i="7"/>
  <c r="D2689" i="7"/>
  <c r="D2721" i="7"/>
  <c r="D2739" i="7"/>
  <c r="D2785" i="7"/>
  <c r="D2828" i="7"/>
  <c r="D2892" i="7"/>
  <c r="D2963" i="7"/>
  <c r="D3875" i="7"/>
  <c r="D2981" i="7"/>
  <c r="E2981" i="7" s="1"/>
  <c r="D3590" i="7"/>
  <c r="D3947" i="7"/>
  <c r="D2940" i="7"/>
  <c r="D3004" i="7"/>
  <c r="D2610" i="7"/>
  <c r="D2761" i="7"/>
  <c r="D3235" i="7"/>
  <c r="D4116" i="7"/>
  <c r="E4116" i="7" s="1"/>
  <c r="D2627" i="7"/>
  <c r="D2804" i="7"/>
  <c r="E2804" i="7" s="1"/>
  <c r="D3044" i="7"/>
  <c r="D3587" i="7"/>
  <c r="D2516" i="7"/>
  <c r="D2580" i="7"/>
  <c r="D2644" i="7"/>
  <c r="D2708" i="7"/>
  <c r="E2708" i="7" s="1"/>
  <c r="D2859" i="7"/>
  <c r="D3115" i="7"/>
  <c r="D3371" i="7"/>
  <c r="D3723" i="7"/>
  <c r="D2533" i="7"/>
  <c r="D2597" i="7"/>
  <c r="D2661" i="7"/>
  <c r="D2729" i="7"/>
  <c r="F2729" i="7" s="1"/>
  <c r="D2924" i="7"/>
  <c r="D3180" i="7"/>
  <c r="D3436" i="7"/>
  <c r="D3859" i="7"/>
  <c r="D2550" i="7"/>
  <c r="D2614" i="7"/>
  <c r="D2678" i="7"/>
  <c r="D2771" i="7"/>
  <c r="E2771" i="7" s="1"/>
  <c r="D2995" i="7"/>
  <c r="D3251" i="7"/>
  <c r="D3507" i="7"/>
  <c r="D4244" i="7"/>
  <c r="D2559" i="7"/>
  <c r="D2647" i="7"/>
  <c r="D2753" i="7"/>
  <c r="D3220" i="7"/>
  <c r="D4020" i="7"/>
  <c r="D2656" i="7"/>
  <c r="D3099" i="7"/>
  <c r="D4052" i="7"/>
  <c r="D3684" i="7"/>
  <c r="D3860" i="7"/>
  <c r="D4347" i="7"/>
  <c r="D2837" i="7"/>
  <c r="E2837" i="7" s="1"/>
  <c r="D3013" i="7"/>
  <c r="D3173" i="7"/>
  <c r="E3173" i="7" s="1"/>
  <c r="D3349" i="7"/>
  <c r="D3525" i="7"/>
  <c r="D3685" i="7"/>
  <c r="D3861" i="7"/>
  <c r="D4464" i="7"/>
  <c r="D3142" i="7"/>
  <c r="F3142" i="7" s="1"/>
  <c r="D3654" i="7"/>
  <c r="D2807" i="7"/>
  <c r="E2807" i="7" s="1"/>
  <c r="D3319" i="7"/>
  <c r="D3831" i="7"/>
  <c r="D2984" i="7"/>
  <c r="D3864" i="7"/>
  <c r="D4236" i="7"/>
  <c r="D4269" i="7"/>
  <c r="E4269" i="7" s="1"/>
  <c r="D83" i="7"/>
  <c r="D635" i="7"/>
  <c r="D1219" i="7"/>
  <c r="D115" i="7"/>
  <c r="D523" i="7"/>
  <c r="D971" i="7"/>
  <c r="D1419" i="7"/>
  <c r="D1763" i="7"/>
  <c r="E1763" i="7" s="1"/>
  <c r="D1963" i="7"/>
  <c r="D2413" i="7"/>
  <c r="E2413" i="7" s="1"/>
  <c r="D20" i="7"/>
  <c r="D84" i="7"/>
  <c r="D148" i="7"/>
  <c r="D212" i="7"/>
  <c r="D276" i="7"/>
  <c r="D340" i="7"/>
  <c r="E340" i="7" s="1"/>
  <c r="D259" i="7"/>
  <c r="D827" i="7"/>
  <c r="D1371" i="7"/>
  <c r="D2349" i="7"/>
  <c r="D323" i="7"/>
  <c r="D939" i="7"/>
  <c r="D1403" i="7"/>
  <c r="D1787" i="7"/>
  <c r="F1787" i="7" s="1"/>
  <c r="D2509" i="7"/>
  <c r="D37" i="7"/>
  <c r="D101" i="7"/>
  <c r="D165" i="7"/>
  <c r="D229" i="7"/>
  <c r="D54" i="7"/>
  <c r="D155" i="7"/>
  <c r="D643" i="7"/>
  <c r="D1099" i="7"/>
  <c r="D1547" i="7"/>
  <c r="F1547" i="7" s="1"/>
  <c r="D1899" i="7"/>
  <c r="D31" i="7"/>
  <c r="D95" i="7"/>
  <c r="D159" i="7"/>
  <c r="D223" i="7"/>
  <c r="D287" i="7"/>
  <c r="D351" i="7"/>
  <c r="D415" i="7"/>
  <c r="D479" i="7"/>
  <c r="D51" i="7"/>
  <c r="D539" i="7"/>
  <c r="D1035" i="7"/>
  <c r="D32" i="7"/>
  <c r="D144" i="7"/>
  <c r="D208" i="7"/>
  <c r="D272" i="7"/>
  <c r="D336" i="7"/>
  <c r="D123" i="7"/>
  <c r="D667" i="7"/>
  <c r="D1115" i="7"/>
  <c r="D1571" i="7"/>
  <c r="D72" i="7"/>
  <c r="D89" i="7"/>
  <c r="D193" i="7"/>
  <c r="D265" i="7"/>
  <c r="D329" i="7"/>
  <c r="D393" i="7"/>
  <c r="D457" i="7"/>
  <c r="D521" i="7"/>
  <c r="D585" i="7"/>
  <c r="D649" i="7"/>
  <c r="D603" i="7"/>
  <c r="D1163" i="7"/>
  <c r="D1683" i="7"/>
  <c r="D41" i="7"/>
  <c r="D18" i="7"/>
  <c r="D82" i="7"/>
  <c r="D146" i="7"/>
  <c r="D210" i="7"/>
  <c r="D274" i="7"/>
  <c r="E274" i="7" s="1"/>
  <c r="D338" i="7"/>
  <c r="D402" i="7"/>
  <c r="D2277" i="7"/>
  <c r="D436" i="7"/>
  <c r="D500" i="7"/>
  <c r="D564" i="7"/>
  <c r="D628" i="7"/>
  <c r="D692" i="7"/>
  <c r="D756" i="7"/>
  <c r="D820" i="7"/>
  <c r="D884" i="7"/>
  <c r="D948" i="7"/>
  <c r="D1012" i="7"/>
  <c r="D293" i="7"/>
  <c r="D357" i="7"/>
  <c r="D421" i="7"/>
  <c r="F421" i="7" s="1"/>
  <c r="D485" i="7"/>
  <c r="D549" i="7"/>
  <c r="D613" i="7"/>
  <c r="D677" i="7"/>
  <c r="D741" i="7"/>
  <c r="D805" i="7"/>
  <c r="D869" i="7"/>
  <c r="D102" i="7"/>
  <c r="D166" i="7"/>
  <c r="D230" i="7"/>
  <c r="D294" i="7"/>
  <c r="D358" i="7"/>
  <c r="D422" i="7"/>
  <c r="D486" i="7"/>
  <c r="D550" i="7"/>
  <c r="D551" i="7"/>
  <c r="D392" i="7"/>
  <c r="D456" i="7"/>
  <c r="D520" i="7"/>
  <c r="D584" i="7"/>
  <c r="D648" i="7"/>
  <c r="D697" i="7"/>
  <c r="D761" i="7"/>
  <c r="D825" i="7"/>
  <c r="D889" i="7"/>
  <c r="D953" i="7"/>
  <c r="D1017" i="7"/>
  <c r="D1081" i="7"/>
  <c r="D1145" i="7"/>
  <c r="D1209" i="7"/>
  <c r="D1273" i="7"/>
  <c r="D426" i="7"/>
  <c r="D490" i="7"/>
  <c r="D554" i="7"/>
  <c r="D618" i="7"/>
  <c r="D682" i="7"/>
  <c r="D746" i="7"/>
  <c r="D810" i="7"/>
  <c r="F810" i="7" s="1"/>
  <c r="D874" i="7"/>
  <c r="D139" i="7"/>
  <c r="D699" i="7"/>
  <c r="D1307" i="7"/>
  <c r="D163" i="7"/>
  <c r="D579" i="7"/>
  <c r="D1027" i="7"/>
  <c r="D1475" i="7"/>
  <c r="E1475" i="7" s="1"/>
  <c r="D1803" i="7"/>
  <c r="D2003" i="7"/>
  <c r="E2003" i="7" s="1"/>
  <c r="D2405" i="7"/>
  <c r="D28" i="7"/>
  <c r="D92" i="7"/>
  <c r="D156" i="7"/>
  <c r="D220" i="7"/>
  <c r="D284" i="7"/>
  <c r="D348" i="7"/>
  <c r="D331" i="7"/>
  <c r="E331" i="7" s="1"/>
  <c r="D875" i="7"/>
  <c r="D1427" i="7"/>
  <c r="D261" i="7"/>
  <c r="D387" i="7"/>
  <c r="D1003" i="7"/>
  <c r="D1459" i="7"/>
  <c r="D1811" i="7"/>
  <c r="D2485" i="7"/>
  <c r="D45" i="7"/>
  <c r="D109" i="7"/>
  <c r="D173" i="7"/>
  <c r="D237" i="7"/>
  <c r="D62" i="7"/>
  <c r="D227" i="7"/>
  <c r="E227" i="7" s="1"/>
  <c r="D707" i="7"/>
  <c r="D1147" i="7"/>
  <c r="D1595" i="7"/>
  <c r="D1923" i="7"/>
  <c r="D39" i="7"/>
  <c r="D103" i="7"/>
  <c r="D167" i="7"/>
  <c r="D231" i="7"/>
  <c r="D295" i="7"/>
  <c r="D359" i="7"/>
  <c r="D423" i="7"/>
  <c r="D487" i="7"/>
  <c r="D107" i="7"/>
  <c r="D595" i="7"/>
  <c r="D1107" i="7"/>
  <c r="D56" i="7"/>
  <c r="D152" i="7"/>
  <c r="D216" i="7"/>
  <c r="D280" i="7"/>
  <c r="D344" i="7"/>
  <c r="D179" i="7"/>
  <c r="D731" i="7"/>
  <c r="D1171" i="7"/>
  <c r="D1619" i="7"/>
  <c r="D88" i="7"/>
  <c r="D97" i="7"/>
  <c r="D201" i="7"/>
  <c r="D273" i="7"/>
  <c r="D337" i="7"/>
  <c r="D401" i="7"/>
  <c r="D465" i="7"/>
  <c r="D529" i="7"/>
  <c r="D593" i="7"/>
  <c r="D27" i="7"/>
  <c r="D675" i="7"/>
  <c r="D1251" i="7"/>
  <c r="D1747" i="7"/>
  <c r="D65" i="7"/>
  <c r="D26" i="7"/>
  <c r="D90" i="7"/>
  <c r="D154" i="7"/>
  <c r="D218" i="7"/>
  <c r="E218" i="7" s="1"/>
  <c r="D282" i="7"/>
  <c r="D346" i="7"/>
  <c r="D410" i="7"/>
  <c r="D380" i="7"/>
  <c r="D444" i="7"/>
  <c r="D508" i="7"/>
  <c r="D572" i="7"/>
  <c r="D636" i="7"/>
  <c r="D700" i="7"/>
  <c r="D764" i="7"/>
  <c r="D828" i="7"/>
  <c r="D892" i="7"/>
  <c r="D956" i="7"/>
  <c r="D1020" i="7"/>
  <c r="D301" i="7"/>
  <c r="D365" i="7"/>
  <c r="D429" i="7"/>
  <c r="D493" i="7"/>
  <c r="D557" i="7"/>
  <c r="D621" i="7"/>
  <c r="D685" i="7"/>
  <c r="D749" i="7"/>
  <c r="D813" i="7"/>
  <c r="D877" i="7"/>
  <c r="D110" i="7"/>
  <c r="D174" i="7"/>
  <c r="D238" i="7"/>
  <c r="D302" i="7"/>
  <c r="D366" i="7"/>
  <c r="D430" i="7"/>
  <c r="D494" i="7"/>
  <c r="D558" i="7"/>
  <c r="D559" i="7"/>
  <c r="D400" i="7"/>
  <c r="D464" i="7"/>
  <c r="D528" i="7"/>
  <c r="D592" i="7"/>
  <c r="D656" i="7"/>
  <c r="D705" i="7"/>
  <c r="D769" i="7"/>
  <c r="D833" i="7"/>
  <c r="D897" i="7"/>
  <c r="D961" i="7"/>
  <c r="D1025" i="7"/>
  <c r="D1089" i="7"/>
  <c r="D1153" i="7"/>
  <c r="D1217" i="7"/>
  <c r="D1281" i="7"/>
  <c r="D434" i="7"/>
  <c r="D498" i="7"/>
  <c r="D562" i="7"/>
  <c r="D626" i="7"/>
  <c r="D690" i="7"/>
  <c r="D754" i="7"/>
  <c r="D818" i="7"/>
  <c r="D882" i="7"/>
  <c r="E882" i="7" s="1"/>
  <c r="D946" i="7"/>
  <c r="D1010" i="7"/>
  <c r="D1074" i="7"/>
  <c r="D2213" i="7"/>
  <c r="D2149" i="7"/>
  <c r="D2085" i="7"/>
  <c r="D2021" i="7"/>
  <c r="D1108" i="7"/>
  <c r="F1108" i="7" s="1"/>
  <c r="D1172" i="7"/>
  <c r="D1236" i="7"/>
  <c r="D1300" i="7"/>
  <c r="D1364" i="7"/>
  <c r="D1428" i="7"/>
  <c r="D1492" i="7"/>
  <c r="E1492" i="7" s="1"/>
  <c r="D1556" i="7"/>
  <c r="D1620" i="7"/>
  <c r="D1684" i="7"/>
  <c r="D989" i="7"/>
  <c r="D1053" i="7"/>
  <c r="D1117" i="7"/>
  <c r="D1181" i="7"/>
  <c r="D1245" i="7"/>
  <c r="D1309" i="7"/>
  <c r="D1373" i="7"/>
  <c r="E1373" i="7" s="1"/>
  <c r="D1437" i="7"/>
  <c r="D1501" i="7"/>
  <c r="D1565" i="7"/>
  <c r="D622" i="7"/>
  <c r="D686" i="7"/>
  <c r="D750" i="7"/>
  <c r="D814" i="7"/>
  <c r="D878" i="7"/>
  <c r="D942" i="7"/>
  <c r="D1006" i="7"/>
  <c r="D1070" i="7"/>
  <c r="D1134" i="7"/>
  <c r="D1198" i="7"/>
  <c r="D655" i="7"/>
  <c r="D719" i="7"/>
  <c r="D783" i="7"/>
  <c r="D847" i="7"/>
  <c r="D203" i="7"/>
  <c r="D779" i="7"/>
  <c r="D1387" i="7"/>
  <c r="D219" i="7"/>
  <c r="D651" i="7"/>
  <c r="D1075" i="7"/>
  <c r="D1531" i="7"/>
  <c r="E1531" i="7" s="1"/>
  <c r="D1835" i="7"/>
  <c r="D2493" i="7"/>
  <c r="D2397" i="7"/>
  <c r="D36" i="7"/>
  <c r="D100" i="7"/>
  <c r="D164" i="7"/>
  <c r="E164" i="7" s="1"/>
  <c r="D228" i="7"/>
  <c r="D292" i="7"/>
  <c r="E292" i="7" s="1"/>
  <c r="D356" i="7"/>
  <c r="D395" i="7"/>
  <c r="D955" i="7"/>
  <c r="D1491" i="7"/>
  <c r="D269" i="7"/>
  <c r="D451" i="7"/>
  <c r="F451" i="7" s="1"/>
  <c r="D1059" i="7"/>
  <c r="D1515" i="7"/>
  <c r="F1515" i="7" s="1"/>
  <c r="D1843" i="7"/>
  <c r="D2469" i="7"/>
  <c r="D53" i="7"/>
  <c r="D117" i="7"/>
  <c r="D181" i="7"/>
  <c r="D245" i="7"/>
  <c r="E245" i="7" s="1"/>
  <c r="D70" i="7"/>
  <c r="D291" i="7"/>
  <c r="E291" i="7" s="1"/>
  <c r="D755" i="7"/>
  <c r="D1211" i="7"/>
  <c r="D1659" i="7"/>
  <c r="D1947" i="7"/>
  <c r="D47" i="7"/>
  <c r="D111" i="7"/>
  <c r="D175" i="7"/>
  <c r="D239" i="7"/>
  <c r="D303" i="7"/>
  <c r="D367" i="7"/>
  <c r="D431" i="7"/>
  <c r="D495" i="7"/>
  <c r="D171" i="7"/>
  <c r="D659" i="7"/>
  <c r="F659" i="7" s="1"/>
  <c r="D1179" i="7"/>
  <c r="D80" i="7"/>
  <c r="D160" i="7"/>
  <c r="D224" i="7"/>
  <c r="D288" i="7"/>
  <c r="D352" i="7"/>
  <c r="D243" i="7"/>
  <c r="D787" i="7"/>
  <c r="E787" i="7" s="1"/>
  <c r="D1203" i="7"/>
  <c r="D1667" i="7"/>
  <c r="E1667" i="7" s="1"/>
  <c r="D17" i="7"/>
  <c r="D105" i="7"/>
  <c r="D217" i="7"/>
  <c r="D281" i="7"/>
  <c r="D345" i="7"/>
  <c r="D409" i="7"/>
  <c r="D473" i="7"/>
  <c r="D537" i="7"/>
  <c r="D601" i="7"/>
  <c r="D187" i="7"/>
  <c r="D739" i="7"/>
  <c r="D1323" i="7"/>
  <c r="D1971" i="7"/>
  <c r="D121" i="7"/>
  <c r="D34" i="7"/>
  <c r="D98" i="7"/>
  <c r="D162" i="7"/>
  <c r="D226" i="7"/>
  <c r="D290" i="7"/>
  <c r="D354" i="7"/>
  <c r="D418" i="7"/>
  <c r="D388" i="7"/>
  <c r="D452" i="7"/>
  <c r="D516" i="7"/>
  <c r="E516" i="7" s="1"/>
  <c r="D580" i="7"/>
  <c r="D644" i="7"/>
  <c r="D708" i="7"/>
  <c r="D772" i="7"/>
  <c r="D836" i="7"/>
  <c r="D900" i="7"/>
  <c r="E900" i="7" s="1"/>
  <c r="D964" i="7"/>
  <c r="D1028" i="7"/>
  <c r="E1028" i="7" s="1"/>
  <c r="D309" i="7"/>
  <c r="D373" i="7"/>
  <c r="D437" i="7"/>
  <c r="D501" i="7"/>
  <c r="D565" i="7"/>
  <c r="D629" i="7"/>
  <c r="E629" i="7" s="1"/>
  <c r="D693" i="7"/>
  <c r="D757" i="7"/>
  <c r="D821" i="7"/>
  <c r="D885" i="7"/>
  <c r="D118" i="7"/>
  <c r="D182" i="7"/>
  <c r="D246" i="7"/>
  <c r="D310" i="7"/>
  <c r="D374" i="7"/>
  <c r="D438" i="7"/>
  <c r="D502" i="7"/>
  <c r="D566" i="7"/>
  <c r="D567" i="7"/>
  <c r="D408" i="7"/>
  <c r="D472" i="7"/>
  <c r="D536" i="7"/>
  <c r="D600" i="7"/>
  <c r="D664" i="7"/>
  <c r="D713" i="7"/>
  <c r="D777" i="7"/>
  <c r="D841" i="7"/>
  <c r="D905" i="7"/>
  <c r="D969" i="7"/>
  <c r="D1033" i="7"/>
  <c r="D1097" i="7"/>
  <c r="D1161" i="7"/>
  <c r="D1225" i="7"/>
  <c r="D1289" i="7"/>
  <c r="D442" i="7"/>
  <c r="D506" i="7"/>
  <c r="D570" i="7"/>
  <c r="D634" i="7"/>
  <c r="D698" i="7"/>
  <c r="D762" i="7"/>
  <c r="E762" i="7" s="1"/>
  <c r="D826" i="7"/>
  <c r="D890" i="7"/>
  <c r="D954" i="7"/>
  <c r="D1018" i="7"/>
  <c r="D2269" i="7"/>
  <c r="D2205" i="7"/>
  <c r="E2205" i="7" s="1"/>
  <c r="D2141" i="7"/>
  <c r="D2077" i="7"/>
  <c r="E2077" i="7" s="1"/>
  <c r="D2013" i="7"/>
  <c r="D1116" i="7"/>
  <c r="D1180" i="7"/>
  <c r="D1244" i="7"/>
  <c r="D1308" i="7"/>
  <c r="D1372" i="7"/>
  <c r="D1436" i="7"/>
  <c r="D1500" i="7"/>
  <c r="E1500" i="7" s="1"/>
  <c r="D1564" i="7"/>
  <c r="D1628" i="7"/>
  <c r="D283" i="7"/>
  <c r="D843" i="7"/>
  <c r="D1451" i="7"/>
  <c r="D267" i="7"/>
  <c r="D715" i="7"/>
  <c r="D1131" i="7"/>
  <c r="D1563" i="7"/>
  <c r="D1851" i="7"/>
  <c r="D2477" i="7"/>
  <c r="D2389" i="7"/>
  <c r="D44" i="7"/>
  <c r="D108" i="7"/>
  <c r="D172" i="7"/>
  <c r="D236" i="7"/>
  <c r="F236" i="7" s="1"/>
  <c r="D300" i="7"/>
  <c r="D364" i="7"/>
  <c r="D475" i="7"/>
  <c r="D1019" i="7"/>
  <c r="D1587" i="7"/>
  <c r="D35" i="7"/>
  <c r="F35" i="7" s="1"/>
  <c r="D507" i="7"/>
  <c r="D1123" i="7"/>
  <c r="D1555" i="7"/>
  <c r="D1859" i="7"/>
  <c r="D2453" i="7"/>
  <c r="D61" i="7"/>
  <c r="D125" i="7"/>
  <c r="D189" i="7"/>
  <c r="E189" i="7" s="1"/>
  <c r="D253" i="7"/>
  <c r="D78" i="7"/>
  <c r="D355" i="7"/>
  <c r="D811" i="7"/>
  <c r="D1275" i="7"/>
  <c r="D1707" i="7"/>
  <c r="D1979" i="7"/>
  <c r="D55" i="7"/>
  <c r="D119" i="7"/>
  <c r="D183" i="7"/>
  <c r="D247" i="7"/>
  <c r="D311" i="7"/>
  <c r="D375" i="7"/>
  <c r="D439" i="7"/>
  <c r="D503" i="7"/>
  <c r="D235" i="7"/>
  <c r="E235" i="7" s="1"/>
  <c r="D723" i="7"/>
  <c r="D1235" i="7"/>
  <c r="D104" i="7"/>
  <c r="D168" i="7"/>
  <c r="D232" i="7"/>
  <c r="D296" i="7"/>
  <c r="D360" i="7"/>
  <c r="D307" i="7"/>
  <c r="E307" i="7" s="1"/>
  <c r="D835" i="7"/>
  <c r="D1267" i="7"/>
  <c r="E1267" i="7" s="1"/>
  <c r="D1715" i="7"/>
  <c r="D33" i="7"/>
  <c r="D113" i="7"/>
  <c r="D225" i="7"/>
  <c r="D289" i="7"/>
  <c r="D353" i="7"/>
  <c r="D417" i="7"/>
  <c r="D481" i="7"/>
  <c r="D545" i="7"/>
  <c r="D609" i="7"/>
  <c r="D251" i="7"/>
  <c r="D803" i="7"/>
  <c r="D1379" i="7"/>
  <c r="D16" i="7"/>
  <c r="D137" i="7"/>
  <c r="D42" i="7"/>
  <c r="D106" i="7"/>
  <c r="D170" i="7"/>
  <c r="D234" i="7"/>
  <c r="D298" i="7"/>
  <c r="D362" i="7"/>
  <c r="D2317" i="7"/>
  <c r="F2317" i="7" s="1"/>
  <c r="D396" i="7"/>
  <c r="D460" i="7"/>
  <c r="D524" i="7"/>
  <c r="D588" i="7"/>
  <c r="D652" i="7"/>
  <c r="D716" i="7"/>
  <c r="D780" i="7"/>
  <c r="D844" i="7"/>
  <c r="D908" i="7"/>
  <c r="D972" i="7"/>
  <c r="D1036" i="7"/>
  <c r="D317" i="7"/>
  <c r="D381" i="7"/>
  <c r="D445" i="7"/>
  <c r="D509" i="7"/>
  <c r="D573" i="7"/>
  <c r="D637" i="7"/>
  <c r="D701" i="7"/>
  <c r="D765" i="7"/>
  <c r="D829" i="7"/>
  <c r="D893" i="7"/>
  <c r="D126" i="7"/>
  <c r="D190" i="7"/>
  <c r="D254" i="7"/>
  <c r="D318" i="7"/>
  <c r="D382" i="7"/>
  <c r="D446" i="7"/>
  <c r="D510" i="7"/>
  <c r="D574" i="7"/>
  <c r="D575" i="7"/>
  <c r="D416" i="7"/>
  <c r="D480" i="7"/>
  <c r="D544" i="7"/>
  <c r="D608" i="7"/>
  <c r="D657" i="7"/>
  <c r="D721" i="7"/>
  <c r="D785" i="7"/>
  <c r="D849" i="7"/>
  <c r="D913" i="7"/>
  <c r="D977" i="7"/>
  <c r="D1041" i="7"/>
  <c r="D1105" i="7"/>
  <c r="D1169" i="7"/>
  <c r="D1233" i="7"/>
  <c r="D1297" i="7"/>
  <c r="D450" i="7"/>
  <c r="D514" i="7"/>
  <c r="D578" i="7"/>
  <c r="E578" i="7" s="1"/>
  <c r="D642" i="7"/>
  <c r="D706" i="7"/>
  <c r="D770" i="7"/>
  <c r="D834" i="7"/>
  <c r="D898" i="7"/>
  <c r="D962" i="7"/>
  <c r="D1026" i="7"/>
  <c r="D2261" i="7"/>
  <c r="D2197" i="7"/>
  <c r="D2133" i="7"/>
  <c r="D2069" i="7"/>
  <c r="D1060" i="7"/>
  <c r="D1124" i="7"/>
  <c r="D347" i="7"/>
  <c r="D899" i="7"/>
  <c r="D1539" i="7"/>
  <c r="D315" i="7"/>
  <c r="D771" i="7"/>
  <c r="E771" i="7" s="1"/>
  <c r="D1195" i="7"/>
  <c r="D1611" i="7"/>
  <c r="D1875" i="7"/>
  <c r="D2461" i="7"/>
  <c r="D2381" i="7"/>
  <c r="D52" i="7"/>
  <c r="E52" i="7" s="1"/>
  <c r="D116" i="7"/>
  <c r="D180" i="7"/>
  <c r="D244" i="7"/>
  <c r="D308" i="7"/>
  <c r="D372" i="7"/>
  <c r="D547" i="7"/>
  <c r="D1091" i="7"/>
  <c r="D1627" i="7"/>
  <c r="E1627" i="7" s="1"/>
  <c r="D91" i="7"/>
  <c r="D555" i="7"/>
  <c r="E555" i="7" s="1"/>
  <c r="D1187" i="7"/>
  <c r="D1603" i="7"/>
  <c r="D1883" i="7"/>
  <c r="D2437" i="7"/>
  <c r="D69" i="7"/>
  <c r="D133" i="7"/>
  <c r="D197" i="7"/>
  <c r="D22" i="7"/>
  <c r="D86" i="7"/>
  <c r="D419" i="7"/>
  <c r="D859" i="7"/>
  <c r="D1331" i="7"/>
  <c r="D1755" i="7"/>
  <c r="D2501" i="7"/>
  <c r="D63" i="7"/>
  <c r="D127" i="7"/>
  <c r="D191" i="7"/>
  <c r="D255" i="7"/>
  <c r="D319" i="7"/>
  <c r="D383" i="7"/>
  <c r="D447" i="7"/>
  <c r="D511" i="7"/>
  <c r="D299" i="7"/>
  <c r="D795" i="7"/>
  <c r="E795" i="7" s="1"/>
  <c r="D1291" i="7"/>
  <c r="D112" i="7"/>
  <c r="D176" i="7"/>
  <c r="D240" i="7"/>
  <c r="D304" i="7"/>
  <c r="D368" i="7"/>
  <c r="D371" i="7"/>
  <c r="D891" i="7"/>
  <c r="E891" i="7" s="1"/>
  <c r="D1347" i="7"/>
  <c r="D1779" i="7"/>
  <c r="D49" i="7"/>
  <c r="D129" i="7"/>
  <c r="D233" i="7"/>
  <c r="D297" i="7"/>
  <c r="D361" i="7"/>
  <c r="D425" i="7"/>
  <c r="D489" i="7"/>
  <c r="D553" i="7"/>
  <c r="D617" i="7"/>
  <c r="D339" i="7"/>
  <c r="D883" i="7"/>
  <c r="D1435" i="7"/>
  <c r="D40" i="7"/>
  <c r="D153" i="7"/>
  <c r="D50" i="7"/>
  <c r="D114" i="7"/>
  <c r="D178" i="7"/>
  <c r="D242" i="7"/>
  <c r="D306" i="7"/>
  <c r="D370" i="7"/>
  <c r="F370" i="7" s="1"/>
  <c r="D2309" i="7"/>
  <c r="D404" i="7"/>
  <c r="D468" i="7"/>
  <c r="D532" i="7"/>
  <c r="D596" i="7"/>
  <c r="D660" i="7"/>
  <c r="D724" i="7"/>
  <c r="D788" i="7"/>
  <c r="D852" i="7"/>
  <c r="D916" i="7"/>
  <c r="D980" i="7"/>
  <c r="F980" i="7" s="1"/>
  <c r="D1044" i="7"/>
  <c r="D325" i="7"/>
  <c r="D389" i="7"/>
  <c r="D453" i="7"/>
  <c r="D517" i="7"/>
  <c r="D581" i="7"/>
  <c r="D645" i="7"/>
  <c r="E645" i="7" s="1"/>
  <c r="D709" i="7"/>
  <c r="D773" i="7"/>
  <c r="D837" i="7"/>
  <c r="D901" i="7"/>
  <c r="D134" i="7"/>
  <c r="D198" i="7"/>
  <c r="D262" i="7"/>
  <c r="D326" i="7"/>
  <c r="D390" i="7"/>
  <c r="D454" i="7"/>
  <c r="D518" i="7"/>
  <c r="D582" i="7"/>
  <c r="D583" i="7"/>
  <c r="D424" i="7"/>
  <c r="D488" i="7"/>
  <c r="D552" i="7"/>
  <c r="D616" i="7"/>
  <c r="D665" i="7"/>
  <c r="D729" i="7"/>
  <c r="D793" i="7"/>
  <c r="D857" i="7"/>
  <c r="D921" i="7"/>
  <c r="D985" i="7"/>
  <c r="D1049" i="7"/>
  <c r="D1113" i="7"/>
  <c r="D1177" i="7"/>
  <c r="D1241" i="7"/>
  <c r="D1305" i="7"/>
  <c r="D491" i="7"/>
  <c r="D1067" i="7"/>
  <c r="D2325" i="7"/>
  <c r="D443" i="7"/>
  <c r="D867" i="7"/>
  <c r="D1299" i="7"/>
  <c r="D1691" i="7"/>
  <c r="D1915" i="7"/>
  <c r="D2429" i="7"/>
  <c r="D2357" i="7"/>
  <c r="E2357" i="7" s="1"/>
  <c r="D68" i="7"/>
  <c r="D132" i="7"/>
  <c r="D196" i="7"/>
  <c r="F196" i="7" s="1"/>
  <c r="D260" i="7"/>
  <c r="D324" i="7"/>
  <c r="D131" i="7"/>
  <c r="D683" i="7"/>
  <c r="D1243" i="7"/>
  <c r="E1243" i="7" s="1"/>
  <c r="D1731" i="7"/>
  <c r="D211" i="7"/>
  <c r="F211" i="7" s="1"/>
  <c r="D691" i="7"/>
  <c r="E691" i="7" s="1"/>
  <c r="D1283" i="7"/>
  <c r="D1699" i="7"/>
  <c r="D1931" i="7"/>
  <c r="D21" i="7"/>
  <c r="D85" i="7"/>
  <c r="E85" i="7" s="1"/>
  <c r="D149" i="7"/>
  <c r="D213" i="7"/>
  <c r="E213" i="7" s="1"/>
  <c r="D38" i="7"/>
  <c r="D43" i="7"/>
  <c r="D515" i="7"/>
  <c r="D979" i="7"/>
  <c r="D1443" i="7"/>
  <c r="D1827" i="7"/>
  <c r="D15" i="7"/>
  <c r="D79" i="7"/>
  <c r="D143" i="7"/>
  <c r="D207" i="7"/>
  <c r="D271" i="7"/>
  <c r="D335" i="7"/>
  <c r="D399" i="7"/>
  <c r="D463" i="7"/>
  <c r="D527" i="7"/>
  <c r="D427" i="7"/>
  <c r="D907" i="7"/>
  <c r="D1483" i="7"/>
  <c r="D128" i="7"/>
  <c r="D192" i="7"/>
  <c r="D256" i="7"/>
  <c r="D320" i="7"/>
  <c r="D19" i="7"/>
  <c r="D571" i="7"/>
  <c r="D995" i="7"/>
  <c r="E995" i="7" s="1"/>
  <c r="D1467" i="7"/>
  <c r="D24" i="7"/>
  <c r="D73" i="7"/>
  <c r="D161" i="7"/>
  <c r="D249" i="7"/>
  <c r="D313" i="7"/>
  <c r="D377" i="7"/>
  <c r="D441" i="7"/>
  <c r="D505" i="7"/>
  <c r="D569" i="7"/>
  <c r="D633" i="7"/>
  <c r="D467" i="7"/>
  <c r="D1011" i="7"/>
  <c r="D1579" i="7"/>
  <c r="D96" i="7"/>
  <c r="D185" i="7"/>
  <c r="D66" i="7"/>
  <c r="D130" i="7"/>
  <c r="D194" i="7"/>
  <c r="D258" i="7"/>
  <c r="D322" i="7"/>
  <c r="F322" i="7" s="1"/>
  <c r="D386" i="7"/>
  <c r="D2293" i="7"/>
  <c r="E2293" i="7" s="1"/>
  <c r="D420" i="7"/>
  <c r="D484" i="7"/>
  <c r="D548" i="7"/>
  <c r="D612" i="7"/>
  <c r="D676" i="7"/>
  <c r="D740" i="7"/>
  <c r="E740" i="7" s="1"/>
  <c r="D804" i="7"/>
  <c r="D868" i="7"/>
  <c r="D932" i="7"/>
  <c r="D996" i="7"/>
  <c r="D277" i="7"/>
  <c r="D341" i="7"/>
  <c r="D405" i="7"/>
  <c r="D469" i="7"/>
  <c r="D533" i="7"/>
  <c r="D597" i="7"/>
  <c r="D661" i="7"/>
  <c r="D725" i="7"/>
  <c r="D789" i="7"/>
  <c r="D853" i="7"/>
  <c r="D917" i="7"/>
  <c r="D150" i="7"/>
  <c r="D214" i="7"/>
  <c r="D278" i="7"/>
  <c r="D342" i="7"/>
  <c r="D406" i="7"/>
  <c r="D470" i="7"/>
  <c r="D534" i="7"/>
  <c r="D598" i="7"/>
  <c r="D599" i="7"/>
  <c r="D440" i="7"/>
  <c r="D504" i="7"/>
  <c r="D568" i="7"/>
  <c r="D632" i="7"/>
  <c r="D681" i="7"/>
  <c r="D745" i="7"/>
  <c r="D809" i="7"/>
  <c r="D873" i="7"/>
  <c r="D937" i="7"/>
  <c r="D1001" i="7"/>
  <c r="D1065" i="7"/>
  <c r="D1129" i="7"/>
  <c r="D1193" i="7"/>
  <c r="D1257" i="7"/>
  <c r="D1321" i="7"/>
  <c r="D474" i="7"/>
  <c r="E474" i="7" s="1"/>
  <c r="D538" i="7"/>
  <c r="D602" i="7"/>
  <c r="D666" i="7"/>
  <c r="D730" i="7"/>
  <c r="D794" i="7"/>
  <c r="D858" i="7"/>
  <c r="D922" i="7"/>
  <c r="D986" i="7"/>
  <c r="F986" i="7" s="1"/>
  <c r="D1050" i="7"/>
  <c r="D2237" i="7"/>
  <c r="D2173" i="7"/>
  <c r="E2173" i="7" s="1"/>
  <c r="D2109" i="7"/>
  <c r="D2045" i="7"/>
  <c r="D1084" i="7"/>
  <c r="D1148" i="7"/>
  <c r="D1212" i="7"/>
  <c r="D1276" i="7"/>
  <c r="D1340" i="7"/>
  <c r="E1340" i="7" s="1"/>
  <c r="D1404" i="7"/>
  <c r="D1468" i="7"/>
  <c r="D563" i="7"/>
  <c r="D1139" i="7"/>
  <c r="D59" i="7"/>
  <c r="D483" i="7"/>
  <c r="D923" i="7"/>
  <c r="D1355" i="7"/>
  <c r="F1355" i="7" s="1"/>
  <c r="D1723" i="7"/>
  <c r="E1723" i="7" s="1"/>
  <c r="D1939" i="7"/>
  <c r="D2421" i="7"/>
  <c r="D2333" i="7"/>
  <c r="D76" i="7"/>
  <c r="D140" i="7"/>
  <c r="D204" i="7"/>
  <c r="D268" i="7"/>
  <c r="D332" i="7"/>
  <c r="D195" i="7"/>
  <c r="D747" i="7"/>
  <c r="D1315" i="7"/>
  <c r="D1819" i="7"/>
  <c r="D275" i="7"/>
  <c r="E275" i="7" s="1"/>
  <c r="D763" i="7"/>
  <c r="D1339" i="7"/>
  <c r="D1739" i="7"/>
  <c r="D1955" i="7"/>
  <c r="D29" i="7"/>
  <c r="D93" i="7"/>
  <c r="D157" i="7"/>
  <c r="D221" i="7"/>
  <c r="D46" i="7"/>
  <c r="D99" i="7"/>
  <c r="F99" i="7" s="1"/>
  <c r="D587" i="7"/>
  <c r="E587" i="7" s="1"/>
  <c r="D1043" i="7"/>
  <c r="D1499" i="7"/>
  <c r="D1867" i="7"/>
  <c r="D23" i="7"/>
  <c r="D87" i="7"/>
  <c r="D151" i="7"/>
  <c r="D215" i="7"/>
  <c r="D279" i="7"/>
  <c r="D343" i="7"/>
  <c r="D407" i="7"/>
  <c r="D471" i="7"/>
  <c r="D535" i="7"/>
  <c r="D499" i="7"/>
  <c r="E499" i="7" s="1"/>
  <c r="D963" i="7"/>
  <c r="D1987" i="7"/>
  <c r="F1987" i="7" s="1"/>
  <c r="D136" i="7"/>
  <c r="D200" i="7"/>
  <c r="D264" i="7"/>
  <c r="D328" i="7"/>
  <c r="D67" i="7"/>
  <c r="D619" i="7"/>
  <c r="D1051" i="7"/>
  <c r="D1523" i="7"/>
  <c r="D48" i="7"/>
  <c r="D81" i="7"/>
  <c r="D177" i="7"/>
  <c r="D257" i="7"/>
  <c r="D321" i="7"/>
  <c r="D385" i="7"/>
  <c r="D449" i="7"/>
  <c r="D513" i="7"/>
  <c r="D577" i="7"/>
  <c r="D641" i="7"/>
  <c r="D531" i="7"/>
  <c r="D1083" i="7"/>
  <c r="D1635" i="7"/>
  <c r="D25" i="7"/>
  <c r="D209" i="7"/>
  <c r="D74" i="7"/>
  <c r="D138" i="7"/>
  <c r="D202" i="7"/>
  <c r="D266" i="7"/>
  <c r="D330" i="7"/>
  <c r="D394" i="7"/>
  <c r="D2285" i="7"/>
  <c r="D428" i="7"/>
  <c r="D492" i="7"/>
  <c r="E492" i="7" s="1"/>
  <c r="D556" i="7"/>
  <c r="D620" i="7"/>
  <c r="D684" i="7"/>
  <c r="D411" i="7"/>
  <c r="D2445" i="7"/>
  <c r="D611" i="7"/>
  <c r="E611" i="7" s="1"/>
  <c r="D2341" i="7"/>
  <c r="D1395" i="7"/>
  <c r="D391" i="7"/>
  <c r="D248" i="7"/>
  <c r="D145" i="7"/>
  <c r="D403" i="7"/>
  <c r="D250" i="7"/>
  <c r="D668" i="7"/>
  <c r="E668" i="7" s="1"/>
  <c r="D940" i="7"/>
  <c r="D413" i="7"/>
  <c r="E413" i="7" s="1"/>
  <c r="D669" i="7"/>
  <c r="D925" i="7"/>
  <c r="D350" i="7"/>
  <c r="D543" i="7"/>
  <c r="D576" i="7"/>
  <c r="D817" i="7"/>
  <c r="D1073" i="7"/>
  <c r="D1329" i="7"/>
  <c r="D594" i="7"/>
  <c r="D778" i="7"/>
  <c r="D930" i="7"/>
  <c r="D1058" i="7"/>
  <c r="D2165" i="7"/>
  <c r="D2037" i="7"/>
  <c r="E2037" i="7" s="1"/>
  <c r="D1156" i="7"/>
  <c r="D1260" i="7"/>
  <c r="E1260" i="7" s="1"/>
  <c r="D1356" i="7"/>
  <c r="D1460" i="7"/>
  <c r="D1548" i="7"/>
  <c r="D1644" i="7"/>
  <c r="D957" i="7"/>
  <c r="D1029" i="7"/>
  <c r="F1029" i="7" s="1"/>
  <c r="D1101" i="7"/>
  <c r="D1173" i="7"/>
  <c r="D1253" i="7"/>
  <c r="D1325" i="7"/>
  <c r="D1397" i="7"/>
  <c r="D1469" i="7"/>
  <c r="D1541" i="7"/>
  <c r="D606" i="7"/>
  <c r="D678" i="7"/>
  <c r="D758" i="7"/>
  <c r="D830" i="7"/>
  <c r="D902" i="7"/>
  <c r="D974" i="7"/>
  <c r="D1046" i="7"/>
  <c r="D1118" i="7"/>
  <c r="D1190" i="7"/>
  <c r="D663" i="7"/>
  <c r="D735" i="7"/>
  <c r="D807" i="7"/>
  <c r="D879" i="7"/>
  <c r="D943" i="7"/>
  <c r="D1007" i="7"/>
  <c r="D1071" i="7"/>
  <c r="D1135" i="7"/>
  <c r="D1199" i="7"/>
  <c r="D720" i="7"/>
  <c r="D784" i="7"/>
  <c r="D848" i="7"/>
  <c r="D912" i="7"/>
  <c r="D976" i="7"/>
  <c r="D1040" i="7"/>
  <c r="D1104" i="7"/>
  <c r="D1369" i="7"/>
  <c r="D1433" i="7"/>
  <c r="D1497" i="7"/>
  <c r="F1497" i="7" s="1"/>
  <c r="D1122" i="7"/>
  <c r="D1186" i="7"/>
  <c r="D1250" i="7"/>
  <c r="D1314" i="7"/>
  <c r="D1378" i="7"/>
  <c r="D1442" i="7"/>
  <c r="D1506" i="7"/>
  <c r="D1570" i="7"/>
  <c r="D1634" i="7"/>
  <c r="D1698" i="7"/>
  <c r="D1692" i="7"/>
  <c r="D1756" i="7"/>
  <c r="D1820" i="7"/>
  <c r="F1820" i="7" s="1"/>
  <c r="D1661" i="7"/>
  <c r="D1725" i="7"/>
  <c r="D1789" i="7"/>
  <c r="D1853" i="7"/>
  <c r="D1917" i="7"/>
  <c r="D1981" i="7"/>
  <c r="D2475" i="7"/>
  <c r="D2411" i="7"/>
  <c r="F2411" i="7" s="1"/>
  <c r="D2347" i="7"/>
  <c r="D2283" i="7"/>
  <c r="D1222" i="7"/>
  <c r="D1286" i="7"/>
  <c r="D1350" i="7"/>
  <c r="D1414" i="7"/>
  <c r="D1478" i="7"/>
  <c r="D1542" i="7"/>
  <c r="D1606" i="7"/>
  <c r="D1670" i="7"/>
  <c r="D1734" i="7"/>
  <c r="D1798" i="7"/>
  <c r="D1239" i="7"/>
  <c r="D1303" i="7"/>
  <c r="D1367" i="7"/>
  <c r="D1431" i="7"/>
  <c r="D1495" i="7"/>
  <c r="D1559" i="7"/>
  <c r="D1623" i="7"/>
  <c r="D1687" i="7"/>
  <c r="D1751" i="7"/>
  <c r="D1815" i="7"/>
  <c r="D1176" i="7"/>
  <c r="D1240" i="7"/>
  <c r="D1304" i="7"/>
  <c r="D1368" i="7"/>
  <c r="D1432" i="7"/>
  <c r="D1496" i="7"/>
  <c r="D1560" i="7"/>
  <c r="D1624" i="7"/>
  <c r="D1688" i="7"/>
  <c r="D1752" i="7"/>
  <c r="D1816" i="7"/>
  <c r="D1569" i="7"/>
  <c r="D1633" i="7"/>
  <c r="D1697" i="7"/>
  <c r="D1761" i="7"/>
  <c r="D1825" i="7"/>
  <c r="D1810" i="7"/>
  <c r="D1874" i="7"/>
  <c r="E1874" i="7" s="1"/>
  <c r="D1938" i="7"/>
  <c r="D2002" i="7"/>
  <c r="D2446" i="7"/>
  <c r="F2446" i="7" s="1"/>
  <c r="D2382" i="7"/>
  <c r="D2318" i="7"/>
  <c r="D2254" i="7"/>
  <c r="D1884" i="7"/>
  <c r="D1948" i="7"/>
  <c r="D2508" i="7"/>
  <c r="D2444" i="7"/>
  <c r="D2380" i="7"/>
  <c r="F2380" i="7" s="1"/>
  <c r="D2316" i="7"/>
  <c r="D2252" i="7"/>
  <c r="D2188" i="7"/>
  <c r="D2124" i="7"/>
  <c r="D2060" i="7"/>
  <c r="D2219" i="7"/>
  <c r="D2155" i="7"/>
  <c r="E2155" i="7" s="1"/>
  <c r="D2091" i="7"/>
  <c r="E2091" i="7" s="1"/>
  <c r="D2027" i="7"/>
  <c r="D1878" i="7"/>
  <c r="D1942" i="7"/>
  <c r="D2006" i="7"/>
  <c r="D2450" i="7"/>
  <c r="D2386" i="7"/>
  <c r="D2322" i="7"/>
  <c r="D2258" i="7"/>
  <c r="E2258" i="7" s="1"/>
  <c r="D2194" i="7"/>
  <c r="D2130" i="7"/>
  <c r="D2066" i="7"/>
  <c r="D1839" i="7"/>
  <c r="D1903" i="7"/>
  <c r="D1967" i="7"/>
  <c r="D2489" i="7"/>
  <c r="D2425" i="7"/>
  <c r="F2425" i="7" s="1"/>
  <c r="D2361" i="7"/>
  <c r="D2297" i="7"/>
  <c r="D2233" i="7"/>
  <c r="D2169" i="7"/>
  <c r="D987" i="7"/>
  <c r="D2365" i="7"/>
  <c r="D1155" i="7"/>
  <c r="F1155" i="7" s="1"/>
  <c r="D77" i="7"/>
  <c r="D1795" i="7"/>
  <c r="D455" i="7"/>
  <c r="D312" i="7"/>
  <c r="D241" i="7"/>
  <c r="D947" i="7"/>
  <c r="E947" i="7" s="1"/>
  <c r="D314" i="7"/>
  <c r="D732" i="7"/>
  <c r="D988" i="7"/>
  <c r="F988" i="7" s="1"/>
  <c r="D461" i="7"/>
  <c r="D717" i="7"/>
  <c r="D142" i="7"/>
  <c r="D398" i="7"/>
  <c r="D591" i="7"/>
  <c r="D624" i="7"/>
  <c r="D865" i="7"/>
  <c r="D1121" i="7"/>
  <c r="D458" i="7"/>
  <c r="D610" i="7"/>
  <c r="D786" i="7"/>
  <c r="D938" i="7"/>
  <c r="D1066" i="7"/>
  <c r="D2157" i="7"/>
  <c r="D2029" i="7"/>
  <c r="D1164" i="7"/>
  <c r="F1164" i="7" s="1"/>
  <c r="D1268" i="7"/>
  <c r="D1380" i="7"/>
  <c r="D1476" i="7"/>
  <c r="D1572" i="7"/>
  <c r="D1652" i="7"/>
  <c r="E1652" i="7" s="1"/>
  <c r="D965" i="7"/>
  <c r="D1037" i="7"/>
  <c r="D1109" i="7"/>
  <c r="D1189" i="7"/>
  <c r="D1261" i="7"/>
  <c r="D1333" i="7"/>
  <c r="D1405" i="7"/>
  <c r="D1477" i="7"/>
  <c r="D1549" i="7"/>
  <c r="D614" i="7"/>
  <c r="D694" i="7"/>
  <c r="D766" i="7"/>
  <c r="D838" i="7"/>
  <c r="D910" i="7"/>
  <c r="D982" i="7"/>
  <c r="D1054" i="7"/>
  <c r="D1126" i="7"/>
  <c r="D1206" i="7"/>
  <c r="D671" i="7"/>
  <c r="D743" i="7"/>
  <c r="D815" i="7"/>
  <c r="D887" i="7"/>
  <c r="D951" i="7"/>
  <c r="D1015" i="7"/>
  <c r="D1079" i="7"/>
  <c r="D1143" i="7"/>
  <c r="D1207" i="7"/>
  <c r="D728" i="7"/>
  <c r="D792" i="7"/>
  <c r="D856" i="7"/>
  <c r="D920" i="7"/>
  <c r="D984" i="7"/>
  <c r="D1048" i="7"/>
  <c r="D1112" i="7"/>
  <c r="D1377" i="7"/>
  <c r="D1441" i="7"/>
  <c r="D1505" i="7"/>
  <c r="D1130" i="7"/>
  <c r="D1194" i="7"/>
  <c r="D1258" i="7"/>
  <c r="D1322" i="7"/>
  <c r="D1386" i="7"/>
  <c r="D1450" i="7"/>
  <c r="D1514" i="7"/>
  <c r="D1578" i="7"/>
  <c r="D1642" i="7"/>
  <c r="D1706" i="7"/>
  <c r="D1700" i="7"/>
  <c r="D1764" i="7"/>
  <c r="D1828" i="7"/>
  <c r="E1828" i="7" s="1"/>
  <c r="D1669" i="7"/>
  <c r="D1733" i="7"/>
  <c r="D1797" i="7"/>
  <c r="D1861" i="7"/>
  <c r="D1925" i="7"/>
  <c r="D1989" i="7"/>
  <c r="D2467" i="7"/>
  <c r="D2403" i="7"/>
  <c r="E2403" i="7" s="1"/>
  <c r="D2339" i="7"/>
  <c r="D2275" i="7"/>
  <c r="D1230" i="7"/>
  <c r="D1294" i="7"/>
  <c r="D1358" i="7"/>
  <c r="D1422" i="7"/>
  <c r="D1486" i="7"/>
  <c r="D1550" i="7"/>
  <c r="D1614" i="7"/>
  <c r="D1678" i="7"/>
  <c r="D1742" i="7"/>
  <c r="D1806" i="7"/>
  <c r="D1247" i="7"/>
  <c r="D1311" i="7"/>
  <c r="D1375" i="7"/>
  <c r="D1439" i="7"/>
  <c r="D1503" i="7"/>
  <c r="D1567" i="7"/>
  <c r="D1631" i="7"/>
  <c r="D1695" i="7"/>
  <c r="D1759" i="7"/>
  <c r="D1823" i="7"/>
  <c r="D1184" i="7"/>
  <c r="D1248" i="7"/>
  <c r="D1312" i="7"/>
  <c r="D1376" i="7"/>
  <c r="D1440" i="7"/>
  <c r="D1504" i="7"/>
  <c r="D1568" i="7"/>
  <c r="D1632" i="7"/>
  <c r="D1696" i="7"/>
  <c r="D1760" i="7"/>
  <c r="D1824" i="7"/>
  <c r="D1577" i="7"/>
  <c r="D1641" i="7"/>
  <c r="D1705" i="7"/>
  <c r="D1769" i="7"/>
  <c r="D1833" i="7"/>
  <c r="E1833" i="7" s="1"/>
  <c r="D1818" i="7"/>
  <c r="D1882" i="7"/>
  <c r="D1946" i="7"/>
  <c r="D2502" i="7"/>
  <c r="D2438" i="7"/>
  <c r="D2374" i="7"/>
  <c r="D2310" i="7"/>
  <c r="D2246" i="7"/>
  <c r="D1892" i="7"/>
  <c r="D1956" i="7"/>
  <c r="E1956" i="7" s="1"/>
  <c r="D2500" i="7"/>
  <c r="D2436" i="7"/>
  <c r="D2372" i="7"/>
  <c r="D2308" i="7"/>
  <c r="D2244" i="7"/>
  <c r="D2180" i="7"/>
  <c r="D2116" i="7"/>
  <c r="D2052" i="7"/>
  <c r="D2211" i="7"/>
  <c r="D2147" i="7"/>
  <c r="D2083" i="7"/>
  <c r="F2083" i="7" s="1"/>
  <c r="D2019" i="7"/>
  <c r="D1886" i="7"/>
  <c r="D1950" i="7"/>
  <c r="D2506" i="7"/>
  <c r="D2442" i="7"/>
  <c r="D2378" i="7"/>
  <c r="E2378" i="7" s="1"/>
  <c r="D2314" i="7"/>
  <c r="D2250" i="7"/>
  <c r="D2186" i="7"/>
  <c r="D2122" i="7"/>
  <c r="D2058" i="7"/>
  <c r="E2058" i="7" s="1"/>
  <c r="D1847" i="7"/>
  <c r="D1911" i="7"/>
  <c r="D1975" i="7"/>
  <c r="D2481" i="7"/>
  <c r="D2417" i="7"/>
  <c r="D2353" i="7"/>
  <c r="D2289" i="7"/>
  <c r="D2225" i="7"/>
  <c r="F2225" i="7" s="1"/>
  <c r="D2161" i="7"/>
  <c r="D2097" i="7"/>
  <c r="D2033" i="7"/>
  <c r="E2033" i="7" s="1"/>
  <c r="D1864" i="7"/>
  <c r="D1928" i="7"/>
  <c r="D1992" i="7"/>
  <c r="D2464" i="7"/>
  <c r="D2400" i="7"/>
  <c r="D2336" i="7"/>
  <c r="D2272" i="7"/>
  <c r="F2272" i="7" s="1"/>
  <c r="D2208" i="7"/>
  <c r="D2144" i="7"/>
  <c r="D2080" i="7"/>
  <c r="D2016" i="7"/>
  <c r="D1897" i="7"/>
  <c r="D1961" i="7"/>
  <c r="E1961" i="7" s="1"/>
  <c r="D2495" i="7"/>
  <c r="D1771" i="7"/>
  <c r="E1771" i="7" s="1"/>
  <c r="D60" i="7"/>
  <c r="D1675" i="7"/>
  <c r="D141" i="7"/>
  <c r="D2373" i="7"/>
  <c r="D519" i="7"/>
  <c r="D376" i="7"/>
  <c r="D305" i="7"/>
  <c r="D1507" i="7"/>
  <c r="E1507" i="7" s="1"/>
  <c r="D378" i="7"/>
  <c r="E378" i="7" s="1"/>
  <c r="D748" i="7"/>
  <c r="D1004" i="7"/>
  <c r="E1004" i="7" s="1"/>
  <c r="D477" i="7"/>
  <c r="D733" i="7"/>
  <c r="D158" i="7"/>
  <c r="D414" i="7"/>
  <c r="D384" i="7"/>
  <c r="D640" i="7"/>
  <c r="D881" i="7"/>
  <c r="D1137" i="7"/>
  <c r="D466" i="7"/>
  <c r="D650" i="7"/>
  <c r="D802" i="7"/>
  <c r="D970" i="7"/>
  <c r="D2253" i="7"/>
  <c r="D2125" i="7"/>
  <c r="D1068" i="7"/>
  <c r="D1188" i="7"/>
  <c r="D1284" i="7"/>
  <c r="D1388" i="7"/>
  <c r="D1484" i="7"/>
  <c r="F1484" i="7" s="1"/>
  <c r="D1580" i="7"/>
  <c r="D1660" i="7"/>
  <c r="E1660" i="7" s="1"/>
  <c r="D973" i="7"/>
  <c r="E973" i="7" s="1"/>
  <c r="D1045" i="7"/>
  <c r="D1125" i="7"/>
  <c r="D1197" i="7"/>
  <c r="D1269" i="7"/>
  <c r="D1341" i="7"/>
  <c r="D1413" i="7"/>
  <c r="D1485" i="7"/>
  <c r="D1557" i="7"/>
  <c r="D630" i="7"/>
  <c r="D702" i="7"/>
  <c r="D774" i="7"/>
  <c r="D846" i="7"/>
  <c r="D918" i="7"/>
  <c r="D990" i="7"/>
  <c r="D1062" i="7"/>
  <c r="D1142" i="7"/>
  <c r="D607" i="7"/>
  <c r="D679" i="7"/>
  <c r="D751" i="7"/>
  <c r="D823" i="7"/>
  <c r="D895" i="7"/>
  <c r="D959" i="7"/>
  <c r="D1023" i="7"/>
  <c r="D1087" i="7"/>
  <c r="D1151" i="7"/>
  <c r="D672" i="7"/>
  <c r="D736" i="7"/>
  <c r="D800" i="7"/>
  <c r="D864" i="7"/>
  <c r="D928" i="7"/>
  <c r="D992" i="7"/>
  <c r="D1056" i="7"/>
  <c r="D1120" i="7"/>
  <c r="D1385" i="7"/>
  <c r="D1449" i="7"/>
  <c r="D1513" i="7"/>
  <c r="D1138" i="7"/>
  <c r="E1138" i="7" s="1"/>
  <c r="D1202" i="7"/>
  <c r="D1266" i="7"/>
  <c r="E1266" i="7" s="1"/>
  <c r="D1330" i="7"/>
  <c r="D1394" i="7"/>
  <c r="D1458" i="7"/>
  <c r="E1458" i="7" s="1"/>
  <c r="D1522" i="7"/>
  <c r="D1586" i="7"/>
  <c r="D1650" i="7"/>
  <c r="D1714" i="7"/>
  <c r="D1708" i="7"/>
  <c r="F1708" i="7" s="1"/>
  <c r="D1772" i="7"/>
  <c r="D1613" i="7"/>
  <c r="D1677" i="7"/>
  <c r="D1741" i="7"/>
  <c r="D1805" i="7"/>
  <c r="D1869" i="7"/>
  <c r="E1869" i="7" s="1"/>
  <c r="D1933" i="7"/>
  <c r="D1997" i="7"/>
  <c r="D2459" i="7"/>
  <c r="E2459" i="7" s="1"/>
  <c r="D2395" i="7"/>
  <c r="D2331" i="7"/>
  <c r="F2331" i="7" s="1"/>
  <c r="D2267" i="7"/>
  <c r="D1238" i="7"/>
  <c r="D1302" i="7"/>
  <c r="D1366" i="7"/>
  <c r="D1430" i="7"/>
  <c r="D1494" i="7"/>
  <c r="D1558" i="7"/>
  <c r="D1622" i="7"/>
  <c r="D1686" i="7"/>
  <c r="D1750" i="7"/>
  <c r="D1814" i="7"/>
  <c r="D1255" i="7"/>
  <c r="D1319" i="7"/>
  <c r="D1383" i="7"/>
  <c r="D1447" i="7"/>
  <c r="D1511" i="7"/>
  <c r="D1575" i="7"/>
  <c r="D1639" i="7"/>
  <c r="D1703" i="7"/>
  <c r="D1767" i="7"/>
  <c r="D1831" i="7"/>
  <c r="D1192" i="7"/>
  <c r="D1256" i="7"/>
  <c r="D1320" i="7"/>
  <c r="D1384" i="7"/>
  <c r="D1448" i="7"/>
  <c r="D1512" i="7"/>
  <c r="D1576" i="7"/>
  <c r="D1640" i="7"/>
  <c r="D1704" i="7"/>
  <c r="D1768" i="7"/>
  <c r="D1521" i="7"/>
  <c r="D1585" i="7"/>
  <c r="D1649" i="7"/>
  <c r="D1713" i="7"/>
  <c r="D1777" i="7"/>
  <c r="D1762" i="7"/>
  <c r="D1826" i="7"/>
  <c r="D1890" i="7"/>
  <c r="D1954" i="7"/>
  <c r="D2494" i="7"/>
  <c r="D2430" i="7"/>
  <c r="D2366" i="7"/>
  <c r="D2302" i="7"/>
  <c r="D1836" i="7"/>
  <c r="D1900" i="7"/>
  <c r="E1900" i="7" s="1"/>
  <c r="D1964" i="7"/>
  <c r="D2492" i="7"/>
  <c r="F2492" i="7" s="1"/>
  <c r="D2428" i="7"/>
  <c r="D2364" i="7"/>
  <c r="D2300" i="7"/>
  <c r="F2300" i="7" s="1"/>
  <c r="D2236" i="7"/>
  <c r="D2172" i="7"/>
  <c r="F2172" i="7" s="1"/>
  <c r="D2108" i="7"/>
  <c r="F2108" i="7" s="1"/>
  <c r="D2044" i="7"/>
  <c r="D2203" i="7"/>
  <c r="E2203" i="7" s="1"/>
  <c r="D2139" i="7"/>
  <c r="D2075" i="7"/>
  <c r="D2011" i="7"/>
  <c r="D1894" i="7"/>
  <c r="D1958" i="7"/>
  <c r="D2498" i="7"/>
  <c r="E2498" i="7" s="1"/>
  <c r="D2434" i="7"/>
  <c r="D2370" i="7"/>
  <c r="F2370" i="7" s="1"/>
  <c r="D2306" i="7"/>
  <c r="D2242" i="7"/>
  <c r="D2178" i="7"/>
  <c r="F2178" i="7" s="1"/>
  <c r="D379" i="7"/>
  <c r="D124" i="7"/>
  <c r="E124" i="7" s="1"/>
  <c r="D147" i="7"/>
  <c r="F147" i="7" s="1"/>
  <c r="D205" i="7"/>
  <c r="D71" i="7"/>
  <c r="D363" i="7"/>
  <c r="D435" i="7"/>
  <c r="D369" i="7"/>
  <c r="D64" i="7"/>
  <c r="D2301" i="7"/>
  <c r="E2301" i="7" s="1"/>
  <c r="D796" i="7"/>
  <c r="E796" i="7" s="1"/>
  <c r="D1052" i="7"/>
  <c r="D525" i="7"/>
  <c r="E525" i="7" s="1"/>
  <c r="D781" i="7"/>
  <c r="D206" i="7"/>
  <c r="D462" i="7"/>
  <c r="D432" i="7"/>
  <c r="D673" i="7"/>
  <c r="D929" i="7"/>
  <c r="D1185" i="7"/>
  <c r="D482" i="7"/>
  <c r="E482" i="7" s="1"/>
  <c r="D658" i="7"/>
  <c r="D842" i="7"/>
  <c r="D978" i="7"/>
  <c r="D2245" i="7"/>
  <c r="D2117" i="7"/>
  <c r="D1076" i="7"/>
  <c r="E1076" i="7" s="1"/>
  <c r="D1196" i="7"/>
  <c r="D1292" i="7"/>
  <c r="E1292" i="7" s="1"/>
  <c r="D1396" i="7"/>
  <c r="D1508" i="7"/>
  <c r="D1588" i="7"/>
  <c r="D1668" i="7"/>
  <c r="D981" i="7"/>
  <c r="D1061" i="7"/>
  <c r="D1133" i="7"/>
  <c r="D1205" i="7"/>
  <c r="E1205" i="7" s="1"/>
  <c r="D1277" i="7"/>
  <c r="D1349" i="7"/>
  <c r="D1421" i="7"/>
  <c r="E1421" i="7" s="1"/>
  <c r="D1493" i="7"/>
  <c r="D1573" i="7"/>
  <c r="D638" i="7"/>
  <c r="D710" i="7"/>
  <c r="D782" i="7"/>
  <c r="D854" i="7"/>
  <c r="D926" i="7"/>
  <c r="D998" i="7"/>
  <c r="D1078" i="7"/>
  <c r="D1150" i="7"/>
  <c r="D615" i="7"/>
  <c r="D687" i="7"/>
  <c r="D759" i="7"/>
  <c r="D831" i="7"/>
  <c r="D903" i="7"/>
  <c r="D967" i="7"/>
  <c r="D1031" i="7"/>
  <c r="D1095" i="7"/>
  <c r="D1159" i="7"/>
  <c r="D680" i="7"/>
  <c r="D744" i="7"/>
  <c r="D808" i="7"/>
  <c r="D872" i="7"/>
  <c r="D936" i="7"/>
  <c r="D1000" i="7"/>
  <c r="D1064" i="7"/>
  <c r="D1128" i="7"/>
  <c r="D1393" i="7"/>
  <c r="D1457" i="7"/>
  <c r="D1082" i="7"/>
  <c r="D1146" i="7"/>
  <c r="D1210" i="7"/>
  <c r="E1210" i="7" s="1"/>
  <c r="D1274" i="7"/>
  <c r="D1338" i="7"/>
  <c r="D1402" i="7"/>
  <c r="E1402" i="7" s="1"/>
  <c r="D1466" i="7"/>
  <c r="D1530" i="7"/>
  <c r="E1530" i="7" s="1"/>
  <c r="D1594" i="7"/>
  <c r="D1658" i="7"/>
  <c r="D1722" i="7"/>
  <c r="D1716" i="7"/>
  <c r="D1780" i="7"/>
  <c r="D1621" i="7"/>
  <c r="D1685" i="7"/>
  <c r="D1749" i="7"/>
  <c r="F1749" i="7" s="1"/>
  <c r="D1813" i="7"/>
  <c r="D1877" i="7"/>
  <c r="D1941" i="7"/>
  <c r="D2005" i="7"/>
  <c r="D2451" i="7"/>
  <c r="E2451" i="7" s="1"/>
  <c r="D2387" i="7"/>
  <c r="E2387" i="7" s="1"/>
  <c r="D2323" i="7"/>
  <c r="D2259" i="7"/>
  <c r="E2259" i="7" s="1"/>
  <c r="D1246" i="7"/>
  <c r="D1310" i="7"/>
  <c r="D1374" i="7"/>
  <c r="D1438" i="7"/>
  <c r="D1502" i="7"/>
  <c r="D1566" i="7"/>
  <c r="D1630" i="7"/>
  <c r="D1694" i="7"/>
  <c r="D1758" i="7"/>
  <c r="D1822" i="7"/>
  <c r="D1263" i="7"/>
  <c r="D1327" i="7"/>
  <c r="D1391" i="7"/>
  <c r="D1455" i="7"/>
  <c r="D1519" i="7"/>
  <c r="D1583" i="7"/>
  <c r="D1647" i="7"/>
  <c r="D1711" i="7"/>
  <c r="D1775" i="7"/>
  <c r="D1136" i="7"/>
  <c r="D1200" i="7"/>
  <c r="D1264" i="7"/>
  <c r="D1328" i="7"/>
  <c r="D1392" i="7"/>
  <c r="D1456" i="7"/>
  <c r="D1520" i="7"/>
  <c r="D1584" i="7"/>
  <c r="D1648" i="7"/>
  <c r="D1712" i="7"/>
  <c r="D1776" i="7"/>
  <c r="D1529" i="7"/>
  <c r="D1593" i="7"/>
  <c r="E1593" i="7" s="1"/>
  <c r="D1657" i="7"/>
  <c r="D1721" i="7"/>
  <c r="D1785" i="7"/>
  <c r="E1785" i="7" s="1"/>
  <c r="D1770" i="7"/>
  <c r="D1834" i="7"/>
  <c r="D1898" i="7"/>
  <c r="D1962" i="7"/>
  <c r="D2486" i="7"/>
  <c r="D2422" i="7"/>
  <c r="D2358" i="7"/>
  <c r="D2294" i="7"/>
  <c r="F2294" i="7" s="1"/>
  <c r="D1844" i="7"/>
  <c r="D1908" i="7"/>
  <c r="D1972" i="7"/>
  <c r="D2484" i="7"/>
  <c r="D2420" i="7"/>
  <c r="D2356" i="7"/>
  <c r="D2292" i="7"/>
  <c r="D2228" i="7"/>
  <c r="E2228" i="7" s="1"/>
  <c r="D2164" i="7"/>
  <c r="D2100" i="7"/>
  <c r="D2036" i="7"/>
  <c r="F2036" i="7" s="1"/>
  <c r="D2195" i="7"/>
  <c r="D2131" i="7"/>
  <c r="D2067" i="7"/>
  <c r="D1838" i="7"/>
  <c r="D1902" i="7"/>
  <c r="D1966" i="7"/>
  <c r="D2490" i="7"/>
  <c r="F2490" i="7" s="1"/>
  <c r="D2426" i="7"/>
  <c r="E2426" i="7" s="1"/>
  <c r="D2362" i="7"/>
  <c r="D2298" i="7"/>
  <c r="D2234" i="7"/>
  <c r="D2170" i="7"/>
  <c r="D2106" i="7"/>
  <c r="D2042" i="7"/>
  <c r="D1863" i="7"/>
  <c r="D1927" i="7"/>
  <c r="D1991" i="7"/>
  <c r="D2465" i="7"/>
  <c r="F2465" i="7" s="1"/>
  <c r="D2401" i="7"/>
  <c r="D819" i="7"/>
  <c r="D188" i="7"/>
  <c r="E188" i="7" s="1"/>
  <c r="D627" i="7"/>
  <c r="D30" i="7"/>
  <c r="D135" i="7"/>
  <c r="D851" i="7"/>
  <c r="D931" i="7"/>
  <c r="E931" i="7" s="1"/>
  <c r="D433" i="7"/>
  <c r="D169" i="7"/>
  <c r="D412" i="7"/>
  <c r="F412" i="7" s="1"/>
  <c r="D812" i="7"/>
  <c r="D285" i="7"/>
  <c r="D541" i="7"/>
  <c r="E541" i="7" s="1"/>
  <c r="D797" i="7"/>
  <c r="D222" i="7"/>
  <c r="D478" i="7"/>
  <c r="D448" i="7"/>
  <c r="D689" i="7"/>
  <c r="D945" i="7"/>
  <c r="D1201" i="7"/>
  <c r="D522" i="7"/>
  <c r="D674" i="7"/>
  <c r="D850" i="7"/>
  <c r="F850" i="7" s="1"/>
  <c r="D994" i="7"/>
  <c r="D2229" i="7"/>
  <c r="D2101" i="7"/>
  <c r="D1092" i="7"/>
  <c r="D1204" i="7"/>
  <c r="D1316" i="7"/>
  <c r="E1316" i="7" s="1"/>
  <c r="D1412" i="7"/>
  <c r="D1516" i="7"/>
  <c r="D1596" i="7"/>
  <c r="D1676" i="7"/>
  <c r="D997" i="7"/>
  <c r="E997" i="7" s="1"/>
  <c r="D1069" i="7"/>
  <c r="D1141" i="7"/>
  <c r="F1141" i="7" s="1"/>
  <c r="D1213" i="7"/>
  <c r="E1213" i="7" s="1"/>
  <c r="D1285" i="7"/>
  <c r="D1357" i="7"/>
  <c r="D1429" i="7"/>
  <c r="D1509" i="7"/>
  <c r="D1581" i="7"/>
  <c r="D646" i="7"/>
  <c r="D718" i="7"/>
  <c r="D790" i="7"/>
  <c r="D862" i="7"/>
  <c r="D934" i="7"/>
  <c r="D1014" i="7"/>
  <c r="D1086" i="7"/>
  <c r="D1158" i="7"/>
  <c r="D623" i="7"/>
  <c r="D695" i="7"/>
  <c r="D767" i="7"/>
  <c r="D839" i="7"/>
  <c r="D911" i="7"/>
  <c r="D975" i="7"/>
  <c r="D1039" i="7"/>
  <c r="D1103" i="7"/>
  <c r="D1167" i="7"/>
  <c r="D688" i="7"/>
  <c r="D752" i="7"/>
  <c r="D816" i="7"/>
  <c r="D880" i="7"/>
  <c r="D944" i="7"/>
  <c r="D1008" i="7"/>
  <c r="D1072" i="7"/>
  <c r="D1337" i="7"/>
  <c r="D1401" i="7"/>
  <c r="D1465" i="7"/>
  <c r="D1090" i="7"/>
  <c r="D1154" i="7"/>
  <c r="D1218" i="7"/>
  <c r="D1282" i="7"/>
  <c r="D1346" i="7"/>
  <c r="E1346" i="7" s="1"/>
  <c r="D1410" i="7"/>
  <c r="D1474" i="7"/>
  <c r="D1538" i="7"/>
  <c r="D1602" i="7"/>
  <c r="D1666" i="7"/>
  <c r="D1730" i="7"/>
  <c r="D1724" i="7"/>
  <c r="D1788" i="7"/>
  <c r="D1629" i="7"/>
  <c r="D1693" i="7"/>
  <c r="E1693" i="7" s="1"/>
  <c r="D1757" i="7"/>
  <c r="E1757" i="7" s="1"/>
  <c r="D1821" i="7"/>
  <c r="D1885" i="7"/>
  <c r="E1885" i="7" s="1"/>
  <c r="D1949" i="7"/>
  <c r="D2507" i="7"/>
  <c r="D2443" i="7"/>
  <c r="D2379" i="7"/>
  <c r="D2315" i="7"/>
  <c r="D2251" i="7"/>
  <c r="E2251" i="7" s="1"/>
  <c r="D1254" i="7"/>
  <c r="D1318" i="7"/>
  <c r="D1382" i="7"/>
  <c r="D1446" i="7"/>
  <c r="D1510" i="7"/>
  <c r="D1574" i="7"/>
  <c r="D1638" i="7"/>
  <c r="D1702" i="7"/>
  <c r="D1766" i="7"/>
  <c r="D1830" i="7"/>
  <c r="D1271" i="7"/>
  <c r="D1335" i="7"/>
  <c r="D1399" i="7"/>
  <c r="D1463" i="7"/>
  <c r="D1527" i="7"/>
  <c r="D1591" i="7"/>
  <c r="D1655" i="7"/>
  <c r="D1719" i="7"/>
  <c r="D1783" i="7"/>
  <c r="D1144" i="7"/>
  <c r="D1208" i="7"/>
  <c r="D1272" i="7"/>
  <c r="D1336" i="7"/>
  <c r="D1400" i="7"/>
  <c r="D1464" i="7"/>
  <c r="D1528" i="7"/>
  <c r="D1592" i="7"/>
  <c r="D1656" i="7"/>
  <c r="D1720" i="7"/>
  <c r="D1784" i="7"/>
  <c r="D1537" i="7"/>
  <c r="D1601" i="7"/>
  <c r="D1665" i="7"/>
  <c r="D1729" i="7"/>
  <c r="D1793" i="7"/>
  <c r="D1778" i="7"/>
  <c r="D1842" i="7"/>
  <c r="F1842" i="7" s="1"/>
  <c r="D1906" i="7"/>
  <c r="D1970" i="7"/>
  <c r="E1970" i="7" s="1"/>
  <c r="D2478" i="7"/>
  <c r="F2478" i="7" s="1"/>
  <c r="D2414" i="7"/>
  <c r="D2350" i="7"/>
  <c r="E2350" i="7" s="1"/>
  <c r="D2286" i="7"/>
  <c r="D1852" i="7"/>
  <c r="D1916" i="7"/>
  <c r="D1980" i="7"/>
  <c r="D2476" i="7"/>
  <c r="D2412" i="7"/>
  <c r="F2412" i="7" s="1"/>
  <c r="D2348" i="7"/>
  <c r="D2284" i="7"/>
  <c r="E2284" i="7" s="1"/>
  <c r="D2220" i="7"/>
  <c r="D2156" i="7"/>
  <c r="D2092" i="7"/>
  <c r="E2092" i="7" s="1"/>
  <c r="D2028" i="7"/>
  <c r="D2187" i="7"/>
  <c r="D2123" i="7"/>
  <c r="E2123" i="7" s="1"/>
  <c r="D2059" i="7"/>
  <c r="D1846" i="7"/>
  <c r="D1910" i="7"/>
  <c r="D1974" i="7"/>
  <c r="D2482" i="7"/>
  <c r="E2482" i="7" s="1"/>
  <c r="D2418" i="7"/>
  <c r="D2354" i="7"/>
  <c r="E2354" i="7" s="1"/>
  <c r="D1259" i="7"/>
  <c r="F1259" i="7" s="1"/>
  <c r="D252" i="7"/>
  <c r="D1227" i="7"/>
  <c r="F1227" i="7" s="1"/>
  <c r="D94" i="7"/>
  <c r="D199" i="7"/>
  <c r="D1363" i="7"/>
  <c r="D1411" i="7"/>
  <c r="D497" i="7"/>
  <c r="D58" i="7"/>
  <c r="D476" i="7"/>
  <c r="D860" i="7"/>
  <c r="D333" i="7"/>
  <c r="D589" i="7"/>
  <c r="D845" i="7"/>
  <c r="D270" i="7"/>
  <c r="D526" i="7"/>
  <c r="D496" i="7"/>
  <c r="D737" i="7"/>
  <c r="D993" i="7"/>
  <c r="D1249" i="7"/>
  <c r="D530" i="7"/>
  <c r="D714" i="7"/>
  <c r="D866" i="7"/>
  <c r="D1002" i="7"/>
  <c r="D2221" i="7"/>
  <c r="D2093" i="7"/>
  <c r="D1100" i="7"/>
  <c r="D1220" i="7"/>
  <c r="D1324" i="7"/>
  <c r="D1420" i="7"/>
  <c r="E1420" i="7" s="1"/>
  <c r="D1524" i="7"/>
  <c r="D1604" i="7"/>
  <c r="E1604" i="7" s="1"/>
  <c r="D933" i="7"/>
  <c r="D1005" i="7"/>
  <c r="D1077" i="7"/>
  <c r="E1077" i="7" s="1"/>
  <c r="D1149" i="7"/>
  <c r="D1221" i="7"/>
  <c r="D1293" i="7"/>
  <c r="D1365" i="7"/>
  <c r="D1445" i="7"/>
  <c r="D1517" i="7"/>
  <c r="D1589" i="7"/>
  <c r="D654" i="7"/>
  <c r="D726" i="7"/>
  <c r="D798" i="7"/>
  <c r="D870" i="7"/>
  <c r="D950" i="7"/>
  <c r="D1022" i="7"/>
  <c r="D1094" i="7"/>
  <c r="D1166" i="7"/>
  <c r="D631" i="7"/>
  <c r="D703" i="7"/>
  <c r="D775" i="7"/>
  <c r="D855" i="7"/>
  <c r="D919" i="7"/>
  <c r="D983" i="7"/>
  <c r="D1047" i="7"/>
  <c r="D1111" i="7"/>
  <c r="D1175" i="7"/>
  <c r="D696" i="7"/>
  <c r="D760" i="7"/>
  <c r="D824" i="7"/>
  <c r="D888" i="7"/>
  <c r="D1643" i="7"/>
  <c r="D316" i="7"/>
  <c r="F316" i="7" s="1"/>
  <c r="D1651" i="7"/>
  <c r="D459" i="7"/>
  <c r="E459" i="7" s="1"/>
  <c r="D263" i="7"/>
  <c r="D120" i="7"/>
  <c r="D1995" i="7"/>
  <c r="D561" i="7"/>
  <c r="D122" i="7"/>
  <c r="E122" i="7" s="1"/>
  <c r="D540" i="7"/>
  <c r="D876" i="7"/>
  <c r="D349" i="7"/>
  <c r="D605" i="7"/>
  <c r="D861" i="7"/>
  <c r="D286" i="7"/>
  <c r="D542" i="7"/>
  <c r="D512" i="7"/>
  <c r="D753" i="7"/>
  <c r="D1009" i="7"/>
  <c r="D1265" i="7"/>
  <c r="D546" i="7"/>
  <c r="D722" i="7"/>
  <c r="D906" i="7"/>
  <c r="D1034" i="7"/>
  <c r="D2189" i="7"/>
  <c r="D2061" i="7"/>
  <c r="D1132" i="7"/>
  <c r="D1228" i="7"/>
  <c r="D1332" i="7"/>
  <c r="D1444" i="7"/>
  <c r="D1532" i="7"/>
  <c r="D1612" i="7"/>
  <c r="D941" i="7"/>
  <c r="D1013" i="7"/>
  <c r="D1085" i="7"/>
  <c r="D1157" i="7"/>
  <c r="F1157" i="7" s="1"/>
  <c r="D1229" i="7"/>
  <c r="D1301" i="7"/>
  <c r="D1381" i="7"/>
  <c r="E1381" i="7" s="1"/>
  <c r="D1453" i="7"/>
  <c r="D1525" i="7"/>
  <c r="D1597" i="7"/>
  <c r="F1597" i="7" s="1"/>
  <c r="D662" i="7"/>
  <c r="D734" i="7"/>
  <c r="D806" i="7"/>
  <c r="D886" i="7"/>
  <c r="D958" i="7"/>
  <c r="D1030" i="7"/>
  <c r="D1102" i="7"/>
  <c r="D1174" i="7"/>
  <c r="D639" i="7"/>
  <c r="D711" i="7"/>
  <c r="D791" i="7"/>
  <c r="D863" i="7"/>
  <c r="D927" i="7"/>
  <c r="D991" i="7"/>
  <c r="D1055" i="7"/>
  <c r="D1119" i="7"/>
  <c r="D1183" i="7"/>
  <c r="D704" i="7"/>
  <c r="D768" i="7"/>
  <c r="D832" i="7"/>
  <c r="D896" i="7"/>
  <c r="D960" i="7"/>
  <c r="D1024" i="7"/>
  <c r="D1088" i="7"/>
  <c r="D1353" i="7"/>
  <c r="D1417" i="7"/>
  <c r="D1481" i="7"/>
  <c r="D1106" i="7"/>
  <c r="D1170" i="7"/>
  <c r="D1234" i="7"/>
  <c r="D1298" i="7"/>
  <c r="D1362" i="7"/>
  <c r="D1426" i="7"/>
  <c r="D1490" i="7"/>
  <c r="D1554" i="7"/>
  <c r="D1618" i="7"/>
  <c r="D1682" i="7"/>
  <c r="D1746" i="7"/>
  <c r="D1740" i="7"/>
  <c r="E1740" i="7" s="1"/>
  <c r="D1804" i="7"/>
  <c r="E1804" i="7" s="1"/>
  <c r="D1645" i="7"/>
  <c r="D1709" i="7"/>
  <c r="E1709" i="7" s="1"/>
  <c r="D1773" i="7"/>
  <c r="D1837" i="7"/>
  <c r="D1901" i="7"/>
  <c r="D1965" i="7"/>
  <c r="D2491" i="7"/>
  <c r="D2427" i="7"/>
  <c r="E2427" i="7" s="1"/>
  <c r="D2363" i="7"/>
  <c r="D2299" i="7"/>
  <c r="F2299" i="7" s="1"/>
  <c r="D2235" i="7"/>
  <c r="D1270" i="7"/>
  <c r="D1334" i="7"/>
  <c r="D1398" i="7"/>
  <c r="D1462" i="7"/>
  <c r="D1526" i="7"/>
  <c r="D1590" i="7"/>
  <c r="D1654" i="7"/>
  <c r="D1718" i="7"/>
  <c r="D1782" i="7"/>
  <c r="D1223" i="7"/>
  <c r="D1287" i="7"/>
  <c r="D1351" i="7"/>
  <c r="D1415" i="7"/>
  <c r="D1479" i="7"/>
  <c r="D1543" i="7"/>
  <c r="D1607" i="7"/>
  <c r="D1671" i="7"/>
  <c r="D1735" i="7"/>
  <c r="D1799" i="7"/>
  <c r="D1160" i="7"/>
  <c r="D1224" i="7"/>
  <c r="D1288" i="7"/>
  <c r="D1352" i="7"/>
  <c r="D1416" i="7"/>
  <c r="D1480" i="7"/>
  <c r="D1544" i="7"/>
  <c r="D1608" i="7"/>
  <c r="D1672" i="7"/>
  <c r="D1736" i="7"/>
  <c r="D1800" i="7"/>
  <c r="D1553" i="7"/>
  <c r="D1617" i="7"/>
  <c r="D1681" i="7"/>
  <c r="D1745" i="7"/>
  <c r="E1745" i="7" s="1"/>
  <c r="D1809" i="7"/>
  <c r="D1794" i="7"/>
  <c r="D1858" i="7"/>
  <c r="F1858" i="7" s="1"/>
  <c r="D1922" i="7"/>
  <c r="D1986" i="7"/>
  <c r="F1986" i="7" s="1"/>
  <c r="D2462" i="7"/>
  <c r="D2398" i="7"/>
  <c r="D2334" i="7"/>
  <c r="E2334" i="7" s="1"/>
  <c r="D2270" i="7"/>
  <c r="D1868" i="7"/>
  <c r="F1868" i="7" s="1"/>
  <c r="D1932" i="7"/>
  <c r="D1996" i="7"/>
  <c r="D2460" i="7"/>
  <c r="E2460" i="7" s="1"/>
  <c r="D2396" i="7"/>
  <c r="D2332" i="7"/>
  <c r="D2268" i="7"/>
  <c r="F2268" i="7" s="1"/>
  <c r="D2204" i="7"/>
  <c r="D2140" i="7"/>
  <c r="E2140" i="7" s="1"/>
  <c r="D2076" i="7"/>
  <c r="F2076" i="7" s="1"/>
  <c r="D2012" i="7"/>
  <c r="D2171" i="7"/>
  <c r="F2171" i="7" s="1"/>
  <c r="D2107" i="7"/>
  <c r="D2043" i="7"/>
  <c r="D1862" i="7"/>
  <c r="D1926" i="7"/>
  <c r="D1990" i="7"/>
  <c r="D2466" i="7"/>
  <c r="F2466" i="7" s="1"/>
  <c r="D2402" i="7"/>
  <c r="D2338" i="7"/>
  <c r="F2338" i="7" s="1"/>
  <c r="D2274" i="7"/>
  <c r="D2210" i="7"/>
  <c r="D2146" i="7"/>
  <c r="E2146" i="7" s="1"/>
  <c r="D2082" i="7"/>
  <c r="D2018" i="7"/>
  <c r="F2018" i="7" s="1"/>
  <c r="D1887" i="7"/>
  <c r="D1951" i="7"/>
  <c r="D2505" i="7"/>
  <c r="F2505" i="7" s="1"/>
  <c r="D2441" i="7"/>
  <c r="D2377" i="7"/>
  <c r="D1891" i="7"/>
  <c r="E1891" i="7" s="1"/>
  <c r="D186" i="7"/>
  <c r="D560" i="7"/>
  <c r="D2181" i="7"/>
  <c r="F2181" i="7" s="1"/>
  <c r="D949" i="7"/>
  <c r="D1533" i="7"/>
  <c r="D1110" i="7"/>
  <c r="D1063" i="7"/>
  <c r="D968" i="7"/>
  <c r="D1425" i="7"/>
  <c r="D1242" i="7"/>
  <c r="E1242" i="7" s="1"/>
  <c r="D1498" i="7"/>
  <c r="E1498" i="7" s="1"/>
  <c r="D1754" i="7"/>
  <c r="D1717" i="7"/>
  <c r="D1973" i="7"/>
  <c r="D2291" i="7"/>
  <c r="D1406" i="7"/>
  <c r="D1662" i="7"/>
  <c r="D1295" i="7"/>
  <c r="D1551" i="7"/>
  <c r="D1807" i="7"/>
  <c r="D1360" i="7"/>
  <c r="D1616" i="7"/>
  <c r="D1561" i="7"/>
  <c r="D1817" i="7"/>
  <c r="D1994" i="7"/>
  <c r="D2262" i="7"/>
  <c r="F2262" i="7" s="1"/>
  <c r="D2452" i="7"/>
  <c r="D2196" i="7"/>
  <c r="D2163" i="7"/>
  <c r="D1934" i="7"/>
  <c r="D2330" i="7"/>
  <c r="D2154" i="7"/>
  <c r="E2154" i="7" s="1"/>
  <c r="D2026" i="7"/>
  <c r="D1943" i="7"/>
  <c r="D2449" i="7"/>
  <c r="F2449" i="7" s="1"/>
  <c r="D2329" i="7"/>
  <c r="D2249" i="7"/>
  <c r="D2153" i="7"/>
  <c r="D2081" i="7"/>
  <c r="D1896" i="7"/>
  <c r="D1968" i="7"/>
  <c r="D2480" i="7"/>
  <c r="D2408" i="7"/>
  <c r="E2408" i="7" s="1"/>
  <c r="D2328" i="7"/>
  <c r="D2256" i="7"/>
  <c r="F2256" i="7" s="1"/>
  <c r="D2184" i="7"/>
  <c r="D2112" i="7"/>
  <c r="D2040" i="7"/>
  <c r="F2040" i="7" s="1"/>
  <c r="D1881" i="7"/>
  <c r="D1953" i="7"/>
  <c r="D2487" i="7"/>
  <c r="F2487" i="7" s="1"/>
  <c r="D2423" i="7"/>
  <c r="D2359" i="7"/>
  <c r="E2359" i="7" s="1"/>
  <c r="D2295" i="7"/>
  <c r="D2231" i="7"/>
  <c r="D2167" i="7"/>
  <c r="D2103" i="7"/>
  <c r="D2039" i="7"/>
  <c r="D2206" i="7"/>
  <c r="E2206" i="7" s="1"/>
  <c r="D2142" i="7"/>
  <c r="D2078" i="7"/>
  <c r="F2078" i="7" s="1"/>
  <c r="D2014" i="7"/>
  <c r="D2038" i="7"/>
  <c r="D1919" i="7"/>
  <c r="D2424" i="7"/>
  <c r="D1865" i="7"/>
  <c r="D2183" i="7"/>
  <c r="E2183" i="7" s="1"/>
  <c r="D590" i="7"/>
  <c r="D1701" i="7"/>
  <c r="F1701" i="7" s="1"/>
  <c r="D1791" i="7"/>
  <c r="D2468" i="7"/>
  <c r="D2162" i="7"/>
  <c r="F2162" i="7" s="1"/>
  <c r="D2089" i="7"/>
  <c r="D2344" i="7"/>
  <c r="D2503" i="7"/>
  <c r="D2047" i="7"/>
  <c r="D75" i="7"/>
  <c r="E75" i="7" s="1"/>
  <c r="D604" i="7"/>
  <c r="D801" i="7"/>
  <c r="D2053" i="7"/>
  <c r="F2053" i="7" s="1"/>
  <c r="D1021" i="7"/>
  <c r="D1605" i="7"/>
  <c r="D1182" i="7"/>
  <c r="D1127" i="7"/>
  <c r="D1016" i="7"/>
  <c r="D1473" i="7"/>
  <c r="D1290" i="7"/>
  <c r="D1546" i="7"/>
  <c r="D1732" i="7"/>
  <c r="D1765" i="7"/>
  <c r="D2499" i="7"/>
  <c r="E2499" i="7" s="1"/>
  <c r="D2243" i="7"/>
  <c r="D1454" i="7"/>
  <c r="D1710" i="7"/>
  <c r="D1343" i="7"/>
  <c r="D1599" i="7"/>
  <c r="D1152" i="7"/>
  <c r="D1408" i="7"/>
  <c r="D1664" i="7"/>
  <c r="D1609" i="7"/>
  <c r="D1786" i="7"/>
  <c r="D2470" i="7"/>
  <c r="D1860" i="7"/>
  <c r="D2404" i="7"/>
  <c r="D2148" i="7"/>
  <c r="D2115" i="7"/>
  <c r="F2115" i="7" s="1"/>
  <c r="D1982" i="7"/>
  <c r="D2290" i="7"/>
  <c r="D2138" i="7"/>
  <c r="D2010" i="7"/>
  <c r="D1959" i="7"/>
  <c r="D2433" i="7"/>
  <c r="E2433" i="7" s="1"/>
  <c r="D2321" i="7"/>
  <c r="D2241" i="7"/>
  <c r="D2145" i="7"/>
  <c r="D2073" i="7"/>
  <c r="D1832" i="7"/>
  <c r="D1904" i="7"/>
  <c r="D1976" i="7"/>
  <c r="D2472" i="7"/>
  <c r="E2472" i="7" s="1"/>
  <c r="D2392" i="7"/>
  <c r="D2320" i="7"/>
  <c r="D2248" i="7"/>
  <c r="F2248" i="7" s="1"/>
  <c r="D2176" i="7"/>
  <c r="D2104" i="7"/>
  <c r="E2104" i="7" s="1"/>
  <c r="D2032" i="7"/>
  <c r="D1889" i="7"/>
  <c r="D1969" i="7"/>
  <c r="D2479" i="7"/>
  <c r="D2415" i="7"/>
  <c r="E2415" i="7" s="1"/>
  <c r="D2351" i="7"/>
  <c r="E2351" i="7" s="1"/>
  <c r="D2287" i="7"/>
  <c r="D2223" i="7"/>
  <c r="F2223" i="7" s="1"/>
  <c r="D2159" i="7"/>
  <c r="D2095" i="7"/>
  <c r="D2031" i="7"/>
  <c r="E2031" i="7" s="1"/>
  <c r="D2198" i="7"/>
  <c r="D2134" i="7"/>
  <c r="E2134" i="7" s="1"/>
  <c r="D2070" i="7"/>
  <c r="E2070" i="7" s="1"/>
  <c r="D2345" i="7"/>
  <c r="D1952" i="7"/>
  <c r="D2056" i="7"/>
  <c r="D2247" i="7"/>
  <c r="D2030" i="7"/>
  <c r="E2030" i="7" s="1"/>
  <c r="D1038" i="7"/>
  <c r="D2278" i="7"/>
  <c r="D1935" i="7"/>
  <c r="D1888" i="7"/>
  <c r="D2048" i="7"/>
  <c r="E2048" i="7" s="1"/>
  <c r="D2239" i="7"/>
  <c r="D2086" i="7"/>
  <c r="D1907" i="7"/>
  <c r="F1907" i="7" s="1"/>
  <c r="D924" i="7"/>
  <c r="D1057" i="7"/>
  <c r="D1140" i="7"/>
  <c r="F1140" i="7" s="1"/>
  <c r="D1093" i="7"/>
  <c r="D670" i="7"/>
  <c r="D647" i="7"/>
  <c r="D1191" i="7"/>
  <c r="D1032" i="7"/>
  <c r="D1489" i="7"/>
  <c r="D1306" i="7"/>
  <c r="D1562" i="7"/>
  <c r="D1748" i="7"/>
  <c r="D1781" i="7"/>
  <c r="D2483" i="7"/>
  <c r="D1214" i="7"/>
  <c r="D1470" i="7"/>
  <c r="D1726" i="7"/>
  <c r="D1359" i="7"/>
  <c r="D1615" i="7"/>
  <c r="D1168" i="7"/>
  <c r="D1424" i="7"/>
  <c r="D1680" i="7"/>
  <c r="D1625" i="7"/>
  <c r="D1802" i="7"/>
  <c r="E1802" i="7" s="1"/>
  <c r="D2454" i="7"/>
  <c r="D1876" i="7"/>
  <c r="F1876" i="7" s="1"/>
  <c r="D2388" i="7"/>
  <c r="D2132" i="7"/>
  <c r="D2099" i="7"/>
  <c r="F2099" i="7" s="1"/>
  <c r="D1998" i="7"/>
  <c r="D2282" i="7"/>
  <c r="D2114" i="7"/>
  <c r="E2114" i="7" s="1"/>
  <c r="D1855" i="7"/>
  <c r="D1983" i="7"/>
  <c r="D2409" i="7"/>
  <c r="D2313" i="7"/>
  <c r="D2217" i="7"/>
  <c r="F2217" i="7" s="1"/>
  <c r="D2137" i="7"/>
  <c r="D2065" i="7"/>
  <c r="D1840" i="7"/>
  <c r="D1912" i="7"/>
  <c r="D1984" i="7"/>
  <c r="D2456" i="7"/>
  <c r="E2456" i="7" s="1"/>
  <c r="D2384" i="7"/>
  <c r="D2312" i="7"/>
  <c r="F2312" i="7" s="1"/>
  <c r="D2240" i="7"/>
  <c r="D2168" i="7"/>
  <c r="D2096" i="7"/>
  <c r="D2024" i="7"/>
  <c r="D1905" i="7"/>
  <c r="D1977" i="7"/>
  <c r="D2471" i="7"/>
  <c r="D2407" i="7"/>
  <c r="E2407" i="7" s="1"/>
  <c r="D2343" i="7"/>
  <c r="D2279" i="7"/>
  <c r="D2215" i="7"/>
  <c r="E2215" i="7" s="1"/>
  <c r="D2151" i="7"/>
  <c r="D2087" i="7"/>
  <c r="E2087" i="7" s="1"/>
  <c r="D2023" i="7"/>
  <c r="E2023" i="7" s="1"/>
  <c r="D2190" i="7"/>
  <c r="D2126" i="7"/>
  <c r="D2062" i="7"/>
  <c r="D2265" i="7"/>
  <c r="D2496" i="7"/>
  <c r="D1937" i="7"/>
  <c r="D2119" i="7"/>
  <c r="D625" i="7"/>
  <c r="D2307" i="7"/>
  <c r="D1344" i="7"/>
  <c r="D2212" i="7"/>
  <c r="D2457" i="7"/>
  <c r="D1960" i="7"/>
  <c r="D2120" i="7"/>
  <c r="D2303" i="7"/>
  <c r="E2303" i="7" s="1"/>
  <c r="D2150" i="7"/>
  <c r="E2150" i="7" s="1"/>
  <c r="D915" i="7"/>
  <c r="D397" i="7"/>
  <c r="F397" i="7" s="1"/>
  <c r="D1313" i="7"/>
  <c r="D1252" i="7"/>
  <c r="D1165" i="7"/>
  <c r="D742" i="7"/>
  <c r="D727" i="7"/>
  <c r="D712" i="7"/>
  <c r="D1080" i="7"/>
  <c r="D1098" i="7"/>
  <c r="F1098" i="7" s="1"/>
  <c r="D1354" i="7"/>
  <c r="D1610" i="7"/>
  <c r="D1796" i="7"/>
  <c r="D1829" i="7"/>
  <c r="D2435" i="7"/>
  <c r="E2435" i="7" s="1"/>
  <c r="D1262" i="7"/>
  <c r="D1518" i="7"/>
  <c r="D1774" i="7"/>
  <c r="D1407" i="7"/>
  <c r="D1663" i="7"/>
  <c r="D1216" i="7"/>
  <c r="D1472" i="7"/>
  <c r="D1728" i="7"/>
  <c r="D1673" i="7"/>
  <c r="E1673" i="7" s="1"/>
  <c r="D1850" i="7"/>
  <c r="D2406" i="7"/>
  <c r="D1924" i="7"/>
  <c r="D2340" i="7"/>
  <c r="D2084" i="7"/>
  <c r="D2051" i="7"/>
  <c r="D2474" i="7"/>
  <c r="D2266" i="7"/>
  <c r="D2098" i="7"/>
  <c r="D1871" i="7"/>
  <c r="D1999" i="7"/>
  <c r="D2393" i="7"/>
  <c r="D2305" i="7"/>
  <c r="F2305" i="7" s="1"/>
  <c r="D2209" i="7"/>
  <c r="D2129" i="7"/>
  <c r="D2057" i="7"/>
  <c r="F2057" i="7" s="1"/>
  <c r="D1848" i="7"/>
  <c r="D1920" i="7"/>
  <c r="D2000" i="7"/>
  <c r="D2448" i="7"/>
  <c r="D2376" i="7"/>
  <c r="D2304" i="7"/>
  <c r="D2232" i="7"/>
  <c r="D2160" i="7"/>
  <c r="F2160" i="7" s="1"/>
  <c r="D2088" i="7"/>
  <c r="D1841" i="7"/>
  <c r="D1913" i="7"/>
  <c r="D1985" i="7"/>
  <c r="D2463" i="7"/>
  <c r="E2463" i="7" s="1"/>
  <c r="D2399" i="7"/>
  <c r="D2335" i="7"/>
  <c r="E2335" i="7" s="1"/>
  <c r="D2271" i="7"/>
  <c r="D2207" i="7"/>
  <c r="D2143" i="7"/>
  <c r="E2143" i="7" s="1"/>
  <c r="D2079" i="7"/>
  <c r="D2015" i="7"/>
  <c r="D2182" i="7"/>
  <c r="F2182" i="7" s="1"/>
  <c r="D2118" i="7"/>
  <c r="D2054" i="7"/>
  <c r="D2050" i="7"/>
  <c r="D2352" i="7"/>
  <c r="D2009" i="7"/>
  <c r="E2009" i="7" s="1"/>
  <c r="D2055" i="7"/>
  <c r="D1042" i="7"/>
  <c r="D1482" i="7"/>
  <c r="D1279" i="7"/>
  <c r="D1978" i="7"/>
  <c r="D2034" i="7"/>
  <c r="D2017" i="7"/>
  <c r="D2192" i="7"/>
  <c r="E2192" i="7" s="1"/>
  <c r="D2367" i="7"/>
  <c r="D2022" i="7"/>
  <c r="D327" i="7"/>
  <c r="D653" i="7"/>
  <c r="D586" i="7"/>
  <c r="D1348" i="7"/>
  <c r="D1237" i="7"/>
  <c r="D822" i="7"/>
  <c r="D799" i="7"/>
  <c r="D776" i="7"/>
  <c r="D1096" i="7"/>
  <c r="D1114" i="7"/>
  <c r="D1370" i="7"/>
  <c r="D1626" i="7"/>
  <c r="E1626" i="7" s="1"/>
  <c r="D1812" i="7"/>
  <c r="D1845" i="7"/>
  <c r="D2419" i="7"/>
  <c r="D1278" i="7"/>
  <c r="D1534" i="7"/>
  <c r="D1790" i="7"/>
  <c r="D1423" i="7"/>
  <c r="D1679" i="7"/>
  <c r="D1232" i="7"/>
  <c r="D1488" i="7"/>
  <c r="D1744" i="7"/>
  <c r="D1689" i="7"/>
  <c r="D1866" i="7"/>
  <c r="D2390" i="7"/>
  <c r="D1940" i="7"/>
  <c r="E1940" i="7" s="1"/>
  <c r="D2324" i="7"/>
  <c r="E2324" i="7" s="1"/>
  <c r="D2068" i="7"/>
  <c r="D2035" i="7"/>
  <c r="E2035" i="7" s="1"/>
  <c r="D2458" i="7"/>
  <c r="D2226" i="7"/>
  <c r="D2090" i="7"/>
  <c r="D1879" i="7"/>
  <c r="D2007" i="7"/>
  <c r="D2385" i="7"/>
  <c r="E2385" i="7" s="1"/>
  <c r="D2281" i="7"/>
  <c r="D2201" i="7"/>
  <c r="D2121" i="7"/>
  <c r="D2049" i="7"/>
  <c r="D1856" i="7"/>
  <c r="D1936" i="7"/>
  <c r="D2008" i="7"/>
  <c r="D2440" i="7"/>
  <c r="D2368" i="7"/>
  <c r="D2296" i="7"/>
  <c r="F2296" i="7" s="1"/>
  <c r="D2224" i="7"/>
  <c r="D2152" i="7"/>
  <c r="D2072" i="7"/>
  <c r="F2072" i="7" s="1"/>
  <c r="D1849" i="7"/>
  <c r="D1921" i="7"/>
  <c r="D1993" i="7"/>
  <c r="D2455" i="7"/>
  <c r="D2391" i="7"/>
  <c r="F2391" i="7" s="1"/>
  <c r="D2327" i="7"/>
  <c r="D2263" i="7"/>
  <c r="D2199" i="7"/>
  <c r="F2199" i="7" s="1"/>
  <c r="D2135" i="7"/>
  <c r="D2071" i="7"/>
  <c r="D2238" i="7"/>
  <c r="D2174" i="7"/>
  <c r="D2110" i="7"/>
  <c r="D2046" i="7"/>
  <c r="D2105" i="7"/>
  <c r="D2128" i="7"/>
  <c r="E2128" i="7" s="1"/>
  <c r="D2311" i="7"/>
  <c r="D2094" i="7"/>
  <c r="D1461" i="7"/>
  <c r="F1461" i="7" s="1"/>
  <c r="D952" i="7"/>
  <c r="D1226" i="7"/>
  <c r="D1390" i="7"/>
  <c r="D1545" i="7"/>
  <c r="D1918" i="7"/>
  <c r="D2257" i="7"/>
  <c r="D2488" i="7"/>
  <c r="D1873" i="7"/>
  <c r="D2111" i="7"/>
  <c r="D184" i="7"/>
  <c r="D909" i="7"/>
  <c r="D738" i="7"/>
  <c r="D1452" i="7"/>
  <c r="D1317" i="7"/>
  <c r="D894" i="7"/>
  <c r="D871" i="7"/>
  <c r="D840" i="7"/>
  <c r="D1345" i="7"/>
  <c r="D1162" i="7"/>
  <c r="D1418" i="7"/>
  <c r="D1674" i="7"/>
  <c r="D1637" i="7"/>
  <c r="D1893" i="7"/>
  <c r="D2371" i="7"/>
  <c r="F2371" i="7" s="1"/>
  <c r="D1326" i="7"/>
  <c r="D1582" i="7"/>
  <c r="D1215" i="7"/>
  <c r="D1471" i="7"/>
  <c r="D1727" i="7"/>
  <c r="D1280" i="7"/>
  <c r="D1536" i="7"/>
  <c r="D1792" i="7"/>
  <c r="D1737" i="7"/>
  <c r="D1914" i="7"/>
  <c r="D2342" i="7"/>
  <c r="D1988" i="7"/>
  <c r="D2276" i="7"/>
  <c r="E2276" i="7" s="1"/>
  <c r="D2020" i="7"/>
  <c r="D1854" i="7"/>
  <c r="D2410" i="7"/>
  <c r="E2410" i="7" s="1"/>
  <c r="D2218" i="7"/>
  <c r="D2074" i="7"/>
  <c r="F2074" i="7" s="1"/>
  <c r="D1895" i="7"/>
  <c r="D2497" i="7"/>
  <c r="D2369" i="7"/>
  <c r="E2369" i="7" s="1"/>
  <c r="D2273" i="7"/>
  <c r="D2193" i="7"/>
  <c r="D2113" i="7"/>
  <c r="E2113" i="7" s="1"/>
  <c r="D2041" i="7"/>
  <c r="D1872" i="7"/>
  <c r="D1944" i="7"/>
  <c r="D2504" i="7"/>
  <c r="D2432" i="7"/>
  <c r="E2432" i="7" s="1"/>
  <c r="D2360" i="7"/>
  <c r="D2288" i="7"/>
  <c r="F2288" i="7" s="1"/>
  <c r="D2216" i="7"/>
  <c r="D2136" i="7"/>
  <c r="D2064" i="7"/>
  <c r="D1857" i="7"/>
  <c r="D1929" i="7"/>
  <c r="D2001" i="7"/>
  <c r="D2447" i="7"/>
  <c r="D2383" i="7"/>
  <c r="D2319" i="7"/>
  <c r="E2319" i="7" s="1"/>
  <c r="D2255" i="7"/>
  <c r="D2191" i="7"/>
  <c r="E2191" i="7" s="1"/>
  <c r="D2127" i="7"/>
  <c r="D2063" i="7"/>
  <c r="D2230" i="7"/>
  <c r="E2230" i="7" s="1"/>
  <c r="D2166" i="7"/>
  <c r="D2102" i="7"/>
  <c r="D2473" i="7"/>
  <c r="D1880" i="7"/>
  <c r="D2200" i="7"/>
  <c r="D2375" i="7"/>
  <c r="D2158" i="7"/>
  <c r="D999" i="7"/>
  <c r="D1957" i="7"/>
  <c r="D1535" i="7"/>
  <c r="D1801" i="7"/>
  <c r="D2346" i="7"/>
  <c r="D2337" i="7"/>
  <c r="D2416" i="7"/>
  <c r="D1945" i="7"/>
  <c r="D2175" i="7"/>
  <c r="D57" i="7"/>
  <c r="D334" i="7"/>
  <c r="D914" i="7"/>
  <c r="E914" i="7" s="1"/>
  <c r="D1540" i="7"/>
  <c r="D1389" i="7"/>
  <c r="D966" i="7"/>
  <c r="D935" i="7"/>
  <c r="D904" i="7"/>
  <c r="D1361" i="7"/>
  <c r="D1178" i="7"/>
  <c r="E1178" i="7" s="1"/>
  <c r="D1434" i="7"/>
  <c r="D1690" i="7"/>
  <c r="D1653" i="7"/>
  <c r="E1653" i="7" s="1"/>
  <c r="D1909" i="7"/>
  <c r="D2355" i="7"/>
  <c r="D1342" i="7"/>
  <c r="D1598" i="7"/>
  <c r="D1231" i="7"/>
  <c r="D1487" i="7"/>
  <c r="D1743" i="7"/>
  <c r="D1296" i="7"/>
  <c r="D1552" i="7"/>
  <c r="D1808" i="7"/>
  <c r="D1753" i="7"/>
  <c r="D1930" i="7"/>
  <c r="D2326" i="7"/>
  <c r="D2004" i="7"/>
  <c r="D2260" i="7"/>
  <c r="D2227" i="7"/>
  <c r="E2227" i="7" s="1"/>
  <c r="D1870" i="7"/>
  <c r="D2394" i="7"/>
  <c r="D2202" i="7"/>
  <c r="F2202" i="7" s="1"/>
  <c r="D2185" i="7"/>
  <c r="D2025" i="7"/>
  <c r="E2025" i="7" s="1"/>
  <c r="D2280" i="7"/>
  <c r="F2280" i="7" s="1"/>
  <c r="D2439" i="7"/>
  <c r="D2222" i="7"/>
  <c r="F2222" i="7" s="1"/>
  <c r="D1636" i="7"/>
  <c r="D1409" i="7"/>
  <c r="D1738" i="7"/>
  <c r="E1738" i="7" s="1"/>
  <c r="D1646" i="7"/>
  <c r="D1600" i="7"/>
  <c r="D2179" i="7"/>
  <c r="D2177" i="7"/>
  <c r="D2264" i="7"/>
  <c r="D2431" i="7"/>
  <c r="D2214" i="7"/>
  <c r="D14" i="7"/>
  <c r="D13" i="7"/>
  <c r="D12" i="7"/>
  <c r="D11" i="7"/>
  <c r="D10" i="7"/>
  <c r="D5009" i="7"/>
  <c r="D4945" i="7"/>
  <c r="D4881" i="7"/>
  <c r="D4817" i="7"/>
  <c r="F4817" i="7" s="1"/>
  <c r="D4753" i="7"/>
  <c r="D4689" i="7"/>
  <c r="E4689" i="7" s="1"/>
  <c r="D4625" i="7"/>
  <c r="E4625" i="7" s="1"/>
  <c r="D4561" i="7"/>
  <c r="D4497" i="7"/>
  <c r="D4984" i="7"/>
  <c r="D4920" i="7"/>
  <c r="D4856" i="7"/>
  <c r="E4856" i="7" s="1"/>
  <c r="D4959" i="7"/>
  <c r="D4895" i="7"/>
  <c r="D4831" i="7"/>
  <c r="E4831" i="7" s="1"/>
  <c r="D4767" i="7"/>
  <c r="D4703" i="7"/>
  <c r="E4703" i="7" s="1"/>
  <c r="D4639" i="7"/>
  <c r="D4575" i="7"/>
  <c r="D4511" i="7"/>
  <c r="E4511" i="7" s="1"/>
  <c r="D4998" i="7"/>
  <c r="D4934" i="7"/>
  <c r="E4934" i="7" s="1"/>
  <c r="D4870" i="7"/>
  <c r="E4870" i="7" s="1"/>
  <c r="D4806" i="7"/>
  <c r="D4742" i="7"/>
  <c r="E4742" i="7" s="1"/>
  <c r="D4678" i="7"/>
  <c r="D4614" i="7"/>
  <c r="D4550" i="7"/>
  <c r="E4550" i="7" s="1"/>
  <c r="D4486" i="7"/>
  <c r="D4422" i="7"/>
  <c r="D4358" i="7"/>
  <c r="F4358" i="7" s="1"/>
  <c r="D4973" i="7"/>
  <c r="D4909" i="7"/>
  <c r="E4909" i="7" s="1"/>
  <c r="D4845" i="7"/>
  <c r="D4781" i="7"/>
  <c r="D4717" i="7"/>
  <c r="E4717" i="7" s="1"/>
  <c r="D4653" i="7"/>
  <c r="D4589" i="7"/>
  <c r="D4525" i="7"/>
  <c r="E4525" i="7" s="1"/>
  <c r="D4461" i="7"/>
  <c r="D4397" i="7"/>
  <c r="E4397" i="7" s="1"/>
  <c r="D4333" i="7"/>
  <c r="D4948" i="7"/>
  <c r="D4884" i="7"/>
  <c r="E4884" i="7" s="1"/>
  <c r="D4820" i="7"/>
  <c r="D4756" i="7"/>
  <c r="F4756" i="7" s="1"/>
  <c r="D4692" i="7"/>
  <c r="E4692" i="7" s="1"/>
  <c r="D4628" i="7"/>
  <c r="D4564" i="7"/>
  <c r="D4500" i="7"/>
  <c r="D4436" i="7"/>
  <c r="D4372" i="7"/>
  <c r="D4939" i="7"/>
  <c r="D4738" i="7"/>
  <c r="D4568" i="7"/>
  <c r="E4568" i="7" s="1"/>
  <c r="D4423" i="7"/>
  <c r="D4323" i="7"/>
  <c r="E4323" i="7" s="1"/>
  <c r="D4259" i="7"/>
  <c r="D4195" i="7"/>
  <c r="D4131" i="7"/>
  <c r="F4131" i="7" s="1"/>
  <c r="D4067" i="7"/>
  <c r="D4003" i="7"/>
  <c r="F4003" i="7" s="1"/>
  <c r="D3939" i="7"/>
  <c r="D4842" i="7"/>
  <c r="D4672" i="7"/>
  <c r="F4672" i="7" s="1"/>
  <c r="D4499" i="7"/>
  <c r="D4383" i="7"/>
  <c r="D4298" i="7"/>
  <c r="E4298" i="7" s="1"/>
  <c r="D4234" i="7"/>
  <c r="D4170" i="7"/>
  <c r="F4170" i="7" s="1"/>
  <c r="D4106" i="7"/>
  <c r="E4106" i="7" s="1"/>
  <c r="D4042" i="7"/>
  <c r="D3978" i="7"/>
  <c r="E3978" i="7" s="1"/>
  <c r="D4995" i="7"/>
  <c r="D4776" i="7"/>
  <c r="D4603" i="7"/>
  <c r="E4603" i="7" s="1"/>
  <c r="D4443" i="7"/>
  <c r="D4343" i="7"/>
  <c r="F4343" i="7" s="1"/>
  <c r="D4273" i="7"/>
  <c r="F4273" i="7" s="1"/>
  <c r="D4209" i="7"/>
  <c r="D4145" i="7"/>
  <c r="E4145" i="7" s="1"/>
  <c r="D4081" i="7"/>
  <c r="D4017" i="7"/>
  <c r="D3953" i="7"/>
  <c r="D4898" i="7"/>
  <c r="D4707" i="7"/>
  <c r="E4707" i="7" s="1"/>
  <c r="D4538" i="7"/>
  <c r="E4538" i="7" s="1"/>
  <c r="D4403" i="7"/>
  <c r="D4312" i="7"/>
  <c r="E4312" i="7" s="1"/>
  <c r="D4248" i="7"/>
  <c r="D4184" i="7"/>
  <c r="D4120" i="7"/>
  <c r="E4120" i="7" s="1"/>
  <c r="D4056" i="7"/>
  <c r="D3992" i="7"/>
  <c r="D3928" i="7"/>
  <c r="D4834" i="7"/>
  <c r="D4664" i="7"/>
  <c r="E4664" i="7" s="1"/>
  <c r="D4491" i="7"/>
  <c r="D4377" i="7"/>
  <c r="D4295" i="7"/>
  <c r="E4295" i="7" s="1"/>
  <c r="D4231" i="7"/>
  <c r="D4167" i="7"/>
  <c r="D4103" i="7"/>
  <c r="D4039" i="7"/>
  <c r="D3975" i="7"/>
  <c r="E3975" i="7" s="1"/>
  <c r="D3911" i="7"/>
  <c r="D4787" i="7"/>
  <c r="F4787" i="7" s="1"/>
  <c r="D4618" i="7"/>
  <c r="D4451" i="7"/>
  <c r="D4351" i="7"/>
  <c r="E4351" i="7" s="1"/>
  <c r="D4278" i="7"/>
  <c r="D4214" i="7"/>
  <c r="D4150" i="7"/>
  <c r="D4086" i="7"/>
  <c r="D4022" i="7"/>
  <c r="D3958" i="7"/>
  <c r="D4851" i="7"/>
  <c r="D4301" i="7"/>
  <c r="D4045" i="7"/>
  <c r="F4045" i="7" s="1"/>
  <c r="D3882" i="7"/>
  <c r="D3818" i="7"/>
  <c r="D3754" i="7"/>
  <c r="D3690" i="7"/>
  <c r="D3626" i="7"/>
  <c r="F3626" i="7" s="1"/>
  <c r="D3562" i="7"/>
  <c r="D3498" i="7"/>
  <c r="E3498" i="7" s="1"/>
  <c r="D3434" i="7"/>
  <c r="E3434" i="7" s="1"/>
  <c r="D3370" i="7"/>
  <c r="D3306" i="7"/>
  <c r="E3306" i="7" s="1"/>
  <c r="D3242" i="7"/>
  <c r="D3178" i="7"/>
  <c r="D3114" i="7"/>
  <c r="F3114" i="7" s="1"/>
  <c r="D3050" i="7"/>
  <c r="D2986" i="7"/>
  <c r="D2922" i="7"/>
  <c r="F2922" i="7" s="1"/>
  <c r="D2858" i="7"/>
  <c r="D2794" i="7"/>
  <c r="E2794" i="7" s="1"/>
  <c r="D4978" i="7"/>
  <c r="D4335" i="7"/>
  <c r="D4076" i="7"/>
  <c r="E4076" i="7" s="1"/>
  <c r="D3889" i="7"/>
  <c r="D3825" i="7"/>
  <c r="E3825" i="7" s="1"/>
  <c r="D3761" i="7"/>
  <c r="D3697" i="7"/>
  <c r="D3633" i="7"/>
  <c r="D3569" i="7"/>
  <c r="D3505" i="7"/>
  <c r="D3441" i="7"/>
  <c r="D3377" i="7"/>
  <c r="D3313" i="7"/>
  <c r="D3249" i="7"/>
  <c r="F3249" i="7" s="1"/>
  <c r="D3185" i="7"/>
  <c r="D3121" i="7"/>
  <c r="E3121" i="7" s="1"/>
  <c r="D3057" i="7"/>
  <c r="D2993" i="7"/>
  <c r="D2929" i="7"/>
  <c r="E2929" i="7" s="1"/>
  <c r="D2865" i="7"/>
  <c r="D4571" i="7"/>
  <c r="E4571" i="7" s="1"/>
  <c r="D4197" i="7"/>
  <c r="D3941" i="7"/>
  <c r="D3856" i="7"/>
  <c r="E3856" i="7" s="1"/>
  <c r="D3792" i="7"/>
  <c r="D3728" i="7"/>
  <c r="D3664" i="7"/>
  <c r="E3664" i="7" s="1"/>
  <c r="D3600" i="7"/>
  <c r="D3536" i="7"/>
  <c r="D3472" i="7"/>
  <c r="D3408" i="7"/>
  <c r="D3344" i="7"/>
  <c r="E3344" i="7" s="1"/>
  <c r="D5001" i="7"/>
  <c r="D4937" i="7"/>
  <c r="D4873" i="7"/>
  <c r="F4873" i="7" s="1"/>
  <c r="D4809" i="7"/>
  <c r="D4745" i="7"/>
  <c r="E4745" i="7" s="1"/>
  <c r="D4681" i="7"/>
  <c r="E4681" i="7" s="1"/>
  <c r="D4617" i="7"/>
  <c r="D4553" i="7"/>
  <c r="D4489" i="7"/>
  <c r="D4976" i="7"/>
  <c r="D4912" i="7"/>
  <c r="D4848" i="7"/>
  <c r="D4951" i="7"/>
  <c r="F4951" i="7" s="1"/>
  <c r="D4887" i="7"/>
  <c r="E4887" i="7" s="1"/>
  <c r="D4823" i="7"/>
  <c r="D4759" i="7"/>
  <c r="D4695" i="7"/>
  <c r="D4631" i="7"/>
  <c r="D4567" i="7"/>
  <c r="D4503" i="7"/>
  <c r="D4990" i="7"/>
  <c r="D4926" i="7"/>
  <c r="F4926" i="7" s="1"/>
  <c r="D4862" i="7"/>
  <c r="D4798" i="7"/>
  <c r="F4798" i="7" s="1"/>
  <c r="D4734" i="7"/>
  <c r="D4670" i="7"/>
  <c r="D4606" i="7"/>
  <c r="E4606" i="7" s="1"/>
  <c r="D4542" i="7"/>
  <c r="D4478" i="7"/>
  <c r="E4478" i="7" s="1"/>
  <c r="D4414" i="7"/>
  <c r="E4414" i="7" s="1"/>
  <c r="D4350" i="7"/>
  <c r="D4965" i="7"/>
  <c r="F4965" i="7" s="1"/>
  <c r="D4901" i="7"/>
  <c r="D4837" i="7"/>
  <c r="D4773" i="7"/>
  <c r="D4709" i="7"/>
  <c r="D4645" i="7"/>
  <c r="D4581" i="7"/>
  <c r="D4517" i="7"/>
  <c r="D4453" i="7"/>
  <c r="D4389" i="7"/>
  <c r="D5004" i="7"/>
  <c r="D4940" i="7"/>
  <c r="D4876" i="7"/>
  <c r="D4812" i="7"/>
  <c r="D4748" i="7"/>
  <c r="F4748" i="7" s="1"/>
  <c r="D4684" i="7"/>
  <c r="D4620" i="7"/>
  <c r="E4620" i="7" s="1"/>
  <c r="D4556" i="7"/>
  <c r="D4492" i="7"/>
  <c r="D4428" i="7"/>
  <c r="E4428" i="7" s="1"/>
  <c r="D4364" i="7"/>
  <c r="D4907" i="7"/>
  <c r="E4907" i="7" s="1"/>
  <c r="D4715" i="7"/>
  <c r="E4715" i="7" s="1"/>
  <c r="D4546" i="7"/>
  <c r="D4409" i="7"/>
  <c r="E4409" i="7" s="1"/>
  <c r="D4315" i="7"/>
  <c r="D4251" i="7"/>
  <c r="D4187" i="7"/>
  <c r="D4123" i="7"/>
  <c r="D4059" i="7"/>
  <c r="E4059" i="7" s="1"/>
  <c r="D3995" i="7"/>
  <c r="E3995" i="7" s="1"/>
  <c r="D3931" i="7"/>
  <c r="D4819" i="7"/>
  <c r="F4819" i="7" s="1"/>
  <c r="D4650" i="7"/>
  <c r="D4480" i="7"/>
  <c r="D4369" i="7"/>
  <c r="D4290" i="7"/>
  <c r="D4226" i="7"/>
  <c r="E4226" i="7" s="1"/>
  <c r="D4162" i="7"/>
  <c r="E4162" i="7" s="1"/>
  <c r="D4098" i="7"/>
  <c r="D4034" i="7"/>
  <c r="E4034" i="7" s="1"/>
  <c r="D3970" i="7"/>
  <c r="D4963" i="7"/>
  <c r="D4754" i="7"/>
  <c r="F4754" i="7" s="1"/>
  <c r="D4584" i="7"/>
  <c r="D4432" i="7"/>
  <c r="E4432" i="7" s="1"/>
  <c r="D4329" i="7"/>
  <c r="D4265" i="7"/>
  <c r="D4201" i="7"/>
  <c r="E4201" i="7" s="1"/>
  <c r="D4137" i="7"/>
  <c r="D4073" i="7"/>
  <c r="D4009" i="7"/>
  <c r="E4009" i="7" s="1"/>
  <c r="D3945" i="7"/>
  <c r="D4866" i="7"/>
  <c r="F4866" i="7" s="1"/>
  <c r="D4688" i="7"/>
  <c r="E4688" i="7" s="1"/>
  <c r="D4515" i="7"/>
  <c r="D4392" i="7"/>
  <c r="D4304" i="7"/>
  <c r="D4240" i="7"/>
  <c r="D4176" i="7"/>
  <c r="E4176" i="7" s="1"/>
  <c r="D4112" i="7"/>
  <c r="D4048" i="7"/>
  <c r="D3984" i="7"/>
  <c r="E3984" i="7" s="1"/>
  <c r="D3920" i="7"/>
  <c r="D4811" i="7"/>
  <c r="F4811" i="7" s="1"/>
  <c r="D4642" i="7"/>
  <c r="D4472" i="7"/>
  <c r="D4363" i="7"/>
  <c r="D4287" i="7"/>
  <c r="D4223" i="7"/>
  <c r="F4223" i="7" s="1"/>
  <c r="D4159" i="7"/>
  <c r="E4159" i="7" s="1"/>
  <c r="D4095" i="7"/>
  <c r="D4031" i="7"/>
  <c r="D3967" i="7"/>
  <c r="D4986" i="7"/>
  <c r="D4768" i="7"/>
  <c r="D4595" i="7"/>
  <c r="D4440" i="7"/>
  <c r="D4337" i="7"/>
  <c r="D4270" i="7"/>
  <c r="D4206" i="7"/>
  <c r="E4206" i="7" s="1"/>
  <c r="D4142" i="7"/>
  <c r="D4078" i="7"/>
  <c r="D4014" i="7"/>
  <c r="D3950" i="7"/>
  <c r="D4763" i="7"/>
  <c r="D4993" i="7"/>
  <c r="F4993" i="7" s="1"/>
  <c r="D4929" i="7"/>
  <c r="D4865" i="7"/>
  <c r="D4801" i="7"/>
  <c r="D4737" i="7"/>
  <c r="D4673" i="7"/>
  <c r="E4673" i="7" s="1"/>
  <c r="D4609" i="7"/>
  <c r="D4545" i="7"/>
  <c r="E4545" i="7" s="1"/>
  <c r="D4481" i="7"/>
  <c r="F4481" i="7" s="1"/>
  <c r="D4968" i="7"/>
  <c r="D4904" i="7"/>
  <c r="D5007" i="7"/>
  <c r="D4943" i="7"/>
  <c r="D4879" i="7"/>
  <c r="D4815" i="7"/>
  <c r="D4751" i="7"/>
  <c r="F4751" i="7" s="1"/>
  <c r="D4687" i="7"/>
  <c r="D4623" i="7"/>
  <c r="D4559" i="7"/>
  <c r="E4559" i="7" s="1"/>
  <c r="D4495" i="7"/>
  <c r="D4982" i="7"/>
  <c r="D4918" i="7"/>
  <c r="E4918" i="7" s="1"/>
  <c r="D4854" i="7"/>
  <c r="D4790" i="7"/>
  <c r="F4790" i="7" s="1"/>
  <c r="D4726" i="7"/>
  <c r="E4726" i="7" s="1"/>
  <c r="D4662" i="7"/>
  <c r="D4598" i="7"/>
  <c r="D4534" i="7"/>
  <c r="D4470" i="7"/>
  <c r="D4406" i="7"/>
  <c r="E4406" i="7" s="1"/>
  <c r="D4342" i="7"/>
  <c r="D4957" i="7"/>
  <c r="F4957" i="7" s="1"/>
  <c r="D4893" i="7"/>
  <c r="F4893" i="7" s="1"/>
  <c r="D4829" i="7"/>
  <c r="D4765" i="7"/>
  <c r="F4765" i="7" s="1"/>
  <c r="D4701" i="7"/>
  <c r="D4637" i="7"/>
  <c r="D4573" i="7"/>
  <c r="D4509" i="7"/>
  <c r="D4445" i="7"/>
  <c r="E4445" i="7" s="1"/>
  <c r="D4381" i="7"/>
  <c r="F4381" i="7" s="1"/>
  <c r="D4996" i="7"/>
  <c r="D4932" i="7"/>
  <c r="E4932" i="7" s="1"/>
  <c r="D4868" i="7"/>
  <c r="D4804" i="7"/>
  <c r="D4740" i="7"/>
  <c r="D4676" i="7"/>
  <c r="D4612" i="7"/>
  <c r="F4612" i="7" s="1"/>
  <c r="D4548" i="7"/>
  <c r="D4484" i="7"/>
  <c r="D4420" i="7"/>
  <c r="E4420" i="7" s="1"/>
  <c r="D4356" i="7"/>
  <c r="D4875" i="7"/>
  <c r="D4696" i="7"/>
  <c r="D4523" i="7"/>
  <c r="D4395" i="7"/>
  <c r="F4395" i="7" s="1"/>
  <c r="D4307" i="7"/>
  <c r="D4243" i="7"/>
  <c r="D4179" i="7"/>
  <c r="D4115" i="7"/>
  <c r="D4051" i="7"/>
  <c r="D3987" i="7"/>
  <c r="F3987" i="7" s="1"/>
  <c r="D3923" i="7"/>
  <c r="D4800" i="7"/>
  <c r="D4627" i="7"/>
  <c r="E4627" i="7" s="1"/>
  <c r="D4458" i="7"/>
  <c r="D4355" i="7"/>
  <c r="E4355" i="7" s="1"/>
  <c r="D4282" i="7"/>
  <c r="D4218" i="7"/>
  <c r="D4154" i="7"/>
  <c r="D4090" i="7"/>
  <c r="D4026" i="7"/>
  <c r="D3962" i="7"/>
  <c r="F3962" i="7" s="1"/>
  <c r="D4931" i="7"/>
  <c r="D4731" i="7"/>
  <c r="D4562" i="7"/>
  <c r="D4418" i="7"/>
  <c r="D4321" i="7"/>
  <c r="D4257" i="7"/>
  <c r="D4193" i="7"/>
  <c r="D4129" i="7"/>
  <c r="F4129" i="7" s="1"/>
  <c r="D4065" i="7"/>
  <c r="D4001" i="7"/>
  <c r="D3937" i="7"/>
  <c r="D4835" i="7"/>
  <c r="D4666" i="7"/>
  <c r="E4666" i="7" s="1"/>
  <c r="D4496" i="7"/>
  <c r="D4378" i="7"/>
  <c r="D4296" i="7"/>
  <c r="F4296" i="7" s="1"/>
  <c r="D4232" i="7"/>
  <c r="D4168" i="7"/>
  <c r="F4168" i="7" s="1"/>
  <c r="D4104" i="7"/>
  <c r="D4040" i="7"/>
  <c r="D3976" i="7"/>
  <c r="E3976" i="7" s="1"/>
  <c r="D3912" i="7"/>
  <c r="D4792" i="7"/>
  <c r="E4792" i="7" s="1"/>
  <c r="D4619" i="7"/>
  <c r="D4455" i="7"/>
  <c r="D4352" i="7"/>
  <c r="D4279" i="7"/>
  <c r="D4215" i="7"/>
  <c r="D4151" i="7"/>
  <c r="D4087" i="7"/>
  <c r="D4023" i="7"/>
  <c r="D3959" i="7"/>
  <c r="E3959" i="7" s="1"/>
  <c r="D4954" i="7"/>
  <c r="D4746" i="7"/>
  <c r="E4746" i="7" s="1"/>
  <c r="D4576" i="7"/>
  <c r="D4426" i="7"/>
  <c r="D4326" i="7"/>
  <c r="D4262" i="7"/>
  <c r="D4198" i="7"/>
  <c r="D4134" i="7"/>
  <c r="D4070" i="7"/>
  <c r="D4006" i="7"/>
  <c r="E4006" i="7" s="1"/>
  <c r="D3942" i="7"/>
  <c r="D4680" i="7"/>
  <c r="D4237" i="7"/>
  <c r="F4237" i="7" s="1"/>
  <c r="D3981" i="7"/>
  <c r="D3866" i="7"/>
  <c r="E3866" i="7" s="1"/>
  <c r="D3802" i="7"/>
  <c r="E3802" i="7" s="1"/>
  <c r="D3738" i="7"/>
  <c r="D3674" i="7"/>
  <c r="F3674" i="7" s="1"/>
  <c r="D3610" i="7"/>
  <c r="D3546" i="7"/>
  <c r="D3482" i="7"/>
  <c r="E3482" i="7" s="1"/>
  <c r="D3418" i="7"/>
  <c r="D3354" i="7"/>
  <c r="F3354" i="7" s="1"/>
  <c r="D3290" i="7"/>
  <c r="D3226" i="7"/>
  <c r="D3162" i="7"/>
  <c r="E3162" i="7" s="1"/>
  <c r="D3098" i="7"/>
  <c r="D3034" i="7"/>
  <c r="D2970" i="7"/>
  <c r="E2970" i="7" s="1"/>
  <c r="D2906" i="7"/>
  <c r="D2842" i="7"/>
  <c r="E2842" i="7" s="1"/>
  <c r="D2778" i="7"/>
  <c r="D4762" i="7"/>
  <c r="D4268" i="7"/>
  <c r="D4012" i="7"/>
  <c r="D3873" i="7"/>
  <c r="D3809" i="7"/>
  <c r="E3809" i="7" s="1"/>
  <c r="D3745" i="7"/>
  <c r="D3681" i="7"/>
  <c r="E3681" i="7" s="1"/>
  <c r="D3617" i="7"/>
  <c r="D3553" i="7"/>
  <c r="D3489" i="7"/>
  <c r="F3489" i="7" s="1"/>
  <c r="D3425" i="7"/>
  <c r="D3361" i="7"/>
  <c r="D3297" i="7"/>
  <c r="E3297" i="7" s="1"/>
  <c r="D3233" i="7"/>
  <c r="D3169" i="7"/>
  <c r="D3105" i="7"/>
  <c r="D3041" i="7"/>
  <c r="D2977" i="7"/>
  <c r="E2977" i="7" s="1"/>
  <c r="D2913" i="7"/>
  <c r="D2849" i="7"/>
  <c r="D4425" i="7"/>
  <c r="F4425" i="7" s="1"/>
  <c r="D4133" i="7"/>
  <c r="D3904" i="7"/>
  <c r="D3840" i="7"/>
  <c r="D3776" i="7"/>
  <c r="D3712" i="7"/>
  <c r="D3648" i="7"/>
  <c r="D3584" i="7"/>
  <c r="D3520" i="7"/>
  <c r="F3520" i="7" s="1"/>
  <c r="D3456" i="7"/>
  <c r="D3392" i="7"/>
  <c r="D3328" i="7"/>
  <c r="E3328" i="7" s="1"/>
  <c r="D4985" i="7"/>
  <c r="D4921" i="7"/>
  <c r="E4921" i="7" s="1"/>
  <c r="D4857" i="7"/>
  <c r="D4793" i="7"/>
  <c r="D4729" i="7"/>
  <c r="D4665" i="7"/>
  <c r="D4601" i="7"/>
  <c r="D4537" i="7"/>
  <c r="E4537" i="7" s="1"/>
  <c r="D4473" i="7"/>
  <c r="D4960" i="7"/>
  <c r="D4896" i="7"/>
  <c r="D4999" i="7"/>
  <c r="D4935" i="7"/>
  <c r="E4935" i="7" s="1"/>
  <c r="D4871" i="7"/>
  <c r="D4807" i="7"/>
  <c r="F4807" i="7" s="1"/>
  <c r="D4743" i="7"/>
  <c r="D4679" i="7"/>
  <c r="D4615" i="7"/>
  <c r="D4551" i="7"/>
  <c r="D4487" i="7"/>
  <c r="D4974" i="7"/>
  <c r="F4974" i="7" s="1"/>
  <c r="D4910" i="7"/>
  <c r="D4846" i="7"/>
  <c r="E4846" i="7" s="1"/>
  <c r="D4782" i="7"/>
  <c r="D4718" i="7"/>
  <c r="D4654" i="7"/>
  <c r="D4590" i="7"/>
  <c r="D4526" i="7"/>
  <c r="F4526" i="7" s="1"/>
  <c r="D4462" i="7"/>
  <c r="F4462" i="7" s="1"/>
  <c r="D4398" i="7"/>
  <c r="D4334" i="7"/>
  <c r="E4334" i="7" s="1"/>
  <c r="D4949" i="7"/>
  <c r="D4885" i="7"/>
  <c r="D4821" i="7"/>
  <c r="F4821" i="7" s="1"/>
  <c r="D4757" i="7"/>
  <c r="D4693" i="7"/>
  <c r="D4629" i="7"/>
  <c r="E4629" i="7" s="1"/>
  <c r="D4565" i="7"/>
  <c r="D4501" i="7"/>
  <c r="D4437" i="7"/>
  <c r="D4373" i="7"/>
  <c r="D4988" i="7"/>
  <c r="D4924" i="7"/>
  <c r="D4860" i="7"/>
  <c r="D4796" i="7"/>
  <c r="E4796" i="7" s="1"/>
  <c r="D4732" i="7"/>
  <c r="D4668" i="7"/>
  <c r="D4604" i="7"/>
  <c r="D4540" i="7"/>
  <c r="D4476" i="7"/>
  <c r="E4476" i="7" s="1"/>
  <c r="D4412" i="7"/>
  <c r="D4348" i="7"/>
  <c r="D4843" i="7"/>
  <c r="E4843" i="7" s="1"/>
  <c r="D4674" i="7"/>
  <c r="D4504" i="7"/>
  <c r="D4384" i="7"/>
  <c r="F4384" i="7" s="1"/>
  <c r="D4299" i="7"/>
  <c r="D4235" i="7"/>
  <c r="D4171" i="7"/>
  <c r="D4107" i="7"/>
  <c r="D4043" i="7"/>
  <c r="F4043" i="7" s="1"/>
  <c r="D3979" i="7"/>
  <c r="D5002" i="7"/>
  <c r="D4778" i="7"/>
  <c r="E4778" i="7" s="1"/>
  <c r="D4608" i="7"/>
  <c r="D4447" i="7"/>
  <c r="E4447" i="7" s="1"/>
  <c r="D4344" i="7"/>
  <c r="D4274" i="7"/>
  <c r="D4210" i="7"/>
  <c r="D4146" i="7"/>
  <c r="D4082" i="7"/>
  <c r="E4082" i="7" s="1"/>
  <c r="D4018" i="7"/>
  <c r="D3954" i="7"/>
  <c r="D4899" i="7"/>
  <c r="E4899" i="7" s="1"/>
  <c r="D4712" i="7"/>
  <c r="D4539" i="7"/>
  <c r="D4407" i="7"/>
  <c r="E4407" i="7" s="1"/>
  <c r="D4313" i="7"/>
  <c r="D4249" i="7"/>
  <c r="F4249" i="7" s="1"/>
  <c r="D4185" i="7"/>
  <c r="D4121" i="7"/>
  <c r="D4057" i="7"/>
  <c r="F4057" i="7" s="1"/>
  <c r="D3993" i="7"/>
  <c r="D3929" i="7"/>
  <c r="D4816" i="7"/>
  <c r="E4816" i="7" s="1"/>
  <c r="D4643" i="7"/>
  <c r="D4474" i="7"/>
  <c r="D4367" i="7"/>
  <c r="D4288" i="7"/>
  <c r="D4224" i="7"/>
  <c r="F4224" i="7" s="1"/>
  <c r="D4160" i="7"/>
  <c r="D4096" i="7"/>
  <c r="D4032" i="7"/>
  <c r="F4032" i="7" s="1"/>
  <c r="D3968" i="7"/>
  <c r="D4987" i="7"/>
  <c r="E4987" i="7" s="1"/>
  <c r="D4770" i="7"/>
  <c r="D4600" i="7"/>
  <c r="D4441" i="7"/>
  <c r="E4441" i="7" s="1"/>
  <c r="D4338" i="7"/>
  <c r="D4271" i="7"/>
  <c r="D4207" i="7"/>
  <c r="E4207" i="7" s="1"/>
  <c r="D4143" i="7"/>
  <c r="D4079" i="7"/>
  <c r="E4079" i="7" s="1"/>
  <c r="D4015" i="7"/>
  <c r="F4015" i="7" s="1"/>
  <c r="D3951" i="7"/>
  <c r="D4922" i="7"/>
  <c r="D4723" i="7"/>
  <c r="D4554" i="7"/>
  <c r="E4554" i="7" s="1"/>
  <c r="D4415" i="7"/>
  <c r="F4415" i="7" s="1"/>
  <c r="D4318" i="7"/>
  <c r="D4254" i="7"/>
  <c r="E4254" i="7" s="1"/>
  <c r="D4190" i="7"/>
  <c r="F4190" i="7" s="1"/>
  <c r="D4126" i="7"/>
  <c r="D4062" i="7"/>
  <c r="F4062" i="7" s="1"/>
  <c r="D3998" i="7"/>
  <c r="D3934" i="7"/>
  <c r="D4594" i="7"/>
  <c r="E4594" i="7" s="1"/>
  <c r="D4977" i="7"/>
  <c r="D4913" i="7"/>
  <c r="E4913" i="7" s="1"/>
  <c r="D4849" i="7"/>
  <c r="E4849" i="7" s="1"/>
  <c r="D4785" i="7"/>
  <c r="D4721" i="7"/>
  <c r="E4721" i="7" s="1"/>
  <c r="D4657" i="7"/>
  <c r="D4593" i="7"/>
  <c r="D4529" i="7"/>
  <c r="D4465" i="7"/>
  <c r="D4952" i="7"/>
  <c r="D4888" i="7"/>
  <c r="E4888" i="7" s="1"/>
  <c r="D4991" i="7"/>
  <c r="D4927" i="7"/>
  <c r="E4927" i="7" s="1"/>
  <c r="D4863" i="7"/>
  <c r="D4799" i="7"/>
  <c r="F4799" i="7" s="1"/>
  <c r="D4735" i="7"/>
  <c r="D4671" i="7"/>
  <c r="D4607" i="7"/>
  <c r="F4607" i="7" s="1"/>
  <c r="D4543" i="7"/>
  <c r="F4543" i="7" s="1"/>
  <c r="D4479" i="7"/>
  <c r="D4966" i="7"/>
  <c r="D4902" i="7"/>
  <c r="D4838" i="7"/>
  <c r="D4774" i="7"/>
  <c r="F4774" i="7" s="1"/>
  <c r="D4710" i="7"/>
  <c r="D4646" i="7"/>
  <c r="D4582" i="7"/>
  <c r="D4518" i="7"/>
  <c r="D4454" i="7"/>
  <c r="F4454" i="7" s="1"/>
  <c r="D4390" i="7"/>
  <c r="D5005" i="7"/>
  <c r="E5005" i="7" s="1"/>
  <c r="D4941" i="7"/>
  <c r="E4941" i="7" s="1"/>
  <c r="D4877" i="7"/>
  <c r="D4813" i="7"/>
  <c r="D4749" i="7"/>
  <c r="E4749" i="7" s="1"/>
  <c r="D4685" i="7"/>
  <c r="D4621" i="7"/>
  <c r="D4557" i="7"/>
  <c r="D4493" i="7"/>
  <c r="D4429" i="7"/>
  <c r="D4365" i="7"/>
  <c r="D4980" i="7"/>
  <c r="D4916" i="7"/>
  <c r="F4916" i="7" s="1"/>
  <c r="D4852" i="7"/>
  <c r="D4788" i="7"/>
  <c r="F4788" i="7" s="1"/>
  <c r="D4724" i="7"/>
  <c r="D4660" i="7"/>
  <c r="D4596" i="7"/>
  <c r="D4532" i="7"/>
  <c r="D4468" i="7"/>
  <c r="D4404" i="7"/>
  <c r="D4340" i="7"/>
  <c r="D4824" i="7"/>
  <c r="D4651" i="7"/>
  <c r="D4482" i="7"/>
  <c r="D4370" i="7"/>
  <c r="F4370" i="7" s="1"/>
  <c r="D4291" i="7"/>
  <c r="D4227" i="7"/>
  <c r="D4163" i="7"/>
  <c r="D4099" i="7"/>
  <c r="D4035" i="7"/>
  <c r="F4035" i="7" s="1"/>
  <c r="D3971" i="7"/>
  <c r="D4970" i="7"/>
  <c r="D4755" i="7"/>
  <c r="E4755" i="7" s="1"/>
  <c r="D4586" i="7"/>
  <c r="D4433" i="7"/>
  <c r="E4433" i="7" s="1"/>
  <c r="D4330" i="7"/>
  <c r="D4266" i="7"/>
  <c r="D4202" i="7"/>
  <c r="E4202" i="7" s="1"/>
  <c r="D4138" i="7"/>
  <c r="D4074" i="7"/>
  <c r="D4010" i="7"/>
  <c r="D3946" i="7"/>
  <c r="D4867" i="7"/>
  <c r="D4690" i="7"/>
  <c r="E4690" i="7" s="1"/>
  <c r="D4520" i="7"/>
  <c r="D4393" i="7"/>
  <c r="D4305" i="7"/>
  <c r="D4241" i="7"/>
  <c r="D4177" i="7"/>
  <c r="E4177" i="7" s="1"/>
  <c r="D4113" i="7"/>
  <c r="D4049" i="7"/>
  <c r="E4049" i="7" s="1"/>
  <c r="D3985" i="7"/>
  <c r="D3921" i="7"/>
  <c r="D4794" i="7"/>
  <c r="E4794" i="7" s="1"/>
  <c r="D4624" i="7"/>
  <c r="D4456" i="7"/>
  <c r="D4353" i="7"/>
  <c r="D4280" i="7"/>
  <c r="D4216" i="7"/>
  <c r="D4152" i="7"/>
  <c r="D4088" i="7"/>
  <c r="D4024" i="7"/>
  <c r="F4024" i="7" s="1"/>
  <c r="D3960" i="7"/>
  <c r="D4955" i="7"/>
  <c r="D4747" i="7"/>
  <c r="E4747" i="7" s="1"/>
  <c r="D4578" i="7"/>
  <c r="D4427" i="7"/>
  <c r="E4427" i="7" s="1"/>
  <c r="D4327" i="7"/>
  <c r="F4327" i="7" s="1"/>
  <c r="D4263" i="7"/>
  <c r="D4199" i="7"/>
  <c r="E4199" i="7" s="1"/>
  <c r="D4135" i="7"/>
  <c r="D4071" i="7"/>
  <c r="D4007" i="7"/>
  <c r="D3943" i="7"/>
  <c r="D4890" i="7"/>
  <c r="E4890" i="7" s="1"/>
  <c r="D4704" i="7"/>
  <c r="D4531" i="7"/>
  <c r="D4401" i="7"/>
  <c r="F4401" i="7" s="1"/>
  <c r="D4310" i="7"/>
  <c r="D4246" i="7"/>
  <c r="D4182" i="7"/>
  <c r="D4118" i="7"/>
  <c r="D4054" i="7"/>
  <c r="E4054" i="7" s="1"/>
  <c r="D3990" i="7"/>
  <c r="F3990" i="7" s="1"/>
  <c r="D3926" i="7"/>
  <c r="D4507" i="7"/>
  <c r="D4173" i="7"/>
  <c r="D3917" i="7"/>
  <c r="D3850" i="7"/>
  <c r="D3786" i="7"/>
  <c r="D3722" i="7"/>
  <c r="E3722" i="7" s="1"/>
  <c r="D3658" i="7"/>
  <c r="F3658" i="7" s="1"/>
  <c r="D3594" i="7"/>
  <c r="D3530" i="7"/>
  <c r="D3466" i="7"/>
  <c r="D3402" i="7"/>
  <c r="D3338" i="7"/>
  <c r="E3338" i="7" s="1"/>
  <c r="D3274" i="7"/>
  <c r="D3210" i="7"/>
  <c r="D3146" i="7"/>
  <c r="D3082" i="7"/>
  <c r="D3018" i="7"/>
  <c r="D2954" i="7"/>
  <c r="D2890" i="7"/>
  <c r="D2826" i="7"/>
  <c r="E2826" i="7" s="1"/>
  <c r="D2762" i="7"/>
  <c r="D4592" i="7"/>
  <c r="E4592" i="7" s="1"/>
  <c r="D4204" i="7"/>
  <c r="D3948" i="7"/>
  <c r="D3857" i="7"/>
  <c r="D3793" i="7"/>
  <c r="D3729" i="7"/>
  <c r="D3665" i="7"/>
  <c r="E3665" i="7" s="1"/>
  <c r="D3601" i="7"/>
  <c r="D3537" i="7"/>
  <c r="D3473" i="7"/>
  <c r="F3473" i="7" s="1"/>
  <c r="D3409" i="7"/>
  <c r="D3345" i="7"/>
  <c r="E3345" i="7" s="1"/>
  <c r="D3281" i="7"/>
  <c r="D3217" i="7"/>
  <c r="D3153" i="7"/>
  <c r="E3153" i="7" s="1"/>
  <c r="D3089" i="7"/>
  <c r="D3025" i="7"/>
  <c r="D2961" i="7"/>
  <c r="F2961" i="7" s="1"/>
  <c r="D2897" i="7"/>
  <c r="D4947" i="7"/>
  <c r="D4325" i="7"/>
  <c r="D4069" i="7"/>
  <c r="D3888" i="7"/>
  <c r="E3888" i="7" s="1"/>
  <c r="D3824" i="7"/>
  <c r="D3760" i="7"/>
  <c r="E3760" i="7" s="1"/>
  <c r="D3696" i="7"/>
  <c r="E3696" i="7" s="1"/>
  <c r="D3632" i="7"/>
  <c r="D3568" i="7"/>
  <c r="E3568" i="7" s="1"/>
  <c r="D3504" i="7"/>
  <c r="D3440" i="7"/>
  <c r="D3376" i="7"/>
  <c r="E3376" i="7" s="1"/>
  <c r="D3312" i="7"/>
  <c r="D4969" i="7"/>
  <c r="D4905" i="7"/>
  <c r="D4841" i="7"/>
  <c r="D4777" i="7"/>
  <c r="E4777" i="7" s="1"/>
  <c r="D4713" i="7"/>
  <c r="D4649" i="7"/>
  <c r="D4585" i="7"/>
  <c r="F4585" i="7" s="1"/>
  <c r="D4521" i="7"/>
  <c r="D5008" i="7"/>
  <c r="F5008" i="7" s="1"/>
  <c r="D4944" i="7"/>
  <c r="E4944" i="7" s="1"/>
  <c r="D4880" i="7"/>
  <c r="D4983" i="7"/>
  <c r="E4983" i="7" s="1"/>
  <c r="D4919" i="7"/>
  <c r="D4855" i="7"/>
  <c r="D4791" i="7"/>
  <c r="E4791" i="7" s="1"/>
  <c r="D4727" i="7"/>
  <c r="D4663" i="7"/>
  <c r="D4599" i="7"/>
  <c r="D4535" i="7"/>
  <c r="D4471" i="7"/>
  <c r="E4471" i="7" s="1"/>
  <c r="D4958" i="7"/>
  <c r="D4894" i="7"/>
  <c r="D4830" i="7"/>
  <c r="D4766" i="7"/>
  <c r="D4702" i="7"/>
  <c r="F4702" i="7" s="1"/>
  <c r="D4638" i="7"/>
  <c r="F4638" i="7" s="1"/>
  <c r="D4574" i="7"/>
  <c r="D4510" i="7"/>
  <c r="F4510" i="7" s="1"/>
  <c r="D4446" i="7"/>
  <c r="D4382" i="7"/>
  <c r="D4997" i="7"/>
  <c r="E4997" i="7" s="1"/>
  <c r="D4933" i="7"/>
  <c r="D4869" i="7"/>
  <c r="D4805" i="7"/>
  <c r="E4805" i="7" s="1"/>
  <c r="D4741" i="7"/>
  <c r="D4677" i="7"/>
  <c r="D4613" i="7"/>
  <c r="D4549" i="7"/>
  <c r="D4485" i="7"/>
  <c r="F4485" i="7" s="1"/>
  <c r="D4421" i="7"/>
  <c r="D4357" i="7"/>
  <c r="E4357" i="7" s="1"/>
  <c r="D4972" i="7"/>
  <c r="E4972" i="7" s="1"/>
  <c r="D4908" i="7"/>
  <c r="D4844" i="7"/>
  <c r="E4844" i="7" s="1"/>
  <c r="D4780" i="7"/>
  <c r="D4716" i="7"/>
  <c r="D4652" i="7"/>
  <c r="E4652" i="7" s="1"/>
  <c r="D4588" i="7"/>
  <c r="D4524" i="7"/>
  <c r="E4524" i="7" s="1"/>
  <c r="D4460" i="7"/>
  <c r="D4396" i="7"/>
  <c r="D4332" i="7"/>
  <c r="D4802" i="7"/>
  <c r="D4632" i="7"/>
  <c r="D4459" i="7"/>
  <c r="F4459" i="7" s="1"/>
  <c r="D4359" i="7"/>
  <c r="D4283" i="7"/>
  <c r="D4219" i="7"/>
  <c r="D4155" i="7"/>
  <c r="D4091" i="7"/>
  <c r="D4027" i="7"/>
  <c r="D3963" i="7"/>
  <c r="D4938" i="7"/>
  <c r="F4938" i="7" s="1"/>
  <c r="D4736" i="7"/>
  <c r="D4563" i="7"/>
  <c r="E4563" i="7" s="1"/>
  <c r="D4419" i="7"/>
  <c r="D4322" i="7"/>
  <c r="D4258" i="7"/>
  <c r="E4258" i="7" s="1"/>
  <c r="D4194" i="7"/>
  <c r="D4130" i="7"/>
  <c r="D4066" i="7"/>
  <c r="F4066" i="7" s="1"/>
  <c r="D4002" i="7"/>
  <c r="D3938" i="7"/>
  <c r="D4840" i="7"/>
  <c r="D4667" i="7"/>
  <c r="D4498" i="7"/>
  <c r="D4379" i="7"/>
  <c r="D4297" i="7"/>
  <c r="D4233" i="7"/>
  <c r="F4233" i="7" s="1"/>
  <c r="D4169" i="7"/>
  <c r="D4105" i="7"/>
  <c r="E4105" i="7" s="1"/>
  <c r="D4041" i="7"/>
  <c r="D3977" i="7"/>
  <c r="D4994" i="7"/>
  <c r="E4994" i="7" s="1"/>
  <c r="D4771" i="7"/>
  <c r="D4602" i="7"/>
  <c r="D4442" i="7"/>
  <c r="E4442" i="7" s="1"/>
  <c r="D4339" i="7"/>
  <c r="D4272" i="7"/>
  <c r="E4272" i="7" s="1"/>
  <c r="D4208" i="7"/>
  <c r="D4144" i="7"/>
  <c r="D4080" i="7"/>
  <c r="D4016" i="7"/>
  <c r="D3952" i="7"/>
  <c r="D4923" i="7"/>
  <c r="D4728" i="7"/>
  <c r="D4555" i="7"/>
  <c r="D4416" i="7"/>
  <c r="E4416" i="7" s="1"/>
  <c r="D4319" i="7"/>
  <c r="D4255" i="7"/>
  <c r="E4255" i="7" s="1"/>
  <c r="D4191" i="7"/>
  <c r="D4127" i="7"/>
  <c r="D4063" i="7"/>
  <c r="E4063" i="7" s="1"/>
  <c r="D3999" i="7"/>
  <c r="D3935" i="7"/>
  <c r="E3935" i="7" s="1"/>
  <c r="D4858" i="7"/>
  <c r="F4858" i="7" s="1"/>
  <c r="D4682" i="7"/>
  <c r="D4512" i="7"/>
  <c r="E4512" i="7" s="1"/>
  <c r="D4387" i="7"/>
  <c r="D4302" i="7"/>
  <c r="D4238" i="7"/>
  <c r="E4238" i="7" s="1"/>
  <c r="D4174" i="7"/>
  <c r="D4110" i="7"/>
  <c r="E4110" i="7" s="1"/>
  <c r="D4046" i="7"/>
  <c r="D3982" i="7"/>
  <c r="D3918" i="7"/>
  <c r="F3918" i="7" s="1"/>
  <c r="D4439" i="7"/>
  <c r="D4141" i="7"/>
  <c r="D3906" i="7"/>
  <c r="D3842" i="7"/>
  <c r="D3778" i="7"/>
  <c r="E3778" i="7" s="1"/>
  <c r="D3714" i="7"/>
  <c r="D3650" i="7"/>
  <c r="D3586" i="7"/>
  <c r="F3586" i="7" s="1"/>
  <c r="D3522" i="7"/>
  <c r="D3458" i="7"/>
  <c r="E3458" i="7" s="1"/>
  <c r="D3394" i="7"/>
  <c r="D3330" i="7"/>
  <c r="D3266" i="7"/>
  <c r="D3202" i="7"/>
  <c r="D3138" i="7"/>
  <c r="D3074" i="7"/>
  <c r="D3010" i="7"/>
  <c r="D2946" i="7"/>
  <c r="D2882" i="7"/>
  <c r="E2882" i="7" s="1"/>
  <c r="D2818" i="7"/>
  <c r="D2754" i="7"/>
  <c r="D4506" i="7"/>
  <c r="E4506" i="7" s="1"/>
  <c r="D4172" i="7"/>
  <c r="D3916" i="7"/>
  <c r="D3849" i="7"/>
  <c r="D3785" i="7"/>
  <c r="F3785" i="7" s="1"/>
  <c r="D3721" i="7"/>
  <c r="E3721" i="7" s="1"/>
  <c r="D3657" i="7"/>
  <c r="D3593" i="7"/>
  <c r="D3529" i="7"/>
  <c r="E3529" i="7" s="1"/>
  <c r="D3465" i="7"/>
  <c r="D3401" i="7"/>
  <c r="F3401" i="7" s="1"/>
  <c r="D3337" i="7"/>
  <c r="D3273" i="7"/>
  <c r="F3273" i="7" s="1"/>
  <c r="D3209" i="7"/>
  <c r="D3145" i="7"/>
  <c r="D3081" i="7"/>
  <c r="F3081" i="7" s="1"/>
  <c r="D3017" i="7"/>
  <c r="D2953" i="7"/>
  <c r="D2889" i="7"/>
  <c r="D4827" i="7"/>
  <c r="D4293" i="7"/>
  <c r="D4037" i="7"/>
  <c r="F4037" i="7" s="1"/>
  <c r="D3880" i="7"/>
  <c r="D3816" i="7"/>
  <c r="E3816" i="7" s="1"/>
  <c r="D3752" i="7"/>
  <c r="D3688" i="7"/>
  <c r="D3624" i="7"/>
  <c r="E3624" i="7" s="1"/>
  <c r="D3560" i="7"/>
  <c r="D3496" i="7"/>
  <c r="D3432" i="7"/>
  <c r="E3432" i="7" s="1"/>
  <c r="D3368" i="7"/>
  <c r="D3304" i="7"/>
  <c r="D3240" i="7"/>
  <c r="E3240" i="7" s="1"/>
  <c r="D4961" i="7"/>
  <c r="D4897" i="7"/>
  <c r="E4897" i="7" s="1"/>
  <c r="D4833" i="7"/>
  <c r="D4769" i="7"/>
  <c r="D4705" i="7"/>
  <c r="D4641" i="7"/>
  <c r="D4577" i="7"/>
  <c r="F4577" i="7" s="1"/>
  <c r="D4513" i="7"/>
  <c r="E4513" i="7" s="1"/>
  <c r="D5000" i="7"/>
  <c r="D4936" i="7"/>
  <c r="E4936" i="7" s="1"/>
  <c r="D4872" i="7"/>
  <c r="D4975" i="7"/>
  <c r="D4911" i="7"/>
  <c r="D4847" i="7"/>
  <c r="D4783" i="7"/>
  <c r="F4783" i="7" s="1"/>
  <c r="D4719" i="7"/>
  <c r="E4719" i="7" s="1"/>
  <c r="D4655" i="7"/>
  <c r="D4591" i="7"/>
  <c r="E4591" i="7" s="1"/>
  <c r="D4527" i="7"/>
  <c r="D4463" i="7"/>
  <c r="D4950" i="7"/>
  <c r="D4886" i="7"/>
  <c r="D4822" i="7"/>
  <c r="E4822" i="7" s="1"/>
  <c r="D4758" i="7"/>
  <c r="D4694" i="7"/>
  <c r="D4630" i="7"/>
  <c r="D4566" i="7"/>
  <c r="D4502" i="7"/>
  <c r="F4502" i="7" s="1"/>
  <c r="D4438" i="7"/>
  <c r="D4374" i="7"/>
  <c r="D4989" i="7"/>
  <c r="D4925" i="7"/>
  <c r="D4861" i="7"/>
  <c r="D4797" i="7"/>
  <c r="D4733" i="7"/>
  <c r="D4669" i="7"/>
  <c r="D4605" i="7"/>
  <c r="E4605" i="7" s="1"/>
  <c r="D4541" i="7"/>
  <c r="D4477" i="7"/>
  <c r="D4413" i="7"/>
  <c r="D4349" i="7"/>
  <c r="D4964" i="7"/>
  <c r="F4964" i="7" s="1"/>
  <c r="D4900" i="7"/>
  <c r="D4836" i="7"/>
  <c r="E4836" i="7" s="1"/>
  <c r="D4772" i="7"/>
  <c r="E4772" i="7" s="1"/>
  <c r="D4708" i="7"/>
  <c r="D4644" i="7"/>
  <c r="E4644" i="7" s="1"/>
  <c r="D4580" i="7"/>
  <c r="F4580" i="7" s="1"/>
  <c r="D4516" i="7"/>
  <c r="D4452" i="7"/>
  <c r="E4452" i="7" s="1"/>
  <c r="D4388" i="7"/>
  <c r="D5003" i="7"/>
  <c r="D4779" i="7"/>
  <c r="E4779" i="7" s="1"/>
  <c r="D4610" i="7"/>
  <c r="D4448" i="7"/>
  <c r="D4345" i="7"/>
  <c r="E4345" i="7" s="1"/>
  <c r="D4275" i="7"/>
  <c r="D4211" i="7"/>
  <c r="F4211" i="7" s="1"/>
  <c r="D4147" i="7"/>
  <c r="D4083" i="7"/>
  <c r="F4083" i="7" s="1"/>
  <c r="D4019" i="7"/>
  <c r="D3955" i="7"/>
  <c r="D4906" i="7"/>
  <c r="E4906" i="7" s="1"/>
  <c r="D4714" i="7"/>
  <c r="D4544" i="7"/>
  <c r="D4408" i="7"/>
  <c r="F4408" i="7" s="1"/>
  <c r="D4314" i="7"/>
  <c r="D4250" i="7"/>
  <c r="D4186" i="7"/>
  <c r="E4186" i="7" s="1"/>
  <c r="D4122" i="7"/>
  <c r="D4058" i="7"/>
  <c r="E4058" i="7" s="1"/>
  <c r="D3994" i="7"/>
  <c r="E3994" i="7" s="1"/>
  <c r="D3930" i="7"/>
  <c r="D4818" i="7"/>
  <c r="E4818" i="7" s="1"/>
  <c r="D4648" i="7"/>
  <c r="D4475" i="7"/>
  <c r="D4368" i="7"/>
  <c r="D4289" i="7"/>
  <c r="D4225" i="7"/>
  <c r="E4225" i="7" s="1"/>
  <c r="D4161" i="7"/>
  <c r="F4161" i="7" s="1"/>
  <c r="D4097" i="7"/>
  <c r="D4033" i="7"/>
  <c r="E4033" i="7" s="1"/>
  <c r="D3969" i="7"/>
  <c r="D4962" i="7"/>
  <c r="D4752" i="7"/>
  <c r="E4752" i="7" s="1"/>
  <c r="D4579" i="7"/>
  <c r="D4431" i="7"/>
  <c r="E4431" i="7" s="1"/>
  <c r="D4328" i="7"/>
  <c r="D4264" i="7"/>
  <c r="D4200" i="7"/>
  <c r="E4200" i="7" s="1"/>
  <c r="D4136" i="7"/>
  <c r="D4072" i="7"/>
  <c r="D4008" i="7"/>
  <c r="E4008" i="7" s="1"/>
  <c r="D3944" i="7"/>
  <c r="D4891" i="7"/>
  <c r="D4706" i="7"/>
  <c r="F4706" i="7" s="1"/>
  <c r="D4536" i="7"/>
  <c r="D4402" i="7"/>
  <c r="F4402" i="7" s="1"/>
  <c r="D4311" i="7"/>
  <c r="D4247" i="7"/>
  <c r="D4183" i="7"/>
  <c r="E4183" i="7" s="1"/>
  <c r="D4119" i="7"/>
  <c r="D4055" i="7"/>
  <c r="D3991" i="7"/>
  <c r="D3927" i="7"/>
  <c r="D4832" i="7"/>
  <c r="E4832" i="7" s="1"/>
  <c r="D4659" i="7"/>
  <c r="D4490" i="7"/>
  <c r="D4376" i="7"/>
  <c r="F4376" i="7" s="1"/>
  <c r="D4294" i="7"/>
  <c r="D4230" i="7"/>
  <c r="E4230" i="7" s="1"/>
  <c r="D4166" i="7"/>
  <c r="F4166" i="7" s="1"/>
  <c r="D4102" i="7"/>
  <c r="D4038" i="7"/>
  <c r="E4038" i="7" s="1"/>
  <c r="D3974" i="7"/>
  <c r="D3910" i="7"/>
  <c r="D4386" i="7"/>
  <c r="E4386" i="7" s="1"/>
  <c r="D4109" i="7"/>
  <c r="D3898" i="7"/>
  <c r="E3898" i="7" s="1"/>
  <c r="D3834" i="7"/>
  <c r="E3834" i="7" s="1"/>
  <c r="D3770" i="7"/>
  <c r="D3706" i="7"/>
  <c r="F3706" i="7" s="1"/>
  <c r="D3642" i="7"/>
  <c r="D3578" i="7"/>
  <c r="D3514" i="7"/>
  <c r="F3514" i="7" s="1"/>
  <c r="D3450" i="7"/>
  <c r="D3386" i="7"/>
  <c r="D3322" i="7"/>
  <c r="E3322" i="7" s="1"/>
  <c r="D3258" i="7"/>
  <c r="D3194" i="7"/>
  <c r="E3194" i="7" s="1"/>
  <c r="D3130" i="7"/>
  <c r="D3066" i="7"/>
  <c r="D3002" i="7"/>
  <c r="E3002" i="7" s="1"/>
  <c r="D2938" i="7"/>
  <c r="D2874" i="7"/>
  <c r="D2810" i="7"/>
  <c r="D2746" i="7"/>
  <c r="D4435" i="7"/>
  <c r="D4140" i="7"/>
  <c r="D3905" i="7"/>
  <c r="D3841" i="7"/>
  <c r="D3777" i="7"/>
  <c r="D3713" i="7"/>
  <c r="F3713" i="7" s="1"/>
  <c r="D3649" i="7"/>
  <c r="E3649" i="7" s="1"/>
  <c r="D3585" i="7"/>
  <c r="D3521" i="7"/>
  <c r="D3457" i="7"/>
  <c r="D3393" i="7"/>
  <c r="D3329" i="7"/>
  <c r="E3329" i="7" s="1"/>
  <c r="D3265" i="7"/>
  <c r="D3201" i="7"/>
  <c r="E3201" i="7" s="1"/>
  <c r="D3137" i="7"/>
  <c r="E3137" i="7" s="1"/>
  <c r="D3073" i="7"/>
  <c r="D3009" i="7"/>
  <c r="D2945" i="7"/>
  <c r="D2881" i="7"/>
  <c r="D4744" i="7"/>
  <c r="D4261" i="7"/>
  <c r="D4005" i="7"/>
  <c r="E4005" i="7" s="1"/>
  <c r="D3872" i="7"/>
  <c r="F3872" i="7" s="1"/>
  <c r="D3808" i="7"/>
  <c r="D3744" i="7"/>
  <c r="D3680" i="7"/>
  <c r="D3616" i="7"/>
  <c r="D3552" i="7"/>
  <c r="E3552" i="7" s="1"/>
  <c r="D3488" i="7"/>
  <c r="D3424" i="7"/>
  <c r="D3360" i="7"/>
  <c r="D3296" i="7"/>
  <c r="D4953" i="7"/>
  <c r="F4953" i="7" s="1"/>
  <c r="D4992" i="7"/>
  <c r="D4647" i="7"/>
  <c r="D4686" i="7"/>
  <c r="F4686" i="7" s="1"/>
  <c r="D4853" i="7"/>
  <c r="D4341" i="7"/>
  <c r="D4508" i="7"/>
  <c r="F4508" i="7" s="1"/>
  <c r="D4267" i="7"/>
  <c r="D4522" i="7"/>
  <c r="E4522" i="7" s="1"/>
  <c r="D3922" i="7"/>
  <c r="D4089" i="7"/>
  <c r="D4256" i="7"/>
  <c r="E4256" i="7" s="1"/>
  <c r="D4514" i="7"/>
  <c r="D3919" i="7"/>
  <c r="D4094" i="7"/>
  <c r="F4094" i="7" s="1"/>
  <c r="D4013" i="7"/>
  <c r="D3762" i="7"/>
  <c r="E3762" i="7" s="1"/>
  <c r="D3602" i="7"/>
  <c r="D3426" i="7"/>
  <c r="E3426" i="7" s="1"/>
  <c r="D3250" i="7"/>
  <c r="D3090" i="7"/>
  <c r="D2914" i="7"/>
  <c r="F2914" i="7" s="1"/>
  <c r="D2738" i="7"/>
  <c r="D3980" i="7"/>
  <c r="D3753" i="7"/>
  <c r="D3577" i="7"/>
  <c r="D3417" i="7"/>
  <c r="D3241" i="7"/>
  <c r="E3241" i="7" s="1"/>
  <c r="D3065" i="7"/>
  <c r="D2905" i="7"/>
  <c r="F2905" i="7" s="1"/>
  <c r="D4165" i="7"/>
  <c r="D3800" i="7"/>
  <c r="D3640" i="7"/>
  <c r="D3464" i="7"/>
  <c r="D3288" i="7"/>
  <c r="D3216" i="7"/>
  <c r="F3216" i="7" s="1"/>
  <c r="D3152" i="7"/>
  <c r="D3088" i="7"/>
  <c r="E3088" i="7" s="1"/>
  <c r="D3024" i="7"/>
  <c r="E3024" i="7" s="1"/>
  <c r="D2960" i="7"/>
  <c r="D2896" i="7"/>
  <c r="D2832" i="7"/>
  <c r="D2768" i="7"/>
  <c r="D4739" i="7"/>
  <c r="F4739" i="7" s="1"/>
  <c r="D4260" i="7"/>
  <c r="D4004" i="7"/>
  <c r="E4004" i="7" s="1"/>
  <c r="D3871" i="7"/>
  <c r="E3871" i="7" s="1"/>
  <c r="D3807" i="7"/>
  <c r="D3743" i="7"/>
  <c r="D3679" i="7"/>
  <c r="D3615" i="7"/>
  <c r="D3551" i="7"/>
  <c r="F3551" i="7" s="1"/>
  <c r="D3487" i="7"/>
  <c r="D3423" i="7"/>
  <c r="D3359" i="7"/>
  <c r="F3359" i="7" s="1"/>
  <c r="D3295" i="7"/>
  <c r="D3231" i="7"/>
  <c r="F3231" i="7" s="1"/>
  <c r="D3167" i="7"/>
  <c r="D3103" i="7"/>
  <c r="D3039" i="7"/>
  <c r="D2975" i="7"/>
  <c r="D2911" i="7"/>
  <c r="E2911" i="7" s="1"/>
  <c r="D2847" i="7"/>
  <c r="D2783" i="7"/>
  <c r="D4915" i="7"/>
  <c r="F4915" i="7" s="1"/>
  <c r="D4317" i="7"/>
  <c r="D4061" i="7"/>
  <c r="D3886" i="7"/>
  <c r="F3886" i="7" s="1"/>
  <c r="D3822" i="7"/>
  <c r="D3758" i="7"/>
  <c r="F3758" i="7" s="1"/>
  <c r="D3694" i="7"/>
  <c r="D3630" i="7"/>
  <c r="D3566" i="7"/>
  <c r="F3566" i="7" s="1"/>
  <c r="D3502" i="7"/>
  <c r="D3438" i="7"/>
  <c r="D3374" i="7"/>
  <c r="F3374" i="7" s="1"/>
  <c r="D3310" i="7"/>
  <c r="D3246" i="7"/>
  <c r="E3246" i="7" s="1"/>
  <c r="D3182" i="7"/>
  <c r="D3118" i="7"/>
  <c r="D3054" i="7"/>
  <c r="D2990" i="7"/>
  <c r="D2926" i="7"/>
  <c r="E2926" i="7" s="1"/>
  <c r="D2862" i="7"/>
  <c r="E2862" i="7" s="1"/>
  <c r="D2798" i="7"/>
  <c r="D2734" i="7"/>
  <c r="E2734" i="7" s="1"/>
  <c r="D4410" i="7"/>
  <c r="E4410" i="7" s="1"/>
  <c r="D4124" i="7"/>
  <c r="D3901" i="7"/>
  <c r="D3837" i="7"/>
  <c r="D3773" i="7"/>
  <c r="E3773" i="7" s="1"/>
  <c r="D3709" i="7"/>
  <c r="D3645" i="7"/>
  <c r="D3581" i="7"/>
  <c r="F3581" i="7" s="1"/>
  <c r="D3517" i="7"/>
  <c r="D3453" i="7"/>
  <c r="D3389" i="7"/>
  <c r="D3325" i="7"/>
  <c r="D3261" i="7"/>
  <c r="D3197" i="7"/>
  <c r="E3197" i="7" s="1"/>
  <c r="D3133" i="7"/>
  <c r="D3069" i="7"/>
  <c r="E3069" i="7" s="1"/>
  <c r="D3005" i="7"/>
  <c r="D2941" i="7"/>
  <c r="D2877" i="7"/>
  <c r="D2813" i="7"/>
  <c r="D2749" i="7"/>
  <c r="F2749" i="7" s="1"/>
  <c r="D4530" i="7"/>
  <c r="F4530" i="7" s="1"/>
  <c r="D4181" i="7"/>
  <c r="D3925" i="7"/>
  <c r="D3852" i="7"/>
  <c r="D3788" i="7"/>
  <c r="D3724" i="7"/>
  <c r="D3660" i="7"/>
  <c r="D3596" i="7"/>
  <c r="E3596" i="7" s="1"/>
  <c r="D3532" i="7"/>
  <c r="F3532" i="7" s="1"/>
  <c r="D3627" i="7"/>
  <c r="D3323" i="7"/>
  <c r="D3067" i="7"/>
  <c r="D2819" i="7"/>
  <c r="D2696" i="7"/>
  <c r="F2696" i="7" s="1"/>
  <c r="D2632" i="7"/>
  <c r="D2568" i="7"/>
  <c r="E2568" i="7" s="1"/>
  <c r="D4784" i="7"/>
  <c r="F4784" i="7" s="1"/>
  <c r="D3555" i="7"/>
  <c r="D3284" i="7"/>
  <c r="E3284" i="7" s="1"/>
  <c r="D3028" i="7"/>
  <c r="E3028" i="7" s="1"/>
  <c r="D2795" i="7"/>
  <c r="D2687" i="7"/>
  <c r="F2687" i="7" s="1"/>
  <c r="D2623" i="7"/>
  <c r="D4889" i="7"/>
  <c r="D4928" i="7"/>
  <c r="E4928" i="7" s="1"/>
  <c r="D4583" i="7"/>
  <c r="D4622" i="7"/>
  <c r="E4622" i="7" s="1"/>
  <c r="D4789" i="7"/>
  <c r="F4789" i="7" s="1"/>
  <c r="D4956" i="7"/>
  <c r="D4444" i="7"/>
  <c r="F4444" i="7" s="1"/>
  <c r="D4203" i="7"/>
  <c r="D4394" i="7"/>
  <c r="D4795" i="7"/>
  <c r="D4025" i="7"/>
  <c r="D4192" i="7"/>
  <c r="D4391" i="7"/>
  <c r="D4810" i="7"/>
  <c r="D4030" i="7"/>
  <c r="F4030" i="7" s="1"/>
  <c r="D3949" i="7"/>
  <c r="D3746" i="7"/>
  <c r="D3570" i="7"/>
  <c r="D3410" i="7"/>
  <c r="D3234" i="7"/>
  <c r="E3234" i="7" s="1"/>
  <c r="D3058" i="7"/>
  <c r="E3058" i="7" s="1"/>
  <c r="D2898" i="7"/>
  <c r="D4850" i="7"/>
  <c r="D3897" i="7"/>
  <c r="D3737" i="7"/>
  <c r="D3561" i="7"/>
  <c r="E3561" i="7" s="1"/>
  <c r="D3385" i="7"/>
  <c r="D3225" i="7"/>
  <c r="E3225" i="7" s="1"/>
  <c r="D3049" i="7"/>
  <c r="D2873" i="7"/>
  <c r="D4101" i="7"/>
  <c r="D3784" i="7"/>
  <c r="D3608" i="7"/>
  <c r="E3608" i="7" s="1"/>
  <c r="D3448" i="7"/>
  <c r="D3280" i="7"/>
  <c r="D3208" i="7"/>
  <c r="E3208" i="7" s="1"/>
  <c r="D3144" i="7"/>
  <c r="E3144" i="7" s="1"/>
  <c r="D3080" i="7"/>
  <c r="D3016" i="7"/>
  <c r="D2952" i="7"/>
  <c r="D2888" i="7"/>
  <c r="D2824" i="7"/>
  <c r="E2824" i="7" s="1"/>
  <c r="D2760" i="7"/>
  <c r="D4656" i="7"/>
  <c r="D4228" i="7"/>
  <c r="D3972" i="7"/>
  <c r="D3863" i="7"/>
  <c r="E3863" i="7" s="1"/>
  <c r="D3799" i="7"/>
  <c r="D3735" i="7"/>
  <c r="D3671" i="7"/>
  <c r="F3671" i="7" s="1"/>
  <c r="D3607" i="7"/>
  <c r="D3543" i="7"/>
  <c r="D3479" i="7"/>
  <c r="D3415" i="7"/>
  <c r="D3351" i="7"/>
  <c r="E3351" i="7" s="1"/>
  <c r="D3287" i="7"/>
  <c r="D3223" i="7"/>
  <c r="D3159" i="7"/>
  <c r="E3159" i="7" s="1"/>
  <c r="D3095" i="7"/>
  <c r="D3031" i="7"/>
  <c r="D2967" i="7"/>
  <c r="D2903" i="7"/>
  <c r="D2839" i="7"/>
  <c r="E2839" i="7" s="1"/>
  <c r="D2775" i="7"/>
  <c r="D4808" i="7"/>
  <c r="D4285" i="7"/>
  <c r="F4285" i="7" s="1"/>
  <c r="D4029" i="7"/>
  <c r="D3878" i="7"/>
  <c r="E3878" i="7" s="1"/>
  <c r="D3814" i="7"/>
  <c r="D3750" i="7"/>
  <c r="D3686" i="7"/>
  <c r="D3622" i="7"/>
  <c r="D3558" i="7"/>
  <c r="F3558" i="7" s="1"/>
  <c r="D3494" i="7"/>
  <c r="D3430" i="7"/>
  <c r="D3366" i="7"/>
  <c r="E3366" i="7" s="1"/>
  <c r="D3302" i="7"/>
  <c r="E3302" i="7" s="1"/>
  <c r="D3238" i="7"/>
  <c r="D3174" i="7"/>
  <c r="F3174" i="7" s="1"/>
  <c r="D3110" i="7"/>
  <c r="D3046" i="7"/>
  <c r="D2982" i="7"/>
  <c r="D2918" i="7"/>
  <c r="D2854" i="7"/>
  <c r="D2790" i="7"/>
  <c r="E2790" i="7" s="1"/>
  <c r="D2726" i="7"/>
  <c r="D4360" i="7"/>
  <c r="E4360" i="7" s="1"/>
  <c r="D4092" i="7"/>
  <c r="D3893" i="7"/>
  <c r="D3829" i="7"/>
  <c r="D3765" i="7"/>
  <c r="D3701" i="7"/>
  <c r="E3701" i="7" s="1"/>
  <c r="D3637" i="7"/>
  <c r="F3637" i="7" s="1"/>
  <c r="D3573" i="7"/>
  <c r="D3509" i="7"/>
  <c r="E3509" i="7" s="1"/>
  <c r="D3445" i="7"/>
  <c r="D3381" i="7"/>
  <c r="D3317" i="7"/>
  <c r="E3317" i="7" s="1"/>
  <c r="D3253" i="7"/>
  <c r="D3189" i="7"/>
  <c r="D3125" i="7"/>
  <c r="E3125" i="7" s="1"/>
  <c r="D3061" i="7"/>
  <c r="D2997" i="7"/>
  <c r="E2997" i="7" s="1"/>
  <c r="D2933" i="7"/>
  <c r="D2869" i="7"/>
  <c r="D2805" i="7"/>
  <c r="E2805" i="7" s="1"/>
  <c r="D2741" i="7"/>
  <c r="D4450" i="7"/>
  <c r="E4450" i="7" s="1"/>
  <c r="D4149" i="7"/>
  <c r="E4149" i="7" s="1"/>
  <c r="D3908" i="7"/>
  <c r="D3844" i="7"/>
  <c r="D3780" i="7"/>
  <c r="D3716" i="7"/>
  <c r="E3716" i="7" s="1"/>
  <c r="D3652" i="7"/>
  <c r="D3588" i="7"/>
  <c r="D4882" i="7"/>
  <c r="E4882" i="7" s="1"/>
  <c r="D3563" i="7"/>
  <c r="D3291" i="7"/>
  <c r="D3035" i="7"/>
  <c r="E3035" i="7" s="1"/>
  <c r="D2796" i="7"/>
  <c r="D2688" i="7"/>
  <c r="E2688" i="7" s="1"/>
  <c r="D2624" i="7"/>
  <c r="E2624" i="7" s="1"/>
  <c r="D2560" i="7"/>
  <c r="D4276" i="7"/>
  <c r="F4276" i="7" s="1"/>
  <c r="D3508" i="7"/>
  <c r="F3508" i="7" s="1"/>
  <c r="D3252" i="7"/>
  <c r="D2996" i="7"/>
  <c r="D2772" i="7"/>
  <c r="D2679" i="7"/>
  <c r="D2615" i="7"/>
  <c r="F2615" i="7" s="1"/>
  <c r="D4825" i="7"/>
  <c r="D4864" i="7"/>
  <c r="D4519" i="7"/>
  <c r="D4558" i="7"/>
  <c r="D4725" i="7"/>
  <c r="E4725" i="7" s="1"/>
  <c r="D4892" i="7"/>
  <c r="D4380" i="7"/>
  <c r="F4380" i="7" s="1"/>
  <c r="D4139" i="7"/>
  <c r="F4139" i="7" s="1"/>
  <c r="D4306" i="7"/>
  <c r="D4626" i="7"/>
  <c r="E4626" i="7" s="1"/>
  <c r="D3961" i="7"/>
  <c r="F3961" i="7" s="1"/>
  <c r="D4128" i="7"/>
  <c r="D4303" i="7"/>
  <c r="D4640" i="7"/>
  <c r="D3966" i="7"/>
  <c r="D3890" i="7"/>
  <c r="E3890" i="7" s="1"/>
  <c r="D3730" i="7"/>
  <c r="D3554" i="7"/>
  <c r="E3554" i="7" s="1"/>
  <c r="D3378" i="7"/>
  <c r="D3218" i="7"/>
  <c r="D3042" i="7"/>
  <c r="D2866" i="7"/>
  <c r="D4675" i="7"/>
  <c r="D3881" i="7"/>
  <c r="F3881" i="7" s="1"/>
  <c r="D3705" i="7"/>
  <c r="D3545" i="7"/>
  <c r="E3545" i="7" s="1"/>
  <c r="D3369" i="7"/>
  <c r="E3369" i="7" s="1"/>
  <c r="D3193" i="7"/>
  <c r="D3033" i="7"/>
  <c r="F3033" i="7" s="1"/>
  <c r="D2857" i="7"/>
  <c r="D3973" i="7"/>
  <c r="E3973" i="7" s="1"/>
  <c r="D3768" i="7"/>
  <c r="F3768" i="7" s="1"/>
  <c r="D3592" i="7"/>
  <c r="D3416" i="7"/>
  <c r="F3416" i="7" s="1"/>
  <c r="D3272" i="7"/>
  <c r="D3200" i="7"/>
  <c r="D3136" i="7"/>
  <c r="D3072" i="7"/>
  <c r="D3008" i="7"/>
  <c r="F3008" i="7" s="1"/>
  <c r="D2944" i="7"/>
  <c r="E2944" i="7" s="1"/>
  <c r="D2880" i="7"/>
  <c r="D2816" i="7"/>
  <c r="D2752" i="7"/>
  <c r="E2752" i="7" s="1"/>
  <c r="D4570" i="7"/>
  <c r="D4196" i="7"/>
  <c r="E4196" i="7" s="1"/>
  <c r="D3940" i="7"/>
  <c r="D3855" i="7"/>
  <c r="E3855" i="7" s="1"/>
  <c r="D3791" i="7"/>
  <c r="E3791" i="7" s="1"/>
  <c r="D3727" i="7"/>
  <c r="D3663" i="7"/>
  <c r="D3599" i="7"/>
  <c r="E3599" i="7" s="1"/>
  <c r="D3535" i="7"/>
  <c r="D3471" i="7"/>
  <c r="F3471" i="7" s="1"/>
  <c r="D3407" i="7"/>
  <c r="D3343" i="7"/>
  <c r="E3343" i="7" s="1"/>
  <c r="D3279" i="7"/>
  <c r="E3279" i="7" s="1"/>
  <c r="D3215" i="7"/>
  <c r="D3151" i="7"/>
  <c r="D3087" i="7"/>
  <c r="F3087" i="7" s="1"/>
  <c r="D3023" i="7"/>
  <c r="D2959" i="7"/>
  <c r="E2959" i="7" s="1"/>
  <c r="D2895" i="7"/>
  <c r="D2831" i="7"/>
  <c r="D2767" i="7"/>
  <c r="F2767" i="7" s="1"/>
  <c r="D4722" i="7"/>
  <c r="D4253" i="7"/>
  <c r="E4253" i="7" s="1"/>
  <c r="D3997" i="7"/>
  <c r="D3870" i="7"/>
  <c r="D3806" i="7"/>
  <c r="D3742" i="7"/>
  <c r="D3678" i="7"/>
  <c r="E3678" i="7" s="1"/>
  <c r="D3614" i="7"/>
  <c r="D3550" i="7"/>
  <c r="D3486" i="7"/>
  <c r="E3486" i="7" s="1"/>
  <c r="D3422" i="7"/>
  <c r="D3358" i="7"/>
  <c r="D3294" i="7"/>
  <c r="E3294" i="7" s="1"/>
  <c r="D3230" i="7"/>
  <c r="D3166" i="7"/>
  <c r="D3102" i="7"/>
  <c r="E3102" i="7" s="1"/>
  <c r="D3038" i="7"/>
  <c r="D2974" i="7"/>
  <c r="D2910" i="7"/>
  <c r="D2846" i="7"/>
  <c r="D2782" i="7"/>
  <c r="E2782" i="7" s="1"/>
  <c r="D4914" i="7"/>
  <c r="D4316" i="7"/>
  <c r="D4060" i="7"/>
  <c r="E4060" i="7" s="1"/>
  <c r="D3885" i="7"/>
  <c r="D3821" i="7"/>
  <c r="E3821" i="7" s="1"/>
  <c r="D3757" i="7"/>
  <c r="E3757" i="7" s="1"/>
  <c r="D3693" i="7"/>
  <c r="D3629" i="7"/>
  <c r="E3629" i="7" s="1"/>
  <c r="D3565" i="7"/>
  <c r="D3501" i="7"/>
  <c r="D3437" i="7"/>
  <c r="E3437" i="7" s="1"/>
  <c r="D3373" i="7"/>
  <c r="E3373" i="7" s="1"/>
  <c r="D3309" i="7"/>
  <c r="D3245" i="7"/>
  <c r="E3245" i="7" s="1"/>
  <c r="D3181" i="7"/>
  <c r="D3117" i="7"/>
  <c r="E3117" i="7" s="1"/>
  <c r="D3053" i="7"/>
  <c r="D2989" i="7"/>
  <c r="D2925" i="7"/>
  <c r="D2861" i="7"/>
  <c r="D2797" i="7"/>
  <c r="D2733" i="7"/>
  <c r="D4400" i="7"/>
  <c r="D4117" i="7"/>
  <c r="E4117" i="7" s="1"/>
  <c r="D3900" i="7"/>
  <c r="D3836" i="7"/>
  <c r="E3836" i="7" s="1"/>
  <c r="D3772" i="7"/>
  <c r="D3708" i="7"/>
  <c r="D3644" i="7"/>
  <c r="D3580" i="7"/>
  <c r="E3580" i="7" s="1"/>
  <c r="D4308" i="7"/>
  <c r="D3515" i="7"/>
  <c r="E3515" i="7" s="1"/>
  <c r="D3259" i="7"/>
  <c r="D3003" i="7"/>
  <c r="E3003" i="7" s="1"/>
  <c r="D2777" i="7"/>
  <c r="D2680" i="7"/>
  <c r="D2616" i="7"/>
  <c r="D2552" i="7"/>
  <c r="D4761" i="7"/>
  <c r="D4967" i="7"/>
  <c r="D5006" i="7"/>
  <c r="D4494" i="7"/>
  <c r="E4494" i="7" s="1"/>
  <c r="D4661" i="7"/>
  <c r="E4661" i="7" s="1"/>
  <c r="D4828" i="7"/>
  <c r="D4971" i="7"/>
  <c r="F4971" i="7" s="1"/>
  <c r="D4075" i="7"/>
  <c r="D4242" i="7"/>
  <c r="D4457" i="7"/>
  <c r="D4930" i="7"/>
  <c r="D4064" i="7"/>
  <c r="E4064" i="7" s="1"/>
  <c r="D4239" i="7"/>
  <c r="E4239" i="7" s="1"/>
  <c r="D4467" i="7"/>
  <c r="D4979" i="7"/>
  <c r="D3874" i="7"/>
  <c r="E3874" i="7" s="1"/>
  <c r="D3698" i="7"/>
  <c r="D3538" i="7"/>
  <c r="E3538" i="7" s="1"/>
  <c r="D3362" i="7"/>
  <c r="D3186" i="7"/>
  <c r="E3186" i="7" s="1"/>
  <c r="D3026" i="7"/>
  <c r="F3026" i="7" s="1"/>
  <c r="D2850" i="7"/>
  <c r="D4385" i="7"/>
  <c r="E4385" i="7" s="1"/>
  <c r="D3865" i="7"/>
  <c r="E3865" i="7" s="1"/>
  <c r="D3689" i="7"/>
  <c r="D3513" i="7"/>
  <c r="F3513" i="7" s="1"/>
  <c r="D3353" i="7"/>
  <c r="D3177" i="7"/>
  <c r="E3177" i="7" s="1"/>
  <c r="D3001" i="7"/>
  <c r="D2841" i="7"/>
  <c r="D3915" i="7"/>
  <c r="D3736" i="7"/>
  <c r="E3736" i="7" s="1"/>
  <c r="D3576" i="7"/>
  <c r="D3400" i="7"/>
  <c r="E3400" i="7" s="1"/>
  <c r="D3264" i="7"/>
  <c r="D3192" i="7"/>
  <c r="D3128" i="7"/>
  <c r="F3128" i="7" s="1"/>
  <c r="D3064" i="7"/>
  <c r="D3000" i="7"/>
  <c r="D2936" i="7"/>
  <c r="D2872" i="7"/>
  <c r="D2808" i="7"/>
  <c r="E2808" i="7" s="1"/>
  <c r="D2744" i="7"/>
  <c r="D4483" i="7"/>
  <c r="D4164" i="7"/>
  <c r="E4164" i="7" s="1"/>
  <c r="D3914" i="7"/>
  <c r="D3847" i="7"/>
  <c r="D3783" i="7"/>
  <c r="F3783" i="7" s="1"/>
  <c r="D3719" i="7"/>
  <c r="D3655" i="7"/>
  <c r="E3655" i="7" s="1"/>
  <c r="D3591" i="7"/>
  <c r="D3527" i="7"/>
  <c r="D3463" i="7"/>
  <c r="E3463" i="7" s="1"/>
  <c r="D3399" i="7"/>
  <c r="D3335" i="7"/>
  <c r="F3335" i="7" s="1"/>
  <c r="D3271" i="7"/>
  <c r="F3271" i="7" s="1"/>
  <c r="D3207" i="7"/>
  <c r="D3143" i="7"/>
  <c r="F3143" i="7" s="1"/>
  <c r="D3079" i="7"/>
  <c r="D3015" i="7"/>
  <c r="D2951" i="7"/>
  <c r="E2951" i="7" s="1"/>
  <c r="D2887" i="7"/>
  <c r="D2823" i="7"/>
  <c r="E2823" i="7" s="1"/>
  <c r="D2759" i="7"/>
  <c r="F2759" i="7" s="1"/>
  <c r="D4635" i="7"/>
  <c r="D4221" i="7"/>
  <c r="D3965" i="7"/>
  <c r="D3862" i="7"/>
  <c r="D3798" i="7"/>
  <c r="E3798" i="7" s="1"/>
  <c r="D3734" i="7"/>
  <c r="D3670" i="7"/>
  <c r="D3606" i="7"/>
  <c r="E3606" i="7" s="1"/>
  <c r="D3542" i="7"/>
  <c r="D3478" i="7"/>
  <c r="D3414" i="7"/>
  <c r="D3350" i="7"/>
  <c r="E3350" i="7" s="1"/>
  <c r="D3286" i="7"/>
  <c r="D3222" i="7"/>
  <c r="D3158" i="7"/>
  <c r="F3158" i="7" s="1"/>
  <c r="D3094" i="7"/>
  <c r="D3030" i="7"/>
  <c r="D2966" i="7"/>
  <c r="F2966" i="7" s="1"/>
  <c r="D2902" i="7"/>
  <c r="D2838" i="7"/>
  <c r="D2774" i="7"/>
  <c r="F2774" i="7" s="1"/>
  <c r="D4803" i="7"/>
  <c r="D4697" i="7"/>
  <c r="D4903" i="7"/>
  <c r="E4903" i="7" s="1"/>
  <c r="D4942" i="7"/>
  <c r="D4430" i="7"/>
  <c r="F4430" i="7" s="1"/>
  <c r="D4597" i="7"/>
  <c r="D4764" i="7"/>
  <c r="D4760" i="7"/>
  <c r="E4760" i="7" s="1"/>
  <c r="D4011" i="7"/>
  <c r="D4178" i="7"/>
  <c r="E4178" i="7" s="1"/>
  <c r="D4354" i="7"/>
  <c r="F4354" i="7" s="1"/>
  <c r="D4730" i="7"/>
  <c r="D4000" i="7"/>
  <c r="D4175" i="7"/>
  <c r="D4362" i="7"/>
  <c r="F4362" i="7" s="1"/>
  <c r="D4336" i="7"/>
  <c r="E4336" i="7" s="1"/>
  <c r="D3858" i="7"/>
  <c r="D3682" i="7"/>
  <c r="F3682" i="7" s="1"/>
  <c r="D3506" i="7"/>
  <c r="D3346" i="7"/>
  <c r="D3170" i="7"/>
  <c r="E3170" i="7" s="1"/>
  <c r="D2994" i="7"/>
  <c r="D2834" i="7"/>
  <c r="E2834" i="7" s="1"/>
  <c r="D4300" i="7"/>
  <c r="E4300" i="7" s="1"/>
  <c r="D3833" i="7"/>
  <c r="D3673" i="7"/>
  <c r="E3673" i="7" s="1"/>
  <c r="D3497" i="7"/>
  <c r="F3497" i="7" s="1"/>
  <c r="D3321" i="7"/>
  <c r="D3161" i="7"/>
  <c r="D2985" i="7"/>
  <c r="D4658" i="7"/>
  <c r="E4658" i="7" s="1"/>
  <c r="D3896" i="7"/>
  <c r="E3896" i="7" s="1"/>
  <c r="D3720" i="7"/>
  <c r="D3544" i="7"/>
  <c r="E3544" i="7" s="1"/>
  <c r="D3384" i="7"/>
  <c r="E3384" i="7" s="1"/>
  <c r="D3256" i="7"/>
  <c r="D3184" i="7"/>
  <c r="D3120" i="7"/>
  <c r="D3056" i="7"/>
  <c r="D2992" i="7"/>
  <c r="E2992" i="7" s="1"/>
  <c r="D2928" i="7"/>
  <c r="D2864" i="7"/>
  <c r="E2864" i="7" s="1"/>
  <c r="D2800" i="7"/>
  <c r="E2800" i="7" s="1"/>
  <c r="D2736" i="7"/>
  <c r="D4424" i="7"/>
  <c r="F4424" i="7" s="1"/>
  <c r="D4132" i="7"/>
  <c r="D3903" i="7"/>
  <c r="E3903" i="7" s="1"/>
  <c r="D3839" i="7"/>
  <c r="D3775" i="7"/>
  <c r="D3711" i="7"/>
  <c r="F3711" i="7" s="1"/>
  <c r="D3647" i="7"/>
  <c r="E3647" i="7" s="1"/>
  <c r="D3583" i="7"/>
  <c r="D3519" i="7"/>
  <c r="E3519" i="7" s="1"/>
  <c r="D3455" i="7"/>
  <c r="D3391" i="7"/>
  <c r="E3391" i="7" s="1"/>
  <c r="D3327" i="7"/>
  <c r="D3263" i="7"/>
  <c r="D3199" i="7"/>
  <c r="F3199" i="7" s="1"/>
  <c r="D3135" i="7"/>
  <c r="D3071" i="7"/>
  <c r="D3007" i="7"/>
  <c r="D2943" i="7"/>
  <c r="D2879" i="7"/>
  <c r="D2815" i="7"/>
  <c r="E2815" i="7" s="1"/>
  <c r="D2751" i="7"/>
  <c r="D4552" i="7"/>
  <c r="E4552" i="7" s="1"/>
  <c r="D4189" i="7"/>
  <c r="E4189" i="7" s="1"/>
  <c r="D3933" i="7"/>
  <c r="D3854" i="7"/>
  <c r="F3854" i="7" s="1"/>
  <c r="D3790" i="7"/>
  <c r="D3726" i="7"/>
  <c r="D3662" i="7"/>
  <c r="F3662" i="7" s="1"/>
  <c r="D3598" i="7"/>
  <c r="D3534" i="7"/>
  <c r="E3534" i="7" s="1"/>
  <c r="D3470" i="7"/>
  <c r="D3406" i="7"/>
  <c r="D3342" i="7"/>
  <c r="D3278" i="7"/>
  <c r="D3214" i="7"/>
  <c r="D3150" i="7"/>
  <c r="E3150" i="7" s="1"/>
  <c r="D3086" i="7"/>
  <c r="D3022" i="7"/>
  <c r="D2958" i="7"/>
  <c r="F2958" i="7" s="1"/>
  <c r="D2894" i="7"/>
  <c r="D2830" i="7"/>
  <c r="E2830" i="7" s="1"/>
  <c r="D2766" i="7"/>
  <c r="D4720" i="7"/>
  <c r="D4252" i="7"/>
  <c r="D3996" i="7"/>
  <c r="D3869" i="7"/>
  <c r="F3869" i="7" s="1"/>
  <c r="D3805" i="7"/>
  <c r="F3805" i="7" s="1"/>
  <c r="D3741" i="7"/>
  <c r="D3677" i="7"/>
  <c r="D3613" i="7"/>
  <c r="D3549" i="7"/>
  <c r="F3549" i="7" s="1"/>
  <c r="D3485" i="7"/>
  <c r="E3485" i="7" s="1"/>
  <c r="D3421" i="7"/>
  <c r="D3357" i="7"/>
  <c r="E3357" i="7" s="1"/>
  <c r="D3293" i="7"/>
  <c r="D3229" i="7"/>
  <c r="D3165" i="7"/>
  <c r="F3165" i="7" s="1"/>
  <c r="D3101" i="7"/>
  <c r="D3037" i="7"/>
  <c r="D2973" i="7"/>
  <c r="E2973" i="7" s="1"/>
  <c r="D2909" i="7"/>
  <c r="D2845" i="7"/>
  <c r="F2845" i="7" s="1"/>
  <c r="D2781" i="7"/>
  <c r="E2781" i="7" s="1"/>
  <c r="D4883" i="7"/>
  <c r="D4309" i="7"/>
  <c r="E4309" i="7" s="1"/>
  <c r="D4053" i="7"/>
  <c r="D3884" i="7"/>
  <c r="D3820" i="7"/>
  <c r="E3820" i="7" s="1"/>
  <c r="D3756" i="7"/>
  <c r="D3692" i="7"/>
  <c r="D3628" i="7"/>
  <c r="E3628" i="7" s="1"/>
  <c r="D3564" i="7"/>
  <c r="D3883" i="7"/>
  <c r="D3451" i="7"/>
  <c r="D3195" i="7"/>
  <c r="D2939" i="7"/>
  <c r="D2732" i="7"/>
  <c r="D2664" i="7"/>
  <c r="D2600" i="7"/>
  <c r="D2536" i="7"/>
  <c r="D3811" i="7"/>
  <c r="D3412" i="7"/>
  <c r="D3156" i="7"/>
  <c r="D2900" i="7"/>
  <c r="D4569" i="7"/>
  <c r="D4775" i="7"/>
  <c r="D4814" i="7"/>
  <c r="D4981" i="7"/>
  <c r="D4469" i="7"/>
  <c r="E4469" i="7" s="1"/>
  <c r="D4636" i="7"/>
  <c r="D4434" i="7"/>
  <c r="D4874" i="7"/>
  <c r="D4050" i="7"/>
  <c r="D4217" i="7"/>
  <c r="D4417" i="7"/>
  <c r="E4417" i="7" s="1"/>
  <c r="D4859" i="7"/>
  <c r="D4047" i="7"/>
  <c r="F4047" i="7" s="1"/>
  <c r="D4222" i="7"/>
  <c r="D4205" i="7"/>
  <c r="D3810" i="7"/>
  <c r="E3810" i="7" s="1"/>
  <c r="D3634" i="7"/>
  <c r="E3634" i="7" s="1"/>
  <c r="D3474" i="7"/>
  <c r="F3474" i="7" s="1"/>
  <c r="D3298" i="7"/>
  <c r="D3122" i="7"/>
  <c r="D2962" i="7"/>
  <c r="D2786" i="7"/>
  <c r="D4108" i="7"/>
  <c r="D3801" i="7"/>
  <c r="E3801" i="7" s="1"/>
  <c r="D3625" i="7"/>
  <c r="D3449" i="7"/>
  <c r="D3289" i="7"/>
  <c r="F3289" i="7" s="1"/>
  <c r="D3113" i="7"/>
  <c r="D2937" i="7"/>
  <c r="D4375" i="7"/>
  <c r="D3848" i="7"/>
  <c r="F3848" i="7" s="1"/>
  <c r="D3672" i="7"/>
  <c r="D3512" i="7"/>
  <c r="D3336" i="7"/>
  <c r="E3336" i="7" s="1"/>
  <c r="D3232" i="7"/>
  <c r="D3168" i="7"/>
  <c r="D3104" i="7"/>
  <c r="F3104" i="7" s="1"/>
  <c r="D3040" i="7"/>
  <c r="D2976" i="7"/>
  <c r="E2976" i="7" s="1"/>
  <c r="D2912" i="7"/>
  <c r="E2912" i="7" s="1"/>
  <c r="D2848" i="7"/>
  <c r="D2784" i="7"/>
  <c r="E2784" i="7" s="1"/>
  <c r="D4946" i="7"/>
  <c r="E4946" i="7" s="1"/>
  <c r="D4324" i="7"/>
  <c r="D4068" i="7"/>
  <c r="E4068" i="7" s="1"/>
  <c r="D3887" i="7"/>
  <c r="D3823" i="7"/>
  <c r="D3759" i="7"/>
  <c r="F3759" i="7" s="1"/>
  <c r="D3695" i="7"/>
  <c r="E3695" i="7" s="1"/>
  <c r="D3631" i="7"/>
  <c r="D3567" i="7"/>
  <c r="E3567" i="7" s="1"/>
  <c r="D3503" i="7"/>
  <c r="D3439" i="7"/>
  <c r="E3439" i="7" s="1"/>
  <c r="D3375" i="7"/>
  <c r="D3311" i="7"/>
  <c r="D3247" i="7"/>
  <c r="F3247" i="7" s="1"/>
  <c r="D3183" i="7"/>
  <c r="D3119" i="7"/>
  <c r="F3119" i="7" s="1"/>
  <c r="D3055" i="7"/>
  <c r="D2991" i="7"/>
  <c r="D2927" i="7"/>
  <c r="F2927" i="7" s="1"/>
  <c r="D2863" i="7"/>
  <c r="D2799" i="7"/>
  <c r="D2735" i="7"/>
  <c r="E2735" i="7" s="1"/>
  <c r="D4411" i="7"/>
  <c r="D4125" i="7"/>
  <c r="D3902" i="7"/>
  <c r="E3902" i="7" s="1"/>
  <c r="D3838" i="7"/>
  <c r="D3774" i="7"/>
  <c r="E3774" i="7" s="1"/>
  <c r="D3710" i="7"/>
  <c r="D3646" i="7"/>
  <c r="F3646" i="7" s="1"/>
  <c r="D3582" i="7"/>
  <c r="D3518" i="7"/>
  <c r="E3518" i="7" s="1"/>
  <c r="D3454" i="7"/>
  <c r="D3390" i="7"/>
  <c r="E3390" i="7" s="1"/>
  <c r="D3326" i="7"/>
  <c r="D3262" i="7"/>
  <c r="F3262" i="7" s="1"/>
  <c r="D3198" i="7"/>
  <c r="D3134" i="7"/>
  <c r="D3070" i="7"/>
  <c r="D3006" i="7"/>
  <c r="D2942" i="7"/>
  <c r="F2942" i="7" s="1"/>
  <c r="D2878" i="7"/>
  <c r="E2878" i="7" s="1"/>
  <c r="D2814" i="7"/>
  <c r="D2750" i="7"/>
  <c r="E2750" i="7" s="1"/>
  <c r="D4547" i="7"/>
  <c r="D4188" i="7"/>
  <c r="D3932" i="7"/>
  <c r="E3932" i="7" s="1"/>
  <c r="D3853" i="7"/>
  <c r="D3789" i="7"/>
  <c r="D3725" i="7"/>
  <c r="D3661" i="7"/>
  <c r="D3597" i="7"/>
  <c r="E3597" i="7" s="1"/>
  <c r="D3533" i="7"/>
  <c r="D3469" i="7"/>
  <c r="D3405" i="7"/>
  <c r="E3405" i="7" s="1"/>
  <c r="D3341" i="7"/>
  <c r="D3277" i="7"/>
  <c r="E3277" i="7" s="1"/>
  <c r="D3213" i="7"/>
  <c r="E3213" i="7" s="1"/>
  <c r="D3149" i="7"/>
  <c r="D3085" i="7"/>
  <c r="E3085" i="7" s="1"/>
  <c r="D3021" i="7"/>
  <c r="D2957" i="7"/>
  <c r="E2957" i="7" s="1"/>
  <c r="D2893" i="7"/>
  <c r="D2829" i="7"/>
  <c r="D2765" i="7"/>
  <c r="E2765" i="7" s="1"/>
  <c r="D4699" i="7"/>
  <c r="F4699" i="7" s="1"/>
  <c r="D4245" i="7"/>
  <c r="D3989" i="7"/>
  <c r="D3868" i="7"/>
  <c r="D3804" i="7"/>
  <c r="D3740" i="7"/>
  <c r="D3676" i="7"/>
  <c r="D3612" i="7"/>
  <c r="E3612" i="7" s="1"/>
  <c r="D3548" i="7"/>
  <c r="D3755" i="7"/>
  <c r="D3387" i="7"/>
  <c r="E3387" i="7" s="1"/>
  <c r="D3131" i="7"/>
  <c r="D2875" i="7"/>
  <c r="D2712" i="7"/>
  <c r="E2712" i="7" s="1"/>
  <c r="D2648" i="7"/>
  <c r="D2584" i="7"/>
  <c r="D2520" i="7"/>
  <c r="F2520" i="7" s="1"/>
  <c r="D3683" i="7"/>
  <c r="D3348" i="7"/>
  <c r="D3092" i="7"/>
  <c r="D2836" i="7"/>
  <c r="E2836" i="7" s="1"/>
  <c r="D2703" i="7"/>
  <c r="D2639" i="7"/>
  <c r="D4505" i="7"/>
  <c r="D4711" i="7"/>
  <c r="E4711" i="7" s="1"/>
  <c r="D4750" i="7"/>
  <c r="D4917" i="7"/>
  <c r="F4917" i="7" s="1"/>
  <c r="D4405" i="7"/>
  <c r="D4572" i="7"/>
  <c r="E4572" i="7" s="1"/>
  <c r="D4331" i="7"/>
  <c r="D4691" i="7"/>
  <c r="D3986" i="7"/>
  <c r="F3986" i="7" s="1"/>
  <c r="D4153" i="7"/>
  <c r="E4153" i="7" s="1"/>
  <c r="D4320" i="7"/>
  <c r="D4683" i="7"/>
  <c r="D3983" i="7"/>
  <c r="D4158" i="7"/>
  <c r="E4158" i="7" s="1"/>
  <c r="D4077" i="7"/>
  <c r="E4077" i="7" s="1"/>
  <c r="D3794" i="7"/>
  <c r="D3618" i="7"/>
  <c r="E3618" i="7" s="1"/>
  <c r="D3442" i="7"/>
  <c r="E3442" i="7" s="1"/>
  <c r="D3282" i="7"/>
  <c r="D3106" i="7"/>
  <c r="F3106" i="7" s="1"/>
  <c r="D2930" i="7"/>
  <c r="D2770" i="7"/>
  <c r="F2770" i="7" s="1"/>
  <c r="D4044" i="7"/>
  <c r="E4044" i="7" s="1"/>
  <c r="D3769" i="7"/>
  <c r="D3609" i="7"/>
  <c r="E3609" i="7" s="1"/>
  <c r="D3433" i="7"/>
  <c r="D3257" i="7"/>
  <c r="D3097" i="7"/>
  <c r="D2921" i="7"/>
  <c r="D4229" i="7"/>
  <c r="E4229" i="7" s="1"/>
  <c r="D3832" i="7"/>
  <c r="E3832" i="7" s="1"/>
  <c r="D3656" i="7"/>
  <c r="D3480" i="7"/>
  <c r="F3480" i="7" s="1"/>
  <c r="D3320" i="7"/>
  <c r="D3224" i="7"/>
  <c r="D3160" i="7"/>
  <c r="D3096" i="7"/>
  <c r="D3032" i="7"/>
  <c r="E3032" i="7" s="1"/>
  <c r="D2968" i="7"/>
  <c r="D2904" i="7"/>
  <c r="F2904" i="7" s="1"/>
  <c r="D2840" i="7"/>
  <c r="E2840" i="7" s="1"/>
  <c r="D2776" i="7"/>
  <c r="E2776" i="7" s="1"/>
  <c r="D4826" i="7"/>
  <c r="D4292" i="7"/>
  <c r="D4036" i="7"/>
  <c r="D3879" i="7"/>
  <c r="E3879" i="7" s="1"/>
  <c r="D3815" i="7"/>
  <c r="D3751" i="7"/>
  <c r="E3751" i="7" s="1"/>
  <c r="D3687" i="7"/>
  <c r="E3687" i="7" s="1"/>
  <c r="D3623" i="7"/>
  <c r="E3623" i="7" s="1"/>
  <c r="D3559" i="7"/>
  <c r="D3495" i="7"/>
  <c r="F3495" i="7" s="1"/>
  <c r="D3431" i="7"/>
  <c r="D3367" i="7"/>
  <c r="E3367" i="7" s="1"/>
  <c r="D3303" i="7"/>
  <c r="E3303" i="7" s="1"/>
  <c r="D3239" i="7"/>
  <c r="D3175" i="7"/>
  <c r="E3175" i="7" s="1"/>
  <c r="D3111" i="7"/>
  <c r="F3111" i="7" s="1"/>
  <c r="D3047" i="7"/>
  <c r="D2983" i="7"/>
  <c r="E2983" i="7" s="1"/>
  <c r="D2919" i="7"/>
  <c r="D2855" i="7"/>
  <c r="D2791" i="7"/>
  <c r="F2791" i="7" s="1"/>
  <c r="D2727" i="7"/>
  <c r="D4361" i="7"/>
  <c r="E4361" i="7" s="1"/>
  <c r="D4093" i="7"/>
  <c r="D3894" i="7"/>
  <c r="D3830" i="7"/>
  <c r="D3766" i="7"/>
  <c r="D3702" i="7"/>
  <c r="E3702" i="7" s="1"/>
  <c r="D3638" i="7"/>
  <c r="D3574" i="7"/>
  <c r="D3510" i="7"/>
  <c r="E3510" i="7" s="1"/>
  <c r="D3446" i="7"/>
  <c r="F3446" i="7" s="1"/>
  <c r="D3382" i="7"/>
  <c r="D3318" i="7"/>
  <c r="E3318" i="7" s="1"/>
  <c r="D3254" i="7"/>
  <c r="D3190" i="7"/>
  <c r="D3126" i="7"/>
  <c r="D3062" i="7"/>
  <c r="D2998" i="7"/>
  <c r="E2998" i="7" s="1"/>
  <c r="D2934" i="7"/>
  <c r="D2870" i="7"/>
  <c r="D2806" i="7"/>
  <c r="D2742" i="7"/>
  <c r="D2801" i="7"/>
  <c r="D3068" i="7"/>
  <c r="D3100" i="7"/>
  <c r="D3132" i="7"/>
  <c r="F3132" i="7" s="1"/>
  <c r="D3164" i="7"/>
  <c r="F3164" i="7" s="1"/>
  <c r="D3196" i="7"/>
  <c r="D3228" i="7"/>
  <c r="D3260" i="7"/>
  <c r="D2554" i="7"/>
  <c r="D2618" i="7"/>
  <c r="D2682" i="7"/>
  <c r="E2682" i="7" s="1"/>
  <c r="D2780" i="7"/>
  <c r="E2780" i="7" s="1"/>
  <c r="D3011" i="7"/>
  <c r="F3011" i="7" s="1"/>
  <c r="D3267" i="7"/>
  <c r="D3523" i="7"/>
  <c r="F3523" i="7" s="1"/>
  <c r="D4399" i="7"/>
  <c r="D2571" i="7"/>
  <c r="F2571" i="7" s="1"/>
  <c r="D2635" i="7"/>
  <c r="F2635" i="7" s="1"/>
  <c r="D2699" i="7"/>
  <c r="D2827" i="7"/>
  <c r="E2827" i="7" s="1"/>
  <c r="D3076" i="7"/>
  <c r="F3076" i="7" s="1"/>
  <c r="D3332" i="7"/>
  <c r="D3651" i="7"/>
  <c r="D2524" i="7"/>
  <c r="D2588" i="7"/>
  <c r="E2588" i="7" s="1"/>
  <c r="D2652" i="7"/>
  <c r="F2652" i="7" s="1"/>
  <c r="D2716" i="7"/>
  <c r="D2891" i="7"/>
  <c r="E2891" i="7" s="1"/>
  <c r="D3147" i="7"/>
  <c r="E3147" i="7" s="1"/>
  <c r="D3403" i="7"/>
  <c r="D3787" i="7"/>
  <c r="F3787" i="7" s="1"/>
  <c r="D2541" i="7"/>
  <c r="D2605" i="7"/>
  <c r="E2605" i="7" s="1"/>
  <c r="D2669" i="7"/>
  <c r="E2669" i="7" s="1"/>
  <c r="D2747" i="7"/>
  <c r="D2956" i="7"/>
  <c r="D3212" i="7"/>
  <c r="D3468" i="7"/>
  <c r="D3956" i="7"/>
  <c r="D2558" i="7"/>
  <c r="D2622" i="7"/>
  <c r="E2622" i="7" s="1"/>
  <c r="D2686" i="7"/>
  <c r="E2686" i="7" s="1"/>
  <c r="D2793" i="7"/>
  <c r="E2793" i="7" s="1"/>
  <c r="D3027" i="7"/>
  <c r="F3027" i="7" s="1"/>
  <c r="D3283" i="7"/>
  <c r="E3283" i="7" s="1"/>
  <c r="D3547" i="7"/>
  <c r="D4698" i="7"/>
  <c r="E4698" i="7" s="1"/>
  <c r="D2567" i="7"/>
  <c r="D2655" i="7"/>
  <c r="E2655" i="7" s="1"/>
  <c r="D2817" i="7"/>
  <c r="E2817" i="7" s="1"/>
  <c r="D3316" i="7"/>
  <c r="E3316" i="7" s="1"/>
  <c r="D2512" i="7"/>
  <c r="E2512" i="7" s="1"/>
  <c r="D2672" i="7"/>
  <c r="F2672" i="7" s="1"/>
  <c r="D3163" i="7"/>
  <c r="D3540" i="7"/>
  <c r="F3540" i="7" s="1"/>
  <c r="D3700" i="7"/>
  <c r="D3876" i="7"/>
  <c r="D4616" i="7"/>
  <c r="F4616" i="7" s="1"/>
  <c r="D2853" i="7"/>
  <c r="D3029" i="7"/>
  <c r="E3029" i="7" s="1"/>
  <c r="D3205" i="7"/>
  <c r="E3205" i="7" s="1"/>
  <c r="D3365" i="7"/>
  <c r="D3541" i="7"/>
  <c r="D3717" i="7"/>
  <c r="D3877" i="7"/>
  <c r="E3877" i="7" s="1"/>
  <c r="D4634" i="7"/>
  <c r="D3206" i="7"/>
  <c r="D3718" i="7"/>
  <c r="E3718" i="7" s="1"/>
  <c r="D2871" i="7"/>
  <c r="F2871" i="7" s="1"/>
  <c r="D3383" i="7"/>
  <c r="D3895" i="7"/>
  <c r="E3895" i="7" s="1"/>
  <c r="D3048" i="7"/>
  <c r="D4488" i="7"/>
  <c r="F4488" i="7" s="1"/>
  <c r="D2802" i="7"/>
  <c r="E2802" i="7" s="1"/>
  <c r="D4286" i="7"/>
  <c r="D4700" i="7"/>
  <c r="D2972" i="7"/>
  <c r="E2972" i="7" s="1"/>
  <c r="D2546" i="7"/>
  <c r="D2674" i="7"/>
  <c r="F2674" i="7" s="1"/>
  <c r="D2979" i="7"/>
  <c r="D3491" i="7"/>
  <c r="D2563" i="7"/>
  <c r="D2691" i="7"/>
  <c r="D3300" i="7"/>
  <c r="E3300" i="7" s="1"/>
  <c r="D2510" i="7"/>
  <c r="E2510" i="7" s="1"/>
  <c r="D3036" i="7"/>
  <c r="D3324" i="7"/>
  <c r="E3324" i="7" s="1"/>
  <c r="D3356" i="7"/>
  <c r="D3388" i="7"/>
  <c r="D3420" i="7"/>
  <c r="F3420" i="7" s="1"/>
  <c r="D3452" i="7"/>
  <c r="D3484" i="7"/>
  <c r="F3484" i="7" s="1"/>
  <c r="D3516" i="7"/>
  <c r="F3516" i="7" s="1"/>
  <c r="D2562" i="7"/>
  <c r="D2626" i="7"/>
  <c r="E2626" i="7" s="1"/>
  <c r="D2690" i="7"/>
  <c r="D2803" i="7"/>
  <c r="D3043" i="7"/>
  <c r="E3043" i="7" s="1"/>
  <c r="D3299" i="7"/>
  <c r="D3579" i="7"/>
  <c r="E3579" i="7" s="1"/>
  <c r="D2515" i="7"/>
  <c r="E2515" i="7" s="1"/>
  <c r="D2579" i="7"/>
  <c r="D2643" i="7"/>
  <c r="D2707" i="7"/>
  <c r="D2852" i="7"/>
  <c r="D3108" i="7"/>
  <c r="E3108" i="7" s="1"/>
  <c r="D3364" i="7"/>
  <c r="D3715" i="7"/>
  <c r="F3715" i="7" s="1"/>
  <c r="D2532" i="7"/>
  <c r="E2532" i="7" s="1"/>
  <c r="D2596" i="7"/>
  <c r="D2660" i="7"/>
  <c r="E2660" i="7" s="1"/>
  <c r="D2724" i="7"/>
  <c r="D2923" i="7"/>
  <c r="D3179" i="7"/>
  <c r="F3179" i="7" s="1"/>
  <c r="D3435" i="7"/>
  <c r="D3851" i="7"/>
  <c r="E3851" i="7" s="1"/>
  <c r="D2549" i="7"/>
  <c r="D2613" i="7"/>
  <c r="D2677" i="7"/>
  <c r="D2769" i="7"/>
  <c r="D2988" i="7"/>
  <c r="D3244" i="7"/>
  <c r="F3244" i="7" s="1"/>
  <c r="D3500" i="7"/>
  <c r="D4212" i="7"/>
  <c r="E4212" i="7" s="1"/>
  <c r="D2566" i="7"/>
  <c r="F2566" i="7" s="1"/>
  <c r="D2630" i="7"/>
  <c r="D2694" i="7"/>
  <c r="E2694" i="7" s="1"/>
  <c r="D2812" i="7"/>
  <c r="D3059" i="7"/>
  <c r="E3059" i="7" s="1"/>
  <c r="D3315" i="7"/>
  <c r="E3315" i="7" s="1"/>
  <c r="D3611" i="7"/>
  <c r="F3611" i="7" s="1"/>
  <c r="D2511" i="7"/>
  <c r="E2511" i="7" s="1"/>
  <c r="D2575" i="7"/>
  <c r="E2575" i="7" s="1"/>
  <c r="D2663" i="7"/>
  <c r="D2868" i="7"/>
  <c r="F2868" i="7" s="1"/>
  <c r="D3380" i="7"/>
  <c r="D2528" i="7"/>
  <c r="D2704" i="7"/>
  <c r="E2704" i="7" s="1"/>
  <c r="D3227" i="7"/>
  <c r="D3556" i="7"/>
  <c r="D3732" i="7"/>
  <c r="D3892" i="7"/>
  <c r="D4786" i="7"/>
  <c r="E4786" i="7" s="1"/>
  <c r="D2885" i="7"/>
  <c r="D3045" i="7"/>
  <c r="D3221" i="7"/>
  <c r="D3397" i="7"/>
  <c r="D3557" i="7"/>
  <c r="D3733" i="7"/>
  <c r="E3733" i="7" s="1"/>
  <c r="D3909" i="7"/>
  <c r="D2758" i="7"/>
  <c r="E2758" i="7" s="1"/>
  <c r="D3270" i="7"/>
  <c r="D3782" i="7"/>
  <c r="D2935" i="7"/>
  <c r="E2935" i="7" s="1"/>
  <c r="D3447" i="7"/>
  <c r="D4100" i="7"/>
  <c r="F4100" i="7" s="1"/>
  <c r="D3112" i="7"/>
  <c r="F3112" i="7" s="1"/>
  <c r="D2969" i="7"/>
  <c r="D2978" i="7"/>
  <c r="E2978" i="7" s="1"/>
  <c r="D4111" i="7"/>
  <c r="D4533" i="7"/>
  <c r="F4533" i="7" s="1"/>
  <c r="D3763" i="7"/>
  <c r="E3763" i="7" s="1"/>
  <c r="D4084" i="7"/>
  <c r="F4084" i="7" s="1"/>
  <c r="D2634" i="7"/>
  <c r="D3075" i="7"/>
  <c r="F3075" i="7" s="1"/>
  <c r="D3643" i="7"/>
  <c r="D2651" i="7"/>
  <c r="D2884" i="7"/>
  <c r="D3396" i="7"/>
  <c r="E3396" i="7" s="1"/>
  <c r="D3779" i="7"/>
  <c r="E3779" i="7" s="1"/>
  <c r="D2540" i="7"/>
  <c r="D2604" i="7"/>
  <c r="D2668" i="7"/>
  <c r="D2745" i="7"/>
  <c r="D2955" i="7"/>
  <c r="E2955" i="7" s="1"/>
  <c r="D3211" i="7"/>
  <c r="D3467" i="7"/>
  <c r="D3924" i="7"/>
  <c r="E3924" i="7" s="1"/>
  <c r="D2557" i="7"/>
  <c r="D2621" i="7"/>
  <c r="F2621" i="7" s="1"/>
  <c r="D2685" i="7"/>
  <c r="E2685" i="7" s="1"/>
  <c r="D2788" i="7"/>
  <c r="D3020" i="7"/>
  <c r="D3276" i="7"/>
  <c r="D3539" i="7"/>
  <c r="E3539" i="7" s="1"/>
  <c r="D4611" i="7"/>
  <c r="F4611" i="7" s="1"/>
  <c r="D2574" i="7"/>
  <c r="E2574" i="7" s="1"/>
  <c r="D2638" i="7"/>
  <c r="F2638" i="7" s="1"/>
  <c r="D2702" i="7"/>
  <c r="F2702" i="7" s="1"/>
  <c r="D2835" i="7"/>
  <c r="D3091" i="7"/>
  <c r="F3091" i="7" s="1"/>
  <c r="D3347" i="7"/>
  <c r="D3675" i="7"/>
  <c r="D2519" i="7"/>
  <c r="E2519" i="7" s="1"/>
  <c r="D2583" i="7"/>
  <c r="D2671" i="7"/>
  <c r="D2932" i="7"/>
  <c r="D3444" i="7"/>
  <c r="D2544" i="7"/>
  <c r="D2720" i="7"/>
  <c r="D3355" i="7"/>
  <c r="D3572" i="7"/>
  <c r="F3572" i="7" s="1"/>
  <c r="D3748" i="7"/>
  <c r="D3957" i="7"/>
  <c r="F3957" i="7" s="1"/>
  <c r="D2725" i="7"/>
  <c r="D2901" i="7"/>
  <c r="D3077" i="7"/>
  <c r="E3077" i="7" s="1"/>
  <c r="D3237" i="7"/>
  <c r="D3413" i="7"/>
  <c r="D3589" i="7"/>
  <c r="F3589" i="7" s="1"/>
  <c r="D3749" i="7"/>
  <c r="E3749" i="7" s="1"/>
  <c r="D3964" i="7"/>
  <c r="E3964" i="7" s="1"/>
  <c r="D2822" i="7"/>
  <c r="E2822" i="7" s="1"/>
  <c r="D3334" i="7"/>
  <c r="D3846" i="7"/>
  <c r="E3846" i="7" s="1"/>
  <c r="D2999" i="7"/>
  <c r="D3511" i="7"/>
  <c r="E3511" i="7" s="1"/>
  <c r="D4371" i="7"/>
  <c r="E4371" i="7" s="1"/>
  <c r="D3176" i="7"/>
  <c r="D3129" i="7"/>
  <c r="E3129" i="7" s="1"/>
  <c r="D3154" i="7"/>
  <c r="F3154" i="7" s="1"/>
  <c r="D3936" i="7"/>
  <c r="D4366" i="7"/>
  <c r="E4366" i="7" s="1"/>
  <c r="D3571" i="7"/>
  <c r="D2513" i="7"/>
  <c r="E2513" i="7" s="1"/>
  <c r="D2521" i="7"/>
  <c r="E2521" i="7" s="1"/>
  <c r="D2529" i="7"/>
  <c r="D2537" i="7"/>
  <c r="D2545" i="7"/>
  <c r="F2545" i="7" s="1"/>
  <c r="D2553" i="7"/>
  <c r="D2514" i="7"/>
  <c r="E2514" i="7" s="1"/>
  <c r="D2578" i="7"/>
  <c r="D2642" i="7"/>
  <c r="E2642" i="7" s="1"/>
  <c r="D2706" i="7"/>
  <c r="E2706" i="7" s="1"/>
  <c r="D2851" i="7"/>
  <c r="E2851" i="7" s="1"/>
  <c r="D3107" i="7"/>
  <c r="F3107" i="7" s="1"/>
  <c r="D3363" i="7"/>
  <c r="F3363" i="7" s="1"/>
  <c r="D3707" i="7"/>
  <c r="D2531" i="7"/>
  <c r="D2595" i="7"/>
  <c r="D2659" i="7"/>
  <c r="E2659" i="7" s="1"/>
  <c r="D2723" i="7"/>
  <c r="E2723" i="7" s="1"/>
  <c r="D2916" i="7"/>
  <c r="D3172" i="7"/>
  <c r="E3172" i="7" s="1"/>
  <c r="D3428" i="7"/>
  <c r="F3428" i="7" s="1"/>
  <c r="D3843" i="7"/>
  <c r="D2548" i="7"/>
  <c r="E2548" i="7" s="1"/>
  <c r="D2612" i="7"/>
  <c r="D2676" i="7"/>
  <c r="E2676" i="7" s="1"/>
  <c r="D2764" i="7"/>
  <c r="D2987" i="7"/>
  <c r="D3243" i="7"/>
  <c r="E3243" i="7" s="1"/>
  <c r="D3499" i="7"/>
  <c r="F3499" i="7" s="1"/>
  <c r="D4180" i="7"/>
  <c r="D2565" i="7"/>
  <c r="D2629" i="7"/>
  <c r="D2693" i="7"/>
  <c r="D2811" i="7"/>
  <c r="F2811" i="7" s="1"/>
  <c r="D3052" i="7"/>
  <c r="F3052" i="7" s="1"/>
  <c r="D3308" i="7"/>
  <c r="F3308" i="7" s="1"/>
  <c r="D3603" i="7"/>
  <c r="E3603" i="7" s="1"/>
  <c r="D2518" i="7"/>
  <c r="D2582" i="7"/>
  <c r="D2646" i="7"/>
  <c r="D2710" i="7"/>
  <c r="D2867" i="7"/>
  <c r="E2867" i="7" s="1"/>
  <c r="D3123" i="7"/>
  <c r="D3379" i="7"/>
  <c r="F3379" i="7" s="1"/>
  <c r="D3739" i="7"/>
  <c r="D2527" i="7"/>
  <c r="D2591" i="7"/>
  <c r="D2695" i="7"/>
  <c r="D2964" i="7"/>
  <c r="D3476" i="7"/>
  <c r="D2576" i="7"/>
  <c r="F2576" i="7" s="1"/>
  <c r="D2755" i="7"/>
  <c r="D3419" i="7"/>
  <c r="D3604" i="7"/>
  <c r="D3764" i="7"/>
  <c r="F3764" i="7" s="1"/>
  <c r="D4021" i="7"/>
  <c r="D2757" i="7"/>
  <c r="D2917" i="7"/>
  <c r="D3093" i="7"/>
  <c r="E3093" i="7" s="1"/>
  <c r="D3269" i="7"/>
  <c r="F3269" i="7" s="1"/>
  <c r="D3429" i="7"/>
  <c r="E3429" i="7" s="1"/>
  <c r="D3605" i="7"/>
  <c r="D3781" i="7"/>
  <c r="D4028" i="7"/>
  <c r="D2886" i="7"/>
  <c r="E2886" i="7" s="1"/>
  <c r="D3398" i="7"/>
  <c r="D3913" i="7"/>
  <c r="D3063" i="7"/>
  <c r="F3063" i="7" s="1"/>
  <c r="D3575" i="7"/>
  <c r="F3575" i="7" s="1"/>
  <c r="D2728" i="7"/>
  <c r="D3248" i="7"/>
  <c r="E3248" i="7" s="1"/>
  <c r="D3305" i="7"/>
  <c r="D3314" i="7"/>
  <c r="D4560" i="7"/>
  <c r="D4878" i="7"/>
  <c r="E4878" i="7" s="1"/>
  <c r="D3635" i="7"/>
  <c r="F3635" i="7" s="1"/>
  <c r="D3827" i="7"/>
  <c r="F3827" i="7" s="1"/>
  <c r="D4346" i="7"/>
  <c r="D2698" i="7"/>
  <c r="E2698" i="7" s="1"/>
  <c r="D2523" i="7"/>
  <c r="L9" i="3"/>
  <c r="J6" i="7"/>
  <c r="D2569" i="7"/>
  <c r="E2569" i="7" s="1"/>
  <c r="D2577" i="7"/>
  <c r="E2577" i="7" s="1"/>
  <c r="D2585" i="7"/>
  <c r="E2585" i="7" s="1"/>
  <c r="D2593" i="7"/>
  <c r="D2601" i="7"/>
  <c r="E2601" i="7" s="1"/>
  <c r="D2609" i="7"/>
  <c r="D2617" i="7"/>
  <c r="E2617" i="7" s="1"/>
  <c r="D2522" i="7"/>
  <c r="F2522" i="7" s="1"/>
  <c r="D2586" i="7"/>
  <c r="E2586" i="7" s="1"/>
  <c r="D2650" i="7"/>
  <c r="E2650" i="7" s="1"/>
  <c r="D2714" i="7"/>
  <c r="D2883" i="7"/>
  <c r="D3139" i="7"/>
  <c r="E3139" i="7" s="1"/>
  <c r="D3395" i="7"/>
  <c r="D3771" i="7"/>
  <c r="D2539" i="7"/>
  <c r="F2539" i="7" s="1"/>
  <c r="D2603" i="7"/>
  <c r="D2667" i="7"/>
  <c r="E2667" i="7" s="1"/>
  <c r="D2740" i="7"/>
  <c r="E2740" i="7" s="1"/>
  <c r="D2948" i="7"/>
  <c r="D3204" i="7"/>
  <c r="E3204" i="7" s="1"/>
  <c r="D3460" i="7"/>
  <c r="D3907" i="7"/>
  <c r="E3907" i="7" s="1"/>
  <c r="D2556" i="7"/>
  <c r="D2620" i="7"/>
  <c r="E2620" i="7" s="1"/>
  <c r="D2684" i="7"/>
  <c r="E2684" i="7" s="1"/>
  <c r="D2787" i="7"/>
  <c r="E2787" i="7" s="1"/>
  <c r="D3019" i="7"/>
  <c r="D3275" i="7"/>
  <c r="F3275" i="7" s="1"/>
  <c r="D3531" i="7"/>
  <c r="D4528" i="7"/>
  <c r="E4528" i="7" s="1"/>
  <c r="D2573" i="7"/>
  <c r="E2573" i="7" s="1"/>
  <c r="D2637" i="7"/>
  <c r="E2637" i="7" s="1"/>
  <c r="D2701" i="7"/>
  <c r="D2833" i="7"/>
  <c r="E2833" i="7" s="1"/>
  <c r="D3084" i="7"/>
  <c r="D3340" i="7"/>
  <c r="E3340" i="7" s="1"/>
  <c r="D3667" i="7"/>
  <c r="D2526" i="7"/>
  <c r="D2590" i="7"/>
  <c r="F2590" i="7" s="1"/>
  <c r="D2654" i="7"/>
  <c r="E2654" i="7" s="1"/>
  <c r="D2718" i="7"/>
  <c r="E2718" i="7" s="1"/>
  <c r="D2899" i="7"/>
  <c r="E2899" i="7" s="1"/>
  <c r="D3155" i="7"/>
  <c r="D3411" i="7"/>
  <c r="F3411" i="7" s="1"/>
  <c r="D3803" i="7"/>
  <c r="D2535" i="7"/>
  <c r="D2599" i="7"/>
  <c r="E2599" i="7" s="1"/>
  <c r="D2711" i="7"/>
  <c r="D3060" i="7"/>
  <c r="D3619" i="7"/>
  <c r="D2592" i="7"/>
  <c r="D2843" i="7"/>
  <c r="F2843" i="7" s="1"/>
  <c r="D3483" i="7"/>
  <c r="D3620" i="7"/>
  <c r="E3620" i="7" s="1"/>
  <c r="D3796" i="7"/>
  <c r="E3796" i="7" s="1"/>
  <c r="D4085" i="7"/>
  <c r="E4085" i="7" s="1"/>
  <c r="D2773" i="7"/>
  <c r="D2949" i="7"/>
  <c r="F2949" i="7" s="1"/>
  <c r="D3109" i="7"/>
  <c r="D3285" i="7"/>
  <c r="D3461" i="7"/>
  <c r="D3621" i="7"/>
  <c r="E3621" i="7" s="1"/>
  <c r="D3797" i="7"/>
  <c r="D4156" i="7"/>
  <c r="D2950" i="7"/>
  <c r="D3462" i="7"/>
  <c r="F3462" i="7" s="1"/>
  <c r="D4157" i="7"/>
  <c r="D3127" i="7"/>
  <c r="E3127" i="7" s="1"/>
  <c r="D3639" i="7"/>
  <c r="D2792" i="7"/>
  <c r="D3352" i="7"/>
  <c r="D3481" i="7"/>
  <c r="E3481" i="7" s="1"/>
  <c r="D3490" i="7"/>
  <c r="D4281" i="7"/>
  <c r="E4281" i="7" s="1"/>
  <c r="D4839" i="7"/>
  <c r="D3699" i="7"/>
  <c r="D3891" i="7"/>
  <c r="D2570" i="7"/>
  <c r="E2570" i="7" s="1"/>
  <c r="D2825" i="7"/>
  <c r="D3331" i="7"/>
  <c r="D2587" i="7"/>
  <c r="D2715" i="7"/>
  <c r="D3140" i="7"/>
  <c r="D2561" i="7"/>
  <c r="D2633" i="7"/>
  <c r="D2641" i="7"/>
  <c r="E2641" i="7" s="1"/>
  <c r="D2649" i="7"/>
  <c r="E2649" i="7" s="1"/>
  <c r="D2657" i="7"/>
  <c r="D2665" i="7"/>
  <c r="F2665" i="7" s="1"/>
  <c r="D2673" i="7"/>
  <c r="F2673" i="7" s="1"/>
  <c r="D2681" i="7"/>
  <c r="D2530" i="7"/>
  <c r="D2594" i="7"/>
  <c r="D2658" i="7"/>
  <c r="D2722" i="7"/>
  <c r="E2722" i="7" s="1"/>
  <c r="D2915" i="7"/>
  <c r="D3171" i="7"/>
  <c r="E3171" i="7" s="1"/>
  <c r="D3427" i="7"/>
  <c r="D3835" i="7"/>
  <c r="E3835" i="7" s="1"/>
  <c r="D2547" i="7"/>
  <c r="F2547" i="7" s="1"/>
  <c r="D2611" i="7"/>
  <c r="D2675" i="7"/>
  <c r="D2763" i="7"/>
  <c r="E2763" i="7" s="1"/>
  <c r="D2980" i="7"/>
  <c r="D3236" i="7"/>
  <c r="E3236" i="7" s="1"/>
  <c r="D3492" i="7"/>
  <c r="D4148" i="7"/>
  <c r="D2564" i="7"/>
  <c r="E2564" i="7" s="1"/>
  <c r="D2628" i="7"/>
  <c r="D2692" i="7"/>
  <c r="F2692" i="7" s="1"/>
  <c r="D2809" i="7"/>
  <c r="E2809" i="7" s="1"/>
  <c r="D3051" i="7"/>
  <c r="D3307" i="7"/>
  <c r="D3595" i="7"/>
  <c r="E3595" i="7" s="1"/>
  <c r="D2517" i="7"/>
  <c r="D2581" i="7"/>
  <c r="F2581" i="7" s="1"/>
  <c r="D2645" i="7"/>
  <c r="D2709" i="7"/>
  <c r="E2709" i="7" s="1"/>
  <c r="D2860" i="7"/>
  <c r="E2860" i="7" s="1"/>
  <c r="D3116" i="7"/>
  <c r="D3372" i="7"/>
  <c r="E3372" i="7" s="1"/>
  <c r="D3731" i="7"/>
  <c r="D2534" i="7"/>
  <c r="D2598" i="7"/>
  <c r="F2598" i="7" s="1"/>
  <c r="D2662" i="7"/>
  <c r="D2730" i="7"/>
  <c r="E2730" i="7" s="1"/>
  <c r="D2931" i="7"/>
  <c r="D3187" i="7"/>
  <c r="E3187" i="7" s="1"/>
  <c r="D3443" i="7"/>
  <c r="E3443" i="7" s="1"/>
  <c r="D3867" i="7"/>
  <c r="E3867" i="7" s="1"/>
  <c r="D2543" i="7"/>
  <c r="D2607" i="7"/>
  <c r="D2719" i="7"/>
  <c r="D3124" i="7"/>
  <c r="F3124" i="7" s="1"/>
  <c r="D3747" i="7"/>
  <c r="D2608" i="7"/>
  <c r="F2608" i="7" s="1"/>
  <c r="D2907" i="7"/>
  <c r="D3691" i="7"/>
  <c r="F3691" i="7" s="1"/>
  <c r="D3636" i="7"/>
  <c r="D3812" i="7"/>
  <c r="E3812" i="7" s="1"/>
  <c r="D4213" i="7"/>
  <c r="D2789" i="7"/>
  <c r="D2965" i="7"/>
  <c r="F2965" i="7" s="1"/>
  <c r="D3141" i="7"/>
  <c r="E3141" i="7" s="1"/>
  <c r="D3301" i="7"/>
  <c r="E3301" i="7" s="1"/>
  <c r="D3477" i="7"/>
  <c r="E3477" i="7" s="1"/>
  <c r="D3653" i="7"/>
  <c r="D3813" i="7"/>
  <c r="F3813" i="7" s="1"/>
  <c r="D4220" i="7"/>
  <c r="D3014" i="7"/>
  <c r="D3526" i="7"/>
  <c r="E3526" i="7" s="1"/>
  <c r="D4466" i="7"/>
  <c r="D3191" i="7"/>
  <c r="E3191" i="7" s="1"/>
  <c r="D3703" i="7"/>
  <c r="D2856" i="7"/>
  <c r="D3528" i="7"/>
  <c r="E3528" i="7" s="1"/>
  <c r="D3641" i="7"/>
  <c r="D3666" i="7"/>
  <c r="D4114" i="7"/>
  <c r="F4114" i="7" s="1"/>
  <c r="D4633" i="7"/>
  <c r="F4859" i="7"/>
  <c r="E3799" i="7"/>
  <c r="E4531" i="7"/>
  <c r="E4287" i="7"/>
  <c r="F4981" i="7"/>
  <c r="E4516" i="7"/>
  <c r="F4042" i="7"/>
  <c r="E4388" i="7"/>
  <c r="E4203" i="7"/>
  <c r="F3648" i="7"/>
  <c r="F4104" i="7"/>
  <c r="E4826" i="7"/>
  <c r="E4810" i="7"/>
  <c r="E4570" i="7"/>
  <c r="E3270" i="7"/>
  <c r="F4305" i="7"/>
  <c r="E2897" i="7"/>
  <c r="E4314" i="7"/>
  <c r="E4146" i="7"/>
  <c r="F4900" i="7"/>
  <c r="E4275" i="7"/>
  <c r="F4597" i="7"/>
  <c r="E3876" i="7"/>
  <c r="F3940" i="7"/>
  <c r="E4241" i="7"/>
  <c r="E3512" i="7"/>
  <c r="E4040" i="7"/>
  <c r="F4863" i="7"/>
  <c r="E4518" i="7"/>
  <c r="E4021" i="7"/>
  <c r="E4324" i="7"/>
  <c r="E4113" i="7"/>
  <c r="E3591" i="7"/>
  <c r="E4872" i="7"/>
  <c r="E4671" i="7"/>
  <c r="G23" i="3"/>
  <c r="G39" i="3" s="1"/>
  <c r="G41" i="3" s="1"/>
  <c r="G42" i="3" s="1"/>
  <c r="L20" i="3" s="1"/>
  <c r="F2019" i="7"/>
  <c r="E357" i="7"/>
  <c r="E2483" i="7"/>
  <c r="E853" i="7"/>
  <c r="E2051" i="7"/>
  <c r="F2491" i="7"/>
  <c r="E181" i="7"/>
  <c r="F2323" i="7"/>
  <c r="F333" i="7"/>
  <c r="E1589" i="7"/>
  <c r="F45" i="7"/>
  <c r="E197" i="7"/>
  <c r="E1453" i="7"/>
  <c r="E2291" i="7"/>
  <c r="F2147" i="7"/>
  <c r="F2139" i="7"/>
  <c r="E194" i="7"/>
  <c r="E1261" i="7"/>
  <c r="E1861" i="7"/>
  <c r="E229" i="7"/>
  <c r="E2275" i="7"/>
  <c r="E1645" i="7"/>
  <c r="E1637" i="7"/>
  <c r="E2395" i="7"/>
  <c r="E269" i="7"/>
  <c r="E445" i="7"/>
  <c r="E69" i="7"/>
  <c r="E861" i="7"/>
  <c r="F1269" i="7"/>
  <c r="E1253" i="7"/>
  <c r="E677" i="7"/>
  <c r="E1549" i="7"/>
  <c r="F2235" i="7"/>
  <c r="F2107" i="7"/>
  <c r="E210" i="7"/>
  <c r="F125" i="7"/>
  <c r="E917" i="7"/>
  <c r="E1053" i="7"/>
  <c r="E117" i="7"/>
  <c r="E509" i="7"/>
  <c r="E2347" i="7"/>
  <c r="E829" i="7"/>
  <c r="F1325" i="7"/>
  <c r="E61" i="7"/>
  <c r="F733" i="7"/>
  <c r="E2243" i="7"/>
  <c r="E381" i="7"/>
  <c r="E1605" i="7"/>
  <c r="E165" i="7"/>
  <c r="E565" i="7"/>
  <c r="F1581" i="7"/>
  <c r="E173" i="7"/>
  <c r="F1365" i="7"/>
  <c r="E2267" i="7"/>
  <c r="E957" i="7"/>
  <c r="E301" i="7"/>
  <c r="E2027" i="7"/>
  <c r="E2475" i="7"/>
  <c r="E2043" i="7"/>
  <c r="E226" i="7"/>
  <c r="F290" i="7"/>
  <c r="E354" i="7"/>
  <c r="F418" i="7"/>
  <c r="E205" i="7"/>
  <c r="F1189" i="7"/>
  <c r="E605" i="7"/>
  <c r="F1917" i="7"/>
  <c r="E157" i="7"/>
  <c r="E373" i="7"/>
  <c r="F1373" i="7"/>
  <c r="E1877" i="7"/>
  <c r="E893" i="7"/>
  <c r="E2419" i="7"/>
  <c r="F2075" i="7"/>
  <c r="E149" i="7"/>
  <c r="E725" i="7"/>
  <c r="E1277" i="7"/>
  <c r="E1005" i="7"/>
  <c r="F1501" i="7"/>
  <c r="F1437" i="7"/>
  <c r="E949" i="7"/>
  <c r="E2363" i="7"/>
  <c r="E114" i="7"/>
  <c r="E242" i="7"/>
  <c r="E306" i="7"/>
  <c r="E434" i="7"/>
  <c r="E498" i="7"/>
  <c r="E317" i="7"/>
  <c r="E67" i="7"/>
  <c r="E131" i="7"/>
  <c r="E323" i="7"/>
  <c r="E148" i="7"/>
  <c r="E212" i="7"/>
  <c r="F468" i="7"/>
  <c r="F532" i="7"/>
  <c r="E834" i="7"/>
  <c r="E898" i="7"/>
  <c r="E1218" i="7"/>
  <c r="E1282" i="7"/>
  <c r="F723" i="7"/>
  <c r="E851" i="7"/>
  <c r="F915" i="7"/>
  <c r="F979" i="7"/>
  <c r="E1107" i="7"/>
  <c r="E628" i="7"/>
  <c r="E820" i="7"/>
  <c r="E884" i="7"/>
  <c r="E948" i="7"/>
  <c r="E1012" i="7"/>
  <c r="F1578" i="7"/>
  <c r="F1642" i="7"/>
  <c r="E1706" i="7"/>
  <c r="F1770" i="7"/>
  <c r="F1251" i="7"/>
  <c r="F1315" i="7"/>
  <c r="E1085" i="7"/>
  <c r="E626" i="7"/>
  <c r="E690" i="7"/>
  <c r="F395" i="7"/>
  <c r="F523" i="7"/>
  <c r="E92" i="7"/>
  <c r="E220" i="7"/>
  <c r="E348" i="7"/>
  <c r="E970" i="7"/>
  <c r="E1162" i="7"/>
  <c r="F667" i="7"/>
  <c r="E731" i="7"/>
  <c r="E572" i="7"/>
  <c r="E636" i="7"/>
  <c r="E700" i="7"/>
  <c r="F764" i="7"/>
  <c r="E956" i="7"/>
  <c r="E1084" i="7"/>
  <c r="F1148" i="7"/>
  <c r="E1561" i="7"/>
  <c r="E1586" i="7"/>
  <c r="E1906" i="7"/>
  <c r="E1195" i="7"/>
  <c r="E1323" i="7"/>
  <c r="E1813" i="7"/>
  <c r="E186" i="7"/>
  <c r="E83" i="7"/>
  <c r="F403" i="7"/>
  <c r="E467" i="7"/>
  <c r="E100" i="7"/>
  <c r="E356" i="7"/>
  <c r="E484" i="7"/>
  <c r="F722" i="7"/>
  <c r="E1234" i="7"/>
  <c r="E1362" i="7"/>
  <c r="F803" i="7"/>
  <c r="E1059" i="7"/>
  <c r="F1123" i="7"/>
  <c r="F580" i="7"/>
  <c r="E644" i="7"/>
  <c r="E772" i="7"/>
  <c r="E836" i="7"/>
  <c r="E964" i="7"/>
  <c r="E1594" i="7"/>
  <c r="F1203" i="7"/>
  <c r="E219" i="7"/>
  <c r="F347" i="7"/>
  <c r="E411" i="7"/>
  <c r="F539" i="7"/>
  <c r="F300" i="7"/>
  <c r="E428" i="7"/>
  <c r="E858" i="7"/>
  <c r="F683" i="7"/>
  <c r="E875" i="7"/>
  <c r="E939" i="7"/>
  <c r="E588" i="7"/>
  <c r="E780" i="7"/>
  <c r="E908" i="7"/>
  <c r="E1036" i="7"/>
  <c r="E1100" i="7"/>
  <c r="F1211" i="7"/>
  <c r="F1275" i="7"/>
  <c r="F1403" i="7"/>
  <c r="F1595" i="7"/>
  <c r="E1388" i="7"/>
  <c r="E277" i="7"/>
  <c r="F2163" i="7"/>
  <c r="F410" i="7"/>
  <c r="E355" i="7"/>
  <c r="F419" i="7"/>
  <c r="E547" i="7"/>
  <c r="E116" i="7"/>
  <c r="F244" i="7"/>
  <c r="E372" i="7"/>
  <c r="E500" i="7"/>
  <c r="E866" i="7"/>
  <c r="F1058" i="7"/>
  <c r="F755" i="7"/>
  <c r="E819" i="7"/>
  <c r="E1075" i="7"/>
  <c r="F596" i="7"/>
  <c r="E724" i="7"/>
  <c r="E852" i="7"/>
  <c r="F1044" i="7"/>
  <c r="E1172" i="7"/>
  <c r="E1777" i="7"/>
  <c r="E1994" i="7"/>
  <c r="F1283" i="7"/>
  <c r="F43" i="7"/>
  <c r="E171" i="7"/>
  <c r="E60" i="7"/>
  <c r="E252" i="7"/>
  <c r="E380" i="7"/>
  <c r="E444" i="7"/>
  <c r="E938" i="7"/>
  <c r="E1194" i="7"/>
  <c r="E699" i="7"/>
  <c r="E955" i="7"/>
  <c r="E924" i="7"/>
  <c r="F1052" i="7"/>
  <c r="E1721" i="7"/>
  <c r="F1554" i="7"/>
  <c r="E1746" i="7"/>
  <c r="E1419" i="7"/>
  <c r="F51" i="7"/>
  <c r="F243" i="7"/>
  <c r="E435" i="7"/>
  <c r="E50" i="7"/>
  <c r="E260" i="7"/>
  <c r="E1010" i="7"/>
  <c r="E1074" i="7"/>
  <c r="E579" i="7"/>
  <c r="E707" i="7"/>
  <c r="E835" i="7"/>
  <c r="F963" i="7"/>
  <c r="F1091" i="7"/>
  <c r="E868" i="7"/>
  <c r="E996" i="7"/>
  <c r="E1060" i="7"/>
  <c r="E1124" i="7"/>
  <c r="F1171" i="7"/>
  <c r="E1299" i="7"/>
  <c r="E1491" i="7"/>
  <c r="F1555" i="7"/>
  <c r="E1619" i="7"/>
  <c r="E1683" i="7"/>
  <c r="E1747" i="7"/>
  <c r="E1811" i="7"/>
  <c r="E1284" i="7"/>
  <c r="E1476" i="7"/>
  <c r="F1540" i="7"/>
  <c r="F396" i="7"/>
  <c r="F843" i="7"/>
  <c r="F748" i="7"/>
  <c r="E1411" i="7"/>
  <c r="E1779" i="7"/>
  <c r="E1300" i="7"/>
  <c r="F1380" i="7"/>
  <c r="F1556" i="7"/>
  <c r="E1636" i="7"/>
  <c r="F1764" i="7"/>
  <c r="E2274" i="7"/>
  <c r="F2082" i="7"/>
  <c r="E2497" i="7"/>
  <c r="E2177" i="7"/>
  <c r="E2049" i="7"/>
  <c r="E2464" i="7"/>
  <c r="F2336" i="7"/>
  <c r="E2144" i="7"/>
  <c r="E2327" i="7"/>
  <c r="F2135" i="7"/>
  <c r="F2502" i="7"/>
  <c r="F2374" i="7"/>
  <c r="E2310" i="7"/>
  <c r="E1851" i="7"/>
  <c r="E1915" i="7"/>
  <c r="F1979" i="7"/>
  <c r="E2477" i="7"/>
  <c r="E2157" i="7"/>
  <c r="E2004" i="7"/>
  <c r="F2132" i="7"/>
  <c r="E2068" i="7"/>
  <c r="F2079" i="7"/>
  <c r="F1996" i="7"/>
  <c r="E812" i="7"/>
  <c r="F1795" i="7"/>
  <c r="E1308" i="7"/>
  <c r="E1396" i="7"/>
  <c r="E1564" i="7"/>
  <c r="F1644" i="7"/>
  <c r="F1772" i="7"/>
  <c r="F2330" i="7"/>
  <c r="F2138" i="7"/>
  <c r="E2010" i="7"/>
  <c r="E2489" i="7"/>
  <c r="F2361" i="7"/>
  <c r="F2297" i="7"/>
  <c r="E2169" i="7"/>
  <c r="E2105" i="7"/>
  <c r="E2041" i="7"/>
  <c r="E2392" i="7"/>
  <c r="E2136" i="7"/>
  <c r="E2447" i="7"/>
  <c r="E2494" i="7"/>
  <c r="F2430" i="7"/>
  <c r="F2174" i="7"/>
  <c r="E2046" i="7"/>
  <c r="F1859" i="7"/>
  <c r="E2341" i="7"/>
  <c r="F2277" i="7"/>
  <c r="E2149" i="7"/>
  <c r="F2021" i="7"/>
  <c r="E2508" i="7"/>
  <c r="E2316" i="7"/>
  <c r="E2399" i="7"/>
  <c r="E2204" i="7"/>
  <c r="F524" i="7"/>
  <c r="E876" i="7"/>
  <c r="E1634" i="7"/>
  <c r="F1307" i="7"/>
  <c r="E1803" i="7"/>
  <c r="E1236" i="7"/>
  <c r="E1404" i="7"/>
  <c r="F1572" i="7"/>
  <c r="E1716" i="7"/>
  <c r="F2066" i="7"/>
  <c r="F2481" i="7"/>
  <c r="E2417" i="7"/>
  <c r="F2353" i="7"/>
  <c r="F2161" i="7"/>
  <c r="F2097" i="7"/>
  <c r="F2384" i="7"/>
  <c r="E2439" i="7"/>
  <c r="F2375" i="7"/>
  <c r="F2311" i="7"/>
  <c r="E2247" i="7"/>
  <c r="F2055" i="7"/>
  <c r="F2422" i="7"/>
  <c r="E2166" i="7"/>
  <c r="E2102" i="7"/>
  <c r="E2038" i="7"/>
  <c r="E1867" i="7"/>
  <c r="E1931" i="7"/>
  <c r="F2461" i="7"/>
  <c r="E2397" i="7"/>
  <c r="F2333" i="7"/>
  <c r="E2269" i="7"/>
  <c r="F2013" i="7"/>
  <c r="E1892" i="7"/>
  <c r="F2436" i="7"/>
  <c r="E2244" i="7"/>
  <c r="E2116" i="7"/>
  <c r="E2052" i="7"/>
  <c r="F2015" i="7"/>
  <c r="F362" i="7"/>
  <c r="E1737" i="7"/>
  <c r="E1347" i="7"/>
  <c r="E1451" i="7"/>
  <c r="F1731" i="7"/>
  <c r="E1244" i="7"/>
  <c r="F1332" i="7"/>
  <c r="F1724" i="7"/>
  <c r="E2506" i="7"/>
  <c r="E2186" i="7"/>
  <c r="E2122" i="7"/>
  <c r="E2473" i="7"/>
  <c r="E2345" i="7"/>
  <c r="F2153" i="7"/>
  <c r="E2504" i="7"/>
  <c r="F2376" i="7"/>
  <c r="E2184" i="7"/>
  <c r="E2431" i="7"/>
  <c r="E2367" i="7"/>
  <c r="E2239" i="7"/>
  <c r="F2111" i="7"/>
  <c r="E2047" i="7"/>
  <c r="E2414" i="7"/>
  <c r="E2286" i="7"/>
  <c r="F2158" i="7"/>
  <c r="E1875" i="7"/>
  <c r="E1939" i="7"/>
  <c r="E2453" i="7"/>
  <c r="E2197" i="7"/>
  <c r="E2069" i="7"/>
  <c r="E1836" i="7"/>
  <c r="E1964" i="7"/>
  <c r="E2364" i="7"/>
  <c r="E2044" i="7"/>
  <c r="F1756" i="7"/>
  <c r="F2282" i="7"/>
  <c r="E2382" i="7"/>
  <c r="F1843" i="7"/>
  <c r="F2012" i="7"/>
  <c r="F251" i="7"/>
  <c r="F1571" i="7"/>
  <c r="E1651" i="7"/>
  <c r="E1739" i="7"/>
  <c r="F1596" i="7"/>
  <c r="E1668" i="7"/>
  <c r="E1732" i="7"/>
  <c r="E2306" i="7"/>
  <c r="F2242" i="7"/>
  <c r="F2401" i="7"/>
  <c r="E2209" i="7"/>
  <c r="F2304" i="7"/>
  <c r="F2176" i="7"/>
  <c r="F2112" i="7"/>
  <c r="E2231" i="7"/>
  <c r="F2342" i="7"/>
  <c r="E2214" i="7"/>
  <c r="E2086" i="7"/>
  <c r="F2022" i="7"/>
  <c r="F1883" i="7"/>
  <c r="F2509" i="7"/>
  <c r="F2381" i="7"/>
  <c r="E1844" i="7"/>
  <c r="E2484" i="7"/>
  <c r="F2356" i="7"/>
  <c r="F2164" i="7"/>
  <c r="F1692" i="7"/>
  <c r="E2346" i="7"/>
  <c r="E2190" i="7"/>
  <c r="E2421" i="7"/>
  <c r="F2332" i="7"/>
  <c r="F204" i="7"/>
  <c r="F1068" i="7"/>
  <c r="E1579" i="7"/>
  <c r="F1180" i="7"/>
  <c r="E1436" i="7"/>
  <c r="E1524" i="7"/>
  <c r="F1612" i="7"/>
  <c r="E1676" i="7"/>
  <c r="E2362" i="7"/>
  <c r="F2234" i="7"/>
  <c r="F2170" i="7"/>
  <c r="E2042" i="7"/>
  <c r="E2393" i="7"/>
  <c r="E2265" i="7"/>
  <c r="E2073" i="7"/>
  <c r="E2488" i="7"/>
  <c r="E2424" i="7"/>
  <c r="E2360" i="7"/>
  <c r="E2479" i="7"/>
  <c r="F2462" i="7"/>
  <c r="E2398" i="7"/>
  <c r="F2270" i="7"/>
  <c r="E2014" i="7"/>
  <c r="F1955" i="7"/>
  <c r="F2437" i="7"/>
  <c r="E2373" i="7"/>
  <c r="E2245" i="7"/>
  <c r="F2117" i="7"/>
  <c r="E1980" i="7"/>
  <c r="E2348" i="7"/>
  <c r="E2020" i="7"/>
  <c r="E684" i="7"/>
  <c r="E2026" i="7"/>
  <c r="E2152" i="7"/>
  <c r="E2318" i="7"/>
  <c r="E379" i="7"/>
  <c r="F620" i="7"/>
  <c r="E1132" i="7"/>
  <c r="E1929" i="7"/>
  <c r="E1499" i="7"/>
  <c r="F1587" i="7"/>
  <c r="E1276" i="7"/>
  <c r="E1364" i="7"/>
  <c r="F1748" i="7"/>
  <c r="E2290" i="7"/>
  <c r="F2098" i="7"/>
  <c r="F2321" i="7"/>
  <c r="F2129" i="7"/>
  <c r="E2352" i="7"/>
  <c r="E2032" i="7"/>
  <c r="E2471" i="7"/>
  <c r="F2343" i="7"/>
  <c r="E2454" i="7"/>
  <c r="E2390" i="7"/>
  <c r="E2429" i="7"/>
  <c r="E2109" i="7"/>
  <c r="E1860" i="7"/>
  <c r="F1924" i="7"/>
  <c r="F2468" i="7"/>
  <c r="E2340" i="7"/>
  <c r="F2148" i="7"/>
  <c r="E674" i="7"/>
  <c r="E779" i="7"/>
  <c r="E1460" i="7"/>
  <c r="E2254" i="7"/>
  <c r="E2165" i="7"/>
  <c r="F2543" i="7"/>
  <c r="E2863" i="7"/>
  <c r="F2528" i="7"/>
  <c r="E3168" i="7"/>
  <c r="E3232" i="7"/>
  <c r="F3296" i="7"/>
  <c r="F3424" i="7"/>
  <c r="E2713" i="7"/>
  <c r="E2841" i="7"/>
  <c r="E2969" i="7"/>
  <c r="E3353" i="7"/>
  <c r="E2898" i="7"/>
  <c r="E3090" i="7"/>
  <c r="E3218" i="7"/>
  <c r="E3282" i="7"/>
  <c r="E3346" i="7"/>
  <c r="F3410" i="7"/>
  <c r="E3083" i="7"/>
  <c r="E2589" i="7"/>
  <c r="F2653" i="7"/>
  <c r="E2717" i="7"/>
  <c r="F3037" i="7"/>
  <c r="E3229" i="7"/>
  <c r="E2516" i="7"/>
  <c r="E2772" i="7"/>
  <c r="F3454" i="7"/>
  <c r="E3531" i="7"/>
  <c r="E3723" i="7"/>
  <c r="E2678" i="7"/>
  <c r="E3190" i="7"/>
  <c r="E3700" i="7"/>
  <c r="E2844" i="7"/>
  <c r="F3333" i="7"/>
  <c r="E3613" i="7"/>
  <c r="E2558" i="7"/>
  <c r="F2814" i="7"/>
  <c r="E3670" i="7"/>
  <c r="E3734" i="7"/>
  <c r="F2796" i="7"/>
  <c r="F3793" i="7"/>
  <c r="E2990" i="7"/>
  <c r="E3430" i="7"/>
  <c r="E3522" i="7"/>
  <c r="F3650" i="7"/>
  <c r="E3822" i="7"/>
  <c r="E3950" i="7"/>
  <c r="E4078" i="7"/>
  <c r="F4142" i="7"/>
  <c r="E4270" i="7"/>
  <c r="E4590" i="7"/>
  <c r="E4718" i="7"/>
  <c r="F3831" i="7"/>
  <c r="E2551" i="7"/>
  <c r="E2679" i="7"/>
  <c r="E3319" i="7"/>
  <c r="E3383" i="7"/>
  <c r="E3447" i="7"/>
  <c r="E2536" i="7"/>
  <c r="E2664" i="7"/>
  <c r="E2728" i="7"/>
  <c r="E2856" i="7"/>
  <c r="F2920" i="7"/>
  <c r="E2984" i="7"/>
  <c r="E2785" i="7"/>
  <c r="F2913" i="7"/>
  <c r="E3041" i="7"/>
  <c r="E3425" i="7"/>
  <c r="E2906" i="7"/>
  <c r="E3034" i="7"/>
  <c r="E3226" i="7"/>
  <c r="F2579" i="7"/>
  <c r="F2707" i="7"/>
  <c r="E3219" i="7"/>
  <c r="F2661" i="7"/>
  <c r="F2789" i="7"/>
  <c r="F3109" i="7"/>
  <c r="F3237" i="7"/>
  <c r="F3667" i="7"/>
  <c r="F3795" i="7"/>
  <c r="E3222" i="7"/>
  <c r="E3414" i="7"/>
  <c r="F3356" i="7"/>
  <c r="E3493" i="7"/>
  <c r="E3557" i="7"/>
  <c r="E2846" i="7"/>
  <c r="F3334" i="7"/>
  <c r="E3084" i="7"/>
  <c r="F3737" i="7"/>
  <c r="F2766" i="7"/>
  <c r="E3453" i="7"/>
  <c r="F3530" i="7"/>
  <c r="E3786" i="7"/>
  <c r="E3894" i="7"/>
  <c r="F4022" i="7"/>
  <c r="F4086" i="7"/>
  <c r="E4214" i="7"/>
  <c r="F4534" i="7"/>
  <c r="E4598" i="7"/>
  <c r="E4662" i="7"/>
  <c r="E3382" i="7"/>
  <c r="E3967" i="7"/>
  <c r="F2559" i="7"/>
  <c r="F2623" i="7"/>
  <c r="E2751" i="7"/>
  <c r="E3071" i="7"/>
  <c r="F3263" i="7"/>
  <c r="E2736" i="7"/>
  <c r="E2928" i="7"/>
  <c r="E3056" i="7"/>
  <c r="F3120" i="7"/>
  <c r="E3440" i="7"/>
  <c r="F2857" i="7"/>
  <c r="E2921" i="7"/>
  <c r="F2985" i="7"/>
  <c r="E3305" i="7"/>
  <c r="F2594" i="7"/>
  <c r="F2850" i="7"/>
  <c r="E3362" i="7"/>
  <c r="F2779" i="7"/>
  <c r="E2971" i="7"/>
  <c r="E3163" i="7"/>
  <c r="F3291" i="7"/>
  <c r="E2541" i="7"/>
  <c r="F2861" i="7"/>
  <c r="E2989" i="7"/>
  <c r="E3053" i="7"/>
  <c r="F3092" i="7"/>
  <c r="E3326" i="7"/>
  <c r="E3483" i="7"/>
  <c r="E3675" i="7"/>
  <c r="F3803" i="7"/>
  <c r="F3524" i="7"/>
  <c r="E3588" i="7"/>
  <c r="F2908" i="7"/>
  <c r="E3622" i="7"/>
  <c r="E3750" i="7"/>
  <c r="F3745" i="7"/>
  <c r="F2542" i="7"/>
  <c r="E3602" i="7"/>
  <c r="E3730" i="7"/>
  <c r="E3966" i="7"/>
  <c r="E4222" i="7"/>
  <c r="E4286" i="7"/>
  <c r="F4350" i="7"/>
  <c r="E4542" i="7"/>
  <c r="E4734" i="7"/>
  <c r="E2534" i="7"/>
  <c r="E3728" i="7"/>
  <c r="F2567" i="7"/>
  <c r="E2631" i="7"/>
  <c r="E3079" i="7"/>
  <c r="F3207" i="7"/>
  <c r="E3399" i="7"/>
  <c r="E2680" i="7"/>
  <c r="E2744" i="7"/>
  <c r="E2872" i="7"/>
  <c r="E3192" i="7"/>
  <c r="E3256" i="7"/>
  <c r="F2609" i="7"/>
  <c r="F2737" i="7"/>
  <c r="E2993" i="7"/>
  <c r="E3057" i="7"/>
  <c r="F2602" i="7"/>
  <c r="F2858" i="7"/>
  <c r="F3050" i="7"/>
  <c r="E3242" i="7"/>
  <c r="E3370" i="7"/>
  <c r="E2915" i="7"/>
  <c r="E2979" i="7"/>
  <c r="F3235" i="7"/>
  <c r="F3299" i="7"/>
  <c r="E2613" i="7"/>
  <c r="E2741" i="7"/>
  <c r="E2933" i="7"/>
  <c r="E3061" i="7"/>
  <c r="E3253" i="7"/>
  <c r="E3555" i="7"/>
  <c r="E3683" i="7"/>
  <c r="F2518" i="7"/>
  <c r="E3030" i="7"/>
  <c r="E3788" i="7"/>
  <c r="F2940" i="7"/>
  <c r="F3380" i="7"/>
  <c r="F3630" i="7"/>
  <c r="E2892" i="7"/>
  <c r="E3148" i="7"/>
  <c r="E3625" i="7"/>
  <c r="E3689" i="7"/>
  <c r="E3086" i="7"/>
  <c r="F3546" i="7"/>
  <c r="F3738" i="7"/>
  <c r="F3727" i="7"/>
  <c r="E3910" i="7"/>
  <c r="E4294" i="7"/>
  <c r="E4486" i="7"/>
  <c r="E4678" i="7"/>
  <c r="E4806" i="7"/>
  <c r="E2662" i="7"/>
  <c r="E3504" i="7"/>
  <c r="E3983" i="7"/>
  <c r="F2639" i="7"/>
  <c r="E3151" i="7"/>
  <c r="F2560" i="7"/>
  <c r="E2816" i="7"/>
  <c r="E3072" i="7"/>
  <c r="F3136" i="7"/>
  <c r="E3264" i="7"/>
  <c r="E2553" i="7"/>
  <c r="F2681" i="7"/>
  <c r="F2745" i="7"/>
  <c r="E2873" i="7"/>
  <c r="F3065" i="7"/>
  <c r="F3257" i="7"/>
  <c r="E3385" i="7"/>
  <c r="E2546" i="7"/>
  <c r="F2610" i="7"/>
  <c r="F2994" i="7"/>
  <c r="E3122" i="7"/>
  <c r="E2731" i="7"/>
  <c r="E2859" i="7"/>
  <c r="E2987" i="7"/>
  <c r="F3051" i="7"/>
  <c r="E3115" i="7"/>
  <c r="E2557" i="7"/>
  <c r="E3261" i="7"/>
  <c r="F3627" i="7"/>
  <c r="E3755" i="7"/>
  <c r="E3062" i="7"/>
  <c r="E3309" i="7"/>
  <c r="E3604" i="7"/>
  <c r="E3668" i="7"/>
  <c r="E3198" i="7"/>
  <c r="E3766" i="7"/>
  <c r="F2924" i="7"/>
  <c r="F3180" i="7"/>
  <c r="F3697" i="7"/>
  <c r="F3761" i="7"/>
  <c r="F2606" i="7"/>
  <c r="E3746" i="7"/>
  <c r="F3982" i="7"/>
  <c r="E4750" i="7"/>
  <c r="F4942" i="7"/>
  <c r="F3792" i="7"/>
  <c r="E3927" i="7"/>
  <c r="E2583" i="7"/>
  <c r="E2647" i="7"/>
  <c r="F2775" i="7"/>
  <c r="F3095" i="7"/>
  <c r="F3223" i="7"/>
  <c r="F3287" i="7"/>
  <c r="E3415" i="7"/>
  <c r="E2632" i="7"/>
  <c r="E2952" i="7"/>
  <c r="E3080" i="7"/>
  <c r="E2625" i="7"/>
  <c r="F2753" i="7"/>
  <c r="F2945" i="7"/>
  <c r="F3265" i="7"/>
  <c r="F3457" i="7"/>
  <c r="F2554" i="7"/>
  <c r="F2938" i="7"/>
  <c r="F3066" i="7"/>
  <c r="F3450" i="7"/>
  <c r="E2739" i="7"/>
  <c r="E2995" i="7"/>
  <c r="E3123" i="7"/>
  <c r="E2629" i="7"/>
  <c r="E2693" i="7"/>
  <c r="E2821" i="7"/>
  <c r="E2885" i="7"/>
  <c r="E3188" i="7"/>
  <c r="E3571" i="7"/>
  <c r="E2838" i="7"/>
  <c r="E3332" i="7"/>
  <c r="F3676" i="7"/>
  <c r="E3804" i="7"/>
  <c r="E3004" i="7"/>
  <c r="E3260" i="7"/>
  <c r="E3717" i="7"/>
  <c r="E3230" i="7"/>
  <c r="E3406" i="7"/>
  <c r="E3577" i="7"/>
  <c r="E3705" i="7"/>
  <c r="E3769" i="7"/>
  <c r="E3690" i="7"/>
  <c r="E3754" i="7"/>
  <c r="F3535" i="7"/>
  <c r="F3862" i="7"/>
  <c r="F3926" i="7"/>
  <c r="F4118" i="7"/>
  <c r="E4246" i="7"/>
  <c r="E4374" i="7"/>
  <c r="E4566" i="7"/>
  <c r="E2527" i="7"/>
  <c r="E2719" i="7"/>
  <c r="E2783" i="7"/>
  <c r="E2975" i="7"/>
  <c r="E3167" i="7"/>
  <c r="E3295" i="7"/>
  <c r="E2768" i="7"/>
  <c r="E2832" i="7"/>
  <c r="E2960" i="7"/>
  <c r="E3280" i="7"/>
  <c r="F3408" i="7"/>
  <c r="E2697" i="7"/>
  <c r="E2761" i="7"/>
  <c r="F2889" i="7"/>
  <c r="E3145" i="7"/>
  <c r="E3337" i="7"/>
  <c r="E2562" i="7"/>
  <c r="E2818" i="7"/>
  <c r="F2946" i="7"/>
  <c r="F3074" i="7"/>
  <c r="F3138" i="7"/>
  <c r="F2555" i="7"/>
  <c r="E2683" i="7"/>
  <c r="F3195" i="7"/>
  <c r="E3259" i="7"/>
  <c r="E3451" i="7"/>
  <c r="E3021" i="7"/>
  <c r="E3413" i="7"/>
  <c r="F3643" i="7"/>
  <c r="E3707" i="7"/>
  <c r="F2870" i="7"/>
  <c r="F3556" i="7"/>
  <c r="E2524" i="7"/>
  <c r="E3036" i="7"/>
  <c r="F3292" i="7"/>
  <c r="E3460" i="7"/>
  <c r="E3533" i="7"/>
  <c r="E3444" i="7"/>
  <c r="F3654" i="7"/>
  <c r="E2732" i="7"/>
  <c r="F3585" i="7"/>
  <c r="E2670" i="7"/>
  <c r="F3870" i="7"/>
  <c r="F3998" i="7"/>
  <c r="F4126" i="7"/>
  <c r="F4318" i="7"/>
  <c r="E4382" i="7"/>
  <c r="F4446" i="7"/>
  <c r="F4894" i="7"/>
  <c r="E3046" i="7"/>
  <c r="F3943" i="7"/>
  <c r="E2855" i="7"/>
  <c r="F3018" i="7"/>
  <c r="E2645" i="7"/>
  <c r="E3587" i="7"/>
  <c r="E3500" i="7"/>
  <c r="E3310" i="7"/>
  <c r="F4070" i="7"/>
  <c r="F4582" i="7"/>
  <c r="E4838" i="7"/>
  <c r="F3632" i="7"/>
  <c r="E4359" i="7"/>
  <c r="F4423" i="7"/>
  <c r="F4551" i="7"/>
  <c r="E4679" i="7"/>
  <c r="E4112" i="7"/>
  <c r="F4240" i="7"/>
  <c r="E4304" i="7"/>
  <c r="F4496" i="7"/>
  <c r="F4624" i="7"/>
  <c r="E3929" i="7"/>
  <c r="E4121" i="7"/>
  <c r="E4313" i="7"/>
  <c r="E4377" i="7"/>
  <c r="E4633" i="7"/>
  <c r="E4697" i="7"/>
  <c r="F4889" i="7"/>
  <c r="F3884" i="7"/>
  <c r="F4140" i="7"/>
  <c r="E4396" i="7"/>
  <c r="E4908" i="7"/>
  <c r="F3688" i="7"/>
  <c r="F4093" i="7"/>
  <c r="E4669" i="7"/>
  <c r="F4733" i="7"/>
  <c r="E4861" i="7"/>
  <c r="E3922" i="7"/>
  <c r="F4483" i="7"/>
  <c r="E3776" i="7"/>
  <c r="E4051" i="7"/>
  <c r="F4930" i="7"/>
  <c r="E4090" i="7"/>
  <c r="E4346" i="7"/>
  <c r="E4123" i="7"/>
  <c r="F4379" i="7"/>
  <c r="F4642" i="7"/>
  <c r="E4330" i="7"/>
  <c r="E4586" i="7"/>
  <c r="E4842" i="7"/>
  <c r="F3583" i="7"/>
  <c r="E4067" i="7"/>
  <c r="E3488" i="7"/>
  <c r="F2919" i="7"/>
  <c r="F2627" i="7"/>
  <c r="E3564" i="7"/>
  <c r="E3770" i="7"/>
  <c r="E4886" i="7"/>
  <c r="E3807" i="7"/>
  <c r="F4175" i="7"/>
  <c r="F4495" i="7"/>
  <c r="E4623" i="7"/>
  <c r="F4687" i="7"/>
  <c r="E4943" i="7"/>
  <c r="F2820" i="7"/>
  <c r="E3864" i="7"/>
  <c r="F4056" i="7"/>
  <c r="F4184" i="7"/>
  <c r="E4248" i="7"/>
  <c r="F3873" i="7"/>
  <c r="E3937" i="7"/>
  <c r="E4001" i="7"/>
  <c r="E4065" i="7"/>
  <c r="E4257" i="7"/>
  <c r="E4833" i="7"/>
  <c r="F3268" i="7"/>
  <c r="F4020" i="7"/>
  <c r="F4148" i="7"/>
  <c r="E4340" i="7"/>
  <c r="E4532" i="7"/>
  <c r="F4660" i="7"/>
  <c r="F4724" i="7"/>
  <c r="E4852" i="7"/>
  <c r="F3720" i="7"/>
  <c r="E3909" i="7"/>
  <c r="F4293" i="7"/>
  <c r="E4421" i="7"/>
  <c r="E4549" i="7"/>
  <c r="E4613" i="7"/>
  <c r="F4933" i="7"/>
  <c r="F4978" i="7"/>
  <c r="E4546" i="7"/>
  <c r="E4122" i="7"/>
  <c r="E5004" i="7"/>
  <c r="F4155" i="7"/>
  <c r="E4667" i="7"/>
  <c r="E4098" i="7"/>
  <c r="F4259" i="7"/>
  <c r="E4011" i="7"/>
  <c r="E4267" i="7"/>
  <c r="E4523" i="7"/>
  <c r="E2691" i="7"/>
  <c r="E3203" i="7"/>
  <c r="E3461" i="7"/>
  <c r="E4119" i="7"/>
  <c r="E4247" i="7"/>
  <c r="E4311" i="7"/>
  <c r="E4375" i="7"/>
  <c r="E4439" i="7"/>
  <c r="E4503" i="7"/>
  <c r="E4631" i="7"/>
  <c r="E4695" i="7"/>
  <c r="E3936" i="7"/>
  <c r="E4000" i="7"/>
  <c r="E4128" i="7"/>
  <c r="E4448" i="7"/>
  <c r="E4576" i="7"/>
  <c r="F4640" i="7"/>
  <c r="F4896" i="7"/>
  <c r="F3078" i="7"/>
  <c r="E4073" i="7"/>
  <c r="F4137" i="7"/>
  <c r="F4265" i="7"/>
  <c r="E4649" i="7"/>
  <c r="E3358" i="7"/>
  <c r="F3900" i="7"/>
  <c r="E4092" i="7"/>
  <c r="E4156" i="7"/>
  <c r="E4284" i="7"/>
  <c r="F4412" i="7"/>
  <c r="E4540" i="7"/>
  <c r="E4732" i="7"/>
  <c r="F4924" i="7"/>
  <c r="E2630" i="7"/>
  <c r="E3853" i="7"/>
  <c r="F3917" i="7"/>
  <c r="E4173" i="7"/>
  <c r="E4493" i="7"/>
  <c r="F4557" i="7"/>
  <c r="F4621" i="7"/>
  <c r="F4685" i="7"/>
  <c r="E4877" i="7"/>
  <c r="E4242" i="7"/>
  <c r="E4771" i="7"/>
  <c r="E3859" i="7"/>
  <c r="E4883" i="7"/>
  <c r="F4922" i="7"/>
  <c r="E3931" i="7"/>
  <c r="F4443" i="7"/>
  <c r="E4955" i="7"/>
  <c r="E3882" i="7"/>
  <c r="F4138" i="7"/>
  <c r="F4394" i="7"/>
  <c r="F4650" i="7"/>
  <c r="F4290" i="7"/>
  <c r="E4451" i="7"/>
  <c r="E4299" i="7"/>
  <c r="E5006" i="7"/>
  <c r="F4770" i="7"/>
  <c r="F3096" i="7"/>
  <c r="E3692" i="7"/>
  <c r="F3605" i="7"/>
  <c r="E4262" i="7"/>
  <c r="E4694" i="7"/>
  <c r="E4319" i="7"/>
  <c r="F4383" i="7"/>
  <c r="E4767" i="7"/>
  <c r="E4895" i="7"/>
  <c r="E4072" i="7"/>
  <c r="E4136" i="7"/>
  <c r="E4456" i="7"/>
  <c r="E4520" i="7"/>
  <c r="F4648" i="7"/>
  <c r="F4712" i="7"/>
  <c r="E4968" i="7"/>
  <c r="E3206" i="7"/>
  <c r="E4081" i="7"/>
  <c r="E4209" i="7"/>
  <c r="E4785" i="7"/>
  <c r="F3908" i="7"/>
  <c r="F4036" i="7"/>
  <c r="E4356" i="7"/>
  <c r="E4548" i="7"/>
  <c r="E4868" i="7"/>
  <c r="E3784" i="7"/>
  <c r="F3861" i="7"/>
  <c r="E4053" i="7"/>
  <c r="F4245" i="7"/>
  <c r="F4373" i="7"/>
  <c r="F4565" i="7"/>
  <c r="F4693" i="7"/>
  <c r="F4885" i="7"/>
  <c r="F4274" i="7"/>
  <c r="F4999" i="7"/>
  <c r="F4962" i="7"/>
  <c r="E4147" i="7"/>
  <c r="F4403" i="7"/>
  <c r="E4659" i="7"/>
  <c r="E4954" i="7"/>
  <c r="E4475" i="7"/>
  <c r="F4731" i="7"/>
  <c r="E4986" i="7"/>
  <c r="E3875" i="7"/>
  <c r="F4426" i="7"/>
  <c r="E4682" i="7"/>
  <c r="E4514" i="7"/>
  <c r="E4643" i="7"/>
  <c r="E3819" i="7"/>
  <c r="E4995" i="7"/>
  <c r="E3217" i="7"/>
  <c r="F2762" i="7"/>
  <c r="E2819" i="7"/>
  <c r="E3331" i="7"/>
  <c r="F3756" i="7"/>
  <c r="E3669" i="7"/>
  <c r="E4710" i="7"/>
  <c r="F4966" i="7"/>
  <c r="E3887" i="7"/>
  <c r="F4071" i="7"/>
  <c r="E4135" i="7"/>
  <c r="E4455" i="7"/>
  <c r="F4583" i="7"/>
  <c r="E4647" i="7"/>
  <c r="E4967" i="7"/>
  <c r="E3639" i="7"/>
  <c r="E3824" i="7"/>
  <c r="F4016" i="7"/>
  <c r="E4144" i="7"/>
  <c r="E4400" i="7"/>
  <c r="E4464" i="7"/>
  <c r="E4656" i="7"/>
  <c r="E4848" i="7"/>
  <c r="E3833" i="7"/>
  <c r="E3897" i="7"/>
  <c r="E4025" i="7"/>
  <c r="E4089" i="7"/>
  <c r="E4473" i="7"/>
  <c r="E4793" i="7"/>
  <c r="F4857" i="7"/>
  <c r="E2628" i="7"/>
  <c r="E3980" i="7"/>
  <c r="E4172" i="7"/>
  <c r="E4364" i="7"/>
  <c r="F4556" i="7"/>
  <c r="E4684" i="7"/>
  <c r="E3560" i="7"/>
  <c r="E3933" i="7"/>
  <c r="E4509" i="7"/>
  <c r="E4701" i="7"/>
  <c r="E4829" i="7"/>
  <c r="F3775" i="7"/>
  <c r="E4306" i="7"/>
  <c r="E4562" i="7"/>
  <c r="F5007" i="7"/>
  <c r="E3923" i="7"/>
  <c r="E4691" i="7"/>
  <c r="E4947" i="7"/>
  <c r="F4730" i="7"/>
  <c r="E4985" i="7"/>
  <c r="E4195" i="7"/>
  <c r="F4763" i="7"/>
  <c r="E4099" i="7"/>
  <c r="F3946" i="7"/>
  <c r="E4970" i="7"/>
  <c r="F4107" i="7"/>
  <c r="E4875" i="7"/>
  <c r="E3842" i="7"/>
  <c r="E3712" i="7"/>
  <c r="E2769" i="7"/>
  <c r="E2883" i="7"/>
  <c r="F3395" i="7"/>
  <c r="E3252" i="7"/>
  <c r="E3593" i="7"/>
  <c r="E4390" i="7"/>
  <c r="E4143" i="7"/>
  <c r="E4335" i="7"/>
  <c r="E4655" i="7"/>
  <c r="E4847" i="7"/>
  <c r="E4975" i="7"/>
  <c r="F3960" i="7"/>
  <c r="F4088" i="7"/>
  <c r="E4280" i="7"/>
  <c r="E4344" i="7"/>
  <c r="E4472" i="7"/>
  <c r="E4536" i="7"/>
  <c r="F4920" i="7"/>
  <c r="F4984" i="7"/>
  <c r="F3905" i="7"/>
  <c r="F3969" i="7"/>
  <c r="E4097" i="7"/>
  <c r="E4289" i="7"/>
  <c r="E4609" i="7"/>
  <c r="E4737" i="7"/>
  <c r="E4929" i="7"/>
  <c r="E2756" i="7"/>
  <c r="E3527" i="7"/>
  <c r="F3860" i="7"/>
  <c r="E4180" i="7"/>
  <c r="E4244" i="7"/>
  <c r="E4308" i="7"/>
  <c r="E4436" i="7"/>
  <c r="E4628" i="7"/>
  <c r="E4820" i="7"/>
  <c r="E4948" i="7"/>
  <c r="E3592" i="7"/>
  <c r="E4069" i="7"/>
  <c r="E4133" i="7"/>
  <c r="E4325" i="7"/>
  <c r="E4389" i="7"/>
  <c r="E4453" i="7"/>
  <c r="E4645" i="7"/>
  <c r="F4709" i="7"/>
  <c r="F4837" i="7"/>
  <c r="E4901" i="7"/>
  <c r="E3826" i="7"/>
  <c r="E4338" i="7"/>
  <c r="F3971" i="7"/>
  <c r="E3238" i="7"/>
  <c r="E3955" i="7"/>
  <c r="F4467" i="7"/>
  <c r="E4482" i="7"/>
  <c r="F3680" i="7"/>
  <c r="E4027" i="7"/>
  <c r="E4539" i="7"/>
  <c r="E3487" i="7"/>
  <c r="F4234" i="7"/>
  <c r="F4490" i="7"/>
  <c r="E3883" i="7"/>
  <c r="E4651" i="7"/>
  <c r="E3239" i="7"/>
  <c r="E3288" i="7"/>
  <c r="F2517" i="7"/>
  <c r="E3436" i="7"/>
  <c r="F2812" i="7"/>
  <c r="E2526" i="7"/>
  <c r="F3578" i="7"/>
  <c r="E3942" i="7"/>
  <c r="E4215" i="7"/>
  <c r="E4279" i="7"/>
  <c r="E4535" i="7"/>
  <c r="F4727" i="7"/>
  <c r="F4855" i="7"/>
  <c r="E4919" i="7"/>
  <c r="F3404" i="7"/>
  <c r="E3904" i="7"/>
  <c r="F3968" i="7"/>
  <c r="E4096" i="7"/>
  <c r="E4288" i="7"/>
  <c r="E4480" i="7"/>
  <c r="F4544" i="7"/>
  <c r="E4608" i="7"/>
  <c r="E3849" i="7"/>
  <c r="E3913" i="7"/>
  <c r="E3977" i="7"/>
  <c r="E4169" i="7"/>
  <c r="F4297" i="7"/>
  <c r="E4489" i="7"/>
  <c r="E4809" i="7"/>
  <c r="F4937" i="7"/>
  <c r="F3868" i="7"/>
  <c r="E3996" i="7"/>
  <c r="E4124" i="7"/>
  <c r="E4316" i="7"/>
  <c r="E4828" i="7"/>
  <c r="F4892" i="7"/>
  <c r="F4956" i="7"/>
  <c r="E3949" i="7"/>
  <c r="E4141" i="7"/>
  <c r="E4205" i="7"/>
  <c r="F4333" i="7"/>
  <c r="E4461" i="7"/>
  <c r="E4589" i="7"/>
  <c r="F4653" i="7"/>
  <c r="E4781" i="7"/>
  <c r="E4845" i="7"/>
  <c r="E3858" i="7"/>
  <c r="F3970" i="7"/>
  <c r="E4243" i="7"/>
  <c r="F4499" i="7"/>
  <c r="F4992" i="7"/>
  <c r="E4674" i="7"/>
  <c r="E3679" i="7"/>
  <c r="F4282" i="7"/>
  <c r="F5001" i="7"/>
  <c r="E4610" i="7"/>
  <c r="E4515" i="7"/>
  <c r="E4315" i="7"/>
  <c r="E4827" i="7"/>
  <c r="E4194" i="7"/>
  <c r="E4387" i="7"/>
  <c r="E4266" i="7"/>
  <c r="E5003" i="7"/>
  <c r="F4683" i="7"/>
  <c r="F4939" i="7"/>
  <c r="E3947" i="7"/>
  <c r="E4291" i="7"/>
  <c r="E4405" i="7"/>
  <c r="F3893" i="7"/>
  <c r="E4708" i="7"/>
  <c r="E3985" i="7"/>
  <c r="E4808" i="7"/>
  <c r="E3735" i="7"/>
  <c r="E4095" i="7"/>
  <c r="E3466" i="7"/>
  <c r="E3110" i="7"/>
  <c r="E4579" i="7"/>
  <c r="F4802" i="7"/>
  <c r="E4834" i="7"/>
  <c r="F4130" i="7"/>
  <c r="F4853" i="7"/>
  <c r="F4132" i="7"/>
  <c r="E4945" i="7"/>
  <c r="E3921" i="7"/>
  <c r="E3999" i="7"/>
  <c r="F2954" i="7"/>
  <c r="E4418" i="7"/>
  <c r="E4914" i="7"/>
  <c r="E4277" i="7"/>
  <c r="F3656" i="7"/>
  <c r="E3857" i="7"/>
  <c r="E4680" i="7"/>
  <c r="F4479" i="7"/>
  <c r="C9" i="7"/>
  <c r="F690" i="7"/>
  <c r="F354" i="7"/>
  <c r="F829" i="7"/>
  <c r="F378" i="7"/>
  <c r="F1005" i="7"/>
  <c r="E1497" i="7"/>
  <c r="F1861" i="7"/>
  <c r="F348" i="7"/>
  <c r="F1645" i="7"/>
  <c r="F834" i="7"/>
  <c r="F357" i="7"/>
  <c r="F157" i="7"/>
  <c r="F1706" i="7"/>
  <c r="F565" i="7"/>
  <c r="F948" i="7"/>
  <c r="E1043" i="7"/>
  <c r="F1043" i="7"/>
  <c r="E2507" i="7"/>
  <c r="F2507" i="7"/>
  <c r="E2307" i="7"/>
  <c r="F2307" i="7"/>
  <c r="E2107" i="7"/>
  <c r="F2694" i="7"/>
  <c r="F4226" i="7"/>
  <c r="E1101" i="7"/>
  <c r="F1101" i="7"/>
  <c r="E2195" i="7"/>
  <c r="F2195" i="7"/>
  <c r="E2139" i="7"/>
  <c r="E195" i="7"/>
  <c r="F195" i="7"/>
  <c r="E3848" i="7"/>
  <c r="E4213" i="7"/>
  <c r="F4213" i="7"/>
  <c r="F4275" i="7"/>
  <c r="F2155" i="7"/>
  <c r="E2355" i="7"/>
  <c r="F2355" i="7"/>
  <c r="E2171" i="7"/>
  <c r="E1021" i="7"/>
  <c r="F1021" i="7"/>
  <c r="E4347" i="7"/>
  <c r="F4347" i="7"/>
  <c r="E2005" i="7"/>
  <c r="F2005" i="7"/>
  <c r="F2123" i="7"/>
  <c r="E764" i="7"/>
  <c r="E84" i="7"/>
  <c r="F84" i="7"/>
  <c r="F1453" i="7"/>
  <c r="F2897" i="7"/>
  <c r="E3940" i="7"/>
  <c r="F4351" i="7"/>
  <c r="F4518" i="7"/>
  <c r="E4863" i="7"/>
  <c r="E685" i="7"/>
  <c r="F685" i="7"/>
  <c r="F629" i="7" l="1"/>
  <c r="F4927" i="7"/>
  <c r="F4452" i="7"/>
  <c r="F459" i="7"/>
  <c r="E1157" i="7"/>
  <c r="F4936" i="7"/>
  <c r="F2203" i="7"/>
  <c r="F4469" i="7"/>
  <c r="F4360" i="7"/>
  <c r="E1098" i="7"/>
  <c r="E133" i="7"/>
  <c r="F133" i="7"/>
  <c r="E4019" i="7"/>
  <c r="F4019" i="7"/>
  <c r="E4817" i="7"/>
  <c r="E3768" i="7"/>
  <c r="F1745" i="7"/>
  <c r="F3890" i="7"/>
  <c r="F3976" i="7"/>
  <c r="F1346" i="7"/>
  <c r="E4533" i="7"/>
  <c r="F275" i="7"/>
  <c r="E370" i="7"/>
  <c r="E2411" i="7"/>
  <c r="F997" i="7"/>
  <c r="E2791" i="7"/>
  <c r="F1213" i="7"/>
  <c r="F2251" i="7"/>
  <c r="E211" i="7"/>
  <c r="F4689" i="7"/>
  <c r="G30" i="3"/>
  <c r="L11" i="3" s="1"/>
  <c r="E3957" i="7"/>
  <c r="F1970" i="7"/>
  <c r="F413" i="7"/>
  <c r="F2451" i="7"/>
  <c r="F2840" i="7"/>
  <c r="F2403" i="7"/>
  <c r="D9" i="7"/>
  <c r="E2374" i="7"/>
  <c r="F1388" i="7"/>
  <c r="E2163" i="7"/>
  <c r="F4603" i="7"/>
  <c r="E2075" i="7"/>
  <c r="E2446" i="7"/>
  <c r="E524" i="7"/>
  <c r="E412" i="7"/>
  <c r="F1107" i="7"/>
  <c r="F148" i="7"/>
  <c r="F973" i="7"/>
  <c r="F1605" i="7"/>
  <c r="F1723" i="7"/>
  <c r="E1325" i="7"/>
  <c r="E963" i="7"/>
  <c r="F1811" i="7"/>
  <c r="F578" i="7"/>
  <c r="F331" i="7"/>
  <c r="F1594" i="7"/>
  <c r="E1227" i="7"/>
  <c r="F820" i="7"/>
  <c r="E980" i="7"/>
  <c r="F194" i="7"/>
  <c r="F2387" i="7"/>
  <c r="F796" i="7"/>
  <c r="E1554" i="7"/>
  <c r="F242" i="7"/>
  <c r="E4787" i="7"/>
  <c r="F1028" i="7"/>
  <c r="F611" i="7"/>
  <c r="F2051" i="7"/>
  <c r="F434" i="7"/>
  <c r="F4661" i="7"/>
  <c r="F189" i="7"/>
  <c r="E1123" i="7"/>
  <c r="F1549" i="7"/>
  <c r="F2192" i="7"/>
  <c r="E4424" i="7"/>
  <c r="F1162" i="7"/>
  <c r="F428" i="7"/>
  <c r="E1211" i="7"/>
  <c r="F1491" i="7"/>
  <c r="E755" i="7"/>
  <c r="F2977" i="7"/>
  <c r="E1380" i="7"/>
  <c r="E2272" i="7"/>
  <c r="F307" i="7"/>
  <c r="E843" i="7"/>
  <c r="E1501" i="7"/>
  <c r="E2466" i="7"/>
  <c r="F1653" i="7"/>
  <c r="F1877" i="7"/>
  <c r="E2112" i="7"/>
  <c r="F2751" i="7"/>
  <c r="E2332" i="7"/>
  <c r="E1596" i="7"/>
  <c r="F2014" i="7"/>
  <c r="F3383" i="7"/>
  <c r="E2384" i="7"/>
  <c r="F2324" i="7"/>
  <c r="E1764" i="7"/>
  <c r="F3303" i="7"/>
  <c r="F4113" i="7"/>
  <c r="F955" i="7"/>
  <c r="E3648" i="7"/>
  <c r="E1461" i="7"/>
  <c r="E4964" i="7"/>
  <c r="F525" i="7"/>
  <c r="E1644" i="7"/>
  <c r="E4305" i="7"/>
  <c r="F3799" i="7"/>
  <c r="E4799" i="7"/>
  <c r="F4085" i="7"/>
  <c r="F1844" i="7"/>
  <c r="F2345" i="7"/>
  <c r="E251" i="7"/>
  <c r="E2749" i="7"/>
  <c r="E2129" i="7"/>
  <c r="F3053" i="7"/>
  <c r="F3173" i="7"/>
  <c r="E3572" i="7"/>
  <c r="F4176" i="7"/>
  <c r="F2971" i="7"/>
  <c r="F2680" i="7"/>
  <c r="F3229" i="7"/>
  <c r="E2635" i="7"/>
  <c r="F2541" i="7"/>
  <c r="F3571" i="7"/>
  <c r="F2717" i="7"/>
  <c r="E3263" i="7"/>
  <c r="F3722" i="7"/>
  <c r="E3180" i="7"/>
  <c r="F2348" i="7"/>
  <c r="F4563" i="7"/>
  <c r="F931" i="7"/>
  <c r="F1267" i="7"/>
  <c r="F1931" i="7"/>
  <c r="F1340" i="7"/>
  <c r="F226" i="7"/>
  <c r="F67" i="7"/>
  <c r="E4859" i="7"/>
  <c r="E2174" i="7"/>
  <c r="F1851" i="7"/>
  <c r="E468" i="7"/>
  <c r="E2304" i="7"/>
  <c r="E915" i="7"/>
  <c r="F4725" i="7"/>
  <c r="E2330" i="7"/>
  <c r="F2364" i="7"/>
  <c r="E3697" i="7"/>
  <c r="E2502" i="7"/>
  <c r="E1251" i="7"/>
  <c r="E2491" i="7"/>
  <c r="F83" i="7"/>
  <c r="F3270" i="7"/>
  <c r="F1738" i="7"/>
  <c r="F197" i="7"/>
  <c r="F891" i="7"/>
  <c r="E43" i="7"/>
  <c r="F218" i="7"/>
  <c r="F122" i="7"/>
  <c r="F1277" i="7"/>
  <c r="E2422" i="7"/>
  <c r="F970" i="7"/>
  <c r="F373" i="7"/>
  <c r="F2293" i="7"/>
  <c r="F4049" i="7"/>
  <c r="F1531" i="7"/>
  <c r="F2439" i="7"/>
  <c r="F2359" i="7"/>
  <c r="F2489" i="7"/>
  <c r="F1053" i="7"/>
  <c r="E1731" i="7"/>
  <c r="F2146" i="7"/>
  <c r="F2341" i="7"/>
  <c r="F1084" i="7"/>
  <c r="F4058" i="7"/>
  <c r="F836" i="7"/>
  <c r="F1626" i="7"/>
  <c r="F588" i="7"/>
  <c r="E1029" i="7"/>
  <c r="E986" i="7"/>
  <c r="F50" i="7"/>
  <c r="E410" i="7"/>
  <c r="F866" i="7"/>
  <c r="F4625" i="7"/>
  <c r="F4177" i="7"/>
  <c r="F3835" i="7"/>
  <c r="F1075" i="7"/>
  <c r="F220" i="7"/>
  <c r="F2435" i="7"/>
  <c r="F2464" i="7"/>
  <c r="F381" i="7"/>
  <c r="F269" i="7"/>
  <c r="F1779" i="7"/>
  <c r="F484" i="7"/>
  <c r="F868" i="7"/>
  <c r="F1234" i="7"/>
  <c r="E667" i="7"/>
  <c r="F2157" i="7"/>
  <c r="E236" i="7"/>
  <c r="F4040" i="7"/>
  <c r="E2305" i="7"/>
  <c r="F1194" i="7"/>
  <c r="E1858" i="7"/>
  <c r="F2244" i="7"/>
  <c r="F227" i="7"/>
  <c r="F1709" i="7"/>
  <c r="F116" i="7"/>
  <c r="F572" i="7"/>
  <c r="E421" i="7"/>
  <c r="F1673" i="7"/>
  <c r="F1777" i="7"/>
  <c r="F516" i="7"/>
  <c r="E2581" i="7"/>
  <c r="F213" i="7"/>
  <c r="F2267" i="7"/>
  <c r="F1299" i="7"/>
  <c r="F444" i="7"/>
  <c r="F1266" i="7"/>
  <c r="F1236" i="7"/>
  <c r="F2191" i="7"/>
  <c r="F1100" i="7"/>
  <c r="F4658" i="7"/>
  <c r="F1524" i="7"/>
  <c r="F4149" i="7"/>
  <c r="F2347" i="7"/>
  <c r="F555" i="7"/>
  <c r="E1578" i="7"/>
  <c r="F1593" i="7"/>
  <c r="F2955" i="7"/>
  <c r="E2342" i="7"/>
  <c r="F853" i="7"/>
  <c r="E683" i="7"/>
  <c r="E1842" i="7"/>
  <c r="E722" i="7"/>
  <c r="E347" i="7"/>
  <c r="F186" i="7"/>
  <c r="F210" i="7"/>
  <c r="F1218" i="7"/>
  <c r="F2136" i="7"/>
  <c r="E2505" i="7"/>
  <c r="F2030" i="7"/>
  <c r="F2186" i="7"/>
  <c r="F3629" i="7"/>
  <c r="E2066" i="7"/>
  <c r="F2077" i="7"/>
  <c r="F2784" i="7"/>
  <c r="E1724" i="7"/>
  <c r="F2508" i="7"/>
  <c r="E2076" i="7"/>
  <c r="F2498" i="7"/>
  <c r="F1507" i="7"/>
  <c r="F3665" i="7"/>
  <c r="F2785" i="7"/>
  <c r="F2841" i="7"/>
  <c r="F1475" i="7"/>
  <c r="F587" i="7"/>
  <c r="F3950" i="7"/>
  <c r="F1564" i="7"/>
  <c r="F2047" i="7"/>
  <c r="E4415" i="7"/>
  <c r="E4577" i="7"/>
  <c r="F3002" i="7"/>
  <c r="F3769" i="7"/>
  <c r="F2512" i="7"/>
  <c r="E2391" i="7"/>
  <c r="E1108" i="7"/>
  <c r="E244" i="7"/>
  <c r="F1929" i="7"/>
  <c r="F4590" i="7"/>
  <c r="E596" i="7"/>
  <c r="E2311" i="7"/>
  <c r="F355" i="7"/>
  <c r="F100" i="7"/>
  <c r="E4534" i="7"/>
  <c r="E1986" i="7"/>
  <c r="E3299" i="7"/>
  <c r="F964" i="7"/>
  <c r="F60" i="7"/>
  <c r="F2989" i="7"/>
  <c r="F2140" i="7"/>
  <c r="E1355" i="7"/>
  <c r="F700" i="7"/>
  <c r="F1362" i="7"/>
  <c r="F795" i="7"/>
  <c r="F691" i="7"/>
  <c r="E2380" i="7"/>
  <c r="F1059" i="7"/>
  <c r="E3793" i="7"/>
  <c r="F1813" i="7"/>
  <c r="F1458" i="7"/>
  <c r="E2294" i="7"/>
  <c r="F2399" i="7"/>
  <c r="E243" i="7"/>
  <c r="F924" i="7"/>
  <c r="E850" i="7"/>
  <c r="F2393" i="7"/>
  <c r="F3414" i="7"/>
  <c r="E3497" i="7"/>
  <c r="F3248" i="7"/>
  <c r="F4806" i="7"/>
  <c r="F2390" i="7"/>
  <c r="E2868" i="7"/>
  <c r="F2346" i="7"/>
  <c r="E2336" i="7"/>
  <c r="F3705" i="7"/>
  <c r="F1004" i="7"/>
  <c r="F2414" i="7"/>
  <c r="E3027" i="7"/>
  <c r="F3305" i="7"/>
  <c r="F2245" i="7"/>
  <c r="F4078" i="7"/>
  <c r="E2412" i="7"/>
  <c r="E2176" i="7"/>
  <c r="F4622" i="7"/>
  <c r="E2652" i="7"/>
  <c r="F2685" i="7"/>
  <c r="E3637" i="7"/>
  <c r="E4926" i="7"/>
  <c r="F1737" i="7"/>
  <c r="E4022" i="7"/>
  <c r="F3198" i="7"/>
  <c r="E2381" i="7"/>
  <c r="F2846" i="7"/>
  <c r="F1244" i="7"/>
  <c r="F2863" i="7"/>
  <c r="E3424" i="7"/>
  <c r="F2912" i="7"/>
  <c r="F2058" i="7"/>
  <c r="E3658" i="7"/>
  <c r="F2787" i="7"/>
  <c r="F2352" i="7"/>
  <c r="E3109" i="7"/>
  <c r="F3242" i="7"/>
  <c r="F2069" i="7"/>
  <c r="F4690" i="7"/>
  <c r="F2995" i="7"/>
  <c r="E2673" i="7"/>
  <c r="F2546" i="7"/>
  <c r="E3566" i="7"/>
  <c r="F4294" i="7"/>
  <c r="F3300" i="7"/>
  <c r="F2454" i="7"/>
  <c r="E1996" i="7"/>
  <c r="F2906" i="7"/>
  <c r="F2122" i="7"/>
  <c r="E2555" i="7"/>
  <c r="E1581" i="7"/>
  <c r="F1875" i="7"/>
  <c r="F4872" i="7"/>
  <c r="E1917" i="7"/>
  <c r="E4459" i="7"/>
  <c r="E2590" i="7"/>
  <c r="E2019" i="7"/>
  <c r="E1701" i="7"/>
  <c r="F181" i="7"/>
  <c r="F3329" i="7"/>
  <c r="F995" i="7"/>
  <c r="F411" i="7"/>
  <c r="E2425" i="7"/>
  <c r="E979" i="7"/>
  <c r="F2589" i="7"/>
  <c r="F165" i="7"/>
  <c r="E1595" i="7"/>
  <c r="F229" i="7"/>
  <c r="E1749" i="7"/>
  <c r="F3587" i="7"/>
  <c r="F1381" i="7"/>
  <c r="E125" i="7"/>
  <c r="E2098" i="7"/>
  <c r="F2419" i="7"/>
  <c r="F900" i="7"/>
  <c r="E2375" i="7"/>
  <c r="E300" i="7"/>
  <c r="F1282" i="7"/>
  <c r="F4516" i="7"/>
  <c r="F1589" i="7"/>
  <c r="E532" i="7"/>
  <c r="F1421" i="7"/>
  <c r="F949" i="7"/>
  <c r="E3247" i="7"/>
  <c r="E3713" i="7"/>
  <c r="F2972" i="7"/>
  <c r="F2722" i="7"/>
  <c r="E2321" i="7"/>
  <c r="E3296" i="7"/>
  <c r="E2665" i="7"/>
  <c r="F3894" i="7"/>
  <c r="F2362" i="7"/>
  <c r="F2842" i="7"/>
  <c r="F2023" i="7"/>
  <c r="E4974" i="7"/>
  <c r="F2735" i="7"/>
  <c r="F2173" i="7"/>
  <c r="F2830" i="7"/>
  <c r="E2162" i="7"/>
  <c r="F2340" i="7"/>
  <c r="F3353" i="7"/>
  <c r="E2164" i="7"/>
  <c r="E3558" i="7"/>
  <c r="F779" i="7"/>
  <c r="E2767" i="7"/>
  <c r="F2558" i="7"/>
  <c r="F2844" i="7"/>
  <c r="E3037" i="7"/>
  <c r="F2206" i="7"/>
  <c r="E3982" i="7"/>
  <c r="E3454" i="7"/>
  <c r="F3057" i="7"/>
  <c r="F3190" i="7"/>
  <c r="E2861" i="7"/>
  <c r="E2268" i="7"/>
  <c r="F2190" i="7"/>
  <c r="E1748" i="7"/>
  <c r="F1763" i="7"/>
  <c r="E1068" i="7"/>
  <c r="F3385" i="7"/>
  <c r="F3297" i="7"/>
  <c r="F2898" i="7"/>
  <c r="F2873" i="7"/>
  <c r="F3350" i="7"/>
  <c r="F4897" i="7"/>
  <c r="E3720" i="7"/>
  <c r="E2753" i="7"/>
  <c r="E3873" i="7"/>
  <c r="E3265" i="7"/>
  <c r="F4178" i="7"/>
  <c r="E4070" i="7"/>
  <c r="F4623" i="7"/>
  <c r="F4605" i="7"/>
  <c r="E2889" i="7"/>
  <c r="E4104" i="7"/>
  <c r="F3093" i="7"/>
  <c r="E4971" i="7"/>
  <c r="E4596" i="7"/>
  <c r="F4596" i="7"/>
  <c r="F4696" i="7"/>
  <c r="E4696" i="7"/>
  <c r="E3476" i="7"/>
  <c r="F3476" i="7"/>
  <c r="E4307" i="7"/>
  <c r="F4307" i="7"/>
  <c r="F3609" i="7"/>
  <c r="E4585" i="7"/>
  <c r="F3302" i="7"/>
  <c r="E3354" i="7"/>
  <c r="E3862" i="7"/>
  <c r="E3308" i="7"/>
  <c r="F3855" i="7"/>
  <c r="E2602" i="7"/>
  <c r="E4084" i="7"/>
  <c r="E4798" i="7"/>
  <c r="F3975" i="7"/>
  <c r="F3717" i="7"/>
  <c r="E3379" i="7"/>
  <c r="F3171" i="7"/>
  <c r="F1980" i="7"/>
  <c r="F2197" i="7"/>
  <c r="E2946" i="7"/>
  <c r="E4384" i="7"/>
  <c r="E3114" i="7"/>
  <c r="F2899" i="7"/>
  <c r="F3509" i="7"/>
  <c r="E3401" i="7"/>
  <c r="E3120" i="7"/>
  <c r="F2504" i="7"/>
  <c r="F3766" i="7"/>
  <c r="F3234" i="7"/>
  <c r="F274" i="7"/>
  <c r="F1961" i="7"/>
  <c r="E2930" i="7"/>
  <c r="F2930" i="7"/>
  <c r="E4184" i="7"/>
  <c r="E2779" i="7"/>
  <c r="F3749" i="7"/>
  <c r="E3530" i="7"/>
  <c r="F2951" i="7"/>
  <c r="F2373" i="7"/>
  <c r="F2532" i="7"/>
  <c r="F4747" i="7"/>
  <c r="F3734" i="7"/>
  <c r="F2573" i="7"/>
  <c r="E2545" i="7"/>
  <c r="F2026" i="7"/>
  <c r="F4695" i="7"/>
  <c r="F3874" i="7"/>
  <c r="F2750" i="7"/>
  <c r="E4462" i="7"/>
  <c r="F2822" i="7"/>
  <c r="E2949" i="7"/>
  <c r="F3188" i="7"/>
  <c r="E3711" i="7"/>
  <c r="E3291" i="7"/>
  <c r="F2816" i="7"/>
  <c r="F3069" i="7"/>
  <c r="F1292" i="7"/>
  <c r="F3191" i="7"/>
  <c r="F4374" i="7"/>
  <c r="F3984" i="7"/>
  <c r="E3380" i="7"/>
  <c r="E4259" i="7"/>
  <c r="F3678" i="7"/>
  <c r="F2836" i="7"/>
  <c r="E3586" i="7"/>
  <c r="F3046" i="7"/>
  <c r="F2741" i="7"/>
  <c r="E2225" i="7"/>
  <c r="F3279" i="7"/>
  <c r="F3596" i="7"/>
  <c r="E2509" i="7"/>
  <c r="F3036" i="7"/>
  <c r="F4385" i="7"/>
  <c r="F3442" i="7"/>
  <c r="F3071" i="7"/>
  <c r="E2904" i="7"/>
  <c r="E3410" i="7"/>
  <c r="F3328" i="7"/>
  <c r="E2223" i="7"/>
  <c r="E4807" i="7"/>
  <c r="F3618" i="7"/>
  <c r="F3208" i="7"/>
  <c r="F2647" i="7"/>
  <c r="E3499" i="7"/>
  <c r="F4678" i="7"/>
  <c r="F3804" i="7"/>
  <c r="F3515" i="7"/>
  <c r="F3157" i="7"/>
  <c r="E3782" i="7"/>
  <c r="F3782" i="7"/>
  <c r="F4586" i="7"/>
  <c r="F3634" i="7"/>
  <c r="E4866" i="7"/>
  <c r="F3577" i="7"/>
  <c r="F3344" i="7"/>
  <c r="F2620" i="7"/>
  <c r="F3295" i="7"/>
  <c r="E4379" i="7"/>
  <c r="E4166" i="7"/>
  <c r="F3177" i="7"/>
  <c r="E2958" i="7"/>
  <c r="F4295" i="7"/>
  <c r="F4396" i="7"/>
  <c r="F2557" i="7"/>
  <c r="F4697" i="7"/>
  <c r="F4183" i="7"/>
  <c r="F4286" i="7"/>
  <c r="F3148" i="7"/>
  <c r="F2981" i="7"/>
  <c r="F2832" i="7"/>
  <c r="F3309" i="7"/>
  <c r="E3646" i="7"/>
  <c r="F2570" i="7"/>
  <c r="F2728" i="7"/>
  <c r="F2783" i="7"/>
  <c r="F3716" i="7"/>
  <c r="E3000" i="7"/>
  <c r="F3000" i="7"/>
  <c r="F2790" i="7"/>
  <c r="E3872" i="7"/>
  <c r="F4805" i="7"/>
  <c r="F3498" i="7"/>
  <c r="F3322" i="7"/>
  <c r="F2987" i="7"/>
  <c r="E4495" i="7"/>
  <c r="E3411" i="7"/>
  <c r="E4496" i="7"/>
  <c r="F3240" i="7"/>
  <c r="F3683" i="7"/>
  <c r="F3253" i="7"/>
  <c r="E2559" i="7"/>
  <c r="F3463" i="7"/>
  <c r="E2810" i="7"/>
  <c r="F2810" i="7"/>
  <c r="E3489" i="7"/>
  <c r="F4494" i="7"/>
  <c r="F3695" i="7"/>
  <c r="F3159" i="7"/>
  <c r="F2838" i="7"/>
  <c r="F3085" i="7"/>
  <c r="E4978" i="7"/>
  <c r="F2867" i="7"/>
  <c r="F2679" i="7"/>
  <c r="F4918" i="7"/>
  <c r="E3884" i="7"/>
  <c r="F2659" i="7"/>
  <c r="F3003" i="7"/>
  <c r="F4406" i="7"/>
  <c r="F3458" i="7"/>
  <c r="E2608" i="7"/>
  <c r="E2696" i="7"/>
  <c r="F3203" i="7"/>
  <c r="F4908" i="7"/>
  <c r="E3803" i="7"/>
  <c r="E3096" i="7"/>
  <c r="F3807" i="7"/>
  <c r="E2966" i="7"/>
  <c r="F2686" i="7"/>
  <c r="E4510" i="7"/>
  <c r="E4093" i="7"/>
  <c r="E3998" i="7"/>
  <c r="E2820" i="7"/>
  <c r="F762" i="7"/>
  <c r="F3981" i="7"/>
  <c r="E3981" i="7"/>
  <c r="E4185" i="7"/>
  <c r="F4185" i="7"/>
  <c r="E2525" i="7"/>
  <c r="F2525" i="7"/>
  <c r="E1835" i="7"/>
  <c r="F1835" i="7"/>
  <c r="E2480" i="7"/>
  <c r="F2480" i="7"/>
  <c r="E2028" i="7"/>
  <c r="F2028" i="7"/>
  <c r="E2168" i="7"/>
  <c r="F2168" i="7"/>
  <c r="E2145" i="7"/>
  <c r="F2145" i="7"/>
  <c r="E2271" i="7"/>
  <c r="F2271" i="7"/>
  <c r="E1523" i="7"/>
  <c r="F1523" i="7"/>
  <c r="E115" i="7"/>
  <c r="F115" i="7"/>
  <c r="F4317" i="7"/>
  <c r="E4317" i="7"/>
  <c r="E3422" i="7"/>
  <c r="F3422" i="7"/>
  <c r="F3044" i="7"/>
  <c r="E3044" i="7"/>
  <c r="F4574" i="7"/>
  <c r="E4574" i="7"/>
  <c r="E3006" i="7"/>
  <c r="F3006" i="7"/>
  <c r="E3067" i="7"/>
  <c r="F3067" i="7"/>
  <c r="E2896" i="7"/>
  <c r="F2896" i="7"/>
  <c r="F3641" i="7"/>
  <c r="E3641" i="7"/>
  <c r="E3013" i="7"/>
  <c r="F3013" i="7"/>
  <c r="E4558" i="7"/>
  <c r="F4558" i="7"/>
  <c r="E3228" i="7"/>
  <c r="F3228" i="7"/>
  <c r="E2880" i="7"/>
  <c r="F2880" i="7"/>
  <c r="E3747" i="7"/>
  <c r="F3747" i="7"/>
  <c r="E3064" i="7"/>
  <c r="F3064" i="7"/>
  <c r="E3469" i="7"/>
  <c r="F3469" i="7"/>
  <c r="E2742" i="7"/>
  <c r="F2742" i="7"/>
  <c r="F3298" i="7"/>
  <c r="E3298" i="7"/>
  <c r="F2963" i="7"/>
  <c r="E2963" i="7"/>
  <c r="E2792" i="7"/>
  <c r="F2792" i="7"/>
  <c r="E4014" i="7"/>
  <c r="F4014" i="7"/>
  <c r="E2962" i="7"/>
  <c r="F2962" i="7"/>
  <c r="E2799" i="7"/>
  <c r="F2799" i="7"/>
  <c r="F2100" i="7"/>
  <c r="E2100" i="7"/>
  <c r="E2081" i="7"/>
  <c r="F2081" i="7"/>
  <c r="F140" i="7"/>
  <c r="E140" i="7"/>
  <c r="E3292" i="7"/>
  <c r="F3936" i="7"/>
  <c r="E2520" i="7"/>
  <c r="F2109" i="7"/>
  <c r="F4785" i="7"/>
  <c r="F3937" i="7"/>
  <c r="E4045" i="7"/>
  <c r="E2072" i="7"/>
  <c r="F4649" i="7"/>
  <c r="F4357" i="7"/>
  <c r="F3579" i="7"/>
  <c r="E2623" i="7"/>
  <c r="F4033" i="7"/>
  <c r="F2104" i="7"/>
  <c r="F4669" i="7"/>
  <c r="E3408" i="7"/>
  <c r="E2666" i="7"/>
  <c r="E3650" i="7"/>
  <c r="F1316" i="7"/>
  <c r="F1634" i="7"/>
  <c r="F4322" i="7"/>
  <c r="E4322" i="7"/>
  <c r="F4519" i="7"/>
  <c r="E4519" i="7"/>
  <c r="E4181" i="7"/>
  <c r="F4181" i="7"/>
  <c r="F4759" i="7"/>
  <c r="E4759" i="7"/>
  <c r="E3811" i="7"/>
  <c r="F3811" i="7"/>
  <c r="E3845" i="7"/>
  <c r="F3845" i="7"/>
  <c r="F4449" i="7"/>
  <c r="E4449" i="7"/>
  <c r="E3293" i="7"/>
  <c r="F3293" i="7"/>
  <c r="E4602" i="7"/>
  <c r="F4602" i="7"/>
  <c r="E4560" i="7"/>
  <c r="F4560" i="7"/>
  <c r="F4359" i="7"/>
  <c r="F4620" i="7"/>
  <c r="F4248" i="7"/>
  <c r="E4249" i="7"/>
  <c r="F4546" i="7"/>
  <c r="F3622" i="7"/>
  <c r="E4530" i="7"/>
  <c r="E2300" i="7"/>
  <c r="F4895" i="7"/>
  <c r="E2057" i="7"/>
  <c r="F1627" i="7"/>
  <c r="F4760" i="7"/>
  <c r="E3926" i="7"/>
  <c r="E2843" i="7"/>
  <c r="E1612" i="7"/>
  <c r="E3941" i="7"/>
  <c r="F3941" i="7"/>
  <c r="E2663" i="7"/>
  <c r="F2663" i="7"/>
  <c r="F4208" i="7"/>
  <c r="E4208" i="7"/>
  <c r="E4484" i="7"/>
  <c r="F4484" i="7"/>
  <c r="E4115" i="7"/>
  <c r="F4115" i="7"/>
  <c r="E4869" i="7"/>
  <c r="F4869" i="7"/>
  <c r="E4961" i="7"/>
  <c r="F4961" i="7"/>
  <c r="E4023" i="7"/>
  <c r="F4023" i="7"/>
  <c r="F4635" i="7"/>
  <c r="E4635" i="7"/>
  <c r="E4460" i="7"/>
  <c r="F4460" i="7"/>
  <c r="E4048" i="7"/>
  <c r="F4048" i="7"/>
  <c r="E3600" i="7"/>
  <c r="F3600" i="7"/>
  <c r="E2847" i="7"/>
  <c r="F2847" i="7"/>
  <c r="E2711" i="7"/>
  <c r="F2711" i="7"/>
  <c r="F2668" i="7"/>
  <c r="E2668" i="7"/>
  <c r="E3133" i="7"/>
  <c r="F3133" i="7"/>
  <c r="E2937" i="7"/>
  <c r="F2937" i="7"/>
  <c r="E3573" i="7"/>
  <c r="F3573" i="7"/>
  <c r="F2552" i="7"/>
  <c r="E2552" i="7"/>
  <c r="E3838" i="7"/>
  <c r="F3838" i="7"/>
  <c r="F3780" i="7"/>
  <c r="E3780" i="7"/>
  <c r="E4982" i="7"/>
  <c r="F4982" i="7"/>
  <c r="E3742" i="7"/>
  <c r="F3742" i="7"/>
  <c r="E2533" i="7"/>
  <c r="F2533" i="7"/>
  <c r="E3304" i="7"/>
  <c r="F3304" i="7"/>
  <c r="E3417" i="7"/>
  <c r="F3417" i="7"/>
  <c r="E1899" i="7"/>
  <c r="F1899" i="7"/>
  <c r="F1812" i="7"/>
  <c r="E1812" i="7"/>
  <c r="E2313" i="7"/>
  <c r="F2313" i="7"/>
  <c r="E2142" i="7"/>
  <c r="F2142" i="7"/>
  <c r="E2298" i="7"/>
  <c r="F2298" i="7"/>
  <c r="E2295" i="7"/>
  <c r="F2295" i="7"/>
  <c r="E1692" i="7"/>
  <c r="E3051" i="7"/>
  <c r="E2942" i="7"/>
  <c r="E3235" i="7"/>
  <c r="F291" i="7"/>
  <c r="F4742" i="7"/>
  <c r="E4693" i="7"/>
  <c r="F3443" i="7"/>
  <c r="F4230" i="7"/>
  <c r="E3682" i="7"/>
  <c r="F2805" i="7"/>
  <c r="E2729" i="7"/>
  <c r="E4062" i="7"/>
  <c r="F3544" i="7"/>
  <c r="F1915" i="7"/>
  <c r="E1164" i="7"/>
  <c r="F3241" i="7"/>
  <c r="E2905" i="7"/>
  <c r="F4559" i="7"/>
  <c r="E4137" i="7"/>
  <c r="F3390" i="7"/>
  <c r="F2732" i="7"/>
  <c r="E4584" i="7"/>
  <c r="F4584" i="7"/>
  <c r="F4555" i="7"/>
  <c r="E4555" i="7"/>
  <c r="E2773" i="7"/>
  <c r="F2773" i="7"/>
  <c r="F3584" i="7"/>
  <c r="E3584" i="7"/>
  <c r="F3082" i="7"/>
  <c r="E3082" i="7"/>
  <c r="F4434" i="7"/>
  <c r="E4434" i="7"/>
  <c r="E3698" i="7"/>
  <c r="F3698" i="7"/>
  <c r="E3492" i="7"/>
  <c r="F3492" i="7"/>
  <c r="E3010" i="7"/>
  <c r="F3010" i="7"/>
  <c r="E3710" i="7"/>
  <c r="F3710" i="7"/>
  <c r="E4046" i="7"/>
  <c r="F4046" i="7"/>
  <c r="F3660" i="7"/>
  <c r="E3660" i="7"/>
  <c r="F4039" i="7"/>
  <c r="E4039" i="7"/>
  <c r="F3553" i="7"/>
  <c r="E3553" i="7"/>
  <c r="E2925" i="7"/>
  <c r="F2925" i="7"/>
  <c r="E4470" i="7"/>
  <c r="F4470" i="7"/>
  <c r="F3418" i="7"/>
  <c r="E3418" i="7"/>
  <c r="E3255" i="7"/>
  <c r="F3255" i="7"/>
  <c r="E3311" i="7"/>
  <c r="F3311" i="7"/>
  <c r="E2281" i="7"/>
  <c r="F2281" i="7"/>
  <c r="F4247" i="7"/>
  <c r="E3416" i="7"/>
  <c r="F3887" i="7"/>
  <c r="F2020" i="7"/>
  <c r="F3779" i="7"/>
  <c r="F2276" i="7"/>
  <c r="E3223" i="7"/>
  <c r="E2814" i="7"/>
  <c r="F2421" i="7"/>
  <c r="E3092" i="7"/>
  <c r="F1579" i="7"/>
  <c r="F1802" i="7"/>
  <c r="E4835" i="7"/>
  <c r="F4835" i="7"/>
  <c r="F4720" i="7"/>
  <c r="E4720" i="7"/>
  <c r="F4154" i="7"/>
  <c r="E4154" i="7"/>
  <c r="F4348" i="7"/>
  <c r="E4348" i="7"/>
  <c r="E4990" i="7"/>
  <c r="F4990" i="7"/>
  <c r="E4157" i="7"/>
  <c r="F4157" i="7"/>
  <c r="E3948" i="7"/>
  <c r="F3948" i="7"/>
  <c r="E4871" i="7"/>
  <c r="F4871" i="7"/>
  <c r="F2748" i="7"/>
  <c r="E2748" i="7"/>
  <c r="E3386" i="7"/>
  <c r="F3386" i="7"/>
  <c r="F2760" i="7"/>
  <c r="E2760" i="7"/>
  <c r="F3563" i="7"/>
  <c r="E3563" i="7"/>
  <c r="F3449" i="7"/>
  <c r="E3449" i="7"/>
  <c r="F3919" i="7"/>
  <c r="E3919" i="7"/>
  <c r="E3502" i="7"/>
  <c r="F3502" i="7"/>
  <c r="E4862" i="7"/>
  <c r="F4862" i="7"/>
  <c r="E3693" i="7"/>
  <c r="F3693" i="7"/>
  <c r="E3355" i="7"/>
  <c r="F3355" i="7"/>
  <c r="F3045" i="7"/>
  <c r="E3045" i="7"/>
  <c r="E2849" i="7"/>
  <c r="F2849" i="7"/>
  <c r="F3100" i="7"/>
  <c r="E3100" i="7"/>
  <c r="F3019" i="7"/>
  <c r="E3019" i="7"/>
  <c r="F2848" i="7"/>
  <c r="E2848" i="7"/>
  <c r="E2416" i="7"/>
  <c r="F2416" i="7"/>
  <c r="E2309" i="7"/>
  <c r="F2309" i="7"/>
  <c r="E1908" i="7"/>
  <c r="F1908" i="7"/>
  <c r="E2240" i="7"/>
  <c r="F2240" i="7"/>
  <c r="F1371" i="7"/>
  <c r="E1371" i="7"/>
  <c r="F3673" i="7"/>
  <c r="E4148" i="7"/>
  <c r="E4660" i="7"/>
  <c r="E4350" i="7"/>
  <c r="E2277" i="7"/>
  <c r="E2539" i="7"/>
  <c r="F2758" i="7"/>
  <c r="F4972" i="7"/>
  <c r="F3527" i="7"/>
  <c r="F3222" i="7"/>
  <c r="F2817" i="7"/>
  <c r="E2013" i="7"/>
  <c r="E2161" i="7"/>
  <c r="F4698" i="7"/>
  <c r="E2994" i="7"/>
  <c r="E1044" i="7"/>
  <c r="E3474" i="7"/>
  <c r="F3396" i="7"/>
  <c r="E2621" i="7"/>
  <c r="F2471" i="7"/>
  <c r="F1828" i="7"/>
  <c r="F3121" i="7"/>
  <c r="F3343" i="7"/>
  <c r="E2672" i="7"/>
  <c r="F2723" i="7"/>
  <c r="F2382" i="7"/>
  <c r="E4526" i="7"/>
  <c r="E3640" i="7"/>
  <c r="F3640" i="7"/>
  <c r="F4960" i="7"/>
  <c r="E4960" i="7"/>
  <c r="E3543" i="7"/>
  <c r="F3543" i="7"/>
  <c r="E3777" i="7"/>
  <c r="F3777" i="7"/>
  <c r="E3465" i="7"/>
  <c r="F3465" i="7"/>
  <c r="E3562" i="7"/>
  <c r="F3562" i="7"/>
  <c r="F3781" i="7"/>
  <c r="E3781" i="7"/>
  <c r="E2931" i="7"/>
  <c r="F2931" i="7"/>
  <c r="E3272" i="7"/>
  <c r="F3272" i="7"/>
  <c r="E3392" i="7"/>
  <c r="F3392" i="7"/>
  <c r="E2786" i="7"/>
  <c r="F2786" i="7"/>
  <c r="E3135" i="7"/>
  <c r="F3135" i="7"/>
  <c r="E3594" i="7"/>
  <c r="F3594" i="7"/>
  <c r="E3470" i="7"/>
  <c r="F3470" i="7"/>
  <c r="E3361" i="7"/>
  <c r="F3361" i="7"/>
  <c r="E2743" i="7"/>
  <c r="F2743" i="7"/>
  <c r="F3729" i="7"/>
  <c r="E3729" i="7"/>
  <c r="E3360" i="7"/>
  <c r="F3360" i="7"/>
  <c r="E2257" i="7"/>
  <c r="F2257" i="7"/>
  <c r="E2476" i="7"/>
  <c r="F2476" i="7"/>
  <c r="F2457" i="7"/>
  <c r="E2457" i="7"/>
  <c r="E2278" i="7"/>
  <c r="F2278" i="7"/>
  <c r="E2434" i="7"/>
  <c r="F2434" i="7"/>
  <c r="E1099" i="7"/>
  <c r="F1099" i="7"/>
  <c r="E2440" i="7"/>
  <c r="F2440" i="7"/>
  <c r="F1788" i="7"/>
  <c r="E1788" i="7"/>
  <c r="E589" i="7"/>
  <c r="F589" i="7"/>
  <c r="E1274" i="7"/>
  <c r="F1274" i="7"/>
  <c r="E2444" i="7"/>
  <c r="F2444" i="7"/>
  <c r="E2110" i="7"/>
  <c r="F2110" i="7"/>
  <c r="F2127" i="7"/>
  <c r="E2127" i="7"/>
  <c r="F2266" i="7"/>
  <c r="E2266" i="7"/>
  <c r="E2260" i="7"/>
  <c r="F2260" i="7"/>
  <c r="F2093" i="7"/>
  <c r="E2093" i="7"/>
  <c r="E2438" i="7"/>
  <c r="F2438" i="7"/>
  <c r="E2400" i="7"/>
  <c r="F2400" i="7"/>
  <c r="F1212" i="7"/>
  <c r="E1212" i="7"/>
  <c r="F1220" i="7"/>
  <c r="E1220" i="7"/>
  <c r="F1690" i="7"/>
  <c r="E1690" i="7"/>
  <c r="E932" i="7"/>
  <c r="F932" i="7"/>
  <c r="E1330" i="7"/>
  <c r="F1330" i="7"/>
  <c r="E68" i="7"/>
  <c r="F68" i="7"/>
  <c r="E346" i="7"/>
  <c r="F346" i="7"/>
  <c r="E1291" i="7"/>
  <c r="F1291" i="7"/>
  <c r="E1657" i="7"/>
  <c r="F1657" i="7"/>
  <c r="E860" i="7"/>
  <c r="F860" i="7"/>
  <c r="E1258" i="7"/>
  <c r="F1258" i="7"/>
  <c r="F508" i="7"/>
  <c r="E508" i="7"/>
  <c r="F258" i="7"/>
  <c r="E258" i="7"/>
  <c r="E701" i="7"/>
  <c r="F701" i="7"/>
  <c r="F1841" i="7"/>
  <c r="E1841" i="7"/>
  <c r="E1139" i="7"/>
  <c r="F1139" i="7"/>
  <c r="E627" i="7"/>
  <c r="F627" i="7"/>
  <c r="E930" i="7"/>
  <c r="F930" i="7"/>
  <c r="E180" i="7"/>
  <c r="F180" i="7"/>
  <c r="E506" i="7"/>
  <c r="F506" i="7"/>
  <c r="E1452" i="7"/>
  <c r="F1452" i="7"/>
  <c r="E1922" i="7"/>
  <c r="F1922" i="7"/>
  <c r="E1410" i="7"/>
  <c r="F1410" i="7"/>
  <c r="E652" i="7"/>
  <c r="F652" i="7"/>
  <c r="E747" i="7"/>
  <c r="F747" i="7"/>
  <c r="E1050" i="7"/>
  <c r="F1050" i="7"/>
  <c r="E642" i="7"/>
  <c r="F642" i="7"/>
  <c r="E1331" i="7"/>
  <c r="F1331" i="7"/>
  <c r="E1658" i="7"/>
  <c r="F1658" i="7"/>
  <c r="E1298" i="7"/>
  <c r="F1298" i="7"/>
  <c r="E786" i="7"/>
  <c r="F786" i="7"/>
  <c r="E548" i="7"/>
  <c r="F548" i="7"/>
  <c r="E4108" i="7"/>
  <c r="F4108" i="7"/>
  <c r="F3972" i="7"/>
  <c r="E3972" i="7"/>
  <c r="E4187" i="7"/>
  <c r="F4187" i="7"/>
  <c r="E4860" i="7"/>
  <c r="F4860" i="7"/>
  <c r="E3616" i="7"/>
  <c r="F3616" i="7"/>
  <c r="F4761" i="7"/>
  <c r="E4761" i="7"/>
  <c r="E3149" i="7"/>
  <c r="F3149" i="7"/>
  <c r="E2953" i="7"/>
  <c r="F2953" i="7"/>
  <c r="E4438" i="7"/>
  <c r="F4438" i="7"/>
  <c r="E3094" i="7"/>
  <c r="F3094" i="7"/>
  <c r="E2874" i="7"/>
  <c r="F2874" i="7"/>
  <c r="E3536" i="7"/>
  <c r="F3536" i="7"/>
  <c r="E3475" i="7"/>
  <c r="F3475" i="7"/>
  <c r="E2831" i="7"/>
  <c r="F2831" i="7"/>
  <c r="E3365" i="7"/>
  <c r="F3365" i="7"/>
  <c r="F2612" i="7"/>
  <c r="E2612" i="7"/>
  <c r="F3178" i="7"/>
  <c r="E3178" i="7"/>
  <c r="E3015" i="7"/>
  <c r="F3015" i="7"/>
  <c r="E3184" i="7"/>
  <c r="F3184" i="7"/>
  <c r="E3958" i="7"/>
  <c r="F3958" i="7"/>
  <c r="F2876" i="7"/>
  <c r="E2876" i="7"/>
  <c r="E2540" i="7"/>
  <c r="F2540" i="7"/>
  <c r="E3101" i="7"/>
  <c r="F3101" i="7"/>
  <c r="E2344" i="7"/>
  <c r="F2344" i="7"/>
  <c r="F1188" i="7"/>
  <c r="E1188" i="7"/>
  <c r="E2159" i="7"/>
  <c r="F2159" i="7"/>
  <c r="E2445" i="7"/>
  <c r="F2445" i="7"/>
  <c r="E1428" i="7"/>
  <c r="F1428" i="7"/>
  <c r="F1372" i="7"/>
  <c r="E1372" i="7"/>
  <c r="E2133" i="7"/>
  <c r="F2133" i="7"/>
  <c r="F2495" i="7"/>
  <c r="E2495" i="7"/>
  <c r="F1819" i="7"/>
  <c r="E1819" i="7"/>
  <c r="F2180" i="7"/>
  <c r="E2180" i="7"/>
  <c r="F1995" i="7"/>
  <c r="E1995" i="7"/>
  <c r="E2358" i="7"/>
  <c r="F2358" i="7"/>
  <c r="E2320" i="7"/>
  <c r="F2320" i="7"/>
  <c r="E123" i="7"/>
  <c r="F123" i="7"/>
  <c r="E2216" i="7"/>
  <c r="F2216" i="7"/>
  <c r="E2455" i="7"/>
  <c r="F2455" i="7"/>
  <c r="F2241" i="7"/>
  <c r="E2241" i="7"/>
  <c r="F1363" i="7"/>
  <c r="E1363" i="7"/>
  <c r="E1027" i="7"/>
  <c r="F1027" i="7"/>
  <c r="F818" i="7"/>
  <c r="E818" i="7"/>
  <c r="E179" i="7"/>
  <c r="F179" i="7"/>
  <c r="E141" i="7"/>
  <c r="F141" i="7"/>
  <c r="F1618" i="7"/>
  <c r="E1618" i="7"/>
  <c r="F746" i="7"/>
  <c r="E746" i="7"/>
  <c r="E26" i="7"/>
  <c r="F26" i="7"/>
  <c r="E107" i="7"/>
  <c r="F107" i="7"/>
  <c r="F4344" i="7"/>
  <c r="E3359" i="7"/>
  <c r="F3086" i="7"/>
  <c r="E2478" i="7"/>
  <c r="E2082" i="7"/>
  <c r="E3761" i="7"/>
  <c r="E2609" i="7"/>
  <c r="E3462" i="7"/>
  <c r="F3531" i="7"/>
  <c r="F2637" i="7"/>
  <c r="F605" i="7"/>
  <c r="F636" i="7"/>
  <c r="F884" i="7"/>
  <c r="F1906" i="7"/>
  <c r="F626" i="7"/>
  <c r="E290" i="7"/>
  <c r="E395" i="7"/>
  <c r="F731" i="7"/>
  <c r="F1034" i="7"/>
  <c r="E1034" i="7"/>
  <c r="E284" i="7"/>
  <c r="F284" i="7"/>
  <c r="E1681" i="7"/>
  <c r="F1681" i="7"/>
  <c r="E770" i="7"/>
  <c r="F770" i="7"/>
  <c r="E282" i="7"/>
  <c r="F282" i="7"/>
  <c r="E253" i="7"/>
  <c r="F253" i="7"/>
  <c r="E845" i="7"/>
  <c r="F845" i="7"/>
  <c r="F741" i="7"/>
  <c r="E741" i="7"/>
  <c r="E314" i="7"/>
  <c r="F314" i="7"/>
  <c r="E493" i="7"/>
  <c r="F493" i="7"/>
  <c r="E1394" i="7"/>
  <c r="F1394" i="7"/>
  <c r="F131" i="7"/>
  <c r="E147" i="7"/>
  <c r="E1148" i="7"/>
  <c r="E397" i="7"/>
  <c r="E1315" i="7"/>
  <c r="E1642" i="7"/>
  <c r="F306" i="7"/>
  <c r="F4346" i="7"/>
  <c r="E4370" i="7"/>
  <c r="E4938" i="7"/>
  <c r="E3551" i="7"/>
  <c r="E4557" i="7"/>
  <c r="F3836" i="7"/>
  <c r="F4694" i="7"/>
  <c r="E3680" i="7"/>
  <c r="F2718" i="7"/>
  <c r="F4409" i="7"/>
  <c r="E4343" i="7"/>
  <c r="E2762" i="7"/>
  <c r="E4731" i="7"/>
  <c r="F4655" i="7"/>
  <c r="F2641" i="7"/>
  <c r="F4921" i="7"/>
  <c r="E4394" i="7"/>
  <c r="F4842" i="7"/>
  <c r="F3593" i="7"/>
  <c r="F4899" i="7"/>
  <c r="F4072" i="7"/>
  <c r="E3986" i="7"/>
  <c r="F4448" i="7"/>
  <c r="E4582" i="7"/>
  <c r="E4138" i="7"/>
  <c r="E4383" i="7"/>
  <c r="F2983" i="7"/>
  <c r="E3480" i="7"/>
  <c r="E4544" i="7"/>
  <c r="F4258" i="7"/>
  <c r="E3805" i="7"/>
  <c r="F4829" i="7"/>
  <c r="F4099" i="7"/>
  <c r="E4273" i="7"/>
  <c r="E4956" i="7"/>
  <c r="E4032" i="7"/>
  <c r="E4855" i="7"/>
  <c r="E4444" i="7"/>
  <c r="F4141" i="7"/>
  <c r="F3288" i="7"/>
  <c r="F3978" i="7"/>
  <c r="E5007" i="7"/>
  <c r="E2961" i="7"/>
  <c r="E2924" i="7"/>
  <c r="E4611" i="7"/>
  <c r="E4423" i="7"/>
  <c r="E4502" i="7"/>
  <c r="F4313" i="7"/>
  <c r="F3762" i="7"/>
  <c r="F3032" i="7"/>
  <c r="E3627" i="7"/>
  <c r="E4621" i="7"/>
  <c r="F4000" i="7"/>
  <c r="F3798" i="7"/>
  <c r="F4538" i="7"/>
  <c r="F3909" i="7"/>
  <c r="E4168" i="7"/>
  <c r="E4139" i="7"/>
  <c r="F4143" i="7"/>
  <c r="E4933" i="7"/>
  <c r="E4293" i="7"/>
  <c r="E4939" i="7"/>
  <c r="E4296" i="7"/>
  <c r="E4653" i="7"/>
  <c r="F3707" i="7"/>
  <c r="F3260" i="7"/>
  <c r="E4485" i="7"/>
  <c r="E3244" i="7"/>
  <c r="E4702" i="7"/>
  <c r="F4511" i="7"/>
  <c r="E4687" i="7"/>
  <c r="E4597" i="7"/>
  <c r="F4004" i="7"/>
  <c r="F4554" i="7"/>
  <c r="F4146" i="7"/>
  <c r="F5005" i="7"/>
  <c r="E4488" i="7"/>
  <c r="F4287" i="7"/>
  <c r="F4065" i="7"/>
  <c r="E4175" i="7"/>
  <c r="E4616" i="7"/>
  <c r="E4042" i="7"/>
  <c r="E4819" i="7"/>
  <c r="F4311" i="7"/>
  <c r="F4371" i="7"/>
  <c r="F3373" i="7"/>
  <c r="F4531" i="7"/>
  <c r="F4810" i="7"/>
  <c r="F3876" i="7"/>
  <c r="F4314" i="7"/>
  <c r="E4900" i="7"/>
  <c r="E4981" i="7"/>
  <c r="F4826" i="7"/>
  <c r="E4402" i="7"/>
  <c r="F4388" i="7"/>
  <c r="F4570" i="7"/>
  <c r="F4203" i="7"/>
  <c r="F4822" i="7"/>
  <c r="F4006" i="7"/>
  <c r="F4715" i="7"/>
  <c r="E3605" i="7"/>
  <c r="F4162" i="7"/>
  <c r="F4106" i="7"/>
  <c r="F2683" i="7"/>
  <c r="F3966" i="7"/>
  <c r="E3065" i="7"/>
  <c r="E2170" i="7"/>
  <c r="F4566" i="7"/>
  <c r="F2851" i="7"/>
  <c r="E2138" i="7"/>
  <c r="F1860" i="7"/>
  <c r="F4476" i="7"/>
  <c r="F4906" i="7"/>
  <c r="F2477" i="7"/>
  <c r="F2247" i="7"/>
  <c r="F3316" i="7"/>
  <c r="E419" i="7"/>
  <c r="E196" i="7"/>
  <c r="F4946" i="7"/>
  <c r="E4142" i="7"/>
  <c r="E2610" i="7"/>
  <c r="F3603" i="7"/>
  <c r="F3024" i="7"/>
  <c r="F2569" i="7"/>
  <c r="F2009" i="7"/>
  <c r="E2181" i="7"/>
  <c r="E4066" i="7"/>
  <c r="E2920" i="7"/>
  <c r="F2521" i="7"/>
  <c r="F2765" i="7"/>
  <c r="E4686" i="7"/>
  <c r="E3659" i="7"/>
  <c r="F3090" i="7"/>
  <c r="E2297" i="7"/>
  <c r="F3277" i="7"/>
  <c r="E2914" i="7"/>
  <c r="F1195" i="7"/>
  <c r="F3141" i="7"/>
  <c r="F2052" i="7"/>
  <c r="F1364" i="7"/>
  <c r="F917" i="7"/>
  <c r="F245" i="7"/>
  <c r="E988" i="7"/>
  <c r="F898" i="7"/>
  <c r="E1058" i="7"/>
  <c r="F2316" i="7"/>
  <c r="E3008" i="7"/>
  <c r="E2547" i="7"/>
  <c r="E2288" i="7"/>
  <c r="F3701" i="7"/>
  <c r="E3195" i="7"/>
  <c r="F1205" i="7"/>
  <c r="F173" i="7"/>
  <c r="F876" i="7"/>
  <c r="F2959" i="7"/>
  <c r="E45" i="7"/>
  <c r="E1770" i="7"/>
  <c r="E523" i="7"/>
  <c r="F1561" i="7"/>
  <c r="F3602" i="7"/>
  <c r="F4054" i="7"/>
  <c r="E3630" i="7"/>
  <c r="F3310" i="7"/>
  <c r="E3179" i="7"/>
  <c r="E2774" i="7"/>
  <c r="F2397" i="7"/>
  <c r="E2317" i="7"/>
  <c r="F4267" i="7"/>
  <c r="E1876" i="7"/>
  <c r="F124" i="7"/>
  <c r="F4598" i="7"/>
  <c r="E3495" i="7"/>
  <c r="E1859" i="7"/>
  <c r="E4642" i="7"/>
  <c r="E3715" i="7"/>
  <c r="F3192" i="7"/>
  <c r="F301" i="7"/>
  <c r="F914" i="7"/>
  <c r="F85" i="7"/>
  <c r="E1141" i="7"/>
  <c r="E2148" i="7"/>
  <c r="E2945" i="7"/>
  <c r="E2927" i="7"/>
  <c r="F4173" i="7"/>
  <c r="F3485" i="7"/>
  <c r="F3483" i="7"/>
  <c r="E3124" i="7"/>
  <c r="F2494" i="7"/>
  <c r="E3473" i="7"/>
  <c r="E3516" i="7"/>
  <c r="F3306" i="7"/>
  <c r="E2172" i="7"/>
  <c r="E3688" i="7"/>
  <c r="F2033" i="7"/>
  <c r="F2667" i="7"/>
  <c r="F4643" i="7"/>
  <c r="E4358" i="7"/>
  <c r="E2919" i="7"/>
  <c r="F3778" i="7"/>
  <c r="E2692" i="7"/>
  <c r="E2312" i="7"/>
  <c r="E3827" i="7"/>
  <c r="E2299" i="7"/>
  <c r="E1571" i="7"/>
  <c r="F875" i="7"/>
  <c r="F69" i="7"/>
  <c r="F1253" i="7"/>
  <c r="F3824" i="7"/>
  <c r="F3238" i="7"/>
  <c r="F3436" i="7"/>
  <c r="F2712" i="7"/>
  <c r="E3076" i="7"/>
  <c r="F3784" i="7"/>
  <c r="F3866" i="7"/>
  <c r="F3964" i="7"/>
  <c r="F3620" i="7"/>
  <c r="E3484" i="7"/>
  <c r="E3138" i="7"/>
  <c r="F4647" i="7"/>
  <c r="F4884" i="7"/>
  <c r="E4685" i="7"/>
  <c r="F4445" i="7"/>
  <c r="E2702" i="7"/>
  <c r="E4612" i="7"/>
  <c r="F4021" i="7"/>
  <c r="F3529" i="7"/>
  <c r="F4848" i="7"/>
  <c r="E4265" i="7"/>
  <c r="E3946" i="7"/>
  <c r="E4454" i="7"/>
  <c r="E4100" i="7"/>
  <c r="F4025" i="7"/>
  <c r="F4983" i="7"/>
  <c r="E3078" i="7"/>
  <c r="F4207" i="7"/>
  <c r="E3523" i="7"/>
  <c r="F1261" i="7"/>
  <c r="F3552" i="7"/>
  <c r="F1869" i="7"/>
  <c r="F4772" i="7"/>
  <c r="F4671" i="7"/>
  <c r="F4781" i="7"/>
  <c r="E4957" i="7"/>
  <c r="E3960" i="7"/>
  <c r="E4984" i="7"/>
  <c r="E4607" i="7"/>
  <c r="E4233" i="7"/>
  <c r="F4277" i="7"/>
  <c r="F2782" i="7"/>
  <c r="F3204" i="7"/>
  <c r="F4856" i="7"/>
  <c r="E4499" i="7"/>
  <c r="E4965" i="7"/>
  <c r="F3669" i="7"/>
  <c r="F677" i="7"/>
  <c r="F2642" i="7"/>
  <c r="F260" i="7"/>
  <c r="E1572" i="7"/>
  <c r="E659" i="7"/>
  <c r="F323" i="7"/>
  <c r="E4924" i="7"/>
  <c r="F4913" i="7"/>
  <c r="F4375" i="7"/>
  <c r="F4135" i="7"/>
  <c r="F3139" i="7"/>
  <c r="F4888" i="7"/>
  <c r="F3973" i="7"/>
  <c r="F3122" i="7"/>
  <c r="F3261" i="7"/>
  <c r="F2975" i="7"/>
  <c r="F2976" i="7"/>
  <c r="F2794" i="7"/>
  <c r="F2149" i="7"/>
  <c r="F3351" i="7"/>
  <c r="F2367" i="7"/>
  <c r="E4999" i="7"/>
  <c r="F3444" i="7"/>
  <c r="F2819" i="7"/>
  <c r="F1060" i="7"/>
  <c r="F1740" i="7"/>
  <c r="F4336" i="7"/>
  <c r="F3750" i="7"/>
  <c r="F4887" i="7"/>
  <c r="F3655" i="7"/>
  <c r="E4190" i="7"/>
  <c r="F3604" i="7"/>
  <c r="F3147" i="7"/>
  <c r="E2908" i="7"/>
  <c r="F2933" i="7"/>
  <c r="F2484" i="7"/>
  <c r="F1492" i="7"/>
  <c r="E4821" i="7"/>
  <c r="F3681" i="7"/>
  <c r="F2310" i="7"/>
  <c r="F2113" i="7"/>
  <c r="E2132" i="7"/>
  <c r="F4309" i="7"/>
  <c r="E2153" i="7"/>
  <c r="F2150" i="7"/>
  <c r="F2800" i="7"/>
  <c r="E4107" i="7"/>
  <c r="F3432" i="7"/>
  <c r="E1795" i="7"/>
  <c r="E2465" i="7"/>
  <c r="F1012" i="7"/>
  <c r="E3143" i="7"/>
  <c r="F4076" i="7"/>
  <c r="E3691" i="7"/>
  <c r="F3875" i="7"/>
  <c r="F3034" i="7"/>
  <c r="E2737" i="7"/>
  <c r="F2152" i="7"/>
  <c r="F3696" i="7"/>
  <c r="E4699" i="7"/>
  <c r="E2579" i="7"/>
  <c r="E4788" i="7"/>
  <c r="E3831" i="7"/>
  <c r="F2926" i="7"/>
  <c r="E5008" i="7"/>
  <c r="E3457" i="7"/>
  <c r="F2306" i="7"/>
  <c r="F1785" i="7"/>
  <c r="E4283" i="7"/>
  <c r="F4283" i="7"/>
  <c r="E4797" i="7"/>
  <c r="F4797" i="7"/>
  <c r="E2974" i="7"/>
  <c r="F2974" i="7"/>
  <c r="E3398" i="7"/>
  <c r="F3398" i="7"/>
  <c r="E2493" i="7"/>
  <c r="F2493" i="7"/>
  <c r="E1977" i="7"/>
  <c r="F1977" i="7"/>
  <c r="E507" i="7"/>
  <c r="F507" i="7"/>
  <c r="E1083" i="7"/>
  <c r="F1083" i="7"/>
  <c r="F1386" i="7"/>
  <c r="E1386" i="7"/>
  <c r="F874" i="7"/>
  <c r="E874" i="7"/>
  <c r="E426" i="7"/>
  <c r="F426" i="7"/>
  <c r="E1930" i="7"/>
  <c r="F1930" i="7"/>
  <c r="E1418" i="7"/>
  <c r="F1418" i="7"/>
  <c r="E660" i="7"/>
  <c r="F660" i="7"/>
  <c r="E308" i="7"/>
  <c r="F308" i="7"/>
  <c r="E650" i="7"/>
  <c r="F650" i="7"/>
  <c r="E1580" i="7"/>
  <c r="F1580" i="7"/>
  <c r="E1538" i="7"/>
  <c r="F1538" i="7"/>
  <c r="F1786" i="7"/>
  <c r="E1786" i="7"/>
  <c r="E1522" i="7"/>
  <c r="F1522" i="7"/>
  <c r="F859" i="7"/>
  <c r="E859" i="7"/>
  <c r="E1809" i="7"/>
  <c r="F1809" i="7"/>
  <c r="E595" i="7"/>
  <c r="F595" i="7"/>
  <c r="E259" i="7"/>
  <c r="F259" i="7"/>
  <c r="E261" i="7"/>
  <c r="F261" i="7"/>
  <c r="F4160" i="7"/>
  <c r="E4160" i="7"/>
  <c r="E4581" i="7"/>
  <c r="F4581" i="7"/>
  <c r="E4271" i="7"/>
  <c r="F4271" i="7"/>
  <c r="E4236" i="7"/>
  <c r="F4236" i="7"/>
  <c r="E3889" i="7"/>
  <c r="F3889" i="7"/>
  <c r="E3899" i="7"/>
  <c r="F3899" i="7"/>
  <c r="E4174" i="7"/>
  <c r="F4174" i="7"/>
  <c r="E3517" i="7"/>
  <c r="F3517" i="7"/>
  <c r="E3312" i="7"/>
  <c r="F3312" i="7"/>
  <c r="E2828" i="7"/>
  <c r="F2828" i="7"/>
  <c r="E4654" i="7"/>
  <c r="F4654" i="7"/>
  <c r="E2578" i="7"/>
  <c r="F2578" i="7"/>
  <c r="E715" i="7"/>
  <c r="F715" i="7"/>
  <c r="E2329" i="7"/>
  <c r="F2329" i="7"/>
  <c r="E187" i="7"/>
  <c r="F187" i="7"/>
  <c r="E1204" i="7"/>
  <c r="F1204" i="7"/>
  <c r="E1179" i="7"/>
  <c r="F1179" i="7"/>
  <c r="E643" i="7"/>
  <c r="F643" i="7"/>
  <c r="F946" i="7"/>
  <c r="E946" i="7"/>
  <c r="F5006" i="7"/>
  <c r="F3690" i="7"/>
  <c r="F3533" i="7"/>
  <c r="F2327" i="7"/>
  <c r="F3801" i="7"/>
  <c r="F3846" i="7"/>
  <c r="F3439" i="7"/>
  <c r="F4064" i="7"/>
  <c r="E3632" i="7"/>
  <c r="F3879" i="7"/>
  <c r="E3249" i="7"/>
  <c r="E2661" i="7"/>
  <c r="F2482" i="7"/>
  <c r="F2143" i="7"/>
  <c r="F4777" i="7"/>
  <c r="F4627" i="7"/>
  <c r="E4047" i="7"/>
  <c r="F3864" i="7"/>
  <c r="F2629" i="7"/>
  <c r="F1956" i="7"/>
  <c r="F780" i="7"/>
  <c r="F4673" i="7"/>
  <c r="E4276" i="7"/>
  <c r="E3356" i="7"/>
  <c r="F3863" i="7"/>
  <c r="F2599" i="7"/>
  <c r="E2282" i="7"/>
  <c r="E3033" i="7"/>
  <c r="F2506" i="7"/>
  <c r="F2230" i="7"/>
  <c r="E4086" i="7"/>
  <c r="F3865" i="7"/>
  <c r="F2622" i="7"/>
  <c r="F3426" i="7"/>
  <c r="F3369" i="7"/>
  <c r="F2031" i="7"/>
  <c r="F684" i="7"/>
  <c r="F2553" i="7"/>
  <c r="E4376" i="7"/>
  <c r="F1178" i="7"/>
  <c r="F1746" i="7"/>
  <c r="E539" i="7"/>
  <c r="E2980" i="7"/>
  <c r="F2980" i="7"/>
  <c r="E2700" i="7"/>
  <c r="F2700" i="7"/>
  <c r="E3254" i="7"/>
  <c r="F3254" i="7"/>
  <c r="E1603" i="7"/>
  <c r="F1603" i="7"/>
  <c r="E2326" i="7"/>
  <c r="F2326" i="7"/>
  <c r="E1755" i="7"/>
  <c r="F1755" i="7"/>
  <c r="E1338" i="7"/>
  <c r="F1338" i="7"/>
  <c r="E1443" i="7"/>
  <c r="F1443" i="7"/>
  <c r="E1348" i="7"/>
  <c r="F1348" i="7"/>
  <c r="F3102" i="7"/>
  <c r="F2630" i="7"/>
  <c r="F2626" i="7"/>
  <c r="F2463" i="7"/>
  <c r="F2350" i="7"/>
  <c r="F2456" i="7"/>
  <c r="F3878" i="7"/>
  <c r="F3608" i="7"/>
  <c r="E2871" i="7"/>
  <c r="F2660" i="7"/>
  <c r="F2488" i="7"/>
  <c r="F2003" i="7"/>
  <c r="F1172" i="7"/>
  <c r="F3933" i="7"/>
  <c r="E4889" i="7"/>
  <c r="F3482" i="7"/>
  <c r="F4082" i="7"/>
  <c r="E3363" i="7"/>
  <c r="E3091" i="7"/>
  <c r="F3059" i="7"/>
  <c r="F2577" i="7"/>
  <c r="F3788" i="7"/>
  <c r="E4479" i="7"/>
  <c r="F3236" i="7"/>
  <c r="F4576" i="7"/>
  <c r="F4200" i="7"/>
  <c r="E2857" i="7"/>
  <c r="E3052" i="7"/>
  <c r="F2534" i="7"/>
  <c r="F1836" i="7"/>
  <c r="E4748" i="7"/>
  <c r="F2839" i="7"/>
  <c r="F4870" i="7"/>
  <c r="F3400" i="7"/>
  <c r="F4377" i="7"/>
  <c r="F235" i="7"/>
  <c r="F474" i="7"/>
  <c r="E4250" i="7"/>
  <c r="F4250" i="7"/>
  <c r="F4372" i="7"/>
  <c r="E4372" i="7"/>
  <c r="E2726" i="7"/>
  <c r="F2726" i="7"/>
  <c r="E4498" i="7"/>
  <c r="F4498" i="7"/>
  <c r="E4646" i="7"/>
  <c r="F4646" i="7"/>
  <c r="E4588" i="7"/>
  <c r="F4588" i="7"/>
  <c r="E4487" i="7"/>
  <c r="F4487" i="7"/>
  <c r="E2916" i="7"/>
  <c r="F2916" i="7"/>
  <c r="E2888" i="7"/>
  <c r="F2888" i="7"/>
  <c r="E2167" i="7"/>
  <c r="F2167" i="7"/>
  <c r="E2229" i="7"/>
  <c r="F2229" i="7"/>
  <c r="F1698" i="7"/>
  <c r="E1698" i="7"/>
  <c r="E2386" i="7"/>
  <c r="F2386" i="7"/>
  <c r="F1818" i="7"/>
  <c r="E1818" i="7"/>
  <c r="F4067" i="7"/>
  <c r="F2862" i="7"/>
  <c r="F4478" i="7"/>
  <c r="F3871" i="7"/>
  <c r="E4783" i="7"/>
  <c r="E4285" i="7"/>
  <c r="E1332" i="7"/>
  <c r="F4666" i="7"/>
  <c r="E4401" i="7"/>
  <c r="F3561" i="7"/>
  <c r="E3174" i="7"/>
  <c r="F2631" i="7"/>
  <c r="E1772" i="7"/>
  <c r="E2343" i="7"/>
  <c r="E4712" i="7"/>
  <c r="E2965" i="7"/>
  <c r="F2734" i="7"/>
  <c r="E2522" i="7"/>
  <c r="F4688" i="7"/>
  <c r="E3471" i="7"/>
  <c r="E3081" i="7"/>
  <c r="E1155" i="7"/>
  <c r="F1419" i="7"/>
  <c r="F164" i="7"/>
  <c r="F379" i="7"/>
  <c r="E418" i="7"/>
  <c r="F2043" i="7"/>
  <c r="F2091" i="7"/>
  <c r="F117" i="7"/>
  <c r="E4234" i="7"/>
  <c r="F3687" i="7"/>
  <c r="E4481" i="7"/>
  <c r="E4282" i="7"/>
  <c r="E4896" i="7"/>
  <c r="F4455" i="7"/>
  <c r="E4917" i="7"/>
  <c r="E3969" i="7"/>
  <c r="F4073" i="7"/>
  <c r="F4284" i="7"/>
  <c r="F3519" i="7"/>
  <c r="F2740" i="7"/>
  <c r="F3931" i="7"/>
  <c r="F4299" i="7"/>
  <c r="F4253" i="7"/>
  <c r="F4796" i="7"/>
  <c r="E3908" i="7"/>
  <c r="F3898" i="7"/>
  <c r="F4591" i="7"/>
  <c r="E4556" i="7"/>
  <c r="F4493" i="7"/>
  <c r="F4319" i="7"/>
  <c r="F4117" i="7"/>
  <c r="F4721" i="7"/>
  <c r="F3859" i="7"/>
  <c r="F4262" i="7"/>
  <c r="E4381" i="7"/>
  <c r="F2515" i="7"/>
  <c r="F3746" i="7"/>
  <c r="F3595" i="7"/>
  <c r="F2969" i="7"/>
  <c r="E2796" i="7"/>
  <c r="F4410" i="7"/>
  <c r="E2687" i="7"/>
  <c r="F2431" i="7"/>
  <c r="E3132" i="7"/>
  <c r="E4126" i="7"/>
  <c r="F4421" i="7"/>
  <c r="E4245" i="7"/>
  <c r="E1756" i="7"/>
  <c r="F3197" i="7"/>
  <c r="F2730" i="7"/>
  <c r="E1091" i="7"/>
  <c r="F4110" i="7"/>
  <c r="E3556" i="7"/>
  <c r="E3626" i="7"/>
  <c r="E2018" i="7"/>
  <c r="F4386" i="7"/>
  <c r="E2036" i="7"/>
  <c r="F2807" i="7"/>
  <c r="E1868" i="7"/>
  <c r="F3425" i="7"/>
  <c r="F5004" i="7"/>
  <c r="E3450" i="7"/>
  <c r="F3664" i="7"/>
  <c r="E2280" i="7"/>
  <c r="F2214" i="7"/>
  <c r="F579" i="7"/>
  <c r="E4412" i="7"/>
  <c r="F3382" i="7"/>
  <c r="E2097" i="7"/>
  <c r="F3362" i="7"/>
  <c r="F3539" i="7"/>
  <c r="E2361" i="7"/>
  <c r="F1284" i="7"/>
  <c r="F4242" i="7"/>
  <c r="F3079" i="7"/>
  <c r="F2944" i="7"/>
  <c r="E1307" i="7"/>
  <c r="F1276" i="7"/>
  <c r="E3026" i="7"/>
  <c r="E4071" i="7"/>
  <c r="E2040" i="7"/>
  <c r="F2407" i="7"/>
  <c r="E4724" i="7"/>
  <c r="F3083" i="7"/>
  <c r="E3583" i="7"/>
  <c r="E3737" i="7"/>
  <c r="F3326" i="7"/>
  <c r="F3332" i="7"/>
  <c r="E3333" i="7"/>
  <c r="E2234" i="7"/>
  <c r="F2046" i="7"/>
  <c r="F1667" i="7"/>
  <c r="F3902" i="7"/>
  <c r="F1404" i="7"/>
  <c r="F171" i="7"/>
  <c r="F3538" i="7"/>
  <c r="F2856" i="7"/>
  <c r="E2202" i="7"/>
  <c r="F2998" i="7"/>
  <c r="E2627" i="7"/>
  <c r="F2824" i="7"/>
  <c r="E2653" i="7"/>
  <c r="E1708" i="7"/>
  <c r="F2793" i="7"/>
  <c r="F3319" i="7"/>
  <c r="F2960" i="7"/>
  <c r="F1939" i="7"/>
  <c r="E4638" i="7"/>
  <c r="F3115" i="7"/>
  <c r="E4858" i="7"/>
  <c r="F4212" i="7"/>
  <c r="F4838" i="7"/>
  <c r="F2736" i="7"/>
  <c r="F4524" i="7"/>
  <c r="F3774" i="7"/>
  <c r="E2606" i="7"/>
  <c r="E2370" i="7"/>
  <c r="E3990" i="7"/>
  <c r="F2231" i="7"/>
  <c r="E3792" i="7"/>
  <c r="E2518" i="7"/>
  <c r="E2256" i="7"/>
  <c r="F1300" i="7"/>
  <c r="E3540" i="7"/>
  <c r="E3508" i="7"/>
  <c r="E810" i="7"/>
  <c r="F882" i="7"/>
  <c r="E362" i="7"/>
  <c r="F4713" i="7"/>
  <c r="E4713" i="7"/>
  <c r="E3285" i="7"/>
  <c r="F3285" i="7"/>
  <c r="F3850" i="7"/>
  <c r="E3850" i="7"/>
  <c r="E4824" i="7"/>
  <c r="F4824" i="7"/>
  <c r="E3815" i="7"/>
  <c r="F3815" i="7"/>
  <c r="E2988" i="7"/>
  <c r="F2988" i="7"/>
  <c r="E2701" i="7"/>
  <c r="F2701" i="7"/>
  <c r="E2619" i="7"/>
  <c r="F2619" i="7"/>
  <c r="E3017" i="7"/>
  <c r="F3017" i="7"/>
  <c r="E3423" i="7"/>
  <c r="F3423" i="7"/>
  <c r="E2565" i="7"/>
  <c r="F2565" i="7"/>
  <c r="E2881" i="7"/>
  <c r="F2881" i="7"/>
  <c r="E2895" i="7"/>
  <c r="F2895" i="7"/>
  <c r="E3325" i="7"/>
  <c r="F3325" i="7"/>
  <c r="E3617" i="7"/>
  <c r="F3617" i="7"/>
  <c r="E3686" i="7"/>
  <c r="F3686" i="7"/>
  <c r="E3419" i="7"/>
  <c r="F3419" i="7"/>
  <c r="E3714" i="7"/>
  <c r="F3714" i="7"/>
  <c r="E1506" i="7"/>
  <c r="F1506" i="7"/>
  <c r="E1427" i="7"/>
  <c r="F1427" i="7"/>
  <c r="E1754" i="7"/>
  <c r="F1754" i="7"/>
  <c r="F132" i="7"/>
  <c r="E132" i="7"/>
  <c r="E442" i="7"/>
  <c r="F442" i="7"/>
  <c r="F1682" i="7"/>
  <c r="E1682" i="7"/>
  <c r="F1019" i="7"/>
  <c r="E1019" i="7"/>
  <c r="E1322" i="7"/>
  <c r="F1322" i="7"/>
  <c r="E338" i="7"/>
  <c r="F338" i="7"/>
  <c r="E1866" i="7"/>
  <c r="F1866" i="7"/>
  <c r="E1905" i="7"/>
  <c r="F1905" i="7"/>
  <c r="F586" i="7"/>
  <c r="E586" i="7"/>
  <c r="E1516" i="7"/>
  <c r="F1516" i="7"/>
  <c r="E1659" i="7"/>
  <c r="F1659" i="7"/>
  <c r="E1474" i="7"/>
  <c r="F1474" i="7"/>
  <c r="E716" i="7"/>
  <c r="F716" i="7"/>
  <c r="F811" i="7"/>
  <c r="E811" i="7"/>
  <c r="E1114" i="7"/>
  <c r="F1114" i="7"/>
  <c r="E364" i="7"/>
  <c r="F364" i="7"/>
  <c r="E475" i="7"/>
  <c r="F475" i="7"/>
  <c r="E706" i="7"/>
  <c r="F706" i="7"/>
  <c r="E1722" i="7"/>
  <c r="F1722" i="7"/>
  <c r="F4517" i="7"/>
  <c r="E4517" i="7"/>
  <c r="E3598" i="7"/>
  <c r="F3598" i="7"/>
  <c r="F4757" i="7"/>
  <c r="E4757" i="7"/>
  <c r="F4959" i="7"/>
  <c r="E4959" i="7"/>
  <c r="E4950" i="7"/>
  <c r="F4950" i="7"/>
  <c r="F4109" i="7"/>
  <c r="E4109" i="7"/>
  <c r="E4198" i="7"/>
  <c r="F4198" i="7"/>
  <c r="E4803" i="7"/>
  <c r="F4803" i="7"/>
  <c r="E4111" i="7"/>
  <c r="F4111" i="7"/>
  <c r="E4891" i="7"/>
  <c r="F4891" i="7"/>
  <c r="F4221" i="7"/>
  <c r="E4221" i="7"/>
  <c r="E4012" i="7"/>
  <c r="F4012" i="7"/>
  <c r="E3131" i="7"/>
  <c r="F3131" i="7"/>
  <c r="E3472" i="7"/>
  <c r="F3472" i="7"/>
  <c r="E3393" i="7"/>
  <c r="F3393" i="7"/>
  <c r="E2603" i="7"/>
  <c r="F2603" i="7"/>
  <c r="E3001" i="7"/>
  <c r="F3001" i="7"/>
  <c r="E3185" i="7"/>
  <c r="F3185" i="7"/>
  <c r="E2616" i="7"/>
  <c r="F2616" i="7"/>
  <c r="E1993" i="7"/>
  <c r="F1993" i="7"/>
  <c r="E2212" i="7"/>
  <c r="F2212" i="7"/>
  <c r="E1963" i="7"/>
  <c r="F1963" i="7"/>
  <c r="E2034" i="7"/>
  <c r="F2034" i="7"/>
  <c r="E1018" i="7"/>
  <c r="F1018" i="7"/>
  <c r="E2017" i="7"/>
  <c r="F2017" i="7"/>
  <c r="E1459" i="7"/>
  <c r="F1459" i="7"/>
  <c r="E2236" i="7"/>
  <c r="F2236" i="7"/>
  <c r="F971" i="7"/>
  <c r="E971" i="7"/>
  <c r="E2213" i="7"/>
  <c r="F2213" i="7"/>
  <c r="E2063" i="7"/>
  <c r="F2063" i="7"/>
  <c r="E1707" i="7"/>
  <c r="F1707" i="7"/>
  <c r="E2196" i="7"/>
  <c r="F2196" i="7"/>
  <c r="E2029" i="7"/>
  <c r="F2029" i="7"/>
  <c r="E1146" i="7"/>
  <c r="F1146" i="7"/>
  <c r="F4312" i="7"/>
  <c r="E3287" i="7"/>
  <c r="E4893" i="7"/>
  <c r="F4684" i="7"/>
  <c r="E4624" i="7"/>
  <c r="F3757" i="7"/>
  <c r="E2461" i="7"/>
  <c r="F2177" i="7"/>
  <c r="E3643" i="7"/>
  <c r="F3058" i="7"/>
  <c r="E2217" i="7"/>
  <c r="F1892" i="7"/>
  <c r="E3074" i="7"/>
  <c r="F4001" i="7"/>
  <c r="F4011" i="7"/>
  <c r="E2078" i="7"/>
  <c r="E2376" i="7"/>
  <c r="E4733" i="7"/>
  <c r="E3420" i="7"/>
  <c r="E3199" i="7"/>
  <c r="E1979" i="7"/>
  <c r="F3983" i="7"/>
  <c r="F2514" i="7"/>
  <c r="F4414" i="7"/>
  <c r="E3727" i="7"/>
  <c r="F3213" i="7"/>
  <c r="F3004" i="7"/>
  <c r="E2571" i="7"/>
  <c r="F996" i="7"/>
  <c r="F1721" i="7"/>
  <c r="E3274" i="7"/>
  <c r="F3274" i="7"/>
  <c r="E4337" i="7"/>
  <c r="F4337" i="7"/>
  <c r="F4823" i="7"/>
  <c r="E4823" i="7"/>
  <c r="F3797" i="7"/>
  <c r="E3797" i="7"/>
  <c r="E3020" i="7"/>
  <c r="F3020" i="7"/>
  <c r="E3364" i="7"/>
  <c r="F3364" i="7"/>
  <c r="E4825" i="7"/>
  <c r="F4825" i="7"/>
  <c r="E3507" i="7"/>
  <c r="F3507" i="7"/>
  <c r="E3456" i="7"/>
  <c r="F3456" i="7"/>
  <c r="E3407" i="7"/>
  <c r="F3407" i="7"/>
  <c r="E3724" i="7"/>
  <c r="F3724" i="7"/>
  <c r="E2869" i="7"/>
  <c r="F2869" i="7"/>
  <c r="E2907" i="7"/>
  <c r="F2907" i="7"/>
  <c r="E2572" i="7"/>
  <c r="F2572" i="7"/>
  <c r="E2597" i="7"/>
  <c r="F2597" i="7"/>
  <c r="E3368" i="7"/>
  <c r="F3368" i="7"/>
  <c r="E3070" i="7"/>
  <c r="F3070" i="7"/>
  <c r="E3375" i="7"/>
  <c r="F3375" i="7"/>
  <c r="E2045" i="7"/>
  <c r="F2045" i="7"/>
  <c r="E2193" i="7"/>
  <c r="F2193" i="7"/>
  <c r="E2095" i="7"/>
  <c r="F2095" i="7"/>
  <c r="E1972" i="7"/>
  <c r="F1972" i="7"/>
  <c r="E1508" i="7"/>
  <c r="F1508" i="7"/>
  <c r="E826" i="7"/>
  <c r="F826" i="7"/>
  <c r="E2450" i="7"/>
  <c r="F2450" i="7"/>
  <c r="E2775" i="7"/>
  <c r="F3077" i="7"/>
  <c r="F3460" i="7"/>
  <c r="E2850" i="7"/>
  <c r="F4512" i="7"/>
  <c r="E3900" i="7"/>
  <c r="E2938" i="7"/>
  <c r="F4513" i="7"/>
  <c r="F4112" i="7"/>
  <c r="E3268" i="7"/>
  <c r="F2116" i="7"/>
  <c r="F4935" i="7"/>
  <c r="F3500" i="7"/>
  <c r="E3165" i="7"/>
  <c r="F2562" i="7"/>
  <c r="E4915" i="7"/>
  <c r="F3336" i="7"/>
  <c r="E3128" i="7"/>
  <c r="F2911" i="7"/>
  <c r="E3262" i="7"/>
  <c r="F1676" i="7"/>
  <c r="F2670" i="7"/>
  <c r="E2567" i="7"/>
  <c r="E1843" i="7"/>
  <c r="E2913" i="7"/>
  <c r="F2970" i="7"/>
  <c r="E2099" i="7"/>
  <c r="E4223" i="7"/>
  <c r="F4298" i="7"/>
  <c r="F3721" i="7"/>
  <c r="F2483" i="7"/>
  <c r="F1637" i="7"/>
  <c r="F317" i="7"/>
  <c r="F819" i="7"/>
  <c r="F1010" i="7"/>
  <c r="E1259" i="7"/>
  <c r="F1885" i="7"/>
  <c r="F1085" i="7"/>
  <c r="F2254" i="7"/>
  <c r="E733" i="7"/>
  <c r="E2108" i="7"/>
  <c r="E4354" i="7"/>
  <c r="F1076" i="7"/>
  <c r="F938" i="7"/>
  <c r="E3656" i="7"/>
  <c r="E4395" i="7"/>
  <c r="E4443" i="7"/>
  <c r="F4201" i="7"/>
  <c r="E2954" i="7"/>
  <c r="E4920" i="7"/>
  <c r="E3142" i="7"/>
  <c r="F4901" i="7"/>
  <c r="E1269" i="7"/>
  <c r="E4132" i="7"/>
  <c r="E4789" i="7"/>
  <c r="F4180" i="7"/>
  <c r="F2698" i="7"/>
  <c r="E4672" i="7"/>
  <c r="F4472" i="7"/>
  <c r="E4873" i="7"/>
  <c r="F3907" i="7"/>
  <c r="F4361" i="7"/>
  <c r="F4537" i="7"/>
  <c r="E4490" i="7"/>
  <c r="E3860" i="7"/>
  <c r="F4069" i="7"/>
  <c r="F3340" i="7"/>
  <c r="E4161" i="7"/>
  <c r="F4656" i="7"/>
  <c r="E4683" i="7"/>
  <c r="F4791" i="7"/>
  <c r="E4966" i="7"/>
  <c r="E3968" i="7"/>
  <c r="F3217" i="7"/>
  <c r="F4682" i="7"/>
  <c r="F4209" i="7"/>
  <c r="F4345" i="7"/>
  <c r="E4114" i="7"/>
  <c r="E4765" i="7"/>
  <c r="E3671" i="7"/>
  <c r="E3756" i="7"/>
  <c r="E4706" i="7"/>
  <c r="F4843" i="7"/>
  <c r="F4680" i="7"/>
  <c r="F4169" i="7"/>
  <c r="F3833" i="7"/>
  <c r="F3877" i="7"/>
  <c r="F2776" i="7"/>
  <c r="F4681" i="7"/>
  <c r="F4818" i="7"/>
  <c r="F4831" i="7"/>
  <c r="F4315" i="7"/>
  <c r="F4323" i="7"/>
  <c r="F4079" i="7"/>
  <c r="F2510" i="7"/>
  <c r="F4044" i="7"/>
  <c r="F4629" i="7"/>
  <c r="F3560" i="7"/>
  <c r="E3868" i="7"/>
  <c r="F4144" i="7"/>
  <c r="F4985" i="7"/>
  <c r="E4857" i="7"/>
  <c r="F4579" i="7"/>
  <c r="F4442" i="7"/>
  <c r="E3971" i="7"/>
  <c r="F4280" i="7"/>
  <c r="F3883" i="7"/>
  <c r="F4480" i="7"/>
  <c r="E2566" i="7"/>
  <c r="F4420" i="7"/>
  <c r="F4008" i="7"/>
  <c r="F3206" i="7"/>
  <c r="F4947" i="7"/>
  <c r="F4808" i="7"/>
  <c r="F4792" i="7"/>
  <c r="F4520" i="7"/>
  <c r="F2756" i="7"/>
  <c r="F4967" i="7"/>
  <c r="F3712" i="7"/>
  <c r="F3029" i="7"/>
  <c r="F4932" i="7"/>
  <c r="F4522" i="7"/>
  <c r="F4475" i="7"/>
  <c r="E4036" i="7"/>
  <c r="E3395" i="7"/>
  <c r="E3783" i="7"/>
  <c r="E3428" i="7"/>
  <c r="E3158" i="7"/>
  <c r="F4794" i="7"/>
  <c r="F4205" i="7"/>
  <c r="E4648" i="7"/>
  <c r="F3955" i="7"/>
  <c r="E3869" i="7"/>
  <c r="F2628" i="7"/>
  <c r="F4609" i="7"/>
  <c r="E4811" i="7"/>
  <c r="E4408" i="7"/>
  <c r="E4650" i="7"/>
  <c r="F3825" i="7"/>
  <c r="F3826" i="7"/>
  <c r="F3175" i="7"/>
  <c r="F4986" i="7"/>
  <c r="F3639" i="7"/>
  <c r="F4308" i="7"/>
  <c r="F4820" i="7"/>
  <c r="E4131" i="7"/>
  <c r="F4719" i="7"/>
  <c r="F3994" i="7"/>
  <c r="F4786" i="7"/>
  <c r="F4548" i="7"/>
  <c r="F4172" i="7"/>
  <c r="F3692" i="7"/>
  <c r="F3153" i="7"/>
  <c r="F4608" i="7"/>
  <c r="F4447" i="7"/>
  <c r="F4027" i="7"/>
  <c r="F4849" i="7"/>
  <c r="F3735" i="7"/>
  <c r="F3528" i="7"/>
  <c r="F4919" i="7"/>
  <c r="F4272" i="7"/>
  <c r="F4514" i="7"/>
  <c r="F4136" i="7"/>
  <c r="F3896" i="7"/>
  <c r="F4096" i="7"/>
  <c r="F4407" i="7"/>
  <c r="E3961" i="7"/>
  <c r="E4583" i="7"/>
  <c r="F4809" i="7"/>
  <c r="F4433" i="7"/>
  <c r="F4954" i="7"/>
  <c r="F4034" i="7"/>
  <c r="F3108" i="7"/>
  <c r="F4827" i="7"/>
  <c r="F4005" i="7"/>
  <c r="F3736" i="7"/>
  <c r="F2833" i="7"/>
  <c r="F4195" i="7"/>
  <c r="F4997" i="7"/>
  <c r="F3996" i="7"/>
  <c r="E3111" i="7"/>
  <c r="F4390" i="7"/>
  <c r="E3018" i="7"/>
  <c r="E396" i="7"/>
  <c r="F1420" i="7"/>
  <c r="E2333" i="7"/>
  <c r="F4439" i="7"/>
  <c r="F2286" i="7"/>
  <c r="F2265" i="7"/>
  <c r="F2479" i="7"/>
  <c r="E2117" i="7"/>
  <c r="F2183" i="7"/>
  <c r="E2248" i="7"/>
  <c r="E3154" i="7"/>
  <c r="F2447" i="7"/>
  <c r="E2481" i="7"/>
  <c r="F2585" i="7"/>
  <c r="F2068" i="7"/>
  <c r="F3751" i="7"/>
  <c r="F2744" i="7"/>
  <c r="E4035" i="7"/>
  <c r="E4962" i="7"/>
  <c r="F2709" i="7"/>
  <c r="F2731" i="7"/>
  <c r="E4739" i="7"/>
  <c r="E4754" i="7"/>
  <c r="F4089" i="7"/>
  <c r="F3084" i="7"/>
  <c r="E3943" i="7"/>
  <c r="E3066" i="7"/>
  <c r="F3145" i="7"/>
  <c r="E3775" i="7"/>
  <c r="F3534" i="7"/>
  <c r="E4140" i="7"/>
  <c r="E2576" i="7"/>
  <c r="E4037" i="7"/>
  <c r="F4340" i="7"/>
  <c r="E4155" i="7"/>
  <c r="F2684" i="7"/>
  <c r="F4523" i="7"/>
  <c r="E4640" i="7"/>
  <c r="F4752" i="7"/>
  <c r="F2935" i="7"/>
  <c r="F3910" i="7"/>
  <c r="E3207" i="7"/>
  <c r="F3415" i="7"/>
  <c r="E4885" i="7"/>
  <c r="E2487" i="7"/>
  <c r="E2083" i="7"/>
  <c r="F3591" i="7"/>
  <c r="E451" i="7"/>
  <c r="F1693" i="7"/>
  <c r="E803" i="7"/>
  <c r="F3512" i="7"/>
  <c r="F4324" i="7"/>
  <c r="F852" i="7"/>
  <c r="E2115" i="7"/>
  <c r="F893" i="7"/>
  <c r="E99" i="7"/>
  <c r="F114" i="7"/>
  <c r="F149" i="7"/>
  <c r="F787" i="7"/>
  <c r="E2371" i="7"/>
  <c r="F467" i="7"/>
  <c r="F645" i="7"/>
  <c r="F2227" i="7"/>
  <c r="F1757" i="7"/>
  <c r="F541" i="7"/>
  <c r="F340" i="7"/>
  <c r="F2427" i="7"/>
  <c r="E2331" i="7"/>
  <c r="F2473" i="7"/>
  <c r="F668" i="7"/>
  <c r="E2147" i="7"/>
  <c r="E333" i="7"/>
  <c r="F3819" i="7"/>
  <c r="E3164" i="7"/>
  <c r="F2617" i="7"/>
  <c r="E2528" i="7"/>
  <c r="E620" i="7"/>
  <c r="E3334" i="7"/>
  <c r="E2858" i="7"/>
  <c r="E1787" i="7"/>
  <c r="E2015" i="7"/>
  <c r="F3129" i="7"/>
  <c r="F1460" i="7"/>
  <c r="E4953" i="7"/>
  <c r="F4907" i="7"/>
  <c r="E2074" i="7"/>
  <c r="F509" i="7"/>
  <c r="E1907" i="7"/>
  <c r="F4955" i="7"/>
  <c r="F3429" i="7"/>
  <c r="E2242" i="7"/>
  <c r="F2586" i="7"/>
  <c r="F3770" i="7"/>
  <c r="F3895" i="7"/>
  <c r="F3256" i="7"/>
  <c r="E4024" i="7"/>
  <c r="F2392" i="7"/>
  <c r="F1804" i="7"/>
  <c r="F707" i="7"/>
  <c r="F3117" i="7"/>
  <c r="E2638" i="7"/>
  <c r="E2554" i="7"/>
  <c r="F2335" i="7"/>
  <c r="F2048" i="7"/>
  <c r="F3510" i="7"/>
  <c r="F3511" i="7"/>
  <c r="F3123" i="7"/>
  <c r="E2401" i="7"/>
  <c r="F2049" i="7"/>
  <c r="E1180" i="7"/>
  <c r="F492" i="7"/>
  <c r="F4300" i="7"/>
  <c r="E4373" i="7"/>
  <c r="F4400" i="7"/>
  <c r="F4861" i="7"/>
  <c r="E3635" i="7"/>
  <c r="E1052" i="7"/>
  <c r="E4580" i="7"/>
  <c r="F2984" i="7"/>
  <c r="F4708" i="7"/>
  <c r="F3205" i="7"/>
  <c r="F2499" i="7"/>
  <c r="E4083" i="7"/>
  <c r="F4987" i="7"/>
  <c r="E3546" i="7"/>
  <c r="E3581" i="7"/>
  <c r="E2462" i="7"/>
  <c r="F3447" i="7"/>
  <c r="F4549" i="7"/>
  <c r="F4063" i="7"/>
  <c r="F724" i="7"/>
  <c r="E3745" i="7"/>
  <c r="E2560" i="7"/>
  <c r="F2475" i="7"/>
  <c r="E3861" i="7"/>
  <c r="F1411" i="7"/>
  <c r="F3723" i="7"/>
  <c r="E4551" i="7"/>
  <c r="F4750" i="7"/>
  <c r="F3041" i="7"/>
  <c r="F2516" i="7"/>
  <c r="F4882" i="7"/>
  <c r="F939" i="7"/>
  <c r="E4118" i="7"/>
  <c r="E1555" i="7"/>
  <c r="E4930" i="7"/>
  <c r="F3376" i="7"/>
  <c r="F2978" i="7"/>
  <c r="F3437" i="7"/>
  <c r="E4922" i="7"/>
  <c r="F2460" i="7"/>
  <c r="E4751" i="7"/>
  <c r="F2363" i="7"/>
  <c r="E4003" i="7"/>
  <c r="E3237" i="7"/>
  <c r="F4755" i="7"/>
  <c r="F4626" i="7"/>
  <c r="F3621" i="7"/>
  <c r="F4571" i="7"/>
  <c r="E4892" i="7"/>
  <c r="E4403" i="7"/>
  <c r="E4274" i="7"/>
  <c r="F4550" i="7"/>
  <c r="F3932" i="7"/>
  <c r="F4994" i="7"/>
  <c r="F4545" i="7"/>
  <c r="E3662" i="7"/>
  <c r="F2883" i="7"/>
  <c r="E4756" i="7"/>
  <c r="F4745" i="7"/>
  <c r="F3225" i="7"/>
  <c r="E2158" i="7"/>
  <c r="E2296" i="7"/>
  <c r="F2678" i="7"/>
  <c r="E2353" i="7"/>
  <c r="F2154" i="7"/>
  <c r="E2135" i="7"/>
  <c r="F835" i="7"/>
  <c r="E2079" i="7"/>
  <c r="F2433" i="7"/>
  <c r="F499" i="7"/>
  <c r="E2468" i="7"/>
  <c r="E316" i="7"/>
  <c r="F2274" i="7"/>
  <c r="F4038" i="7"/>
  <c r="E3795" i="7"/>
  <c r="F3967" i="7"/>
  <c r="E2055" i="7"/>
  <c r="F277" i="7"/>
  <c r="F947" i="7"/>
  <c r="F2334" i="7"/>
  <c r="F2992" i="7"/>
  <c r="F1636" i="7"/>
  <c r="F1396" i="7"/>
  <c r="E3063" i="7"/>
  <c r="F1716" i="7"/>
  <c r="F2357" i="7"/>
  <c r="F3406" i="7"/>
  <c r="F1243" i="7"/>
  <c r="E1883" i="7"/>
  <c r="E1171" i="7"/>
  <c r="E3764" i="7"/>
  <c r="E3119" i="7"/>
  <c r="F205" i="7"/>
  <c r="E1365" i="7"/>
  <c r="F4651" i="7"/>
  <c r="E4211" i="7"/>
  <c r="E4130" i="7"/>
  <c r="F4269" i="7"/>
  <c r="F4060" i="7"/>
  <c r="E5001" i="7"/>
  <c r="F4572" i="7"/>
  <c r="E2812" i="7"/>
  <c r="F3947" i="7"/>
  <c r="F3921" i="7"/>
  <c r="F5003" i="7"/>
  <c r="F4194" i="7"/>
  <c r="F3849" i="7"/>
  <c r="F3345" i="7"/>
  <c r="F4471" i="7"/>
  <c r="F3624" i="7"/>
  <c r="E4992" i="7"/>
  <c r="F3796" i="7"/>
  <c r="E3520" i="7"/>
  <c r="E2449" i="7"/>
  <c r="E1587" i="7"/>
  <c r="F2676" i="7"/>
  <c r="E4237" i="7"/>
  <c r="E1540" i="7"/>
  <c r="E4774" i="7"/>
  <c r="E4129" i="7"/>
  <c r="F2134" i="7"/>
  <c r="E1820" i="7"/>
  <c r="E3893" i="7"/>
  <c r="E3654" i="7"/>
  <c r="F2827" i="7"/>
  <c r="F4875" i="7"/>
  <c r="F2526" i="7"/>
  <c r="E4297" i="7"/>
  <c r="F4995" i="7"/>
  <c r="F92" i="7"/>
  <c r="E4170" i="7"/>
  <c r="E2594" i="7"/>
  <c r="F2821" i="7"/>
  <c r="F3167" i="7"/>
  <c r="F4846" i="7"/>
  <c r="E3962" i="7"/>
  <c r="F2301" i="7"/>
  <c r="F3028" i="7"/>
  <c r="E4853" i="7"/>
  <c r="E2770" i="7"/>
  <c r="E3257" i="7"/>
  <c r="F219" i="7"/>
  <c r="F3487" i="7"/>
  <c r="F3999" i="7"/>
  <c r="F3942" i="7"/>
  <c r="F4243" i="7"/>
  <c r="F4279" i="7"/>
  <c r="E4380" i="7"/>
  <c r="F4883" i="7"/>
  <c r="F4845" i="7"/>
  <c r="F4335" i="7"/>
  <c r="E2262" i="7"/>
  <c r="E3549" i="7"/>
  <c r="F4852" i="7"/>
  <c r="F2921" i="7"/>
  <c r="E4290" i="7"/>
  <c r="F372" i="7"/>
  <c r="E580" i="7"/>
  <c r="F2220" i="7"/>
  <c r="E2220" i="7"/>
  <c r="F3743" i="7"/>
  <c r="E3743" i="7"/>
  <c r="E4736" i="7"/>
  <c r="F4736" i="7"/>
  <c r="E3224" i="7"/>
  <c r="F3224" i="7"/>
  <c r="E4912" i="7"/>
  <c r="F4912" i="7"/>
  <c r="E3412" i="7"/>
  <c r="F3412" i="7"/>
  <c r="E4676" i="7"/>
  <c r="F4676" i="7"/>
  <c r="E4776" i="7"/>
  <c r="F4776" i="7"/>
  <c r="E4028" i="7"/>
  <c r="F4028" i="7"/>
  <c r="E3954" i="7"/>
  <c r="F3954" i="7"/>
  <c r="E4641" i="7"/>
  <c r="F4641" i="7"/>
  <c r="E3431" i="7"/>
  <c r="F3431" i="7"/>
  <c r="E2829" i="7"/>
  <c r="F2829" i="7"/>
  <c r="F2690" i="7"/>
  <c r="E2690" i="7"/>
  <c r="E3548" i="7"/>
  <c r="F3548" i="7"/>
  <c r="F2903" i="7"/>
  <c r="E2903" i="7"/>
  <c r="F3118" i="7"/>
  <c r="E3118" i="7"/>
  <c r="E3023" i="7"/>
  <c r="F3023" i="7"/>
  <c r="E3765" i="7"/>
  <c r="F3765" i="7"/>
  <c r="E3349" i="7"/>
  <c r="F3349" i="7"/>
  <c r="E3327" i="7"/>
  <c r="F3327" i="7"/>
  <c r="F3155" i="7"/>
  <c r="E3155" i="7"/>
  <c r="F3211" i="7"/>
  <c r="E3211" i="7"/>
  <c r="E3040" i="7"/>
  <c r="F3040" i="7"/>
  <c r="E2084" i="7"/>
  <c r="F2084" i="7"/>
  <c r="F2065" i="7"/>
  <c r="E2065" i="7"/>
  <c r="F1387" i="7"/>
  <c r="E1387" i="7"/>
  <c r="E2185" i="7"/>
  <c r="F2185" i="7"/>
  <c r="E2253" i="7"/>
  <c r="F2253" i="7"/>
  <c r="E76" i="7"/>
  <c r="F76" i="7"/>
  <c r="F2322" i="7"/>
  <c r="E2322" i="7"/>
  <c r="F2252" i="7"/>
  <c r="E2252" i="7"/>
  <c r="E1923" i="7"/>
  <c r="F1923" i="7"/>
  <c r="E2233" i="7"/>
  <c r="F2233" i="7"/>
  <c r="E1228" i="7"/>
  <c r="F1228" i="7"/>
  <c r="E2246" i="7"/>
  <c r="F2246" i="7"/>
  <c r="F612" i="7"/>
  <c r="E612" i="7"/>
  <c r="E602" i="7"/>
  <c r="F602" i="7"/>
  <c r="E1849" i="7"/>
  <c r="F1849" i="7"/>
  <c r="E635" i="7"/>
  <c r="F635" i="7"/>
  <c r="E1482" i="7"/>
  <c r="F1482" i="7"/>
  <c r="E483" i="7"/>
  <c r="F483" i="7"/>
  <c r="E1602" i="7"/>
  <c r="F1602" i="7"/>
  <c r="E1641" i="7"/>
  <c r="F1641" i="7"/>
  <c r="E844" i="7"/>
  <c r="F844" i="7"/>
  <c r="E91" i="7"/>
  <c r="F91" i="7"/>
  <c r="E2379" i="7"/>
  <c r="F2379" i="7"/>
  <c r="E1850" i="7"/>
  <c r="F1850" i="7"/>
  <c r="F1889" i="7"/>
  <c r="E1889" i="7"/>
  <c r="F1092" i="7"/>
  <c r="E1092" i="7"/>
  <c r="F675" i="7"/>
  <c r="E675" i="7"/>
  <c r="F978" i="7"/>
  <c r="E978" i="7"/>
  <c r="E228" i="7"/>
  <c r="F228" i="7"/>
  <c r="E339" i="7"/>
  <c r="F339" i="7"/>
  <c r="E570" i="7"/>
  <c r="F570" i="7"/>
  <c r="F1625" i="7"/>
  <c r="E1625" i="7"/>
  <c r="E828" i="7"/>
  <c r="F828" i="7"/>
  <c r="E923" i="7"/>
  <c r="F923" i="7"/>
  <c r="E1226" i="7"/>
  <c r="F1226" i="7"/>
  <c r="E714" i="7"/>
  <c r="F714" i="7"/>
  <c r="E476" i="7"/>
  <c r="F476" i="7"/>
  <c r="E170" i="7"/>
  <c r="F170" i="7"/>
  <c r="F1834" i="7"/>
  <c r="E1834" i="7"/>
  <c r="E1873" i="7"/>
  <c r="F1873" i="7"/>
  <c r="F564" i="7"/>
  <c r="E564" i="7"/>
  <c r="E538" i="7"/>
  <c r="F538" i="7"/>
  <c r="E2443" i="7"/>
  <c r="F2443" i="7"/>
  <c r="E1517" i="7"/>
  <c r="F1517" i="7"/>
  <c r="E53" i="7"/>
  <c r="F53" i="7"/>
  <c r="E789" i="7"/>
  <c r="F789" i="7"/>
  <c r="E1797" i="7"/>
  <c r="F1797" i="7"/>
  <c r="E1973" i="7"/>
  <c r="F1973" i="7"/>
  <c r="F453" i="7"/>
  <c r="E453" i="7"/>
  <c r="E1309" i="7"/>
  <c r="F1309" i="7"/>
  <c r="E1925" i="7"/>
  <c r="F1925" i="7"/>
  <c r="E549" i="7"/>
  <c r="F549" i="7"/>
  <c r="E349" i="7"/>
  <c r="F349" i="7"/>
  <c r="F1165" i="7"/>
  <c r="E1165" i="7"/>
  <c r="E3912" i="7"/>
  <c r="F3912" i="7"/>
  <c r="E4753" i="7"/>
  <c r="F4753" i="7"/>
  <c r="E4744" i="7"/>
  <c r="F4744" i="7"/>
  <c r="E3951" i="7"/>
  <c r="F3951" i="7"/>
  <c r="E4812" i="7"/>
  <c r="F4812" i="7"/>
  <c r="E4264" i="7"/>
  <c r="F4264" i="7"/>
  <c r="E4329" i="7"/>
  <c r="F4329" i="7"/>
  <c r="E3837" i="7"/>
  <c r="F3837" i="7"/>
  <c r="E3684" i="7"/>
  <c r="F3684" i="7"/>
  <c r="E2747" i="7"/>
  <c r="F2747" i="7"/>
  <c r="E3438" i="7"/>
  <c r="F3438" i="7"/>
  <c r="E3464" i="7"/>
  <c r="F3464" i="7"/>
  <c r="F2644" i="7"/>
  <c r="E2644" i="7"/>
  <c r="F3427" i="7"/>
  <c r="E3427" i="7"/>
  <c r="E2801" i="7"/>
  <c r="F2801" i="7"/>
  <c r="F3467" i="7"/>
  <c r="E3467" i="7"/>
  <c r="E3666" i="7"/>
  <c r="F3666" i="7"/>
  <c r="E3547" i="7"/>
  <c r="F3547" i="7"/>
  <c r="F3839" i="7"/>
  <c r="E3839" i="7"/>
  <c r="E2725" i="7"/>
  <c r="F2725" i="7"/>
  <c r="E3098" i="7"/>
  <c r="F3098" i="7"/>
  <c r="E2699" i="7"/>
  <c r="F2699" i="7"/>
  <c r="E3097" i="7"/>
  <c r="F3097" i="7"/>
  <c r="E2279" i="7"/>
  <c r="F2279" i="7"/>
  <c r="E1444" i="7"/>
  <c r="F1444" i="7"/>
  <c r="E268" i="7"/>
  <c r="F268" i="7"/>
  <c r="E2106" i="7"/>
  <c r="F2106" i="7"/>
  <c r="E2420" i="7"/>
  <c r="F2420" i="7"/>
  <c r="E2089" i="7"/>
  <c r="F2089" i="7"/>
  <c r="F1628" i="7"/>
  <c r="E1628" i="7"/>
  <c r="E2208" i="7"/>
  <c r="F2208" i="7"/>
  <c r="E2402" i="7"/>
  <c r="F2402" i="7"/>
  <c r="E1412" i="7"/>
  <c r="F1412" i="7"/>
  <c r="E371" i="7"/>
  <c r="F371" i="7"/>
  <c r="E1483" i="7"/>
  <c r="F1483" i="7"/>
  <c r="F1147" i="7"/>
  <c r="E1147" i="7"/>
  <c r="E299" i="7"/>
  <c r="F299" i="7"/>
  <c r="E514" i="7"/>
  <c r="F514" i="7"/>
  <c r="E730" i="7"/>
  <c r="F730" i="7"/>
  <c r="E4224" i="7"/>
  <c r="F3172" i="7"/>
  <c r="F3030" i="7"/>
  <c r="F4540" i="7"/>
  <c r="E4425" i="7"/>
  <c r="E2160" i="7"/>
  <c r="F2424" i="7"/>
  <c r="F1347" i="7"/>
  <c r="F4934" i="7"/>
  <c r="F4239" i="7"/>
  <c r="F3668" i="7"/>
  <c r="F2815" i="7"/>
  <c r="E2674" i="7"/>
  <c r="F2605" i="7"/>
  <c r="F2453" i="7"/>
  <c r="F1124" i="7"/>
  <c r="F4542" i="7"/>
  <c r="E3667" i="7"/>
  <c r="F2990" i="7"/>
  <c r="F4254" i="7"/>
  <c r="F2952" i="7"/>
  <c r="F188" i="7"/>
  <c r="F1242" i="7"/>
  <c r="F75" i="7"/>
  <c r="E3997" i="7"/>
  <c r="F3997" i="7"/>
  <c r="E3953" i="7"/>
  <c r="F3953" i="7"/>
  <c r="E3496" i="7"/>
  <c r="F3496" i="7"/>
  <c r="E3817" i="7"/>
  <c r="F3817" i="7"/>
  <c r="E4902" i="7"/>
  <c r="F4902" i="7"/>
  <c r="F4952" i="7"/>
  <c r="E4952" i="7"/>
  <c r="E3038" i="7"/>
  <c r="F3038" i="7"/>
  <c r="E3771" i="7"/>
  <c r="F3771" i="7"/>
  <c r="E3202" i="7"/>
  <c r="F3202" i="7"/>
  <c r="E3009" i="7"/>
  <c r="F3009" i="7"/>
  <c r="F3388" i="7"/>
  <c r="E3388" i="7"/>
  <c r="E4422" i="7"/>
  <c r="F4422" i="7"/>
  <c r="E3694" i="7"/>
  <c r="F3694" i="7"/>
  <c r="E3313" i="7"/>
  <c r="F3313" i="7"/>
  <c r="E2695" i="7"/>
  <c r="F2695" i="7"/>
  <c r="E2604" i="7"/>
  <c r="F2604" i="7"/>
  <c r="E2523" i="7"/>
  <c r="F2523" i="7"/>
  <c r="E3433" i="7"/>
  <c r="F3433" i="7"/>
  <c r="E4150" i="7"/>
  <c r="F4150" i="7"/>
  <c r="F2643" i="7"/>
  <c r="E2643" i="7"/>
  <c r="E3636" i="7"/>
  <c r="F3636" i="7"/>
  <c r="E2991" i="7"/>
  <c r="F2991" i="7"/>
  <c r="E2224" i="7"/>
  <c r="F2224" i="7"/>
  <c r="E2418" i="7"/>
  <c r="F2418" i="7"/>
  <c r="F1442" i="7"/>
  <c r="E1442" i="7"/>
  <c r="E2103" i="7"/>
  <c r="F2103" i="7"/>
  <c r="F2442" i="7"/>
  <c r="E2442" i="7"/>
  <c r="E1035" i="7"/>
  <c r="F1035" i="7"/>
  <c r="E2500" i="7"/>
  <c r="F2500" i="7"/>
  <c r="E1539" i="7"/>
  <c r="F1539" i="7"/>
  <c r="F2085" i="7"/>
  <c r="E2085" i="7"/>
  <c r="E2263" i="7"/>
  <c r="F2263" i="7"/>
  <c r="E1468" i="7"/>
  <c r="F1468" i="7"/>
  <c r="E1882" i="7"/>
  <c r="F1882" i="7"/>
  <c r="F1810" i="7"/>
  <c r="E1810" i="7"/>
  <c r="F4718" i="7"/>
  <c r="F3754" i="7"/>
  <c r="F3230" i="7"/>
  <c r="F3370" i="7"/>
  <c r="F3567" i="7"/>
  <c r="F2878" i="7"/>
  <c r="F2527" i="7"/>
  <c r="F4652" i="7"/>
  <c r="F4662" i="7"/>
  <c r="F4128" i="7"/>
  <c r="F3927" i="7"/>
  <c r="F3786" i="7"/>
  <c r="F3628" i="7"/>
  <c r="F3929" i="7"/>
  <c r="F3526" i="7"/>
  <c r="F3488" i="7"/>
  <c r="F3259" i="7"/>
  <c r="F2864" i="7"/>
  <c r="F2303" i="7"/>
  <c r="F3597" i="7"/>
  <c r="F2915" i="7"/>
  <c r="F4238" i="7"/>
  <c r="F4338" i="7"/>
  <c r="F2708" i="7"/>
  <c r="F1940" i="7"/>
  <c r="F2166" i="7"/>
  <c r="F2128" i="7"/>
  <c r="E2766" i="7"/>
  <c r="F3035" i="7"/>
  <c r="F4711" i="7"/>
  <c r="F3186" i="7"/>
  <c r="F1668" i="7"/>
  <c r="F4122" i="7"/>
  <c r="F2413" i="7"/>
  <c r="F1994" i="7"/>
  <c r="F482" i="7"/>
  <c r="F4909" i="7"/>
  <c r="E4636" i="7"/>
  <c r="F4636" i="7"/>
  <c r="E4601" i="7"/>
  <c r="F4601" i="7"/>
  <c r="E4977" i="7"/>
  <c r="F4977" i="7"/>
  <c r="F3607" i="7"/>
  <c r="E3607" i="7"/>
  <c r="E3210" i="7"/>
  <c r="F3210" i="7"/>
  <c r="E4841" i="7"/>
  <c r="F4841" i="7"/>
  <c r="E3089" i="7"/>
  <c r="F3089" i="7"/>
  <c r="E3928" i="7"/>
  <c r="F3928" i="7"/>
  <c r="E4766" i="7"/>
  <c r="F4766" i="7"/>
  <c r="F2633" i="7"/>
  <c r="E2633" i="7"/>
  <c r="E2956" i="7"/>
  <c r="F2956" i="7"/>
  <c r="E3503" i="7"/>
  <c r="F3503" i="7"/>
  <c r="E2529" i="7"/>
  <c r="F2529" i="7"/>
  <c r="E4937" i="7"/>
  <c r="F2781" i="7"/>
  <c r="F2086" i="7"/>
  <c r="F4164" i="7"/>
  <c r="F2284" i="7"/>
  <c r="F4749" i="7"/>
  <c r="F4206" i="7"/>
  <c r="F2997" i="7"/>
  <c r="F3072" i="7"/>
  <c r="E748" i="7"/>
  <c r="F1900" i="7"/>
  <c r="F4441" i="7"/>
  <c r="F2511" i="7"/>
  <c r="F1891" i="7"/>
  <c r="E4015" i="7"/>
  <c r="E4240" i="7"/>
  <c r="F2693" i="7"/>
  <c r="F1586" i="7"/>
  <c r="F498" i="7"/>
  <c r="F2890" i="7"/>
  <c r="E2890" i="7"/>
  <c r="E4363" i="7"/>
  <c r="F4363" i="7"/>
  <c r="F2596" i="7"/>
  <c r="E2596" i="7"/>
  <c r="E4465" i="7"/>
  <c r="F4465" i="7"/>
  <c r="E4575" i="7"/>
  <c r="F4575" i="7"/>
  <c r="E3828" i="7"/>
  <c r="F3828" i="7"/>
  <c r="E4440" i="7"/>
  <c r="F4440" i="7"/>
  <c r="F4349" i="7"/>
  <c r="E4349" i="7"/>
  <c r="F3182" i="7"/>
  <c r="E3182" i="7"/>
  <c r="E3039" i="7"/>
  <c r="F3039" i="7"/>
  <c r="E2611" i="7"/>
  <c r="F2611" i="7"/>
  <c r="E2813" i="7"/>
  <c r="F2813" i="7"/>
  <c r="F3493" i="7"/>
  <c r="F3243" i="7"/>
  <c r="F3301" i="7"/>
  <c r="F3331" i="7"/>
  <c r="F4068" i="7"/>
  <c r="F3405" i="7"/>
  <c r="F3477" i="7"/>
  <c r="F3088" i="7"/>
  <c r="F4199" i="7"/>
  <c r="F4133" i="7"/>
  <c r="F3625" i="7"/>
  <c r="F3755" i="7"/>
  <c r="E2598" i="7"/>
  <c r="F2429" i="7"/>
  <c r="E4951" i="7"/>
  <c r="F4095" i="7"/>
  <c r="F3568" i="7"/>
  <c r="E1275" i="7"/>
  <c r="E1924" i="7"/>
  <c r="F1651" i="7"/>
  <c r="F212" i="7"/>
  <c r="E4770" i="7"/>
  <c r="E4362" i="7"/>
  <c r="E4030" i="7"/>
  <c r="F3888" i="7"/>
  <c r="F3580" i="7"/>
  <c r="E2430" i="7"/>
  <c r="E2199" i="7"/>
  <c r="E1987" i="7"/>
  <c r="F2417" i="7"/>
  <c r="E2235" i="7"/>
  <c r="E1189" i="7"/>
  <c r="E2323" i="7"/>
  <c r="E1515" i="7"/>
  <c r="E1547" i="7"/>
  <c r="F861" i="7"/>
  <c r="F2669" i="7"/>
  <c r="F4389" i="7"/>
  <c r="F3959" i="7"/>
  <c r="F3061" i="7"/>
  <c r="F4241" i="7"/>
  <c r="E2182" i="7"/>
  <c r="E2845" i="7"/>
  <c r="E3881" i="7"/>
  <c r="F4355" i="7"/>
  <c r="F1451" i="7"/>
  <c r="F4077" i="7"/>
  <c r="E2436" i="7"/>
  <c r="F771" i="7"/>
  <c r="E35" i="7"/>
  <c r="E2542" i="7"/>
  <c r="F2360" i="7"/>
  <c r="F4836" i="7"/>
  <c r="F4589" i="7"/>
  <c r="F1874" i="7"/>
  <c r="E2021" i="7"/>
  <c r="F252" i="7"/>
  <c r="E4784" i="7"/>
  <c r="E4508" i="7"/>
  <c r="F4717" i="7"/>
  <c r="F4834" i="7"/>
  <c r="F2564" i="7"/>
  <c r="F3851" i="7"/>
  <c r="F2551" i="7"/>
  <c r="F3606" i="7"/>
  <c r="E3535" i="7"/>
  <c r="E3216" i="7"/>
  <c r="F2290" i="7"/>
  <c r="E3674" i="7"/>
  <c r="F2636" i="7"/>
  <c r="F3647" i="7"/>
  <c r="F3384" i="7"/>
  <c r="F3481" i="7"/>
  <c r="F3357" i="7"/>
  <c r="F2038" i="7"/>
  <c r="F3043" i="7"/>
  <c r="E2492" i="7"/>
  <c r="F2432" i="7"/>
  <c r="F3588" i="7"/>
  <c r="F2204" i="7"/>
  <c r="F4778" i="7"/>
  <c r="F2105" i="7"/>
  <c r="F3832" i="7"/>
  <c r="F4659" i="7"/>
  <c r="F4878" i="7"/>
  <c r="F2713" i="7"/>
  <c r="F2351" i="7"/>
  <c r="F4664" i="7"/>
  <c r="F3282" i="7"/>
  <c r="F3555" i="7"/>
  <c r="F3387" i="7"/>
  <c r="F2408" i="7"/>
  <c r="E3589" i="7"/>
  <c r="F3679" i="7"/>
  <c r="F2319" i="7"/>
  <c r="F4382" i="7"/>
  <c r="F4405" i="7"/>
  <c r="E4802" i="7"/>
  <c r="F4945" i="7"/>
  <c r="F3897" i="7"/>
  <c r="F356" i="7"/>
  <c r="F1498" i="7"/>
  <c r="F3430" i="7"/>
  <c r="F2818" i="7"/>
  <c r="E4327" i="7"/>
  <c r="F4334" i="7"/>
  <c r="E3870" i="7"/>
  <c r="E3273" i="7"/>
  <c r="F2823" i="7"/>
  <c r="E4790" i="7"/>
  <c r="F2205" i="7"/>
  <c r="F4667" i="7"/>
  <c r="E4894" i="7"/>
  <c r="F2682" i="7"/>
  <c r="F2568" i="7"/>
  <c r="E3676" i="7"/>
  <c r="F4158" i="7"/>
  <c r="F3834" i="7"/>
  <c r="E2745" i="7"/>
  <c r="F4975" i="7"/>
  <c r="E3585" i="7"/>
  <c r="E2490" i="7"/>
  <c r="F3245" i="7"/>
  <c r="F2872" i="7"/>
  <c r="E3106" i="7"/>
  <c r="F2519" i="7"/>
  <c r="F3592" i="7"/>
  <c r="E4467" i="7"/>
  <c r="F4779" i="7"/>
  <c r="F3612" i="7"/>
  <c r="F4097" i="7"/>
  <c r="F4473" i="7"/>
  <c r="F4707" i="7"/>
  <c r="E3374" i="7"/>
  <c r="E3087" i="7"/>
  <c r="F4304" i="7"/>
  <c r="E2940" i="7"/>
  <c r="F2979" i="7"/>
  <c r="F3486" i="7"/>
  <c r="E3269" i="7"/>
  <c r="E3514" i="7"/>
  <c r="F3924" i="7"/>
  <c r="F4124" i="7"/>
  <c r="F4674" i="7"/>
  <c r="F4202" i="7"/>
  <c r="F3995" i="7"/>
  <c r="F4610" i="7"/>
  <c r="F3923" i="7"/>
  <c r="E3404" i="7"/>
  <c r="F4196" i="7"/>
  <c r="F3913" i="7"/>
  <c r="F4539" i="7"/>
  <c r="F4746" i="7"/>
  <c r="F4506" i="7"/>
  <c r="F4225" i="7"/>
  <c r="F4645" i="7"/>
  <c r="F4418" i="7"/>
  <c r="F4737" i="7"/>
  <c r="F3252" i="7"/>
  <c r="F4948" i="7"/>
  <c r="F4387" i="7"/>
  <c r="F4536" i="7"/>
  <c r="F4847" i="7"/>
  <c r="F4436" i="7"/>
  <c r="F4535" i="7"/>
  <c r="E3970" i="7"/>
  <c r="E4333" i="7"/>
  <c r="E4232" i="7"/>
  <c r="F4232" i="7"/>
  <c r="F3915" i="7"/>
  <c r="E3915" i="7"/>
  <c r="E3885" i="7"/>
  <c r="F3885" i="7"/>
  <c r="E4989" i="7"/>
  <c r="F4989" i="7"/>
  <c r="E4197" i="7"/>
  <c r="F4197" i="7"/>
  <c r="E3704" i="7"/>
  <c r="F3704" i="7"/>
  <c r="E2902" i="7"/>
  <c r="F2902" i="7"/>
  <c r="E4179" i="7"/>
  <c r="F4179" i="7"/>
  <c r="E2648" i="7"/>
  <c r="F2648" i="7"/>
  <c r="E4437" i="7"/>
  <c r="F4437" i="7"/>
  <c r="E4017" i="7"/>
  <c r="F4017" i="7"/>
  <c r="E2535" i="7"/>
  <c r="F2535" i="7"/>
  <c r="F4813" i="7"/>
  <c r="E4813" i="7"/>
  <c r="E4393" i="7"/>
  <c r="F4393" i="7"/>
  <c r="F4378" i="7"/>
  <c r="E4378" i="7"/>
  <c r="F4404" i="7"/>
  <c r="E4404" i="7"/>
  <c r="E4815" i="7"/>
  <c r="F4815" i="7"/>
  <c r="E3818" i="7"/>
  <c r="F3818" i="7"/>
  <c r="E3901" i="7"/>
  <c r="F3901" i="7"/>
  <c r="E3993" i="7"/>
  <c r="F3993" i="7"/>
  <c r="F4816" i="7"/>
  <c r="E3759" i="7"/>
  <c r="F4451" i="7"/>
  <c r="E4709" i="7"/>
  <c r="E4881" i="7"/>
  <c r="F4881" i="7"/>
  <c r="F3012" i="7"/>
  <c r="E3012" i="7"/>
  <c r="E4419" i="7"/>
  <c r="F4419" i="7"/>
  <c r="E2884" i="7"/>
  <c r="F2884" i="7"/>
  <c r="E4087" i="7"/>
  <c r="F4087" i="7"/>
  <c r="E4061" i="7"/>
  <c r="F4061" i="7"/>
  <c r="E2901" i="7"/>
  <c r="F2901" i="7"/>
  <c r="E4931" i="7"/>
  <c r="F4931" i="7"/>
  <c r="E3445" i="7"/>
  <c r="F3445" i="7"/>
  <c r="E4639" i="7"/>
  <c r="F4639" i="7"/>
  <c r="E3938" i="7"/>
  <c r="F3938" i="7"/>
  <c r="E4604" i="7"/>
  <c r="F4604" i="7"/>
  <c r="E4192" i="7"/>
  <c r="F4192" i="7"/>
  <c r="E3541" i="7"/>
  <c r="F3541" i="7"/>
  <c r="E4193" i="7"/>
  <c r="F4193" i="7"/>
  <c r="F4134" i="7"/>
  <c r="E4134" i="7"/>
  <c r="E4867" i="7"/>
  <c r="F4867" i="7"/>
  <c r="E4505" i="7"/>
  <c r="F4505" i="7"/>
  <c r="E3590" i="7"/>
  <c r="F3590" i="7"/>
  <c r="F4515" i="7"/>
  <c r="F4153" i="7"/>
  <c r="F3187" i="7"/>
  <c r="F4288" i="7"/>
  <c r="E4088" i="7"/>
  <c r="E3790" i="7"/>
  <c r="F3790" i="7"/>
  <c r="E3726" i="7"/>
  <c r="F3726" i="7"/>
  <c r="E4762" i="7"/>
  <c r="F4762" i="7"/>
  <c r="F3988" i="7"/>
  <c r="E3988" i="7"/>
  <c r="E4911" i="7"/>
  <c r="F4911" i="7"/>
  <c r="E4458" i="7"/>
  <c r="F4458" i="7"/>
  <c r="E3952" i="7"/>
  <c r="F3952" i="7"/>
  <c r="E3914" i="7"/>
  <c r="F3914" i="7"/>
  <c r="E4949" i="7"/>
  <c r="F4949" i="7"/>
  <c r="F4529" i="7"/>
  <c r="E4529" i="7"/>
  <c r="E4127" i="7"/>
  <c r="F4127" i="7"/>
  <c r="E2982" i="7"/>
  <c r="F2982" i="7"/>
  <c r="E3752" i="7"/>
  <c r="F3752" i="7"/>
  <c r="E4704" i="7"/>
  <c r="F4704" i="7"/>
  <c r="E4210" i="7"/>
  <c r="F4210" i="7"/>
  <c r="F4705" i="7"/>
  <c r="E4705" i="7"/>
  <c r="F3992" i="7"/>
  <c r="E3992" i="7"/>
  <c r="E3979" i="7"/>
  <c r="F3979" i="7"/>
  <c r="E4413" i="7"/>
  <c r="F4413" i="7"/>
  <c r="E3140" i="7"/>
  <c r="F3140" i="7"/>
  <c r="E3767" i="7"/>
  <c r="F3767" i="7"/>
  <c r="F2563" i="7"/>
  <c r="E2563" i="7"/>
  <c r="E3806" i="7"/>
  <c r="F3806" i="7"/>
  <c r="F3748" i="7"/>
  <c r="E3748" i="7"/>
  <c r="E3152" i="7"/>
  <c r="F3152" i="7"/>
  <c r="F4182" i="7"/>
  <c r="E4182" i="7"/>
  <c r="E3421" i="7"/>
  <c r="F3421" i="7"/>
  <c r="F3130" i="7"/>
  <c r="E3130" i="7"/>
  <c r="E2561" i="7"/>
  <c r="F2561" i="7"/>
  <c r="E3991" i="7"/>
  <c r="F3991" i="7"/>
  <c r="E3732" i="7"/>
  <c r="F3732" i="7"/>
  <c r="E4483" i="7"/>
  <c r="E3068" i="7"/>
  <c r="F3068" i="7"/>
  <c r="F4700" i="7"/>
  <c r="E4700" i="7"/>
  <c r="E4800" i="7"/>
  <c r="F4800" i="7"/>
  <c r="F3402" i="7"/>
  <c r="E3402" i="7"/>
  <c r="E4723" i="7"/>
  <c r="F4723" i="7"/>
  <c r="E4801" i="7"/>
  <c r="F4801" i="7"/>
  <c r="E4399" i="7"/>
  <c r="F4399" i="7"/>
  <c r="E4251" i="7"/>
  <c r="F4251" i="7"/>
  <c r="E4876" i="7"/>
  <c r="F4876" i="7"/>
  <c r="E4976" i="7"/>
  <c r="F4976" i="7"/>
  <c r="E4075" i="7"/>
  <c r="F4075" i="7"/>
  <c r="F3925" i="7"/>
  <c r="E3925" i="7"/>
  <c r="F4840" i="7"/>
  <c r="E4840" i="7"/>
  <c r="F3452" i="7"/>
  <c r="E3452" i="7"/>
  <c r="F4991" i="7"/>
  <c r="E4991" i="7"/>
  <c r="E3823" i="7"/>
  <c r="F3823" i="7"/>
  <c r="E4411" i="7"/>
  <c r="F4411" i="7"/>
  <c r="E3892" i="7"/>
  <c r="F3892" i="7"/>
  <c r="E4303" i="7"/>
  <c r="F4303" i="7"/>
  <c r="E4204" i="7"/>
  <c r="F4204" i="7"/>
  <c r="E4615" i="7"/>
  <c r="F4615" i="7"/>
  <c r="E4830" i="7"/>
  <c r="F4830" i="7"/>
  <c r="E3661" i="7"/>
  <c r="F3661" i="7"/>
  <c r="E2893" i="7"/>
  <c r="F2893" i="7"/>
  <c r="E3209" i="7"/>
  <c r="F3209" i="7"/>
  <c r="E3103" i="7"/>
  <c r="F3103" i="7"/>
  <c r="E2894" i="7"/>
  <c r="F2894" i="7"/>
  <c r="E3699" i="7"/>
  <c r="F3699" i="7"/>
  <c r="E2675" i="7"/>
  <c r="F2675" i="7"/>
  <c r="E3016" i="7"/>
  <c r="F3016" i="7"/>
  <c r="E4302" i="7"/>
  <c r="F4302" i="7"/>
  <c r="E3505" i="7"/>
  <c r="F3505" i="7"/>
  <c r="E3645" i="7"/>
  <c r="F3645" i="7"/>
  <c r="E3307" i="7"/>
  <c r="F3307" i="7"/>
  <c r="E2738" i="7"/>
  <c r="F2738" i="7"/>
  <c r="F4503" i="7"/>
  <c r="E2811" i="7"/>
  <c r="E4916" i="7"/>
  <c r="F4397" i="7"/>
  <c r="F2697" i="7"/>
  <c r="E3136" i="7"/>
  <c r="F4613" i="7"/>
  <c r="E5009" i="7"/>
  <c r="F5009" i="7"/>
  <c r="F4675" i="7"/>
  <c r="E4675" i="7"/>
  <c r="E4163" i="7"/>
  <c r="F4163" i="7"/>
  <c r="E4188" i="7"/>
  <c r="F4188" i="7"/>
  <c r="E4599" i="7"/>
  <c r="F4599" i="7"/>
  <c r="E4795" i="7"/>
  <c r="F4795" i="7"/>
  <c r="E3014" i="7"/>
  <c r="F3014" i="7"/>
  <c r="E4619" i="7"/>
  <c r="F4619" i="7"/>
  <c r="E4050" i="7"/>
  <c r="F4050" i="7"/>
  <c r="E4665" i="7"/>
  <c r="F4665" i="7"/>
  <c r="F4263" i="7"/>
  <c r="E4263" i="7"/>
  <c r="E3341" i="7"/>
  <c r="F3341" i="7"/>
  <c r="F4740" i="7"/>
  <c r="E4740" i="7"/>
  <c r="F4328" i="7"/>
  <c r="E4328" i="7"/>
  <c r="F4618" i="7"/>
  <c r="E4618" i="7"/>
  <c r="E4101" i="7"/>
  <c r="F4101" i="7"/>
  <c r="F2950" i="7"/>
  <c r="E2950" i="7"/>
  <c r="E2968" i="7"/>
  <c r="F2968" i="7"/>
  <c r="E4925" i="7"/>
  <c r="F4925" i="7"/>
  <c r="E2764" i="7"/>
  <c r="F2764" i="7"/>
  <c r="E3389" i="7"/>
  <c r="F3389" i="7"/>
  <c r="E2964" i="7"/>
  <c r="F2964" i="7"/>
  <c r="E3266" i="7"/>
  <c r="F3266" i="7"/>
  <c r="E2591" i="7"/>
  <c r="F2591" i="7"/>
  <c r="F3525" i="7"/>
  <c r="E3525" i="7"/>
  <c r="E2757" i="7"/>
  <c r="F2757" i="7"/>
  <c r="E3073" i="7"/>
  <c r="F3073" i="7"/>
  <c r="E2967" i="7"/>
  <c r="F2967" i="7"/>
  <c r="E3348" i="7"/>
  <c r="F3348" i="7"/>
  <c r="E2550" i="7"/>
  <c r="F2550" i="7"/>
  <c r="E2795" i="7"/>
  <c r="F2795" i="7"/>
  <c r="E3193" i="7"/>
  <c r="F3193" i="7"/>
  <c r="F4092" i="7"/>
  <c r="E4318" i="7"/>
  <c r="E4341" i="7"/>
  <c r="F4341" i="7"/>
  <c r="F3615" i="7"/>
  <c r="E3615" i="7"/>
  <c r="E3703" i="7"/>
  <c r="F3703" i="7"/>
  <c r="F3906" i="7"/>
  <c r="E3906" i="7"/>
  <c r="F4500" i="7"/>
  <c r="E4500" i="7"/>
  <c r="E4600" i="7"/>
  <c r="F4600" i="7"/>
  <c r="F4758" i="7"/>
  <c r="E4758" i="7"/>
  <c r="E4218" i="7"/>
  <c r="F4218" i="7"/>
  <c r="E4573" i="7"/>
  <c r="F4573" i="7"/>
  <c r="E3852" i="7"/>
  <c r="F3852" i="7"/>
  <c r="E4775" i="7"/>
  <c r="F4775" i="7"/>
  <c r="E3814" i="7"/>
  <c r="F3814" i="7"/>
  <c r="E2852" i="7"/>
  <c r="F2852" i="7"/>
  <c r="E4228" i="7"/>
  <c r="F4228" i="7"/>
  <c r="E2755" i="7"/>
  <c r="F2755" i="7"/>
  <c r="F4002" i="7"/>
  <c r="E4002" i="7"/>
  <c r="E4301" i="7"/>
  <c r="F4301" i="7"/>
  <c r="F4905" i="7"/>
  <c r="E4905" i="7"/>
  <c r="E2948" i="7"/>
  <c r="F2948" i="7"/>
  <c r="E2634" i="7"/>
  <c r="F2634" i="7"/>
  <c r="E4339" i="7"/>
  <c r="F4339" i="7"/>
  <c r="E4504" i="7"/>
  <c r="F4504" i="7"/>
  <c r="E3221" i="7"/>
  <c r="F3221" i="7"/>
  <c r="E4716" i="7"/>
  <c r="F4716" i="7"/>
  <c r="E4103" i="7"/>
  <c r="F4103" i="7"/>
  <c r="E4007" i="7"/>
  <c r="F4007" i="7"/>
  <c r="E3521" i="7"/>
  <c r="F3521" i="7"/>
  <c r="F2614" i="7"/>
  <c r="E2614" i="7"/>
  <c r="E3323" i="7"/>
  <c r="F3323" i="7"/>
  <c r="E2754" i="7"/>
  <c r="F2754" i="7"/>
  <c r="E2640" i="7"/>
  <c r="F2640" i="7"/>
  <c r="E2788" i="7"/>
  <c r="F2788" i="7"/>
  <c r="E3212" i="7"/>
  <c r="F3212" i="7"/>
  <c r="E2618" i="7"/>
  <c r="F2618" i="7"/>
  <c r="E3479" i="7"/>
  <c r="F3479" i="7"/>
  <c r="E4814" i="7"/>
  <c r="F4814" i="7"/>
  <c r="E3574" i="7"/>
  <c r="F3574" i="7"/>
  <c r="E2900" i="7"/>
  <c r="F2900" i="7"/>
  <c r="E2877" i="7"/>
  <c r="F2877" i="7"/>
  <c r="F3250" i="7"/>
  <c r="E3250" i="7"/>
  <c r="F3977" i="7"/>
  <c r="F4489" i="7"/>
  <c r="F4464" i="7"/>
  <c r="E3974" i="7"/>
  <c r="F3974" i="7"/>
  <c r="E3491" i="7"/>
  <c r="F3491" i="7"/>
  <c r="E3731" i="7"/>
  <c r="F3731" i="7"/>
  <c r="E3048" i="7"/>
  <c r="F3048" i="7"/>
  <c r="E3055" i="7"/>
  <c r="F3055" i="7"/>
  <c r="E1082" i="7"/>
  <c r="F1082" i="7"/>
  <c r="E2337" i="7"/>
  <c r="F2337" i="7"/>
  <c r="E2121" i="7"/>
  <c r="F2121" i="7"/>
  <c r="E2328" i="7"/>
  <c r="F2328" i="7"/>
  <c r="E59" i="7"/>
  <c r="F59" i="7"/>
  <c r="E1219" i="7"/>
  <c r="F1219" i="7"/>
  <c r="E788" i="7"/>
  <c r="F788" i="7"/>
  <c r="F436" i="7"/>
  <c r="E436" i="7"/>
  <c r="E739" i="7"/>
  <c r="F739" i="7"/>
  <c r="E618" i="7"/>
  <c r="F618" i="7"/>
  <c r="E2179" i="7"/>
  <c r="F2179" i="7"/>
  <c r="E4735" i="7"/>
  <c r="F4735" i="7"/>
  <c r="F435" i="7"/>
  <c r="E3611" i="7"/>
  <c r="F3294" i="7"/>
  <c r="E2338" i="7"/>
  <c r="E2222" i="7"/>
  <c r="E1437" i="7"/>
  <c r="E723" i="7"/>
  <c r="F4606" i="7"/>
  <c r="E3275" i="7"/>
  <c r="F3162" i="7"/>
  <c r="F2548" i="7"/>
  <c r="E2759" i="7"/>
  <c r="E1140" i="7"/>
  <c r="F4726" i="7"/>
  <c r="F2860" i="7"/>
  <c r="F2415" i="7"/>
  <c r="E2053" i="7"/>
  <c r="E2356" i="7"/>
  <c r="F2378" i="7"/>
  <c r="E2022" i="7"/>
  <c r="F3324" i="7"/>
  <c r="E2543" i="7"/>
  <c r="F1323" i="7"/>
  <c r="F2258" i="7"/>
  <c r="E2789" i="7"/>
  <c r="F2318" i="7"/>
  <c r="F4214" i="7"/>
  <c r="F2650" i="7"/>
  <c r="E3524" i="7"/>
  <c r="F2497" i="7"/>
  <c r="F4270" i="7"/>
  <c r="F1739" i="7"/>
  <c r="E3099" i="7"/>
  <c r="F3099" i="7"/>
  <c r="E2189" i="7"/>
  <c r="F2189" i="7"/>
  <c r="E2389" i="7"/>
  <c r="F2389" i="7"/>
  <c r="E2188" i="7"/>
  <c r="F2188" i="7"/>
  <c r="E1946" i="7"/>
  <c r="F1946" i="7"/>
  <c r="E604" i="7"/>
  <c r="F604" i="7"/>
  <c r="E1546" i="7"/>
  <c r="F1546" i="7"/>
  <c r="E883" i="7"/>
  <c r="F883" i="7"/>
  <c r="E1339" i="7"/>
  <c r="F1339" i="7"/>
  <c r="E1156" i="7"/>
  <c r="F1156" i="7"/>
  <c r="E1650" i="7"/>
  <c r="F1650" i="7"/>
  <c r="E1290" i="7"/>
  <c r="F1290" i="7"/>
  <c r="E276" i="7"/>
  <c r="F276" i="7"/>
  <c r="E1941" i="7"/>
  <c r="F1941" i="7"/>
  <c r="E2067" i="7"/>
  <c r="F2067" i="7"/>
  <c r="F2624" i="7"/>
  <c r="E2681" i="7"/>
  <c r="F2239" i="7"/>
  <c r="F1500" i="7"/>
  <c r="E3271" i="7"/>
  <c r="F2144" i="7"/>
  <c r="E3134" i="7"/>
  <c r="F3134" i="7"/>
  <c r="E2587" i="7"/>
  <c r="F2587" i="7"/>
  <c r="E2593" i="7"/>
  <c r="F2593" i="7"/>
  <c r="E3631" i="7"/>
  <c r="F3631" i="7"/>
  <c r="E954" i="7"/>
  <c r="F954" i="7"/>
  <c r="E940" i="7"/>
  <c r="F940" i="7"/>
  <c r="E2119" i="7"/>
  <c r="F2119" i="7"/>
  <c r="E1635" i="7"/>
  <c r="F1635" i="7"/>
  <c r="E2349" i="7"/>
  <c r="F2349" i="7"/>
  <c r="E1913" i="7"/>
  <c r="F1913" i="7"/>
  <c r="E1116" i="7"/>
  <c r="F1116" i="7"/>
  <c r="E1306" i="7"/>
  <c r="F1306" i="7"/>
  <c r="E556" i="7"/>
  <c r="F556" i="7"/>
  <c r="E778" i="7"/>
  <c r="F778" i="7"/>
  <c r="E562" i="7"/>
  <c r="F562" i="7"/>
  <c r="F221" i="7"/>
  <c r="E221" i="7"/>
  <c r="E2219" i="7"/>
  <c r="F2219" i="7"/>
  <c r="E3352" i="7"/>
  <c r="F3352" i="7"/>
  <c r="F2215" i="7"/>
  <c r="F2808" i="7"/>
  <c r="F2536" i="7"/>
  <c r="F2398" i="7"/>
  <c r="F2010" i="7"/>
  <c r="F1499" i="7"/>
  <c r="F1771" i="7"/>
  <c r="F1652" i="7"/>
  <c r="F4159" i="7"/>
  <c r="F3218" i="7"/>
  <c r="F3246" i="7"/>
  <c r="F2025" i="7"/>
  <c r="F2291" i="7"/>
  <c r="F1619" i="7"/>
  <c r="F2184" i="7"/>
  <c r="F1132" i="7"/>
  <c r="E2707" i="7"/>
  <c r="E322" i="7"/>
  <c r="E3610" i="7"/>
  <c r="F3610" i="7"/>
  <c r="E3181" i="7"/>
  <c r="F3181" i="7"/>
  <c r="E3022" i="7"/>
  <c r="F3022" i="7"/>
  <c r="E2999" i="7"/>
  <c r="F2999" i="7"/>
  <c r="E3542" i="7"/>
  <c r="F3542" i="7"/>
  <c r="F1865" i="7"/>
  <c r="E1865" i="7"/>
  <c r="E676" i="7"/>
  <c r="F676" i="7"/>
  <c r="F324" i="7"/>
  <c r="E324" i="7"/>
  <c r="F1002" i="7"/>
  <c r="E1002" i="7"/>
  <c r="E594" i="7"/>
  <c r="F594" i="7"/>
  <c r="E1196" i="7"/>
  <c r="F1196" i="7"/>
  <c r="E1914" i="7"/>
  <c r="F1914" i="7"/>
  <c r="E634" i="7"/>
  <c r="F634" i="7"/>
  <c r="E540" i="7"/>
  <c r="F540" i="7"/>
  <c r="E1026" i="7"/>
  <c r="F1026" i="7"/>
  <c r="E387" i="7"/>
  <c r="F387" i="7"/>
  <c r="E2211" i="7"/>
  <c r="F2211" i="7"/>
  <c r="F2575" i="7"/>
  <c r="F2102" i="7"/>
  <c r="F3434" i="7"/>
  <c r="F2706" i="7"/>
  <c r="F1732" i="7"/>
  <c r="F644" i="7"/>
  <c r="F2763" i="7"/>
  <c r="E1955" i="7"/>
  <c r="F2259" i="7"/>
  <c r="F2662" i="7"/>
  <c r="F2169" i="7"/>
  <c r="F292" i="7"/>
  <c r="E2012" i="7"/>
  <c r="F1077" i="7"/>
  <c r="F628" i="7"/>
  <c r="F1210" i="7"/>
  <c r="E3320" i="7"/>
  <c r="F3320" i="7"/>
  <c r="E2592" i="7"/>
  <c r="F2592" i="7"/>
  <c r="E2198" i="7"/>
  <c r="F2198" i="7"/>
  <c r="E1532" i="7"/>
  <c r="F1532" i="7"/>
  <c r="E1268" i="7"/>
  <c r="F1268" i="7"/>
  <c r="E2064" i="7"/>
  <c r="F2064" i="7"/>
  <c r="E2366" i="7"/>
  <c r="F2366" i="7"/>
  <c r="E1570" i="7"/>
  <c r="F1570" i="7"/>
  <c r="E1186" i="7"/>
  <c r="F1186" i="7"/>
  <c r="E1705" i="7"/>
  <c r="F1705" i="7"/>
  <c r="E794" i="7"/>
  <c r="F794" i="7"/>
  <c r="E892" i="7"/>
  <c r="F892" i="7"/>
  <c r="E1898" i="7"/>
  <c r="F1898" i="7"/>
  <c r="E1061" i="7"/>
  <c r="F1061" i="7"/>
  <c r="E909" i="7"/>
  <c r="F909" i="7"/>
  <c r="E4260" i="7"/>
  <c r="F4260" i="7"/>
  <c r="F2035" i="7"/>
  <c r="F2354" i="7"/>
  <c r="F4486" i="7"/>
  <c r="F3903" i="7"/>
  <c r="F2772" i="7"/>
  <c r="F1964" i="7"/>
  <c r="F1308" i="7"/>
  <c r="F3730" i="7"/>
  <c r="F3728" i="7"/>
  <c r="F3689" i="7"/>
  <c r="F3440" i="7"/>
  <c r="F2410" i="7"/>
  <c r="F2042" i="7"/>
  <c r="F2928" i="7"/>
  <c r="F3613" i="7"/>
  <c r="E2178" i="7"/>
  <c r="E1556" i="7"/>
  <c r="F2037" i="7"/>
  <c r="F1476" i="7"/>
  <c r="F699" i="7"/>
  <c r="E2549" i="7"/>
  <c r="F2549" i="7"/>
  <c r="E2865" i="7"/>
  <c r="F2865" i="7"/>
  <c r="E2530" i="7"/>
  <c r="F2530" i="7"/>
  <c r="E2879" i="7"/>
  <c r="F2879" i="7"/>
  <c r="E3644" i="7"/>
  <c r="F3644" i="7"/>
  <c r="E3105" i="7"/>
  <c r="F3105" i="7"/>
  <c r="E4782" i="7"/>
  <c r="F4782" i="7"/>
  <c r="E3468" i="7"/>
  <c r="F3468" i="7"/>
  <c r="E3161" i="7"/>
  <c r="F3161" i="7"/>
  <c r="E2485" i="7"/>
  <c r="F2485" i="7"/>
  <c r="E2365" i="7"/>
  <c r="F2365" i="7"/>
  <c r="E2201" i="7"/>
  <c r="F2201" i="7"/>
  <c r="E2496" i="7"/>
  <c r="F2496" i="7"/>
  <c r="E2249" i="7"/>
  <c r="F2249" i="7"/>
  <c r="E1434" i="7"/>
  <c r="F1434" i="7"/>
  <c r="F1666" i="7"/>
  <c r="E1666" i="7"/>
  <c r="E1003" i="7"/>
  <c r="F1003" i="7"/>
  <c r="E155" i="7"/>
  <c r="F155" i="7"/>
  <c r="E1042" i="7"/>
  <c r="F1042" i="7"/>
  <c r="E1689" i="7"/>
  <c r="F1689" i="7"/>
  <c r="E987" i="7"/>
  <c r="F987" i="7"/>
  <c r="E2059" i="7"/>
  <c r="F2059" i="7"/>
  <c r="E477" i="7"/>
  <c r="F477" i="7"/>
  <c r="F547" i="7"/>
  <c r="F3391" i="7"/>
  <c r="F2649" i="7"/>
  <c r="F908" i="7"/>
  <c r="F2269" i="7"/>
  <c r="E2985" i="7"/>
  <c r="F2004" i="7"/>
  <c r="F2275" i="7"/>
  <c r="F3557" i="7"/>
  <c r="F2044" i="7"/>
  <c r="E403" i="7"/>
  <c r="F1402" i="7"/>
  <c r="E3286" i="7"/>
  <c r="F3286" i="7"/>
  <c r="E3377" i="7"/>
  <c r="F3377" i="7"/>
  <c r="E3042" i="7"/>
  <c r="F3042" i="7"/>
  <c r="E1988" i="7"/>
  <c r="F1988" i="7"/>
  <c r="E1691" i="7"/>
  <c r="F1691" i="7"/>
  <c r="F530" i="7"/>
  <c r="E530" i="7"/>
  <c r="E2039" i="7"/>
  <c r="F2039" i="7"/>
  <c r="E2062" i="7"/>
  <c r="F2062" i="7"/>
  <c r="E2383" i="7"/>
  <c r="F2383" i="7"/>
  <c r="E666" i="7"/>
  <c r="F666" i="7"/>
  <c r="E363" i="7"/>
  <c r="F363" i="7"/>
  <c r="E139" i="7"/>
  <c r="F139" i="7"/>
  <c r="E1133" i="7"/>
  <c r="F1133" i="7"/>
  <c r="E813" i="7"/>
  <c r="F813" i="7"/>
  <c r="E757" i="7"/>
  <c r="F757" i="7"/>
  <c r="F3700" i="7"/>
  <c r="E2922" i="7"/>
  <c r="E3787" i="7"/>
  <c r="E4094" i="7"/>
  <c r="F2472" i="7"/>
  <c r="E3758" i="7"/>
  <c r="E3104" i="7"/>
  <c r="F2654" i="7"/>
  <c r="F3219" i="7"/>
  <c r="F61" i="7"/>
  <c r="F1074" i="7"/>
  <c r="F674" i="7"/>
  <c r="F3816" i="7"/>
  <c r="F2769" i="7"/>
  <c r="F4289" i="7"/>
  <c r="F4364" i="7"/>
  <c r="F4594" i="7"/>
  <c r="F3338" i="7"/>
  <c r="F4692" i="7"/>
  <c r="F2632" i="7"/>
  <c r="F4562" i="7"/>
  <c r="E4043" i="7"/>
  <c r="F4453" i="7"/>
  <c r="E3289" i="7"/>
  <c r="E3886" i="7"/>
  <c r="E3050" i="7"/>
  <c r="F3346" i="7"/>
  <c r="F4833" i="7"/>
  <c r="F3702" i="7"/>
  <c r="F4244" i="7"/>
  <c r="E4430" i="7"/>
  <c r="F2664" i="7"/>
  <c r="F2395" i="7"/>
  <c r="F1803" i="7"/>
  <c r="E2111" i="7"/>
  <c r="E3917" i="7"/>
  <c r="E4632" i="7"/>
  <c r="F4632" i="7"/>
  <c r="F3025" i="7"/>
  <c r="E3025" i="7"/>
  <c r="E3570" i="7"/>
  <c r="F3570" i="7"/>
  <c r="F2932" i="7"/>
  <c r="E2932" i="7"/>
  <c r="E3378" i="7"/>
  <c r="F3378" i="7"/>
  <c r="E2703" i="7"/>
  <c r="F2703" i="7"/>
  <c r="E3166" i="7"/>
  <c r="F3166" i="7"/>
  <c r="E2595" i="7"/>
  <c r="F2595" i="7"/>
  <c r="F2887" i="7"/>
  <c r="E2887" i="7"/>
  <c r="E4854" i="7"/>
  <c r="F4854" i="7"/>
  <c r="E460" i="7"/>
  <c r="F460" i="7"/>
  <c r="F4227" i="7"/>
  <c r="E4227" i="7"/>
  <c r="E4728" i="7"/>
  <c r="F4728" i="7"/>
  <c r="E3672" i="7"/>
  <c r="F3672" i="7"/>
  <c r="E2646" i="7"/>
  <c r="F2646" i="7"/>
  <c r="F4018" i="7"/>
  <c r="E4018" i="7"/>
  <c r="E4657" i="7"/>
  <c r="F4657" i="7"/>
  <c r="E4320" i="7"/>
  <c r="F4320" i="7"/>
  <c r="E4332" i="7"/>
  <c r="F4332" i="7"/>
  <c r="E3920" i="7"/>
  <c r="F3920" i="7"/>
  <c r="E4958" i="7"/>
  <c r="F4958" i="7"/>
  <c r="E3789" i="7"/>
  <c r="F3789" i="7"/>
  <c r="E2582" i="7"/>
  <c r="F2582" i="7"/>
  <c r="F2746" i="7"/>
  <c r="E2746" i="7"/>
  <c r="F2716" i="7"/>
  <c r="E2716" i="7"/>
  <c r="E4614" i="7"/>
  <c r="F4614" i="7"/>
  <c r="E3565" i="7"/>
  <c r="F3565" i="7"/>
  <c r="E2715" i="7"/>
  <c r="F2715" i="7"/>
  <c r="E2544" i="7"/>
  <c r="F2544" i="7"/>
  <c r="E3614" i="7"/>
  <c r="F3614" i="7"/>
  <c r="E3347" i="7"/>
  <c r="F3347" i="7"/>
  <c r="E2721" i="7"/>
  <c r="F2721" i="7"/>
  <c r="E4910" i="7"/>
  <c r="F4910" i="7"/>
  <c r="E2396" i="7"/>
  <c r="F2396" i="7"/>
  <c r="E2237" i="7"/>
  <c r="F2237" i="7"/>
  <c r="E1684" i="7"/>
  <c r="F1684" i="7"/>
  <c r="E2474" i="7"/>
  <c r="F2474" i="7"/>
  <c r="E1163" i="7"/>
  <c r="F1163" i="7"/>
  <c r="E2061" i="7"/>
  <c r="F2061" i="7"/>
  <c r="E2024" i="7"/>
  <c r="F2024" i="7"/>
  <c r="E2056" i="7"/>
  <c r="F2056" i="7"/>
  <c r="E1643" i="7"/>
  <c r="F1643" i="7"/>
  <c r="E2141" i="7"/>
  <c r="F2141" i="7"/>
  <c r="E2289" i="7"/>
  <c r="F2289" i="7"/>
  <c r="E1525" i="7"/>
  <c r="F1525" i="7"/>
  <c r="E2126" i="7"/>
  <c r="F2126" i="7"/>
  <c r="E2016" i="7"/>
  <c r="F2016" i="7"/>
  <c r="E1699" i="7"/>
  <c r="F1699" i="7"/>
  <c r="E1235" i="7"/>
  <c r="F1235" i="7"/>
  <c r="F827" i="7"/>
  <c r="E827" i="7"/>
  <c r="F1674" i="7"/>
  <c r="E1674" i="7"/>
  <c r="E163" i="7"/>
  <c r="F163" i="7"/>
  <c r="E1324" i="7"/>
  <c r="F1324" i="7"/>
  <c r="E922" i="7"/>
  <c r="F922" i="7"/>
  <c r="E66" i="7"/>
  <c r="F66" i="7"/>
  <c r="E1817" i="7"/>
  <c r="F1817" i="7"/>
  <c r="E1020" i="7"/>
  <c r="F1020" i="7"/>
  <c r="E515" i="7"/>
  <c r="F515" i="7"/>
  <c r="E93" i="7"/>
  <c r="F93" i="7"/>
  <c r="E2187" i="7"/>
  <c r="F2187" i="7"/>
  <c r="F2283" i="7"/>
  <c r="E2283" i="7"/>
  <c r="E1773" i="7"/>
  <c r="F1773" i="7"/>
  <c r="E1717" i="7"/>
  <c r="F1717" i="7"/>
  <c r="E130" i="7"/>
  <c r="F130" i="7"/>
  <c r="F3170" i="7"/>
  <c r="F4090" i="7"/>
  <c r="F1436" i="7"/>
  <c r="F1867" i="7"/>
  <c r="F1833" i="7"/>
  <c r="E4041" i="7"/>
  <c r="F4041" i="7"/>
  <c r="E4663" i="7"/>
  <c r="F4663" i="7"/>
  <c r="E4898" i="7"/>
  <c r="F4898" i="7"/>
  <c r="E4261" i="7"/>
  <c r="F4261" i="7"/>
  <c r="E3841" i="7"/>
  <c r="F3841" i="7"/>
  <c r="E2556" i="7"/>
  <c r="F2556" i="7"/>
  <c r="E4435" i="7"/>
  <c r="F4435" i="7"/>
  <c r="E4940" i="7"/>
  <c r="F4940" i="7"/>
  <c r="E2996" i="7"/>
  <c r="F2996" i="7"/>
  <c r="E4501" i="7"/>
  <c r="F4501" i="7"/>
  <c r="E4804" i="7"/>
  <c r="F4804" i="7"/>
  <c r="E4593" i="7"/>
  <c r="F4593" i="7"/>
  <c r="F4392" i="7"/>
  <c r="E4392" i="7"/>
  <c r="E3214" i="7"/>
  <c r="F3214" i="7"/>
  <c r="E3744" i="7"/>
  <c r="F3744" i="7"/>
  <c r="E4738" i="7"/>
  <c r="F4738" i="7"/>
  <c r="E4365" i="7"/>
  <c r="F4365" i="7"/>
  <c r="E3945" i="7"/>
  <c r="F3945" i="7"/>
  <c r="E4055" i="7"/>
  <c r="F4055" i="7"/>
  <c r="E4998" i="7"/>
  <c r="F4998" i="7"/>
  <c r="E4634" i="7"/>
  <c r="F4634" i="7"/>
  <c r="E4165" i="7"/>
  <c r="F4165" i="7"/>
  <c r="E3956" i="7"/>
  <c r="F3956" i="7"/>
  <c r="E3576" i="7"/>
  <c r="F3576" i="7"/>
  <c r="E4630" i="7"/>
  <c r="F4630" i="7"/>
  <c r="E4477" i="7"/>
  <c r="F4477" i="7"/>
  <c r="E4780" i="7"/>
  <c r="F4780" i="7"/>
  <c r="E4730" i="7"/>
  <c r="F3466" i="7"/>
  <c r="F2041" i="7"/>
  <c r="E2270" i="7"/>
  <c r="E4565" i="7"/>
  <c r="F3718" i="7"/>
  <c r="F3144" i="7"/>
  <c r="F2834" i="7"/>
  <c r="F2886" i="7"/>
  <c r="F4121" i="7"/>
  <c r="F3776" i="7"/>
  <c r="F2209" i="7"/>
  <c r="F1747" i="7"/>
  <c r="F1660" i="7"/>
  <c r="F4877" i="7"/>
  <c r="F3935" i="7"/>
  <c r="F772" i="7"/>
  <c r="E3532" i="7"/>
  <c r="E51" i="7"/>
  <c r="E1203" i="7"/>
  <c r="F1036" i="7"/>
  <c r="F4703" i="7"/>
  <c r="E3738" i="7"/>
  <c r="F2228" i="7"/>
  <c r="E204" i="7"/>
  <c r="F725" i="7"/>
  <c r="E4492" i="7"/>
  <c r="F4492" i="7"/>
  <c r="F4080" i="7"/>
  <c r="E4080" i="7"/>
  <c r="E4963" i="7"/>
  <c r="F4963" i="7"/>
  <c r="E4429" i="7"/>
  <c r="F4429" i="7"/>
  <c r="E4521" i="7"/>
  <c r="F4521" i="7"/>
  <c r="F4923" i="7"/>
  <c r="E4923" i="7"/>
  <c r="F4741" i="7"/>
  <c r="E4741" i="7"/>
  <c r="F4321" i="7"/>
  <c r="E4321" i="7"/>
  <c r="E4029" i="7"/>
  <c r="F4029" i="7"/>
  <c r="E3934" i="7"/>
  <c r="F3934" i="7"/>
  <c r="E3582" i="7"/>
  <c r="F3582" i="7"/>
  <c r="E2803" i="7"/>
  <c r="F2803" i="7"/>
  <c r="E2866" i="7"/>
  <c r="F2866" i="7"/>
  <c r="F3215" i="7"/>
  <c r="E3215" i="7"/>
  <c r="E3494" i="7"/>
  <c r="F3494" i="7"/>
  <c r="E3227" i="7"/>
  <c r="F3227" i="7"/>
  <c r="E2658" i="7"/>
  <c r="F2658" i="7"/>
  <c r="E3007" i="7"/>
  <c r="F3007" i="7"/>
  <c r="E3830" i="7"/>
  <c r="F3830" i="7"/>
  <c r="E3772" i="7"/>
  <c r="F3772" i="7"/>
  <c r="E3290" i="7"/>
  <c r="F3290" i="7"/>
  <c r="E3403" i="7"/>
  <c r="F3403" i="7"/>
  <c r="E2777" i="7"/>
  <c r="F2777" i="7"/>
  <c r="E2671" i="7"/>
  <c r="F2671" i="7"/>
  <c r="E1916" i="7"/>
  <c r="F1916" i="7"/>
  <c r="E2406" i="7"/>
  <c r="F2406" i="7"/>
  <c r="E2050" i="7"/>
  <c r="F2050" i="7"/>
  <c r="E450" i="7"/>
  <c r="F450" i="7"/>
  <c r="E2409" i="7"/>
  <c r="F2409" i="7"/>
  <c r="E2308" i="7"/>
  <c r="F2308" i="7"/>
  <c r="E2448" i="7"/>
  <c r="F2448" i="7"/>
  <c r="E2060" i="7"/>
  <c r="F2060" i="7"/>
  <c r="E2238" i="7"/>
  <c r="F2238" i="7"/>
  <c r="E2394" i="7"/>
  <c r="F2394" i="7"/>
  <c r="E2388" i="7"/>
  <c r="F2388" i="7"/>
  <c r="E2071" i="7"/>
  <c r="F2071" i="7"/>
  <c r="E2210" i="7"/>
  <c r="F2210" i="7"/>
  <c r="E899" i="7"/>
  <c r="F899" i="7"/>
  <c r="E34" i="7"/>
  <c r="F34" i="7"/>
  <c r="F1490" i="7"/>
  <c r="E1490" i="7"/>
  <c r="E1011" i="7"/>
  <c r="F1011" i="7"/>
  <c r="E2011" i="7"/>
  <c r="F2011" i="7"/>
  <c r="F1794" i="7"/>
  <c r="E1794" i="7"/>
  <c r="E619" i="7"/>
  <c r="F619" i="7"/>
  <c r="E420" i="7"/>
  <c r="F420" i="7"/>
  <c r="E603" i="7"/>
  <c r="F603" i="7"/>
  <c r="F156" i="7"/>
  <c r="E156" i="7"/>
  <c r="E1514" i="7"/>
  <c r="F1514" i="7"/>
  <c r="E1154" i="7"/>
  <c r="F1154" i="7"/>
  <c r="E18" i="7"/>
  <c r="F18" i="7"/>
  <c r="E1933" i="7"/>
  <c r="F1933" i="7"/>
  <c r="E2467" i="7"/>
  <c r="F2467" i="7"/>
  <c r="E162" i="7"/>
  <c r="F162" i="7"/>
  <c r="E581" i="7"/>
  <c r="F581" i="7"/>
  <c r="F146" i="7"/>
  <c r="E146" i="7"/>
  <c r="E4561" i="7"/>
  <c r="F4561" i="7"/>
  <c r="E3409" i="7"/>
  <c r="F3409" i="7"/>
  <c r="F3829" i="7"/>
  <c r="E3829" i="7"/>
  <c r="F4171" i="7"/>
  <c r="E4171" i="7"/>
  <c r="E3800" i="7"/>
  <c r="F3800" i="7"/>
  <c r="E3559" i="7"/>
  <c r="F3559" i="7"/>
  <c r="E4864" i="7"/>
  <c r="F4864" i="7"/>
  <c r="E3657" i="7"/>
  <c r="F3657" i="7"/>
  <c r="E5002" i="7"/>
  <c r="F5002" i="7"/>
  <c r="E4850" i="7"/>
  <c r="F4850" i="7"/>
  <c r="F4052" i="7"/>
  <c r="E4052" i="7"/>
  <c r="E4152" i="7"/>
  <c r="F4152" i="7"/>
  <c r="E3281" i="7"/>
  <c r="F3281" i="7"/>
  <c r="F3916" i="7"/>
  <c r="E3916" i="7"/>
  <c r="E4326" i="7"/>
  <c r="F4326" i="7"/>
  <c r="E4331" i="7"/>
  <c r="F4331" i="7"/>
  <c r="E3930" i="7"/>
  <c r="F3930" i="7"/>
  <c r="E3989" i="7"/>
  <c r="F3989" i="7"/>
  <c r="E4292" i="7"/>
  <c r="F4292" i="7"/>
  <c r="E4904" i="7"/>
  <c r="F4904" i="7"/>
  <c r="E3267" i="7"/>
  <c r="F3267" i="7"/>
  <c r="E4996" i="7"/>
  <c r="F4996" i="7"/>
  <c r="F3939" i="7"/>
  <c r="E3939" i="7"/>
  <c r="E4668" i="7"/>
  <c r="F4668" i="7"/>
  <c r="F4457" i="7"/>
  <c r="E4457" i="7"/>
  <c r="E4595" i="7"/>
  <c r="F4595" i="7"/>
  <c r="E4677" i="7"/>
  <c r="F4677" i="7"/>
  <c r="E4468" i="7"/>
  <c r="F4468" i="7"/>
  <c r="E4367" i="7"/>
  <c r="F4367" i="7"/>
  <c r="F3760" i="7"/>
  <c r="F3545" i="7"/>
  <c r="F3372" i="7"/>
  <c r="F2645" i="7"/>
  <c r="F2973" i="7"/>
  <c r="F2070" i="7"/>
  <c r="F445" i="7"/>
  <c r="F4644" i="7"/>
  <c r="F3522" i="7"/>
  <c r="F4119" i="7"/>
  <c r="F3564" i="7"/>
  <c r="F3284" i="7"/>
  <c r="F2513" i="7"/>
  <c r="F2426" i="7"/>
  <c r="F2369" i="7"/>
  <c r="F4767" i="7"/>
  <c r="F4943" i="7"/>
  <c r="E3095" i="7"/>
  <c r="F2073" i="7"/>
  <c r="F3399" i="7"/>
  <c r="F4734" i="7"/>
  <c r="F4568" i="7"/>
  <c r="F4013" i="7"/>
  <c r="E4013" i="7"/>
  <c r="F4988" i="7"/>
  <c r="E4988" i="7"/>
  <c r="F4527" i="7"/>
  <c r="E4527" i="7"/>
  <c r="E2705" i="7"/>
  <c r="F2705" i="7"/>
  <c r="E3944" i="7"/>
  <c r="F3944" i="7"/>
  <c r="E3276" i="7"/>
  <c r="F3276" i="7"/>
  <c r="E4722" i="7"/>
  <c r="F4722" i="7"/>
  <c r="E4231" i="7"/>
  <c r="F4231" i="7"/>
  <c r="F3394" i="7"/>
  <c r="E3394" i="7"/>
  <c r="E2923" i="7"/>
  <c r="F2923" i="7"/>
  <c r="E3397" i="7"/>
  <c r="F3397" i="7"/>
  <c r="F3911" i="7"/>
  <c r="E3911" i="7"/>
  <c r="E3652" i="7"/>
  <c r="F3652" i="7"/>
  <c r="E2917" i="7"/>
  <c r="F2917" i="7"/>
  <c r="E3233" i="7"/>
  <c r="F3233" i="7"/>
  <c r="E2287" i="7"/>
  <c r="F2287" i="7"/>
  <c r="E1379" i="7"/>
  <c r="F1379" i="7"/>
  <c r="E1187" i="7"/>
  <c r="F1187" i="7"/>
  <c r="E4979" i="7"/>
  <c r="F4979" i="7"/>
  <c r="F4532" i="7"/>
  <c r="F4528" i="7"/>
  <c r="F3461" i="7"/>
  <c r="F3232" i="7"/>
  <c r="F3315" i="7"/>
  <c r="F2027" i="7"/>
  <c r="F4428" i="7"/>
  <c r="F4628" i="7"/>
  <c r="F4222" i="7"/>
  <c r="F3949" i="7"/>
  <c r="F3318" i="7"/>
  <c r="F2588" i="7"/>
  <c r="E4942" i="7"/>
  <c r="E4016" i="7"/>
  <c r="F4256" i="7"/>
  <c r="F2459" i="7"/>
  <c r="E4587" i="7"/>
  <c r="F4587" i="7"/>
  <c r="F2854" i="7"/>
  <c r="E2854" i="7"/>
  <c r="E4220" i="7"/>
  <c r="F4220" i="7"/>
  <c r="F3808" i="7"/>
  <c r="E3808" i="7"/>
  <c r="E4578" i="7"/>
  <c r="F4578" i="7"/>
  <c r="E4491" i="7"/>
  <c r="F4491" i="7"/>
  <c r="F4541" i="7"/>
  <c r="E4541" i="7"/>
  <c r="E3126" i="7"/>
  <c r="F3126" i="7"/>
  <c r="F2939" i="7"/>
  <c r="E2939" i="7"/>
  <c r="E3653" i="7"/>
  <c r="F3653" i="7"/>
  <c r="E3258" i="7"/>
  <c r="F3258" i="7"/>
  <c r="E3633" i="7"/>
  <c r="F3633" i="7"/>
  <c r="E3435" i="7"/>
  <c r="F3435" i="7"/>
  <c r="E2677" i="7"/>
  <c r="F2677" i="7"/>
  <c r="F3342" i="7"/>
  <c r="E3342" i="7"/>
  <c r="E2580" i="7"/>
  <c r="F2580" i="7"/>
  <c r="F4342" i="7"/>
  <c r="E4342" i="7"/>
  <c r="E2710" i="7"/>
  <c r="F2710" i="7"/>
  <c r="E2778" i="7"/>
  <c r="F2778" i="7"/>
  <c r="E3741" i="7"/>
  <c r="F3741" i="7"/>
  <c r="F2720" i="7"/>
  <c r="E2720" i="7"/>
  <c r="E2226" i="7"/>
  <c r="F2226" i="7"/>
  <c r="F2232" i="7"/>
  <c r="E2232" i="7"/>
  <c r="F1947" i="7"/>
  <c r="E1947" i="7"/>
  <c r="F1252" i="7"/>
  <c r="E1252" i="7"/>
  <c r="E2428" i="7"/>
  <c r="F2428" i="7"/>
  <c r="E1932" i="7"/>
  <c r="F1932" i="7"/>
  <c r="E2486" i="7"/>
  <c r="F2486" i="7"/>
  <c r="E1780" i="7"/>
  <c r="F1780" i="7"/>
  <c r="E1948" i="7"/>
  <c r="F1948" i="7"/>
  <c r="F2200" i="7"/>
  <c r="E2200" i="7"/>
  <c r="E1562" i="7"/>
  <c r="F1562" i="7"/>
  <c r="E804" i="7"/>
  <c r="F804" i="7"/>
  <c r="E563" i="7"/>
  <c r="F563" i="7"/>
  <c r="F1529" i="7"/>
  <c r="E1529" i="7"/>
  <c r="E732" i="7"/>
  <c r="F732" i="7"/>
  <c r="E1314" i="7"/>
  <c r="F1314" i="7"/>
  <c r="E1467" i="7"/>
  <c r="F1467" i="7"/>
  <c r="E172" i="7"/>
  <c r="F172" i="7"/>
  <c r="E531" i="7"/>
  <c r="F531" i="7"/>
  <c r="E1115" i="7"/>
  <c r="F1115" i="7"/>
  <c r="E466" i="7"/>
  <c r="F466" i="7"/>
  <c r="F178" i="7"/>
  <c r="E178" i="7"/>
  <c r="E1829" i="7"/>
  <c r="F1829" i="7"/>
  <c r="F3642" i="7"/>
  <c r="E3642" i="7"/>
  <c r="E3478" i="7"/>
  <c r="F3478" i="7"/>
  <c r="E4010" i="7"/>
  <c r="F4010" i="7"/>
  <c r="E4973" i="7"/>
  <c r="F4973" i="7"/>
  <c r="E4553" i="7"/>
  <c r="F4553" i="7"/>
  <c r="E4151" i="7"/>
  <c r="F4151" i="7"/>
  <c r="E2727" i="7"/>
  <c r="F2727" i="7"/>
  <c r="E4773" i="7"/>
  <c r="F4773" i="7"/>
  <c r="E4865" i="7"/>
  <c r="F4865" i="7"/>
  <c r="E2918" i="7"/>
  <c r="F2918" i="7"/>
  <c r="E4474" i="7"/>
  <c r="F4474" i="7"/>
  <c r="E3160" i="7"/>
  <c r="F3160" i="7"/>
  <c r="E3719" i="7"/>
  <c r="F3719" i="7"/>
  <c r="E3880" i="7"/>
  <c r="F3880" i="7"/>
  <c r="E4191" i="7"/>
  <c r="F4191" i="7"/>
  <c r="E3047" i="7"/>
  <c r="F3047" i="7"/>
  <c r="E3843" i="7"/>
  <c r="F3843" i="7"/>
  <c r="E4969" i="7"/>
  <c r="F4969" i="7"/>
  <c r="E4768" i="7"/>
  <c r="F4768" i="7"/>
  <c r="E3146" i="7"/>
  <c r="F3146" i="7"/>
  <c r="E4874" i="7"/>
  <c r="F4874" i="7"/>
  <c r="E4466" i="7"/>
  <c r="F4466" i="7"/>
  <c r="E4980" i="7"/>
  <c r="F4980" i="7"/>
  <c r="E4769" i="7"/>
  <c r="F4769" i="7"/>
  <c r="E4879" i="7"/>
  <c r="F4879" i="7"/>
  <c r="E3651" i="7"/>
  <c r="F3651" i="7"/>
  <c r="E4235" i="7"/>
  <c r="F4235" i="7"/>
  <c r="E4074" i="7"/>
  <c r="F4074" i="7"/>
  <c r="E2724" i="7"/>
  <c r="F2724" i="7"/>
  <c r="E3965" i="7"/>
  <c r="F3965" i="7"/>
  <c r="F3980" i="7"/>
  <c r="F2087" i="7"/>
  <c r="F3733" i="7"/>
  <c r="F3773" i="7"/>
  <c r="F957" i="7"/>
  <c r="F4257" i="7"/>
  <c r="F4156" i="7"/>
  <c r="F3413" i="7"/>
  <c r="F52" i="7"/>
  <c r="F4051" i="7"/>
  <c r="F2243" i="7"/>
  <c r="F1604" i="7"/>
  <c r="F812" i="7"/>
  <c r="F4147" i="7"/>
  <c r="F3812" i="7"/>
  <c r="F3062" i="7"/>
  <c r="E3231" i="7"/>
  <c r="E2517" i="7"/>
  <c r="E4446" i="7"/>
  <c r="F4306" i="7"/>
  <c r="F851" i="7"/>
  <c r="E2437" i="7"/>
  <c r="E4617" i="7"/>
  <c r="F4617" i="7"/>
  <c r="F4391" i="7"/>
  <c r="E4391" i="7"/>
  <c r="F4219" i="7"/>
  <c r="E4219" i="7"/>
  <c r="E2584" i="7"/>
  <c r="F2584" i="7"/>
  <c r="E4851" i="7"/>
  <c r="F4851" i="7"/>
  <c r="F4743" i="7"/>
  <c r="E4743" i="7"/>
  <c r="F2825" i="7"/>
  <c r="E2825" i="7"/>
  <c r="F4310" i="7"/>
  <c r="E4310" i="7"/>
  <c r="E2689" i="7"/>
  <c r="F2689" i="7"/>
  <c r="E4102" i="7"/>
  <c r="F4102" i="7"/>
  <c r="E3619" i="7"/>
  <c r="F3619" i="7"/>
  <c r="E3448" i="7"/>
  <c r="F3448" i="7"/>
  <c r="F3054" i="7"/>
  <c r="E3054" i="7"/>
  <c r="E2797" i="7"/>
  <c r="F2797" i="7"/>
  <c r="E3113" i="7"/>
  <c r="F3113" i="7"/>
  <c r="E3060" i="7"/>
  <c r="F3060" i="7"/>
  <c r="E3601" i="7"/>
  <c r="F3601" i="7"/>
  <c r="E2441" i="7"/>
  <c r="F2441" i="7"/>
  <c r="E1675" i="7"/>
  <c r="F1675" i="7"/>
  <c r="E2207" i="7"/>
  <c r="F2207" i="7"/>
  <c r="E2368" i="7"/>
  <c r="F2368" i="7"/>
  <c r="E890" i="7"/>
  <c r="F890" i="7"/>
  <c r="E2094" i="7"/>
  <c r="F2094" i="7"/>
  <c r="E2250" i="7"/>
  <c r="F2250" i="7"/>
  <c r="F2218" i="7"/>
  <c r="E2218" i="7"/>
  <c r="E2503" i="7"/>
  <c r="F2503" i="7"/>
  <c r="E2377" i="7"/>
  <c r="F2377" i="7"/>
  <c r="E2255" i="7"/>
  <c r="F2255" i="7"/>
  <c r="E1435" i="7"/>
  <c r="F1435" i="7"/>
  <c r="E2054" i="7"/>
  <c r="F2054" i="7"/>
  <c r="E1700" i="7"/>
  <c r="F1700" i="7"/>
  <c r="E452" i="7"/>
  <c r="F452" i="7"/>
  <c r="F2002" i="7"/>
  <c r="E2002" i="7"/>
  <c r="E491" i="7"/>
  <c r="F491" i="7"/>
  <c r="E1713" i="7"/>
  <c r="F1713" i="7"/>
  <c r="E916" i="7"/>
  <c r="F916" i="7"/>
  <c r="E283" i="7"/>
  <c r="F283" i="7"/>
  <c r="E867" i="7"/>
  <c r="F867" i="7"/>
  <c r="E309" i="7"/>
  <c r="F309" i="7"/>
  <c r="F267" i="7"/>
  <c r="E267" i="7"/>
  <c r="E756" i="7"/>
  <c r="F756" i="7"/>
  <c r="E1661" i="7"/>
  <c r="F1661" i="7"/>
  <c r="E293" i="7"/>
  <c r="F293" i="7"/>
  <c r="F4091" i="7"/>
  <c r="E4091" i="7"/>
  <c r="F2032" i="7"/>
  <c r="E5000" i="7"/>
  <c r="F5000" i="7"/>
  <c r="E4547" i="7"/>
  <c r="F4547" i="7"/>
  <c r="F4252" i="7"/>
  <c r="E4252" i="7"/>
  <c r="E4352" i="7"/>
  <c r="F4352" i="7"/>
  <c r="E2947" i="7"/>
  <c r="F2947" i="7"/>
  <c r="E4353" i="7"/>
  <c r="F4353" i="7"/>
  <c r="E4463" i="7"/>
  <c r="F4463" i="7"/>
  <c r="E4714" i="7"/>
  <c r="F4714" i="7"/>
  <c r="E4125" i="7"/>
  <c r="F4125" i="7"/>
  <c r="E4729" i="7"/>
  <c r="F4729" i="7"/>
  <c r="E3891" i="7"/>
  <c r="F3891" i="7"/>
  <c r="E4567" i="7"/>
  <c r="F4567" i="7"/>
  <c r="F4691" i="7"/>
  <c r="F3554" i="7"/>
  <c r="F2780" i="7"/>
  <c r="F2993" i="7"/>
  <c r="F2768" i="7"/>
  <c r="F3127" i="7"/>
  <c r="F2891" i="7"/>
  <c r="F2826" i="7"/>
  <c r="F4081" i="7"/>
  <c r="F4316" i="7"/>
  <c r="F4059" i="7"/>
  <c r="F3857" i="7"/>
  <c r="F2092" i="7"/>
  <c r="E3918" i="7"/>
  <c r="F3670" i="7"/>
  <c r="F2752" i="7"/>
  <c r="E3011" i="7"/>
  <c r="F3853" i="7"/>
  <c r="F3867" i="7"/>
  <c r="E4056" i="7"/>
  <c r="E3575" i="7"/>
  <c r="F2385" i="7"/>
  <c r="F4026" i="7"/>
  <c r="E4026" i="7"/>
  <c r="F4216" i="7"/>
  <c r="E4216" i="7"/>
  <c r="E3844" i="7"/>
  <c r="F3844" i="7"/>
  <c r="F3740" i="7"/>
  <c r="E3740" i="7"/>
  <c r="E3005" i="7"/>
  <c r="F3005" i="7"/>
  <c r="E3321" i="7"/>
  <c r="F3321" i="7"/>
  <c r="E3189" i="7"/>
  <c r="F3189" i="7"/>
  <c r="E2936" i="7"/>
  <c r="F2936" i="7"/>
  <c r="E3381" i="7"/>
  <c r="F3381" i="7"/>
  <c r="E3739" i="7"/>
  <c r="F3739" i="7"/>
  <c r="E4031" i="7"/>
  <c r="F4031" i="7"/>
  <c r="F3685" i="7"/>
  <c r="E3685" i="7"/>
  <c r="E2835" i="7"/>
  <c r="F2835" i="7"/>
  <c r="F3176" i="7"/>
  <c r="E3176" i="7"/>
  <c r="F4398" i="7"/>
  <c r="E4398" i="7"/>
  <c r="F2934" i="7"/>
  <c r="E2934" i="7"/>
  <c r="F3183" i="7"/>
  <c r="E3183" i="7"/>
  <c r="E2404" i="7"/>
  <c r="F2404" i="7"/>
  <c r="E2101" i="7"/>
  <c r="F2101" i="7"/>
  <c r="E1395" i="7"/>
  <c r="F1395" i="7"/>
  <c r="E2423" i="7"/>
  <c r="F2423" i="7"/>
  <c r="E1801" i="7"/>
  <c r="F1801" i="7"/>
  <c r="E2261" i="7"/>
  <c r="F2261" i="7"/>
  <c r="E2130" i="7"/>
  <c r="F2130" i="7"/>
  <c r="E2405" i="7"/>
  <c r="F2405" i="7"/>
  <c r="E2221" i="7"/>
  <c r="F2221" i="7"/>
  <c r="E1202" i="7"/>
  <c r="F1202" i="7"/>
  <c r="E1981" i="7"/>
  <c r="F1981" i="7"/>
  <c r="F1130" i="7"/>
  <c r="E1130" i="7"/>
  <c r="E237" i="7"/>
  <c r="F237" i="7"/>
  <c r="E1131" i="7"/>
  <c r="F1131" i="7"/>
  <c r="E1170" i="7"/>
  <c r="F1170" i="7"/>
  <c r="E1778" i="7"/>
  <c r="F1778" i="7"/>
  <c r="F906" i="7"/>
  <c r="E906" i="7"/>
  <c r="E404" i="7"/>
  <c r="F404" i="7"/>
  <c r="E621" i="7"/>
  <c r="F621" i="7"/>
  <c r="E154" i="7"/>
  <c r="F154" i="7"/>
  <c r="F2315" i="7"/>
  <c r="E2315" i="7"/>
  <c r="E797" i="7"/>
  <c r="F797" i="7"/>
  <c r="F3110" i="7"/>
  <c r="E4369" i="7"/>
  <c r="F4369" i="7"/>
  <c r="E4497" i="7"/>
  <c r="F4497" i="7"/>
  <c r="E4764" i="7"/>
  <c r="F4764" i="7"/>
  <c r="E3840" i="7"/>
  <c r="F3840" i="7"/>
  <c r="F4564" i="7"/>
  <c r="E4564" i="7"/>
  <c r="E4507" i="7"/>
  <c r="F4507" i="7"/>
  <c r="E4637" i="7"/>
  <c r="F4637" i="7"/>
  <c r="E4217" i="7"/>
  <c r="F4217" i="7"/>
  <c r="F4839" i="7"/>
  <c r="E4839" i="7"/>
  <c r="E3963" i="7"/>
  <c r="F3963" i="7"/>
  <c r="F380" i="7"/>
  <c r="F4552" i="7"/>
  <c r="F4105" i="7"/>
  <c r="F3201" i="7"/>
  <c r="F3056" i="7"/>
  <c r="F4944" i="7"/>
  <c r="E3107" i="7"/>
  <c r="E1484" i="7"/>
  <c r="E4993" i="7"/>
  <c r="E3513" i="7"/>
  <c r="E1597" i="7"/>
  <c r="E2615" i="7"/>
  <c r="F4461" i="7"/>
  <c r="F1530" i="7"/>
  <c r="E4268" i="7"/>
  <c r="F4268" i="7"/>
  <c r="E4569" i="7"/>
  <c r="F4569" i="7"/>
  <c r="E4880" i="7"/>
  <c r="F4880" i="7"/>
  <c r="F4368" i="7"/>
  <c r="E4368" i="7"/>
  <c r="E4167" i="7"/>
  <c r="F4167" i="7"/>
  <c r="E3506" i="7"/>
  <c r="F3506" i="7"/>
  <c r="E3725" i="7"/>
  <c r="F3725" i="7"/>
  <c r="E3220" i="7"/>
  <c r="F3220" i="7"/>
  <c r="E2875" i="7"/>
  <c r="F2875" i="7"/>
  <c r="E3330" i="7"/>
  <c r="F3330" i="7"/>
  <c r="E3251" i="7"/>
  <c r="F3251" i="7"/>
  <c r="E3031" i="7"/>
  <c r="F3031" i="7"/>
  <c r="F3490" i="7"/>
  <c r="E3490" i="7"/>
  <c r="E3569" i="7"/>
  <c r="F3569" i="7"/>
  <c r="E3638" i="7"/>
  <c r="F3638" i="7"/>
  <c r="E3709" i="7"/>
  <c r="F3709" i="7"/>
  <c r="F2806" i="7"/>
  <c r="E2806" i="7"/>
  <c r="E3156" i="7"/>
  <c r="F3156" i="7"/>
  <c r="E2941" i="7"/>
  <c r="F2941" i="7"/>
  <c r="E3371" i="7"/>
  <c r="F3371" i="7"/>
  <c r="E3314" i="7"/>
  <c r="F3314" i="7"/>
  <c r="E3200" i="7"/>
  <c r="F3200" i="7"/>
  <c r="E3753" i="7"/>
  <c r="F3753" i="7"/>
  <c r="E2910" i="7"/>
  <c r="F2910" i="7"/>
  <c r="E3196" i="7"/>
  <c r="F3196" i="7"/>
  <c r="E3459" i="7"/>
  <c r="F3459" i="7"/>
  <c r="E2531" i="7"/>
  <c r="F2531" i="7"/>
  <c r="E2986" i="7"/>
  <c r="F2986" i="7"/>
  <c r="E3441" i="7"/>
  <c r="F3441" i="7"/>
  <c r="E3847" i="7"/>
  <c r="F3847" i="7"/>
  <c r="F4670" i="7"/>
  <c r="E4670" i="7"/>
  <c r="E3794" i="7"/>
  <c r="F3794" i="7"/>
  <c r="E2798" i="7"/>
  <c r="F2798" i="7"/>
  <c r="E3116" i="7"/>
  <c r="F3116" i="7"/>
  <c r="E3501" i="7"/>
  <c r="F3501" i="7"/>
  <c r="E2733" i="7"/>
  <c r="F2733" i="7"/>
  <c r="E2651" i="7"/>
  <c r="F2651" i="7"/>
  <c r="E3049" i="7"/>
  <c r="F3049" i="7"/>
  <c r="E2537" i="7"/>
  <c r="F2537" i="7"/>
  <c r="E3455" i="7"/>
  <c r="F3455" i="7"/>
  <c r="E2943" i="7"/>
  <c r="F2943" i="7"/>
  <c r="E4278" i="7"/>
  <c r="F4278" i="7"/>
  <c r="F3663" i="7"/>
  <c r="E3663" i="7"/>
  <c r="E3278" i="7"/>
  <c r="F3278" i="7"/>
  <c r="E3550" i="7"/>
  <c r="F3550" i="7"/>
  <c r="E3708" i="7"/>
  <c r="F3708" i="7"/>
  <c r="E2853" i="7"/>
  <c r="F2853" i="7"/>
  <c r="F2714" i="7"/>
  <c r="E2714" i="7"/>
  <c r="E3169" i="7"/>
  <c r="F3169" i="7"/>
  <c r="E2657" i="7"/>
  <c r="F2657" i="7"/>
  <c r="E2600" i="7"/>
  <c r="F2600" i="7"/>
  <c r="E3537" i="7"/>
  <c r="F3537" i="7"/>
  <c r="E3677" i="7"/>
  <c r="F3677" i="7"/>
  <c r="F2909" i="7"/>
  <c r="E2909" i="7"/>
  <c r="E3339" i="7"/>
  <c r="F3339" i="7"/>
  <c r="E2656" i="7"/>
  <c r="F2656" i="7"/>
  <c r="E2607" i="7"/>
  <c r="F2607" i="7"/>
  <c r="E2151" i="7"/>
  <c r="F2151" i="7"/>
  <c r="F2096" i="7"/>
  <c r="E2096" i="7"/>
  <c r="E1620" i="7"/>
  <c r="F1620" i="7"/>
  <c r="E1971" i="7"/>
  <c r="F1971" i="7"/>
  <c r="E1548" i="7"/>
  <c r="F1548" i="7"/>
  <c r="E2156" i="7"/>
  <c r="F2156" i="7"/>
  <c r="E1852" i="7"/>
  <c r="F1852" i="7"/>
  <c r="E2501" i="7"/>
  <c r="F2501" i="7"/>
  <c r="E2137" i="7"/>
  <c r="F2137" i="7"/>
  <c r="F1356" i="7"/>
  <c r="E1356" i="7"/>
  <c r="E1826" i="7"/>
  <c r="F1826" i="7"/>
  <c r="E651" i="7"/>
  <c r="F651" i="7"/>
  <c r="E315" i="7"/>
  <c r="F315" i="7"/>
  <c r="E2088" i="7"/>
  <c r="F2088" i="7"/>
  <c r="E2292" i="7"/>
  <c r="F2292" i="7"/>
  <c r="E2125" i="7"/>
  <c r="F2125" i="7"/>
  <c r="E2470" i="7"/>
  <c r="F2470" i="7"/>
  <c r="E2273" i="7"/>
  <c r="F2273" i="7"/>
  <c r="E1796" i="7"/>
  <c r="F1796" i="7"/>
  <c r="E1827" i="7"/>
  <c r="F1827" i="7"/>
  <c r="F332" i="7"/>
  <c r="E332" i="7"/>
  <c r="E2325" i="7"/>
  <c r="F2325" i="7"/>
  <c r="E2175" i="7"/>
  <c r="F2175" i="7"/>
  <c r="E2120" i="7"/>
  <c r="F2120" i="7"/>
  <c r="E2314" i="7"/>
  <c r="F2314" i="7"/>
  <c r="E1588" i="7"/>
  <c r="F1588" i="7"/>
  <c r="E1563" i="7"/>
  <c r="F1563" i="7"/>
  <c r="E2372" i="7"/>
  <c r="F2372" i="7"/>
  <c r="E2194" i="7"/>
  <c r="F2194" i="7"/>
  <c r="F1715" i="7"/>
  <c r="E1715" i="7"/>
  <c r="E2090" i="7"/>
  <c r="F2090" i="7"/>
  <c r="E2124" i="7"/>
  <c r="F2124" i="7"/>
  <c r="F1884" i="7"/>
  <c r="E1884" i="7"/>
  <c r="E2469" i="7"/>
  <c r="F2469" i="7"/>
  <c r="E2302" i="7"/>
  <c r="F2302" i="7"/>
  <c r="E2264" i="7"/>
  <c r="F2264" i="7"/>
  <c r="E2458" i="7"/>
  <c r="F2458" i="7"/>
  <c r="F907" i="7"/>
  <c r="E907" i="7"/>
  <c r="E571" i="7"/>
  <c r="F571" i="7"/>
  <c r="E2452" i="7"/>
  <c r="F2452" i="7"/>
  <c r="E2285" i="7"/>
  <c r="F2285" i="7"/>
  <c r="F2118" i="7"/>
  <c r="E2118" i="7"/>
  <c r="E2080" i="7"/>
  <c r="F2080" i="7"/>
  <c r="F3763" i="7"/>
  <c r="F3125" i="7"/>
  <c r="F3163" i="7"/>
  <c r="F2802" i="7"/>
  <c r="F2957" i="7"/>
  <c r="F2929" i="7"/>
  <c r="E3075" i="7"/>
  <c r="E3335" i="7"/>
  <c r="F3822" i="7"/>
  <c r="F2771" i="7"/>
  <c r="F3226" i="7"/>
  <c r="F2524" i="7"/>
  <c r="F3150" i="7"/>
  <c r="F2761" i="7"/>
  <c r="F3283" i="7"/>
  <c r="F2165" i="7"/>
  <c r="F3504" i="7"/>
  <c r="F3151" i="7"/>
  <c r="E2639" i="7"/>
  <c r="F3856" i="7"/>
  <c r="F3623" i="7"/>
  <c r="F3518" i="7"/>
  <c r="F3137" i="7"/>
  <c r="F2625" i="7"/>
  <c r="E4057" i="7"/>
  <c r="F2613" i="7"/>
  <c r="F2804" i="7"/>
  <c r="F4679" i="7"/>
  <c r="E2870" i="7"/>
  <c r="F4366" i="7"/>
  <c r="F3194" i="7"/>
  <c r="F2859" i="7"/>
  <c r="F2704" i="7"/>
  <c r="F3080" i="7"/>
  <c r="F2688" i="7"/>
  <c r="F2655" i="7"/>
  <c r="F4246" i="7"/>
  <c r="F3675" i="7"/>
  <c r="E3854" i="7"/>
  <c r="E3112" i="7"/>
  <c r="E3785" i="7"/>
  <c r="F3168" i="7"/>
  <c r="F2739" i="7"/>
  <c r="F2855" i="7"/>
  <c r="F2114" i="7"/>
  <c r="E1611" i="7"/>
  <c r="F1611" i="7"/>
  <c r="E388" i="7"/>
  <c r="F388" i="7"/>
  <c r="E781" i="7"/>
  <c r="F781" i="7"/>
  <c r="E1938" i="7"/>
  <c r="F1938" i="7"/>
  <c r="E1426" i="7"/>
  <c r="F1426" i="7"/>
  <c r="E1465" i="7"/>
  <c r="F1465" i="7"/>
  <c r="F763" i="7"/>
  <c r="E763" i="7"/>
  <c r="F1066" i="7"/>
  <c r="E1066" i="7"/>
  <c r="E427" i="7"/>
  <c r="F427" i="7"/>
  <c r="E658" i="7"/>
  <c r="F658" i="7"/>
  <c r="F1610" i="7"/>
  <c r="E1610" i="7"/>
  <c r="E1649" i="7"/>
  <c r="F1649" i="7"/>
  <c r="F738" i="7"/>
  <c r="E738" i="7"/>
  <c r="E250" i="7"/>
  <c r="F250" i="7"/>
  <c r="E1730" i="7"/>
  <c r="F1730" i="7"/>
  <c r="E1769" i="7"/>
  <c r="F1769" i="7"/>
  <c r="E972" i="7"/>
  <c r="F972" i="7"/>
  <c r="E1067" i="7"/>
  <c r="F1067" i="7"/>
  <c r="E1370" i="7"/>
  <c r="F1370" i="7"/>
  <c r="E108" i="7"/>
  <c r="F108" i="7"/>
  <c r="F402" i="7"/>
  <c r="E402" i="7"/>
  <c r="E2339" i="7"/>
  <c r="F2339" i="7"/>
  <c r="F1978" i="7"/>
  <c r="E1978" i="7"/>
  <c r="E1466" i="7"/>
  <c r="F1466" i="7"/>
  <c r="E708" i="7"/>
  <c r="F708" i="7"/>
  <c r="E1106" i="7"/>
  <c r="F1106" i="7"/>
  <c r="E698" i="7"/>
  <c r="F698" i="7"/>
  <c r="E1714" i="7"/>
  <c r="F1714" i="7"/>
  <c r="E1753" i="7"/>
  <c r="F1753" i="7"/>
  <c r="E1051" i="7"/>
  <c r="F1051" i="7"/>
  <c r="E1354" i="7"/>
  <c r="F1354" i="7"/>
  <c r="E842" i="7"/>
  <c r="F842" i="7"/>
  <c r="F203" i="7"/>
  <c r="E203" i="7"/>
  <c r="E386" i="7"/>
  <c r="F386" i="7"/>
  <c r="E1397" i="7"/>
  <c r="F1397" i="7"/>
  <c r="E1962" i="7"/>
  <c r="F1962" i="7"/>
  <c r="E1450" i="7"/>
  <c r="F1450" i="7"/>
  <c r="E692" i="7"/>
  <c r="F692" i="7"/>
  <c r="E1090" i="7"/>
  <c r="F1090" i="7"/>
  <c r="F682" i="7"/>
  <c r="E682" i="7"/>
  <c r="E1485" i="7"/>
  <c r="F1485" i="7"/>
  <c r="E98" i="7"/>
  <c r="F98" i="7"/>
  <c r="E1821" i="7"/>
  <c r="F1821" i="7"/>
  <c r="E90" i="7"/>
  <c r="F90" i="7"/>
  <c r="E1317" i="7"/>
  <c r="F1317" i="7"/>
  <c r="E437" i="7"/>
  <c r="F437" i="7"/>
  <c r="E2131" i="7"/>
  <c r="F2131" i="7"/>
  <c r="F1221" i="7"/>
  <c r="E1221" i="7"/>
  <c r="E58" i="7"/>
  <c r="F58" i="7"/>
  <c r="E1403" i="7"/>
  <c r="F1138" i="7"/>
  <c r="F500" i="7"/>
  <c r="F1260" i="7"/>
  <c r="F1683" i="7"/>
  <c r="E1283" i="7"/>
  <c r="F740" i="7"/>
  <c r="F858" i="7"/>
  <c r="F956" i="7"/>
  <c r="E3578" i="7"/>
  <c r="E3813" i="7"/>
  <c r="E4543" i="7"/>
  <c r="E3905" i="7"/>
  <c r="E4763" i="7"/>
  <c r="E3706" i="7"/>
  <c r="E3987" i="7"/>
  <c r="E4727" i="7"/>
  <c r="E4837" i="7"/>
  <c r="E4426" i="7"/>
  <c r="E4020" i="7"/>
  <c r="F3821" i="7"/>
  <c r="F4509" i="7"/>
  <c r="E3446" i="7"/>
  <c r="E1209" i="7"/>
  <c r="F1209" i="7"/>
  <c r="E1976" i="7"/>
  <c r="F1976" i="7"/>
  <c r="E1559" i="7"/>
  <c r="F1559" i="7"/>
  <c r="E1143" i="7"/>
  <c r="F1143" i="7"/>
  <c r="E1935" i="7"/>
  <c r="F1935" i="7"/>
  <c r="E1958" i="7"/>
  <c r="F1958" i="7"/>
  <c r="E1456" i="7"/>
  <c r="F1456" i="7"/>
  <c r="E1952" i="7"/>
  <c r="F1952" i="7"/>
  <c r="F1367" i="7"/>
  <c r="E1367" i="7"/>
  <c r="E951" i="7"/>
  <c r="F951" i="7"/>
  <c r="E1648" i="7"/>
  <c r="F1648" i="7"/>
  <c r="E889" i="7"/>
  <c r="F889" i="7"/>
  <c r="E1967" i="7"/>
  <c r="F1967" i="7"/>
  <c r="E1992" i="7"/>
  <c r="F1992" i="7"/>
  <c r="E1687" i="7"/>
  <c r="F1687" i="7"/>
  <c r="E672" i="7"/>
  <c r="F672" i="7"/>
  <c r="E1601" i="7"/>
  <c r="F1601" i="7"/>
  <c r="E1576" i="7"/>
  <c r="F1576" i="7"/>
  <c r="E1743" i="7"/>
  <c r="F1743" i="7"/>
  <c r="E1231" i="7"/>
  <c r="F1231" i="7"/>
  <c r="E1486" i="7"/>
  <c r="F1486" i="7"/>
  <c r="E1329" i="7"/>
  <c r="F1329" i="7"/>
  <c r="E817" i="7"/>
  <c r="F817" i="7"/>
  <c r="E728" i="7"/>
  <c r="F728" i="7"/>
  <c r="E815" i="7"/>
  <c r="F815" i="7"/>
  <c r="E1086" i="7"/>
  <c r="F1086" i="7"/>
  <c r="E1504" i="7"/>
  <c r="F1504" i="7"/>
  <c r="F1671" i="7"/>
  <c r="E1671" i="7"/>
  <c r="E1926" i="7"/>
  <c r="F1926" i="7"/>
  <c r="E1414" i="7"/>
  <c r="F1414" i="7"/>
  <c r="E1257" i="7"/>
  <c r="F1257" i="7"/>
  <c r="E745" i="7"/>
  <c r="F745" i="7"/>
  <c r="E656" i="7"/>
  <c r="F656" i="7"/>
  <c r="F743" i="7"/>
  <c r="E743" i="7"/>
  <c r="E1014" i="7"/>
  <c r="F1014" i="7"/>
  <c r="E73" i="7"/>
  <c r="F73" i="7"/>
  <c r="E345" i="7"/>
  <c r="F345" i="7"/>
  <c r="E1688" i="7"/>
  <c r="F1688" i="7"/>
  <c r="E1176" i="7"/>
  <c r="F1176" i="7"/>
  <c r="E1343" i="7"/>
  <c r="F1343" i="7"/>
  <c r="F1598" i="7"/>
  <c r="E1598" i="7"/>
  <c r="E802" i="7"/>
  <c r="F802" i="7"/>
  <c r="E929" i="7"/>
  <c r="F929" i="7"/>
  <c r="E840" i="7"/>
  <c r="F840" i="7"/>
  <c r="E927" i="7"/>
  <c r="F927" i="7"/>
  <c r="F1198" i="7"/>
  <c r="E1198" i="7"/>
  <c r="E330" i="7"/>
  <c r="F330" i="7"/>
  <c r="E1509" i="7"/>
  <c r="F1509" i="7"/>
  <c r="E1808" i="7"/>
  <c r="F1808" i="7"/>
  <c r="E1296" i="7"/>
  <c r="F1296" i="7"/>
  <c r="E1463" i="7"/>
  <c r="F1463" i="7"/>
  <c r="E1718" i="7"/>
  <c r="F1718" i="7"/>
  <c r="E1049" i="7"/>
  <c r="F1049" i="7"/>
  <c r="E960" i="7"/>
  <c r="F960" i="7"/>
  <c r="E1047" i="7"/>
  <c r="F1047" i="7"/>
  <c r="E1318" i="7"/>
  <c r="F1318" i="7"/>
  <c r="E806" i="7"/>
  <c r="F806" i="7"/>
  <c r="E490" i="7"/>
  <c r="F490" i="7"/>
  <c r="E518" i="7"/>
  <c r="F518" i="7"/>
  <c r="E1569" i="7"/>
  <c r="F1569" i="7"/>
  <c r="F1544" i="7"/>
  <c r="E1544" i="7"/>
  <c r="E1711" i="7"/>
  <c r="F1711" i="7"/>
  <c r="E1199" i="7"/>
  <c r="F1199" i="7"/>
  <c r="E1454" i="7"/>
  <c r="F1454" i="7"/>
  <c r="F1297" i="7"/>
  <c r="E1297" i="7"/>
  <c r="F785" i="7"/>
  <c r="E785" i="7"/>
  <c r="F696" i="7"/>
  <c r="E696" i="7"/>
  <c r="E783" i="7"/>
  <c r="F783" i="7"/>
  <c r="F1054" i="7"/>
  <c r="E1054" i="7"/>
  <c r="E665" i="7"/>
  <c r="F665" i="7"/>
  <c r="E1792" i="7"/>
  <c r="F1792" i="7"/>
  <c r="E1280" i="7"/>
  <c r="F1280" i="7"/>
  <c r="E1447" i="7"/>
  <c r="F1447" i="7"/>
  <c r="E1702" i="7"/>
  <c r="F1702" i="7"/>
  <c r="E1033" i="7"/>
  <c r="F1033" i="7"/>
  <c r="E944" i="7"/>
  <c r="F944" i="7"/>
  <c r="F1031" i="7"/>
  <c r="E1031" i="7"/>
  <c r="E1302" i="7"/>
  <c r="F1302" i="7"/>
  <c r="E790" i="7"/>
  <c r="F790" i="7"/>
  <c r="E390" i="7"/>
  <c r="F390" i="7"/>
  <c r="F1553" i="7"/>
  <c r="E1553" i="7"/>
  <c r="E1528" i="7"/>
  <c r="F1528" i="7"/>
  <c r="E1695" i="7"/>
  <c r="F1695" i="7"/>
  <c r="E1183" i="7"/>
  <c r="F1183" i="7"/>
  <c r="E1438" i="7"/>
  <c r="F1438" i="7"/>
  <c r="E1281" i="7"/>
  <c r="F1281" i="7"/>
  <c r="E769" i="7"/>
  <c r="F769" i="7"/>
  <c r="E680" i="7"/>
  <c r="F680" i="7"/>
  <c r="E767" i="7"/>
  <c r="F767" i="7"/>
  <c r="E1038" i="7"/>
  <c r="F1038" i="7"/>
  <c r="E537" i="7"/>
  <c r="F537" i="7"/>
  <c r="E1725" i="7"/>
  <c r="F1725" i="7"/>
  <c r="F401" i="7"/>
  <c r="E401" i="7"/>
  <c r="F392" i="7"/>
  <c r="E392" i="7"/>
  <c r="F487" i="7"/>
  <c r="E487" i="7"/>
  <c r="E62" i="7"/>
  <c r="F62" i="7"/>
  <c r="E190" i="7"/>
  <c r="F190" i="7"/>
  <c r="F1037" i="7"/>
  <c r="E1037" i="7"/>
  <c r="E585" i="7"/>
  <c r="F585" i="7"/>
  <c r="E64" i="7"/>
  <c r="F64" i="7"/>
  <c r="E159" i="7"/>
  <c r="F159" i="7"/>
  <c r="E374" i="7"/>
  <c r="F374" i="7"/>
  <c r="E1293" i="7"/>
  <c r="F1293" i="7"/>
  <c r="E941" i="7"/>
  <c r="F941" i="7"/>
  <c r="E385" i="7"/>
  <c r="F385" i="7"/>
  <c r="F376" i="7"/>
  <c r="E376" i="7"/>
  <c r="E471" i="7"/>
  <c r="F471" i="7"/>
  <c r="E686" i="7"/>
  <c r="F686" i="7"/>
  <c r="E174" i="7"/>
  <c r="F174" i="7"/>
  <c r="E377" i="7"/>
  <c r="F377" i="7"/>
  <c r="E368" i="7"/>
  <c r="F368" i="7"/>
  <c r="E463" i="7"/>
  <c r="F463" i="7"/>
  <c r="E678" i="7"/>
  <c r="F678" i="7"/>
  <c r="E150" i="7"/>
  <c r="F150" i="7"/>
  <c r="E901" i="7"/>
  <c r="F901" i="7"/>
  <c r="E501" i="7"/>
  <c r="F501" i="7"/>
  <c r="F369" i="7"/>
  <c r="E369" i="7"/>
  <c r="F360" i="7"/>
  <c r="E360" i="7"/>
  <c r="E455" i="7"/>
  <c r="F455" i="7"/>
  <c r="E670" i="7"/>
  <c r="F670" i="7"/>
  <c r="E126" i="7"/>
  <c r="F126" i="7"/>
  <c r="E837" i="7"/>
  <c r="F837" i="7"/>
  <c r="E138" i="7"/>
  <c r="F138" i="7"/>
  <c r="E361" i="7"/>
  <c r="F361" i="7"/>
  <c r="E352" i="7"/>
  <c r="F352" i="7"/>
  <c r="E447" i="7"/>
  <c r="F447" i="7"/>
  <c r="E662" i="7"/>
  <c r="F662" i="7"/>
  <c r="E102" i="7"/>
  <c r="F102" i="7"/>
  <c r="F365" i="7"/>
  <c r="E365" i="7"/>
  <c r="E353" i="7"/>
  <c r="F353" i="7"/>
  <c r="E344" i="7"/>
  <c r="F344" i="7"/>
  <c r="E439" i="7"/>
  <c r="F439" i="7"/>
  <c r="E654" i="7"/>
  <c r="F654" i="7"/>
  <c r="E78" i="7"/>
  <c r="F78" i="7"/>
  <c r="E765" i="7"/>
  <c r="F765" i="7"/>
  <c r="F4525" i="7"/>
  <c r="F3858" i="7"/>
  <c r="F3239" i="7"/>
  <c r="F4793" i="7"/>
  <c r="F3802" i="7"/>
  <c r="F4116" i="7"/>
  <c r="F4281" i="7"/>
  <c r="F3809" i="7"/>
  <c r="F4914" i="7"/>
  <c r="F4633" i="7"/>
  <c r="F4432" i="7"/>
  <c r="F4123" i="7"/>
  <c r="F3904" i="7"/>
  <c r="F4970" i="7"/>
  <c r="F4450" i="7"/>
  <c r="F4053" i="7"/>
  <c r="F4868" i="7"/>
  <c r="F4844" i="7"/>
  <c r="F4886" i="7"/>
  <c r="F4215" i="7"/>
  <c r="F4330" i="7"/>
  <c r="F3882" i="7"/>
  <c r="F3599" i="7"/>
  <c r="F3280" i="7"/>
  <c r="F3021" i="7"/>
  <c r="F2601" i="7"/>
  <c r="F3453" i="7"/>
  <c r="F2583" i="7"/>
  <c r="F3264" i="7"/>
  <c r="E608" i="7"/>
  <c r="F608" i="7"/>
  <c r="E1912" i="7"/>
  <c r="F1912" i="7"/>
  <c r="E1814" i="7"/>
  <c r="F1814" i="7"/>
  <c r="E631" i="7"/>
  <c r="F631" i="7"/>
  <c r="E1871" i="7"/>
  <c r="F1871" i="7"/>
  <c r="E1623" i="7"/>
  <c r="F1623" i="7"/>
  <c r="E1776" i="7"/>
  <c r="F1776" i="7"/>
  <c r="E1017" i="7"/>
  <c r="F1017" i="7"/>
  <c r="E262" i="7"/>
  <c r="F262" i="7"/>
  <c r="E1888" i="7"/>
  <c r="F1888" i="7"/>
  <c r="E1622" i="7"/>
  <c r="F1622" i="7"/>
  <c r="E1222" i="7"/>
  <c r="F1222" i="7"/>
  <c r="E1953" i="7"/>
  <c r="F1953" i="7"/>
  <c r="E2008" i="7"/>
  <c r="F2008" i="7"/>
  <c r="F1815" i="7"/>
  <c r="E1815" i="7"/>
  <c r="E800" i="7"/>
  <c r="F800" i="7"/>
  <c r="E1903" i="7"/>
  <c r="F1903" i="7"/>
  <c r="F1928" i="7"/>
  <c r="E1928" i="7"/>
  <c r="F1175" i="7"/>
  <c r="E1175" i="7"/>
  <c r="E759" i="7"/>
  <c r="F759" i="7"/>
  <c r="E1537" i="7"/>
  <c r="F1537" i="7"/>
  <c r="F1512" i="7"/>
  <c r="E1512" i="7"/>
  <c r="E1679" i="7"/>
  <c r="F1679" i="7"/>
  <c r="E1167" i="7"/>
  <c r="F1167" i="7"/>
  <c r="F1422" i="7"/>
  <c r="E1422" i="7"/>
  <c r="F1265" i="7"/>
  <c r="E1265" i="7"/>
  <c r="F753" i="7"/>
  <c r="E753" i="7"/>
  <c r="F664" i="7"/>
  <c r="E664" i="7"/>
  <c r="E751" i="7"/>
  <c r="F751" i="7"/>
  <c r="E1022" i="7"/>
  <c r="F1022" i="7"/>
  <c r="E105" i="7"/>
  <c r="F105" i="7"/>
  <c r="E409" i="7"/>
  <c r="F409" i="7"/>
  <c r="E1440" i="7"/>
  <c r="F1440" i="7"/>
  <c r="E1607" i="7"/>
  <c r="F1607" i="7"/>
  <c r="E1862" i="7"/>
  <c r="F1862" i="7"/>
  <c r="E1350" i="7"/>
  <c r="F1350" i="7"/>
  <c r="E1193" i="7"/>
  <c r="F1193" i="7"/>
  <c r="E1104" i="7"/>
  <c r="F1104" i="7"/>
  <c r="E592" i="7"/>
  <c r="F592" i="7"/>
  <c r="E679" i="7"/>
  <c r="F679" i="7"/>
  <c r="E950" i="7"/>
  <c r="F950" i="7"/>
  <c r="E336" i="7"/>
  <c r="F336" i="7"/>
  <c r="E1624" i="7"/>
  <c r="F1624" i="7"/>
  <c r="E1791" i="7"/>
  <c r="F1791" i="7"/>
  <c r="E1279" i="7"/>
  <c r="F1279" i="7"/>
  <c r="E1534" i="7"/>
  <c r="F1534" i="7"/>
  <c r="E1250" i="7"/>
  <c r="F1250" i="7"/>
  <c r="E865" i="7"/>
  <c r="F865" i="7"/>
  <c r="F776" i="7"/>
  <c r="E776" i="7"/>
  <c r="E863" i="7"/>
  <c r="F863" i="7"/>
  <c r="F1134" i="7"/>
  <c r="E1134" i="7"/>
  <c r="E153" i="7"/>
  <c r="F153" i="7"/>
  <c r="E1744" i="7"/>
  <c r="F1744" i="7"/>
  <c r="E1232" i="7"/>
  <c r="F1232" i="7"/>
  <c r="E1399" i="7"/>
  <c r="F1399" i="7"/>
  <c r="E1654" i="7"/>
  <c r="F1654" i="7"/>
  <c r="E985" i="7"/>
  <c r="F985" i="7"/>
  <c r="E896" i="7"/>
  <c r="F896" i="7"/>
  <c r="E983" i="7"/>
  <c r="F983" i="7"/>
  <c r="E1254" i="7"/>
  <c r="F1254" i="7"/>
  <c r="E742" i="7"/>
  <c r="F742" i="7"/>
  <c r="E1505" i="7"/>
  <c r="F1505" i="7"/>
  <c r="E1480" i="7"/>
  <c r="F1480" i="7"/>
  <c r="E1647" i="7"/>
  <c r="F1647" i="7"/>
  <c r="F1902" i="7"/>
  <c r="E1902" i="7"/>
  <c r="E1390" i="7"/>
  <c r="F1390" i="7"/>
  <c r="F1233" i="7"/>
  <c r="E1233" i="7"/>
  <c r="E1144" i="7"/>
  <c r="F1144" i="7"/>
  <c r="E632" i="7"/>
  <c r="F632" i="7"/>
  <c r="E719" i="7"/>
  <c r="F719" i="7"/>
  <c r="E990" i="7"/>
  <c r="F990" i="7"/>
  <c r="F113" i="7"/>
  <c r="E113" i="7"/>
  <c r="E1117" i="7"/>
  <c r="F1117" i="7"/>
  <c r="E1728" i="7"/>
  <c r="F1728" i="7"/>
  <c r="E1216" i="7"/>
  <c r="F1216" i="7"/>
  <c r="F1383" i="7"/>
  <c r="E1383" i="7"/>
  <c r="E1638" i="7"/>
  <c r="F1638" i="7"/>
  <c r="E969" i="7"/>
  <c r="F969" i="7"/>
  <c r="E880" i="7"/>
  <c r="F880" i="7"/>
  <c r="E967" i="7"/>
  <c r="F967" i="7"/>
  <c r="E1238" i="7"/>
  <c r="F1238" i="7"/>
  <c r="E726" i="7"/>
  <c r="F726" i="7"/>
  <c r="E1489" i="7"/>
  <c r="F1489" i="7"/>
  <c r="E1464" i="7"/>
  <c r="F1464" i="7"/>
  <c r="E1631" i="7"/>
  <c r="F1631" i="7"/>
  <c r="E1886" i="7"/>
  <c r="F1886" i="7"/>
  <c r="E1374" i="7"/>
  <c r="F1374" i="7"/>
  <c r="E1217" i="7"/>
  <c r="F1217" i="7"/>
  <c r="F1128" i="7"/>
  <c r="E1128" i="7"/>
  <c r="F616" i="7"/>
  <c r="E616" i="7"/>
  <c r="E703" i="7"/>
  <c r="F703" i="7"/>
  <c r="E974" i="7"/>
  <c r="F974" i="7"/>
  <c r="E528" i="7"/>
  <c r="F528" i="7"/>
  <c r="E337" i="7"/>
  <c r="F337" i="7"/>
  <c r="E328" i="7"/>
  <c r="F328" i="7"/>
  <c r="E423" i="7"/>
  <c r="F423" i="7"/>
  <c r="E638" i="7"/>
  <c r="F638" i="7"/>
  <c r="F30" i="7"/>
  <c r="E30" i="7"/>
  <c r="E1949" i="7"/>
  <c r="F1949" i="7"/>
  <c r="E521" i="7"/>
  <c r="F521" i="7"/>
  <c r="E512" i="7"/>
  <c r="F512" i="7"/>
  <c r="E134" i="7"/>
  <c r="F134" i="7"/>
  <c r="E95" i="7"/>
  <c r="F95" i="7"/>
  <c r="E310" i="7"/>
  <c r="F310" i="7"/>
  <c r="E1853" i="7"/>
  <c r="F1853" i="7"/>
  <c r="E461" i="7"/>
  <c r="F461" i="7"/>
  <c r="F1621" i="7"/>
  <c r="E1621" i="7"/>
  <c r="E321" i="7"/>
  <c r="F321" i="7"/>
  <c r="E312" i="7"/>
  <c r="F312" i="7"/>
  <c r="E407" i="7"/>
  <c r="F407" i="7"/>
  <c r="E622" i="7"/>
  <c r="F622" i="7"/>
  <c r="E313" i="7"/>
  <c r="F313" i="7"/>
  <c r="E304" i="7"/>
  <c r="F304" i="7"/>
  <c r="E399" i="7"/>
  <c r="F399" i="7"/>
  <c r="E614" i="7"/>
  <c r="F614" i="7"/>
  <c r="F485" i="7"/>
  <c r="E485" i="7"/>
  <c r="F82" i="7"/>
  <c r="E82" i="7"/>
  <c r="E305" i="7"/>
  <c r="F305" i="7"/>
  <c r="E296" i="7"/>
  <c r="F296" i="7"/>
  <c r="F391" i="7"/>
  <c r="E391" i="7"/>
  <c r="E606" i="7"/>
  <c r="F606" i="7"/>
  <c r="E74" i="7"/>
  <c r="F74" i="7"/>
  <c r="E297" i="7"/>
  <c r="F297" i="7"/>
  <c r="E288" i="7"/>
  <c r="F288" i="7"/>
  <c r="E383" i="7"/>
  <c r="F383" i="7"/>
  <c r="E598" i="7"/>
  <c r="F598" i="7"/>
  <c r="E389" i="7"/>
  <c r="F389" i="7"/>
  <c r="E289" i="7"/>
  <c r="F289" i="7"/>
  <c r="E280" i="7"/>
  <c r="F280" i="7"/>
  <c r="E375" i="7"/>
  <c r="F375" i="7"/>
  <c r="E590" i="7"/>
  <c r="F590" i="7"/>
  <c r="E1565" i="7"/>
  <c r="F1565" i="7"/>
  <c r="E1173" i="7"/>
  <c r="F1173" i="7"/>
  <c r="E1982" i="7"/>
  <c r="F1982" i="7"/>
  <c r="E1848" i="7"/>
  <c r="F1848" i="7"/>
  <c r="E2007" i="7"/>
  <c r="F2007" i="7"/>
  <c r="E902" i="7"/>
  <c r="F902" i="7"/>
  <c r="F1966" i="7"/>
  <c r="E1966" i="7"/>
  <c r="E1969" i="7"/>
  <c r="F1969" i="7"/>
  <c r="E1264" i="7"/>
  <c r="F1264" i="7"/>
  <c r="E928" i="7"/>
  <c r="F928" i="7"/>
  <c r="E1983" i="7"/>
  <c r="F1983" i="7"/>
  <c r="E710" i="7"/>
  <c r="F710" i="7"/>
  <c r="E1944" i="7"/>
  <c r="F1944" i="7"/>
  <c r="E1303" i="7"/>
  <c r="F1303" i="7"/>
  <c r="F887" i="7"/>
  <c r="E887" i="7"/>
  <c r="E1998" i="7"/>
  <c r="F1998" i="7"/>
  <c r="E1864" i="7"/>
  <c r="F1864" i="7"/>
  <c r="E1430" i="7"/>
  <c r="F1430" i="7"/>
  <c r="E1030" i="7"/>
  <c r="F1030" i="7"/>
  <c r="E1473" i="7"/>
  <c r="F1473" i="7"/>
  <c r="E1448" i="7"/>
  <c r="F1448" i="7"/>
  <c r="E1615" i="7"/>
  <c r="F1615" i="7"/>
  <c r="E1870" i="7"/>
  <c r="F1870" i="7"/>
  <c r="F1358" i="7"/>
  <c r="E1358" i="7"/>
  <c r="E1201" i="7"/>
  <c r="F1201" i="7"/>
  <c r="E1112" i="7"/>
  <c r="F1112" i="7"/>
  <c r="E600" i="7"/>
  <c r="F600" i="7"/>
  <c r="E687" i="7"/>
  <c r="F687" i="7"/>
  <c r="F958" i="7"/>
  <c r="E958" i="7"/>
  <c r="E400" i="7"/>
  <c r="F400" i="7"/>
  <c r="E1401" i="7"/>
  <c r="F1401" i="7"/>
  <c r="E1376" i="7"/>
  <c r="F1376" i="7"/>
  <c r="F1543" i="7"/>
  <c r="E1543" i="7"/>
  <c r="E1798" i="7"/>
  <c r="F1798" i="7"/>
  <c r="E1129" i="7"/>
  <c r="F1129" i="7"/>
  <c r="E1040" i="7"/>
  <c r="F1040" i="7"/>
  <c r="F1127" i="7"/>
  <c r="E1127" i="7"/>
  <c r="F615" i="7"/>
  <c r="E615" i="7"/>
  <c r="E886" i="7"/>
  <c r="F886" i="7"/>
  <c r="E431" i="7"/>
  <c r="F431" i="7"/>
  <c r="F1585" i="7"/>
  <c r="E1585" i="7"/>
  <c r="E1560" i="7"/>
  <c r="F1560" i="7"/>
  <c r="E1727" i="7"/>
  <c r="F1727" i="7"/>
  <c r="E1215" i="7"/>
  <c r="F1215" i="7"/>
  <c r="E1470" i="7"/>
  <c r="F1470" i="7"/>
  <c r="E1313" i="7"/>
  <c r="F1313" i="7"/>
  <c r="E801" i="7"/>
  <c r="F801" i="7"/>
  <c r="E712" i="7"/>
  <c r="F712" i="7"/>
  <c r="E799" i="7"/>
  <c r="F799" i="7"/>
  <c r="E1070" i="7"/>
  <c r="F1070" i="7"/>
  <c r="E729" i="7"/>
  <c r="F729" i="7"/>
  <c r="E1109" i="7"/>
  <c r="F1109" i="7"/>
  <c r="E1680" i="7"/>
  <c r="F1680" i="7"/>
  <c r="E1168" i="7"/>
  <c r="F1168" i="7"/>
  <c r="E1335" i="7"/>
  <c r="F1335" i="7"/>
  <c r="E1590" i="7"/>
  <c r="F1590" i="7"/>
  <c r="E921" i="7"/>
  <c r="F921" i="7"/>
  <c r="E832" i="7"/>
  <c r="F832" i="7"/>
  <c r="E919" i="7"/>
  <c r="F919" i="7"/>
  <c r="E1190" i="7"/>
  <c r="F1190" i="7"/>
  <c r="E44" i="7"/>
  <c r="F44" i="7"/>
  <c r="E1013" i="7"/>
  <c r="F1013" i="7"/>
  <c r="E1441" i="7"/>
  <c r="F1441" i="7"/>
  <c r="F1416" i="7"/>
  <c r="E1416" i="7"/>
  <c r="E1583" i="7"/>
  <c r="F1583" i="7"/>
  <c r="E1838" i="7"/>
  <c r="F1838" i="7"/>
  <c r="F1169" i="7"/>
  <c r="E1169" i="7"/>
  <c r="E1080" i="7"/>
  <c r="F1080" i="7"/>
  <c r="F568" i="7"/>
  <c r="E568" i="7"/>
  <c r="E655" i="7"/>
  <c r="F655" i="7"/>
  <c r="E926" i="7"/>
  <c r="F926" i="7"/>
  <c r="E144" i="7"/>
  <c r="F144" i="7"/>
  <c r="E1664" i="7"/>
  <c r="F1664" i="7"/>
  <c r="E1831" i="7"/>
  <c r="F1831" i="7"/>
  <c r="E1319" i="7"/>
  <c r="F1319" i="7"/>
  <c r="E1574" i="7"/>
  <c r="F1574" i="7"/>
  <c r="E905" i="7"/>
  <c r="F905" i="7"/>
  <c r="E816" i="7"/>
  <c r="F816" i="7"/>
  <c r="F903" i="7"/>
  <c r="E903" i="7"/>
  <c r="E1174" i="7"/>
  <c r="F1174" i="7"/>
  <c r="E28" i="7"/>
  <c r="F28" i="7"/>
  <c r="E298" i="7"/>
  <c r="F298" i="7"/>
  <c r="E1937" i="7"/>
  <c r="F1937" i="7"/>
  <c r="F1425" i="7"/>
  <c r="E1425" i="7"/>
  <c r="E1400" i="7"/>
  <c r="F1400" i="7"/>
  <c r="E1567" i="7"/>
  <c r="F1567" i="7"/>
  <c r="E1822" i="7"/>
  <c r="F1822" i="7"/>
  <c r="E1153" i="7"/>
  <c r="F1153" i="7"/>
  <c r="E1064" i="7"/>
  <c r="F1064" i="7"/>
  <c r="E1151" i="7"/>
  <c r="F1151" i="7"/>
  <c r="E639" i="7"/>
  <c r="F639" i="7"/>
  <c r="E910" i="7"/>
  <c r="F910" i="7"/>
  <c r="E16" i="7"/>
  <c r="F16" i="7"/>
  <c r="E161" i="7"/>
  <c r="F161" i="7"/>
  <c r="F273" i="7"/>
  <c r="E273" i="7"/>
  <c r="F264" i="7"/>
  <c r="E264" i="7"/>
  <c r="E359" i="7"/>
  <c r="F359" i="7"/>
  <c r="F574" i="7"/>
  <c r="E574" i="7"/>
  <c r="E457" i="7"/>
  <c r="F457" i="7"/>
  <c r="E448" i="7"/>
  <c r="F448" i="7"/>
  <c r="E543" i="7"/>
  <c r="F543" i="7"/>
  <c r="E31" i="7"/>
  <c r="F31" i="7"/>
  <c r="E246" i="7"/>
  <c r="F246" i="7"/>
  <c r="E1413" i="7"/>
  <c r="F1413" i="7"/>
  <c r="E546" i="7"/>
  <c r="F546" i="7"/>
  <c r="E97" i="7"/>
  <c r="F97" i="7"/>
  <c r="E257" i="7"/>
  <c r="F257" i="7"/>
  <c r="E248" i="7"/>
  <c r="F248" i="7"/>
  <c r="F343" i="7"/>
  <c r="E343" i="7"/>
  <c r="F558" i="7"/>
  <c r="E558" i="7"/>
  <c r="E1301" i="7"/>
  <c r="F1301" i="7"/>
  <c r="E101" i="7"/>
  <c r="F101" i="7"/>
  <c r="E965" i="7"/>
  <c r="F965" i="7"/>
  <c r="F1837" i="7"/>
  <c r="E1837" i="7"/>
  <c r="E65" i="7"/>
  <c r="F65" i="7"/>
  <c r="E249" i="7"/>
  <c r="F249" i="7"/>
  <c r="E240" i="7"/>
  <c r="F240" i="7"/>
  <c r="E335" i="7"/>
  <c r="F335" i="7"/>
  <c r="E550" i="7"/>
  <c r="F550" i="7"/>
  <c r="E1245" i="7"/>
  <c r="F1245" i="7"/>
  <c r="F1789" i="7"/>
  <c r="E1789" i="7"/>
  <c r="E33" i="7"/>
  <c r="F33" i="7"/>
  <c r="F241" i="7"/>
  <c r="E241" i="7"/>
  <c r="F232" i="7"/>
  <c r="E232" i="7"/>
  <c r="E327" i="7"/>
  <c r="F327" i="7"/>
  <c r="E542" i="7"/>
  <c r="F542" i="7"/>
  <c r="E1181" i="7"/>
  <c r="F1181" i="7"/>
  <c r="F1741" i="7"/>
  <c r="E1741" i="7"/>
  <c r="F17" i="7"/>
  <c r="E17" i="7"/>
  <c r="E233" i="7"/>
  <c r="F233" i="7"/>
  <c r="E224" i="7"/>
  <c r="F224" i="7"/>
  <c r="E319" i="7"/>
  <c r="F319" i="7"/>
  <c r="E534" i="7"/>
  <c r="F534" i="7"/>
  <c r="E1685" i="7"/>
  <c r="F1685" i="7"/>
  <c r="E737" i="7"/>
  <c r="F737" i="7"/>
  <c r="E225" i="7"/>
  <c r="F225" i="7"/>
  <c r="E216" i="7"/>
  <c r="F216" i="7"/>
  <c r="E311" i="7"/>
  <c r="F311" i="7"/>
  <c r="E526" i="7"/>
  <c r="F526" i="7"/>
  <c r="E1629" i="7"/>
  <c r="F1629" i="7"/>
  <c r="F3842" i="7"/>
  <c r="F4416" i="7"/>
  <c r="F4968" i="7"/>
  <c r="F4417" i="7"/>
  <c r="F4325" i="7"/>
  <c r="F4832" i="7"/>
  <c r="F4189" i="7"/>
  <c r="F4710" i="7"/>
  <c r="F4828" i="7"/>
  <c r="F4431" i="7"/>
  <c r="F4701" i="7"/>
  <c r="F3922" i="7"/>
  <c r="F3810" i="7"/>
  <c r="F3367" i="7"/>
  <c r="F3451" i="7"/>
  <c r="F2719" i="7"/>
  <c r="F4186" i="7"/>
  <c r="F2882" i="7"/>
  <c r="F4732" i="7"/>
  <c r="F4255" i="7"/>
  <c r="F3366" i="7"/>
  <c r="F3791" i="7"/>
  <c r="F2892" i="7"/>
  <c r="F2885" i="7"/>
  <c r="F2691" i="7"/>
  <c r="F2809" i="7"/>
  <c r="F4771" i="7"/>
  <c r="F14" i="7"/>
  <c r="E14" i="7"/>
  <c r="E1943" i="7"/>
  <c r="F1943" i="7"/>
  <c r="E1353" i="7"/>
  <c r="F1353" i="7"/>
  <c r="E1081" i="7"/>
  <c r="F1081" i="7"/>
  <c r="E47" i="7"/>
  <c r="F47" i="7"/>
  <c r="E1120" i="7"/>
  <c r="F1120" i="7"/>
  <c r="F1960" i="7"/>
  <c r="E1960" i="7"/>
  <c r="E1431" i="7"/>
  <c r="F1431" i="7"/>
  <c r="E1015" i="7"/>
  <c r="F1015" i="7"/>
  <c r="E1951" i="7"/>
  <c r="F1951" i="7"/>
  <c r="F1919" i="7"/>
  <c r="E1919" i="7"/>
  <c r="F695" i="7"/>
  <c r="E695" i="7"/>
  <c r="E1880" i="7"/>
  <c r="F1880" i="7"/>
  <c r="E1558" i="7"/>
  <c r="F1558" i="7"/>
  <c r="E1158" i="7"/>
  <c r="F1158" i="7"/>
  <c r="E1934" i="7"/>
  <c r="F1934" i="7"/>
  <c r="E1609" i="7"/>
  <c r="F1609" i="7"/>
  <c r="E1337" i="7"/>
  <c r="F1337" i="7"/>
  <c r="E106" i="7"/>
  <c r="F106" i="7"/>
  <c r="E1959" i="7"/>
  <c r="F1959" i="7"/>
  <c r="F1921" i="7"/>
  <c r="E1921" i="7"/>
  <c r="E1409" i="7"/>
  <c r="F1409" i="7"/>
  <c r="F1384" i="7"/>
  <c r="E1384" i="7"/>
  <c r="E1551" i="7"/>
  <c r="F1551" i="7"/>
  <c r="E1806" i="7"/>
  <c r="F1806" i="7"/>
  <c r="F1137" i="7"/>
  <c r="E1137" i="7"/>
  <c r="E1048" i="7"/>
  <c r="F1048" i="7"/>
  <c r="E1135" i="7"/>
  <c r="F1135" i="7"/>
  <c r="E623" i="7"/>
  <c r="F623" i="7"/>
  <c r="E894" i="7"/>
  <c r="F894" i="7"/>
  <c r="E495" i="7"/>
  <c r="F495" i="7"/>
  <c r="E1824" i="7"/>
  <c r="F1824" i="7"/>
  <c r="E1312" i="7"/>
  <c r="F1312" i="7"/>
  <c r="E1479" i="7"/>
  <c r="F1479" i="7"/>
  <c r="E1734" i="7"/>
  <c r="F1734" i="7"/>
  <c r="E1065" i="7"/>
  <c r="F1065" i="7"/>
  <c r="E976" i="7"/>
  <c r="F976" i="7"/>
  <c r="E1063" i="7"/>
  <c r="F1063" i="7"/>
  <c r="E1334" i="7"/>
  <c r="F1334" i="7"/>
  <c r="E822" i="7"/>
  <c r="F822" i="7"/>
  <c r="E646" i="7"/>
  <c r="F646" i="7"/>
  <c r="F1521" i="7"/>
  <c r="E1521" i="7"/>
  <c r="E1496" i="7"/>
  <c r="F1496" i="7"/>
  <c r="E1663" i="7"/>
  <c r="F1663" i="7"/>
  <c r="E1918" i="7"/>
  <c r="F1918" i="7"/>
  <c r="E1406" i="7"/>
  <c r="F1406" i="7"/>
  <c r="F1122" i="7"/>
  <c r="E1122" i="7"/>
  <c r="E1249" i="7"/>
  <c r="F1249" i="7"/>
  <c r="F1160" i="7"/>
  <c r="E1160" i="7"/>
  <c r="F648" i="7"/>
  <c r="E648" i="7"/>
  <c r="E735" i="7"/>
  <c r="F735" i="7"/>
  <c r="F1006" i="7"/>
  <c r="E1006" i="7"/>
  <c r="E41" i="7"/>
  <c r="F41" i="7"/>
  <c r="E281" i="7"/>
  <c r="F281" i="7"/>
  <c r="E1989" i="7"/>
  <c r="F1989" i="7"/>
  <c r="E1616" i="7"/>
  <c r="F1616" i="7"/>
  <c r="E1783" i="7"/>
  <c r="F1783" i="7"/>
  <c r="E1271" i="7"/>
  <c r="F1271" i="7"/>
  <c r="E1526" i="7"/>
  <c r="F1526" i="7"/>
  <c r="E857" i="7"/>
  <c r="F857" i="7"/>
  <c r="E768" i="7"/>
  <c r="F768" i="7"/>
  <c r="E855" i="7"/>
  <c r="F855" i="7"/>
  <c r="E1126" i="7"/>
  <c r="F1126" i="7"/>
  <c r="E121" i="7"/>
  <c r="F121" i="7"/>
  <c r="E234" i="7"/>
  <c r="F234" i="7"/>
  <c r="E1377" i="7"/>
  <c r="F1377" i="7"/>
  <c r="E1352" i="7"/>
  <c r="F1352" i="7"/>
  <c r="E1519" i="7"/>
  <c r="F1519" i="7"/>
  <c r="E1774" i="7"/>
  <c r="F1774" i="7"/>
  <c r="E1105" i="7"/>
  <c r="F1105" i="7"/>
  <c r="E1016" i="7"/>
  <c r="F1016" i="7"/>
  <c r="E1103" i="7"/>
  <c r="F1103" i="7"/>
  <c r="E591" i="7"/>
  <c r="F591" i="7"/>
  <c r="E862" i="7"/>
  <c r="F862" i="7"/>
  <c r="E239" i="7"/>
  <c r="F239" i="7"/>
  <c r="E1600" i="7"/>
  <c r="F1600" i="7"/>
  <c r="E1767" i="7"/>
  <c r="F1767" i="7"/>
  <c r="F1255" i="7"/>
  <c r="E1255" i="7"/>
  <c r="E1510" i="7"/>
  <c r="F1510" i="7"/>
  <c r="E841" i="7"/>
  <c r="F841" i="7"/>
  <c r="E752" i="7"/>
  <c r="F752" i="7"/>
  <c r="E839" i="7"/>
  <c r="F839" i="7"/>
  <c r="E1110" i="7"/>
  <c r="F1110" i="7"/>
  <c r="E57" i="7"/>
  <c r="F57" i="7"/>
  <c r="E1361" i="7"/>
  <c r="F1361" i="7"/>
  <c r="E1336" i="7"/>
  <c r="F1336" i="7"/>
  <c r="E1503" i="7"/>
  <c r="F1503" i="7"/>
  <c r="E1758" i="7"/>
  <c r="F1758" i="7"/>
  <c r="E962" i="7"/>
  <c r="F962" i="7"/>
  <c r="E1089" i="7"/>
  <c r="F1089" i="7"/>
  <c r="F1000" i="7"/>
  <c r="E1000" i="7"/>
  <c r="E1087" i="7"/>
  <c r="F1087" i="7"/>
  <c r="E575" i="7"/>
  <c r="F575" i="7"/>
  <c r="E846" i="7"/>
  <c r="F846" i="7"/>
  <c r="E111" i="7"/>
  <c r="F111" i="7"/>
  <c r="F721" i="7"/>
  <c r="E721" i="7"/>
  <c r="F209" i="7"/>
  <c r="E209" i="7"/>
  <c r="E200" i="7"/>
  <c r="F200" i="7"/>
  <c r="F295" i="7"/>
  <c r="E295" i="7"/>
  <c r="E510" i="7"/>
  <c r="F510" i="7"/>
  <c r="F933" i="7"/>
  <c r="E933" i="7"/>
  <c r="E661" i="7"/>
  <c r="F661" i="7"/>
  <c r="E393" i="7"/>
  <c r="F393" i="7"/>
  <c r="E384" i="7"/>
  <c r="F384" i="7"/>
  <c r="E479" i="7"/>
  <c r="F479" i="7"/>
  <c r="E38" i="7"/>
  <c r="F38" i="7"/>
  <c r="E182" i="7"/>
  <c r="F182" i="7"/>
  <c r="E989" i="7"/>
  <c r="F989" i="7"/>
  <c r="E653" i="7"/>
  <c r="F653" i="7"/>
  <c r="E705" i="7"/>
  <c r="F705" i="7"/>
  <c r="E193" i="7"/>
  <c r="F193" i="7"/>
  <c r="E184" i="7"/>
  <c r="F184" i="7"/>
  <c r="E279" i="7"/>
  <c r="F279" i="7"/>
  <c r="E494" i="7"/>
  <c r="F494" i="7"/>
  <c r="E1845" i="7"/>
  <c r="F1845" i="7"/>
  <c r="E557" i="7"/>
  <c r="F557" i="7"/>
  <c r="E1405" i="7"/>
  <c r="F1405" i="7"/>
  <c r="E697" i="7"/>
  <c r="F697" i="7"/>
  <c r="E185" i="7"/>
  <c r="F185" i="7"/>
  <c r="E176" i="7"/>
  <c r="F176" i="7"/>
  <c r="E271" i="7"/>
  <c r="F271" i="7"/>
  <c r="E486" i="7"/>
  <c r="F486" i="7"/>
  <c r="E1357" i="7"/>
  <c r="F1357" i="7"/>
  <c r="E689" i="7"/>
  <c r="F689" i="7"/>
  <c r="E177" i="7"/>
  <c r="F177" i="7"/>
  <c r="E168" i="7"/>
  <c r="F168" i="7"/>
  <c r="F263" i="7"/>
  <c r="E263" i="7"/>
  <c r="E478" i="7"/>
  <c r="F478" i="7"/>
  <c r="F1733" i="7"/>
  <c r="E1733" i="7"/>
  <c r="E681" i="7"/>
  <c r="F681" i="7"/>
  <c r="E169" i="7"/>
  <c r="F169" i="7"/>
  <c r="E160" i="7"/>
  <c r="F160" i="7"/>
  <c r="E255" i="7"/>
  <c r="F255" i="7"/>
  <c r="E470" i="7"/>
  <c r="F470" i="7"/>
  <c r="E613" i="7"/>
  <c r="F613" i="7"/>
  <c r="E1677" i="7"/>
  <c r="F1677" i="7"/>
  <c r="E405" i="7"/>
  <c r="F405" i="7"/>
  <c r="E673" i="7"/>
  <c r="F673" i="7"/>
  <c r="F145" i="7"/>
  <c r="E145" i="7"/>
  <c r="E152" i="7"/>
  <c r="F152" i="7"/>
  <c r="E247" i="7"/>
  <c r="F247" i="7"/>
  <c r="F462" i="7"/>
  <c r="E462" i="7"/>
  <c r="E1613" i="7"/>
  <c r="F1613" i="7"/>
  <c r="E13" i="7"/>
  <c r="F13" i="7"/>
  <c r="F1879" i="7"/>
  <c r="E1879" i="7"/>
  <c r="E1890" i="7"/>
  <c r="F1890" i="7"/>
  <c r="E1328" i="7"/>
  <c r="F1328" i="7"/>
  <c r="E992" i="7"/>
  <c r="F992" i="7"/>
  <c r="F1887" i="7"/>
  <c r="E1887" i="7"/>
  <c r="F443" i="7"/>
  <c r="E443" i="7"/>
  <c r="F1896" i="7"/>
  <c r="E1896" i="7"/>
  <c r="E1686" i="7"/>
  <c r="F1686" i="7"/>
  <c r="E1286" i="7"/>
  <c r="F1286" i="7"/>
  <c r="E1855" i="7"/>
  <c r="F1855" i="7"/>
  <c r="E1975" i="7"/>
  <c r="F1975" i="7"/>
  <c r="E1584" i="7"/>
  <c r="F1584" i="7"/>
  <c r="E825" i="7"/>
  <c r="F825" i="7"/>
  <c r="E109" i="7"/>
  <c r="F109" i="7"/>
  <c r="E1895" i="7"/>
  <c r="F1895" i="7"/>
  <c r="E1857" i="7"/>
  <c r="F1857" i="7"/>
  <c r="E1832" i="7"/>
  <c r="F1832" i="7"/>
  <c r="E1320" i="7"/>
  <c r="F1320" i="7"/>
  <c r="E1487" i="7"/>
  <c r="F1487" i="7"/>
  <c r="F1742" i="7"/>
  <c r="E1742" i="7"/>
  <c r="F1073" i="7"/>
  <c r="E1073" i="7"/>
  <c r="E984" i="7"/>
  <c r="F984" i="7"/>
  <c r="E1071" i="7"/>
  <c r="F1071" i="7"/>
  <c r="E1342" i="7"/>
  <c r="F1342" i="7"/>
  <c r="E830" i="7"/>
  <c r="F830" i="7"/>
  <c r="F522" i="7"/>
  <c r="E522" i="7"/>
  <c r="E86" i="7"/>
  <c r="F86" i="7"/>
  <c r="E1760" i="7"/>
  <c r="F1760" i="7"/>
  <c r="E1248" i="7"/>
  <c r="F1248" i="7"/>
  <c r="F1415" i="7"/>
  <c r="E1415" i="7"/>
  <c r="E1670" i="7"/>
  <c r="F1670" i="7"/>
  <c r="E1001" i="7"/>
  <c r="F1001" i="7"/>
  <c r="E912" i="7"/>
  <c r="F912" i="7"/>
  <c r="F999" i="7"/>
  <c r="E999" i="7"/>
  <c r="E1270" i="7"/>
  <c r="F1270" i="7"/>
  <c r="E758" i="7"/>
  <c r="F758" i="7"/>
  <c r="E54" i="7"/>
  <c r="F54" i="7"/>
  <c r="E1457" i="7"/>
  <c r="F1457" i="7"/>
  <c r="E1432" i="7"/>
  <c r="F1432" i="7"/>
  <c r="E1599" i="7"/>
  <c r="F1599" i="7"/>
  <c r="F1854" i="7"/>
  <c r="E1854" i="7"/>
  <c r="E1185" i="7"/>
  <c r="F1185" i="7"/>
  <c r="E1096" i="7"/>
  <c r="F1096" i="7"/>
  <c r="E584" i="7"/>
  <c r="F584" i="7"/>
  <c r="E671" i="7"/>
  <c r="F671" i="7"/>
  <c r="E942" i="7"/>
  <c r="F942" i="7"/>
  <c r="E272" i="7"/>
  <c r="F272" i="7"/>
  <c r="E1577" i="7"/>
  <c r="F1577" i="7"/>
  <c r="E1552" i="7"/>
  <c r="F1552" i="7"/>
  <c r="E1719" i="7"/>
  <c r="F1719" i="7"/>
  <c r="E1207" i="7"/>
  <c r="F1207" i="7"/>
  <c r="E1462" i="7"/>
  <c r="F1462" i="7"/>
  <c r="E1305" i="7"/>
  <c r="F1305" i="7"/>
  <c r="E793" i="7"/>
  <c r="F793" i="7"/>
  <c r="E704" i="7"/>
  <c r="F704" i="7"/>
  <c r="E791" i="7"/>
  <c r="F791" i="7"/>
  <c r="E1062" i="7"/>
  <c r="F1062" i="7"/>
  <c r="E27" i="7"/>
  <c r="F27" i="7"/>
  <c r="E713" i="7"/>
  <c r="F713" i="7"/>
  <c r="F709" i="7"/>
  <c r="E709" i="7"/>
  <c r="E1825" i="7"/>
  <c r="F1825" i="7"/>
  <c r="F1800" i="7"/>
  <c r="E1800" i="7"/>
  <c r="F1288" i="7"/>
  <c r="E1288" i="7"/>
  <c r="E1455" i="7"/>
  <c r="F1455" i="7"/>
  <c r="E1710" i="7"/>
  <c r="F1710" i="7"/>
  <c r="F1041" i="7"/>
  <c r="E1041" i="7"/>
  <c r="F952" i="7"/>
  <c r="E952" i="7"/>
  <c r="E1039" i="7"/>
  <c r="F1039" i="7"/>
  <c r="F1310" i="7"/>
  <c r="E1310" i="7"/>
  <c r="F798" i="7"/>
  <c r="E798" i="7"/>
  <c r="E454" i="7"/>
  <c r="F454" i="7"/>
  <c r="E1536" i="7"/>
  <c r="F1536" i="7"/>
  <c r="E1703" i="7"/>
  <c r="F1703" i="7"/>
  <c r="E1191" i="7"/>
  <c r="F1191" i="7"/>
  <c r="E1446" i="7"/>
  <c r="F1446" i="7"/>
  <c r="E1289" i="7"/>
  <c r="F1289" i="7"/>
  <c r="E777" i="7"/>
  <c r="F777" i="7"/>
  <c r="E688" i="7"/>
  <c r="F688" i="7"/>
  <c r="F775" i="7"/>
  <c r="E775" i="7"/>
  <c r="E1046" i="7"/>
  <c r="F1046" i="7"/>
  <c r="E42" i="7"/>
  <c r="F42" i="7"/>
  <c r="E601" i="7"/>
  <c r="F601" i="7"/>
  <c r="E1784" i="7"/>
  <c r="F1784" i="7"/>
  <c r="E1272" i="7"/>
  <c r="F1272" i="7"/>
  <c r="E1439" i="7"/>
  <c r="F1439" i="7"/>
  <c r="E1694" i="7"/>
  <c r="F1694" i="7"/>
  <c r="E1025" i="7"/>
  <c r="F1025" i="7"/>
  <c r="E936" i="7"/>
  <c r="F936" i="7"/>
  <c r="E1023" i="7"/>
  <c r="F1023" i="7"/>
  <c r="E1294" i="7"/>
  <c r="F1294" i="7"/>
  <c r="E782" i="7"/>
  <c r="F782" i="7"/>
  <c r="E458" i="7"/>
  <c r="F458" i="7"/>
  <c r="E326" i="7"/>
  <c r="F326" i="7"/>
  <c r="F657" i="7"/>
  <c r="E657" i="7"/>
  <c r="F81" i="7"/>
  <c r="E81" i="7"/>
  <c r="F136" i="7"/>
  <c r="E136" i="7"/>
  <c r="E231" i="7"/>
  <c r="F231" i="7"/>
  <c r="F446" i="7"/>
  <c r="E446" i="7"/>
  <c r="E1765" i="7"/>
  <c r="F1765" i="7"/>
  <c r="E429" i="7"/>
  <c r="F429" i="7"/>
  <c r="E1069" i="7"/>
  <c r="F1069" i="7"/>
  <c r="E329" i="7"/>
  <c r="F329" i="7"/>
  <c r="E320" i="7"/>
  <c r="F320" i="7"/>
  <c r="E415" i="7"/>
  <c r="F415" i="7"/>
  <c r="E630" i="7"/>
  <c r="F630" i="7"/>
  <c r="E597" i="7"/>
  <c r="F597" i="7"/>
  <c r="F1429" i="7"/>
  <c r="E1429" i="7"/>
  <c r="E641" i="7"/>
  <c r="F641" i="7"/>
  <c r="E120" i="7"/>
  <c r="F120" i="7"/>
  <c r="E215" i="7"/>
  <c r="F215" i="7"/>
  <c r="F430" i="7"/>
  <c r="E430" i="7"/>
  <c r="E1389" i="7"/>
  <c r="F1389" i="7"/>
  <c r="E633" i="7"/>
  <c r="F633" i="7"/>
  <c r="E112" i="7"/>
  <c r="F112" i="7"/>
  <c r="E207" i="7"/>
  <c r="F207" i="7"/>
  <c r="E422" i="7"/>
  <c r="F422" i="7"/>
  <c r="F625" i="7"/>
  <c r="E625" i="7"/>
  <c r="F104" i="7"/>
  <c r="E104" i="7"/>
  <c r="E199" i="7"/>
  <c r="F199" i="7"/>
  <c r="E414" i="7"/>
  <c r="F414" i="7"/>
  <c r="E869" i="7"/>
  <c r="F869" i="7"/>
  <c r="E617" i="7"/>
  <c r="F617" i="7"/>
  <c r="E96" i="7"/>
  <c r="F96" i="7"/>
  <c r="E191" i="7"/>
  <c r="F191" i="7"/>
  <c r="E406" i="7"/>
  <c r="F406" i="7"/>
  <c r="E1493" i="7"/>
  <c r="F1493" i="7"/>
  <c r="E21" i="7"/>
  <c r="F21" i="7"/>
  <c r="E821" i="7"/>
  <c r="F821" i="7"/>
  <c r="E609" i="7"/>
  <c r="F609" i="7"/>
  <c r="E88" i="7"/>
  <c r="F88" i="7"/>
  <c r="E183" i="7"/>
  <c r="F183" i="7"/>
  <c r="E398" i="7"/>
  <c r="F398" i="7"/>
  <c r="F773" i="7"/>
  <c r="E773" i="7"/>
  <c r="F3985" i="7"/>
  <c r="F4266" i="7"/>
  <c r="F4427" i="7"/>
  <c r="F3317" i="7"/>
  <c r="F4903" i="7"/>
  <c r="F4928" i="7"/>
  <c r="F4291" i="7"/>
  <c r="F4929" i="7"/>
  <c r="F4456" i="7"/>
  <c r="F4890" i="7"/>
  <c r="F4592" i="7"/>
  <c r="F4120" i="7"/>
  <c r="F4229" i="7"/>
  <c r="F2837" i="7"/>
  <c r="F4356" i="7"/>
  <c r="F4145" i="7"/>
  <c r="F3649" i="7"/>
  <c r="F3358" i="7"/>
  <c r="F4098" i="7"/>
  <c r="F4941" i="7"/>
  <c r="F4482" i="7"/>
  <c r="F3820" i="7"/>
  <c r="F4009" i="7"/>
  <c r="F3337" i="7"/>
  <c r="F2574" i="7"/>
  <c r="F2538" i="7"/>
  <c r="F4631" i="7"/>
  <c r="E12" i="7"/>
  <c r="F12" i="7"/>
  <c r="E1481" i="7"/>
  <c r="F1481" i="7"/>
  <c r="E1974" i="7"/>
  <c r="F1974" i="7"/>
  <c r="E610" i="7"/>
  <c r="F610" i="7"/>
  <c r="E1984" i="7"/>
  <c r="F1984" i="7"/>
  <c r="E464" i="7"/>
  <c r="F464" i="7"/>
  <c r="E1968" i="7"/>
  <c r="F1968" i="7"/>
  <c r="E1495" i="7"/>
  <c r="F1495" i="7"/>
  <c r="E1079" i="7"/>
  <c r="F1079" i="7"/>
  <c r="F1991" i="7"/>
  <c r="E1991" i="7"/>
  <c r="E774" i="7"/>
  <c r="F774" i="7"/>
  <c r="E1950" i="7"/>
  <c r="F1950" i="7"/>
  <c r="E1911" i="7"/>
  <c r="F1911" i="7"/>
  <c r="E19" i="7"/>
  <c r="F19" i="7"/>
  <c r="E1954" i="7"/>
  <c r="F1954" i="7"/>
  <c r="E1945" i="7"/>
  <c r="F1945" i="7"/>
  <c r="E2000" i="7"/>
  <c r="F2000" i="7"/>
  <c r="E1751" i="7"/>
  <c r="F1751" i="7"/>
  <c r="E736" i="7"/>
  <c r="F736" i="7"/>
  <c r="E1990" i="7"/>
  <c r="F1990" i="7"/>
  <c r="E137" i="7"/>
  <c r="F137" i="7"/>
  <c r="E1793" i="7"/>
  <c r="F1793" i="7"/>
  <c r="F1768" i="7"/>
  <c r="E1768" i="7"/>
  <c r="F1256" i="7"/>
  <c r="E1256" i="7"/>
  <c r="E1423" i="7"/>
  <c r="F1423" i="7"/>
  <c r="E1678" i="7"/>
  <c r="F1678" i="7"/>
  <c r="F1009" i="7"/>
  <c r="E1009" i="7"/>
  <c r="E920" i="7"/>
  <c r="F920" i="7"/>
  <c r="E1007" i="7"/>
  <c r="F1007" i="7"/>
  <c r="E1278" i="7"/>
  <c r="F1278" i="7"/>
  <c r="E766" i="7"/>
  <c r="F766" i="7"/>
  <c r="E198" i="7"/>
  <c r="F198" i="7"/>
  <c r="E1696" i="7"/>
  <c r="F1696" i="7"/>
  <c r="E1184" i="7"/>
  <c r="F1184" i="7"/>
  <c r="E1351" i="7"/>
  <c r="F1351" i="7"/>
  <c r="E1606" i="7"/>
  <c r="F1606" i="7"/>
  <c r="E937" i="7"/>
  <c r="F937" i="7"/>
  <c r="E848" i="7"/>
  <c r="F848" i="7"/>
  <c r="E935" i="7"/>
  <c r="F935" i="7"/>
  <c r="E1206" i="7"/>
  <c r="F1206" i="7"/>
  <c r="E694" i="7"/>
  <c r="F694" i="7"/>
  <c r="E1997" i="7"/>
  <c r="F1997" i="7"/>
  <c r="F1393" i="7"/>
  <c r="E1393" i="7"/>
  <c r="E1368" i="7"/>
  <c r="F1368" i="7"/>
  <c r="E1535" i="7"/>
  <c r="F1535" i="7"/>
  <c r="E1790" i="7"/>
  <c r="F1790" i="7"/>
  <c r="E994" i="7"/>
  <c r="F994" i="7"/>
  <c r="E1121" i="7"/>
  <c r="F1121" i="7"/>
  <c r="F1032" i="7"/>
  <c r="E1032" i="7"/>
  <c r="E1119" i="7"/>
  <c r="F1119" i="7"/>
  <c r="E607" i="7"/>
  <c r="F607" i="7"/>
  <c r="E878" i="7"/>
  <c r="F878" i="7"/>
  <c r="E367" i="7"/>
  <c r="F367" i="7"/>
  <c r="E1513" i="7"/>
  <c r="F1513" i="7"/>
  <c r="E1488" i="7"/>
  <c r="F1488" i="7"/>
  <c r="F1655" i="7"/>
  <c r="E1655" i="7"/>
  <c r="E1910" i="7"/>
  <c r="F1910" i="7"/>
  <c r="E1398" i="7"/>
  <c r="F1398" i="7"/>
  <c r="E1241" i="7"/>
  <c r="F1241" i="7"/>
  <c r="E1152" i="7"/>
  <c r="F1152" i="7"/>
  <c r="E640" i="7"/>
  <c r="F640" i="7"/>
  <c r="E727" i="7"/>
  <c r="F727" i="7"/>
  <c r="E998" i="7"/>
  <c r="F998" i="7"/>
  <c r="E217" i="7"/>
  <c r="F217" i="7"/>
  <c r="E1573" i="7"/>
  <c r="F1573" i="7"/>
  <c r="E1761" i="7"/>
  <c r="F1761" i="7"/>
  <c r="E1736" i="7"/>
  <c r="F1736" i="7"/>
  <c r="E1224" i="7"/>
  <c r="F1224" i="7"/>
  <c r="E1391" i="7"/>
  <c r="F1391" i="7"/>
  <c r="E1646" i="7"/>
  <c r="F1646" i="7"/>
  <c r="E977" i="7"/>
  <c r="F977" i="7"/>
  <c r="E888" i="7"/>
  <c r="F888" i="7"/>
  <c r="E975" i="7"/>
  <c r="F975" i="7"/>
  <c r="E1246" i="7"/>
  <c r="F1246" i="7"/>
  <c r="E734" i="7"/>
  <c r="F734" i="7"/>
  <c r="E394" i="7"/>
  <c r="F394" i="7"/>
  <c r="E1472" i="7"/>
  <c r="F1472" i="7"/>
  <c r="F1639" i="7"/>
  <c r="E1639" i="7"/>
  <c r="E1894" i="7"/>
  <c r="F1894" i="7"/>
  <c r="E1382" i="7"/>
  <c r="F1382" i="7"/>
  <c r="E1225" i="7"/>
  <c r="F1225" i="7"/>
  <c r="E1136" i="7"/>
  <c r="F1136" i="7"/>
  <c r="E624" i="7"/>
  <c r="F624" i="7"/>
  <c r="E711" i="7"/>
  <c r="F711" i="7"/>
  <c r="E982" i="7"/>
  <c r="F982" i="7"/>
  <c r="E717" i="7"/>
  <c r="F717" i="7"/>
  <c r="E1720" i="7"/>
  <c r="F1720" i="7"/>
  <c r="E1208" i="7"/>
  <c r="F1208" i="7"/>
  <c r="E1375" i="7"/>
  <c r="F1375" i="7"/>
  <c r="F1630" i="7"/>
  <c r="E1630" i="7"/>
  <c r="E961" i="7"/>
  <c r="F961" i="7"/>
  <c r="F872" i="7"/>
  <c r="E872" i="7"/>
  <c r="E959" i="7"/>
  <c r="F959" i="7"/>
  <c r="E1230" i="7"/>
  <c r="F1230" i="7"/>
  <c r="E718" i="7"/>
  <c r="F718" i="7"/>
  <c r="E593" i="7"/>
  <c r="F593" i="7"/>
  <c r="E72" i="7"/>
  <c r="F72" i="7"/>
  <c r="E167" i="7"/>
  <c r="F167" i="7"/>
  <c r="E382" i="7"/>
  <c r="F382" i="7"/>
  <c r="E1341" i="7"/>
  <c r="F1341" i="7"/>
  <c r="E669" i="7"/>
  <c r="F669" i="7"/>
  <c r="E265" i="7"/>
  <c r="F265" i="7"/>
  <c r="E256" i="7"/>
  <c r="F256" i="7"/>
  <c r="E351" i="7"/>
  <c r="F351" i="7"/>
  <c r="E566" i="7"/>
  <c r="F566" i="7"/>
  <c r="E1893" i="7"/>
  <c r="F1893" i="7"/>
  <c r="E577" i="7"/>
  <c r="F577" i="7"/>
  <c r="E56" i="7"/>
  <c r="F56" i="7"/>
  <c r="E151" i="7"/>
  <c r="F151" i="7"/>
  <c r="E366" i="7"/>
  <c r="F366" i="7"/>
  <c r="E1237" i="7"/>
  <c r="F1237" i="7"/>
  <c r="E885" i="7"/>
  <c r="F885" i="7"/>
  <c r="E569" i="7"/>
  <c r="F569" i="7"/>
  <c r="E560" i="7"/>
  <c r="F560" i="7"/>
  <c r="F48" i="7"/>
  <c r="E48" i="7"/>
  <c r="E143" i="7"/>
  <c r="F143" i="7"/>
  <c r="E358" i="7"/>
  <c r="F358" i="7"/>
  <c r="E1965" i="7"/>
  <c r="F1965" i="7"/>
  <c r="E517" i="7"/>
  <c r="F517" i="7"/>
  <c r="F561" i="7"/>
  <c r="E561" i="7"/>
  <c r="E552" i="7"/>
  <c r="F552" i="7"/>
  <c r="E40" i="7"/>
  <c r="F40" i="7"/>
  <c r="E135" i="7"/>
  <c r="F135" i="7"/>
  <c r="E350" i="7"/>
  <c r="F350" i="7"/>
  <c r="E749" i="7"/>
  <c r="F749" i="7"/>
  <c r="E1909" i="7"/>
  <c r="F1909" i="7"/>
  <c r="E469" i="7"/>
  <c r="F469" i="7"/>
  <c r="E553" i="7"/>
  <c r="F553" i="7"/>
  <c r="E544" i="7"/>
  <c r="F544" i="7"/>
  <c r="E32" i="7"/>
  <c r="F32" i="7"/>
  <c r="E127" i="7"/>
  <c r="F127" i="7"/>
  <c r="E342" i="7"/>
  <c r="F342" i="7"/>
  <c r="E545" i="7"/>
  <c r="F545" i="7"/>
  <c r="E536" i="7"/>
  <c r="F536" i="7"/>
  <c r="E24" i="7"/>
  <c r="F24" i="7"/>
  <c r="E119" i="7"/>
  <c r="F119" i="7"/>
  <c r="F334" i="7"/>
  <c r="E334" i="7"/>
  <c r="E1045" i="7"/>
  <c r="F1045" i="7"/>
  <c r="E1781" i="7"/>
  <c r="F1781" i="7"/>
  <c r="E11" i="7"/>
  <c r="F11" i="7"/>
  <c r="E1878" i="7"/>
  <c r="F1878" i="7"/>
  <c r="E1417" i="7"/>
  <c r="F1417" i="7"/>
  <c r="E1145" i="7"/>
  <c r="F1145" i="7"/>
  <c r="E559" i="7"/>
  <c r="F559" i="7"/>
  <c r="E1904" i="7"/>
  <c r="F1904" i="7"/>
  <c r="E1750" i="7"/>
  <c r="F1750" i="7"/>
  <c r="E567" i="7"/>
  <c r="F567" i="7"/>
  <c r="E1927" i="7"/>
  <c r="F1927" i="7"/>
  <c r="E1712" i="7"/>
  <c r="F1712" i="7"/>
  <c r="E953" i="7"/>
  <c r="F953" i="7"/>
  <c r="E1847" i="7"/>
  <c r="F1847" i="7"/>
  <c r="E2006" i="7"/>
  <c r="F2006" i="7"/>
  <c r="E1366" i="7"/>
  <c r="F1366" i="7"/>
  <c r="E1936" i="7"/>
  <c r="F1936" i="7"/>
  <c r="E1239" i="7"/>
  <c r="F1239" i="7"/>
  <c r="E823" i="7"/>
  <c r="F823" i="7"/>
  <c r="E1545" i="7"/>
  <c r="F1545" i="7"/>
  <c r="E1273" i="7"/>
  <c r="F1273" i="7"/>
  <c r="E473" i="7"/>
  <c r="F473" i="7"/>
  <c r="E1729" i="7"/>
  <c r="F1729" i="7"/>
  <c r="E1704" i="7"/>
  <c r="F1704" i="7"/>
  <c r="E1192" i="7"/>
  <c r="F1192" i="7"/>
  <c r="E1359" i="7"/>
  <c r="F1359" i="7"/>
  <c r="E1614" i="7"/>
  <c r="F1614" i="7"/>
  <c r="E945" i="7"/>
  <c r="F945" i="7"/>
  <c r="E856" i="7"/>
  <c r="F856" i="7"/>
  <c r="E943" i="7"/>
  <c r="F943" i="7"/>
  <c r="E1214" i="7"/>
  <c r="F1214" i="7"/>
  <c r="E702" i="7"/>
  <c r="F702" i="7"/>
  <c r="E1632" i="7"/>
  <c r="F1632" i="7"/>
  <c r="E1799" i="7"/>
  <c r="F1799" i="7"/>
  <c r="F1287" i="7"/>
  <c r="E1287" i="7"/>
  <c r="E1542" i="7"/>
  <c r="F1542" i="7"/>
  <c r="E873" i="7"/>
  <c r="F873" i="7"/>
  <c r="E784" i="7"/>
  <c r="F784" i="7"/>
  <c r="F871" i="7"/>
  <c r="E871" i="7"/>
  <c r="E1142" i="7"/>
  <c r="F1142" i="7"/>
  <c r="E1816" i="7"/>
  <c r="F1816" i="7"/>
  <c r="E1304" i="7"/>
  <c r="F1304" i="7"/>
  <c r="E1471" i="7"/>
  <c r="F1471" i="7"/>
  <c r="E1726" i="7"/>
  <c r="F1726" i="7"/>
  <c r="E1057" i="7"/>
  <c r="F1057" i="7"/>
  <c r="E968" i="7"/>
  <c r="F968" i="7"/>
  <c r="E1055" i="7"/>
  <c r="F1055" i="7"/>
  <c r="E1326" i="7"/>
  <c r="F1326" i="7"/>
  <c r="E814" i="7"/>
  <c r="F814" i="7"/>
  <c r="E582" i="7"/>
  <c r="F582" i="7"/>
  <c r="E1449" i="7"/>
  <c r="F1449" i="7"/>
  <c r="E1424" i="7"/>
  <c r="F1424" i="7"/>
  <c r="F1591" i="7"/>
  <c r="E1591" i="7"/>
  <c r="E1846" i="7"/>
  <c r="F1846" i="7"/>
  <c r="E1177" i="7"/>
  <c r="F1177" i="7"/>
  <c r="E1088" i="7"/>
  <c r="F1088" i="7"/>
  <c r="E576" i="7"/>
  <c r="F576" i="7"/>
  <c r="E663" i="7"/>
  <c r="F663" i="7"/>
  <c r="E934" i="7"/>
  <c r="F934" i="7"/>
  <c r="E208" i="7"/>
  <c r="F208" i="7"/>
  <c r="E1697" i="7"/>
  <c r="F1697" i="7"/>
  <c r="F1672" i="7"/>
  <c r="E1672" i="7"/>
  <c r="E1839" i="7"/>
  <c r="F1839" i="7"/>
  <c r="E1327" i="7"/>
  <c r="F1327" i="7"/>
  <c r="E1582" i="7"/>
  <c r="F1582" i="7"/>
  <c r="F913" i="7"/>
  <c r="E913" i="7"/>
  <c r="E824" i="7"/>
  <c r="F824" i="7"/>
  <c r="E911" i="7"/>
  <c r="F911" i="7"/>
  <c r="E1182" i="7"/>
  <c r="F1182" i="7"/>
  <c r="E36" i="7"/>
  <c r="F36" i="7"/>
  <c r="E1433" i="7"/>
  <c r="F1433" i="7"/>
  <c r="E1408" i="7"/>
  <c r="F1408" i="7"/>
  <c r="E1575" i="7"/>
  <c r="F1575" i="7"/>
  <c r="E1830" i="7"/>
  <c r="F1830" i="7"/>
  <c r="E1161" i="7"/>
  <c r="F1161" i="7"/>
  <c r="E1072" i="7"/>
  <c r="F1072" i="7"/>
  <c r="F1159" i="7"/>
  <c r="E1159" i="7"/>
  <c r="F647" i="7"/>
  <c r="E647" i="7"/>
  <c r="E918" i="7"/>
  <c r="F918" i="7"/>
  <c r="E80" i="7"/>
  <c r="F80" i="7"/>
  <c r="E1656" i="7"/>
  <c r="F1656" i="7"/>
  <c r="E1823" i="7"/>
  <c r="F1823" i="7"/>
  <c r="E1311" i="7"/>
  <c r="F1311" i="7"/>
  <c r="E1566" i="7"/>
  <c r="F1566" i="7"/>
  <c r="E897" i="7"/>
  <c r="F897" i="7"/>
  <c r="E808" i="7"/>
  <c r="F808" i="7"/>
  <c r="E895" i="7"/>
  <c r="F895" i="7"/>
  <c r="E1166" i="7"/>
  <c r="F1166" i="7"/>
  <c r="E20" i="7"/>
  <c r="F20" i="7"/>
  <c r="E1957" i="7"/>
  <c r="F1957" i="7"/>
  <c r="F529" i="7"/>
  <c r="E529" i="7"/>
  <c r="F520" i="7"/>
  <c r="E520" i="7"/>
  <c r="E166" i="7"/>
  <c r="F166" i="7"/>
  <c r="E103" i="7"/>
  <c r="F103" i="7"/>
  <c r="E318" i="7"/>
  <c r="F318" i="7"/>
  <c r="E1901" i="7"/>
  <c r="F1901" i="7"/>
  <c r="E1669" i="7"/>
  <c r="F1669" i="7"/>
  <c r="E201" i="7"/>
  <c r="F201" i="7"/>
  <c r="E192" i="7"/>
  <c r="F192" i="7"/>
  <c r="E287" i="7"/>
  <c r="F287" i="7"/>
  <c r="E502" i="7"/>
  <c r="F502" i="7"/>
  <c r="E877" i="7"/>
  <c r="F877" i="7"/>
  <c r="E513" i="7"/>
  <c r="F513" i="7"/>
  <c r="E504" i="7"/>
  <c r="F504" i="7"/>
  <c r="E118" i="7"/>
  <c r="F118" i="7"/>
  <c r="E87" i="7"/>
  <c r="F87" i="7"/>
  <c r="E302" i="7"/>
  <c r="F302" i="7"/>
  <c r="E1805" i="7"/>
  <c r="F1805" i="7"/>
  <c r="E505" i="7"/>
  <c r="F505" i="7"/>
  <c r="E496" i="7"/>
  <c r="F496" i="7"/>
  <c r="E94" i="7"/>
  <c r="F94" i="7"/>
  <c r="E79" i="7"/>
  <c r="F79" i="7"/>
  <c r="E294" i="7"/>
  <c r="F294" i="7"/>
  <c r="E805" i="7"/>
  <c r="F805" i="7"/>
  <c r="E341" i="7"/>
  <c r="F341" i="7"/>
  <c r="E1533" i="7"/>
  <c r="F1533" i="7"/>
  <c r="F497" i="7"/>
  <c r="E497" i="7"/>
  <c r="F488" i="7"/>
  <c r="E488" i="7"/>
  <c r="E70" i="7"/>
  <c r="F70" i="7"/>
  <c r="E71" i="7"/>
  <c r="F71" i="7"/>
  <c r="E286" i="7"/>
  <c r="F286" i="7"/>
  <c r="E285" i="7"/>
  <c r="F285" i="7"/>
  <c r="E1477" i="7"/>
  <c r="F1477" i="7"/>
  <c r="E77" i="7"/>
  <c r="F77" i="7"/>
  <c r="E489" i="7"/>
  <c r="F489" i="7"/>
  <c r="E480" i="7"/>
  <c r="F480" i="7"/>
  <c r="E46" i="7"/>
  <c r="F46" i="7"/>
  <c r="E63" i="7"/>
  <c r="F63" i="7"/>
  <c r="E278" i="7"/>
  <c r="F278" i="7"/>
  <c r="E693" i="7"/>
  <c r="F693" i="7"/>
  <c r="E29" i="7"/>
  <c r="F29" i="7"/>
  <c r="E481" i="7"/>
  <c r="F481" i="7"/>
  <c r="E472" i="7"/>
  <c r="F472" i="7"/>
  <c r="E22" i="7"/>
  <c r="F22" i="7"/>
  <c r="E55" i="7"/>
  <c r="F55" i="7"/>
  <c r="E270" i="7"/>
  <c r="F270" i="7"/>
  <c r="E637" i="7"/>
  <c r="F637" i="7"/>
  <c r="E10" i="7"/>
  <c r="F10" i="7"/>
  <c r="E1856" i="7"/>
  <c r="F1856" i="7"/>
  <c r="F1985" i="7"/>
  <c r="E1985" i="7"/>
  <c r="E1392" i="7"/>
  <c r="F1392" i="7"/>
  <c r="E1056" i="7"/>
  <c r="F1056" i="7"/>
  <c r="E1840" i="7"/>
  <c r="F1840" i="7"/>
  <c r="F1999" i="7"/>
  <c r="E1999" i="7"/>
  <c r="E838" i="7"/>
  <c r="F838" i="7"/>
  <c r="E1863" i="7"/>
  <c r="F1863" i="7"/>
  <c r="E1762" i="7"/>
  <c r="F1762" i="7"/>
  <c r="E1200" i="7"/>
  <c r="F1200" i="7"/>
  <c r="E864" i="7"/>
  <c r="F864" i="7"/>
  <c r="E1942" i="7"/>
  <c r="F1942" i="7"/>
  <c r="E1920" i="7"/>
  <c r="F1920" i="7"/>
  <c r="E966" i="7"/>
  <c r="F966" i="7"/>
  <c r="E1872" i="7"/>
  <c r="F1872" i="7"/>
  <c r="E1494" i="7"/>
  <c r="F1494" i="7"/>
  <c r="E1094" i="7"/>
  <c r="F1094" i="7"/>
  <c r="E2001" i="7"/>
  <c r="F2001" i="7"/>
  <c r="E1520" i="7"/>
  <c r="F1520" i="7"/>
  <c r="E761" i="7"/>
  <c r="F761" i="7"/>
  <c r="E1333" i="7"/>
  <c r="F1333" i="7"/>
  <c r="E1665" i="7"/>
  <c r="F1665" i="7"/>
  <c r="F1640" i="7"/>
  <c r="E1640" i="7"/>
  <c r="E1807" i="7"/>
  <c r="F1807" i="7"/>
  <c r="E1295" i="7"/>
  <c r="F1295" i="7"/>
  <c r="E1550" i="7"/>
  <c r="F1550" i="7"/>
  <c r="E754" i="7"/>
  <c r="F754" i="7"/>
  <c r="F881" i="7"/>
  <c r="E881" i="7"/>
  <c r="E792" i="7"/>
  <c r="F792" i="7"/>
  <c r="E879" i="7"/>
  <c r="F879" i="7"/>
  <c r="E1150" i="7"/>
  <c r="F1150" i="7"/>
  <c r="E266" i="7"/>
  <c r="F266" i="7"/>
  <c r="E1093" i="7"/>
  <c r="F1093" i="7"/>
  <c r="E1568" i="7"/>
  <c r="F1568" i="7"/>
  <c r="E1735" i="7"/>
  <c r="F1735" i="7"/>
  <c r="E1223" i="7"/>
  <c r="F1223" i="7"/>
  <c r="E1478" i="7"/>
  <c r="F1478" i="7"/>
  <c r="E1321" i="7"/>
  <c r="F1321" i="7"/>
  <c r="E809" i="7"/>
  <c r="F809" i="7"/>
  <c r="E720" i="7"/>
  <c r="F720" i="7"/>
  <c r="E807" i="7"/>
  <c r="F807" i="7"/>
  <c r="E1078" i="7"/>
  <c r="F1078" i="7"/>
  <c r="E129" i="7"/>
  <c r="F129" i="7"/>
  <c r="E1541" i="7"/>
  <c r="F1541" i="7"/>
  <c r="E1752" i="7"/>
  <c r="F1752" i="7"/>
  <c r="E1240" i="7"/>
  <c r="F1240" i="7"/>
  <c r="E1407" i="7"/>
  <c r="F1407" i="7"/>
  <c r="E1662" i="7"/>
  <c r="F1662" i="7"/>
  <c r="E1378" i="7"/>
  <c r="F1378" i="7"/>
  <c r="E993" i="7"/>
  <c r="F993" i="7"/>
  <c r="F904" i="7"/>
  <c r="E904" i="7"/>
  <c r="E991" i="7"/>
  <c r="F991" i="7"/>
  <c r="E1262" i="7"/>
  <c r="F1262" i="7"/>
  <c r="F750" i="7"/>
  <c r="E750" i="7"/>
  <c r="E1897" i="7"/>
  <c r="F1897" i="7"/>
  <c r="E1385" i="7"/>
  <c r="F1385" i="7"/>
  <c r="E1360" i="7"/>
  <c r="F1360" i="7"/>
  <c r="E1527" i="7"/>
  <c r="F1527" i="7"/>
  <c r="E1782" i="7"/>
  <c r="F1782" i="7"/>
  <c r="E1113" i="7"/>
  <c r="F1113" i="7"/>
  <c r="E1024" i="7"/>
  <c r="F1024" i="7"/>
  <c r="E1111" i="7"/>
  <c r="F1111" i="7"/>
  <c r="F599" i="7"/>
  <c r="E599" i="7"/>
  <c r="E870" i="7"/>
  <c r="F870" i="7"/>
  <c r="E303" i="7"/>
  <c r="F303" i="7"/>
  <c r="E1633" i="7"/>
  <c r="F1633" i="7"/>
  <c r="E1608" i="7"/>
  <c r="F1608" i="7"/>
  <c r="F1775" i="7"/>
  <c r="E1775" i="7"/>
  <c r="E1263" i="7"/>
  <c r="F1263" i="7"/>
  <c r="E1518" i="7"/>
  <c r="F1518" i="7"/>
  <c r="E849" i="7"/>
  <c r="F849" i="7"/>
  <c r="E760" i="7"/>
  <c r="F760" i="7"/>
  <c r="E847" i="7"/>
  <c r="F847" i="7"/>
  <c r="F1118" i="7"/>
  <c r="E1118" i="7"/>
  <c r="E89" i="7"/>
  <c r="F89" i="7"/>
  <c r="F1557" i="7"/>
  <c r="E1557" i="7"/>
  <c r="E1881" i="7"/>
  <c r="F1881" i="7"/>
  <c r="E1369" i="7"/>
  <c r="F1369" i="7"/>
  <c r="E1344" i="7"/>
  <c r="F1344" i="7"/>
  <c r="F1511" i="7"/>
  <c r="E1511" i="7"/>
  <c r="E1766" i="7"/>
  <c r="F1766" i="7"/>
  <c r="E1097" i="7"/>
  <c r="F1097" i="7"/>
  <c r="E1008" i="7"/>
  <c r="F1008" i="7"/>
  <c r="E1095" i="7"/>
  <c r="F1095" i="7"/>
  <c r="E583" i="7"/>
  <c r="F583" i="7"/>
  <c r="E854" i="7"/>
  <c r="F854" i="7"/>
  <c r="E554" i="7"/>
  <c r="F554" i="7"/>
  <c r="E175" i="7"/>
  <c r="F175" i="7"/>
  <c r="E1617" i="7"/>
  <c r="F1617" i="7"/>
  <c r="E1592" i="7"/>
  <c r="F1592" i="7"/>
  <c r="E1759" i="7"/>
  <c r="F1759" i="7"/>
  <c r="E1247" i="7"/>
  <c r="F1247" i="7"/>
  <c r="F1502" i="7"/>
  <c r="E1502" i="7"/>
  <c r="E1345" i="7"/>
  <c r="F1345" i="7"/>
  <c r="E833" i="7"/>
  <c r="F833" i="7"/>
  <c r="F744" i="7"/>
  <c r="E744" i="7"/>
  <c r="E831" i="7"/>
  <c r="F831" i="7"/>
  <c r="E1102" i="7"/>
  <c r="F1102" i="7"/>
  <c r="E25" i="7"/>
  <c r="F25" i="7"/>
  <c r="E573" i="7"/>
  <c r="F573" i="7"/>
  <c r="E465" i="7"/>
  <c r="F465" i="7"/>
  <c r="E456" i="7"/>
  <c r="F456" i="7"/>
  <c r="E551" i="7"/>
  <c r="F551" i="7"/>
  <c r="E39" i="7"/>
  <c r="F39" i="7"/>
  <c r="F254" i="7"/>
  <c r="E254" i="7"/>
  <c r="E533" i="7"/>
  <c r="F533" i="7"/>
  <c r="E1469" i="7"/>
  <c r="F1469" i="7"/>
  <c r="E37" i="7"/>
  <c r="F37" i="7"/>
  <c r="E649" i="7"/>
  <c r="F649" i="7"/>
  <c r="E49" i="7"/>
  <c r="F49" i="7"/>
  <c r="E128" i="7"/>
  <c r="F128" i="7"/>
  <c r="E223" i="7"/>
  <c r="F223" i="7"/>
  <c r="E438" i="7"/>
  <c r="F438" i="7"/>
  <c r="E1445" i="7"/>
  <c r="F1445" i="7"/>
  <c r="E449" i="7"/>
  <c r="F449" i="7"/>
  <c r="E440" i="7"/>
  <c r="F440" i="7"/>
  <c r="F535" i="7"/>
  <c r="E535" i="7"/>
  <c r="E23" i="7"/>
  <c r="F23" i="7"/>
  <c r="E238" i="7"/>
  <c r="F238" i="7"/>
  <c r="E1349" i="7"/>
  <c r="F1349" i="7"/>
  <c r="E1125" i="7"/>
  <c r="F1125" i="7"/>
  <c r="E441" i="7"/>
  <c r="F441" i="7"/>
  <c r="E432" i="7"/>
  <c r="F432" i="7"/>
  <c r="E527" i="7"/>
  <c r="F527" i="7"/>
  <c r="E15" i="7"/>
  <c r="F15" i="7"/>
  <c r="E230" i="7"/>
  <c r="F230" i="7"/>
  <c r="E1285" i="7"/>
  <c r="F1285" i="7"/>
  <c r="E433" i="7"/>
  <c r="F433" i="7"/>
  <c r="E424" i="7"/>
  <c r="F424" i="7"/>
  <c r="F519" i="7"/>
  <c r="E519" i="7"/>
  <c r="E158" i="7"/>
  <c r="F158" i="7"/>
  <c r="E222" i="7"/>
  <c r="F222" i="7"/>
  <c r="E325" i="7"/>
  <c r="F325" i="7"/>
  <c r="E1229" i="7"/>
  <c r="F1229" i="7"/>
  <c r="E981" i="7"/>
  <c r="F981" i="7"/>
  <c r="E202" i="7"/>
  <c r="F202" i="7"/>
  <c r="E425" i="7"/>
  <c r="F425" i="7"/>
  <c r="E416" i="7"/>
  <c r="F416" i="7"/>
  <c r="E511" i="7"/>
  <c r="F511" i="7"/>
  <c r="F142" i="7"/>
  <c r="E142" i="7"/>
  <c r="E214" i="7"/>
  <c r="F214" i="7"/>
  <c r="E1197" i="7"/>
  <c r="F1197" i="7"/>
  <c r="E925" i="7"/>
  <c r="F925" i="7"/>
  <c r="E417" i="7"/>
  <c r="F417" i="7"/>
  <c r="E408" i="7"/>
  <c r="F408" i="7"/>
  <c r="E503" i="7"/>
  <c r="F503" i="7"/>
  <c r="E110" i="7"/>
  <c r="F110" i="7"/>
  <c r="E206" i="7"/>
  <c r="F206" i="7"/>
  <c r="F1149" i="7"/>
  <c r="E1149" i="7"/>
  <c r="G31" i="3"/>
  <c r="L12" i="3" s="1"/>
  <c r="G29" i="3"/>
  <c r="L10" i="3" s="1"/>
  <c r="G34" i="3"/>
  <c r="L15" i="3" s="1"/>
  <c r="G33" i="3"/>
  <c r="L14" i="3" s="1"/>
  <c r="G24" i="3"/>
  <c r="F9" i="7" l="1"/>
  <c r="E9" i="7"/>
  <c r="G35" i="3"/>
  <c r="L16" i="3" s="1"/>
  <c r="G28" i="3" a="1"/>
  <c r="G28" i="3" s="1"/>
  <c r="L8" i="3" s="1"/>
  <c r="G32" i="3"/>
  <c r="L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<sst xmlns="http://schemas.openxmlformats.org/spreadsheetml/2006/main" count="269" uniqueCount="148">
  <si>
    <t>Valuation Date</t>
  </si>
  <si>
    <t>Valuation inputs</t>
  </si>
  <si>
    <t>Volatility</t>
  </si>
  <si>
    <t>Domestic currency interest rate</t>
  </si>
  <si>
    <t>Foreign currency interest rate</t>
  </si>
  <si>
    <t>Call/Put perspective</t>
  </si>
  <si>
    <t>Notional amount</t>
  </si>
  <si>
    <t>Notional currency</t>
  </si>
  <si>
    <t>Buy/Sell perspective</t>
  </si>
  <si>
    <t>Buy</t>
  </si>
  <si>
    <t>Sell</t>
  </si>
  <si>
    <t>Call FOR, Put DOM</t>
  </si>
  <si>
    <t>User input</t>
  </si>
  <si>
    <t>FOR/DOM</t>
  </si>
  <si>
    <t>[$]</t>
  </si>
  <si>
    <t>Value</t>
  </si>
  <si>
    <t>Units</t>
  </si>
  <si>
    <t>Field</t>
  </si>
  <si>
    <t>Expiry Date</t>
  </si>
  <si>
    <t>[Date]</t>
  </si>
  <si>
    <t>DOM/FOR</t>
  </si>
  <si>
    <t>K</t>
  </si>
  <si>
    <r>
      <t>S</t>
    </r>
    <r>
      <rPr>
        <vertAlign val="subscript"/>
        <sz val="10"/>
        <color theme="1"/>
        <rFont val="Arial"/>
        <family val="2"/>
      </rPr>
      <t>0</t>
    </r>
  </si>
  <si>
    <t>σ</t>
  </si>
  <si>
    <t>F</t>
  </si>
  <si>
    <r>
      <t>d</t>
    </r>
    <r>
      <rPr>
        <vertAlign val="subscript"/>
        <sz val="10"/>
        <color theme="1"/>
        <rFont val="Arial"/>
        <family val="2"/>
      </rPr>
      <t>1</t>
    </r>
  </si>
  <si>
    <r>
      <t>d</t>
    </r>
    <r>
      <rPr>
        <vertAlign val="subscript"/>
        <sz val="10"/>
        <color theme="1"/>
        <rFont val="Arial"/>
        <family val="2"/>
      </rPr>
      <t>2</t>
    </r>
  </si>
  <si>
    <t>[%]</t>
  </si>
  <si>
    <t>CP</t>
  </si>
  <si>
    <t>[Years]</t>
  </si>
  <si>
    <t>{-1,1}</t>
  </si>
  <si>
    <t>Option Value</t>
  </si>
  <si>
    <t>Foreign Currency Notional</t>
  </si>
  <si>
    <t>Domestic Currency Notional</t>
  </si>
  <si>
    <t>Put FOR, Call DOM</t>
  </si>
  <si>
    <t>Valuation model inputs</t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</si>
  <si>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10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</si>
  <si>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10"/>
        <color theme="1"/>
        <rFont val="Arial"/>
        <family val="2"/>
      </rPr>
      <t xml:space="preserve"> (forward delta)</t>
    </r>
  </si>
  <si>
    <t>Vega</t>
  </si>
  <si>
    <t>Theta</t>
  </si>
  <si>
    <t>Gamma</t>
  </si>
  <si>
    <t>Legend</t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</si>
  <si>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</si>
  <si>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</si>
  <si>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</si>
  <si>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</si>
  <si>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t>Vega (normalised to 1% change in volatility)</t>
  </si>
  <si>
    <t>Gamma (normalised to 1% change in spot price)</t>
  </si>
  <si>
    <t>Price (in the domestic currency, per 1 unit of foreign currency notional)</t>
  </si>
  <si>
    <t>[DOM]</t>
  </si>
  <si>
    <t>[FOR]</t>
  </si>
  <si>
    <t>Vanilla European option results</t>
  </si>
  <si>
    <t>European digital option results</t>
  </si>
  <si>
    <t>Vanilla European option pricing and analytical greeks</t>
  </si>
  <si>
    <t>Results in Notional Currency</t>
  </si>
  <si>
    <t>DOM</t>
  </si>
  <si>
    <t>FOR</t>
  </si>
  <si>
    <t>Call</t>
  </si>
  <si>
    <t>Put</t>
  </si>
  <si>
    <t>Strike</t>
  </si>
  <si>
    <t>Barrier</t>
  </si>
  <si>
    <t>FX spot price</t>
  </si>
  <si>
    <t>FX forward rate</t>
  </si>
  <si>
    <t>Vanilla option helpers</t>
  </si>
  <si>
    <t>Barrier option helpers</t>
  </si>
  <si>
    <r>
      <t>d</t>
    </r>
    <r>
      <rPr>
        <vertAlign val="subscript"/>
        <sz val="10"/>
        <color theme="1"/>
        <rFont val="Arial"/>
        <family val="2"/>
      </rPr>
      <t>3</t>
    </r>
  </si>
  <si>
    <t>H</t>
  </si>
  <si>
    <r>
      <t>d</t>
    </r>
    <r>
      <rPr>
        <vertAlign val="subscript"/>
        <sz val="10"/>
        <color theme="1"/>
        <rFont val="Arial"/>
        <family val="2"/>
      </rPr>
      <t>4</t>
    </r>
  </si>
  <si>
    <t>Down and In</t>
  </si>
  <si>
    <t>Core / vanilla contractual inputs</t>
  </si>
  <si>
    <t>Exotic contractual inputs</t>
  </si>
  <si>
    <t>Rand ~N(0,1)</t>
  </si>
  <si>
    <t>S(T)</t>
  </si>
  <si>
    <t>μ</t>
  </si>
  <si>
    <t>T</t>
  </si>
  <si>
    <t>with FCB</t>
  </si>
  <si>
    <t>Sims per 1 refresh</t>
  </si>
  <si>
    <t># of refreshes</t>
  </si>
  <si>
    <t>antithetic variates →</t>
  </si>
  <si>
    <t>Total simulations</t>
  </si>
  <si>
    <t xml:space="preserve">Averages → </t>
  </si>
  <si>
    <t>Averages →</t>
  </si>
  <si>
    <t xml:space="preserve">Option Value Monte Carlo </t>
  </si>
  <si>
    <t>Discount Factor</t>
  </si>
  <si>
    <t>Option Forward Value</t>
  </si>
  <si>
    <t>Option Discounted Value</t>
  </si>
  <si>
    <t xml:space="preserve">Run time (seconds): </t>
  </si>
  <si>
    <t xml:space="preserve">Vanilla Option </t>
  </si>
  <si>
    <t xml:space="preserve">Digital Option </t>
  </si>
  <si>
    <t>% in-the-money</t>
  </si>
  <si>
    <t>Price in notional currency</t>
  </si>
  <si>
    <t>Price in domestic currency</t>
  </si>
  <si>
    <t>European digital option pricing</t>
  </si>
  <si>
    <t>Contractual Inputs</t>
  </si>
  <si>
    <t>Buy/Sell</t>
  </si>
  <si>
    <t>Call/Put</t>
  </si>
  <si>
    <t>Notional Amt</t>
  </si>
  <si>
    <t>Notional Ccy</t>
  </si>
  <si>
    <t>Value Date</t>
  </si>
  <si>
    <t>FOR Notional</t>
  </si>
  <si>
    <t>DOM Notional</t>
  </si>
  <si>
    <t>With Currency Basis</t>
  </si>
  <si>
    <t>By Interest Rate Parity</t>
  </si>
  <si>
    <t>Methodology</t>
  </si>
  <si>
    <t>Valuation &amp; Market Data Inputs</t>
  </si>
  <si>
    <t>Valuation Helpers</t>
  </si>
  <si>
    <t>Results</t>
  </si>
  <si>
    <t>by IR Parity</t>
  </si>
  <si>
    <t>Theta (normalised to 1 day)</t>
  </si>
  <si>
    <t>Px</t>
  </si>
  <si>
    <r>
      <t>Δ</t>
    </r>
    <r>
      <rPr>
        <vertAlign val="subscript"/>
        <sz val="10"/>
        <color theme="0"/>
        <rFont val="Arial"/>
        <family val="2"/>
      </rPr>
      <t>forward</t>
    </r>
  </si>
  <si>
    <r>
      <t>S</t>
    </r>
    <r>
      <rPr>
        <b/>
        <vertAlign val="subscript"/>
        <sz val="10"/>
        <color theme="0"/>
        <rFont val="Arial"/>
        <family val="2"/>
      </rPr>
      <t>0</t>
    </r>
  </si>
  <si>
    <r>
      <t>r</t>
    </r>
    <r>
      <rPr>
        <b/>
        <vertAlign val="subscript"/>
        <sz val="10"/>
        <color theme="0"/>
        <rFont val="Arial"/>
        <family val="2"/>
      </rPr>
      <t>f</t>
    </r>
  </si>
  <si>
    <r>
      <t>r</t>
    </r>
    <r>
      <rPr>
        <b/>
        <vertAlign val="subscript"/>
        <sz val="10"/>
        <color theme="0"/>
        <rFont val="Arial"/>
        <family val="2"/>
      </rPr>
      <t>d</t>
    </r>
  </si>
  <si>
    <r>
      <t>r</t>
    </r>
    <r>
      <rPr>
        <b/>
        <vertAlign val="subscript"/>
        <sz val="10"/>
        <color theme="0"/>
        <rFont val="Arial"/>
        <family val="2"/>
      </rPr>
      <t>d_basis_adj</t>
    </r>
  </si>
  <si>
    <r>
      <t>d</t>
    </r>
    <r>
      <rPr>
        <b/>
        <vertAlign val="subscript"/>
        <sz val="10"/>
        <color theme="0"/>
        <rFont val="Arial"/>
        <family val="2"/>
      </rPr>
      <t>1</t>
    </r>
  </si>
  <si>
    <r>
      <t>d</t>
    </r>
    <r>
      <rPr>
        <b/>
        <vertAlign val="subscript"/>
        <sz val="10"/>
        <color theme="0"/>
        <rFont val="Arial"/>
        <family val="2"/>
      </rPr>
      <t>2</t>
    </r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</si>
  <si>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</si>
  <si>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r>
      <t>r</t>
    </r>
    <r>
      <rPr>
        <vertAlign val="subscript"/>
        <sz val="10"/>
        <color theme="1"/>
        <rFont val="Arial"/>
        <family val="2"/>
      </rPr>
      <t>domestic currency</t>
    </r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</si>
  <si>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</si>
  <si>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r</t>
  </si>
  <si>
    <t>q</t>
  </si>
  <si>
    <t>Vanilla EU Payoff</t>
  </si>
  <si>
    <t>Digital EU Payoff</t>
  </si>
  <si>
    <r>
      <t>μ</t>
    </r>
    <r>
      <rPr>
        <vertAlign val="subscript"/>
        <sz val="10"/>
        <color theme="1"/>
        <rFont val="Arial"/>
        <family val="2"/>
      </rPr>
      <t>with currency basis</t>
    </r>
  </si>
  <si>
    <r>
      <t>μ</t>
    </r>
    <r>
      <rPr>
        <vertAlign val="subscript"/>
        <sz val="10"/>
        <color theme="1"/>
        <rFont val="Arial"/>
        <family val="2"/>
      </rPr>
      <t>by interest rate parity</t>
    </r>
  </si>
  <si>
    <r>
      <t>μ</t>
    </r>
    <r>
      <rPr>
        <b/>
        <vertAlign val="subscript"/>
        <sz val="10"/>
        <color theme="0"/>
        <rFont val="Arial"/>
        <family val="2"/>
      </rPr>
      <t>with currency basis</t>
    </r>
  </si>
  <si>
    <r>
      <t>μ</t>
    </r>
    <r>
      <rPr>
        <b/>
        <vertAlign val="subscript"/>
        <sz val="10"/>
        <color theme="0"/>
        <rFont val="Arial"/>
        <family val="2"/>
      </rPr>
      <t>by interest rate parity</t>
    </r>
  </si>
  <si>
    <t>Unit Vega</t>
  </si>
  <si>
    <t>Unit Theta</t>
  </si>
  <si>
    <t>Unit Gamma</t>
  </si>
  <si>
    <r>
      <t>Unit Rho</t>
    </r>
    <r>
      <rPr>
        <b/>
        <vertAlign val="subscript"/>
        <sz val="10"/>
        <color theme="0"/>
        <rFont val="Arial"/>
        <family val="2"/>
      </rPr>
      <t>domestic currency</t>
    </r>
  </si>
  <si>
    <r>
      <t>Unit Δ</t>
    </r>
    <r>
      <rPr>
        <b/>
        <vertAlign val="subscript"/>
        <sz val="10"/>
        <color theme="0"/>
        <rFont val="Arial"/>
        <family val="2"/>
      </rPr>
      <t>spot</t>
    </r>
  </si>
  <si>
    <r>
      <t>Unit Δ</t>
    </r>
    <r>
      <rPr>
        <b/>
        <vertAlign val="subscript"/>
        <sz val="10"/>
        <color theme="0"/>
        <rFont val="Arial"/>
        <family val="2"/>
      </rPr>
      <t>forward</t>
    </r>
  </si>
  <si>
    <r>
      <t>Δ</t>
    </r>
    <r>
      <rPr>
        <vertAlign val="subscript"/>
        <sz val="10"/>
        <color theme="1"/>
        <rFont val="Arial"/>
        <family val="2"/>
      </rPr>
      <t>spot</t>
    </r>
  </si>
  <si>
    <t>Unit Results</t>
  </si>
  <si>
    <r>
      <t>Unit Rho</t>
    </r>
    <r>
      <rPr>
        <b/>
        <vertAlign val="subscript"/>
        <sz val="10"/>
        <color theme="0"/>
        <rFont val="Arial"/>
        <family val="2"/>
      </rPr>
      <t>foreign currency</t>
    </r>
  </si>
  <si>
    <t>Units →</t>
  </si>
  <si>
    <t>{FOR, DOM}</t>
  </si>
  <si>
    <t>{Buy,Sell}</t>
  </si>
  <si>
    <t>[$, FOR]</t>
  </si>
  <si>
    <t>[$, DOM]</t>
  </si>
  <si>
    <t>Result Ccy</t>
  </si>
  <si>
    <t>Vanilla European Option Results in Result Currency</t>
  </si>
  <si>
    <t>Result Ccy Divisor</t>
  </si>
  <si>
    <t>Result Currency</t>
  </si>
  <si>
    <t>Result divisor</t>
  </si>
  <si>
    <t xml:space="preserve">Run time (minutes):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</si>
</sst>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,##0_-;\(#,##0\)_-;\-_-"/>
    <numFmt numFmtId="165" formatCode="d\-mmm\-yyyy_-;;"/>
    <numFmt numFmtId="166" formatCode="0.0000"/>
    <numFmt numFmtId="167" formatCode="_-* #,##0.0000_-;\-* #,##0.0000_-;_-* &quot;-&quot;??_-;_-@_-"/>
    <numFmt numFmtId="168" formatCode="_-* #,##0.00000_-;\-* #,##0.00000_-;_-* &quot;-&quot;??_-;_-@_-"/>
    <numFmt numFmtId="169" formatCode="0.000%"/>
    <numFmt numFmtId="170" formatCode="0.0000%"/>
    <numFmt numFmtId="171" formatCode="0.00000%"/>
    <numFmt numFmtId="172" formatCode="_-* #,##0.000000_-;\-* #,##0.000000_-;_-* &quot;-&quot;??_-;_-@_-"/>
    <numFmt numFmtId="173" formatCode="_-* #,##0.00000000_-;\-* #,##0.00000000_-;_-* &quot;-&quot;??_-;_-@_-"/>
    <numFmt numFmtId="174" formatCode="0.00000000"/>
    <numFmt numFmtId="175" formatCode="d\-mmm\-yy_-;;"/>
    <numFmt numFmtId="176" formatCode="_-* #,##0.000_-;\-* #,##0.000_-;_-* &quot;-&quot;??_-;_-@_-"/>
    <numFmt numFmtId="177" formatCode="0.000000%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vertAlign val="subscript"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sz val="10"/>
      <color theme="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color theme="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2" fillId="2" borderId="0" xfId="0" applyFont="1" applyFill="1"/>
    <xf numFmtId="0" fontId="0" fillId="0" borderId="5" xfId="0" applyBorder="1"/>
    <xf numFmtId="0" fontId="2" fillId="2" borderId="1" xfId="0" applyFont="1" applyFill="1" applyBorder="1"/>
    <xf numFmtId="165" fontId="2" fillId="2" borderId="0" xfId="0" applyNumberFormat="1" applyFont="1" applyFill="1"/>
    <xf numFmtId="166" fontId="2" fillId="2" borderId="0" xfId="0" applyNumberFormat="1" applyFont="1" applyFill="1"/>
    <xf numFmtId="168" fontId="2" fillId="2" borderId="0" xfId="1" applyNumberFormat="1" applyFont="1" applyFill="1" applyBorder="1"/>
    <xf numFmtId="170" fontId="2" fillId="2" borderId="0" xfId="2" applyNumberFormat="1" applyFont="1" applyFill="1" applyBorder="1"/>
    <xf numFmtId="171" fontId="2" fillId="2" borderId="0" xfId="2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70" fontId="2" fillId="2" borderId="1" xfId="2" applyNumberFormat="1" applyFont="1" applyFill="1" applyBorder="1"/>
    <xf numFmtId="0" fontId="4" fillId="0" borderId="0" xfId="0" applyFont="1"/>
    <xf numFmtId="164" fontId="0" fillId="0" borderId="0" xfId="0" applyNumberFormat="1"/>
    <xf numFmtId="168" fontId="0" fillId="0" borderId="0" xfId="1" applyNumberFormat="1" applyFont="1" applyBorder="1"/>
    <xf numFmtId="171" fontId="0" fillId="0" borderId="0" xfId="2" applyNumberFormat="1" applyFont="1" applyBorder="1"/>
    <xf numFmtId="168" fontId="0" fillId="0" borderId="0" xfId="0" applyNumberFormat="1"/>
    <xf numFmtId="170" fontId="0" fillId="0" borderId="0" xfId="2" applyNumberFormat="1" applyFont="1" applyBorder="1"/>
    <xf numFmtId="164" fontId="0" fillId="0" borderId="1" xfId="0" applyNumberFormat="1" applyBorder="1"/>
    <xf numFmtId="167" fontId="0" fillId="0" borderId="0" xfId="1" applyNumberFormat="1" applyFont="1" applyBorder="1"/>
    <xf numFmtId="167" fontId="0" fillId="0" borderId="6" xfId="1" applyNumberFormat="1" applyFont="1" applyBorder="1"/>
    <xf numFmtId="0" fontId="0" fillId="0" borderId="9" xfId="0" applyBorder="1"/>
    <xf numFmtId="167" fontId="0" fillId="0" borderId="11" xfId="1" applyNumberFormat="1" applyFont="1" applyBorder="1"/>
    <xf numFmtId="10" fontId="0" fillId="0" borderId="0" xfId="2" applyNumberFormat="1" applyFont="1" applyBorder="1"/>
    <xf numFmtId="167" fontId="0" fillId="0" borderId="0" xfId="0" applyNumberFormat="1"/>
    <xf numFmtId="0" fontId="0" fillId="0" borderId="11" xfId="0" applyBorder="1"/>
    <xf numFmtId="173" fontId="0" fillId="0" borderId="0" xfId="1" applyNumberFormat="1" applyFont="1" applyBorder="1"/>
    <xf numFmtId="172" fontId="0" fillId="0" borderId="0" xfId="0" applyNumberFormat="1"/>
    <xf numFmtId="11" fontId="0" fillId="0" borderId="0" xfId="0" applyNumberFormat="1"/>
    <xf numFmtId="174" fontId="0" fillId="0" borderId="0" xfId="0" applyNumberFormat="1"/>
    <xf numFmtId="173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6" xfId="0" applyNumberFormat="1" applyBorder="1"/>
    <xf numFmtId="164" fontId="0" fillId="0" borderId="8" xfId="0" applyNumberFormat="1" applyBorder="1"/>
    <xf numFmtId="167" fontId="0" fillId="0" borderId="8" xfId="1" applyNumberFormat="1" applyFont="1" applyBorder="1"/>
    <xf numFmtId="166" fontId="0" fillId="0" borderId="0" xfId="0" applyNumberFormat="1"/>
    <xf numFmtId="169" fontId="0" fillId="0" borderId="0" xfId="0" applyNumberFormat="1"/>
    <xf numFmtId="0" fontId="0" fillId="0" borderId="1" xfId="0" applyBorder="1"/>
    <xf numFmtId="167" fontId="0" fillId="0" borderId="0" xfId="1" applyNumberFormat="1" applyFont="1"/>
    <xf numFmtId="168" fontId="0" fillId="0" borderId="0" xfId="1" applyNumberFormat="1" applyFont="1"/>
    <xf numFmtId="164" fontId="0" fillId="0" borderId="7" xfId="0" applyNumberFormat="1" applyBorder="1"/>
    <xf numFmtId="166" fontId="0" fillId="0" borderId="1" xfId="0" applyNumberFormat="1" applyBorder="1"/>
    <xf numFmtId="0" fontId="2" fillId="2" borderId="10" xfId="0" applyFont="1" applyFill="1" applyBorder="1"/>
    <xf numFmtId="164" fontId="2" fillId="2" borderId="0" xfId="0" applyNumberFormat="1" applyFont="1" applyFill="1"/>
    <xf numFmtId="169" fontId="0" fillId="0" borderId="0" xfId="2" applyNumberFormat="1" applyFont="1" applyBorder="1"/>
    <xf numFmtId="172" fontId="0" fillId="0" borderId="3" xfId="1" applyNumberFormat="1" applyFont="1" applyBorder="1"/>
    <xf numFmtId="172" fontId="0" fillId="0" borderId="0" xfId="1" applyNumberFormat="1" applyFont="1"/>
    <xf numFmtId="172" fontId="0" fillId="0" borderId="1" xfId="1" applyNumberFormat="1" applyFont="1" applyBorder="1"/>
    <xf numFmtId="172" fontId="0" fillId="0" borderId="0" xfId="0" quotePrefix="1" applyNumberFormat="1"/>
    <xf numFmtId="10" fontId="0" fillId="0" borderId="3" xfId="2" applyNumberFormat="1" applyFont="1" applyBorder="1"/>
    <xf numFmtId="10" fontId="0" fillId="0" borderId="10" xfId="2" applyNumberFormat="1" applyFont="1" applyBorder="1"/>
    <xf numFmtId="164" fontId="0" fillId="0" borderId="9" xfId="0" applyNumberFormat="1" applyBorder="1"/>
    <xf numFmtId="164" fontId="0" fillId="0" borderId="0" xfId="2" applyNumberFormat="1" applyFont="1" applyBorder="1"/>
    <xf numFmtId="164" fontId="0" fillId="0" borderId="1" xfId="2" applyNumberFormat="1" applyFont="1" applyBorder="1"/>
    <xf numFmtId="171" fontId="0" fillId="0" borderId="3" xfId="2" applyNumberFormat="1" applyFont="1" applyBorder="1"/>
    <xf numFmtId="170" fontId="0" fillId="0" borderId="1" xfId="2" applyNumberFormat="1" applyFont="1" applyBorder="1"/>
    <xf numFmtId="0" fontId="0" fillId="0" borderId="0" xfId="0" applyAlignment="1">
      <alignment horizontal="center"/>
    </xf>
    <xf numFmtId="176" fontId="0" fillId="0" borderId="0" xfId="1" applyNumberFormat="1" applyFont="1" applyBorder="1"/>
    <xf numFmtId="0" fontId="8" fillId="2" borderId="0" xfId="0" applyFont="1" applyFill="1"/>
    <xf numFmtId="167" fontId="8" fillId="2" borderId="0" xfId="1" applyNumberFormat="1" applyFont="1" applyFill="1" applyBorder="1"/>
    <xf numFmtId="175" fontId="8" fillId="2" borderId="0" xfId="0" applyNumberFormat="1" applyFont="1" applyFill="1"/>
    <xf numFmtId="164" fontId="8" fillId="2" borderId="0" xfId="0" applyNumberFormat="1" applyFont="1" applyFill="1"/>
    <xf numFmtId="10" fontId="8" fillId="2" borderId="0" xfId="2" applyNumberFormat="1" applyFont="1" applyFill="1" applyBorder="1"/>
    <xf numFmtId="0" fontId="9" fillId="0" borderId="0" xfId="0" applyFont="1"/>
    <xf numFmtId="0" fontId="6" fillId="0" borderId="0" xfId="0" applyFont="1"/>
    <xf numFmtId="0" fontId="6" fillId="0" borderId="16" xfId="0" applyFont="1" applyBorder="1"/>
    <xf numFmtId="0" fontId="8" fillId="2" borderId="15" xfId="0" applyFont="1" applyFill="1" applyBorder="1"/>
    <xf numFmtId="0" fontId="8" fillId="2" borderId="16" xfId="0" applyFont="1" applyFill="1" applyBorder="1"/>
    <xf numFmtId="175" fontId="8" fillId="2" borderId="15" xfId="0" applyNumberFormat="1" applyFont="1" applyFill="1" applyBorder="1"/>
    <xf numFmtId="10" fontId="8" fillId="2" borderId="16" xfId="2" applyNumberFormat="1" applyFont="1" applyFill="1" applyBorder="1"/>
    <xf numFmtId="0" fontId="9" fillId="0" borderId="13" xfId="0" applyFont="1" applyBorder="1" applyAlignment="1">
      <alignment horizontal="centerContinuous"/>
    </xf>
    <xf numFmtId="0" fontId="10" fillId="0" borderId="12" xfId="0" applyFont="1" applyBorder="1" applyAlignment="1">
      <alignment horizontal="centerContinuous"/>
    </xf>
    <xf numFmtId="0" fontId="10" fillId="0" borderId="13" xfId="0" applyFont="1" applyBorder="1" applyAlignment="1">
      <alignment horizontal="centerContinuous"/>
    </xf>
    <xf numFmtId="0" fontId="10" fillId="0" borderId="14" xfId="0" applyFont="1" applyBorder="1" applyAlignment="1">
      <alignment horizontal="centerContinuous"/>
    </xf>
    <xf numFmtId="0" fontId="9" fillId="0" borderId="0" xfId="0" applyFont="1" applyAlignment="1">
      <alignment horizontal="center"/>
    </xf>
    <xf numFmtId="164" fontId="0" fillId="0" borderId="15" xfId="2" applyNumberFormat="1" applyFont="1" applyBorder="1"/>
    <xf numFmtId="170" fontId="0" fillId="0" borderId="0" xfId="2" applyNumberFormat="1" applyFont="1"/>
    <xf numFmtId="0" fontId="6" fillId="0" borderId="15" xfId="0" applyFont="1" applyBorder="1"/>
    <xf numFmtId="0" fontId="6" fillId="0" borderId="17" xfId="0" applyFont="1" applyBorder="1"/>
    <xf numFmtId="0" fontId="6" fillId="0" borderId="1" xfId="0" applyFont="1" applyBorder="1"/>
    <xf numFmtId="0" fontId="6" fillId="0" borderId="5" xfId="0" applyFont="1" applyBorder="1"/>
    <xf numFmtId="0" fontId="8" fillId="2" borderId="4" xfId="0" applyFont="1" applyFill="1" applyBorder="1"/>
    <xf numFmtId="10" fontId="0" fillId="0" borderId="1" xfId="2" applyNumberFormat="1" applyFont="1" applyBorder="1"/>
    <xf numFmtId="166" fontId="2" fillId="2" borderId="1" xfId="0" applyNumberFormat="1" applyFont="1" applyFill="1" applyBorder="1"/>
    <xf numFmtId="177" fontId="0" fillId="0" borderId="0" xfId="2" applyNumberFormat="1" applyFont="1" applyBorder="1"/>
    <xf numFmtId="0" fontId="6" fillId="0" borderId="18" xfId="0" applyFont="1" applyBorder="1"/>
    <xf numFmtId="170" fontId="0" fillId="0" borderId="16" xfId="2" applyNumberFormat="1" applyFont="1" applyBorder="1"/>
    <xf numFmtId="169" fontId="0" fillId="0" borderId="15" xfId="2" applyNumberFormat="1" applyFont="1" applyBorder="1"/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167" fontId="0" fillId="0" borderId="0" xfId="2" applyNumberFormat="1" applyFont="1" applyBorder="1"/>
    <xf numFmtId="164" fontId="0" fillId="0" borderId="16" xfId="2" applyNumberFormat="1" applyFont="1" applyBorder="1"/>
    <xf numFmtId="0" fontId="0" fillId="0" borderId="18" xfId="0" applyBorder="1"/>
    <xf numFmtId="0" fontId="2" fillId="2" borderId="4" xfId="0" applyFont="1" applyFill="1" applyBorder="1"/>
    <xf numFmtId="168" fontId="0" fillId="0" borderId="0" xfId="0" applyNumberFormat="1" applyAlignment="1">
      <alignment horizontal="center"/>
    </xf>
    <xf numFmtId="0" fontId="0" fillId="0" borderId="0" xfId="0" applyBorder="1"/>
    <xf numFmtId="164" fontId="0" fillId="0" borderId="0" xfId="0" applyNumberFormat="1" applyBorder="1"/>
    <xf numFmtId="43" fontId="0" fillId="0" borderId="8" xfId="1" applyFont="1" applyBorder="1"/>
    <xf numFmtId="169" fontId="0" fillId="0" borderId="3" xfId="2" applyNumberFormat="1" applyFont="1" applyBorder="1"/>
    <xf numFmtId="0" fontId="0" fillId="0" borderId="8" xfId="0" applyFill="1" applyBorder="1"/>
    <xf numFmtId="0" fontId="0" fillId="0" borderId="10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164" fontId="0" fillId="0" borderId="20" xfId="0" applyNumberFormat="1" applyBorder="1"/>
    <xf numFmtId="167" fontId="0" fillId="0" borderId="20" xfId="1" applyNumberFormat="1" applyFont="1" applyBorder="1"/>
    <xf numFmtId="164" fontId="0" fillId="0" borderId="21" xfId="2" applyNumberFormat="1" applyFont="1" applyBorder="1"/>
    <xf numFmtId="43" fontId="0" fillId="0" borderId="6" xfId="1" applyFont="1" applyBorder="1"/>
  </cellXfs>
  <cellStyles count="3">
    <cellStyle name="Comma" xfId="1" builtinId="3"/>
    <cellStyle name="Normal" xfId="0" builtinId="0"/>
    <cellStyle name="Percent" xfId="2" builtinId="5"/>
  </cellStyles>
  <dxfs count="45"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  <border diagonalUp="0" diagonalDown="0">
        <right style="medium">
          <color indexed="64"/>
        </righ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7" formatCode="0.00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9" formatCode="0.000%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_-* #,##0.00000_-;\-* #,##0.0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6" formatCode="_-* #,##0.000_-;\-* #,##0.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5" formatCode="d\-mmm\-yy_-;;"/>
      <fill>
        <patternFill patternType="solid">
          <fgColor indexed="64"/>
          <bgColor theme="7" tint="0.79998168889431442"/>
        </patternFill>
      </fill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4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5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b/>
        <strike val="0"/>
        <outline val="0"/>
        <shadow val="0"/>
        <u val="no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523875</xdr:colOff>
      <xdr:row>29</xdr:row>
      <xdr:rowOff>104775</xdr:rowOff>
    </xdr:from>
    <xdr:to>
      <xdr:col>14</xdr:col>
      <xdr:colOff>305137</xdr:colOff>
      <xdr:row>41</xdr:row>
      <xdr:rowOff>5885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5219700"/>
          <a:ext cx="3886537" cy="1958510"/>
        </a:xfrm>
        <a:prstGeom prst="rect">
          <a:avLst/>
        </a:prstGeom>
      </xdr:spPr>
    </xdr:pic>
    <xdr:clientData/>
  </xdr:twoCellAnchor>
  <xdr:twoCellAnchor editAs="oneCell">
    <xdr:from>
      <xdr:col>10</xdr:col>
      <xdr:colOff>447675</xdr:colOff>
      <xdr:row>40</xdr:row>
      <xdr:rowOff>47625</xdr:rowOff>
    </xdr:from>
    <xdr:to>
      <xdr:col>15</xdr:col>
      <xdr:colOff>38420</xdr:colOff>
      <xdr:row>71</xdr:row>
      <xdr:rowOff>88082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6400" y="7962900"/>
          <a:ext cx="3696020" cy="521253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40</xdr:row>
      <xdr:rowOff>47625</xdr:rowOff>
    </xdr:from>
    <xdr:to>
      <xdr:col>3</xdr:col>
      <xdr:colOff>270842</xdr:colOff>
      <xdr:row>61</xdr:row>
      <xdr:rowOff>152717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7058025"/>
          <a:ext cx="3833192" cy="36579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6</xdr:row>
          <xdr:rowOff>85725</xdr:rowOff>
        </xdr:from>
        <xdr:to>
          <xdr:col>14</xdr:col>
          <xdr:colOff>742950</xdr:colOff>
          <xdr:row>8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B5CFB6-794F-40A8-81B2-C81B04684AF7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3888-3EB1-4B6E-8375-F6DA5DAFB5F1}">
  <sheetPr codeName="Sheet1"/>
  <dimension ref="B2:M55"/>
  <sheetViews>
    <sheetView tabSelected="1" workbookViewId="0"/>
  </sheetViews>
  <sheetFormatPr defaultRowHeight="12.75" x14ac:dyDescent="0.2"/>
  <cols>
    <col min="2" max="2" width="27.5703125" bestFit="1" customWidth="1"/>
    <col min="3" max="3" width="20.140625" bestFit="1" customWidth="1"/>
    <col min="4" max="4" width="9.7109375" bestFit="1" customWidth="1"/>
    <col min="6" max="6" width="69.42578125" bestFit="1" customWidth="1"/>
    <col min="7" max="7" width="12.5703125" bestFit="1" customWidth="1"/>
    <col min="8" max="8" width="11.7109375" bestFit="1" customWidth="1"/>
    <col min="9" max="9" width="6.42578125" bestFit="1" customWidth="1"/>
    <col min="10" max="10" width="9.140625" customWidth="1"/>
    <col min="11" max="11" width="27.28515625" bestFit="1" customWidth="1"/>
    <col min="12" max="12" width="10.7109375" bestFit="1" customWidth="1"/>
    <col min="13" max="13" width="5.28515625" bestFit="1" customWidth="1"/>
    <col min="16" max="17" width="12" bestFit="1" customWidth="1"/>
  </cols>
  <sheetData>
    <row r="2" spans="2:13" x14ac:dyDescent="0.2">
      <c r="B2" t="s">
        <v>41</v>
      </c>
      <c r="C2" s="1" t="s">
        <v>12</v>
      </c>
      <c r="F2" t="s">
        <v>35</v>
      </c>
    </row>
    <row r="3" spans="2:13" x14ac:dyDescent="0.2">
      <c r="F3" s="9" t="s">
        <v>17</v>
      </c>
      <c r="G3" s="10" t="s">
        <v>15</v>
      </c>
      <c r="H3" s="11" t="s">
        <v>16</v>
      </c>
      <c r="K3" s="9" t="s">
        <v>145</v>
      </c>
      <c r="L3" s="99" t="s">
        <v>56</v>
      </c>
    </row>
    <row r="4" spans="2:13" x14ac:dyDescent="0.2">
      <c r="F4" s="25" t="s">
        <v>28</v>
      </c>
      <c r="G4" s="35" cm="1">
        <f t="array" ref="G4">_xlfn.IFS(C12="Call FOR, Put DOM",1,C12="Put FOR, Call DOM",-1)</f>
        <v>-1</v>
      </c>
      <c r="H4" s="29" t="s">
        <v>30</v>
      </c>
      <c r="K4" t="s">
        <v>146</v>
      </c>
      <c r="L4" cm="1">
        <f t="array" ref="L4">_xlfn.IFS(L3="DOM",1,L3="FOR",S0)</f>
        <v>0.68120000000000003</v>
      </c>
    </row>
    <row r="5" spans="2:13" ht="15.75" x14ac:dyDescent="0.3">
      <c r="F5" s="2" t="s">
        <v>22</v>
      </c>
      <c r="G5" s="18">
        <f>C26</f>
        <v>0.68120000000000003</v>
      </c>
      <c r="H5" s="12" t="s">
        <v>13</v>
      </c>
    </row>
    <row r="6" spans="2:13" x14ac:dyDescent="0.2">
      <c r="F6" s="2" t="s">
        <v>21</v>
      </c>
      <c r="G6" s="41">
        <f>C10</f>
        <v>0.53439999999999999</v>
      </c>
      <c r="H6" s="12" t="s">
        <v>13</v>
      </c>
      <c r="K6" t="s">
        <v>51</v>
      </c>
    </row>
    <row r="7" spans="2:13" ht="15.75" x14ac:dyDescent="0.3">
      <c r="B7" t="s">
        <v>69</v>
      </c>
      <c r="F7" s="2" t="s">
        <v>118</v>
      </c>
      <c r="G7" s="42">
        <f>C30</f>
        <v>3.5090000000000003E-2</v>
      </c>
      <c r="H7" s="12" t="s">
        <v>27</v>
      </c>
      <c r="K7" s="9" t="s">
        <v>106</v>
      </c>
      <c r="L7" s="10" t="s">
        <v>15</v>
      </c>
      <c r="M7" s="11" t="s">
        <v>16</v>
      </c>
    </row>
    <row r="8" spans="2:13" ht="15.75" x14ac:dyDescent="0.3">
      <c r="B8" s="9" t="s">
        <v>17</v>
      </c>
      <c r="C8" s="10" t="s">
        <v>15</v>
      </c>
      <c r="D8" s="11" t="s">
        <v>16</v>
      </c>
      <c r="F8" s="2" t="s">
        <v>119</v>
      </c>
      <c r="G8" s="42">
        <f>C29</f>
        <v>3.8730000000000001E-2</v>
      </c>
      <c r="H8" s="12" t="s">
        <v>27</v>
      </c>
      <c r="K8" s="25" t="s">
        <v>31</v>
      </c>
      <c r="L8" s="36">
        <f>G28*Foreign_Ccy_Notional/Result_Divisor</f>
        <v>1190782.1188057936</v>
      </c>
      <c r="M8" s="37" t="str">
        <f>$L$3</f>
        <v>FOR</v>
      </c>
    </row>
    <row r="9" spans="2:13" x14ac:dyDescent="0.2">
      <c r="B9" s="25" t="s">
        <v>8</v>
      </c>
      <c r="C9" s="48" t="s">
        <v>9</v>
      </c>
      <c r="D9" s="29"/>
      <c r="F9" s="2" t="s">
        <v>23</v>
      </c>
      <c r="G9" s="19">
        <f>C28</f>
        <v>0.1236131</v>
      </c>
      <c r="H9" s="12" t="s">
        <v>27</v>
      </c>
      <c r="K9" s="2" t="s">
        <v>82</v>
      </c>
      <c r="L9" s="17">
        <f>MonteCarlo!J5/Result_Divisor</f>
        <v>1169045.9730341465</v>
      </c>
      <c r="M9" s="38" t="str">
        <f t="shared" ref="M9:M16" si="0">$L$3</f>
        <v>FOR</v>
      </c>
    </row>
    <row r="10" spans="2:13" ht="15.75" x14ac:dyDescent="0.3">
      <c r="B10" s="2" t="s">
        <v>59</v>
      </c>
      <c r="C10" s="5">
        <v>0.53439999999999999</v>
      </c>
      <c r="D10" s="12" t="s">
        <v>13</v>
      </c>
      <c r="F10" s="2" t="s">
        <v>74</v>
      </c>
      <c r="G10" s="30">
        <f>YEARFRAC(C25,C13,1)</f>
        <v>5.0009124087591239</v>
      </c>
      <c r="H10" s="12" t="s">
        <v>29</v>
      </c>
      <c r="K10" s="2" t="s">
        <v>36</v>
      </c>
      <c r="L10" s="17">
        <f>G29*Foreign_Ccy_Notional*S0/Result_Divisor</f>
        <v>-7042844.4893912682</v>
      </c>
      <c r="M10" s="38" t="str">
        <f t="shared" si="0"/>
        <v>FOR</v>
      </c>
    </row>
    <row r="11" spans="2:13" ht="15.75" x14ac:dyDescent="0.3">
      <c r="B11" s="2"/>
      <c r="D11" s="12"/>
      <c r="F11" s="2" t="s">
        <v>24</v>
      </c>
      <c r="G11" s="20">
        <f>C27</f>
        <v>0.67094900000000002</v>
      </c>
      <c r="H11" s="12" t="s">
        <v>13</v>
      </c>
      <c r="K11" s="2" t="s">
        <v>37</v>
      </c>
      <c r="L11" s="17">
        <f>G30*Foreign_Ccy_Notional*S0/Result_Divisor</f>
        <v>-8548001.1581506506</v>
      </c>
      <c r="M11" s="38" t="str">
        <f t="shared" si="0"/>
        <v>FOR</v>
      </c>
    </row>
    <row r="12" spans="2:13" ht="15.75" x14ac:dyDescent="0.3">
      <c r="B12" s="2" t="s">
        <v>5</v>
      </c>
      <c r="C12" s="1" t="s">
        <v>34</v>
      </c>
      <c r="D12" s="12"/>
      <c r="F12" s="2" t="s">
        <v>125</v>
      </c>
      <c r="G12" s="50">
        <f>r_d-r_f</f>
        <v>-3.6399999999999974E-3</v>
      </c>
      <c r="H12" s="12"/>
      <c r="K12" s="2" t="s">
        <v>38</v>
      </c>
      <c r="L12" s="17">
        <f>G31*Foreign_Ccy_Notional/Result_Divisor</f>
        <v>233968.13313181498</v>
      </c>
      <c r="M12" s="38" t="str">
        <f t="shared" si="0"/>
        <v>FOR</v>
      </c>
    </row>
    <row r="13" spans="2:13" ht="15.75" x14ac:dyDescent="0.3">
      <c r="B13" s="2" t="s">
        <v>18</v>
      </c>
      <c r="C13" s="4">
        <v>47116</v>
      </c>
      <c r="D13" s="12" t="s">
        <v>19</v>
      </c>
      <c r="F13" s="2" t="s">
        <v>124</v>
      </c>
      <c r="G13" s="50">
        <f>LN(F/S0)/T</f>
        <v>-3.0320108466896883E-3</v>
      </c>
      <c r="H13" s="12"/>
      <c r="K13" s="2" t="s">
        <v>39</v>
      </c>
      <c r="L13" s="17">
        <f>G32*Foreign_Ccy_Notional/Result_Divisor</f>
        <v>-851.02193007975904</v>
      </c>
      <c r="M13" s="38" t="str">
        <f t="shared" si="0"/>
        <v>FOR</v>
      </c>
    </row>
    <row r="14" spans="2:13" ht="15.75" x14ac:dyDescent="0.3">
      <c r="B14" s="2" t="s">
        <v>6</v>
      </c>
      <c r="C14" s="49">
        <v>50000000</v>
      </c>
      <c r="D14" s="12" t="s">
        <v>14</v>
      </c>
      <c r="F14" s="2" t="s">
        <v>117</v>
      </c>
      <c r="G14" s="21">
        <f>r_f+LN(F/S0)/T</f>
        <v>3.5697989153310315E-2</v>
      </c>
      <c r="H14" s="12" t="s">
        <v>27</v>
      </c>
      <c r="K14" s="2" t="s">
        <v>40</v>
      </c>
      <c r="L14" s="17">
        <f>G33*Foreign_Ccy_Notional*S0/Result_Divisor</f>
        <v>378480.02518605447</v>
      </c>
      <c r="M14" s="38" t="str">
        <f t="shared" si="0"/>
        <v>FOR</v>
      </c>
    </row>
    <row r="15" spans="2:13" ht="15.75" x14ac:dyDescent="0.3">
      <c r="B15" s="13" t="s">
        <v>7</v>
      </c>
      <c r="C15" s="3" t="s">
        <v>56</v>
      </c>
      <c r="D15" s="14"/>
      <c r="F15" s="2" t="s">
        <v>32</v>
      </c>
      <c r="G15" s="17">
        <f>IF(Notional_Ccy="FOR",C14,C14/C10)</f>
        <v>50000000</v>
      </c>
      <c r="H15" s="12"/>
      <c r="K15" s="2" t="s">
        <v>42</v>
      </c>
      <c r="L15" s="17">
        <f>G34*Foreign_Ccy_Notional/Result_Divisor</f>
        <v>-1707962.1886715889</v>
      </c>
      <c r="M15" s="38" t="str">
        <f t="shared" si="0"/>
        <v>FOR</v>
      </c>
    </row>
    <row r="16" spans="2:13" ht="15.75" x14ac:dyDescent="0.3">
      <c r="F16" s="2" t="s">
        <v>33</v>
      </c>
      <c r="G16" s="17">
        <f>IF(Notional_Ccy="DOM",C14,C14*C10)</f>
        <v>26720000</v>
      </c>
      <c r="H16" s="12"/>
      <c r="K16" s="13" t="s">
        <v>43</v>
      </c>
      <c r="L16" s="22">
        <f>G35*Foreign_Ccy_Notional/Result_Divisor</f>
        <v>-1573147.7955069751</v>
      </c>
      <c r="M16" s="39" t="str">
        <f t="shared" si="0"/>
        <v>FOR</v>
      </c>
    </row>
    <row r="17" spans="2:13" x14ac:dyDescent="0.2">
      <c r="B17" s="9" t="s">
        <v>103</v>
      </c>
      <c r="C17" s="87" t="s">
        <v>102</v>
      </c>
      <c r="F17" s="2" t="s">
        <v>120</v>
      </c>
      <c r="G17" s="27" cm="1">
        <f t="array" ref="G17">_xlfn.IFS(Methodology="With Currency Basis",r_d_basis_adj,Methodology="By Interest Rate Parity",r_d)</f>
        <v>3.5090000000000003E-2</v>
      </c>
      <c r="H17" s="12" t="s">
        <v>27</v>
      </c>
    </row>
    <row r="18" spans="2:13" x14ac:dyDescent="0.2">
      <c r="F18" s="2" t="s">
        <v>121</v>
      </c>
      <c r="G18" s="27">
        <f>r_f</f>
        <v>3.8730000000000001E-2</v>
      </c>
      <c r="H18" s="12" t="s">
        <v>27</v>
      </c>
      <c r="K18" t="s">
        <v>52</v>
      </c>
    </row>
    <row r="19" spans="2:13" x14ac:dyDescent="0.2">
      <c r="B19" t="s">
        <v>70</v>
      </c>
      <c r="F19" s="13" t="s">
        <v>73</v>
      </c>
      <c r="G19" s="88" cm="1">
        <f t="array" ref="G19">_xlfn.IFS(Methodology="With Currency Basis",G13,Methodology="By Interest Rate Parity",G12)</f>
        <v>-3.6399999999999974E-3</v>
      </c>
      <c r="H19" s="14" t="s">
        <v>27</v>
      </c>
      <c r="K19" s="9" t="s">
        <v>54</v>
      </c>
      <c r="L19" s="10" t="s">
        <v>15</v>
      </c>
      <c r="M19" s="11" t="s">
        <v>16</v>
      </c>
    </row>
    <row r="20" spans="2:13" x14ac:dyDescent="0.2">
      <c r="B20" s="9" t="s">
        <v>17</v>
      </c>
      <c r="C20" s="10" t="s">
        <v>15</v>
      </c>
      <c r="D20" s="11" t="s">
        <v>16</v>
      </c>
      <c r="E20" s="16"/>
      <c r="K20" s="57" t="s">
        <v>31</v>
      </c>
      <c r="L20" s="36">
        <f>G42/Result_Divisor</f>
        <v>7042844.4893912682</v>
      </c>
      <c r="M20" s="37" t="str">
        <f>$L$3</f>
        <v>FOR</v>
      </c>
    </row>
    <row r="21" spans="2:13" x14ac:dyDescent="0.2">
      <c r="B21" s="13" t="s">
        <v>60</v>
      </c>
      <c r="C21" s="89">
        <f>C26*99%</f>
        <v>0.67438799999999999</v>
      </c>
      <c r="D21" s="14" t="s">
        <v>13</v>
      </c>
      <c r="F21" t="s">
        <v>63</v>
      </c>
      <c r="K21" s="46" t="s">
        <v>82</v>
      </c>
      <c r="L21" s="22">
        <f>MonteCarlo!K5/Result_Divisor</f>
        <v>10162328.870980354</v>
      </c>
      <c r="M21" s="39" t="str">
        <f>$L$3</f>
        <v>FOR</v>
      </c>
    </row>
    <row r="22" spans="2:13" x14ac:dyDescent="0.2">
      <c r="F22" s="9" t="s">
        <v>17</v>
      </c>
      <c r="G22" s="29" t="s">
        <v>15</v>
      </c>
    </row>
    <row r="23" spans="2:13" ht="15.75" x14ac:dyDescent="0.3">
      <c r="B23" t="s">
        <v>1</v>
      </c>
      <c r="F23" s="25" t="s">
        <v>25</v>
      </c>
      <c r="G23" s="26">
        <f>(LN(S0/K)+(μ+0.5*σ*σ)*T)/(σ*SQRT(T))</f>
        <v>0.950378338882784</v>
      </c>
    </row>
    <row r="24" spans="2:13" ht="15.75" x14ac:dyDescent="0.3">
      <c r="B24" s="9" t="s">
        <v>17</v>
      </c>
      <c r="C24" s="10" t="s">
        <v>15</v>
      </c>
      <c r="D24" s="11" t="s">
        <v>16</v>
      </c>
      <c r="F24" s="13" t="s">
        <v>26</v>
      </c>
      <c r="G24" s="40">
        <f>G23-σ*SQRT(T)</f>
        <v>0.67394582588007135</v>
      </c>
    </row>
    <row r="25" spans="2:13" x14ac:dyDescent="0.2">
      <c r="B25" s="2" t="s">
        <v>0</v>
      </c>
      <c r="C25" s="4">
        <v>45289</v>
      </c>
      <c r="D25" s="12"/>
    </row>
    <row r="26" spans="2:13" x14ac:dyDescent="0.2">
      <c r="B26" s="2" t="s">
        <v>61</v>
      </c>
      <c r="C26" s="6">
        <v>0.68120000000000003</v>
      </c>
      <c r="D26" s="12" t="s">
        <v>13</v>
      </c>
      <c r="F26" t="s">
        <v>53</v>
      </c>
    </row>
    <row r="27" spans="2:13" x14ac:dyDescent="0.2">
      <c r="B27" s="2" t="s">
        <v>62</v>
      </c>
      <c r="C27" s="6">
        <v>0.67094900000000002</v>
      </c>
      <c r="D27" s="12" t="s">
        <v>13</v>
      </c>
      <c r="F27" s="9" t="s">
        <v>17</v>
      </c>
      <c r="G27" s="10" t="s">
        <v>107</v>
      </c>
      <c r="H27" s="11" t="s">
        <v>16</v>
      </c>
      <c r="K27" s="17"/>
    </row>
    <row r="28" spans="2:13" x14ac:dyDescent="0.2">
      <c r="B28" s="2" t="s">
        <v>2</v>
      </c>
      <c r="C28" s="8">
        <v>0.1236131</v>
      </c>
      <c r="D28" s="12" t="s">
        <v>27</v>
      </c>
      <c r="F28" s="2" t="s">
        <v>48</v>
      </c>
      <c r="G28" s="19" cm="1">
        <f t="array" ref="G28">CP*(S0*EXP(-q_*T)*_xlfn.NORM.S.DIST(CP*d1_,TRUE)-K*EXP(-r_*T)*_xlfn.NORM.S.DIST(CP*d2_,TRUE))</f>
        <v>1.6223215586610135E-2</v>
      </c>
      <c r="H28" s="12" t="s">
        <v>49</v>
      </c>
    </row>
    <row r="29" spans="2:13" ht="15.75" x14ac:dyDescent="0.3">
      <c r="B29" s="2" t="s">
        <v>4</v>
      </c>
      <c r="C29" s="7">
        <v>3.8730000000000001E-2</v>
      </c>
      <c r="D29" s="12" t="s">
        <v>27</v>
      </c>
      <c r="F29" s="2" t="s">
        <v>36</v>
      </c>
      <c r="G29" s="21">
        <f>CP*EXP(-q_*T)*_xlfn.NORM.S.DIST(CP*d1_,TRUE)</f>
        <v>-0.14085688978782537</v>
      </c>
      <c r="H29" s="12" t="s">
        <v>50</v>
      </c>
    </row>
    <row r="30" spans="2:13" ht="15.75" x14ac:dyDescent="0.3">
      <c r="B30" s="13" t="s">
        <v>3</v>
      </c>
      <c r="C30" s="15">
        <v>3.5090000000000003E-2</v>
      </c>
      <c r="D30" s="14" t="s">
        <v>27</v>
      </c>
      <c r="F30" s="2" t="s">
        <v>37</v>
      </c>
      <c r="G30" s="21">
        <f>CP*_xlfn.NORM.S.DIST(CP*d1_,TRUE)</f>
        <v>-0.17096002316301301</v>
      </c>
      <c r="H30" s="12" t="s">
        <v>50</v>
      </c>
      <c r="J30" s="32"/>
    </row>
    <row r="31" spans="2:13" x14ac:dyDescent="0.2">
      <c r="F31" s="2" t="s">
        <v>46</v>
      </c>
      <c r="G31" s="21">
        <f>1%*S0*SQRT(T)*_xlfn.NORM.S.DIST(d1_,FALSE)*EXP(-q_*T)</f>
        <v>3.1875818457878474E-3</v>
      </c>
      <c r="H31" s="12" t="s">
        <v>49</v>
      </c>
    </row>
    <row r="32" spans="2:13" x14ac:dyDescent="0.2">
      <c r="F32" s="2" t="s">
        <v>108</v>
      </c>
      <c r="G32" s="90">
        <f>(1/365)*
(
-(S0*EXP(-r_*T)*_xlfn.NORM.S.DIST(d1_*CP,FALSE)*σ)/(2*SQRT(T))
+q_*EXP(-q_*T)*S0*_xlfn.NORM.S.DIST(d1_*CP,TRUE)
-r_*EXP(-r_*T)*K*_xlfn.NORM.S.DIST(d2_*CP,TRUE)
)</f>
        <v>-1.1594322775406639E-5</v>
      </c>
      <c r="H32" s="12" t="s">
        <v>49</v>
      </c>
      <c r="J32" s="33"/>
    </row>
    <row r="33" spans="6:8" x14ac:dyDescent="0.2">
      <c r="F33" s="2" t="s">
        <v>47</v>
      </c>
      <c r="G33" s="82">
        <f>(1%*S0)*(EXP(-q_*T)*_xlfn.NORM.S.DIST(d1_,FALSE)/(S0*σ*SQRT(T)))</f>
        <v>7.5696005037210893E-3</v>
      </c>
      <c r="H33" s="12" t="s">
        <v>50</v>
      </c>
    </row>
    <row r="34" spans="6:8" ht="15.75" x14ac:dyDescent="0.3">
      <c r="F34" s="2" t="s">
        <v>44</v>
      </c>
      <c r="G34" s="82">
        <f>(1%)*(-T*EXP(-q_*T)*S0*_xlfn.NORM.S.DIST(d1_,TRUE))</f>
        <v>-2.3269276858461727E-2</v>
      </c>
      <c r="H34" s="12" t="s">
        <v>49</v>
      </c>
    </row>
    <row r="35" spans="6:8" ht="15.75" x14ac:dyDescent="0.3">
      <c r="F35" s="13" t="s">
        <v>45</v>
      </c>
      <c r="G35" s="61">
        <f>1%*-T*EXP(-r_*T)*S0*_xlfn.NORM.S.DIST(d2_,TRUE)</f>
        <v>-2.1432565565987029E-2</v>
      </c>
      <c r="H35" s="14" t="s">
        <v>49</v>
      </c>
    </row>
    <row r="37" spans="6:8" x14ac:dyDescent="0.2">
      <c r="F37" t="s">
        <v>92</v>
      </c>
    </row>
    <row r="38" spans="6:8" x14ac:dyDescent="0.2">
      <c r="F38" s="9" t="s">
        <v>17</v>
      </c>
      <c r="G38" s="10" t="s">
        <v>17</v>
      </c>
      <c r="H38" s="11" t="s">
        <v>16</v>
      </c>
    </row>
    <row r="39" spans="6:8" x14ac:dyDescent="0.2">
      <c r="F39" s="25" t="s">
        <v>89</v>
      </c>
      <c r="G39" s="56">
        <f>_xlfn.NORM.S.DIST(CP*d1_,TRUE)</f>
        <v>0.17096002316301301</v>
      </c>
      <c r="H39" s="29" t="s">
        <v>27</v>
      </c>
    </row>
    <row r="40" spans="6:8" x14ac:dyDescent="0.2">
      <c r="F40" s="2" t="s">
        <v>83</v>
      </c>
      <c r="G40" s="23" cm="1">
        <f t="array" ref="G40">_xlfn.IFS(Notional_Ccy="FOR",EXP(-q_*T),Notional_Ccy="DOM",EXP(-r_*T))</f>
        <v>0.82391711922919064</v>
      </c>
      <c r="H40" s="12"/>
    </row>
    <row r="41" spans="6:8" x14ac:dyDescent="0.2">
      <c r="F41" s="2" t="s">
        <v>90</v>
      </c>
      <c r="G41" s="58">
        <f>Notional_amount*G39*G40</f>
        <v>7042844.4893912692</v>
      </c>
      <c r="H41" s="12" t="str">
        <f>Notional_Ccy</f>
        <v>FOR</v>
      </c>
    </row>
    <row r="42" spans="6:8" x14ac:dyDescent="0.2">
      <c r="F42" s="13" t="s">
        <v>91</v>
      </c>
      <c r="G42" s="59">
        <f>IF(Notional_Ccy="DOM",G41,G41*S0)</f>
        <v>4797585.6661733324</v>
      </c>
      <c r="H42" s="14" t="s">
        <v>55</v>
      </c>
    </row>
    <row r="45" spans="6:8" x14ac:dyDescent="0.2">
      <c r="F45" s="9" t="s">
        <v>64</v>
      </c>
      <c r="G45" s="10" t="s">
        <v>107</v>
      </c>
      <c r="H45" s="11" t="s">
        <v>16</v>
      </c>
    </row>
    <row r="46" spans="6:8" ht="15.75" x14ac:dyDescent="0.3">
      <c r="F46" s="2" t="s">
        <v>25</v>
      </c>
      <c r="G46" s="23">
        <f>(LN(S0/H)+(r_-q_+0.5*σ*σ)*T)/(σ*SQRT(T))</f>
        <v>0.10872267332685585</v>
      </c>
      <c r="H46" s="24"/>
    </row>
    <row r="47" spans="6:8" ht="15.75" x14ac:dyDescent="0.3">
      <c r="F47" s="2" t="s">
        <v>26</v>
      </c>
      <c r="G47" s="23">
        <f>G46-σ*SQRT(T)</f>
        <v>-0.16770983967585679</v>
      </c>
      <c r="H47" s="24"/>
    </row>
    <row r="48" spans="6:8" ht="15.75" x14ac:dyDescent="0.3">
      <c r="F48" s="2" t="s">
        <v>65</v>
      </c>
      <c r="G48" s="23">
        <f>(LN(H/S0)+(r_-q_+0.5*σ*σ)*T)/(σ*SQRT(T))</f>
        <v>3.6008101916054733E-2</v>
      </c>
      <c r="H48" s="24"/>
    </row>
    <row r="49" spans="6:9" ht="15.75" x14ac:dyDescent="0.3">
      <c r="F49" s="2" t="s">
        <v>67</v>
      </c>
      <c r="G49" s="23">
        <f>G48-σ*SQRT(T)</f>
        <v>-0.24042441108665791</v>
      </c>
      <c r="H49" s="24"/>
    </row>
    <row r="50" spans="6:9" x14ac:dyDescent="0.2">
      <c r="F50" s="13" t="s">
        <v>66</v>
      </c>
      <c r="G50" s="47">
        <f>C21</f>
        <v>0.67438799999999999</v>
      </c>
      <c r="H50" s="14" t="s">
        <v>13</v>
      </c>
    </row>
    <row r="51" spans="6:9" x14ac:dyDescent="0.2">
      <c r="G51" s="28"/>
    </row>
    <row r="52" spans="6:9" x14ac:dyDescent="0.2">
      <c r="F52" t="s">
        <v>68</v>
      </c>
      <c r="G52">
        <v>-6.4770933169589984E-2</v>
      </c>
      <c r="I52" t="s">
        <v>49</v>
      </c>
    </row>
    <row r="54" spans="6:9" x14ac:dyDescent="0.2">
      <c r="G54" s="30" t="s">
        <v>107</v>
      </c>
      <c r="H54" s="34" t="s">
        <v>75</v>
      </c>
      <c r="I54" t="s">
        <v>16</v>
      </c>
    </row>
    <row r="55" spans="6:9" x14ac:dyDescent="0.2">
      <c r="G55">
        <v>1.2922593417313902E-3</v>
      </c>
      <c r="I55" t="s">
        <v>49</v>
      </c>
    </row>
  </sheetData>
  <pageMargins left="0.7" right="0.7" top="0.75" bottom="0.75" header="0.3" footer="0.3"/>
  <pageSetup paperSize="9" orientation="portrait" r:id="rId1"/>
  <ignoredErrors>
    <ignoredError sqref="L14 G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5FFEAC-E762-44CD-99C8-4E83834F8919}">
          <x14:formula1>
            <xm:f>'Data Validation'!$C$1:$C$2</xm:f>
          </x14:formula1>
          <xm:sqref>C12</xm:sqref>
        </x14:dataValidation>
        <x14:dataValidation type="list" allowBlank="1" showInputMessage="1" showErrorMessage="1" xr:uid="{C13A6699-87E1-4193-A270-EB1BA1ED2F42}">
          <x14:formula1>
            <xm:f>'Data Validation'!$B$1:$B$2</xm:f>
          </x14:formula1>
          <xm:sqref>C15 L3</xm:sqref>
        </x14:dataValidation>
        <x14:dataValidation type="list" allowBlank="1" showInputMessage="1" showErrorMessage="1" xr:uid="{FFD08E6C-2AE3-48D2-8AD7-81A56099681F}">
          <x14:formula1>
            <xm:f>'Data Validation'!$A$1:$A$2</xm:f>
          </x14:formula1>
          <xm:sqref>C9</xm:sqref>
        </x14:dataValidation>
        <x14:dataValidation type="list" allowBlank="1" showInputMessage="1" showErrorMessage="1" xr:uid="{F8113FDF-E6FE-4F17-9A42-4F9B32A09443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91C18-DD02-4B53-B4E4-F0611CBADA5E}">
  <sheetPr codeName="Sheet4"/>
  <dimension ref="B1:AS6"/>
  <sheetViews>
    <sheetView topLeftCell="AH1" zoomScale="90" zoomScaleNormal="90" workbookViewId="0">
      <selection activeCell="AO16" sqref="AO16"/>
    </sheetView>
  </sheetViews>
  <sheetFormatPr defaultRowHeight="12.75" x14ac:dyDescent="0.2"/>
  <cols>
    <col min="2" max="2" width="8.140625" bestFit="1" customWidth="1"/>
    <col min="3" max="3" width="10.85546875" bestFit="1" customWidth="1"/>
    <col min="4" max="4" width="9.85546875" bestFit="1" customWidth="1"/>
    <col min="5" max="5" width="17.7109375" bestFit="1" customWidth="1"/>
    <col min="6" max="6" width="13.85546875" bestFit="1" customWidth="1"/>
    <col min="7" max="7" width="15" bestFit="1" customWidth="1"/>
    <col min="8" max="8" width="14.7109375" bestFit="1" customWidth="1"/>
    <col min="9" max="9" width="13.28515625" bestFit="1" customWidth="1"/>
    <col min="10" max="11" width="9.85546875" bestFit="1" customWidth="1"/>
    <col min="12" max="12" width="7.7109375" bestFit="1" customWidth="1"/>
    <col min="13" max="14" width="6.7109375" bestFit="1" customWidth="1"/>
    <col min="15" max="15" width="13.140625" bestFit="1" customWidth="1"/>
    <col min="16" max="16" width="18.85546875" bestFit="1" customWidth="1"/>
    <col min="17" max="17" width="6.140625" bestFit="1" customWidth="1"/>
    <col min="18" max="18" width="7.28515625" bestFit="1" customWidth="1"/>
    <col min="19" max="19" width="18.42578125" customWidth="1"/>
    <col min="20" max="20" width="17.28515625" customWidth="1"/>
    <col min="21" max="21" width="11.7109375" bestFit="1" customWidth="1"/>
    <col min="22" max="22" width="15.42578125" bestFit="1" customWidth="1"/>
    <col min="23" max="23" width="15.85546875" bestFit="1" customWidth="1"/>
    <col min="24" max="24" width="20" bestFit="1" customWidth="1"/>
    <col min="25" max="26" width="6.7109375" bestFit="1" customWidth="1"/>
    <col min="27" max="27" width="7.28515625" bestFit="1" customWidth="1"/>
    <col min="28" max="29" width="8.42578125" bestFit="1" customWidth="1"/>
    <col min="30" max="30" width="8.85546875" bestFit="1" customWidth="1"/>
    <col min="31" max="31" width="11.7109375" bestFit="1" customWidth="1"/>
    <col min="32" max="32" width="13.7109375" bestFit="1" customWidth="1"/>
    <col min="33" max="33" width="12.140625" bestFit="1" customWidth="1"/>
    <col min="34" max="34" width="12.7109375" bestFit="1" customWidth="1"/>
    <col min="35" max="35" width="14.5703125" bestFit="1" customWidth="1"/>
    <col min="36" max="36" width="22.140625" bestFit="1" customWidth="1"/>
    <col min="37" max="37" width="23.28515625" bestFit="1" customWidth="1"/>
    <col min="38" max="38" width="15.140625" bestFit="1" customWidth="1"/>
    <col min="39" max="40" width="12.85546875" bestFit="1" customWidth="1"/>
    <col min="41" max="41" width="8.85546875" bestFit="1" customWidth="1"/>
    <col min="42" max="42" width="8.85546875" customWidth="1"/>
    <col min="43" max="43" width="10.5703125" bestFit="1" customWidth="1"/>
    <col min="44" max="44" width="16.85546875" bestFit="1" customWidth="1"/>
    <col min="45" max="45" width="18.140625" bestFit="1" customWidth="1"/>
  </cols>
  <sheetData>
    <row r="1" spans="2:45" ht="13.5" thickBot="1" x14ac:dyDescent="0.25"/>
    <row r="2" spans="2:45" s="69" customFormat="1" ht="13.5" thickBot="1" x14ac:dyDescent="0.25">
      <c r="C2" s="77" t="s">
        <v>93</v>
      </c>
      <c r="D2" s="78"/>
      <c r="E2" s="78"/>
      <c r="F2" s="78"/>
      <c r="G2" s="78"/>
      <c r="H2" s="79"/>
      <c r="I2" s="77" t="s">
        <v>104</v>
      </c>
      <c r="J2" s="76"/>
      <c r="K2" s="76"/>
      <c r="L2" s="76"/>
      <c r="M2" s="76"/>
      <c r="N2" s="76"/>
      <c r="O2" s="76"/>
      <c r="P2" s="79"/>
      <c r="Q2" s="77" t="s">
        <v>105</v>
      </c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7" t="s">
        <v>135</v>
      </c>
      <c r="AE2" s="78"/>
      <c r="AF2" s="78"/>
      <c r="AG2" s="78"/>
      <c r="AH2" s="78"/>
      <c r="AI2" s="78"/>
      <c r="AJ2" s="78"/>
      <c r="AK2" s="79"/>
      <c r="AL2" s="77" t="s">
        <v>143</v>
      </c>
      <c r="AM2" s="78"/>
      <c r="AN2" s="78"/>
      <c r="AO2" s="78"/>
      <c r="AP2" s="78"/>
      <c r="AQ2" s="78"/>
      <c r="AR2" s="78"/>
      <c r="AS2" s="79"/>
    </row>
    <row r="3" spans="2:45" s="80" customFormat="1" x14ac:dyDescent="0.2">
      <c r="B3" s="80" t="s">
        <v>137</v>
      </c>
      <c r="C3" s="94" t="s">
        <v>139</v>
      </c>
      <c r="D3" s="80" t="s">
        <v>13</v>
      </c>
      <c r="G3" s="80" t="s">
        <v>14</v>
      </c>
      <c r="H3" s="95" t="s">
        <v>138</v>
      </c>
      <c r="I3" s="94" t="s">
        <v>19</v>
      </c>
      <c r="J3" s="80" t="s">
        <v>13</v>
      </c>
      <c r="K3" s="80" t="s">
        <v>13</v>
      </c>
      <c r="L3" s="80" t="s">
        <v>27</v>
      </c>
      <c r="M3" s="80" t="s">
        <v>27</v>
      </c>
      <c r="N3" s="80" t="s">
        <v>27</v>
      </c>
      <c r="O3" s="80" t="s">
        <v>138</v>
      </c>
      <c r="P3" s="95"/>
      <c r="Q3" s="94" t="s">
        <v>30</v>
      </c>
      <c r="R3" s="80" t="s">
        <v>29</v>
      </c>
      <c r="S3" s="80" t="s">
        <v>27</v>
      </c>
      <c r="T3" s="80" t="s">
        <v>27</v>
      </c>
      <c r="U3" s="80" t="s">
        <v>27</v>
      </c>
      <c r="V3" s="80" t="s">
        <v>140</v>
      </c>
      <c r="W3" s="80" t="s">
        <v>141</v>
      </c>
      <c r="Y3" s="80" t="s">
        <v>27</v>
      </c>
      <c r="Z3" s="80" t="s">
        <v>27</v>
      </c>
      <c r="AA3" s="80" t="s">
        <v>27</v>
      </c>
      <c r="AD3" s="94" t="s">
        <v>49</v>
      </c>
      <c r="AE3" s="80" t="s">
        <v>50</v>
      </c>
      <c r="AF3" s="80" t="s">
        <v>50</v>
      </c>
      <c r="AG3" s="80" t="s">
        <v>49</v>
      </c>
      <c r="AH3" s="80" t="s">
        <v>49</v>
      </c>
      <c r="AI3" s="80" t="s">
        <v>50</v>
      </c>
      <c r="AJ3" s="80" t="s">
        <v>49</v>
      </c>
      <c r="AK3" s="95" t="s">
        <v>49</v>
      </c>
      <c r="AL3" s="94"/>
      <c r="AS3" s="95"/>
    </row>
    <row r="4" spans="2:45" s="69" customFormat="1" ht="15.75" x14ac:dyDescent="0.3">
      <c r="C4" s="83" t="s">
        <v>94</v>
      </c>
      <c r="D4" s="70" t="s">
        <v>59</v>
      </c>
      <c r="E4" s="70" t="s">
        <v>95</v>
      </c>
      <c r="F4" s="70" t="s">
        <v>18</v>
      </c>
      <c r="G4" s="70" t="s">
        <v>96</v>
      </c>
      <c r="H4" s="71" t="s">
        <v>97</v>
      </c>
      <c r="I4" s="84" t="s">
        <v>98</v>
      </c>
      <c r="J4" s="85" t="s">
        <v>111</v>
      </c>
      <c r="K4" s="85" t="s">
        <v>24</v>
      </c>
      <c r="L4" s="85" t="s">
        <v>23</v>
      </c>
      <c r="M4" s="85" t="s">
        <v>112</v>
      </c>
      <c r="N4" s="85" t="s">
        <v>113</v>
      </c>
      <c r="O4" s="70" t="s">
        <v>142</v>
      </c>
      <c r="P4" s="71" t="s">
        <v>103</v>
      </c>
      <c r="Q4" s="83" t="s">
        <v>28</v>
      </c>
      <c r="R4" s="70" t="s">
        <v>74</v>
      </c>
      <c r="S4" s="70" t="s">
        <v>127</v>
      </c>
      <c r="T4" s="70" t="s">
        <v>126</v>
      </c>
      <c r="U4" s="70" t="s">
        <v>114</v>
      </c>
      <c r="V4" s="70" t="s">
        <v>99</v>
      </c>
      <c r="W4" s="70" t="s">
        <v>100</v>
      </c>
      <c r="X4" s="70" t="s">
        <v>144</v>
      </c>
      <c r="Y4" s="70" t="s">
        <v>120</v>
      </c>
      <c r="Z4" s="70" t="s">
        <v>121</v>
      </c>
      <c r="AA4" s="70" t="s">
        <v>73</v>
      </c>
      <c r="AB4" s="70" t="s">
        <v>115</v>
      </c>
      <c r="AC4" s="70" t="s">
        <v>116</v>
      </c>
      <c r="AD4" s="83" t="s">
        <v>109</v>
      </c>
      <c r="AE4" s="86" t="s">
        <v>132</v>
      </c>
      <c r="AF4" s="86" t="s">
        <v>133</v>
      </c>
      <c r="AG4" s="86" t="s">
        <v>128</v>
      </c>
      <c r="AH4" s="86" t="s">
        <v>129</v>
      </c>
      <c r="AI4" s="86" t="s">
        <v>130</v>
      </c>
      <c r="AJ4" s="86" t="s">
        <v>136</v>
      </c>
      <c r="AK4" s="91" t="s">
        <v>131</v>
      </c>
      <c r="AL4" s="83" t="s">
        <v>31</v>
      </c>
      <c r="AM4" s="2" t="s">
        <v>134</v>
      </c>
      <c r="AN4" s="86" t="s">
        <v>110</v>
      </c>
      <c r="AO4" s="86" t="s">
        <v>38</v>
      </c>
      <c r="AP4" s="70" t="s">
        <v>39</v>
      </c>
      <c r="AQ4" s="70" t="s">
        <v>40</v>
      </c>
      <c r="AR4" s="2" t="s">
        <v>42</v>
      </c>
      <c r="AS4" s="98" t="s">
        <v>43</v>
      </c>
    </row>
    <row r="5" spans="2:45" x14ac:dyDescent="0.2">
      <c r="C5" s="72" t="s">
        <v>9</v>
      </c>
      <c r="D5" s="65">
        <v>0.53439999999999999</v>
      </c>
      <c r="E5" s="64" t="s">
        <v>11</v>
      </c>
      <c r="F5" s="66">
        <v>47116</v>
      </c>
      <c r="G5" s="67">
        <v>50000000</v>
      </c>
      <c r="H5" s="73" t="s">
        <v>56</v>
      </c>
      <c r="I5" s="74">
        <v>45289</v>
      </c>
      <c r="J5" s="65">
        <v>0.68120000000000003</v>
      </c>
      <c r="K5" s="65">
        <v>0.67094900000000002</v>
      </c>
      <c r="L5" s="68">
        <v>0.1236131</v>
      </c>
      <c r="M5" s="68">
        <v>3.8730000000000001E-2</v>
      </c>
      <c r="N5" s="68">
        <v>3.5090000000000003E-2</v>
      </c>
      <c r="O5" s="64" t="s">
        <v>56</v>
      </c>
      <c r="P5" s="75" t="s">
        <v>101</v>
      </c>
      <c r="Q5" s="81" cm="1">
        <f t="array" ref="Q5">_xlfn.IFS(Table1[[#This Row],[Call/Put]]="Call FOR, Put DOM",1,Table1[[#This Row],[Call/Put]]="Put FOR, Call DOM",-1)</f>
        <v>1</v>
      </c>
      <c r="R5" s="63">
        <f>YEARFRAC(Table1[[#This Row],[Value Date]],Table1[[#This Row],[Expiry Date]],1)</f>
        <v>5.0009124087591239</v>
      </c>
      <c r="S5" s="27">
        <f>Table1[[#This Row],[rd]]-Table1[[#This Row],[rf]]</f>
        <v>-3.6399999999999974E-3</v>
      </c>
      <c r="T5" s="27">
        <f>LN(Table1[[#This Row],[F]]/Table1[[#This Row],[S0]])/Table1[[#This Row],[T]]</f>
        <v>-3.0320108466896883E-3</v>
      </c>
      <c r="U5" s="27">
        <f>Table1[[#This Row],[rf]]+Table1[[#This Row],[μwith currency basis]]</f>
        <v>3.5697989153310315E-2</v>
      </c>
      <c r="V5" s="58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58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8">
        <f>IF(Table1[[#This Row],[Result Ccy]]="DOM",1,Table1[[#This Row],[S0]])</f>
        <v>0.68120000000000003</v>
      </c>
      <c r="Y5" s="27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7">
        <f>Table1[[#This Row],[rf]]</f>
        <v>3.8730000000000001E-2</v>
      </c>
      <c r="AA5" s="27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23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23">
        <f>Table1[[#This Row],[d1]]-Table1[[#This Row],[σ]]*SQRT(Table1[[#This Row],[T]])</f>
        <v>0.68494489566442285</v>
      </c>
      <c r="AD5" s="93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7">
        <f>Table1[[#This Row],[CP]]*EXP(-Table1[[#This Row],[q]]*Table1[[#This Row],[T]])*_xlfn.NORM.S.DIST(Table1[[#This Row],[CP]]*Table1[[#This Row],[d1]],TRUE)</f>
        <v>0.6853497333116404</v>
      </c>
      <c r="AF5" s="96">
        <f>Table1[[#This Row],[CP]]*_xlfn.NORM.S.DIST(Table1[[#This Row],[CP]]*Table1[[#This Row],[d1]],TRUE)</f>
        <v>0.83181878045308011</v>
      </c>
      <c r="AG5" s="21">
        <f>1%*Table1[[#This Row],[S0]]*SQRT(Table1[[#This Row],[T]])*_xlfn.NORM.S.DIST(Table1[[#This Row],[d1]],FALSE)*EXP(-Table1[[#This Row],[rf]]*T)</f>
        <v>3.1542439123037665E-3</v>
      </c>
      <c r="AH5" s="90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21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21">
        <f>(1%)*(-Table1[[#This Row],[T]]*EXP(-Table1[[#This Row],[q]]*T)*Table1[[#This Row],[S0]]*_xlfn.NORM.S.DIST(Table1[[#This Row],[d1]],TRUE))</f>
        <v>-2.3347271590301876E-2</v>
      </c>
      <c r="AK5" s="92">
        <f>1%*-Table1[[#This Row],[T]]*EXP(-Table1[[#This Row],[r]]*Table1[[#This Row],[T]])*Table1[[#This Row],[S0]]*_xlfn.NORM.S.DIST(Table1[[#This Row],[d2]],TRUE)</f>
        <v>-2.1466767484352684E-2</v>
      </c>
      <c r="AL5" s="81">
        <f>Table1[[#This Row],[Px]]*Table1[[#This Row],[FOR Notional]]/Table1[[#This Row],[Result Ccy Divisor]]</f>
        <v>9549984.5734549891</v>
      </c>
      <c r="AM5" s="58">
        <f>Table1[[#This Row],[Unit Δspot]]*Table1[[#This Row],[FOR Notional]]*Table1[[#This Row],[S0]]/Table1[[#This Row],[Result Ccy Divisor]]</f>
        <v>34267486.665582016</v>
      </c>
      <c r="AN5" s="58">
        <f>Table1[[#This Row],[Unit Δforward]]*Table1[[#This Row],[FOR Notional]]*Table1[[#This Row],[S0]]/Table1[[#This Row],[Result Ccy Divisor]]</f>
        <v>41590939.022654004</v>
      </c>
      <c r="AO5" s="58">
        <f>Table1[[#This Row],[Unit Vega]]*Table1[[#This Row],[FOR Notional]]/Table1[[#This Row],[Result Ccy Divisor]]</f>
        <v>231521.13272928409</v>
      </c>
      <c r="AP5" s="58">
        <f>Table1[[#This Row],[Unit Theta]]*Table1[[#This Row],[FOR Notional]]/Table1[[#This Row],[Result Ccy Divisor]]</f>
        <v>422.75254756777781</v>
      </c>
      <c r="AQ5" s="58">
        <f>Table1[[#This Row],[Unit Gamma]]*Table1[[#This Row],[FOR Notional]]*Table1[[#This Row],[S0]]/Table1[[#This Row],[Result Ccy Divisor]]</f>
        <v>374521.61956224928</v>
      </c>
      <c r="AR5" s="58">
        <f>Table1[[#This Row],[Unit Rhoforeign currency]]*Table1[[#This Row],[FOR Notional]]/Table1[[#This Row],[Result Ccy Divisor]]</f>
        <v>-1713686.9928289689</v>
      </c>
      <c r="AS5" s="97">
        <f>Table1[[#This Row],[Unit Rhodomestic currency]]*Table1[[#This Row],[FOR Notional]]/Table1[[#This Row],[Result Ccy Divisor]]</f>
        <v>-1575658.2122983474</v>
      </c>
    </row>
    <row r="6" spans="2:45" x14ac:dyDescent="0.2">
      <c r="C6" s="72" t="s">
        <v>9</v>
      </c>
      <c r="D6" s="65">
        <v>0.53439999999999999</v>
      </c>
      <c r="E6" s="64" t="s">
        <v>34</v>
      </c>
      <c r="F6" s="66">
        <v>47116</v>
      </c>
      <c r="G6" s="67">
        <v>50000000</v>
      </c>
      <c r="H6" s="73" t="s">
        <v>56</v>
      </c>
      <c r="I6" s="74">
        <v>45289</v>
      </c>
      <c r="J6" s="65">
        <v>0.68120000000000003</v>
      </c>
      <c r="K6" s="65">
        <v>0.67094900000000002</v>
      </c>
      <c r="L6" s="68">
        <v>0.1236131</v>
      </c>
      <c r="M6" s="68">
        <v>3.8730000000000001E-2</v>
      </c>
      <c r="N6" s="68">
        <v>3.5090000000000003E-2</v>
      </c>
      <c r="O6" s="64" t="s">
        <v>56</v>
      </c>
      <c r="P6" s="75" t="s">
        <v>101</v>
      </c>
      <c r="Q6" s="81" cm="1">
        <f t="array" ref="Q6">_xlfn.IFS(Table1[[#This Row],[Call/Put]]="Call FOR, Put DOM",1,Table1[[#This Row],[Call/Put]]="Put FOR, Call DOM",-1)</f>
        <v>-1</v>
      </c>
      <c r="R6" s="63">
        <f>YEARFRAC(Table1[[#This Row],[Value Date]],Table1[[#This Row],[Expiry Date]],1)</f>
        <v>5.0009124087591239</v>
      </c>
      <c r="S6" s="27">
        <f>Table1[[#This Row],[rd]]-Table1[[#This Row],[rf]]</f>
        <v>-3.6399999999999974E-3</v>
      </c>
      <c r="T6" s="27">
        <f>LN(Table1[[#This Row],[F]]/Table1[[#This Row],[S0]])/Table1[[#This Row],[T]]</f>
        <v>-3.0320108466896883E-3</v>
      </c>
      <c r="U6" s="27">
        <f>Table1[[#This Row],[rf]]+Table1[[#This Row],[μwith currency basis]]</f>
        <v>3.5697989153310315E-2</v>
      </c>
      <c r="V6" s="58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58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8">
        <f>IF(Table1[[#This Row],[Result Ccy]]="DOM",1,Table1[[#This Row],[S0]])</f>
        <v>0.68120000000000003</v>
      </c>
      <c r="Y6" s="27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7">
        <f>Table1[[#This Row],[rf]]</f>
        <v>3.8730000000000001E-2</v>
      </c>
      <c r="AA6" s="27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44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44">
        <f>Table1[[#This Row],[d1]]-Table1[[#This Row],[σ]]*SQRT(Table1[[#This Row],[T]])</f>
        <v>0.68494489566442285</v>
      </c>
      <c r="AD6" s="93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7">
        <f>Table1[[#This Row],[CP]]*EXP(-Table1[[#This Row],[q]]*Table1[[#This Row],[T]])*_xlfn.NORM.S.DIST(Table1[[#This Row],[CP]]*Table1[[#This Row],[d1]],TRUE)</f>
        <v>-0.13856738591755027</v>
      </c>
      <c r="AF6" s="96">
        <f>Table1[[#This Row],[CP]]*_xlfn.NORM.S.DIST(Table1[[#This Row],[CP]]*Table1[[#This Row],[d1]],TRUE)</f>
        <v>-0.16818121954691986</v>
      </c>
      <c r="AG6" s="21">
        <f>1%*Table1[[#This Row],[S0]]*SQRT(Table1[[#This Row],[T]])*_xlfn.NORM.S.DIST(Table1[[#This Row],[d1]],FALSE)*EXP(-Table1[[#This Row],[rf]]*T)</f>
        <v>3.1542439123037665E-3</v>
      </c>
      <c r="AH6" s="90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21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21">
        <f>(1%)*(-Table1[[#This Row],[T]]*EXP(-Table1[[#This Row],[q]]*T)*Table1[[#This Row],[S0]]*_xlfn.NORM.S.DIST(Table1[[#This Row],[d1]],TRUE))</f>
        <v>-2.3347271590301876E-2</v>
      </c>
      <c r="AK6" s="92">
        <f>1%*-Table1[[#This Row],[T]]*EXP(-Table1[[#This Row],[r]]*Table1[[#This Row],[T]])*Table1[[#This Row],[S0]]*_xlfn.NORM.S.DIST(Table1[[#This Row],[d2]],TRUE)</f>
        <v>-2.1466767484352684E-2</v>
      </c>
      <c r="AL6" s="81">
        <f>Table1[[#This Row],[Px]]*Table1[[#This Row],[FOR Notional]]/Table1[[#This Row],[Result Ccy Divisor]]</f>
        <v>1165959.9520883376</v>
      </c>
      <c r="AM6" s="58">
        <f>Table1[[#This Row],[Unit Δspot]]*Table1[[#This Row],[FOR Notional]]*Table1[[#This Row],[S0]]/Table1[[#This Row],[Result Ccy Divisor]]</f>
        <v>-6928369.2958775135</v>
      </c>
      <c r="AN6" s="58">
        <f>Table1[[#This Row],[Unit Δforward]]*Table1[[#This Row],[FOR Notional]]*Table1[[#This Row],[S0]]/Table1[[#This Row],[Result Ccy Divisor]]</f>
        <v>-8409060.9773459937</v>
      </c>
      <c r="AO6" s="58">
        <f>Table1[[#This Row],[Unit Vega]]*Table1[[#This Row],[FOR Notional]]/Table1[[#This Row],[Result Ccy Divisor]]</f>
        <v>231521.13272928409</v>
      </c>
      <c r="AP6" s="58">
        <f>Table1[[#This Row],[Unit Theta]]*Table1[[#This Row],[FOR Notional]]/Table1[[#This Row],[Result Ccy Divisor]]</f>
        <v>-852.398608169721</v>
      </c>
      <c r="AQ6" s="58">
        <f>Table1[[#This Row],[Unit Gamma]]*Table1[[#This Row],[FOR Notional]]*Table1[[#This Row],[S0]]/Table1[[#This Row],[Result Ccy Divisor]]</f>
        <v>374521.61956224928</v>
      </c>
      <c r="AR6" s="58">
        <f>Table1[[#This Row],[Unit Rhoforeign currency]]*Table1[[#This Row],[FOR Notional]]/Table1[[#This Row],[Result Ccy Divisor]]</f>
        <v>-1713686.9928289689</v>
      </c>
      <c r="AS6" s="58">
        <f>Table1[[#This Row],[Unit Rhodomestic currency]]*Table1[[#This Row],[FOR Notional]]/Table1[[#This Row],[Result Ccy Divisor]]</f>
        <v>-1575658.2122983474</v>
      </c>
    </row>
  </sheetData>
  <phoneticPr fontId="1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E3B45A-EC35-467D-B5A3-8F791B09A7AD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257180F3-6123-457E-A5CF-131FC77CA384}">
          <x14:formula1>
            <xm:f>'Data Validation'!$B$1:$B$2</xm:f>
          </x14:formula1>
          <xm:sqref>H5:H6 O5:O6</xm:sqref>
        </x14:dataValidation>
        <x14:dataValidation type="list" allowBlank="1" showInputMessage="1" showErrorMessage="1" xr:uid="{D166889D-56E4-4BB6-907B-227B0C03AF4E}">
          <x14:formula1>
            <xm:f>'Data Validation'!$C$1:$C$2</xm:f>
          </x14:formula1>
          <xm:sqref>E5:E6</xm:sqref>
        </x14:dataValidation>
        <x14:dataValidation type="list" allowBlank="1" showInputMessage="1" showErrorMessage="1" xr:uid="{72F8B968-552F-4C6B-B746-5FC75E267ABC}">
          <x14:formula1>
            <xm:f>'Data Validation'!$F$1:$F$2</xm:f>
          </x14:formula1>
          <xm:sqref>P5:P6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4409-E5FD-4098-B17D-D484597EBF61}">
  <sheetPr codeName="Sheet2"/>
  <dimension ref="A1:O5009"/>
  <sheetViews>
    <sheetView workbookViewId="0">
      <selection activeCell="L13" sqref="L13"/>
    </sheetView>
  </sheetViews>
  <sheetFormatPr defaultRowHeight="12.75" x14ac:dyDescent="0.2"/>
  <cols>
    <col min="1" max="1" width="18.140625" bestFit="1" customWidth="1"/>
    <col min="2" max="2" width="11.5703125" bestFit="1" customWidth="1"/>
    <col min="3" max="3" width="12" bestFit="1" customWidth="1"/>
    <col min="4" max="4" width="9.7109375" bestFit="1" customWidth="1"/>
    <col min="5" max="5" width="15.5703125" bestFit="1" customWidth="1"/>
    <col min="6" max="6" width="15.140625" bestFit="1" customWidth="1"/>
    <col min="8" max="8" width="22" bestFit="1" customWidth="1"/>
    <col min="9" max="9" width="9.7109375" bestFit="1" customWidth="1"/>
    <col min="10" max="10" width="15.5703125" bestFit="1" customWidth="1"/>
    <col min="11" max="11" width="15.140625" bestFit="1" customWidth="1"/>
    <col min="12" max="12" width="6.42578125" bestFit="1" customWidth="1"/>
    <col min="13" max="13" width="9.7109375" customWidth="1"/>
    <col min="14" max="14" width="18.5703125" bestFit="1" customWidth="1"/>
    <col min="15" max="15" width="11" bestFit="1" customWidth="1"/>
  </cols>
  <sheetData>
    <row r="1" spans="2:15" x14ac:dyDescent="0.2">
      <c r="J1" s="17"/>
    </row>
    <row r="2" spans="2:15" x14ac:dyDescent="0.2">
      <c r="H2" s="25"/>
      <c r="I2" s="35"/>
      <c r="J2" s="107" t="s">
        <v>87</v>
      </c>
      <c r="K2" s="106" t="s">
        <v>88</v>
      </c>
      <c r="L2" s="29" t="s">
        <v>16</v>
      </c>
      <c r="N2" s="25" t="s">
        <v>76</v>
      </c>
      <c r="O2" s="37">
        <v>5000</v>
      </c>
    </row>
    <row r="3" spans="2:15" x14ac:dyDescent="0.2">
      <c r="H3" s="2" t="s">
        <v>84</v>
      </c>
      <c r="I3" s="101"/>
      <c r="J3" s="108">
        <f>J9*Foreign_Ccy_Notional</f>
        <v>949111.20570672606</v>
      </c>
      <c r="K3" s="58">
        <f>IF(Notional_Ccy="DOM",1,S0)*Notional_amount*K9</f>
        <v>8402032.5167999696</v>
      </c>
      <c r="L3" s="12" t="s">
        <v>49</v>
      </c>
      <c r="N3" s="2" t="s">
        <v>77</v>
      </c>
      <c r="O3" s="38">
        <v>5000</v>
      </c>
    </row>
    <row r="4" spans="2:15" x14ac:dyDescent="0.2">
      <c r="H4" s="2" t="s">
        <v>83</v>
      </c>
      <c r="I4" s="101"/>
      <c r="J4" s="109">
        <f>EXP(-r_*T)</f>
        <v>0.83905248620247863</v>
      </c>
      <c r="K4" s="23">
        <f>'GK Pricer'!G40</f>
        <v>0.82391711922919064</v>
      </c>
      <c r="L4" s="12"/>
      <c r="N4" s="2" t="s">
        <v>79</v>
      </c>
      <c r="O4" s="38">
        <f>O2*O3</f>
        <v>25000000</v>
      </c>
    </row>
    <row r="5" spans="2:15" x14ac:dyDescent="0.2">
      <c r="H5" s="2" t="s">
        <v>85</v>
      </c>
      <c r="I5" s="101"/>
      <c r="J5" s="108">
        <f>J3*J4</f>
        <v>796354.11683086061</v>
      </c>
      <c r="K5" s="102">
        <f>K3*K4</f>
        <v>6922578.4269118169</v>
      </c>
      <c r="L5" s="12" t="s">
        <v>49</v>
      </c>
      <c r="N5" s="2" t="s">
        <v>86</v>
      </c>
      <c r="O5" s="111">
        <v>29.8359375</v>
      </c>
    </row>
    <row r="6" spans="2:15" x14ac:dyDescent="0.2">
      <c r="D6" s="62"/>
      <c r="E6" s="20"/>
      <c r="H6" s="13"/>
      <c r="I6" s="43"/>
      <c r="J6" s="110">
        <f>J5/Result_Divisor</f>
        <v>1169045.9730341465</v>
      </c>
      <c r="K6" s="22">
        <f>K5/Result_Divisor</f>
        <v>10162328.870980354</v>
      </c>
      <c r="L6" s="105" t="s">
        <v>50</v>
      </c>
      <c r="N6" s="13" t="s">
        <v>147</v>
      </c>
      <c r="O6" s="103">
        <f>Monte_Carlo_Runtime/60</f>
        <v>0.49726562499999999</v>
      </c>
    </row>
    <row r="7" spans="2:15" x14ac:dyDescent="0.2">
      <c r="D7" s="20"/>
      <c r="E7" s="100"/>
      <c r="F7" s="100"/>
      <c r="K7" s="17"/>
    </row>
    <row r="8" spans="2:15" x14ac:dyDescent="0.2">
      <c r="B8" s="43"/>
      <c r="C8" s="43" t="s">
        <v>71</v>
      </c>
      <c r="D8" s="43" t="s">
        <v>72</v>
      </c>
      <c r="E8" s="43" t="s">
        <v>122</v>
      </c>
      <c r="F8" s="43" t="s">
        <v>123</v>
      </c>
      <c r="I8" t="s">
        <v>72</v>
      </c>
      <c r="J8" t="s">
        <v>122</v>
      </c>
      <c r="K8" s="17" t="s">
        <v>123</v>
      </c>
    </row>
    <row r="9" spans="2:15" x14ac:dyDescent="0.2">
      <c r="B9" s="10" t="s">
        <v>80</v>
      </c>
      <c r="C9" s="51">
        <f t="shared" ref="C9:F9" ca="1" si="0">AVERAGE(C10:C5009)</f>
        <v>-1.1102230246251566E-18</v>
      </c>
      <c r="D9" s="51">
        <f ca="1">AVERAGE(D10:D5009)</f>
        <v>0.66942164702294604</v>
      </c>
      <c r="E9" s="104">
        <f t="shared" ca="1" si="0"/>
        <v>1.9850012000179284E-2</v>
      </c>
      <c r="F9" s="60">
        <f t="shared" ca="1" si="0"/>
        <v>0.2576</v>
      </c>
      <c r="H9" t="s">
        <v>81</v>
      </c>
      <c r="I9" s="51">
        <f>AVERAGE(I10:I5009)</f>
        <v>0.670938811739614</v>
      </c>
      <c r="J9" s="104">
        <f>AVERAGE(J10:J5009)</f>
        <v>1.898222411413452E-2</v>
      </c>
      <c r="K9" s="55">
        <f>AVERAGE(K10:K5009)</f>
        <v>0.24668327999999912</v>
      </c>
      <c r="N9" s="54"/>
      <c r="O9" s="17"/>
    </row>
    <row r="10" spans="2:15" x14ac:dyDescent="0.2">
      <c r="B10">
        <v>1</v>
      </c>
      <c r="C10" s="52">
        <f ca="1">_xlfn.NORM.S.INV(RAND())</f>
        <v>1.6860409565769601E-2</v>
      </c>
      <c r="D10" s="52">
        <f ca="1">S0*EXP((μ-0.5*σ*σ)*T+σ*SQRT(T)*$C10)</f>
        <v>0.64684450019468609</v>
      </c>
      <c r="E10" s="52">
        <f t="shared" ref="E10:E73" ca="1" si="1">MAX(0,CP*(D10-K))</f>
        <v>0</v>
      </c>
      <c r="F10" s="17">
        <f t="shared" ref="F10:F73" ca="1" si="2">(CP*(D10-K)&gt;0)*1</f>
        <v>0</v>
      </c>
      <c r="H10" s="17">
        <v>1</v>
      </c>
      <c r="I10" s="45">
        <v>0.67169560613090984</v>
      </c>
      <c r="J10" s="45">
        <v>1.9385941428492551E-2</v>
      </c>
      <c r="K10" s="45">
        <v>0.24640000000000001</v>
      </c>
      <c r="N10" s="54"/>
    </row>
    <row r="11" spans="2:15" x14ac:dyDescent="0.2">
      <c r="B11">
        <v>2</v>
      </c>
      <c r="C11" s="52">
        <f t="shared" ref="C11:C74" ca="1" si="3">_xlfn.NORM.S.INV(RAND())</f>
        <v>0.77364285756047657</v>
      </c>
      <c r="D11" s="52">
        <f ca="1">S0*EXP((μ-0.5*σ*σ)*T+σ*SQRT(T)*$C11)</f>
        <v>0.79735914612437297</v>
      </c>
      <c r="E11" s="52">
        <f t="shared" ca="1" si="1"/>
        <v>0</v>
      </c>
      <c r="F11" s="17">
        <f t="shared" ca="1" si="2"/>
        <v>0</v>
      </c>
      <c r="H11" s="17">
        <v>2</v>
      </c>
      <c r="I11" s="45">
        <v>0.67057940808926675</v>
      </c>
      <c r="J11" s="45">
        <v>1.8728585236322055E-2</v>
      </c>
      <c r="K11" s="45">
        <v>0.24859999999999999</v>
      </c>
      <c r="N11" s="54"/>
    </row>
    <row r="12" spans="2:15" x14ac:dyDescent="0.2">
      <c r="B12">
        <v>3</v>
      </c>
      <c r="C12" s="52">
        <f t="shared" ca="1" si="3"/>
        <v>-1.3254554828281546</v>
      </c>
      <c r="D12" s="52">
        <f ca="1">S0*EXP((μ-0.5*σ*σ)*T+σ*SQRT(T)*$C12)</f>
        <v>0.44632445740647142</v>
      </c>
      <c r="E12" s="52">
        <f t="shared" ca="1" si="1"/>
        <v>8.8075542593528566E-2</v>
      </c>
      <c r="F12" s="17">
        <f t="shared" ca="1" si="2"/>
        <v>1</v>
      </c>
      <c r="H12" s="17">
        <v>3</v>
      </c>
      <c r="I12" s="45">
        <v>0.67021716749536087</v>
      </c>
      <c r="J12" s="45">
        <v>1.8385133661500234E-2</v>
      </c>
      <c r="K12" s="45">
        <v>0.24740000000000001</v>
      </c>
      <c r="N12" s="19"/>
    </row>
    <row r="13" spans="2:15" x14ac:dyDescent="0.2">
      <c r="B13">
        <v>4</v>
      </c>
      <c r="C13" s="52">
        <f t="shared" ca="1" si="3"/>
        <v>-0.28587464348009772</v>
      </c>
      <c r="D13" s="52">
        <f ca="1">S0*EXP((μ-0.5*σ*σ)*T+σ*SQRT(T)*$C13)</f>
        <v>0.59491593770545004</v>
      </c>
      <c r="E13" s="52">
        <f t="shared" ca="1" si="1"/>
        <v>0</v>
      </c>
      <c r="F13" s="17">
        <f t="shared" ca="1" si="2"/>
        <v>0</v>
      </c>
      <c r="H13" s="17">
        <v>4</v>
      </c>
      <c r="I13" s="45">
        <v>0.67027307827811256</v>
      </c>
      <c r="J13" s="45">
        <v>1.8714641536646107E-2</v>
      </c>
      <c r="K13" s="45">
        <v>0.24399999999999999</v>
      </c>
      <c r="N13" s="54"/>
    </row>
    <row r="14" spans="2:15" x14ac:dyDescent="0.2">
      <c r="B14">
        <v>5</v>
      </c>
      <c r="C14" s="52">
        <f t="shared" ca="1" si="3"/>
        <v>1.6827828179775088</v>
      </c>
      <c r="D14" s="52">
        <f ca="1">S0*EXP((μ-0.5*σ*σ)*T+σ*SQRT(T)*$C14)</f>
        <v>1.0251774963068661</v>
      </c>
      <c r="E14" s="52">
        <f t="shared" ca="1" si="1"/>
        <v>0</v>
      </c>
      <c r="F14" s="17">
        <f t="shared" ca="1" si="2"/>
        <v>0</v>
      </c>
      <c r="H14" s="17">
        <v>5</v>
      </c>
      <c r="I14" s="45">
        <v>0.67036787846089085</v>
      </c>
      <c r="J14" s="45">
        <v>1.8394977778130626E-2</v>
      </c>
      <c r="K14" s="45">
        <v>0.2482</v>
      </c>
      <c r="N14" s="54"/>
    </row>
    <row r="15" spans="2:15" x14ac:dyDescent="0.2">
      <c r="B15">
        <v>6</v>
      </c>
      <c r="C15" s="52">
        <f t="shared" ca="1" si="3"/>
        <v>1.160794274768977</v>
      </c>
      <c r="D15" s="52">
        <f ca="1">S0*EXP((μ-0.5*σ*σ)*T+σ*SQRT(T)*$C15)</f>
        <v>0.8874271548615843</v>
      </c>
      <c r="E15" s="52">
        <f t="shared" ca="1" si="1"/>
        <v>0</v>
      </c>
      <c r="F15" s="17">
        <f t="shared" ca="1" si="2"/>
        <v>0</v>
      </c>
      <c r="H15" s="17">
        <v>6</v>
      </c>
      <c r="I15" s="45">
        <v>0.670251630824512</v>
      </c>
      <c r="J15" s="45">
        <v>1.8515853802392276E-2</v>
      </c>
      <c r="K15" s="45">
        <v>0.23980000000000001</v>
      </c>
      <c r="N15" s="54"/>
    </row>
    <row r="16" spans="2:15" x14ac:dyDescent="0.2">
      <c r="B16">
        <v>7</v>
      </c>
      <c r="C16" s="52">
        <f t="shared" ca="1" si="3"/>
        <v>-0.42726569352382288</v>
      </c>
      <c r="D16" s="52">
        <f ca="1">S0*EXP((μ-0.5*σ*σ)*T+σ*SQRT(T)*$C16)</f>
        <v>0.57211214572212421</v>
      </c>
      <c r="E16" s="52">
        <f t="shared" ca="1" si="1"/>
        <v>0</v>
      </c>
      <c r="F16" s="17">
        <f t="shared" ca="1" si="2"/>
        <v>0</v>
      </c>
      <c r="H16" s="17">
        <v>7</v>
      </c>
      <c r="I16" s="45">
        <v>0.67342086839807869</v>
      </c>
      <c r="J16" s="45">
        <v>2.0936125183311529E-2</v>
      </c>
      <c r="K16" s="45">
        <v>0.25819999999999999</v>
      </c>
      <c r="N16" s="54"/>
    </row>
    <row r="17" spans="2:14" x14ac:dyDescent="0.2">
      <c r="B17">
        <v>8</v>
      </c>
      <c r="C17" s="52">
        <f t="shared" ca="1" si="3"/>
        <v>-0.41925985770278934</v>
      </c>
      <c r="D17" s="52">
        <f ca="1">S0*EXP((μ-0.5*σ*σ)*T+σ*SQRT(T)*$C17)</f>
        <v>0.573379673893891</v>
      </c>
      <c r="E17" s="52">
        <f t="shared" ca="1" si="1"/>
        <v>0</v>
      </c>
      <c r="F17" s="17">
        <f t="shared" ca="1" si="2"/>
        <v>0</v>
      </c>
      <c r="H17" s="17">
        <v>8</v>
      </c>
      <c r="I17" s="45">
        <v>0.67117460160589248</v>
      </c>
      <c r="J17" s="45">
        <v>1.911795138307713E-2</v>
      </c>
      <c r="K17" s="45">
        <v>0.24579999999999999</v>
      </c>
      <c r="N17" s="54"/>
    </row>
    <row r="18" spans="2:14" x14ac:dyDescent="0.2">
      <c r="B18">
        <v>9</v>
      </c>
      <c r="C18" s="52">
        <f t="shared" ca="1" si="3"/>
        <v>0.14074943832872136</v>
      </c>
      <c r="D18" s="52">
        <f ca="1">S0*EXP((μ-0.5*σ*σ)*T+σ*SQRT(T)*$C18)</f>
        <v>0.66938064970752986</v>
      </c>
      <c r="E18" s="52">
        <f t="shared" ca="1" si="1"/>
        <v>0</v>
      </c>
      <c r="F18" s="17">
        <f t="shared" ca="1" si="2"/>
        <v>0</v>
      </c>
      <c r="H18" s="17">
        <v>9</v>
      </c>
      <c r="I18" s="45">
        <v>0.67189681370684584</v>
      </c>
      <c r="J18" s="45">
        <v>1.9773733811438324E-2</v>
      </c>
      <c r="K18" s="45">
        <v>0.25359999999999999</v>
      </c>
      <c r="N18" s="54"/>
    </row>
    <row r="19" spans="2:14" x14ac:dyDescent="0.2">
      <c r="B19">
        <v>10</v>
      </c>
      <c r="C19" s="52">
        <f t="shared" ca="1" si="3"/>
        <v>1.7627613795188024</v>
      </c>
      <c r="D19" s="52">
        <f ca="1">S0*EXP((μ-0.5*σ*σ)*T+σ*SQRT(T)*$C19)</f>
        <v>1.0480952188790194</v>
      </c>
      <c r="E19" s="52">
        <f t="shared" ca="1" si="1"/>
        <v>0</v>
      </c>
      <c r="F19" s="17">
        <f t="shared" ca="1" si="2"/>
        <v>0</v>
      </c>
      <c r="H19" s="17">
        <v>10</v>
      </c>
      <c r="I19" s="45">
        <v>0.67012993443546176</v>
      </c>
      <c r="J19" s="45">
        <v>1.8222864240212917E-2</v>
      </c>
      <c r="K19" s="45">
        <v>0.2404</v>
      </c>
      <c r="N19" s="54"/>
    </row>
    <row r="20" spans="2:14" x14ac:dyDescent="0.2">
      <c r="B20">
        <v>11</v>
      </c>
      <c r="C20" s="52">
        <f t="shared" ca="1" si="3"/>
        <v>0.51649132270998732</v>
      </c>
      <c r="D20" s="52">
        <f ca="1">S0*EXP((μ-0.5*σ*σ)*T+σ*SQRT(T)*$C20)</f>
        <v>0.74264649789619797</v>
      </c>
      <c r="E20" s="52">
        <f t="shared" ca="1" si="1"/>
        <v>0</v>
      </c>
      <c r="F20" s="17">
        <f t="shared" ca="1" si="2"/>
        <v>0</v>
      </c>
      <c r="H20" s="17">
        <v>11</v>
      </c>
      <c r="I20" s="45">
        <v>0.67107719792514986</v>
      </c>
      <c r="J20" s="45">
        <v>1.9426057010678479E-2</v>
      </c>
      <c r="K20" s="45">
        <v>0.251</v>
      </c>
      <c r="N20" s="54"/>
    </row>
    <row r="21" spans="2:14" x14ac:dyDescent="0.2">
      <c r="B21">
        <v>12</v>
      </c>
      <c r="C21" s="52">
        <f t="shared" ca="1" si="3"/>
        <v>-1.2413178189888649E-2</v>
      </c>
      <c r="D21" s="52">
        <f ca="1">S0*EXP((μ-0.5*σ*σ)*T+σ*SQRT(T)*$C21)</f>
        <v>0.64163124533629079</v>
      </c>
      <c r="E21" s="52">
        <f t="shared" ca="1" si="1"/>
        <v>0</v>
      </c>
      <c r="F21" s="17">
        <f t="shared" ca="1" si="2"/>
        <v>0</v>
      </c>
      <c r="H21" s="17">
        <v>12</v>
      </c>
      <c r="I21" s="45">
        <v>0.67000520785529138</v>
      </c>
      <c r="J21" s="45">
        <v>1.8339509315062633E-2</v>
      </c>
      <c r="K21" s="45">
        <v>0.24479999999999999</v>
      </c>
      <c r="N21" s="54"/>
    </row>
    <row r="22" spans="2:14" x14ac:dyDescent="0.2">
      <c r="B22">
        <v>13</v>
      </c>
      <c r="C22" s="52">
        <f t="shared" ca="1" si="3"/>
        <v>0.90990269385096956</v>
      </c>
      <c r="D22" s="52">
        <f ca="1">S0*EXP((μ-0.5*σ*σ)*T+σ*SQRT(T)*$C22)</f>
        <v>0.82796579963811967</v>
      </c>
      <c r="E22" s="52">
        <f t="shared" ca="1" si="1"/>
        <v>0</v>
      </c>
      <c r="F22" s="17">
        <f t="shared" ca="1" si="2"/>
        <v>0</v>
      </c>
      <c r="H22" s="17">
        <v>13</v>
      </c>
      <c r="I22" s="45">
        <v>0.67052317463081768</v>
      </c>
      <c r="J22" s="45">
        <v>1.8588220560958657E-2</v>
      </c>
      <c r="K22" s="45">
        <v>0.24299999999999999</v>
      </c>
      <c r="N22" s="54"/>
    </row>
    <row r="23" spans="2:14" x14ac:dyDescent="0.2">
      <c r="B23">
        <v>14</v>
      </c>
      <c r="C23" s="52">
        <f t="shared" ca="1" si="3"/>
        <v>0.63213795862017408</v>
      </c>
      <c r="D23" s="52">
        <f ca="1">S0*EXP((μ-0.5*σ*σ)*T+σ*SQRT(T)*$C23)</f>
        <v>0.76677134812735426</v>
      </c>
      <c r="E23" s="52">
        <f t="shared" ca="1" si="1"/>
        <v>0</v>
      </c>
      <c r="F23" s="17">
        <f t="shared" ca="1" si="2"/>
        <v>0</v>
      </c>
      <c r="H23" s="17">
        <v>14</v>
      </c>
      <c r="I23" s="45">
        <v>0.67176880008980477</v>
      </c>
      <c r="J23" s="45">
        <v>1.9612279144041119E-2</v>
      </c>
      <c r="K23" s="45">
        <v>0.25019999999999998</v>
      </c>
      <c r="N23" s="54"/>
    </row>
    <row r="24" spans="2:14" x14ac:dyDescent="0.2">
      <c r="B24">
        <v>15</v>
      </c>
      <c r="C24" s="52">
        <f t="shared" ca="1" si="3"/>
        <v>-0.61970418453838083</v>
      </c>
      <c r="D24" s="52">
        <f ca="1">S0*EXP((μ-0.5*σ*σ)*T+σ*SQRT(T)*$C24)</f>
        <v>0.54247325000258961</v>
      </c>
      <c r="E24" s="52">
        <f t="shared" ca="1" si="1"/>
        <v>0</v>
      </c>
      <c r="F24" s="17">
        <f t="shared" ca="1" si="2"/>
        <v>0</v>
      </c>
      <c r="H24" s="17">
        <v>15</v>
      </c>
      <c r="I24" s="45">
        <v>0.67137370002220365</v>
      </c>
      <c r="J24" s="45">
        <v>1.9412013506319312E-2</v>
      </c>
      <c r="K24" s="45">
        <v>0.25180000000000002</v>
      </c>
      <c r="N24" s="54"/>
    </row>
    <row r="25" spans="2:14" x14ac:dyDescent="0.2">
      <c r="B25">
        <v>16</v>
      </c>
      <c r="C25" s="52">
        <f t="shared" ca="1" si="3"/>
        <v>-4.3040656834454294E-2</v>
      </c>
      <c r="D25" s="52">
        <f ca="1">S0*EXP((μ-0.5*σ*σ)*T+σ*SQRT(T)*$C25)</f>
        <v>0.63622185018901733</v>
      </c>
      <c r="E25" s="52">
        <f t="shared" ca="1" si="1"/>
        <v>0</v>
      </c>
      <c r="F25" s="17">
        <f t="shared" ca="1" si="2"/>
        <v>0</v>
      </c>
      <c r="H25" s="17">
        <v>16</v>
      </c>
      <c r="I25" s="45">
        <v>0.67081924122158421</v>
      </c>
      <c r="J25" s="45">
        <v>1.8944669458610636E-2</v>
      </c>
      <c r="K25" s="45">
        <v>0.2422</v>
      </c>
      <c r="N25" s="54"/>
    </row>
    <row r="26" spans="2:14" x14ac:dyDescent="0.2">
      <c r="B26">
        <v>17</v>
      </c>
      <c r="C26" s="52">
        <f t="shared" ca="1" si="3"/>
        <v>0.76621828035961892</v>
      </c>
      <c r="D26" s="52">
        <f ca="1">S0*EXP((μ-0.5*σ*σ)*T+σ*SQRT(T)*$C26)</f>
        <v>0.79572432879048338</v>
      </c>
      <c r="E26" s="52">
        <f t="shared" ca="1" si="1"/>
        <v>0</v>
      </c>
      <c r="F26" s="17">
        <f t="shared" ca="1" si="2"/>
        <v>0</v>
      </c>
      <c r="H26" s="17">
        <v>17</v>
      </c>
      <c r="I26" s="45">
        <v>0.67146107553017509</v>
      </c>
      <c r="J26" s="45">
        <v>1.930984182266917E-2</v>
      </c>
      <c r="K26" s="45">
        <v>0.251</v>
      </c>
      <c r="N26" s="54"/>
    </row>
    <row r="27" spans="2:14" x14ac:dyDescent="0.2">
      <c r="B27">
        <v>18</v>
      </c>
      <c r="C27" s="52">
        <f t="shared" ca="1" si="3"/>
        <v>-0.89867018057286463</v>
      </c>
      <c r="D27" s="52">
        <f ca="1">S0*EXP((μ-0.5*σ*σ)*T+σ*SQRT(T)*$C27)</f>
        <v>0.50221258398309132</v>
      </c>
      <c r="E27" s="52">
        <f t="shared" ca="1" si="1"/>
        <v>3.2187416016908665E-2</v>
      </c>
      <c r="F27" s="17">
        <f t="shared" ca="1" si="2"/>
        <v>1</v>
      </c>
      <c r="H27" s="17">
        <v>18</v>
      </c>
      <c r="I27" s="45">
        <v>0.67164951988277266</v>
      </c>
      <c r="J27" s="45">
        <v>1.9493301446636638E-2</v>
      </c>
      <c r="K27" s="45">
        <v>0.25359999999999999</v>
      </c>
      <c r="N27" s="54"/>
    </row>
    <row r="28" spans="2:14" x14ac:dyDescent="0.2">
      <c r="B28">
        <v>19</v>
      </c>
      <c r="C28" s="52">
        <f t="shared" ca="1" si="3"/>
        <v>-1.0218760713840194</v>
      </c>
      <c r="D28" s="52">
        <f ca="1">S0*EXP((μ-0.5*σ*σ)*T+σ*SQRT(T)*$C28)</f>
        <v>0.48539616380946476</v>
      </c>
      <c r="E28" s="52">
        <f t="shared" ca="1" si="1"/>
        <v>4.9003836190535222E-2</v>
      </c>
      <c r="F28" s="17">
        <f t="shared" ca="1" si="2"/>
        <v>1</v>
      </c>
      <c r="H28" s="17">
        <v>19</v>
      </c>
      <c r="I28" s="45">
        <v>0.67045650893600828</v>
      </c>
      <c r="J28" s="45">
        <v>1.8714526916136186E-2</v>
      </c>
      <c r="K28" s="45">
        <v>0.246</v>
      </c>
      <c r="N28" s="54"/>
    </row>
    <row r="29" spans="2:14" x14ac:dyDescent="0.2">
      <c r="B29">
        <v>20</v>
      </c>
      <c r="C29" s="52">
        <f t="shared" ca="1" si="3"/>
        <v>0.21976498191283095</v>
      </c>
      <c r="D29" s="52">
        <f ca="1">S0*EXP((μ-0.5*σ*σ)*T+σ*SQRT(T)*$C29)</f>
        <v>0.68416242078244782</v>
      </c>
      <c r="E29" s="52">
        <f t="shared" ca="1" si="1"/>
        <v>0</v>
      </c>
      <c r="F29" s="17">
        <f t="shared" ca="1" si="2"/>
        <v>0</v>
      </c>
      <c r="H29" s="17">
        <v>20</v>
      </c>
      <c r="I29" s="45">
        <v>0.6715453694242276</v>
      </c>
      <c r="J29" s="45">
        <v>1.9241951759521321E-2</v>
      </c>
      <c r="K29" s="45">
        <v>0.24640000000000001</v>
      </c>
      <c r="N29" s="54"/>
    </row>
    <row r="30" spans="2:14" x14ac:dyDescent="0.2">
      <c r="B30">
        <v>21</v>
      </c>
      <c r="C30" s="52">
        <f t="shared" ca="1" si="3"/>
        <v>1.1963763862017844</v>
      </c>
      <c r="D30" s="52">
        <f ca="1">S0*EXP((μ-0.5*σ*σ)*T+σ*SQRT(T)*$C30)</f>
        <v>0.89619900439492117</v>
      </c>
      <c r="E30" s="52">
        <f t="shared" ca="1" si="1"/>
        <v>0</v>
      </c>
      <c r="F30" s="17">
        <f t="shared" ca="1" si="2"/>
        <v>0</v>
      </c>
      <c r="H30" s="17">
        <v>21</v>
      </c>
      <c r="I30" s="45">
        <v>0.67176594372851528</v>
      </c>
      <c r="J30" s="45">
        <v>1.9869077214771439E-2</v>
      </c>
      <c r="K30" s="45">
        <v>0.25900000000000001</v>
      </c>
      <c r="N30" s="54"/>
    </row>
    <row r="31" spans="2:14" x14ac:dyDescent="0.2">
      <c r="B31">
        <v>22</v>
      </c>
      <c r="C31" s="52">
        <f t="shared" ca="1" si="3"/>
        <v>-0.13464224037881414</v>
      </c>
      <c r="D31" s="52">
        <f ca="1">S0*EXP((μ-0.5*σ*σ)*T+σ*SQRT(T)*$C31)</f>
        <v>0.62031391699282112</v>
      </c>
      <c r="E31" s="52">
        <f t="shared" ca="1" si="1"/>
        <v>0</v>
      </c>
      <c r="F31" s="17">
        <f t="shared" ca="1" si="2"/>
        <v>0</v>
      </c>
      <c r="H31" s="17">
        <v>22</v>
      </c>
      <c r="I31" s="45">
        <v>0.67047777109981022</v>
      </c>
      <c r="J31" s="45">
        <v>1.874921013807453E-2</v>
      </c>
      <c r="K31" s="45">
        <v>0.24479999999999999</v>
      </c>
      <c r="N31" s="54"/>
    </row>
    <row r="32" spans="2:14" x14ac:dyDescent="0.2">
      <c r="B32">
        <v>23</v>
      </c>
      <c r="C32" s="52">
        <f t="shared" ca="1" si="3"/>
        <v>-0.570010062160205</v>
      </c>
      <c r="D32" s="52">
        <f ca="1">S0*EXP((μ-0.5*σ*σ)*T+σ*SQRT(T)*$C32)</f>
        <v>0.54997666308863724</v>
      </c>
      <c r="E32" s="52">
        <f t="shared" ca="1" si="1"/>
        <v>0</v>
      </c>
      <c r="F32" s="17">
        <f t="shared" ca="1" si="2"/>
        <v>0</v>
      </c>
      <c r="H32" s="17">
        <v>23</v>
      </c>
      <c r="I32" s="45">
        <v>0.67011861602973388</v>
      </c>
      <c r="J32" s="45">
        <v>1.8329527780067814E-2</v>
      </c>
      <c r="K32" s="45">
        <v>0.24399999999999999</v>
      </c>
      <c r="N32" s="54"/>
    </row>
    <row r="33" spans="2:14" x14ac:dyDescent="0.2">
      <c r="B33">
        <v>24</v>
      </c>
      <c r="C33" s="52">
        <f t="shared" ca="1" si="3"/>
        <v>1.6227096401044845</v>
      </c>
      <c r="D33" s="52">
        <f ca="1">S0*EXP((μ-0.5*σ*σ)*T+σ*SQRT(T)*$C33)</f>
        <v>1.0082937896844486</v>
      </c>
      <c r="E33" s="52">
        <f t="shared" ca="1" si="1"/>
        <v>0</v>
      </c>
      <c r="F33" s="17">
        <f t="shared" ca="1" si="2"/>
        <v>0</v>
      </c>
      <c r="H33" s="17">
        <v>24</v>
      </c>
      <c r="I33" s="45">
        <v>0.6710075480869746</v>
      </c>
      <c r="J33" s="45">
        <v>1.8931733106436137E-2</v>
      </c>
      <c r="K33" s="45">
        <v>0.24379999999999999</v>
      </c>
      <c r="N33" s="54"/>
    </row>
    <row r="34" spans="2:14" x14ac:dyDescent="0.2">
      <c r="B34">
        <v>25</v>
      </c>
      <c r="C34" s="52">
        <f t="shared" ca="1" si="3"/>
        <v>0.15055913926407405</v>
      </c>
      <c r="D34" s="52">
        <f ca="1">S0*EXP((μ-0.5*σ*σ)*T+σ*SQRT(T)*$C34)</f>
        <v>0.67119828613826027</v>
      </c>
      <c r="E34" s="52">
        <f t="shared" ca="1" si="1"/>
        <v>0</v>
      </c>
      <c r="F34" s="17">
        <f t="shared" ca="1" si="2"/>
        <v>0</v>
      </c>
      <c r="H34" s="17">
        <v>25</v>
      </c>
      <c r="I34" s="45">
        <v>0.6699555172676086</v>
      </c>
      <c r="J34" s="45">
        <v>1.8131646048452181E-2</v>
      </c>
      <c r="K34" s="45">
        <v>0.24260000000000001</v>
      </c>
      <c r="N34" s="54"/>
    </row>
    <row r="35" spans="2:14" x14ac:dyDescent="0.2">
      <c r="B35">
        <v>26</v>
      </c>
      <c r="C35" s="52">
        <f t="shared" ca="1" si="3"/>
        <v>0.50627238213434278</v>
      </c>
      <c r="D35" s="52">
        <f ca="1">S0*EXP((μ-0.5*σ*σ)*T+σ*SQRT(T)*$C35)</f>
        <v>0.74055159513341173</v>
      </c>
      <c r="E35" s="52">
        <f t="shared" ca="1" si="1"/>
        <v>0</v>
      </c>
      <c r="F35" s="17">
        <f t="shared" ca="1" si="2"/>
        <v>0</v>
      </c>
      <c r="H35" s="17">
        <v>26</v>
      </c>
      <c r="I35" s="45">
        <v>0.67164347934711355</v>
      </c>
      <c r="J35" s="45">
        <v>1.9732785988262155E-2</v>
      </c>
      <c r="K35" s="45">
        <v>0.246</v>
      </c>
      <c r="N35" s="54"/>
    </row>
    <row r="36" spans="2:14" x14ac:dyDescent="0.2">
      <c r="B36">
        <v>27</v>
      </c>
      <c r="C36" s="52">
        <f t="shared" ca="1" si="3"/>
        <v>3.1063211569231464E-2</v>
      </c>
      <c r="D36" s="52">
        <f ca="1">S0*EXP((μ-0.5*σ*σ)*T+σ*SQRT(T)*$C36)</f>
        <v>0.64938907878488095</v>
      </c>
      <c r="E36" s="52">
        <f t="shared" ca="1" si="1"/>
        <v>0</v>
      </c>
      <c r="F36" s="17">
        <f t="shared" ca="1" si="2"/>
        <v>0</v>
      </c>
      <c r="H36" s="17">
        <v>27</v>
      </c>
      <c r="I36" s="45">
        <v>0.6702354646205374</v>
      </c>
      <c r="J36" s="45">
        <v>1.8568811170411578E-2</v>
      </c>
      <c r="K36" s="45">
        <v>0.246</v>
      </c>
      <c r="N36" s="54"/>
    </row>
    <row r="37" spans="2:14" x14ac:dyDescent="0.2">
      <c r="B37">
        <v>28</v>
      </c>
      <c r="C37" s="52">
        <f t="shared" ca="1" si="3"/>
        <v>-2.4706139864544577E-2</v>
      </c>
      <c r="D37" s="52">
        <f ca="1">S0*EXP((μ-0.5*σ*σ)*T+σ*SQRT(T)*$C37)</f>
        <v>0.63945457099003966</v>
      </c>
      <c r="E37" s="52">
        <f t="shared" ca="1" si="1"/>
        <v>0</v>
      </c>
      <c r="F37" s="17">
        <f t="shared" ca="1" si="2"/>
        <v>0</v>
      </c>
      <c r="H37" s="17">
        <v>28</v>
      </c>
      <c r="I37" s="45">
        <v>0.67148543376046299</v>
      </c>
      <c r="J37" s="45">
        <v>1.9540415990910793E-2</v>
      </c>
      <c r="K37" s="45">
        <v>0.25219999999999998</v>
      </c>
      <c r="N37" s="54"/>
    </row>
    <row r="38" spans="2:14" x14ac:dyDescent="0.2">
      <c r="B38">
        <v>29</v>
      </c>
      <c r="C38" s="52">
        <f t="shared" ca="1" si="3"/>
        <v>0.11994382187330875</v>
      </c>
      <c r="D38" s="52">
        <f ca="1">S0*EXP((μ-0.5*σ*σ)*T+σ*SQRT(T)*$C38)</f>
        <v>0.66554185778079733</v>
      </c>
      <c r="E38" s="52">
        <f t="shared" ca="1" si="1"/>
        <v>0</v>
      </c>
      <c r="F38" s="17">
        <f t="shared" ca="1" si="2"/>
        <v>0</v>
      </c>
      <c r="H38" s="17">
        <v>29</v>
      </c>
      <c r="I38" s="45">
        <v>0.67088042826141225</v>
      </c>
      <c r="J38" s="45">
        <v>1.8908903257676399E-2</v>
      </c>
      <c r="K38" s="45">
        <v>0.2462</v>
      </c>
      <c r="N38" s="54"/>
    </row>
    <row r="39" spans="2:14" x14ac:dyDescent="0.2">
      <c r="B39">
        <v>30</v>
      </c>
      <c r="C39" s="52">
        <f t="shared" ca="1" si="3"/>
        <v>0.78117774214356628</v>
      </c>
      <c r="D39" s="52">
        <f ca="1">S0*EXP((μ-0.5*σ*σ)*T+σ*SQRT(T)*$C39)</f>
        <v>0.7990216860287227</v>
      </c>
      <c r="E39" s="52">
        <f t="shared" ca="1" si="1"/>
        <v>0</v>
      </c>
      <c r="F39" s="17">
        <f t="shared" ca="1" si="2"/>
        <v>0</v>
      </c>
      <c r="H39" s="17">
        <v>30</v>
      </c>
      <c r="I39" s="45">
        <v>0.67171810080228966</v>
      </c>
      <c r="J39" s="45">
        <v>1.9559688273825166E-2</v>
      </c>
      <c r="K39" s="45">
        <v>0.251</v>
      </c>
      <c r="N39" s="54"/>
    </row>
    <row r="40" spans="2:14" x14ac:dyDescent="0.2">
      <c r="B40">
        <v>31</v>
      </c>
      <c r="C40" s="52">
        <f t="shared" ca="1" si="3"/>
        <v>-2.3920080333887954</v>
      </c>
      <c r="D40" s="52">
        <f ca="1">S0*EXP((μ-0.5*σ*σ)*T+σ*SQRT(T)*$C40)</f>
        <v>0.33235921892468323</v>
      </c>
      <c r="E40" s="52">
        <f t="shared" ca="1" si="1"/>
        <v>0.20204078107531676</v>
      </c>
      <c r="F40" s="17">
        <f t="shared" ca="1" si="2"/>
        <v>1</v>
      </c>
      <c r="H40" s="17">
        <v>31</v>
      </c>
      <c r="I40" s="45">
        <v>0.67078146023578633</v>
      </c>
      <c r="J40" s="45">
        <v>1.8840925554489137E-2</v>
      </c>
      <c r="K40" s="45">
        <v>0.24399999999999999</v>
      </c>
      <c r="N40" s="54"/>
    </row>
    <row r="41" spans="2:14" x14ac:dyDescent="0.2">
      <c r="B41">
        <v>32</v>
      </c>
      <c r="C41" s="52">
        <f t="shared" ca="1" si="3"/>
        <v>0.4580535831352221</v>
      </c>
      <c r="D41" s="52">
        <f ca="1">S0*EXP((μ-0.5*σ*σ)*T+σ*SQRT(T)*$C41)</f>
        <v>0.73074609750052499</v>
      </c>
      <c r="E41" s="52">
        <f t="shared" ca="1" si="1"/>
        <v>0</v>
      </c>
      <c r="F41" s="17">
        <f t="shared" ca="1" si="2"/>
        <v>0</v>
      </c>
      <c r="H41" s="17">
        <v>32</v>
      </c>
      <c r="I41" s="45">
        <v>0.67107932719453811</v>
      </c>
      <c r="J41" s="45">
        <v>1.9205113218944223E-2</v>
      </c>
      <c r="K41" s="45">
        <v>0.24660000000000001</v>
      </c>
      <c r="N41" s="54"/>
    </row>
    <row r="42" spans="2:14" x14ac:dyDescent="0.2">
      <c r="B42">
        <v>33</v>
      </c>
      <c r="C42" s="52">
        <f t="shared" ca="1" si="3"/>
        <v>-1.2178241964546761</v>
      </c>
      <c r="D42" s="52">
        <f ca="1">S0*EXP((μ-0.5*σ*σ)*T+σ*SQRT(T)*$C42)</f>
        <v>0.45980337731126808</v>
      </c>
      <c r="E42" s="52">
        <f t="shared" ca="1" si="1"/>
        <v>7.4596622688731906E-2</v>
      </c>
      <c r="F42" s="17">
        <f t="shared" ca="1" si="2"/>
        <v>1</v>
      </c>
      <c r="H42" s="17">
        <v>33</v>
      </c>
      <c r="I42" s="45">
        <v>0.67240860474340203</v>
      </c>
      <c r="J42" s="45">
        <v>2.0365816390283037E-2</v>
      </c>
      <c r="K42" s="45">
        <v>0.25180000000000002</v>
      </c>
      <c r="N42" s="54"/>
    </row>
    <row r="43" spans="2:14" x14ac:dyDescent="0.2">
      <c r="B43">
        <v>34</v>
      </c>
      <c r="C43" s="52">
        <f t="shared" ca="1" si="3"/>
        <v>0.31100143275351033</v>
      </c>
      <c r="D43" s="52">
        <f ca="1">S0*EXP((μ-0.5*σ*σ)*T+σ*SQRT(T)*$C43)</f>
        <v>0.70163692410543799</v>
      </c>
      <c r="E43" s="52">
        <f t="shared" ca="1" si="1"/>
        <v>0</v>
      </c>
      <c r="F43" s="17">
        <f t="shared" ca="1" si="2"/>
        <v>0</v>
      </c>
      <c r="H43" s="17">
        <v>34</v>
      </c>
      <c r="I43" s="45">
        <v>0.67111918792355241</v>
      </c>
      <c r="J43" s="45">
        <v>1.9159921266761182E-2</v>
      </c>
      <c r="K43" s="45">
        <v>0.2462</v>
      </c>
      <c r="N43" s="54"/>
    </row>
    <row r="44" spans="2:14" x14ac:dyDescent="0.2">
      <c r="B44">
        <v>35</v>
      </c>
      <c r="C44" s="52">
        <f t="shared" ca="1" si="3"/>
        <v>0.76183662585660394</v>
      </c>
      <c r="D44" s="52">
        <f ca="1">S0*EXP((μ-0.5*σ*σ)*T+σ*SQRT(T)*$C44)</f>
        <v>0.79476110566795055</v>
      </c>
      <c r="E44" s="52">
        <f t="shared" ca="1" si="1"/>
        <v>0</v>
      </c>
      <c r="F44" s="17">
        <f t="shared" ca="1" si="2"/>
        <v>0</v>
      </c>
      <c r="H44" s="17">
        <v>35</v>
      </c>
      <c r="I44" s="45">
        <v>0.67155921535782415</v>
      </c>
      <c r="J44" s="45">
        <v>1.9359296603683247E-2</v>
      </c>
      <c r="K44" s="45">
        <v>0.251</v>
      </c>
      <c r="N44" s="54"/>
    </row>
    <row r="45" spans="2:14" x14ac:dyDescent="0.2">
      <c r="B45">
        <v>36</v>
      </c>
      <c r="C45" s="52">
        <f t="shared" ca="1" si="3"/>
        <v>0.92269729656898891</v>
      </c>
      <c r="D45" s="52">
        <f ca="1">S0*EXP((μ-0.5*σ*σ)*T+σ*SQRT(T)*$C45)</f>
        <v>0.83089937039290251</v>
      </c>
      <c r="E45" s="52">
        <f t="shared" ca="1" si="1"/>
        <v>0</v>
      </c>
      <c r="F45" s="17">
        <f t="shared" ca="1" si="2"/>
        <v>0</v>
      </c>
      <c r="H45" s="17">
        <v>36</v>
      </c>
      <c r="I45" s="45">
        <v>0.67070749027628207</v>
      </c>
      <c r="J45" s="45">
        <v>1.8859097752729776E-2</v>
      </c>
      <c r="K45" s="45">
        <v>0.2482</v>
      </c>
      <c r="N45" s="54"/>
    </row>
    <row r="46" spans="2:14" x14ac:dyDescent="0.2">
      <c r="B46">
        <v>37</v>
      </c>
      <c r="C46" s="52">
        <f t="shared" ca="1" si="3"/>
        <v>-0.112955849389485</v>
      </c>
      <c r="D46" s="52">
        <f ca="1">S0*EXP((μ-0.5*σ*σ)*T+σ*SQRT(T)*$C46)</f>
        <v>0.62404375817615287</v>
      </c>
      <c r="E46" s="52">
        <f t="shared" ca="1" si="1"/>
        <v>0</v>
      </c>
      <c r="F46" s="17">
        <f t="shared" ca="1" si="2"/>
        <v>0</v>
      </c>
      <c r="H46" s="17">
        <v>37</v>
      </c>
      <c r="I46" s="45">
        <v>0.6715194589337159</v>
      </c>
      <c r="J46" s="45">
        <v>1.8960279383077937E-2</v>
      </c>
      <c r="K46" s="45">
        <v>0.24179999999999999</v>
      </c>
      <c r="N46" s="54"/>
    </row>
    <row r="47" spans="2:14" x14ac:dyDescent="0.2">
      <c r="B47">
        <v>38</v>
      </c>
      <c r="C47" s="52">
        <f t="shared" ca="1" si="3"/>
        <v>-0.77995323750844681</v>
      </c>
      <c r="D47" s="52">
        <f ca="1">S0*EXP((μ-0.5*σ*σ)*T+σ*SQRT(T)*$C47)</f>
        <v>0.51896722300004727</v>
      </c>
      <c r="E47" s="52">
        <f t="shared" ca="1" si="1"/>
        <v>1.5432776999952713E-2</v>
      </c>
      <c r="F47" s="17">
        <f t="shared" ca="1" si="2"/>
        <v>1</v>
      </c>
      <c r="H47" s="17">
        <v>38</v>
      </c>
      <c r="I47" s="45">
        <v>0.67040387453786643</v>
      </c>
      <c r="J47" s="45">
        <v>1.8183822959970591E-2</v>
      </c>
      <c r="K47" s="45">
        <v>0.2404</v>
      </c>
      <c r="N47" s="54"/>
    </row>
    <row r="48" spans="2:14" x14ac:dyDescent="0.2">
      <c r="B48">
        <v>39</v>
      </c>
      <c r="C48" s="52">
        <f t="shared" ca="1" si="3"/>
        <v>-0.16199226931454061</v>
      </c>
      <c r="D48" s="52">
        <f ca="1">S0*EXP((μ-0.5*σ*σ)*T+σ*SQRT(T)*$C48)</f>
        <v>0.61564175660366616</v>
      </c>
      <c r="E48" s="52">
        <f t="shared" ca="1" si="1"/>
        <v>0</v>
      </c>
      <c r="F48" s="17">
        <f t="shared" ca="1" si="2"/>
        <v>0</v>
      </c>
      <c r="H48" s="17">
        <v>39</v>
      </c>
      <c r="I48" s="45">
        <v>0.67107160715546466</v>
      </c>
      <c r="J48" s="45">
        <v>1.8581043588804344E-2</v>
      </c>
      <c r="K48" s="45">
        <v>0.24299999999999999</v>
      </c>
      <c r="N48" s="54"/>
    </row>
    <row r="49" spans="2:14" x14ac:dyDescent="0.2">
      <c r="B49">
        <v>40</v>
      </c>
      <c r="C49" s="52">
        <f t="shared" ca="1" si="3"/>
        <v>0.49269096140445223</v>
      </c>
      <c r="D49" s="52">
        <f ca="1">S0*EXP((μ-0.5*σ*σ)*T+σ*SQRT(T)*$C49)</f>
        <v>0.73777652057500676</v>
      </c>
      <c r="E49" s="52">
        <f t="shared" ca="1" si="1"/>
        <v>0</v>
      </c>
      <c r="F49" s="17">
        <f t="shared" ca="1" si="2"/>
        <v>0</v>
      </c>
      <c r="H49" s="17">
        <v>40</v>
      </c>
      <c r="I49" s="45">
        <v>0.6717654976784303</v>
      </c>
      <c r="J49" s="45">
        <v>1.9655595623738007E-2</v>
      </c>
      <c r="K49" s="45">
        <v>0.25380000000000003</v>
      </c>
      <c r="N49" s="54"/>
    </row>
    <row r="50" spans="2:14" x14ac:dyDescent="0.2">
      <c r="B50">
        <v>41</v>
      </c>
      <c r="C50" s="52">
        <f t="shared" ca="1" si="3"/>
        <v>0.36857444885902824</v>
      </c>
      <c r="D50" s="52">
        <f ca="1">S0*EXP((μ-0.5*σ*σ)*T+σ*SQRT(T)*$C50)</f>
        <v>0.7128928450159544</v>
      </c>
      <c r="E50" s="52">
        <f t="shared" ca="1" si="1"/>
        <v>0</v>
      </c>
      <c r="F50" s="17">
        <f t="shared" ca="1" si="2"/>
        <v>0</v>
      </c>
      <c r="H50" s="17">
        <v>41</v>
      </c>
      <c r="I50" s="45">
        <v>0.67110044820138814</v>
      </c>
      <c r="J50" s="45">
        <v>1.9155252271133572E-2</v>
      </c>
      <c r="K50" s="45">
        <v>0.25219999999999998</v>
      </c>
      <c r="N50" s="54"/>
    </row>
    <row r="51" spans="2:14" x14ac:dyDescent="0.2">
      <c r="B51">
        <v>42</v>
      </c>
      <c r="C51" s="52">
        <f t="shared" ca="1" si="3"/>
        <v>-1.5377136720454823</v>
      </c>
      <c r="D51" s="52">
        <f ca="1">S0*EXP((μ-0.5*σ*σ)*T+σ*SQRT(T)*$C51)</f>
        <v>0.42088982700338795</v>
      </c>
      <c r="E51" s="52">
        <f t="shared" ca="1" si="1"/>
        <v>0.11351017299661204</v>
      </c>
      <c r="F51" s="17">
        <f t="shared" ca="1" si="2"/>
        <v>1</v>
      </c>
      <c r="H51" s="17">
        <v>42</v>
      </c>
      <c r="I51" s="45">
        <v>0.67004075420724396</v>
      </c>
      <c r="J51" s="45">
        <v>1.8339829451291097E-2</v>
      </c>
      <c r="K51" s="45">
        <v>0.23799999999999999</v>
      </c>
      <c r="N51" s="54"/>
    </row>
    <row r="52" spans="2:14" x14ac:dyDescent="0.2">
      <c r="B52">
        <v>43</v>
      </c>
      <c r="C52" s="52">
        <f t="shared" ca="1" si="3"/>
        <v>-1.2236049913426099</v>
      </c>
      <c r="D52" s="52">
        <f ca="1">S0*EXP((μ-0.5*σ*σ)*T+σ*SQRT(T)*$C52)</f>
        <v>0.45906919843659483</v>
      </c>
      <c r="E52" s="52">
        <f t="shared" ca="1" si="1"/>
        <v>7.5330801563405159E-2</v>
      </c>
      <c r="F52" s="17">
        <f t="shared" ca="1" si="2"/>
        <v>1</v>
      </c>
      <c r="H52" s="17">
        <v>43</v>
      </c>
      <c r="I52" s="45">
        <v>0.67216165151744611</v>
      </c>
      <c r="J52" s="45">
        <v>2.0105171047529014E-2</v>
      </c>
      <c r="K52" s="45">
        <v>0.26100000000000001</v>
      </c>
      <c r="N52" s="54"/>
    </row>
    <row r="53" spans="2:14" x14ac:dyDescent="0.2">
      <c r="B53">
        <v>44</v>
      </c>
      <c r="C53" s="52">
        <f t="shared" ca="1" si="3"/>
        <v>0.83707906139945398</v>
      </c>
      <c r="D53" s="52">
        <f ca="1">S0*EXP((μ-0.5*σ*σ)*T+σ*SQRT(T)*$C53)</f>
        <v>0.81146481580103358</v>
      </c>
      <c r="E53" s="52">
        <f t="shared" ca="1" si="1"/>
        <v>0</v>
      </c>
      <c r="F53" s="17">
        <f t="shared" ca="1" si="2"/>
        <v>0</v>
      </c>
      <c r="H53" s="17">
        <v>44</v>
      </c>
      <c r="I53" s="45">
        <v>0.67122990098166269</v>
      </c>
      <c r="J53" s="45">
        <v>1.9089719867323628E-2</v>
      </c>
      <c r="K53" s="45">
        <v>0.24859999999999999</v>
      </c>
      <c r="N53" s="54"/>
    </row>
    <row r="54" spans="2:14" x14ac:dyDescent="0.2">
      <c r="B54">
        <v>45</v>
      </c>
      <c r="C54" s="52">
        <f t="shared" ca="1" si="3"/>
        <v>0.18954893882485674</v>
      </c>
      <c r="D54" s="52">
        <f ca="1">S0*EXP((μ-0.5*σ*σ)*T+σ*SQRT(T)*$C54)</f>
        <v>0.67847161942680956</v>
      </c>
      <c r="E54" s="52">
        <f t="shared" ca="1" si="1"/>
        <v>0</v>
      </c>
      <c r="F54" s="17">
        <f t="shared" ca="1" si="2"/>
        <v>0</v>
      </c>
      <c r="H54" s="17">
        <v>45</v>
      </c>
      <c r="I54" s="45">
        <v>0.67072682627851665</v>
      </c>
      <c r="J54" s="45">
        <v>1.8998769738025771E-2</v>
      </c>
      <c r="K54" s="45">
        <v>0.25259999999999999</v>
      </c>
      <c r="N54" s="54"/>
    </row>
    <row r="55" spans="2:14" x14ac:dyDescent="0.2">
      <c r="B55">
        <v>46</v>
      </c>
      <c r="C55" s="52">
        <f t="shared" ca="1" si="3"/>
        <v>-1.0708350264882578</v>
      </c>
      <c r="D55" s="52">
        <f ca="1">S0*EXP((μ-0.5*σ*σ)*T+σ*SQRT(T)*$C55)</f>
        <v>0.47887114032800349</v>
      </c>
      <c r="E55" s="52">
        <f t="shared" ca="1" si="1"/>
        <v>5.55288596719965E-2</v>
      </c>
      <c r="F55" s="17">
        <f t="shared" ca="1" si="2"/>
        <v>1</v>
      </c>
      <c r="H55" s="17">
        <v>46</v>
      </c>
      <c r="I55" s="45">
        <v>0.67082656029639121</v>
      </c>
      <c r="J55" s="45">
        <v>1.8867965465811799E-2</v>
      </c>
      <c r="K55" s="45">
        <v>0.24340000000000001</v>
      </c>
      <c r="N55" s="54"/>
    </row>
    <row r="56" spans="2:14" x14ac:dyDescent="0.2">
      <c r="B56">
        <v>47</v>
      </c>
      <c r="C56" s="52">
        <f t="shared" ca="1" si="3"/>
        <v>0.66974372848935959</v>
      </c>
      <c r="D56" s="52">
        <f ca="1">S0*EXP((μ-0.5*σ*σ)*T+σ*SQRT(T)*$C56)</f>
        <v>0.77478386178095271</v>
      </c>
      <c r="E56" s="52">
        <f t="shared" ca="1" si="1"/>
        <v>0</v>
      </c>
      <c r="F56" s="17">
        <f t="shared" ca="1" si="2"/>
        <v>0</v>
      </c>
      <c r="H56" s="17">
        <v>47</v>
      </c>
      <c r="I56" s="45">
        <v>0.67083950571881346</v>
      </c>
      <c r="J56" s="45">
        <v>1.8807953056766129E-2</v>
      </c>
      <c r="K56" s="45">
        <v>0.2472</v>
      </c>
      <c r="N56" s="54"/>
    </row>
    <row r="57" spans="2:14" x14ac:dyDescent="0.2">
      <c r="B57">
        <v>48</v>
      </c>
      <c r="C57" s="52">
        <f t="shared" ca="1" si="3"/>
        <v>-0.60246990670979783</v>
      </c>
      <c r="D57" s="52">
        <f ca="1">S0*EXP((μ-0.5*σ*σ)*T+σ*SQRT(T)*$C57)</f>
        <v>0.54506382079195337</v>
      </c>
      <c r="E57" s="52">
        <f t="shared" ca="1" si="1"/>
        <v>0</v>
      </c>
      <c r="F57" s="17">
        <f t="shared" ca="1" si="2"/>
        <v>0</v>
      </c>
      <c r="H57" s="17">
        <v>48</v>
      </c>
      <c r="I57" s="45">
        <v>0.67036901389586334</v>
      </c>
      <c r="J57" s="45">
        <v>1.8391004217428005E-2</v>
      </c>
      <c r="K57" s="45">
        <v>0.2414</v>
      </c>
      <c r="N57" s="54"/>
    </row>
    <row r="58" spans="2:14" x14ac:dyDescent="0.2">
      <c r="B58">
        <v>49</v>
      </c>
      <c r="C58" s="52">
        <f t="shared" ca="1" si="3"/>
        <v>-1.1182109793903028</v>
      </c>
      <c r="D58" s="52">
        <f ca="1">S0*EXP((μ-0.5*σ*σ)*T+σ*SQRT(T)*$C58)</f>
        <v>0.47264060973201294</v>
      </c>
      <c r="E58" s="52">
        <f t="shared" ca="1" si="1"/>
        <v>6.1759390267987047E-2</v>
      </c>
      <c r="F58" s="17">
        <f t="shared" ca="1" si="2"/>
        <v>1</v>
      </c>
      <c r="H58" s="17">
        <v>49</v>
      </c>
      <c r="I58" s="45">
        <v>0.67022911099235449</v>
      </c>
      <c r="J58" s="45">
        <v>1.8606974741999759E-2</v>
      </c>
      <c r="K58" s="45">
        <v>0.24560000000000001</v>
      </c>
      <c r="N58" s="54"/>
    </row>
    <row r="59" spans="2:14" x14ac:dyDescent="0.2">
      <c r="B59">
        <v>50</v>
      </c>
      <c r="C59" s="52">
        <f t="shared" ca="1" si="3"/>
        <v>1.4256291729567523</v>
      </c>
      <c r="D59" s="52">
        <f ca="1">S0*EXP((μ-0.5*σ*σ)*T+σ*SQRT(T)*$C59)</f>
        <v>0.95483200631456933</v>
      </c>
      <c r="E59" s="52">
        <f t="shared" ca="1" si="1"/>
        <v>0</v>
      </c>
      <c r="F59" s="17">
        <f t="shared" ca="1" si="2"/>
        <v>0</v>
      </c>
      <c r="H59" s="17">
        <v>50</v>
      </c>
      <c r="I59" s="45">
        <v>0.67118187809236174</v>
      </c>
      <c r="J59" s="45">
        <v>1.9129678262925331E-2</v>
      </c>
      <c r="K59" s="45">
        <v>0.24759999999999999</v>
      </c>
      <c r="N59" s="54"/>
    </row>
    <row r="60" spans="2:14" x14ac:dyDescent="0.2">
      <c r="B60">
        <v>51</v>
      </c>
      <c r="C60" s="52">
        <f t="shared" ca="1" si="3"/>
        <v>-2.2520665569254028</v>
      </c>
      <c r="D60" s="52">
        <f ca="1">S0*EXP((μ-0.5*σ*σ)*T+σ*SQRT(T)*$C60)</f>
        <v>0.34546824983971458</v>
      </c>
      <c r="E60" s="52">
        <f t="shared" ca="1" si="1"/>
        <v>0.18893175016028541</v>
      </c>
      <c r="F60" s="17">
        <f t="shared" ca="1" si="2"/>
        <v>1</v>
      </c>
      <c r="H60" s="17">
        <v>51</v>
      </c>
      <c r="I60" s="45">
        <v>0.67043086383747164</v>
      </c>
      <c r="J60" s="45">
        <v>1.8431675204996223E-2</v>
      </c>
      <c r="K60" s="45">
        <v>0.2384</v>
      </c>
      <c r="N60" s="54"/>
    </row>
    <row r="61" spans="2:14" x14ac:dyDescent="0.2">
      <c r="B61">
        <v>52</v>
      </c>
      <c r="C61" s="52">
        <f t="shared" ca="1" si="3"/>
        <v>-8.6691573023222071E-2</v>
      </c>
      <c r="D61" s="52">
        <f ca="1">S0*EXP((μ-0.5*σ*σ)*T+σ*SQRT(T)*$C61)</f>
        <v>0.62859099018218567</v>
      </c>
      <c r="E61" s="52">
        <f t="shared" ca="1" si="1"/>
        <v>0</v>
      </c>
      <c r="F61" s="17">
        <f t="shared" ca="1" si="2"/>
        <v>0</v>
      </c>
      <c r="H61" s="17">
        <v>52</v>
      </c>
      <c r="I61" s="45">
        <v>0.6718556469449648</v>
      </c>
      <c r="J61" s="45">
        <v>1.9545998521521203E-2</v>
      </c>
      <c r="K61" s="45">
        <v>0.25380000000000003</v>
      </c>
      <c r="N61" s="54"/>
    </row>
    <row r="62" spans="2:14" x14ac:dyDescent="0.2">
      <c r="B62">
        <v>53</v>
      </c>
      <c r="C62" s="52">
        <f t="shared" ca="1" si="3"/>
        <v>0.9314850136615358</v>
      </c>
      <c r="D62" s="52">
        <f ca="1">S0*EXP((μ-0.5*σ*σ)*T+σ*SQRT(T)*$C62)</f>
        <v>0.83292025363207833</v>
      </c>
      <c r="E62" s="52">
        <f t="shared" ca="1" si="1"/>
        <v>0</v>
      </c>
      <c r="F62" s="17">
        <f t="shared" ca="1" si="2"/>
        <v>0</v>
      </c>
      <c r="H62" s="17">
        <v>53</v>
      </c>
      <c r="I62" s="45">
        <v>0.67066144970309938</v>
      </c>
      <c r="J62" s="45">
        <v>1.8753616745427509E-2</v>
      </c>
      <c r="K62" s="45">
        <v>0.23760000000000001</v>
      </c>
      <c r="N62" s="54"/>
    </row>
    <row r="63" spans="2:14" x14ac:dyDescent="0.2">
      <c r="B63">
        <v>54</v>
      </c>
      <c r="C63" s="52">
        <f t="shared" ca="1" si="3"/>
        <v>-0.60777418547812778</v>
      </c>
      <c r="D63" s="52">
        <f ca="1">S0*EXP((μ-0.5*σ*σ)*T+σ*SQRT(T)*$C63)</f>
        <v>0.54426519292555076</v>
      </c>
      <c r="E63" s="52">
        <f t="shared" ca="1" si="1"/>
        <v>0</v>
      </c>
      <c r="F63" s="17">
        <f t="shared" ca="1" si="2"/>
        <v>0</v>
      </c>
      <c r="H63" s="17">
        <v>54</v>
      </c>
      <c r="I63" s="45">
        <v>0.66931407068539372</v>
      </c>
      <c r="J63" s="45">
        <v>1.772567796917832E-2</v>
      </c>
      <c r="K63" s="45">
        <v>0.24579999999999999</v>
      </c>
      <c r="N63" s="54"/>
    </row>
    <row r="64" spans="2:14" x14ac:dyDescent="0.2">
      <c r="B64">
        <v>55</v>
      </c>
      <c r="C64" s="52">
        <f t="shared" ca="1" si="3"/>
        <v>3.3240014256516723E-2</v>
      </c>
      <c r="D64" s="52">
        <f ca="1">S0*EXP((μ-0.5*σ*σ)*T+σ*SQRT(T)*$C64)</f>
        <v>0.649779959136078</v>
      </c>
      <c r="E64" s="52">
        <f t="shared" ca="1" si="1"/>
        <v>0</v>
      </c>
      <c r="F64" s="17">
        <f t="shared" ca="1" si="2"/>
        <v>0</v>
      </c>
      <c r="H64" s="17">
        <v>55</v>
      </c>
      <c r="I64" s="45">
        <v>0.67183910396159563</v>
      </c>
      <c r="J64" s="45">
        <v>1.9623200384201775E-2</v>
      </c>
      <c r="K64" s="45">
        <v>0.24679999999999999</v>
      </c>
      <c r="N64" s="54"/>
    </row>
    <row r="65" spans="2:14" x14ac:dyDescent="0.2">
      <c r="B65">
        <v>56</v>
      </c>
      <c r="C65" s="52">
        <f t="shared" ca="1" si="3"/>
        <v>-1.4800998128098186E-2</v>
      </c>
      <c r="D65" s="52">
        <f ca="1">S0*EXP((μ-0.5*σ*σ)*T+σ*SQRT(T)*$C65)</f>
        <v>0.64120786286275988</v>
      </c>
      <c r="E65" s="52">
        <f t="shared" ca="1" si="1"/>
        <v>0</v>
      </c>
      <c r="F65" s="17">
        <f t="shared" ca="1" si="2"/>
        <v>0</v>
      </c>
      <c r="H65" s="17">
        <v>56</v>
      </c>
      <c r="I65" s="45">
        <v>0.66985746341106045</v>
      </c>
      <c r="J65" s="45">
        <v>1.7957678567913537E-2</v>
      </c>
      <c r="K65" s="45">
        <v>0.2412</v>
      </c>
      <c r="N65" s="54"/>
    </row>
    <row r="66" spans="2:14" x14ac:dyDescent="0.2">
      <c r="B66">
        <v>57</v>
      </c>
      <c r="C66" s="52">
        <f t="shared" ca="1" si="3"/>
        <v>0.10028687993757003</v>
      </c>
      <c r="D66" s="52">
        <f ca="1">S0*EXP((μ-0.5*σ*σ)*T+σ*SQRT(T)*$C66)</f>
        <v>0.66193523229643569</v>
      </c>
      <c r="E66" s="52">
        <f t="shared" ca="1" si="1"/>
        <v>0</v>
      </c>
      <c r="F66" s="17">
        <f t="shared" ca="1" si="2"/>
        <v>0</v>
      </c>
      <c r="H66" s="17">
        <v>57</v>
      </c>
      <c r="I66" s="45">
        <v>0.671138084588771</v>
      </c>
      <c r="J66" s="45">
        <v>1.9265788065480974E-2</v>
      </c>
      <c r="K66" s="45">
        <v>0.25</v>
      </c>
      <c r="N66" s="54"/>
    </row>
    <row r="67" spans="2:14" x14ac:dyDescent="0.2">
      <c r="B67">
        <v>58</v>
      </c>
      <c r="C67" s="52">
        <f t="shared" ca="1" si="3"/>
        <v>1.3021956979033935</v>
      </c>
      <c r="D67" s="52">
        <f ca="1">S0*EXP((μ-0.5*σ*σ)*T+σ*SQRT(T)*$C67)</f>
        <v>0.92280171953910317</v>
      </c>
      <c r="E67" s="52">
        <f t="shared" ca="1" si="1"/>
        <v>0</v>
      </c>
      <c r="F67" s="17">
        <f t="shared" ca="1" si="2"/>
        <v>0</v>
      </c>
      <c r="H67" s="17">
        <v>58</v>
      </c>
      <c r="I67" s="45">
        <v>0.67115004919838217</v>
      </c>
      <c r="J67" s="45">
        <v>1.9173094392984286E-2</v>
      </c>
      <c r="K67" s="45">
        <v>0.24940000000000001</v>
      </c>
      <c r="N67" s="54"/>
    </row>
    <row r="68" spans="2:14" x14ac:dyDescent="0.2">
      <c r="B68">
        <v>59</v>
      </c>
      <c r="C68" s="52">
        <f t="shared" ca="1" si="3"/>
        <v>-0.27727468452899245</v>
      </c>
      <c r="D68" s="52">
        <f ca="1">S0*EXP((μ-0.5*σ*σ)*T+σ*SQRT(T)*$C68)</f>
        <v>0.59633191872569591</v>
      </c>
      <c r="E68" s="52">
        <f t="shared" ca="1" si="1"/>
        <v>0</v>
      </c>
      <c r="F68" s="17">
        <f t="shared" ca="1" si="2"/>
        <v>0</v>
      </c>
      <c r="H68" s="17">
        <v>59</v>
      </c>
      <c r="I68" s="45">
        <v>0.67052882891868937</v>
      </c>
      <c r="J68" s="45">
        <v>1.8551963529801371E-2</v>
      </c>
      <c r="K68" s="45">
        <v>0.23980000000000001</v>
      </c>
      <c r="N68" s="54"/>
    </row>
    <row r="69" spans="2:14" x14ac:dyDescent="0.2">
      <c r="B69">
        <v>60</v>
      </c>
      <c r="C69" s="52">
        <f t="shared" ca="1" si="3"/>
        <v>-1.5138699787008827</v>
      </c>
      <c r="D69" s="52">
        <f ca="1">S0*EXP((μ-0.5*σ*σ)*T+σ*SQRT(T)*$C69)</f>
        <v>0.42367314686954471</v>
      </c>
      <c r="E69" s="52">
        <f t="shared" ca="1" si="1"/>
        <v>0.11072685313045527</v>
      </c>
      <c r="F69" s="17">
        <f t="shared" ca="1" si="2"/>
        <v>1</v>
      </c>
      <c r="H69" s="17">
        <v>60</v>
      </c>
      <c r="I69" s="45">
        <v>0.67211676197589043</v>
      </c>
      <c r="J69" s="45">
        <v>1.9887116291039383E-2</v>
      </c>
      <c r="K69" s="45">
        <v>0.25059999999999999</v>
      </c>
      <c r="N69" s="54"/>
    </row>
    <row r="70" spans="2:14" x14ac:dyDescent="0.2">
      <c r="B70">
        <v>61</v>
      </c>
      <c r="C70" s="52">
        <f t="shared" ca="1" si="3"/>
        <v>1.0447725365381075</v>
      </c>
      <c r="D70" s="52">
        <f ca="1">S0*EXP((μ-0.5*σ*σ)*T+σ*SQRT(T)*$C70)</f>
        <v>0.85941700507195606</v>
      </c>
      <c r="E70" s="52">
        <f t="shared" ca="1" si="1"/>
        <v>0</v>
      </c>
      <c r="F70" s="17">
        <f t="shared" ca="1" si="2"/>
        <v>0</v>
      </c>
      <c r="H70" s="17">
        <v>61</v>
      </c>
      <c r="I70" s="45">
        <v>0.67079729631762641</v>
      </c>
      <c r="J70" s="45">
        <v>1.8715359500587416E-2</v>
      </c>
      <c r="K70" s="45">
        <v>0.2402</v>
      </c>
      <c r="N70" s="54"/>
    </row>
    <row r="71" spans="2:14" x14ac:dyDescent="0.2">
      <c r="B71">
        <v>62</v>
      </c>
      <c r="C71" s="52">
        <f t="shared" ca="1" si="3"/>
        <v>0.19673225644092107</v>
      </c>
      <c r="D71" s="52">
        <f ca="1">S0*EXP((μ-0.5*σ*σ)*T+σ*SQRT(T)*$C71)</f>
        <v>0.67982020074257976</v>
      </c>
      <c r="E71" s="52">
        <f t="shared" ca="1" si="1"/>
        <v>0</v>
      </c>
      <c r="F71" s="17">
        <f t="shared" ca="1" si="2"/>
        <v>0</v>
      </c>
      <c r="H71" s="17">
        <v>62</v>
      </c>
      <c r="I71" s="45">
        <v>0.67089732592810791</v>
      </c>
      <c r="J71" s="45">
        <v>1.8874240326150482E-2</v>
      </c>
      <c r="K71" s="45">
        <v>0.24260000000000001</v>
      </c>
      <c r="N71" s="54"/>
    </row>
    <row r="72" spans="2:14" x14ac:dyDescent="0.2">
      <c r="B72">
        <v>63</v>
      </c>
      <c r="C72" s="52">
        <f t="shared" ca="1" si="3"/>
        <v>2.9265860894570368</v>
      </c>
      <c r="D72" s="52">
        <f ca="1">S0*EXP((μ-0.5*σ*σ)*T+σ*SQRT(T)*$C72)</f>
        <v>1.4458442814250865</v>
      </c>
      <c r="E72" s="52">
        <f t="shared" ca="1" si="1"/>
        <v>0</v>
      </c>
      <c r="F72" s="17">
        <f t="shared" ca="1" si="2"/>
        <v>0</v>
      </c>
      <c r="H72" s="17">
        <v>63</v>
      </c>
      <c r="I72" s="45">
        <v>0.6701109667668731</v>
      </c>
      <c r="J72" s="45">
        <v>1.8119565172825897E-2</v>
      </c>
      <c r="K72" s="45">
        <v>0.23880000000000001</v>
      </c>
      <c r="N72" s="54"/>
    </row>
    <row r="73" spans="2:14" x14ac:dyDescent="0.2">
      <c r="B73">
        <v>64</v>
      </c>
      <c r="C73" s="52">
        <f t="shared" ca="1" si="3"/>
        <v>1.236872512355248</v>
      </c>
      <c r="D73" s="52">
        <f ca="1">S0*EXP((μ-0.5*σ*σ)*T+σ*SQRT(T)*$C73)</f>
        <v>0.90628781967426908</v>
      </c>
      <c r="E73" s="52">
        <f t="shared" ca="1" si="1"/>
        <v>0</v>
      </c>
      <c r="F73" s="17">
        <f t="shared" ca="1" si="2"/>
        <v>0</v>
      </c>
      <c r="H73" s="17">
        <v>64</v>
      </c>
      <c r="I73" s="45">
        <v>0.67145142689607007</v>
      </c>
      <c r="J73" s="45">
        <v>1.9019557936653983E-2</v>
      </c>
      <c r="K73" s="45">
        <v>0.2414</v>
      </c>
      <c r="N73" s="54"/>
    </row>
    <row r="74" spans="2:14" x14ac:dyDescent="0.2">
      <c r="B74">
        <v>65</v>
      </c>
      <c r="C74" s="52">
        <f t="shared" ca="1" si="3"/>
        <v>0.5744052928589275</v>
      </c>
      <c r="D74" s="52">
        <f ca="1">S0*EXP((μ-0.5*σ*σ)*T+σ*SQRT(T)*$C74)</f>
        <v>0.75463143091796792</v>
      </c>
      <c r="E74" s="52">
        <f t="shared" ref="E74:E137" ca="1" si="4">MAX(0,CP*(D74-K))</f>
        <v>0</v>
      </c>
      <c r="F74" s="17">
        <f t="shared" ref="F74:F137" ca="1" si="5">(CP*(D74-K)&gt;0)*1</f>
        <v>0</v>
      </c>
      <c r="H74" s="17">
        <v>65</v>
      </c>
      <c r="I74" s="45">
        <v>0.67129035461595965</v>
      </c>
      <c r="J74" s="45">
        <v>1.9271199647690865E-2</v>
      </c>
      <c r="K74" s="45">
        <v>0.24560000000000001</v>
      </c>
      <c r="N74" s="54"/>
    </row>
    <row r="75" spans="2:14" x14ac:dyDescent="0.2">
      <c r="B75">
        <v>66</v>
      </c>
      <c r="C75" s="52">
        <f t="shared" ref="C75:C138" ca="1" si="6">_xlfn.NORM.S.INV(RAND())</f>
        <v>0.34968544322986567</v>
      </c>
      <c r="D75" s="52">
        <f ca="1">S0*EXP((μ-0.5*σ*σ)*T+σ*SQRT(T)*$C75)</f>
        <v>0.70918015128078371</v>
      </c>
      <c r="E75" s="52">
        <f t="shared" ca="1" si="4"/>
        <v>0</v>
      </c>
      <c r="F75" s="17">
        <f t="shared" ca="1" si="5"/>
        <v>0</v>
      </c>
      <c r="H75" s="17">
        <v>66</v>
      </c>
      <c r="I75" s="45">
        <v>0.67053139019654417</v>
      </c>
      <c r="J75" s="45">
        <v>1.8801320419122768E-2</v>
      </c>
      <c r="K75" s="45">
        <v>0.2414</v>
      </c>
      <c r="N75" s="54"/>
    </row>
    <row r="76" spans="2:14" x14ac:dyDescent="0.2">
      <c r="B76">
        <v>67</v>
      </c>
      <c r="C76" s="52">
        <f t="shared" ca="1" si="6"/>
        <v>1.3809044199982445</v>
      </c>
      <c r="D76" s="52">
        <f ca="1">S0*EXP((μ-0.5*σ*σ)*T+σ*SQRT(T)*$C76)</f>
        <v>0.94309973403167358</v>
      </c>
      <c r="E76" s="52">
        <f t="shared" ca="1" si="4"/>
        <v>0</v>
      </c>
      <c r="F76" s="17">
        <f t="shared" ca="1" si="5"/>
        <v>0</v>
      </c>
      <c r="H76" s="17">
        <v>67</v>
      </c>
      <c r="I76" s="45">
        <v>0.67078146329432198</v>
      </c>
      <c r="J76" s="45">
        <v>1.884809053222302E-2</v>
      </c>
      <c r="K76" s="45">
        <v>0.25280000000000002</v>
      </c>
      <c r="N76" s="54"/>
    </row>
    <row r="77" spans="2:14" x14ac:dyDescent="0.2">
      <c r="B77">
        <v>68</v>
      </c>
      <c r="C77" s="52">
        <f t="shared" ca="1" si="6"/>
        <v>-0.43975443816991944</v>
      </c>
      <c r="D77" s="52">
        <f ca="1">S0*EXP((μ-0.5*σ*σ)*T+σ*SQRT(T)*$C77)</f>
        <v>0.57014045117776002</v>
      </c>
      <c r="E77" s="52">
        <f t="shared" ca="1" si="4"/>
        <v>0</v>
      </c>
      <c r="F77" s="17">
        <f t="shared" ca="1" si="5"/>
        <v>0</v>
      </c>
      <c r="H77" s="17">
        <v>68</v>
      </c>
      <c r="I77" s="45">
        <v>0.66983790242672958</v>
      </c>
      <c r="J77" s="45">
        <v>1.8246279244382879E-2</v>
      </c>
      <c r="K77" s="45">
        <v>0.2452</v>
      </c>
      <c r="N77" s="54"/>
    </row>
    <row r="78" spans="2:14" x14ac:dyDescent="0.2">
      <c r="B78">
        <v>69</v>
      </c>
      <c r="C78" s="52">
        <f t="shared" ca="1" si="6"/>
        <v>0.5248349884307647</v>
      </c>
      <c r="D78" s="52">
        <f ca="1">S0*EXP((μ-0.5*σ*σ)*T+σ*SQRT(T)*$C78)</f>
        <v>0.7443613595664389</v>
      </c>
      <c r="E78" s="52">
        <f t="shared" ca="1" si="4"/>
        <v>0</v>
      </c>
      <c r="F78" s="17">
        <f t="shared" ca="1" si="5"/>
        <v>0</v>
      </c>
      <c r="H78" s="17">
        <v>69</v>
      </c>
      <c r="I78" s="45">
        <v>0.6697502695057358</v>
      </c>
      <c r="J78" s="45">
        <v>1.8036494418901608E-2</v>
      </c>
      <c r="K78" s="45">
        <v>0.23860000000000001</v>
      </c>
      <c r="N78" s="54"/>
    </row>
    <row r="79" spans="2:14" x14ac:dyDescent="0.2">
      <c r="B79">
        <v>70</v>
      </c>
      <c r="C79" s="52">
        <f t="shared" ca="1" si="6"/>
        <v>-0.32743401958839741</v>
      </c>
      <c r="D79" s="52">
        <f ca="1">S0*EXP((μ-0.5*σ*σ)*T+σ*SQRT(T)*$C79)</f>
        <v>0.58812043692115379</v>
      </c>
      <c r="E79" s="52">
        <f t="shared" ca="1" si="4"/>
        <v>0</v>
      </c>
      <c r="F79" s="17">
        <f t="shared" ca="1" si="5"/>
        <v>0</v>
      </c>
      <c r="H79" s="17">
        <v>70</v>
      </c>
      <c r="I79" s="45">
        <v>0.67159461498301354</v>
      </c>
      <c r="J79" s="45">
        <v>1.9416451294303961E-2</v>
      </c>
      <c r="K79" s="45">
        <v>0.25059999999999999</v>
      </c>
      <c r="N79" s="54"/>
    </row>
    <row r="80" spans="2:14" x14ac:dyDescent="0.2">
      <c r="B80">
        <v>71</v>
      </c>
      <c r="C80" s="52">
        <f t="shared" ca="1" si="6"/>
        <v>-1.9010039631945792</v>
      </c>
      <c r="D80" s="52">
        <f ca="1">S0*EXP((μ-0.5*σ*σ)*T+σ*SQRT(T)*$C80)</f>
        <v>0.38067494860787449</v>
      </c>
      <c r="E80" s="52">
        <f t="shared" ca="1" si="4"/>
        <v>0.1537250513921255</v>
      </c>
      <c r="F80" s="17">
        <f t="shared" ca="1" si="5"/>
        <v>1</v>
      </c>
      <c r="H80" s="17">
        <v>71</v>
      </c>
      <c r="I80" s="45">
        <v>0.67014221468783308</v>
      </c>
      <c r="J80" s="45">
        <v>1.8601037216503129E-2</v>
      </c>
      <c r="K80" s="45">
        <v>0.24959999999999999</v>
      </c>
      <c r="N80" s="54"/>
    </row>
    <row r="81" spans="2:14" x14ac:dyDescent="0.2">
      <c r="B81">
        <v>72</v>
      </c>
      <c r="C81" s="52">
        <f t="shared" ca="1" si="6"/>
        <v>0.3183273803441255</v>
      </c>
      <c r="D81" s="52">
        <f ca="1">S0*EXP((μ-0.5*σ*σ)*T+σ*SQRT(T)*$C81)</f>
        <v>0.70305926989307033</v>
      </c>
      <c r="E81" s="52">
        <f t="shared" ca="1" si="4"/>
        <v>0</v>
      </c>
      <c r="F81" s="17">
        <f t="shared" ca="1" si="5"/>
        <v>0</v>
      </c>
      <c r="H81" s="17">
        <v>72</v>
      </c>
      <c r="I81" s="45">
        <v>0.67055584546056257</v>
      </c>
      <c r="J81" s="45">
        <v>1.8595332666434813E-2</v>
      </c>
      <c r="K81" s="45">
        <v>0.24199999999999999</v>
      </c>
      <c r="N81" s="54"/>
    </row>
    <row r="82" spans="2:14" x14ac:dyDescent="0.2">
      <c r="B82">
        <v>73</v>
      </c>
      <c r="C82" s="52">
        <f t="shared" ca="1" si="6"/>
        <v>-1.2349889496896935</v>
      </c>
      <c r="D82" s="52">
        <f ca="1">S0*EXP((μ-0.5*σ*σ)*T+σ*SQRT(T)*$C82)</f>
        <v>0.45762682600264931</v>
      </c>
      <c r="E82" s="52">
        <f t="shared" ca="1" si="4"/>
        <v>7.6773173997350674E-2</v>
      </c>
      <c r="F82" s="17">
        <f t="shared" ca="1" si="5"/>
        <v>1</v>
      </c>
      <c r="H82" s="17">
        <v>73</v>
      </c>
      <c r="I82" s="45">
        <v>0.67100257361676796</v>
      </c>
      <c r="J82" s="45">
        <v>1.9193430314827332E-2</v>
      </c>
      <c r="K82" s="45">
        <v>0.252</v>
      </c>
      <c r="N82" s="54"/>
    </row>
    <row r="83" spans="2:14" x14ac:dyDescent="0.2">
      <c r="B83">
        <v>74</v>
      </c>
      <c r="C83" s="52">
        <f t="shared" ca="1" si="6"/>
        <v>-6.7407850238742448E-2</v>
      </c>
      <c r="D83" s="52">
        <f ca="1">S0*EXP((μ-0.5*σ*σ)*T+σ*SQRT(T)*$C83)</f>
        <v>0.63195073430573223</v>
      </c>
      <c r="E83" s="52">
        <f t="shared" ca="1" si="4"/>
        <v>0</v>
      </c>
      <c r="F83" s="17">
        <f t="shared" ca="1" si="5"/>
        <v>0</v>
      </c>
      <c r="H83" s="17">
        <v>74</v>
      </c>
      <c r="I83" s="45">
        <v>0.67057717380016324</v>
      </c>
      <c r="J83" s="45">
        <v>1.8811109560321872E-2</v>
      </c>
      <c r="K83" s="45">
        <v>0.25</v>
      </c>
      <c r="N83" s="54"/>
    </row>
    <row r="84" spans="2:14" x14ac:dyDescent="0.2">
      <c r="B84">
        <v>75</v>
      </c>
      <c r="C84" s="52">
        <f t="shared" ca="1" si="6"/>
        <v>4.9103648906313521E-3</v>
      </c>
      <c r="D84" s="52">
        <f ca="1">S0*EXP((μ-0.5*σ*σ)*T+σ*SQRT(T)*$C84)</f>
        <v>0.64471125184617672</v>
      </c>
      <c r="E84" s="52">
        <f t="shared" ca="1" si="4"/>
        <v>0</v>
      </c>
      <c r="F84" s="17">
        <f t="shared" ca="1" si="5"/>
        <v>0</v>
      </c>
      <c r="H84" s="17">
        <v>75</v>
      </c>
      <c r="I84" s="45">
        <v>0.67092510034719066</v>
      </c>
      <c r="J84" s="45">
        <v>1.8737995837193312E-2</v>
      </c>
      <c r="K84" s="45">
        <v>0.24440000000000001</v>
      </c>
      <c r="N84" s="54"/>
    </row>
    <row r="85" spans="2:14" x14ac:dyDescent="0.2">
      <c r="B85">
        <v>76</v>
      </c>
      <c r="C85" s="52">
        <f t="shared" ca="1" si="6"/>
        <v>-2.0859638052045115</v>
      </c>
      <c r="D85" s="52">
        <f ca="1">S0*EXP((μ-0.5*σ*σ)*T+σ*SQRT(T)*$C85)</f>
        <v>0.36170065280930597</v>
      </c>
      <c r="E85" s="52">
        <f t="shared" ca="1" si="4"/>
        <v>0.17269934719069402</v>
      </c>
      <c r="F85" s="17">
        <f t="shared" ca="1" si="5"/>
        <v>1</v>
      </c>
      <c r="H85" s="17">
        <v>76</v>
      </c>
      <c r="I85" s="45">
        <v>0.6697982446254469</v>
      </c>
      <c r="J85" s="45">
        <v>1.8262025788511018E-2</v>
      </c>
      <c r="K85" s="45">
        <v>0.24299999999999999</v>
      </c>
      <c r="N85" s="54"/>
    </row>
    <row r="86" spans="2:14" x14ac:dyDescent="0.2">
      <c r="B86">
        <v>77</v>
      </c>
      <c r="C86" s="52">
        <f t="shared" ca="1" si="6"/>
        <v>1.3294617386675147</v>
      </c>
      <c r="D86" s="52">
        <f ca="1">S0*EXP((μ-0.5*σ*σ)*T+σ*SQRT(T)*$C86)</f>
        <v>0.92978335728913819</v>
      </c>
      <c r="E86" s="52">
        <f t="shared" ca="1" si="4"/>
        <v>0</v>
      </c>
      <c r="F86" s="17">
        <f t="shared" ca="1" si="5"/>
        <v>0</v>
      </c>
      <c r="H86" s="17">
        <v>77</v>
      </c>
      <c r="I86" s="45">
        <v>0.67218089777139567</v>
      </c>
      <c r="J86" s="45">
        <v>1.9419754624451741E-2</v>
      </c>
      <c r="K86" s="45">
        <v>0.24840000000000001</v>
      </c>
      <c r="N86" s="54"/>
    </row>
    <row r="87" spans="2:14" x14ac:dyDescent="0.2">
      <c r="B87">
        <v>78</v>
      </c>
      <c r="C87" s="52">
        <f t="shared" ca="1" si="6"/>
        <v>0.26825009407392758</v>
      </c>
      <c r="D87" s="52">
        <f ca="1">S0*EXP((μ-0.5*σ*σ)*T+σ*SQRT(T)*$C87)</f>
        <v>0.69339388067860064</v>
      </c>
      <c r="E87" s="52">
        <f t="shared" ca="1" si="4"/>
        <v>0</v>
      </c>
      <c r="F87" s="17">
        <f t="shared" ca="1" si="5"/>
        <v>0</v>
      </c>
      <c r="H87" s="17">
        <v>78</v>
      </c>
      <c r="I87" s="45">
        <v>0.6712463935835693</v>
      </c>
      <c r="J87" s="45">
        <v>1.9304582250730829E-2</v>
      </c>
      <c r="K87" s="45">
        <v>0.24979999999999999</v>
      </c>
      <c r="N87" s="54"/>
    </row>
    <row r="88" spans="2:14" x14ac:dyDescent="0.2">
      <c r="B88">
        <v>79</v>
      </c>
      <c r="C88" s="52">
        <f t="shared" ca="1" si="6"/>
        <v>0.61316491531559381</v>
      </c>
      <c r="D88" s="52">
        <f ca="1">S0*EXP((μ-0.5*σ*σ)*T+σ*SQRT(T)*$C88)</f>
        <v>0.76276033939586707</v>
      </c>
      <c r="E88" s="52">
        <f t="shared" ca="1" si="4"/>
        <v>0</v>
      </c>
      <c r="F88" s="17">
        <f t="shared" ca="1" si="5"/>
        <v>0</v>
      </c>
      <c r="H88" s="17">
        <v>79</v>
      </c>
      <c r="I88" s="45">
        <v>0.67233535393189159</v>
      </c>
      <c r="J88" s="45">
        <v>2.0048132114282757E-2</v>
      </c>
      <c r="K88" s="45">
        <v>0.25240000000000001</v>
      </c>
      <c r="N88" s="54"/>
    </row>
    <row r="89" spans="2:14" x14ac:dyDescent="0.2">
      <c r="B89">
        <v>80</v>
      </c>
      <c r="C89" s="52">
        <f t="shared" ca="1" si="6"/>
        <v>-1.4379434695993867</v>
      </c>
      <c r="D89" s="52">
        <f ca="1">S0*EXP((μ-0.5*σ*σ)*T+σ*SQRT(T)*$C89)</f>
        <v>0.43265940876369147</v>
      </c>
      <c r="E89" s="52">
        <f t="shared" ca="1" si="4"/>
        <v>0.10174059123630852</v>
      </c>
      <c r="F89" s="17">
        <f t="shared" ca="1" si="5"/>
        <v>1</v>
      </c>
      <c r="H89" s="17">
        <v>80</v>
      </c>
      <c r="I89" s="45">
        <v>0.67079824254344989</v>
      </c>
      <c r="J89" s="45">
        <v>1.8918169163624269E-2</v>
      </c>
      <c r="K89" s="45">
        <v>0.24260000000000001</v>
      </c>
      <c r="N89" s="54"/>
    </row>
    <row r="90" spans="2:14" x14ac:dyDescent="0.2">
      <c r="B90">
        <v>81</v>
      </c>
      <c r="C90" s="52">
        <f t="shared" ca="1" si="6"/>
        <v>-0.7372323515429321</v>
      </c>
      <c r="D90" s="52">
        <f ca="1">S0*EXP((μ-0.5*σ*σ)*T+σ*SQRT(T)*$C90)</f>
        <v>0.52513226746767872</v>
      </c>
      <c r="E90" s="52">
        <f t="shared" ca="1" si="4"/>
        <v>9.2677325323212711E-3</v>
      </c>
      <c r="F90" s="17">
        <f t="shared" ca="1" si="5"/>
        <v>1</v>
      </c>
      <c r="H90" s="17">
        <v>81</v>
      </c>
      <c r="I90" s="45">
        <v>0.66909058291691459</v>
      </c>
      <c r="J90" s="45">
        <v>1.7624043860377782E-2</v>
      </c>
      <c r="K90" s="45">
        <v>0.23319999999999999</v>
      </c>
      <c r="N90" s="54"/>
    </row>
    <row r="91" spans="2:14" x14ac:dyDescent="0.2">
      <c r="B91">
        <v>82</v>
      </c>
      <c r="C91" s="52">
        <f t="shared" ca="1" si="6"/>
        <v>-1.8655811085335501</v>
      </c>
      <c r="D91" s="52">
        <f ca="1">S0*EXP((μ-0.5*σ*σ)*T+σ*SQRT(T)*$C91)</f>
        <v>0.38442083864268817</v>
      </c>
      <c r="E91" s="52">
        <f t="shared" ca="1" si="4"/>
        <v>0.14997916135731182</v>
      </c>
      <c r="F91" s="17">
        <f t="shared" ca="1" si="5"/>
        <v>1</v>
      </c>
      <c r="H91" s="17">
        <v>82</v>
      </c>
      <c r="I91" s="45">
        <v>0.67068051940143769</v>
      </c>
      <c r="J91" s="45">
        <v>1.8914805280316225E-2</v>
      </c>
      <c r="K91" s="45">
        <v>0.24759999999999999</v>
      </c>
      <c r="N91" s="54"/>
    </row>
    <row r="92" spans="2:14" x14ac:dyDescent="0.2">
      <c r="B92">
        <v>83</v>
      </c>
      <c r="C92" s="52">
        <f t="shared" ca="1" si="6"/>
        <v>0.88698002145332877</v>
      </c>
      <c r="D92" s="52">
        <f ca="1">S0*EXP((μ-0.5*σ*σ)*T+σ*SQRT(T)*$C92)</f>
        <v>0.82273592203552459</v>
      </c>
      <c r="E92" s="52">
        <f t="shared" ca="1" si="4"/>
        <v>0</v>
      </c>
      <c r="F92" s="17">
        <f t="shared" ca="1" si="5"/>
        <v>0</v>
      </c>
      <c r="H92" s="17">
        <v>83</v>
      </c>
      <c r="I92" s="45">
        <v>0.67101387477621888</v>
      </c>
      <c r="J92" s="45">
        <v>1.9291519272844747E-2</v>
      </c>
      <c r="K92" s="45">
        <v>0.25319999999999998</v>
      </c>
      <c r="N92" s="54"/>
    </row>
    <row r="93" spans="2:14" x14ac:dyDescent="0.2">
      <c r="B93">
        <v>84</v>
      </c>
      <c r="C93" s="52">
        <f t="shared" ca="1" si="6"/>
        <v>-0.40902156980229265</v>
      </c>
      <c r="D93" s="52">
        <f ca="1">S0*EXP((μ-0.5*σ*σ)*T+σ*SQRT(T)*$C93)</f>
        <v>0.57500474911023503</v>
      </c>
      <c r="E93" s="52">
        <f t="shared" ca="1" si="4"/>
        <v>0</v>
      </c>
      <c r="F93" s="17">
        <f t="shared" ca="1" si="5"/>
        <v>0</v>
      </c>
      <c r="H93" s="17">
        <v>84</v>
      </c>
      <c r="I93" s="45">
        <v>0.67010422387222401</v>
      </c>
      <c r="J93" s="45">
        <v>1.8388530905776673E-2</v>
      </c>
      <c r="K93" s="45">
        <v>0.2336</v>
      </c>
      <c r="N93" s="54"/>
    </row>
    <row r="94" spans="2:14" x14ac:dyDescent="0.2">
      <c r="B94">
        <v>85</v>
      </c>
      <c r="C94" s="52">
        <f t="shared" ca="1" si="6"/>
        <v>-0.93244974980922557</v>
      </c>
      <c r="D94" s="52">
        <f ca="1">S0*EXP((μ-0.5*σ*σ)*T+σ*SQRT(T)*$C94)</f>
        <v>0.49754486473755555</v>
      </c>
      <c r="E94" s="52">
        <f t="shared" ca="1" si="4"/>
        <v>3.6855135262444438E-2</v>
      </c>
      <c r="F94" s="17">
        <f t="shared" ca="1" si="5"/>
        <v>1</v>
      </c>
      <c r="H94" s="17">
        <v>85</v>
      </c>
      <c r="I94" s="45">
        <v>0.67227074031642464</v>
      </c>
      <c r="J94" s="45">
        <v>1.9713622237100929E-2</v>
      </c>
      <c r="K94" s="45">
        <v>0.25359999999999999</v>
      </c>
      <c r="N94" s="54"/>
    </row>
    <row r="95" spans="2:14" x14ac:dyDescent="0.2">
      <c r="B95">
        <v>86</v>
      </c>
      <c r="C95" s="52">
        <f t="shared" ca="1" si="6"/>
        <v>1.3423384880708493</v>
      </c>
      <c r="D95" s="52">
        <f ca="1">S0*EXP((μ-0.5*σ*σ)*T+σ*SQRT(T)*$C95)</f>
        <v>0.93309886704546963</v>
      </c>
      <c r="E95" s="52">
        <f t="shared" ca="1" si="4"/>
        <v>0</v>
      </c>
      <c r="F95" s="17">
        <f t="shared" ca="1" si="5"/>
        <v>0</v>
      </c>
      <c r="H95" s="17">
        <v>86</v>
      </c>
      <c r="I95" s="45">
        <v>0.6726151117433522</v>
      </c>
      <c r="J95" s="45">
        <v>2.0455981589535512E-2</v>
      </c>
      <c r="K95" s="45">
        <v>0.25979999999999998</v>
      </c>
      <c r="N95" s="54"/>
    </row>
    <row r="96" spans="2:14" x14ac:dyDescent="0.2">
      <c r="B96">
        <v>87</v>
      </c>
      <c r="C96" s="52">
        <f t="shared" ca="1" si="6"/>
        <v>0.34425802544283857</v>
      </c>
      <c r="D96" s="52">
        <f ca="1">S0*EXP((μ-0.5*σ*σ)*T+σ*SQRT(T)*$C96)</f>
        <v>0.70811695561143062</v>
      </c>
      <c r="E96" s="52">
        <f t="shared" ca="1" si="4"/>
        <v>0</v>
      </c>
      <c r="F96" s="17">
        <f t="shared" ca="1" si="5"/>
        <v>0</v>
      </c>
      <c r="H96" s="17">
        <v>87</v>
      </c>
      <c r="I96" s="45">
        <v>0.6716363750563723</v>
      </c>
      <c r="J96" s="45">
        <v>1.933910114422158E-2</v>
      </c>
      <c r="K96" s="45">
        <v>0.25159999999999999</v>
      </c>
      <c r="N96" s="54"/>
    </row>
    <row r="97" spans="2:14" x14ac:dyDescent="0.2">
      <c r="B97">
        <v>88</v>
      </c>
      <c r="C97" s="52">
        <f t="shared" ca="1" si="6"/>
        <v>-0.65943478686943557</v>
      </c>
      <c r="D97" s="52">
        <f ca="1">S0*EXP((μ-0.5*σ*σ)*T+σ*SQRT(T)*$C97)</f>
        <v>0.53654795619334805</v>
      </c>
      <c r="E97" s="52">
        <f t="shared" ca="1" si="4"/>
        <v>0</v>
      </c>
      <c r="F97" s="17">
        <f t="shared" ca="1" si="5"/>
        <v>0</v>
      </c>
      <c r="H97" s="17">
        <v>88</v>
      </c>
      <c r="I97" s="45">
        <v>0.67084585335071556</v>
      </c>
      <c r="J97" s="45">
        <v>1.894779464156161E-2</v>
      </c>
      <c r="K97" s="45">
        <v>0.249</v>
      </c>
      <c r="N97" s="54"/>
    </row>
    <row r="98" spans="2:14" x14ac:dyDescent="0.2">
      <c r="B98">
        <v>89</v>
      </c>
      <c r="C98" s="52">
        <f t="shared" ca="1" si="6"/>
        <v>0.30292079682948475</v>
      </c>
      <c r="D98" s="52">
        <f ca="1">S0*EXP((μ-0.5*σ*σ)*T+σ*SQRT(T)*$C98)</f>
        <v>0.70007139143445341</v>
      </c>
      <c r="E98" s="52">
        <f t="shared" ca="1" si="4"/>
        <v>0</v>
      </c>
      <c r="F98" s="17">
        <f t="shared" ca="1" si="5"/>
        <v>0</v>
      </c>
      <c r="H98" s="17">
        <v>89</v>
      </c>
      <c r="I98" s="45">
        <v>0.67062012101148283</v>
      </c>
      <c r="J98" s="45">
        <v>1.8867223145098883E-2</v>
      </c>
      <c r="K98" s="45">
        <v>0.246</v>
      </c>
      <c r="N98" s="54"/>
    </row>
    <row r="99" spans="2:14" x14ac:dyDescent="0.2">
      <c r="B99">
        <v>90</v>
      </c>
      <c r="C99" s="52">
        <f t="shared" ca="1" si="6"/>
        <v>0.19366044612847239</v>
      </c>
      <c r="D99" s="52">
        <f ca="1">S0*EXP((μ-0.5*σ*σ)*T+σ*SQRT(T)*$C99)</f>
        <v>0.67924317763654052</v>
      </c>
      <c r="E99" s="52">
        <f t="shared" ca="1" si="4"/>
        <v>0</v>
      </c>
      <c r="F99" s="17">
        <f t="shared" ca="1" si="5"/>
        <v>0</v>
      </c>
      <c r="H99" s="17">
        <v>90</v>
      </c>
      <c r="I99" s="45">
        <v>0.670354391117163</v>
      </c>
      <c r="J99" s="45">
        <v>1.869427903342645E-2</v>
      </c>
      <c r="K99" s="45">
        <v>0.24</v>
      </c>
      <c r="N99" s="54"/>
    </row>
    <row r="100" spans="2:14" x14ac:dyDescent="0.2">
      <c r="B100">
        <v>91</v>
      </c>
      <c r="C100" s="52">
        <f t="shared" ca="1" si="6"/>
        <v>-1.0840333039386558</v>
      </c>
      <c r="D100" s="52">
        <f ca="1">S0*EXP((μ-0.5*σ*σ)*T+σ*SQRT(T)*$C100)</f>
        <v>0.47712719432504169</v>
      </c>
      <c r="E100" s="52">
        <f t="shared" ca="1" si="4"/>
        <v>5.7272805674958294E-2</v>
      </c>
      <c r="F100" s="17">
        <f t="shared" ca="1" si="5"/>
        <v>1</v>
      </c>
      <c r="H100" s="17">
        <v>91</v>
      </c>
      <c r="I100" s="45">
        <v>0.67052891937837644</v>
      </c>
      <c r="J100" s="45">
        <v>1.8753952815155926E-2</v>
      </c>
      <c r="K100" s="45">
        <v>0.25159999999999999</v>
      </c>
      <c r="N100" s="54"/>
    </row>
    <row r="101" spans="2:14" x14ac:dyDescent="0.2">
      <c r="B101">
        <v>92</v>
      </c>
      <c r="C101" s="52">
        <f t="shared" ca="1" si="6"/>
        <v>-1.2781653362125955</v>
      </c>
      <c r="D101" s="52">
        <f ca="1">S0*EXP((μ-0.5*σ*σ)*T+σ*SQRT(T)*$C101)</f>
        <v>0.45219735225559737</v>
      </c>
      <c r="E101" s="52">
        <f t="shared" ca="1" si="4"/>
        <v>8.2202647744402613E-2</v>
      </c>
      <c r="F101" s="17">
        <f t="shared" ca="1" si="5"/>
        <v>1</v>
      </c>
      <c r="H101" s="17">
        <v>92</v>
      </c>
      <c r="I101" s="45">
        <v>0.67064211487704317</v>
      </c>
      <c r="J101" s="45">
        <v>1.8991273782945642E-2</v>
      </c>
      <c r="K101" s="45">
        <v>0.24679999999999999</v>
      </c>
      <c r="N101" s="54"/>
    </row>
    <row r="102" spans="2:14" x14ac:dyDescent="0.2">
      <c r="B102">
        <v>93</v>
      </c>
      <c r="C102" s="52">
        <f t="shared" ca="1" si="6"/>
        <v>-0.35194168278816834</v>
      </c>
      <c r="D102" s="52">
        <f ca="1">S0*EXP((μ-0.5*σ*σ)*T+σ*SQRT(T)*$C102)</f>
        <v>0.58414955460417117</v>
      </c>
      <c r="E102" s="52">
        <f t="shared" ca="1" si="4"/>
        <v>0</v>
      </c>
      <c r="F102" s="17">
        <f t="shared" ca="1" si="5"/>
        <v>0</v>
      </c>
      <c r="H102" s="17">
        <v>93</v>
      </c>
      <c r="I102" s="45">
        <v>0.67120054954945585</v>
      </c>
      <c r="J102" s="45">
        <v>1.9066317643742517E-2</v>
      </c>
      <c r="K102" s="45">
        <v>0.251</v>
      </c>
      <c r="N102" s="54"/>
    </row>
    <row r="103" spans="2:14" x14ac:dyDescent="0.2">
      <c r="B103">
        <v>94</v>
      </c>
      <c r="C103" s="52">
        <f t="shared" ca="1" si="6"/>
        <v>0.69943117762242413</v>
      </c>
      <c r="D103" s="52">
        <f ca="1">S0*EXP((μ-0.5*σ*σ)*T+σ*SQRT(T)*$C103)</f>
        <v>0.78116834610346542</v>
      </c>
      <c r="E103" s="52">
        <f t="shared" ca="1" si="4"/>
        <v>0</v>
      </c>
      <c r="F103" s="17">
        <f t="shared" ca="1" si="5"/>
        <v>0</v>
      </c>
      <c r="H103" s="17">
        <v>94</v>
      </c>
      <c r="I103" s="45">
        <v>0.67051043503551622</v>
      </c>
      <c r="J103" s="45">
        <v>1.8770354305313475E-2</v>
      </c>
      <c r="K103" s="45">
        <v>0.2462</v>
      </c>
      <c r="N103" s="54"/>
    </row>
    <row r="104" spans="2:14" x14ac:dyDescent="0.2">
      <c r="B104">
        <v>95</v>
      </c>
      <c r="C104" s="52">
        <f t="shared" ca="1" si="6"/>
        <v>1.2501768345561581</v>
      </c>
      <c r="D104" s="52">
        <f ca="1">S0*EXP((μ-0.5*σ*σ)*T+σ*SQRT(T)*$C104)</f>
        <v>0.90962705384918829</v>
      </c>
      <c r="E104" s="52">
        <f t="shared" ca="1" si="4"/>
        <v>0</v>
      </c>
      <c r="F104" s="17">
        <f t="shared" ca="1" si="5"/>
        <v>0</v>
      </c>
      <c r="H104" s="17">
        <v>95</v>
      </c>
      <c r="I104" s="45">
        <v>0.67128927116846615</v>
      </c>
      <c r="J104" s="45">
        <v>1.9335072381427034E-2</v>
      </c>
      <c r="K104" s="45">
        <v>0.24840000000000001</v>
      </c>
      <c r="N104" s="54"/>
    </row>
    <row r="105" spans="2:14" x14ac:dyDescent="0.2">
      <c r="B105">
        <v>96</v>
      </c>
      <c r="C105" s="52">
        <f t="shared" ca="1" si="6"/>
        <v>-0.2068716916890927</v>
      </c>
      <c r="D105" s="52">
        <f ca="1">S0*EXP((μ-0.5*σ*σ)*T+σ*SQRT(T)*$C105)</f>
        <v>0.60805120604916019</v>
      </c>
      <c r="E105" s="52">
        <f t="shared" ca="1" si="4"/>
        <v>0</v>
      </c>
      <c r="F105" s="17">
        <f t="shared" ca="1" si="5"/>
        <v>0</v>
      </c>
      <c r="H105" s="17">
        <v>96</v>
      </c>
      <c r="I105" s="45">
        <v>0.67035224615939382</v>
      </c>
      <c r="J105" s="45">
        <v>1.864617858857693E-2</v>
      </c>
      <c r="K105" s="45">
        <v>0.248</v>
      </c>
      <c r="N105" s="54"/>
    </row>
    <row r="106" spans="2:14" x14ac:dyDescent="0.2">
      <c r="B106">
        <v>97</v>
      </c>
      <c r="C106" s="52">
        <f t="shared" ca="1" si="6"/>
        <v>1.7104654926843155</v>
      </c>
      <c r="D106" s="52">
        <f ca="1">S0*EXP((μ-0.5*σ*σ)*T+σ*SQRT(T)*$C106)</f>
        <v>1.033052649142854</v>
      </c>
      <c r="E106" s="52">
        <f t="shared" ca="1" si="4"/>
        <v>0</v>
      </c>
      <c r="F106" s="17">
        <f t="shared" ca="1" si="5"/>
        <v>0</v>
      </c>
      <c r="H106" s="17">
        <v>97</v>
      </c>
      <c r="I106" s="45">
        <v>0.67078844935653426</v>
      </c>
      <c r="J106" s="45">
        <v>1.904935334390747E-2</v>
      </c>
      <c r="K106" s="45">
        <v>0.25</v>
      </c>
      <c r="N106" s="54"/>
    </row>
    <row r="107" spans="2:14" x14ac:dyDescent="0.2">
      <c r="B107">
        <v>98</v>
      </c>
      <c r="C107" s="52">
        <f t="shared" ca="1" si="6"/>
        <v>0.18539461750219691</v>
      </c>
      <c r="D107" s="52">
        <f ca="1">S0*EXP((μ-0.5*σ*σ)*T+σ*SQRT(T)*$C107)</f>
        <v>0.67769291696695322</v>
      </c>
      <c r="E107" s="52">
        <f t="shared" ca="1" si="4"/>
        <v>0</v>
      </c>
      <c r="F107" s="17">
        <f t="shared" ca="1" si="5"/>
        <v>0</v>
      </c>
      <c r="H107" s="17">
        <v>98</v>
      </c>
      <c r="I107" s="45">
        <v>0.67216127000268988</v>
      </c>
      <c r="J107" s="45">
        <v>1.9836857479605136E-2</v>
      </c>
      <c r="K107" s="45">
        <v>0.24160000000000001</v>
      </c>
      <c r="N107" s="54"/>
    </row>
    <row r="108" spans="2:14" x14ac:dyDescent="0.2">
      <c r="B108">
        <v>99</v>
      </c>
      <c r="C108" s="52">
        <f t="shared" ca="1" si="6"/>
        <v>0.70817001653167089</v>
      </c>
      <c r="D108" s="52">
        <f ca="1">S0*EXP((μ-0.5*σ*σ)*T+σ*SQRT(T)*$C108)</f>
        <v>0.78305769498303046</v>
      </c>
      <c r="E108" s="52">
        <f t="shared" ca="1" si="4"/>
        <v>0</v>
      </c>
      <c r="F108" s="17">
        <f t="shared" ca="1" si="5"/>
        <v>0</v>
      </c>
      <c r="H108" s="17">
        <v>99</v>
      </c>
      <c r="I108" s="45">
        <v>0.67065097230015502</v>
      </c>
      <c r="J108" s="45">
        <v>1.8460462647628205E-2</v>
      </c>
      <c r="K108" s="45">
        <v>0.23899999999999999</v>
      </c>
      <c r="N108" s="54"/>
    </row>
    <row r="109" spans="2:14" x14ac:dyDescent="0.2">
      <c r="B109">
        <v>100</v>
      </c>
      <c r="C109" s="52">
        <f t="shared" ca="1" si="6"/>
        <v>-0.20738358723822653</v>
      </c>
      <c r="D109" s="52">
        <f ca="1">S0*EXP((μ-0.5*σ*σ)*T+σ*SQRT(T)*$C109)</f>
        <v>0.60796517011024354</v>
      </c>
      <c r="E109" s="52">
        <f t="shared" ca="1" si="4"/>
        <v>0</v>
      </c>
      <c r="F109" s="17">
        <f t="shared" ca="1" si="5"/>
        <v>0</v>
      </c>
      <c r="H109" s="17">
        <v>100</v>
      </c>
      <c r="I109" s="45">
        <v>0.66964943619036388</v>
      </c>
      <c r="J109" s="45">
        <v>1.8089054092201486E-2</v>
      </c>
      <c r="K109" s="45">
        <v>0.2462</v>
      </c>
      <c r="N109" s="54"/>
    </row>
    <row r="110" spans="2:14" x14ac:dyDescent="0.2">
      <c r="B110">
        <v>101</v>
      </c>
      <c r="C110" s="52">
        <f t="shared" ca="1" si="6"/>
        <v>-2.5433569243809595</v>
      </c>
      <c r="D110" s="52">
        <f ca="1">S0*EXP((μ-0.5*σ*σ)*T+σ*SQRT(T)*$C110)</f>
        <v>0.31874092147777516</v>
      </c>
      <c r="E110" s="52">
        <f t="shared" ca="1" si="4"/>
        <v>0.21565907852222482</v>
      </c>
      <c r="F110" s="17">
        <f t="shared" ca="1" si="5"/>
        <v>1</v>
      </c>
      <c r="H110" s="17">
        <v>101</v>
      </c>
      <c r="I110" s="45">
        <v>0.66989257947524616</v>
      </c>
      <c r="J110" s="45">
        <v>1.8257513548699367E-2</v>
      </c>
      <c r="K110" s="45">
        <v>0.2422</v>
      </c>
      <c r="L110" s="31"/>
      <c r="M110" s="31"/>
      <c r="N110" s="54"/>
    </row>
    <row r="111" spans="2:14" x14ac:dyDescent="0.2">
      <c r="B111">
        <v>102</v>
      </c>
      <c r="C111" s="52">
        <f t="shared" ca="1" si="6"/>
        <v>1.058382104644906</v>
      </c>
      <c r="D111" s="52">
        <f ca="1">S0*EXP((μ-0.5*σ*σ)*T+σ*SQRT(T)*$C111)</f>
        <v>0.86265633064441005</v>
      </c>
      <c r="E111" s="52">
        <f t="shared" ca="1" si="4"/>
        <v>0</v>
      </c>
      <c r="F111" s="17">
        <f t="shared" ca="1" si="5"/>
        <v>0</v>
      </c>
      <c r="H111" s="17">
        <v>102</v>
      </c>
      <c r="I111" s="45">
        <v>0.6702078150722578</v>
      </c>
      <c r="J111" s="45">
        <v>1.8348027346978206E-2</v>
      </c>
      <c r="K111" s="45">
        <v>0.249</v>
      </c>
      <c r="N111" s="54"/>
    </row>
    <row r="112" spans="2:14" x14ac:dyDescent="0.2">
      <c r="B112">
        <v>103</v>
      </c>
      <c r="C112" s="52">
        <f t="shared" ca="1" si="6"/>
        <v>-2.5496804002494153</v>
      </c>
      <c r="D112" s="52">
        <f ca="1">S0*EXP((μ-0.5*σ*σ)*T+σ*SQRT(T)*$C112)</f>
        <v>0.31818424446244026</v>
      </c>
      <c r="E112" s="52">
        <f t="shared" ca="1" si="4"/>
        <v>0.21621575553755973</v>
      </c>
      <c r="F112" s="17">
        <f t="shared" ca="1" si="5"/>
        <v>1</v>
      </c>
      <c r="H112" s="17">
        <v>103</v>
      </c>
      <c r="I112" s="45">
        <v>0.67035142208882692</v>
      </c>
      <c r="J112" s="45">
        <v>1.874628421908028E-2</v>
      </c>
      <c r="K112" s="45">
        <v>0.24260000000000001</v>
      </c>
      <c r="N112" s="54"/>
    </row>
    <row r="113" spans="2:14" x14ac:dyDescent="0.2">
      <c r="B113">
        <v>104</v>
      </c>
      <c r="C113" s="52">
        <f t="shared" ca="1" si="6"/>
        <v>1.835392303457015</v>
      </c>
      <c r="D113" s="52">
        <f ca="1">S0*EXP((μ-0.5*σ*σ)*T+σ*SQRT(T)*$C113)</f>
        <v>1.069351070480695</v>
      </c>
      <c r="E113" s="52">
        <f t="shared" ca="1" si="4"/>
        <v>0</v>
      </c>
      <c r="F113" s="17">
        <f t="shared" ca="1" si="5"/>
        <v>0</v>
      </c>
      <c r="H113" s="17">
        <v>104</v>
      </c>
      <c r="I113" s="45">
        <v>0.6701113569051157</v>
      </c>
      <c r="J113" s="45">
        <v>1.8462755526764612E-2</v>
      </c>
      <c r="K113" s="45">
        <v>0.24399999999999999</v>
      </c>
      <c r="N113" s="54"/>
    </row>
    <row r="114" spans="2:14" x14ac:dyDescent="0.2">
      <c r="B114">
        <v>105</v>
      </c>
      <c r="C114" s="52">
        <f t="shared" ca="1" si="6"/>
        <v>-7.2878722065521296E-5</v>
      </c>
      <c r="D114" s="52">
        <f ca="1">S0*EXP((μ-0.5*σ*σ)*T+σ*SQRT(T)*$C114)</f>
        <v>0.64382375381592871</v>
      </c>
      <c r="E114" s="52">
        <f t="shared" ca="1" si="4"/>
        <v>0</v>
      </c>
      <c r="F114" s="17">
        <f t="shared" ca="1" si="5"/>
        <v>0</v>
      </c>
      <c r="H114" s="17">
        <v>105</v>
      </c>
      <c r="I114" s="45">
        <v>0.67121263749180105</v>
      </c>
      <c r="J114" s="45">
        <v>1.9380687812344914E-2</v>
      </c>
      <c r="K114" s="45">
        <v>0.25340000000000001</v>
      </c>
      <c r="N114" s="54"/>
    </row>
    <row r="115" spans="2:14" x14ac:dyDescent="0.2">
      <c r="B115">
        <v>106</v>
      </c>
      <c r="C115" s="52">
        <f t="shared" ca="1" si="6"/>
        <v>-0.6281081692106808</v>
      </c>
      <c r="D115" s="52">
        <f ca="1">S0*EXP((μ-0.5*σ*σ)*T+σ*SQRT(T)*$C115)</f>
        <v>0.54121447434351511</v>
      </c>
      <c r="E115" s="52">
        <f t="shared" ca="1" si="4"/>
        <v>0</v>
      </c>
      <c r="F115" s="17">
        <f t="shared" ca="1" si="5"/>
        <v>0</v>
      </c>
      <c r="H115" s="17">
        <v>106</v>
      </c>
      <c r="I115" s="45">
        <v>0.67086507225135605</v>
      </c>
      <c r="J115" s="45">
        <v>1.8793829106358212E-2</v>
      </c>
      <c r="K115" s="45">
        <v>0.2424</v>
      </c>
      <c r="N115" s="54"/>
    </row>
    <row r="116" spans="2:14" x14ac:dyDescent="0.2">
      <c r="B116">
        <v>107</v>
      </c>
      <c r="C116" s="52">
        <f t="shared" ca="1" si="6"/>
        <v>-0.90849856448039612</v>
      </c>
      <c r="D116" s="52">
        <f ca="1">S0*EXP((μ-0.5*σ*σ)*T+σ*SQRT(T)*$C116)</f>
        <v>0.50084998207042497</v>
      </c>
      <c r="E116" s="52">
        <f t="shared" ca="1" si="4"/>
        <v>3.3550017929575016E-2</v>
      </c>
      <c r="F116" s="17">
        <f t="shared" ca="1" si="5"/>
        <v>1</v>
      </c>
      <c r="H116" s="17">
        <v>107</v>
      </c>
      <c r="I116" s="45">
        <v>0.67093685482445165</v>
      </c>
      <c r="J116" s="45">
        <v>1.8914579171991283E-2</v>
      </c>
      <c r="K116" s="45">
        <v>0.24660000000000001</v>
      </c>
      <c r="N116" s="54"/>
    </row>
    <row r="117" spans="2:14" x14ac:dyDescent="0.2">
      <c r="B117">
        <v>108</v>
      </c>
      <c r="C117" s="52">
        <f t="shared" ca="1" si="6"/>
        <v>0.30744090057640566</v>
      </c>
      <c r="D117" s="52">
        <f ca="1">S0*EXP((μ-0.5*σ*σ)*T+σ*SQRT(T)*$C117)</f>
        <v>0.70094667990895376</v>
      </c>
      <c r="E117" s="52">
        <f t="shared" ca="1" si="4"/>
        <v>0</v>
      </c>
      <c r="F117" s="17">
        <f t="shared" ca="1" si="5"/>
        <v>0</v>
      </c>
      <c r="H117" s="17">
        <v>108</v>
      </c>
      <c r="I117" s="45">
        <v>0.67169334055343111</v>
      </c>
      <c r="J117" s="45">
        <v>1.9781048836431826E-2</v>
      </c>
      <c r="K117" s="45">
        <v>0.25640000000000002</v>
      </c>
      <c r="N117" s="54"/>
    </row>
    <row r="118" spans="2:14" x14ac:dyDescent="0.2">
      <c r="B118">
        <v>109</v>
      </c>
      <c r="C118" s="52">
        <f t="shared" ca="1" si="6"/>
        <v>2.2086738319042989</v>
      </c>
      <c r="D118" s="52">
        <f ca="1">S0*EXP((μ-0.5*σ*σ)*T+σ*SQRT(T)*$C118)</f>
        <v>1.1855883381554477</v>
      </c>
      <c r="E118" s="52">
        <f t="shared" ca="1" si="4"/>
        <v>0</v>
      </c>
      <c r="F118" s="17">
        <f t="shared" ca="1" si="5"/>
        <v>0</v>
      </c>
      <c r="H118" s="17">
        <v>109</v>
      </c>
      <c r="I118" s="45">
        <v>0.67108730114763959</v>
      </c>
      <c r="J118" s="45">
        <v>1.8874323388947432E-2</v>
      </c>
      <c r="K118" s="45">
        <v>0.24640000000000001</v>
      </c>
      <c r="N118" s="54"/>
    </row>
    <row r="119" spans="2:14" x14ac:dyDescent="0.2">
      <c r="B119">
        <v>110</v>
      </c>
      <c r="C119" s="52">
        <f t="shared" ca="1" si="6"/>
        <v>1.0241030076734452</v>
      </c>
      <c r="D119" s="52">
        <f ca="1">S0*EXP((μ-0.5*σ*σ)*T+σ*SQRT(T)*$C119)</f>
        <v>0.85452053040151954</v>
      </c>
      <c r="E119" s="52">
        <f t="shared" ca="1" si="4"/>
        <v>0</v>
      </c>
      <c r="F119" s="17">
        <f t="shared" ca="1" si="5"/>
        <v>0</v>
      </c>
      <c r="H119" s="17">
        <v>110</v>
      </c>
      <c r="I119" s="45">
        <v>0.6714192128132469</v>
      </c>
      <c r="J119" s="45">
        <v>1.963633789084776E-2</v>
      </c>
      <c r="K119" s="45">
        <v>0.25080000000000002</v>
      </c>
      <c r="N119" s="54"/>
    </row>
    <row r="120" spans="2:14" x14ac:dyDescent="0.2">
      <c r="B120">
        <v>111</v>
      </c>
      <c r="C120" s="52">
        <f t="shared" ca="1" si="6"/>
        <v>0.68723393362704444</v>
      </c>
      <c r="D120" s="52">
        <f ca="1">S0*EXP((μ-0.5*σ*σ)*T+σ*SQRT(T)*$C120)</f>
        <v>0.77853890457683872</v>
      </c>
      <c r="E120" s="52">
        <f t="shared" ca="1" si="4"/>
        <v>0</v>
      </c>
      <c r="F120" s="17">
        <f t="shared" ca="1" si="5"/>
        <v>0</v>
      </c>
      <c r="H120" s="17">
        <v>111</v>
      </c>
      <c r="I120" s="45">
        <v>0.67001490419818255</v>
      </c>
      <c r="J120" s="45">
        <v>1.8225500041257708E-2</v>
      </c>
      <c r="K120" s="45">
        <v>0.23899999999999999</v>
      </c>
      <c r="N120" s="54"/>
    </row>
    <row r="121" spans="2:14" x14ac:dyDescent="0.2">
      <c r="B121">
        <v>112</v>
      </c>
      <c r="C121" s="52">
        <f t="shared" ca="1" si="6"/>
        <v>-1.877587535117053</v>
      </c>
      <c r="D121" s="52">
        <f ca="1">S0*EXP((μ-0.5*σ*σ)*T+σ*SQRT(T)*$C121)</f>
        <v>0.38314707365200057</v>
      </c>
      <c r="E121" s="52">
        <f t="shared" ca="1" si="4"/>
        <v>0.15125292634799942</v>
      </c>
      <c r="F121" s="17">
        <f t="shared" ca="1" si="5"/>
        <v>1</v>
      </c>
      <c r="H121" s="17">
        <v>112</v>
      </c>
      <c r="I121" s="45">
        <v>0.67131842484130588</v>
      </c>
      <c r="J121" s="45">
        <v>1.9501208020203536E-2</v>
      </c>
      <c r="K121" s="45">
        <v>0.248</v>
      </c>
      <c r="N121" s="54"/>
    </row>
    <row r="122" spans="2:14" x14ac:dyDescent="0.2">
      <c r="B122">
        <v>113</v>
      </c>
      <c r="C122" s="52">
        <f t="shared" ca="1" si="6"/>
        <v>1.4748593851092608</v>
      </c>
      <c r="D122" s="52">
        <f ca="1">S0*EXP((μ-0.5*σ*σ)*T+σ*SQRT(T)*$C122)</f>
        <v>0.9679149740074523</v>
      </c>
      <c r="E122" s="52">
        <f t="shared" ca="1" si="4"/>
        <v>0</v>
      </c>
      <c r="F122" s="17">
        <f t="shared" ca="1" si="5"/>
        <v>0</v>
      </c>
      <c r="H122" s="17">
        <v>113</v>
      </c>
      <c r="I122" s="45">
        <v>0.67132434236729188</v>
      </c>
      <c r="J122" s="45">
        <v>1.8780720611692069E-2</v>
      </c>
      <c r="K122" s="45">
        <v>0.24160000000000001</v>
      </c>
      <c r="N122" s="54"/>
    </row>
    <row r="123" spans="2:14" x14ac:dyDescent="0.2">
      <c r="B123">
        <v>114</v>
      </c>
      <c r="C123" s="52">
        <f t="shared" ca="1" si="6"/>
        <v>0.234887252047704</v>
      </c>
      <c r="D123" s="52">
        <f ca="1">S0*EXP((μ-0.5*σ*σ)*T+σ*SQRT(T)*$C123)</f>
        <v>0.68702840228803919</v>
      </c>
      <c r="E123" s="52">
        <f t="shared" ca="1" si="4"/>
        <v>0</v>
      </c>
      <c r="F123" s="17">
        <f t="shared" ca="1" si="5"/>
        <v>0</v>
      </c>
      <c r="H123" s="17">
        <v>114</v>
      </c>
      <c r="I123" s="45">
        <v>0.67110674537372739</v>
      </c>
      <c r="J123" s="45">
        <v>1.8848649693742992E-2</v>
      </c>
      <c r="K123" s="45">
        <v>0.24460000000000001</v>
      </c>
      <c r="N123" s="54"/>
    </row>
    <row r="124" spans="2:14" x14ac:dyDescent="0.2">
      <c r="B124">
        <v>115</v>
      </c>
      <c r="C124" s="52">
        <f t="shared" ca="1" si="6"/>
        <v>8.0012834334886609E-2</v>
      </c>
      <c r="D124" s="52">
        <f ca="1">S0*EXP((μ-0.5*σ*σ)*T+σ*SQRT(T)*$C124)</f>
        <v>0.65823585501075155</v>
      </c>
      <c r="E124" s="52">
        <f t="shared" ca="1" si="4"/>
        <v>0</v>
      </c>
      <c r="F124" s="17">
        <f t="shared" ca="1" si="5"/>
        <v>0</v>
      </c>
      <c r="H124" s="17">
        <v>115</v>
      </c>
      <c r="I124" s="45">
        <v>0.67021751598105728</v>
      </c>
      <c r="J124" s="45">
        <v>1.8536665487871602E-2</v>
      </c>
      <c r="K124" s="45">
        <v>0.2442</v>
      </c>
      <c r="N124" s="54"/>
    </row>
    <row r="125" spans="2:14" x14ac:dyDescent="0.2">
      <c r="B125">
        <v>116</v>
      </c>
      <c r="C125" s="52">
        <f t="shared" ca="1" si="6"/>
        <v>-9.7981756764379535E-2</v>
      </c>
      <c r="D125" s="52">
        <f ca="1">S0*EXP((μ-0.5*σ*σ)*T+σ*SQRT(T)*$C125)</f>
        <v>0.62663223233674448</v>
      </c>
      <c r="E125" s="52">
        <f t="shared" ca="1" si="4"/>
        <v>0</v>
      </c>
      <c r="F125" s="17">
        <f t="shared" ca="1" si="5"/>
        <v>0</v>
      </c>
      <c r="H125" s="17">
        <v>116</v>
      </c>
      <c r="I125" s="45">
        <v>0.67246331604188714</v>
      </c>
      <c r="J125" s="45">
        <v>2.0196546629226153E-2</v>
      </c>
      <c r="K125" s="45">
        <v>0.25019999999999998</v>
      </c>
      <c r="N125" s="54"/>
    </row>
    <row r="126" spans="2:14" x14ac:dyDescent="0.2">
      <c r="B126">
        <v>117</v>
      </c>
      <c r="C126" s="52">
        <f t="shared" ca="1" si="6"/>
        <v>0.33817912465163324</v>
      </c>
      <c r="D126" s="52">
        <f ca="1">S0*EXP((μ-0.5*σ*σ)*T+σ*SQRT(T)*$C126)</f>
        <v>0.7069280309742707</v>
      </c>
      <c r="E126" s="52">
        <f t="shared" ca="1" si="4"/>
        <v>0</v>
      </c>
      <c r="F126" s="17">
        <f t="shared" ca="1" si="5"/>
        <v>0</v>
      </c>
      <c r="H126" s="17">
        <v>117</v>
      </c>
      <c r="I126" s="45">
        <v>0.67040085229804758</v>
      </c>
      <c r="J126" s="45">
        <v>1.8616203487564046E-2</v>
      </c>
      <c r="K126" s="45">
        <v>0.2442</v>
      </c>
      <c r="N126" s="54"/>
    </row>
    <row r="127" spans="2:14" x14ac:dyDescent="0.2">
      <c r="B127">
        <v>118</v>
      </c>
      <c r="C127" s="52">
        <f t="shared" ca="1" si="6"/>
        <v>-1.7990487958499386</v>
      </c>
      <c r="D127" s="52">
        <f ca="1">S0*EXP((μ-0.5*σ*σ)*T+σ*SQRT(T)*$C127)</f>
        <v>0.39155640567331673</v>
      </c>
      <c r="E127" s="52">
        <f t="shared" ca="1" si="4"/>
        <v>0.14284359432668325</v>
      </c>
      <c r="F127" s="17">
        <f t="shared" ca="1" si="5"/>
        <v>1</v>
      </c>
      <c r="H127" s="17">
        <v>118</v>
      </c>
      <c r="I127" s="45">
        <v>0.6712213387967052</v>
      </c>
      <c r="J127" s="45">
        <v>1.9373830731699064E-2</v>
      </c>
      <c r="K127" s="45">
        <v>0.25140000000000001</v>
      </c>
      <c r="N127" s="54"/>
    </row>
    <row r="128" spans="2:14" x14ac:dyDescent="0.2">
      <c r="B128">
        <v>119</v>
      </c>
      <c r="C128" s="52">
        <f t="shared" ca="1" si="6"/>
        <v>1.7078150418157332</v>
      </c>
      <c r="D128" s="52">
        <f ca="1">S0*EXP((μ-0.5*σ*σ)*T+σ*SQRT(T)*$C128)</f>
        <v>1.0322960388449438</v>
      </c>
      <c r="E128" s="52">
        <f t="shared" ca="1" si="4"/>
        <v>0</v>
      </c>
      <c r="F128" s="17">
        <f t="shared" ca="1" si="5"/>
        <v>0</v>
      </c>
      <c r="H128" s="17">
        <v>119</v>
      </c>
      <c r="I128" s="45">
        <v>0.67043775236693226</v>
      </c>
      <c r="J128" s="45">
        <v>1.8588959262919116E-2</v>
      </c>
      <c r="K128" s="45">
        <v>0.2432</v>
      </c>
      <c r="N128" s="54"/>
    </row>
    <row r="129" spans="2:14" x14ac:dyDescent="0.2">
      <c r="B129">
        <v>120</v>
      </c>
      <c r="C129" s="52">
        <f t="shared" ca="1" si="6"/>
        <v>-0.25820646262129415</v>
      </c>
      <c r="D129" s="52">
        <f ca="1">S0*EXP((μ-0.5*σ*σ)*T+σ*SQRT(T)*$C129)</f>
        <v>0.59948352878071265</v>
      </c>
      <c r="E129" s="52">
        <f t="shared" ca="1" si="4"/>
        <v>0</v>
      </c>
      <c r="F129" s="17">
        <f t="shared" ca="1" si="5"/>
        <v>0</v>
      </c>
      <c r="H129" s="17">
        <v>120</v>
      </c>
      <c r="I129" s="45">
        <v>0.67044351409029879</v>
      </c>
      <c r="J129" s="45">
        <v>1.8488929759664589E-2</v>
      </c>
      <c r="K129" s="45">
        <v>0.247</v>
      </c>
      <c r="N129" s="54"/>
    </row>
    <row r="130" spans="2:14" x14ac:dyDescent="0.2">
      <c r="B130">
        <v>121</v>
      </c>
      <c r="C130" s="52">
        <f t="shared" ca="1" si="6"/>
        <v>-1.1559008095301309</v>
      </c>
      <c r="D130" s="52">
        <f ca="1">S0*EXP((μ-0.5*σ*σ)*T+σ*SQRT(T)*$C130)</f>
        <v>0.46774187515187687</v>
      </c>
      <c r="E130" s="52">
        <f t="shared" ca="1" si="4"/>
        <v>6.6658124848123113E-2</v>
      </c>
      <c r="F130" s="17">
        <f t="shared" ca="1" si="5"/>
        <v>1</v>
      </c>
      <c r="H130" s="17">
        <v>121</v>
      </c>
      <c r="I130" s="45">
        <v>0.6706617936625533</v>
      </c>
      <c r="J130" s="45">
        <v>1.8965938550979406E-2</v>
      </c>
      <c r="K130" s="45">
        <v>0.24279999999999999</v>
      </c>
      <c r="N130" s="54"/>
    </row>
    <row r="131" spans="2:14" x14ac:dyDescent="0.2">
      <c r="B131">
        <v>122</v>
      </c>
      <c r="C131" s="52">
        <f t="shared" ca="1" si="6"/>
        <v>0.69154715129960742</v>
      </c>
      <c r="D131" s="52">
        <f ca="1">S0*EXP((μ-0.5*σ*σ)*T+σ*SQRT(T)*$C131)</f>
        <v>0.77946772071119064</v>
      </c>
      <c r="E131" s="52">
        <f t="shared" ca="1" si="4"/>
        <v>0</v>
      </c>
      <c r="F131" s="17">
        <f t="shared" ca="1" si="5"/>
        <v>0</v>
      </c>
      <c r="H131" s="17">
        <v>122</v>
      </c>
      <c r="I131" s="45">
        <v>0.67088470518039489</v>
      </c>
      <c r="J131" s="45">
        <v>1.9052958825264487E-2</v>
      </c>
      <c r="K131" s="45">
        <v>0.24560000000000001</v>
      </c>
      <c r="N131" s="54"/>
    </row>
    <row r="132" spans="2:14" x14ac:dyDescent="0.2">
      <c r="B132">
        <v>123</v>
      </c>
      <c r="C132" s="52">
        <f t="shared" ca="1" si="6"/>
        <v>1.4714307419780228</v>
      </c>
      <c r="D132" s="52">
        <f ca="1">S0*EXP((μ-0.5*σ*σ)*T+σ*SQRT(T)*$C132)</f>
        <v>0.96699802999023943</v>
      </c>
      <c r="E132" s="52">
        <f t="shared" ca="1" si="4"/>
        <v>0</v>
      </c>
      <c r="F132" s="17">
        <f t="shared" ca="1" si="5"/>
        <v>0</v>
      </c>
      <c r="H132" s="17">
        <v>123</v>
      </c>
      <c r="I132" s="45">
        <v>0.67114337702976035</v>
      </c>
      <c r="J132" s="45">
        <v>1.8912028704683816E-2</v>
      </c>
      <c r="K132" s="45">
        <v>0.2424</v>
      </c>
      <c r="N132" s="54"/>
    </row>
    <row r="133" spans="2:14" x14ac:dyDescent="0.2">
      <c r="B133">
        <v>124</v>
      </c>
      <c r="C133" s="52">
        <f t="shared" ca="1" si="6"/>
        <v>-0.38783853913802174</v>
      </c>
      <c r="D133" s="52">
        <f ca="1">S0*EXP((μ-0.5*σ*σ)*T+σ*SQRT(T)*$C133)</f>
        <v>0.57838166942966307</v>
      </c>
      <c r="E133" s="52">
        <f t="shared" ca="1" si="4"/>
        <v>0</v>
      </c>
      <c r="F133" s="17">
        <f t="shared" ca="1" si="5"/>
        <v>0</v>
      </c>
      <c r="H133" s="17">
        <v>124</v>
      </c>
      <c r="I133" s="45">
        <v>0.67161625623227328</v>
      </c>
      <c r="J133" s="45">
        <v>1.9396739416096612E-2</v>
      </c>
      <c r="K133" s="45">
        <v>0.246</v>
      </c>
      <c r="N133" s="54"/>
    </row>
    <row r="134" spans="2:14" x14ac:dyDescent="0.2">
      <c r="B134">
        <v>125</v>
      </c>
      <c r="C134" s="52">
        <f t="shared" ca="1" si="6"/>
        <v>-1.0196615138539766</v>
      </c>
      <c r="D134" s="52">
        <f ca="1">S0*EXP((μ-0.5*σ*σ)*T+σ*SQRT(T)*$C134)</f>
        <v>0.48569340251925991</v>
      </c>
      <c r="E134" s="52">
        <f t="shared" ca="1" si="4"/>
        <v>4.8706597480740077E-2</v>
      </c>
      <c r="F134" s="17">
        <f t="shared" ca="1" si="5"/>
        <v>1</v>
      </c>
      <c r="H134" s="17">
        <v>125</v>
      </c>
      <c r="I134" s="45">
        <v>0.67005063566097334</v>
      </c>
      <c r="J134" s="45">
        <v>1.8334851974832898E-2</v>
      </c>
      <c r="K134" s="45">
        <v>0.24679999999999999</v>
      </c>
      <c r="N134" s="54"/>
    </row>
    <row r="135" spans="2:14" x14ac:dyDescent="0.2">
      <c r="B135">
        <v>126</v>
      </c>
      <c r="C135" s="52">
        <f t="shared" ca="1" si="6"/>
        <v>-0.46046003202669744</v>
      </c>
      <c r="D135" s="52">
        <f ca="1">S0*EXP((μ-0.5*σ*σ)*T+σ*SQRT(T)*$C135)</f>
        <v>0.56688645996917353</v>
      </c>
      <c r="E135" s="52">
        <f t="shared" ca="1" si="4"/>
        <v>0</v>
      </c>
      <c r="F135" s="17">
        <f t="shared" ca="1" si="5"/>
        <v>0</v>
      </c>
      <c r="H135" s="17">
        <v>126</v>
      </c>
      <c r="I135" s="45">
        <v>0.67293967422302514</v>
      </c>
      <c r="J135" s="45">
        <v>2.0268242135133473E-2</v>
      </c>
      <c r="K135" s="45">
        <v>0.25419999999999998</v>
      </c>
      <c r="N135" s="54"/>
    </row>
    <row r="136" spans="2:14" x14ac:dyDescent="0.2">
      <c r="B136">
        <v>127</v>
      </c>
      <c r="C136" s="52">
        <f t="shared" ca="1" si="6"/>
        <v>0.39303169490075912</v>
      </c>
      <c r="D136" s="52">
        <f ca="1">S0*EXP((μ-0.5*σ*σ)*T+σ*SQRT(T)*$C136)</f>
        <v>0.71772888454207551</v>
      </c>
      <c r="E136" s="52">
        <f t="shared" ca="1" si="4"/>
        <v>0</v>
      </c>
      <c r="F136" s="17">
        <f t="shared" ca="1" si="5"/>
        <v>0</v>
      </c>
      <c r="H136" s="17">
        <v>127</v>
      </c>
      <c r="I136" s="45">
        <v>0.67180494563188975</v>
      </c>
      <c r="J136" s="45">
        <v>1.960006039980729E-2</v>
      </c>
      <c r="K136" s="45">
        <v>0.25040000000000001</v>
      </c>
      <c r="N136" s="54"/>
    </row>
    <row r="137" spans="2:14" x14ac:dyDescent="0.2">
      <c r="B137">
        <v>128</v>
      </c>
      <c r="C137" s="52">
        <f t="shared" ca="1" si="6"/>
        <v>0.55656564894770533</v>
      </c>
      <c r="D137" s="52">
        <f ca="1">S0*EXP((μ-0.5*σ*σ)*T+σ*SQRT(T)*$C137)</f>
        <v>0.75091915899379313</v>
      </c>
      <c r="E137" s="52">
        <f t="shared" ca="1" si="4"/>
        <v>0</v>
      </c>
      <c r="F137" s="17">
        <f t="shared" ca="1" si="5"/>
        <v>0</v>
      </c>
      <c r="H137" s="17">
        <v>128</v>
      </c>
      <c r="I137" s="45">
        <v>0.67060091754524898</v>
      </c>
      <c r="J137" s="45">
        <v>1.8796702523620982E-2</v>
      </c>
      <c r="K137" s="45">
        <v>0.24460000000000001</v>
      </c>
      <c r="N137" s="54"/>
    </row>
    <row r="138" spans="2:14" x14ac:dyDescent="0.2">
      <c r="B138">
        <v>129</v>
      </c>
      <c r="C138" s="52">
        <f t="shared" ca="1" si="6"/>
        <v>-0.8981737395402154</v>
      </c>
      <c r="D138" s="52">
        <f ca="1">S0*EXP((μ-0.5*σ*σ)*T+σ*SQRT(T)*$C138)</f>
        <v>0.50228150857173803</v>
      </c>
      <c r="E138" s="52">
        <f t="shared" ref="E138:E201" ca="1" si="7">MAX(0,CP*(D138-K))</f>
        <v>3.2118491428261953E-2</v>
      </c>
      <c r="F138" s="17">
        <f t="shared" ref="F138:F201" ca="1" si="8">(CP*(D138-K)&gt;0)*1</f>
        <v>1</v>
      </c>
      <c r="H138" s="17">
        <v>129</v>
      </c>
      <c r="I138" s="45">
        <v>0.67069422609581875</v>
      </c>
      <c r="J138" s="45">
        <v>1.8560783985258462E-2</v>
      </c>
      <c r="K138" s="45">
        <v>0.24540000000000001</v>
      </c>
      <c r="N138" s="54"/>
    </row>
    <row r="139" spans="2:14" x14ac:dyDescent="0.2">
      <c r="B139">
        <v>130</v>
      </c>
      <c r="C139" s="52">
        <f t="shared" ref="C139:C202" ca="1" si="9">_xlfn.NORM.S.INV(RAND())</f>
        <v>-6.5186353361627272E-2</v>
      </c>
      <c r="D139" s="52">
        <f ca="1">S0*EXP((μ-0.5*σ*σ)*T+σ*SQRT(T)*$C139)</f>
        <v>0.63233893061975488</v>
      </c>
      <c r="E139" s="52">
        <f t="shared" ca="1" si="7"/>
        <v>0</v>
      </c>
      <c r="F139" s="17">
        <f t="shared" ca="1" si="8"/>
        <v>0</v>
      </c>
      <c r="H139" s="17">
        <v>130</v>
      </c>
      <c r="I139" s="45">
        <v>0.6704090241521139</v>
      </c>
      <c r="J139" s="45">
        <v>1.857724261228139E-2</v>
      </c>
      <c r="K139" s="45">
        <v>0.24340000000000001</v>
      </c>
      <c r="N139" s="54"/>
    </row>
    <row r="140" spans="2:14" x14ac:dyDescent="0.2">
      <c r="B140">
        <v>131</v>
      </c>
      <c r="C140" s="52">
        <f t="shared" ca="1" si="9"/>
        <v>-1.4392518079400338</v>
      </c>
      <c r="D140" s="52">
        <f ca="1">S0*EXP((μ-0.5*σ*σ)*T+σ*SQRT(T)*$C140)</f>
        <v>0.43250295831602431</v>
      </c>
      <c r="E140" s="52">
        <f t="shared" ca="1" si="7"/>
        <v>0.10189704168397568</v>
      </c>
      <c r="F140" s="17">
        <f t="shared" ca="1" si="8"/>
        <v>1</v>
      </c>
      <c r="H140" s="17">
        <v>131</v>
      </c>
      <c r="I140" s="45">
        <v>0.67120456030704156</v>
      </c>
      <c r="J140" s="45">
        <v>1.9253758300453946E-2</v>
      </c>
      <c r="K140" s="45">
        <v>0.24740000000000001</v>
      </c>
      <c r="N140" s="54"/>
    </row>
    <row r="141" spans="2:14" x14ac:dyDescent="0.2">
      <c r="B141">
        <v>132</v>
      </c>
      <c r="C141" s="52">
        <f t="shared" ca="1" si="9"/>
        <v>-0.57058924358790153</v>
      </c>
      <c r="D141" s="52">
        <f ca="1">S0*EXP((μ-0.5*σ*σ)*T+σ*SQRT(T)*$C141)</f>
        <v>0.54988861635586572</v>
      </c>
      <c r="E141" s="52">
        <f t="shared" ca="1" si="7"/>
        <v>0</v>
      </c>
      <c r="F141" s="17">
        <f t="shared" ca="1" si="8"/>
        <v>0</v>
      </c>
      <c r="H141" s="17">
        <v>132</v>
      </c>
      <c r="I141" s="45">
        <v>0.67097720118145066</v>
      </c>
      <c r="J141" s="45">
        <v>1.8775357214267346E-2</v>
      </c>
      <c r="K141" s="45">
        <v>0.2394</v>
      </c>
      <c r="N141" s="54"/>
    </row>
    <row r="142" spans="2:14" x14ac:dyDescent="0.2">
      <c r="B142">
        <v>133</v>
      </c>
      <c r="C142" s="52">
        <f t="shared" ca="1" si="9"/>
        <v>0.25157776078524918</v>
      </c>
      <c r="D142" s="52">
        <f ca="1">S0*EXP((μ-0.5*σ*σ)*T+σ*SQRT(T)*$C142)</f>
        <v>0.69020553712666421</v>
      </c>
      <c r="E142" s="52">
        <f t="shared" ca="1" si="7"/>
        <v>0</v>
      </c>
      <c r="F142" s="17">
        <f t="shared" ca="1" si="8"/>
        <v>0</v>
      </c>
      <c r="H142" s="17">
        <v>133</v>
      </c>
      <c r="I142" s="45">
        <v>0.67149657544005925</v>
      </c>
      <c r="J142" s="45">
        <v>1.9431149222309704E-2</v>
      </c>
      <c r="K142" s="45">
        <v>0.251</v>
      </c>
      <c r="N142" s="54"/>
    </row>
    <row r="143" spans="2:14" x14ac:dyDescent="0.2">
      <c r="B143">
        <v>134</v>
      </c>
      <c r="C143" s="52">
        <f t="shared" ca="1" si="9"/>
        <v>-0.86946172112188325</v>
      </c>
      <c r="D143" s="52">
        <f ca="1">S0*EXP((μ-0.5*σ*σ)*T+σ*SQRT(T)*$C143)</f>
        <v>0.50628394699680457</v>
      </c>
      <c r="E143" s="52">
        <f t="shared" ca="1" si="7"/>
        <v>2.8116053003195418E-2</v>
      </c>
      <c r="F143" s="17">
        <f t="shared" ca="1" si="8"/>
        <v>1</v>
      </c>
      <c r="H143" s="17">
        <v>134</v>
      </c>
      <c r="I143" s="45">
        <v>0.6707206341985964</v>
      </c>
      <c r="J143" s="45">
        <v>1.8771907153712353E-2</v>
      </c>
      <c r="K143" s="45">
        <v>0.24759999999999999</v>
      </c>
      <c r="N143" s="54"/>
    </row>
    <row r="144" spans="2:14" x14ac:dyDescent="0.2">
      <c r="B144">
        <v>135</v>
      </c>
      <c r="C144" s="52">
        <f t="shared" ca="1" si="9"/>
        <v>-0.97130978888077413</v>
      </c>
      <c r="D144" s="52">
        <f ca="1">S0*EXP((μ-0.5*σ*σ)*T+σ*SQRT(T)*$C144)</f>
        <v>0.49222875353797579</v>
      </c>
      <c r="E144" s="52">
        <f t="shared" ca="1" si="7"/>
        <v>4.2171246462024192E-2</v>
      </c>
      <c r="F144" s="17">
        <f t="shared" ca="1" si="8"/>
        <v>1</v>
      </c>
      <c r="H144" s="17">
        <v>135</v>
      </c>
      <c r="I144" s="45">
        <v>0.67087069657162357</v>
      </c>
      <c r="J144" s="45">
        <v>1.8816786147005261E-2</v>
      </c>
      <c r="K144" s="45">
        <v>0.24160000000000001</v>
      </c>
      <c r="N144" s="54"/>
    </row>
    <row r="145" spans="2:14" x14ac:dyDescent="0.2">
      <c r="B145">
        <v>136</v>
      </c>
      <c r="C145" s="52">
        <f t="shared" ca="1" si="9"/>
        <v>2.4993157424039527</v>
      </c>
      <c r="D145" s="52">
        <f ca="1">S0*EXP((μ-0.5*σ*σ)*T+σ*SQRT(T)*$C145)</f>
        <v>1.2847729536587498</v>
      </c>
      <c r="E145" s="52">
        <f t="shared" ca="1" si="7"/>
        <v>0</v>
      </c>
      <c r="F145" s="17">
        <f t="shared" ca="1" si="8"/>
        <v>0</v>
      </c>
      <c r="H145" s="17">
        <v>136</v>
      </c>
      <c r="I145" s="45">
        <v>0.67251381442944735</v>
      </c>
      <c r="J145" s="45">
        <v>1.9977256190840075E-2</v>
      </c>
      <c r="K145" s="45">
        <v>0.24479999999999999</v>
      </c>
      <c r="N145" s="54"/>
    </row>
    <row r="146" spans="2:14" x14ac:dyDescent="0.2">
      <c r="B146">
        <v>137</v>
      </c>
      <c r="C146" s="52">
        <f t="shared" ca="1" si="9"/>
        <v>1.0333341077752016</v>
      </c>
      <c r="D146" s="52">
        <f ca="1">S0*EXP((μ-0.5*σ*σ)*T+σ*SQRT(T)*$C146)</f>
        <v>0.85670386005205446</v>
      </c>
      <c r="E146" s="52">
        <f t="shared" ca="1" si="7"/>
        <v>0</v>
      </c>
      <c r="F146" s="17">
        <f t="shared" ca="1" si="8"/>
        <v>0</v>
      </c>
      <c r="H146" s="17">
        <v>137</v>
      </c>
      <c r="I146" s="45">
        <v>0.67140343476905906</v>
      </c>
      <c r="J146" s="45">
        <v>1.9021888714689329E-2</v>
      </c>
      <c r="K146" s="45">
        <v>0.247</v>
      </c>
      <c r="N146" s="54"/>
    </row>
    <row r="147" spans="2:14" x14ac:dyDescent="0.2">
      <c r="B147">
        <v>138</v>
      </c>
      <c r="C147" s="52">
        <f t="shared" ca="1" si="9"/>
        <v>-0.6124402901406435</v>
      </c>
      <c r="D147" s="52">
        <f ca="1">S0*EXP((μ-0.5*σ*σ)*T+σ*SQRT(T)*$C147)</f>
        <v>0.54356361793553309</v>
      </c>
      <c r="E147" s="52">
        <f t="shared" ca="1" si="7"/>
        <v>0</v>
      </c>
      <c r="F147" s="17">
        <f t="shared" ca="1" si="8"/>
        <v>0</v>
      </c>
      <c r="H147" s="17">
        <v>138</v>
      </c>
      <c r="I147" s="45">
        <v>0.67115732874147582</v>
      </c>
      <c r="J147" s="45">
        <v>1.9322605416186345E-2</v>
      </c>
      <c r="K147" s="45">
        <v>0.2442</v>
      </c>
      <c r="N147" s="54"/>
    </row>
    <row r="148" spans="2:14" x14ac:dyDescent="0.2">
      <c r="B148">
        <v>139</v>
      </c>
      <c r="C148" s="52">
        <f t="shared" ca="1" si="9"/>
        <v>-3.2851586266876178</v>
      </c>
      <c r="D148" s="52">
        <f ca="1">S0*EXP((μ-0.5*σ*σ)*T+σ*SQRT(T)*$C148)</f>
        <v>0.25964634815749066</v>
      </c>
      <c r="E148" s="52">
        <f t="shared" ca="1" si="7"/>
        <v>0.27475365184250933</v>
      </c>
      <c r="F148" s="17">
        <f t="shared" ca="1" si="8"/>
        <v>1</v>
      </c>
      <c r="H148" s="17">
        <v>139</v>
      </c>
      <c r="I148" s="45">
        <v>0.67188937427213336</v>
      </c>
      <c r="J148" s="45">
        <v>1.9532948279934247E-2</v>
      </c>
      <c r="K148" s="45">
        <v>0.25</v>
      </c>
      <c r="N148" s="54"/>
    </row>
    <row r="149" spans="2:14" x14ac:dyDescent="0.2">
      <c r="B149">
        <v>140</v>
      </c>
      <c r="C149" s="52">
        <f t="shared" ca="1" si="9"/>
        <v>0.31649734025274484</v>
      </c>
      <c r="D149" s="52">
        <f ca="1">S0*EXP((μ-0.5*σ*σ)*T+σ*SQRT(T)*$C149)</f>
        <v>0.70270369440207725</v>
      </c>
      <c r="E149" s="52">
        <f t="shared" ca="1" si="7"/>
        <v>0</v>
      </c>
      <c r="F149" s="17">
        <f t="shared" ca="1" si="8"/>
        <v>0</v>
      </c>
      <c r="H149" s="17">
        <v>140</v>
      </c>
      <c r="I149" s="45">
        <v>0.67131703780841601</v>
      </c>
      <c r="J149" s="45">
        <v>1.9450961912606569E-2</v>
      </c>
      <c r="K149" s="45">
        <v>0.25640000000000002</v>
      </c>
      <c r="N149" s="54"/>
    </row>
    <row r="150" spans="2:14" x14ac:dyDescent="0.2">
      <c r="B150">
        <v>141</v>
      </c>
      <c r="C150" s="52">
        <f t="shared" ca="1" si="9"/>
        <v>0.75032987378929916</v>
      </c>
      <c r="D150" s="52">
        <f ca="1">S0*EXP((μ-0.5*σ*σ)*T+σ*SQRT(T)*$C150)</f>
        <v>0.79223711377803818</v>
      </c>
      <c r="E150" s="52">
        <f t="shared" ca="1" si="7"/>
        <v>0</v>
      </c>
      <c r="F150" s="17">
        <f t="shared" ca="1" si="8"/>
        <v>0</v>
      </c>
      <c r="H150" s="17">
        <v>141</v>
      </c>
      <c r="I150" s="45">
        <v>0.67042677660835825</v>
      </c>
      <c r="J150" s="45">
        <v>1.8382890405314978E-2</v>
      </c>
      <c r="K150" s="45">
        <v>0.23960000000000001</v>
      </c>
      <c r="N150" s="54"/>
    </row>
    <row r="151" spans="2:14" x14ac:dyDescent="0.2">
      <c r="B151">
        <v>142</v>
      </c>
      <c r="C151" s="52">
        <f t="shared" ca="1" si="9"/>
        <v>0.64314882928764006</v>
      </c>
      <c r="D151" s="52">
        <f ca="1">S0*EXP((μ-0.5*σ*σ)*T+σ*SQRT(T)*$C151)</f>
        <v>0.76910877359665486</v>
      </c>
      <c r="E151" s="52">
        <f t="shared" ca="1" si="7"/>
        <v>0</v>
      </c>
      <c r="F151" s="17">
        <f t="shared" ca="1" si="8"/>
        <v>0</v>
      </c>
      <c r="H151" s="17">
        <v>142</v>
      </c>
      <c r="I151" s="45">
        <v>0.67077904927682952</v>
      </c>
      <c r="J151" s="45">
        <v>1.8854195328421319E-2</v>
      </c>
      <c r="K151" s="45">
        <v>0.251</v>
      </c>
      <c r="N151" s="54"/>
    </row>
    <row r="152" spans="2:14" x14ac:dyDescent="0.2">
      <c r="B152">
        <v>143</v>
      </c>
      <c r="C152" s="52">
        <f t="shared" ca="1" si="9"/>
        <v>0.99164633031887783</v>
      </c>
      <c r="D152" s="52">
        <f ca="1">S0*EXP((μ-0.5*σ*σ)*T+σ*SQRT(T)*$C152)</f>
        <v>0.8468879941517008</v>
      </c>
      <c r="E152" s="52">
        <f t="shared" ca="1" si="7"/>
        <v>0</v>
      </c>
      <c r="F152" s="17">
        <f t="shared" ca="1" si="8"/>
        <v>0</v>
      </c>
      <c r="H152" s="17">
        <v>143</v>
      </c>
      <c r="I152" s="45">
        <v>0.67111839675191653</v>
      </c>
      <c r="J152" s="45">
        <v>1.8790510735532045E-2</v>
      </c>
      <c r="K152" s="45">
        <v>0.246</v>
      </c>
      <c r="N152" s="54"/>
    </row>
    <row r="153" spans="2:14" x14ac:dyDescent="0.2">
      <c r="B153">
        <v>144</v>
      </c>
      <c r="C153" s="52">
        <f t="shared" ca="1" si="9"/>
        <v>-0.58538023539448003</v>
      </c>
      <c r="D153" s="52">
        <f ca="1">S0*EXP((μ-0.5*σ*σ)*T+σ*SQRT(T)*$C153)</f>
        <v>0.54764487084155811</v>
      </c>
      <c r="E153" s="52">
        <f t="shared" ca="1" si="7"/>
        <v>0</v>
      </c>
      <c r="F153" s="17">
        <f t="shared" ca="1" si="8"/>
        <v>0</v>
      </c>
      <c r="H153" s="17">
        <v>144</v>
      </c>
      <c r="I153" s="45">
        <v>0.66979652536226775</v>
      </c>
      <c r="J153" s="45">
        <v>1.8268551766498772E-2</v>
      </c>
      <c r="K153" s="45">
        <v>0.23719999999999999</v>
      </c>
      <c r="N153" s="54"/>
    </row>
    <row r="154" spans="2:14" x14ac:dyDescent="0.2">
      <c r="B154">
        <v>145</v>
      </c>
      <c r="C154" s="52">
        <f t="shared" ca="1" si="9"/>
        <v>-0.82236395179138155</v>
      </c>
      <c r="D154" s="52">
        <f ca="1">S0*EXP((μ-0.5*σ*σ)*T+σ*SQRT(T)*$C154)</f>
        <v>0.5129185325947615</v>
      </c>
      <c r="E154" s="52">
        <f t="shared" ca="1" si="7"/>
        <v>2.1481467405238486E-2</v>
      </c>
      <c r="F154" s="17">
        <f t="shared" ca="1" si="8"/>
        <v>1</v>
      </c>
      <c r="H154" s="17">
        <v>145</v>
      </c>
      <c r="I154" s="45">
        <v>0.67058004312040709</v>
      </c>
      <c r="J154" s="45">
        <v>1.8874307987710334E-2</v>
      </c>
      <c r="K154" s="45">
        <v>0.24340000000000001</v>
      </c>
      <c r="N154" s="54"/>
    </row>
    <row r="155" spans="2:14" x14ac:dyDescent="0.2">
      <c r="B155">
        <v>146</v>
      </c>
      <c r="C155" s="52">
        <f t="shared" ca="1" si="9"/>
        <v>-2.2896363391464289</v>
      </c>
      <c r="D155" s="52">
        <f ca="1">S0*EXP((μ-0.5*σ*σ)*T+σ*SQRT(T)*$C155)</f>
        <v>0.3418989526799569</v>
      </c>
      <c r="E155" s="52">
        <f t="shared" ca="1" si="7"/>
        <v>0.19250104732004308</v>
      </c>
      <c r="F155" s="17">
        <f t="shared" ca="1" si="8"/>
        <v>1</v>
      </c>
      <c r="H155" s="17">
        <v>146</v>
      </c>
      <c r="I155" s="45">
        <v>0.67123564471912744</v>
      </c>
      <c r="J155" s="45">
        <v>1.9357272423249638E-2</v>
      </c>
      <c r="K155" s="45">
        <v>0.25319999999999998</v>
      </c>
      <c r="N155" s="54"/>
    </row>
    <row r="156" spans="2:14" x14ac:dyDescent="0.2">
      <c r="B156">
        <v>147</v>
      </c>
      <c r="C156" s="52">
        <f t="shared" ca="1" si="9"/>
        <v>0.1621325125578118</v>
      </c>
      <c r="D156" s="52">
        <f ca="1">S0*EXP((μ-0.5*σ*σ)*T+σ*SQRT(T)*$C156)</f>
        <v>0.67334906033258413</v>
      </c>
      <c r="E156" s="52">
        <f t="shared" ca="1" si="7"/>
        <v>0</v>
      </c>
      <c r="F156" s="17">
        <f t="shared" ca="1" si="8"/>
        <v>0</v>
      </c>
      <c r="H156" s="17">
        <v>147</v>
      </c>
      <c r="I156" s="45">
        <v>0.6704559161939635</v>
      </c>
      <c r="J156" s="45">
        <v>1.8483126752598455E-2</v>
      </c>
      <c r="K156" s="45">
        <v>0.2432</v>
      </c>
      <c r="N156" s="54"/>
    </row>
    <row r="157" spans="2:14" x14ac:dyDescent="0.2">
      <c r="B157">
        <v>148</v>
      </c>
      <c r="C157" s="52">
        <f t="shared" ca="1" si="9"/>
        <v>-0.45965228852418161</v>
      </c>
      <c r="D157" s="52">
        <f ca="1">S0*EXP((μ-0.5*σ*σ)*T+σ*SQRT(T)*$C157)</f>
        <v>0.56701305223293053</v>
      </c>
      <c r="E157" s="52">
        <f t="shared" ca="1" si="7"/>
        <v>0</v>
      </c>
      <c r="F157" s="17">
        <f t="shared" ca="1" si="8"/>
        <v>0</v>
      </c>
      <c r="H157" s="17">
        <v>148</v>
      </c>
      <c r="I157" s="45">
        <v>0.67095807245475425</v>
      </c>
      <c r="J157" s="45">
        <v>1.8862512783546895E-2</v>
      </c>
      <c r="K157" s="45">
        <v>0.24540000000000001</v>
      </c>
      <c r="N157" s="54"/>
    </row>
    <row r="158" spans="2:14" x14ac:dyDescent="0.2">
      <c r="B158">
        <v>149</v>
      </c>
      <c r="C158" s="52">
        <f t="shared" ca="1" si="9"/>
        <v>-2.4466476486599449E-2</v>
      </c>
      <c r="D158" s="52">
        <f ca="1">S0*EXP((μ-0.5*σ*σ)*T+σ*SQRT(T)*$C158)</f>
        <v>0.63949693673822217</v>
      </c>
      <c r="E158" s="52">
        <f t="shared" ca="1" si="7"/>
        <v>0</v>
      </c>
      <c r="F158" s="17">
        <f t="shared" ca="1" si="8"/>
        <v>0</v>
      </c>
      <c r="H158" s="17">
        <v>149</v>
      </c>
      <c r="I158" s="45">
        <v>0.67112438861610513</v>
      </c>
      <c r="J158" s="45">
        <v>1.8604211520582038E-2</v>
      </c>
      <c r="K158" s="45">
        <v>0.23599999999999999</v>
      </c>
      <c r="N158" s="54"/>
    </row>
    <row r="159" spans="2:14" x14ac:dyDescent="0.2">
      <c r="B159">
        <v>150</v>
      </c>
      <c r="C159" s="52">
        <f t="shared" ca="1" si="9"/>
        <v>-0.5470239843567285</v>
      </c>
      <c r="D159" s="52">
        <f ca="1">S0*EXP((μ-0.5*σ*σ)*T+σ*SQRT(T)*$C159)</f>
        <v>0.55348239548238809</v>
      </c>
      <c r="E159" s="52">
        <f t="shared" ca="1" si="7"/>
        <v>0</v>
      </c>
      <c r="F159" s="17">
        <f t="shared" ca="1" si="8"/>
        <v>0</v>
      </c>
      <c r="H159" s="17">
        <v>150</v>
      </c>
      <c r="I159" s="45">
        <v>0.67210647886830144</v>
      </c>
      <c r="J159" s="45">
        <v>1.9978978052145005E-2</v>
      </c>
      <c r="K159" s="45">
        <v>0.25159999999999999</v>
      </c>
      <c r="N159" s="54"/>
    </row>
    <row r="160" spans="2:14" x14ac:dyDescent="0.2">
      <c r="B160">
        <v>151</v>
      </c>
      <c r="C160" s="52">
        <f t="shared" ca="1" si="9"/>
        <v>0.24082709972893918</v>
      </c>
      <c r="D160" s="52">
        <f ca="1">S0*EXP((μ-0.5*σ*σ)*T+σ*SQRT(T)*$C160)</f>
        <v>0.68815740690786686</v>
      </c>
      <c r="E160" s="52">
        <f t="shared" ca="1" si="7"/>
        <v>0</v>
      </c>
      <c r="F160" s="17">
        <f t="shared" ca="1" si="8"/>
        <v>0</v>
      </c>
      <c r="H160" s="17">
        <v>151</v>
      </c>
      <c r="I160" s="45">
        <v>0.67111243022940836</v>
      </c>
      <c r="J160" s="45">
        <v>1.8924231762056272E-2</v>
      </c>
      <c r="K160" s="45">
        <v>0.246</v>
      </c>
      <c r="N160" s="54"/>
    </row>
    <row r="161" spans="2:14" x14ac:dyDescent="0.2">
      <c r="B161">
        <v>152</v>
      </c>
      <c r="C161" s="52">
        <f t="shared" ca="1" si="9"/>
        <v>0.27046081648310089</v>
      </c>
      <c r="D161" s="52">
        <f ca="1">S0*EXP((μ-0.5*σ*σ)*T+σ*SQRT(T)*$C161)</f>
        <v>0.69381775396672152</v>
      </c>
      <c r="E161" s="52">
        <f t="shared" ca="1" si="7"/>
        <v>0</v>
      </c>
      <c r="F161" s="17">
        <f t="shared" ca="1" si="8"/>
        <v>0</v>
      </c>
      <c r="H161" s="17">
        <v>152</v>
      </c>
      <c r="I161" s="45">
        <v>0.6721949629655567</v>
      </c>
      <c r="J161" s="45">
        <v>1.9857050271641377E-2</v>
      </c>
      <c r="K161" s="45">
        <v>0.253</v>
      </c>
      <c r="N161" s="54"/>
    </row>
    <row r="162" spans="2:14" x14ac:dyDescent="0.2">
      <c r="B162">
        <v>153</v>
      </c>
      <c r="C162" s="52">
        <f t="shared" ca="1" si="9"/>
        <v>1.0922477687215086</v>
      </c>
      <c r="D162" s="52">
        <f ca="1">S0*EXP((μ-0.5*σ*σ)*T+σ*SQRT(T)*$C162)</f>
        <v>0.87077006821609992</v>
      </c>
      <c r="E162" s="52">
        <f t="shared" ca="1" si="7"/>
        <v>0</v>
      </c>
      <c r="F162" s="17">
        <f t="shared" ca="1" si="8"/>
        <v>0</v>
      </c>
      <c r="H162" s="17">
        <v>153</v>
      </c>
      <c r="I162" s="45">
        <v>0.67067560687372474</v>
      </c>
      <c r="J162" s="45">
        <v>1.8707019597304333E-2</v>
      </c>
      <c r="K162" s="45">
        <v>0.25140000000000001</v>
      </c>
      <c r="N162" s="54"/>
    </row>
    <row r="163" spans="2:14" x14ac:dyDescent="0.2">
      <c r="B163">
        <v>154</v>
      </c>
      <c r="C163" s="52">
        <f t="shared" ca="1" si="9"/>
        <v>1.0076368844261507</v>
      </c>
      <c r="D163" s="52">
        <f ca="1">S0*EXP((μ-0.5*σ*σ)*T+σ*SQRT(T)*$C163)</f>
        <v>0.85063978675433272</v>
      </c>
      <c r="E163" s="52">
        <f t="shared" ca="1" si="7"/>
        <v>0</v>
      </c>
      <c r="F163" s="17">
        <f t="shared" ca="1" si="8"/>
        <v>0</v>
      </c>
      <c r="H163" s="17">
        <v>154</v>
      </c>
      <c r="I163" s="45">
        <v>0.67176494489132266</v>
      </c>
      <c r="J163" s="45">
        <v>1.9486783427525536E-2</v>
      </c>
      <c r="K163" s="45">
        <v>0.25580000000000003</v>
      </c>
      <c r="N163" s="54"/>
    </row>
    <row r="164" spans="2:14" x14ac:dyDescent="0.2">
      <c r="B164">
        <v>155</v>
      </c>
      <c r="C164" s="52">
        <f t="shared" ca="1" si="9"/>
        <v>0.30453947416662358</v>
      </c>
      <c r="D164" s="52">
        <f ca="1">S0*EXP((μ-0.5*σ*σ)*T+σ*SQRT(T)*$C164)</f>
        <v>0.70038471200294972</v>
      </c>
      <c r="E164" s="52">
        <f t="shared" ca="1" si="7"/>
        <v>0</v>
      </c>
      <c r="F164" s="17">
        <f t="shared" ca="1" si="8"/>
        <v>0</v>
      </c>
      <c r="H164" s="17">
        <v>155</v>
      </c>
      <c r="I164" s="45">
        <v>0.67112549805700406</v>
      </c>
      <c r="J164" s="45">
        <v>1.9001026833449782E-2</v>
      </c>
      <c r="K164" s="45">
        <v>0.246</v>
      </c>
      <c r="N164" s="54"/>
    </row>
    <row r="165" spans="2:14" x14ac:dyDescent="0.2">
      <c r="B165">
        <v>156</v>
      </c>
      <c r="C165" s="52">
        <f t="shared" ca="1" si="9"/>
        <v>0.43048424818643516</v>
      </c>
      <c r="D165" s="52">
        <f ca="1">S0*EXP((μ-0.5*σ*σ)*T+σ*SQRT(T)*$C165)</f>
        <v>0.72519820451704742</v>
      </c>
      <c r="E165" s="52">
        <f t="shared" ca="1" si="7"/>
        <v>0</v>
      </c>
      <c r="F165" s="17">
        <f t="shared" ca="1" si="8"/>
        <v>0</v>
      </c>
      <c r="H165" s="17">
        <v>156</v>
      </c>
      <c r="I165" s="45">
        <v>0.66982596510993475</v>
      </c>
      <c r="J165" s="45">
        <v>1.8285081220512277E-2</v>
      </c>
      <c r="K165" s="45">
        <v>0.24379999999999999</v>
      </c>
      <c r="N165" s="54"/>
    </row>
    <row r="166" spans="2:14" x14ac:dyDescent="0.2">
      <c r="B166">
        <v>157</v>
      </c>
      <c r="C166" s="52">
        <f t="shared" ca="1" si="9"/>
        <v>0.44517471451258822</v>
      </c>
      <c r="D166" s="52">
        <f ca="1">S0*EXP((μ-0.5*σ*σ)*T+σ*SQRT(T)*$C166)</f>
        <v>0.72814916599752311</v>
      </c>
      <c r="E166" s="52">
        <f t="shared" ca="1" si="7"/>
        <v>0</v>
      </c>
      <c r="F166" s="17">
        <f t="shared" ca="1" si="8"/>
        <v>0</v>
      </c>
      <c r="H166" s="17">
        <v>157</v>
      </c>
      <c r="I166" s="45">
        <v>0.67008391025153191</v>
      </c>
      <c r="J166" s="45">
        <v>1.820442035995078E-2</v>
      </c>
      <c r="K166" s="45">
        <v>0.247</v>
      </c>
      <c r="N166" s="54"/>
    </row>
    <row r="167" spans="2:14" x14ac:dyDescent="0.2">
      <c r="B167">
        <v>158</v>
      </c>
      <c r="C167" s="52">
        <f t="shared" ca="1" si="9"/>
        <v>-2.2689783918053559</v>
      </c>
      <c r="D167" s="52">
        <f ca="1">S0*EXP((μ-0.5*σ*σ)*T+σ*SQRT(T)*$C167)</f>
        <v>0.34385696163580626</v>
      </c>
      <c r="E167" s="52">
        <f t="shared" ca="1" si="7"/>
        <v>0.19054303836419373</v>
      </c>
      <c r="F167" s="17">
        <f t="shared" ca="1" si="8"/>
        <v>1</v>
      </c>
      <c r="H167" s="17">
        <v>158</v>
      </c>
      <c r="I167" s="45">
        <v>0.67195738291149232</v>
      </c>
      <c r="J167" s="45">
        <v>1.955799033353341E-2</v>
      </c>
      <c r="K167" s="45">
        <v>0.24679999999999999</v>
      </c>
      <c r="N167" s="54"/>
    </row>
    <row r="168" spans="2:14" x14ac:dyDescent="0.2">
      <c r="B168">
        <v>159</v>
      </c>
      <c r="C168" s="52">
        <f t="shared" ca="1" si="9"/>
        <v>0.20984771057233328</v>
      </c>
      <c r="D168" s="52">
        <f ca="1">S0*EXP((μ-0.5*σ*σ)*T+σ*SQRT(T)*$C168)</f>
        <v>0.68228938803738215</v>
      </c>
      <c r="E168" s="52">
        <f t="shared" ca="1" si="7"/>
        <v>0</v>
      </c>
      <c r="F168" s="17">
        <f t="shared" ca="1" si="8"/>
        <v>0</v>
      </c>
      <c r="H168" s="17">
        <v>159</v>
      </c>
      <c r="I168" s="45">
        <v>0.66970218828100736</v>
      </c>
      <c r="J168" s="45">
        <v>1.8074046487233108E-2</v>
      </c>
      <c r="K168" s="45">
        <v>0.24460000000000001</v>
      </c>
      <c r="N168" s="54"/>
    </row>
    <row r="169" spans="2:14" x14ac:dyDescent="0.2">
      <c r="B169">
        <v>160</v>
      </c>
      <c r="C169" s="52">
        <f t="shared" ca="1" si="9"/>
        <v>-0.61112701333800912</v>
      </c>
      <c r="D169" s="52">
        <f ca="1">S0*EXP((μ-0.5*σ*σ)*T+σ*SQRT(T)*$C169)</f>
        <v>0.54376098496715886</v>
      </c>
      <c r="E169" s="52">
        <f t="shared" ca="1" si="7"/>
        <v>0</v>
      </c>
      <c r="F169" s="17">
        <f t="shared" ca="1" si="8"/>
        <v>0</v>
      </c>
      <c r="H169" s="17">
        <v>160</v>
      </c>
      <c r="I169" s="45">
        <v>0.67167132621658265</v>
      </c>
      <c r="J169" s="45">
        <v>1.9440642479511171E-2</v>
      </c>
      <c r="K169" s="45">
        <v>0.2432</v>
      </c>
      <c r="N169" s="54"/>
    </row>
    <row r="170" spans="2:14" x14ac:dyDescent="0.2">
      <c r="B170">
        <v>161</v>
      </c>
      <c r="C170" s="52">
        <f t="shared" ca="1" si="9"/>
        <v>0.3822230865074997</v>
      </c>
      <c r="D170" s="52">
        <f ca="1">S0*EXP((μ-0.5*σ*σ)*T+σ*SQRT(T)*$C170)</f>
        <v>0.71558761821951133</v>
      </c>
      <c r="E170" s="52">
        <f t="shared" ca="1" si="7"/>
        <v>0</v>
      </c>
      <c r="F170" s="17">
        <f t="shared" ca="1" si="8"/>
        <v>0</v>
      </c>
      <c r="H170" s="17">
        <v>161</v>
      </c>
      <c r="I170" s="45">
        <v>0.6708136265576079</v>
      </c>
      <c r="J170" s="45">
        <v>1.8646864364775029E-2</v>
      </c>
      <c r="K170" s="45">
        <v>0.24299999999999999</v>
      </c>
      <c r="N170" s="54"/>
    </row>
    <row r="171" spans="2:14" x14ac:dyDescent="0.2">
      <c r="B171">
        <v>162</v>
      </c>
      <c r="C171" s="52">
        <f t="shared" ca="1" si="9"/>
        <v>-1.1572951971391947</v>
      </c>
      <c r="D171" s="52">
        <f ca="1">S0*EXP((μ-0.5*σ*σ)*T+σ*SQRT(T)*$C171)</f>
        <v>0.46756161688485487</v>
      </c>
      <c r="E171" s="52">
        <f t="shared" ca="1" si="7"/>
        <v>6.6838383115145117E-2</v>
      </c>
      <c r="F171" s="17">
        <f t="shared" ca="1" si="8"/>
        <v>1</v>
      </c>
      <c r="H171" s="17">
        <v>162</v>
      </c>
      <c r="I171" s="45">
        <v>0.67080799626739274</v>
      </c>
      <c r="J171" s="45">
        <v>1.8872725664968861E-2</v>
      </c>
      <c r="K171" s="45">
        <v>0.24759999999999999</v>
      </c>
      <c r="N171" s="54"/>
    </row>
    <row r="172" spans="2:14" x14ac:dyDescent="0.2">
      <c r="B172">
        <v>163</v>
      </c>
      <c r="C172" s="52">
        <f t="shared" ca="1" si="9"/>
        <v>0.24191792257262096</v>
      </c>
      <c r="D172" s="52">
        <f ca="1">S0*EXP((μ-0.5*σ*σ)*T+σ*SQRT(T)*$C172)</f>
        <v>0.68836494442406226</v>
      </c>
      <c r="E172" s="52">
        <f t="shared" ca="1" si="7"/>
        <v>0</v>
      </c>
      <c r="F172" s="17">
        <f t="shared" ca="1" si="8"/>
        <v>0</v>
      </c>
      <c r="H172" s="17">
        <v>163</v>
      </c>
      <c r="I172" s="45">
        <v>0.67077520923061373</v>
      </c>
      <c r="J172" s="45">
        <v>1.8755182855670186E-2</v>
      </c>
      <c r="K172" s="45">
        <v>0.24399999999999999</v>
      </c>
      <c r="N172" s="54"/>
    </row>
    <row r="173" spans="2:14" x14ac:dyDescent="0.2">
      <c r="B173">
        <v>164</v>
      </c>
      <c r="C173" s="52">
        <f t="shared" ca="1" si="9"/>
        <v>0.57838818274133064</v>
      </c>
      <c r="D173" s="52">
        <f ca="1">S0*EXP((μ-0.5*σ*σ)*T+σ*SQRT(T)*$C173)</f>
        <v>0.75546273786962204</v>
      </c>
      <c r="E173" s="52">
        <f t="shared" ca="1" si="7"/>
        <v>0</v>
      </c>
      <c r="F173" s="17">
        <f t="shared" ca="1" si="8"/>
        <v>0</v>
      </c>
      <c r="H173" s="17">
        <v>164</v>
      </c>
      <c r="I173" s="45">
        <v>0.67031822519303585</v>
      </c>
      <c r="J173" s="45">
        <v>1.8615926519690719E-2</v>
      </c>
      <c r="K173" s="45">
        <v>0.24279999999999999</v>
      </c>
      <c r="N173" s="54"/>
    </row>
    <row r="174" spans="2:14" x14ac:dyDescent="0.2">
      <c r="B174">
        <v>165</v>
      </c>
      <c r="C174" s="52">
        <f t="shared" ca="1" si="9"/>
        <v>-1.367884440335789</v>
      </c>
      <c r="D174" s="52">
        <f ca="1">S0*EXP((μ-0.5*σ*σ)*T+σ*SQRT(T)*$C174)</f>
        <v>0.44112021168618737</v>
      </c>
      <c r="E174" s="52">
        <f t="shared" ca="1" si="7"/>
        <v>9.3279788313812617E-2</v>
      </c>
      <c r="F174" s="17">
        <f t="shared" ca="1" si="8"/>
        <v>1</v>
      </c>
      <c r="H174" s="17">
        <v>165</v>
      </c>
      <c r="I174" s="45">
        <v>0.67020182835113418</v>
      </c>
      <c r="J174" s="45">
        <v>1.8437204474194786E-2</v>
      </c>
      <c r="K174" s="45">
        <v>0.2392</v>
      </c>
      <c r="N174" s="54"/>
    </row>
    <row r="175" spans="2:14" x14ac:dyDescent="0.2">
      <c r="B175">
        <v>166</v>
      </c>
      <c r="C175" s="52">
        <f t="shared" ca="1" si="9"/>
        <v>-0.14883793070336493</v>
      </c>
      <c r="D175" s="52">
        <f ca="1">S0*EXP((μ-0.5*σ*σ)*T+σ*SQRT(T)*$C175)</f>
        <v>0.61788448177030775</v>
      </c>
      <c r="E175" s="52">
        <f t="shared" ca="1" si="7"/>
        <v>0</v>
      </c>
      <c r="F175" s="17">
        <f t="shared" ca="1" si="8"/>
        <v>0</v>
      </c>
      <c r="H175" s="17">
        <v>166</v>
      </c>
      <c r="I175" s="45">
        <v>0.67040725503930865</v>
      </c>
      <c r="J175" s="45">
        <v>1.8611353144066489E-2</v>
      </c>
      <c r="K175" s="45">
        <v>0.24660000000000001</v>
      </c>
      <c r="N175" s="54"/>
    </row>
    <row r="176" spans="2:14" x14ac:dyDescent="0.2">
      <c r="B176">
        <v>167</v>
      </c>
      <c r="C176" s="52">
        <f t="shared" ca="1" si="9"/>
        <v>-0.42569893865984559</v>
      </c>
      <c r="D176" s="52">
        <f ca="1">S0*EXP((μ-0.5*σ*σ)*T+σ*SQRT(T)*$C176)</f>
        <v>0.57235998229306473</v>
      </c>
      <c r="E176" s="52">
        <f t="shared" ca="1" si="7"/>
        <v>0</v>
      </c>
      <c r="F176" s="17">
        <f t="shared" ca="1" si="8"/>
        <v>0</v>
      </c>
      <c r="H176" s="17">
        <v>167</v>
      </c>
      <c r="I176" s="45">
        <v>0.67117260608968499</v>
      </c>
      <c r="J176" s="45">
        <v>1.9103196009689433E-2</v>
      </c>
      <c r="K176" s="45">
        <v>0.24540000000000001</v>
      </c>
      <c r="N176" s="54"/>
    </row>
    <row r="177" spans="2:14" x14ac:dyDescent="0.2">
      <c r="B177">
        <v>168</v>
      </c>
      <c r="C177" s="52">
        <f t="shared" ca="1" si="9"/>
        <v>1.2941026463325125</v>
      </c>
      <c r="D177" s="52">
        <f ca="1">S0*EXP((μ-0.5*σ*σ)*T+σ*SQRT(T)*$C177)</f>
        <v>0.9207395511876888</v>
      </c>
      <c r="E177" s="52">
        <f t="shared" ca="1" si="7"/>
        <v>0</v>
      </c>
      <c r="F177" s="17">
        <f t="shared" ca="1" si="8"/>
        <v>0</v>
      </c>
      <c r="H177" s="17">
        <v>168</v>
      </c>
      <c r="I177" s="45">
        <v>0.67047683024505134</v>
      </c>
      <c r="J177" s="45">
        <v>1.8865635767930319E-2</v>
      </c>
      <c r="K177" s="45">
        <v>0.24840000000000001</v>
      </c>
      <c r="N177" s="54"/>
    </row>
    <row r="178" spans="2:14" x14ac:dyDescent="0.2">
      <c r="B178">
        <v>169</v>
      </c>
      <c r="C178" s="52">
        <f t="shared" ca="1" si="9"/>
        <v>8.5965581153374118E-2</v>
      </c>
      <c r="D178" s="52">
        <f ca="1">S0*EXP((μ-0.5*σ*σ)*T+σ*SQRT(T)*$C178)</f>
        <v>0.65931989534282387</v>
      </c>
      <c r="E178" s="52">
        <f t="shared" ca="1" si="7"/>
        <v>0</v>
      </c>
      <c r="F178" s="17">
        <f t="shared" ca="1" si="8"/>
        <v>0</v>
      </c>
      <c r="H178" s="17">
        <v>169</v>
      </c>
      <c r="I178" s="45">
        <v>0.67140247559042454</v>
      </c>
      <c r="J178" s="45">
        <v>1.8979633177236128E-2</v>
      </c>
      <c r="K178" s="45">
        <v>0.2472</v>
      </c>
      <c r="N178" s="54"/>
    </row>
    <row r="179" spans="2:14" x14ac:dyDescent="0.2">
      <c r="B179">
        <v>170</v>
      </c>
      <c r="C179" s="52">
        <f t="shared" ca="1" si="9"/>
        <v>-1.0999957940783149</v>
      </c>
      <c r="D179" s="52">
        <f ca="1">S0*EXP((μ-0.5*σ*σ)*T+σ*SQRT(T)*$C179)</f>
        <v>0.47502648427496952</v>
      </c>
      <c r="E179" s="52">
        <f t="shared" ca="1" si="7"/>
        <v>5.9373515725030468E-2</v>
      </c>
      <c r="F179" s="17">
        <f t="shared" ca="1" si="8"/>
        <v>1</v>
      </c>
      <c r="H179" s="17">
        <v>170</v>
      </c>
      <c r="I179" s="45">
        <v>0.67048515984587442</v>
      </c>
      <c r="J179" s="45">
        <v>1.8870834390072515E-2</v>
      </c>
      <c r="K179" s="45">
        <v>0.24160000000000001</v>
      </c>
      <c r="N179" s="54"/>
    </row>
    <row r="180" spans="2:14" x14ac:dyDescent="0.2">
      <c r="B180">
        <v>171</v>
      </c>
      <c r="C180" s="52">
        <f t="shared" ca="1" si="9"/>
        <v>-0.53195710368735205</v>
      </c>
      <c r="D180" s="52">
        <f ca="1">S0*EXP((μ-0.5*σ*σ)*T+σ*SQRT(T)*$C180)</f>
        <v>0.55579244351006907</v>
      </c>
      <c r="E180" s="52">
        <f t="shared" ca="1" si="7"/>
        <v>0</v>
      </c>
      <c r="F180" s="17">
        <f t="shared" ca="1" si="8"/>
        <v>0</v>
      </c>
      <c r="H180" s="17">
        <v>171</v>
      </c>
      <c r="I180" s="45">
        <v>0.67156504923541283</v>
      </c>
      <c r="J180" s="45">
        <v>1.9461501165119553E-2</v>
      </c>
      <c r="K180" s="45">
        <v>0.25359999999999999</v>
      </c>
      <c r="N180" s="54"/>
    </row>
    <row r="181" spans="2:14" x14ac:dyDescent="0.2">
      <c r="B181">
        <v>172</v>
      </c>
      <c r="C181" s="52">
        <f t="shared" ca="1" si="9"/>
        <v>-0.13847442730319962</v>
      </c>
      <c r="D181" s="52">
        <f ca="1">S0*EXP((μ-0.5*σ*σ)*T+σ*SQRT(T)*$C181)</f>
        <v>0.61965714092569013</v>
      </c>
      <c r="E181" s="52">
        <f t="shared" ca="1" si="7"/>
        <v>0</v>
      </c>
      <c r="F181" s="17">
        <f t="shared" ca="1" si="8"/>
        <v>0</v>
      </c>
      <c r="H181" s="17">
        <v>172</v>
      </c>
      <c r="I181" s="45">
        <v>0.67075546434045819</v>
      </c>
      <c r="J181" s="45">
        <v>1.8846450551137373E-2</v>
      </c>
      <c r="K181" s="45">
        <v>0.23980000000000001</v>
      </c>
      <c r="N181" s="54"/>
    </row>
    <row r="182" spans="2:14" x14ac:dyDescent="0.2">
      <c r="B182">
        <v>173</v>
      </c>
      <c r="C182" s="52">
        <f t="shared" ca="1" si="9"/>
        <v>1.3749417749268111</v>
      </c>
      <c r="D182" s="52">
        <f ca="1">S0*EXP((μ-0.5*σ*σ)*T+σ*SQRT(T)*$C182)</f>
        <v>0.94154653241137021</v>
      </c>
      <c r="E182" s="52">
        <f t="shared" ca="1" si="7"/>
        <v>0</v>
      </c>
      <c r="F182" s="17">
        <f t="shared" ca="1" si="8"/>
        <v>0</v>
      </c>
      <c r="H182" s="17">
        <v>173</v>
      </c>
      <c r="I182" s="45">
        <v>0.6711507895982507</v>
      </c>
      <c r="J182" s="45">
        <v>1.9025548889597396E-2</v>
      </c>
      <c r="K182" s="45">
        <v>0.247</v>
      </c>
      <c r="N182" s="54"/>
    </row>
    <row r="183" spans="2:14" x14ac:dyDescent="0.2">
      <c r="B183">
        <v>174</v>
      </c>
      <c r="C183" s="52">
        <f t="shared" ca="1" si="9"/>
        <v>-9.6196680786699101E-2</v>
      </c>
      <c r="D183" s="52">
        <f ca="1">S0*EXP((μ-0.5*σ*σ)*T+σ*SQRT(T)*$C183)</f>
        <v>0.62694152221949762</v>
      </c>
      <c r="E183" s="52">
        <f t="shared" ca="1" si="7"/>
        <v>0</v>
      </c>
      <c r="F183" s="17">
        <f t="shared" ca="1" si="8"/>
        <v>0</v>
      </c>
      <c r="H183" s="17">
        <v>174</v>
      </c>
      <c r="I183" s="45">
        <v>0.66947782888135654</v>
      </c>
      <c r="J183" s="45">
        <v>1.7793201956714601E-2</v>
      </c>
      <c r="K183" s="45">
        <v>0.2394</v>
      </c>
      <c r="N183" s="54"/>
    </row>
    <row r="184" spans="2:14" x14ac:dyDescent="0.2">
      <c r="B184">
        <v>175</v>
      </c>
      <c r="C184" s="52">
        <f t="shared" ca="1" si="9"/>
        <v>-1.7836062963800365</v>
      </c>
      <c r="D184" s="52">
        <f ca="1">S0*EXP((μ-0.5*σ*σ)*T+σ*SQRT(T)*$C184)</f>
        <v>0.39323145785179614</v>
      </c>
      <c r="E184" s="52">
        <f t="shared" ca="1" si="7"/>
        <v>0.14116854214820385</v>
      </c>
      <c r="F184" s="17">
        <f t="shared" ca="1" si="8"/>
        <v>1</v>
      </c>
      <c r="H184" s="17">
        <v>175</v>
      </c>
      <c r="I184" s="45">
        <v>0.6699989240333436</v>
      </c>
      <c r="J184" s="45">
        <v>1.8312473998269005E-2</v>
      </c>
      <c r="K184" s="45">
        <v>0.245</v>
      </c>
      <c r="N184" s="54"/>
    </row>
    <row r="185" spans="2:14" x14ac:dyDescent="0.2">
      <c r="B185">
        <v>176</v>
      </c>
      <c r="C185" s="52">
        <f t="shared" ca="1" si="9"/>
        <v>1.3290223200204458</v>
      </c>
      <c r="D185" s="52">
        <f ca="1">S0*EXP((μ-0.5*σ*σ)*T+σ*SQRT(T)*$C185)</f>
        <v>0.929670423734969</v>
      </c>
      <c r="E185" s="52">
        <f t="shared" ca="1" si="7"/>
        <v>0</v>
      </c>
      <c r="F185" s="17">
        <f t="shared" ca="1" si="8"/>
        <v>0</v>
      </c>
      <c r="H185" s="17">
        <v>176</v>
      </c>
      <c r="I185" s="45">
        <v>0.67117124979240239</v>
      </c>
      <c r="J185" s="45">
        <v>1.9285053270624981E-2</v>
      </c>
      <c r="K185" s="45">
        <v>0.24340000000000001</v>
      </c>
      <c r="N185" s="54"/>
    </row>
    <row r="186" spans="2:14" x14ac:dyDescent="0.2">
      <c r="B186">
        <v>177</v>
      </c>
      <c r="C186" s="52">
        <f t="shared" ca="1" si="9"/>
        <v>0.36142443683405223</v>
      </c>
      <c r="D186" s="52">
        <f ca="1">S0*EXP((μ-0.5*σ*σ)*T+σ*SQRT(T)*$C186)</f>
        <v>0.7114852068612818</v>
      </c>
      <c r="E186" s="52">
        <f t="shared" ca="1" si="7"/>
        <v>0</v>
      </c>
      <c r="F186" s="17">
        <f t="shared" ca="1" si="8"/>
        <v>0</v>
      </c>
      <c r="H186" s="17">
        <v>177</v>
      </c>
      <c r="I186" s="45">
        <v>0.66990966050653811</v>
      </c>
      <c r="J186" s="45">
        <v>1.7975967485975745E-2</v>
      </c>
      <c r="K186" s="45">
        <v>0.2374</v>
      </c>
      <c r="N186" s="54"/>
    </row>
    <row r="187" spans="2:14" x14ac:dyDescent="0.2">
      <c r="B187">
        <v>178</v>
      </c>
      <c r="C187" s="52">
        <f t="shared" ca="1" si="9"/>
        <v>-0.72704863584938118</v>
      </c>
      <c r="D187" s="52">
        <f ca="1">S0*EXP((μ-0.5*σ*σ)*T+σ*SQRT(T)*$C187)</f>
        <v>0.52661265537846591</v>
      </c>
      <c r="E187" s="52">
        <f t="shared" ca="1" si="7"/>
        <v>7.7873446215340758E-3</v>
      </c>
      <c r="F187" s="17">
        <f t="shared" ca="1" si="8"/>
        <v>1</v>
      </c>
      <c r="H187" s="17">
        <v>178</v>
      </c>
      <c r="I187" s="45">
        <v>0.67223760378727859</v>
      </c>
      <c r="J187" s="45">
        <v>2.0166586821580471E-2</v>
      </c>
      <c r="K187" s="45">
        <v>0.25619999999999998</v>
      </c>
      <c r="N187" s="54"/>
    </row>
    <row r="188" spans="2:14" x14ac:dyDescent="0.2">
      <c r="B188">
        <v>179</v>
      </c>
      <c r="C188" s="52">
        <f t="shared" ca="1" si="9"/>
        <v>1.603651345759304</v>
      </c>
      <c r="D188" s="52">
        <f ca="1">S0*EXP((μ-0.5*σ*σ)*T+σ*SQRT(T)*$C188)</f>
        <v>1.0029957312658013</v>
      </c>
      <c r="E188" s="52">
        <f t="shared" ca="1" si="7"/>
        <v>0</v>
      </c>
      <c r="F188" s="17">
        <f t="shared" ca="1" si="8"/>
        <v>0</v>
      </c>
      <c r="H188" s="17">
        <v>179</v>
      </c>
      <c r="I188" s="45">
        <v>0.67072550204985648</v>
      </c>
      <c r="J188" s="45">
        <v>1.872938841509485E-2</v>
      </c>
      <c r="K188" s="45">
        <v>0.24440000000000001</v>
      </c>
      <c r="N188" s="54"/>
    </row>
    <row r="189" spans="2:14" x14ac:dyDescent="0.2">
      <c r="B189">
        <v>180</v>
      </c>
      <c r="C189" s="52">
        <f t="shared" ca="1" si="9"/>
        <v>-0.78810331888873109</v>
      </c>
      <c r="D189" s="52">
        <f ca="1">S0*EXP((μ-0.5*σ*σ)*T+σ*SQRT(T)*$C189)</f>
        <v>0.51779933319546645</v>
      </c>
      <c r="E189" s="52">
        <f t="shared" ca="1" si="7"/>
        <v>1.6600666804533537E-2</v>
      </c>
      <c r="F189" s="17">
        <f t="shared" ca="1" si="8"/>
        <v>1</v>
      </c>
      <c r="H189" s="17">
        <v>180</v>
      </c>
      <c r="I189" s="45">
        <v>0.67113133804510716</v>
      </c>
      <c r="J189" s="45">
        <v>1.9251335950015439E-2</v>
      </c>
      <c r="K189" s="45">
        <v>0.24340000000000001</v>
      </c>
      <c r="N189" s="54"/>
    </row>
    <row r="190" spans="2:14" x14ac:dyDescent="0.2">
      <c r="B190">
        <v>181</v>
      </c>
      <c r="C190" s="52">
        <f t="shared" ca="1" si="9"/>
        <v>0.54174177839420967</v>
      </c>
      <c r="D190" s="52">
        <f ca="1">S0*EXP((μ-0.5*σ*σ)*T+σ*SQRT(T)*$C190)</f>
        <v>0.74784833872253587</v>
      </c>
      <c r="E190" s="52">
        <f t="shared" ca="1" si="7"/>
        <v>0</v>
      </c>
      <c r="F190" s="17">
        <f t="shared" ca="1" si="8"/>
        <v>0</v>
      </c>
      <c r="H190" s="17">
        <v>181</v>
      </c>
      <c r="I190" s="45">
        <v>0.67048611012141968</v>
      </c>
      <c r="J190" s="45">
        <v>1.8670670896908048E-2</v>
      </c>
      <c r="K190" s="45">
        <v>0.2432</v>
      </c>
      <c r="N190" s="54"/>
    </row>
    <row r="191" spans="2:14" x14ac:dyDescent="0.2">
      <c r="B191">
        <v>182</v>
      </c>
      <c r="C191" s="52">
        <f t="shared" ca="1" si="9"/>
        <v>0.11076892083719141</v>
      </c>
      <c r="D191" s="52">
        <f ca="1">S0*EXP((μ-0.5*σ*σ)*T+σ*SQRT(T)*$C191)</f>
        <v>0.66385602201371208</v>
      </c>
      <c r="E191" s="52">
        <f t="shared" ca="1" si="7"/>
        <v>0</v>
      </c>
      <c r="F191" s="17">
        <f t="shared" ca="1" si="8"/>
        <v>0</v>
      </c>
      <c r="H191" s="17">
        <v>182</v>
      </c>
      <c r="I191" s="45">
        <v>0.67124812781386467</v>
      </c>
      <c r="J191" s="45">
        <v>1.8991760506090138E-2</v>
      </c>
      <c r="K191" s="45">
        <v>0.2346</v>
      </c>
      <c r="N191" s="54"/>
    </row>
    <row r="192" spans="2:14" x14ac:dyDescent="0.2">
      <c r="B192">
        <v>183</v>
      </c>
      <c r="C192" s="52">
        <f t="shared" ca="1" si="9"/>
        <v>1.1679245189244116</v>
      </c>
      <c r="D192" s="52">
        <f ca="1">S0*EXP((μ-0.5*σ*σ)*T+σ*SQRT(T)*$C192)</f>
        <v>0.88917802651393085</v>
      </c>
      <c r="E192" s="52">
        <f t="shared" ca="1" si="7"/>
        <v>0</v>
      </c>
      <c r="F192" s="17">
        <f t="shared" ca="1" si="8"/>
        <v>0</v>
      </c>
      <c r="H192" s="17">
        <v>183</v>
      </c>
      <c r="I192" s="45">
        <v>0.67119982660866961</v>
      </c>
      <c r="J192" s="45">
        <v>1.920265771653825E-2</v>
      </c>
      <c r="K192" s="45">
        <v>0.25519999999999998</v>
      </c>
      <c r="N192" s="54"/>
    </row>
    <row r="193" spans="2:14" x14ac:dyDescent="0.2">
      <c r="B193">
        <v>184</v>
      </c>
      <c r="C193" s="52">
        <f t="shared" ca="1" si="9"/>
        <v>1.779068871474536</v>
      </c>
      <c r="D193" s="52">
        <f ca="1">S0*EXP((μ-0.5*σ*σ)*T+σ*SQRT(T)*$C193)</f>
        <v>1.0528306146833557</v>
      </c>
      <c r="E193" s="52">
        <f t="shared" ca="1" si="7"/>
        <v>0</v>
      </c>
      <c r="F193" s="17">
        <f t="shared" ca="1" si="8"/>
        <v>0</v>
      </c>
      <c r="H193" s="17">
        <v>184</v>
      </c>
      <c r="I193" s="45">
        <v>0.6710684554741001</v>
      </c>
      <c r="J193" s="45">
        <v>1.8922639543919526E-2</v>
      </c>
      <c r="K193" s="45">
        <v>0.2412</v>
      </c>
      <c r="N193" s="54"/>
    </row>
    <row r="194" spans="2:14" x14ac:dyDescent="0.2">
      <c r="B194">
        <v>185</v>
      </c>
      <c r="C194" s="52">
        <f t="shared" ca="1" si="9"/>
        <v>-7.3053692389683497E-2</v>
      </c>
      <c r="D194" s="52">
        <f ca="1">S0*EXP((μ-0.5*σ*σ)*T+σ*SQRT(T)*$C194)</f>
        <v>0.63096522161753377</v>
      </c>
      <c r="E194" s="52">
        <f t="shared" ca="1" si="7"/>
        <v>0</v>
      </c>
      <c r="F194" s="17">
        <f t="shared" ca="1" si="8"/>
        <v>0</v>
      </c>
      <c r="H194" s="17">
        <v>185</v>
      </c>
      <c r="I194" s="45">
        <v>0.6701371571047362</v>
      </c>
      <c r="J194" s="45">
        <v>1.8466556384805814E-2</v>
      </c>
      <c r="K194" s="45">
        <v>0.2452</v>
      </c>
      <c r="N194" s="54"/>
    </row>
    <row r="195" spans="2:14" x14ac:dyDescent="0.2">
      <c r="B195">
        <v>186</v>
      </c>
      <c r="C195" s="52">
        <f t="shared" ca="1" si="9"/>
        <v>-0.25325073240212059</v>
      </c>
      <c r="D195" s="52">
        <f ca="1">S0*EXP((μ-0.5*σ*σ)*T+σ*SQRT(T)*$C195)</f>
        <v>0.60030533900949667</v>
      </c>
      <c r="E195" s="52">
        <f t="shared" ca="1" si="7"/>
        <v>0</v>
      </c>
      <c r="F195" s="17">
        <f t="shared" ca="1" si="8"/>
        <v>0</v>
      </c>
      <c r="H195" s="17">
        <v>186</v>
      </c>
      <c r="I195" s="45">
        <v>0.67008682725691437</v>
      </c>
      <c r="J195" s="45">
        <v>1.8549753541127291E-2</v>
      </c>
      <c r="K195" s="45">
        <v>0.24840000000000001</v>
      </c>
      <c r="N195" s="54"/>
    </row>
    <row r="196" spans="2:14" x14ac:dyDescent="0.2">
      <c r="B196">
        <v>187</v>
      </c>
      <c r="C196" s="52">
        <f t="shared" ca="1" si="9"/>
        <v>5.2548888250831607E-2</v>
      </c>
      <c r="D196" s="52">
        <f ca="1">S0*EXP((μ-0.5*σ*σ)*T+σ*SQRT(T)*$C196)</f>
        <v>0.653257497610225</v>
      </c>
      <c r="E196" s="52">
        <f t="shared" ca="1" si="7"/>
        <v>0</v>
      </c>
      <c r="F196" s="17">
        <f t="shared" ca="1" si="8"/>
        <v>0</v>
      </c>
      <c r="H196" s="17">
        <v>187</v>
      </c>
      <c r="I196" s="45">
        <v>0.67092157316366163</v>
      </c>
      <c r="J196" s="45">
        <v>1.8737303706397562E-2</v>
      </c>
      <c r="K196" s="45">
        <v>0.24260000000000001</v>
      </c>
      <c r="N196" s="54"/>
    </row>
    <row r="197" spans="2:14" x14ac:dyDescent="0.2">
      <c r="B197">
        <v>188</v>
      </c>
      <c r="C197" s="52">
        <f t="shared" ca="1" si="9"/>
        <v>0.31595019004048325</v>
      </c>
      <c r="D197" s="52">
        <f ca="1">S0*EXP((μ-0.5*σ*σ)*T+σ*SQRT(T)*$C197)</f>
        <v>0.70259741842961942</v>
      </c>
      <c r="E197" s="52">
        <f t="shared" ca="1" si="7"/>
        <v>0</v>
      </c>
      <c r="F197" s="17">
        <f t="shared" ca="1" si="8"/>
        <v>0</v>
      </c>
      <c r="H197" s="17">
        <v>188</v>
      </c>
      <c r="I197" s="45">
        <v>0.67137643969343075</v>
      </c>
      <c r="J197" s="45">
        <v>1.9273169918700987E-2</v>
      </c>
      <c r="K197" s="45">
        <v>0.24840000000000001</v>
      </c>
      <c r="N197" s="54"/>
    </row>
    <row r="198" spans="2:14" x14ac:dyDescent="0.2">
      <c r="B198">
        <v>189</v>
      </c>
      <c r="C198" s="52">
        <f t="shared" ca="1" si="9"/>
        <v>0.47598887567367743</v>
      </c>
      <c r="D198" s="52">
        <f ca="1">S0*EXP((μ-0.5*σ*σ)*T+σ*SQRT(T)*$C198)</f>
        <v>0.7343780581123619</v>
      </c>
      <c r="E198" s="52">
        <f t="shared" ca="1" si="7"/>
        <v>0</v>
      </c>
      <c r="F198" s="17">
        <f t="shared" ca="1" si="8"/>
        <v>0</v>
      </c>
      <c r="H198" s="17">
        <v>189</v>
      </c>
      <c r="I198" s="45">
        <v>0.67166546891818857</v>
      </c>
      <c r="J198" s="45">
        <v>1.9296714195829661E-2</v>
      </c>
      <c r="K198" s="45">
        <v>0.24360000000000001</v>
      </c>
      <c r="N198" s="54"/>
    </row>
    <row r="199" spans="2:14" x14ac:dyDescent="0.2">
      <c r="B199">
        <v>190</v>
      </c>
      <c r="C199" s="52">
        <f t="shared" ca="1" si="9"/>
        <v>1.2313343918548583</v>
      </c>
      <c r="D199" s="52">
        <f ca="1">S0*EXP((μ-0.5*σ*σ)*T+σ*SQRT(T)*$C199)</f>
        <v>0.90490143013058166</v>
      </c>
      <c r="E199" s="52">
        <f t="shared" ca="1" si="7"/>
        <v>0</v>
      </c>
      <c r="F199" s="17">
        <f t="shared" ca="1" si="8"/>
        <v>0</v>
      </c>
      <c r="H199" s="17">
        <v>190</v>
      </c>
      <c r="I199" s="45">
        <v>0.67031667211378432</v>
      </c>
      <c r="J199" s="45">
        <v>1.8455138507069351E-2</v>
      </c>
      <c r="K199" s="45">
        <v>0.24060000000000001</v>
      </c>
      <c r="N199" s="54"/>
    </row>
    <row r="200" spans="2:14" x14ac:dyDescent="0.2">
      <c r="B200">
        <v>191</v>
      </c>
      <c r="C200" s="52">
        <f t="shared" ca="1" si="9"/>
        <v>3.9572406340254898E-2</v>
      </c>
      <c r="D200" s="52">
        <f ca="1">S0*EXP((μ-0.5*σ*σ)*T+σ*SQRT(T)*$C200)</f>
        <v>0.65091838144773451</v>
      </c>
      <c r="E200" s="52">
        <f t="shared" ca="1" si="7"/>
        <v>0</v>
      </c>
      <c r="F200" s="17">
        <f t="shared" ca="1" si="8"/>
        <v>0</v>
      </c>
      <c r="H200" s="17">
        <v>191</v>
      </c>
      <c r="I200" s="45">
        <v>0.67086567588244883</v>
      </c>
      <c r="J200" s="45">
        <v>1.9213701489589202E-2</v>
      </c>
      <c r="K200" s="45">
        <v>0.24940000000000001</v>
      </c>
      <c r="N200" s="54"/>
    </row>
    <row r="201" spans="2:14" x14ac:dyDescent="0.2">
      <c r="B201">
        <v>192</v>
      </c>
      <c r="C201" s="52">
        <f t="shared" ca="1" si="9"/>
        <v>-0.38355141130194703</v>
      </c>
      <c r="D201" s="52">
        <f ca="1">S0*EXP((μ-0.5*σ*σ)*T+σ*SQRT(T)*$C201)</f>
        <v>0.57906751674506807</v>
      </c>
      <c r="E201" s="52">
        <f t="shared" ca="1" si="7"/>
        <v>0</v>
      </c>
      <c r="F201" s="17">
        <f t="shared" ca="1" si="8"/>
        <v>0</v>
      </c>
      <c r="H201" s="17">
        <v>192</v>
      </c>
      <c r="I201" s="45">
        <v>0.67046316158429575</v>
      </c>
      <c r="J201" s="45">
        <v>1.8508862346267307E-2</v>
      </c>
      <c r="K201" s="45">
        <v>0.245</v>
      </c>
      <c r="N201" s="54"/>
    </row>
    <row r="202" spans="2:14" x14ac:dyDescent="0.2">
      <c r="B202">
        <v>193</v>
      </c>
      <c r="C202" s="52">
        <f t="shared" ca="1" si="9"/>
        <v>-0.26106825069180012</v>
      </c>
      <c r="D202" s="52">
        <f ca="1">S0*EXP((μ-0.5*σ*σ)*T+σ*SQRT(T)*$C202)</f>
        <v>0.59900947013232952</v>
      </c>
      <c r="E202" s="52">
        <f t="shared" ref="E202:E265" ca="1" si="10">MAX(0,CP*(D202-K))</f>
        <v>0</v>
      </c>
      <c r="F202" s="17">
        <f t="shared" ref="F202:F265" ca="1" si="11">(CP*(D202-K)&gt;0)*1</f>
        <v>0</v>
      </c>
      <c r="H202" s="17">
        <v>193</v>
      </c>
      <c r="I202" s="45">
        <v>0.67053159760730352</v>
      </c>
      <c r="J202" s="45">
        <v>1.8817340669221593E-2</v>
      </c>
      <c r="K202" s="45">
        <v>0.24779999999999999</v>
      </c>
      <c r="N202" s="54"/>
    </row>
    <row r="203" spans="2:14" x14ac:dyDescent="0.2">
      <c r="B203">
        <v>194</v>
      </c>
      <c r="C203" s="52">
        <f t="shared" ref="C203:C266" ca="1" si="12">_xlfn.NORM.S.INV(RAND())</f>
        <v>-0.53193211767109805</v>
      </c>
      <c r="D203" s="52">
        <f ca="1">S0*EXP((μ-0.5*σ*σ)*T+σ*SQRT(T)*$C203)</f>
        <v>0.55579628235242295</v>
      </c>
      <c r="E203" s="52">
        <f t="shared" ca="1" si="10"/>
        <v>0</v>
      </c>
      <c r="F203" s="17">
        <f t="shared" ca="1" si="11"/>
        <v>0</v>
      </c>
      <c r="H203" s="17">
        <v>194</v>
      </c>
      <c r="I203" s="45">
        <v>0.67211907297197782</v>
      </c>
      <c r="J203" s="45">
        <v>1.9825267442844616E-2</v>
      </c>
      <c r="K203" s="45">
        <v>0.253</v>
      </c>
      <c r="N203" s="54"/>
    </row>
    <row r="204" spans="2:14" x14ac:dyDescent="0.2">
      <c r="B204">
        <v>195</v>
      </c>
      <c r="C204" s="52">
        <f t="shared" ca="1" si="12"/>
        <v>-0.18947314660678954</v>
      </c>
      <c r="D204" s="52">
        <f ca="1">S0*EXP((μ-0.5*σ*σ)*T+σ*SQRT(T)*$C204)</f>
        <v>0.61098268649931042</v>
      </c>
      <c r="E204" s="52">
        <f t="shared" ca="1" si="10"/>
        <v>0</v>
      </c>
      <c r="F204" s="17">
        <f t="shared" ca="1" si="11"/>
        <v>0</v>
      </c>
      <c r="H204" s="17">
        <v>195</v>
      </c>
      <c r="I204" s="45">
        <v>0.67031541247504578</v>
      </c>
      <c r="J204" s="45">
        <v>1.8490044458320701E-2</v>
      </c>
      <c r="K204" s="45">
        <v>0.24</v>
      </c>
      <c r="N204" s="54"/>
    </row>
    <row r="205" spans="2:14" x14ac:dyDescent="0.2">
      <c r="B205">
        <v>196</v>
      </c>
      <c r="C205" s="52">
        <f t="shared" ca="1" si="12"/>
        <v>-2.5867233996526822</v>
      </c>
      <c r="D205" s="52">
        <f ca="1">S0*EXP((μ-0.5*σ*σ)*T+σ*SQRT(T)*$C205)</f>
        <v>0.31494269784963141</v>
      </c>
      <c r="E205" s="52">
        <f t="shared" ca="1" si="10"/>
        <v>0.21945730215036857</v>
      </c>
      <c r="F205" s="17">
        <f t="shared" ca="1" si="11"/>
        <v>1</v>
      </c>
      <c r="H205" s="17">
        <v>196</v>
      </c>
      <c r="I205" s="45">
        <v>0.67160240123790305</v>
      </c>
      <c r="J205" s="45">
        <v>1.9341801498905013E-2</v>
      </c>
      <c r="K205" s="45">
        <v>0.24740000000000001</v>
      </c>
      <c r="N205" s="54"/>
    </row>
    <row r="206" spans="2:14" x14ac:dyDescent="0.2">
      <c r="B206">
        <v>197</v>
      </c>
      <c r="C206" s="52">
        <f t="shared" ca="1" si="12"/>
        <v>-0.49506372729619003</v>
      </c>
      <c r="D206" s="52">
        <f ca="1">S0*EXP((μ-0.5*σ*σ)*T+σ*SQRT(T)*$C206)</f>
        <v>0.56148971121693614</v>
      </c>
      <c r="E206" s="52">
        <f t="shared" ca="1" si="10"/>
        <v>0</v>
      </c>
      <c r="F206" s="17">
        <f t="shared" ca="1" si="11"/>
        <v>0</v>
      </c>
      <c r="H206" s="17">
        <v>197</v>
      </c>
      <c r="I206" s="45">
        <v>0.67046540875543548</v>
      </c>
      <c r="J206" s="45">
        <v>1.8733608372586176E-2</v>
      </c>
      <c r="K206" s="45">
        <v>0.247</v>
      </c>
      <c r="N206" s="54"/>
    </row>
    <row r="207" spans="2:14" x14ac:dyDescent="0.2">
      <c r="B207">
        <v>198</v>
      </c>
      <c r="C207" s="52">
        <f t="shared" ca="1" si="12"/>
        <v>-0.30138915047521297</v>
      </c>
      <c r="D207" s="52">
        <f ca="1">S0*EXP((μ-0.5*σ*σ)*T+σ*SQRT(T)*$C207)</f>
        <v>0.5923699766533298</v>
      </c>
      <c r="E207" s="52">
        <f t="shared" ca="1" si="10"/>
        <v>0</v>
      </c>
      <c r="F207" s="17">
        <f t="shared" ca="1" si="11"/>
        <v>0</v>
      </c>
      <c r="H207" s="17">
        <v>198</v>
      </c>
      <c r="I207" s="45">
        <v>0.6709587955204489</v>
      </c>
      <c r="J207" s="45">
        <v>1.8653044233680766E-2</v>
      </c>
      <c r="K207" s="45">
        <v>0.24199999999999999</v>
      </c>
      <c r="N207" s="54"/>
    </row>
    <row r="208" spans="2:14" x14ac:dyDescent="0.2">
      <c r="B208">
        <v>199</v>
      </c>
      <c r="C208" s="52">
        <f t="shared" ca="1" si="12"/>
        <v>-0.15103321849672088</v>
      </c>
      <c r="D208" s="52">
        <f ca="1">S0*EXP((μ-0.5*σ*σ)*T+σ*SQRT(T)*$C208)</f>
        <v>0.61750963298873829</v>
      </c>
      <c r="E208" s="52">
        <f t="shared" ca="1" si="10"/>
        <v>0</v>
      </c>
      <c r="F208" s="17">
        <f t="shared" ca="1" si="11"/>
        <v>0</v>
      </c>
      <c r="H208" s="17">
        <v>199</v>
      </c>
      <c r="I208" s="45">
        <v>0.67157920682494698</v>
      </c>
      <c r="J208" s="45">
        <v>1.9538951790902034E-2</v>
      </c>
      <c r="K208" s="45">
        <v>0.25380000000000003</v>
      </c>
      <c r="N208" s="54"/>
    </row>
    <row r="209" spans="2:14" x14ac:dyDescent="0.2">
      <c r="B209">
        <v>200</v>
      </c>
      <c r="C209" s="52">
        <f t="shared" ca="1" si="12"/>
        <v>0.25476793817670906</v>
      </c>
      <c r="D209" s="52">
        <f ca="1">S0*EXP((μ-0.5*σ*σ)*T+σ*SQRT(T)*$C209)</f>
        <v>0.69081447628591808</v>
      </c>
      <c r="E209" s="52">
        <f t="shared" ca="1" si="10"/>
        <v>0</v>
      </c>
      <c r="F209" s="17">
        <f t="shared" ca="1" si="11"/>
        <v>0</v>
      </c>
      <c r="H209" s="17">
        <v>200</v>
      </c>
      <c r="I209" s="45">
        <v>0.67195418658586692</v>
      </c>
      <c r="J209" s="45">
        <v>1.9583656026924971E-2</v>
      </c>
      <c r="K209" s="45">
        <v>0.24979999999999999</v>
      </c>
      <c r="N209" s="54"/>
    </row>
    <row r="210" spans="2:14" x14ac:dyDescent="0.2">
      <c r="B210">
        <v>201</v>
      </c>
      <c r="C210" s="52">
        <f t="shared" ca="1" si="12"/>
        <v>0.99801248186933467</v>
      </c>
      <c r="D210" s="52">
        <f ca="1">S0*EXP((μ-0.5*σ*σ)*T+σ*SQRT(T)*$C210)</f>
        <v>0.84837966933772868</v>
      </c>
      <c r="E210" s="52">
        <f t="shared" ca="1" si="10"/>
        <v>0</v>
      </c>
      <c r="F210" s="17">
        <f t="shared" ca="1" si="11"/>
        <v>0</v>
      </c>
      <c r="H210" s="17">
        <v>201</v>
      </c>
      <c r="I210" s="45">
        <v>0.67026418527652687</v>
      </c>
      <c r="J210" s="45">
        <v>1.8545459855257202E-2</v>
      </c>
      <c r="K210" s="45">
        <v>0.24440000000000001</v>
      </c>
      <c r="N210" s="54"/>
    </row>
    <row r="211" spans="2:14" x14ac:dyDescent="0.2">
      <c r="B211">
        <v>202</v>
      </c>
      <c r="C211" s="52">
        <f t="shared" ca="1" si="12"/>
        <v>-0.51818766421513784</v>
      </c>
      <c r="D211" s="52">
        <f ca="1">S0*EXP((μ-0.5*σ*σ)*T+σ*SQRT(T)*$C211)</f>
        <v>0.55791199911902833</v>
      </c>
      <c r="E211" s="52">
        <f t="shared" ca="1" si="10"/>
        <v>0</v>
      </c>
      <c r="F211" s="17">
        <f t="shared" ca="1" si="11"/>
        <v>0</v>
      </c>
      <c r="H211" s="17">
        <v>202</v>
      </c>
      <c r="I211" s="45">
        <v>0.67076389387536051</v>
      </c>
      <c r="J211" s="45">
        <v>1.8890203430762812E-2</v>
      </c>
      <c r="K211" s="45">
        <v>0.24560000000000001</v>
      </c>
      <c r="N211" s="54"/>
    </row>
    <row r="212" spans="2:14" x14ac:dyDescent="0.2">
      <c r="B212">
        <v>203</v>
      </c>
      <c r="C212" s="52">
        <f t="shared" ca="1" si="12"/>
        <v>-3.1970086705490129E-3</v>
      </c>
      <c r="D212" s="52">
        <f ca="1">S0*EXP((μ-0.5*σ*σ)*T+σ*SQRT(T)*$C212)</f>
        <v>0.6432679805009921</v>
      </c>
      <c r="E212" s="52">
        <f t="shared" ca="1" si="10"/>
        <v>0</v>
      </c>
      <c r="F212" s="17">
        <f t="shared" ca="1" si="11"/>
        <v>0</v>
      </c>
      <c r="H212" s="17">
        <v>203</v>
      </c>
      <c r="I212" s="45">
        <v>0.67042957468104447</v>
      </c>
      <c r="J212" s="45">
        <v>1.850417525516402E-2</v>
      </c>
      <c r="K212" s="45">
        <v>0.24279999999999999</v>
      </c>
      <c r="N212" s="54"/>
    </row>
    <row r="213" spans="2:14" x14ac:dyDescent="0.2">
      <c r="B213">
        <v>204</v>
      </c>
      <c r="C213" s="52">
        <f t="shared" ca="1" si="12"/>
        <v>2.1206592753526978</v>
      </c>
      <c r="D213" s="52">
        <f ca="1">S0*EXP((μ-0.5*σ*σ)*T+σ*SQRT(T)*$C213)</f>
        <v>1.1570909507313234</v>
      </c>
      <c r="E213" s="52">
        <f t="shared" ca="1" si="10"/>
        <v>0</v>
      </c>
      <c r="F213" s="17">
        <f t="shared" ca="1" si="11"/>
        <v>0</v>
      </c>
      <c r="H213" s="17">
        <v>204</v>
      </c>
      <c r="I213" s="45">
        <v>0.67085147538097145</v>
      </c>
      <c r="J213" s="45">
        <v>1.9084327793560195E-2</v>
      </c>
      <c r="K213" s="45">
        <v>0.24759999999999999</v>
      </c>
      <c r="N213" s="54"/>
    </row>
    <row r="214" spans="2:14" x14ac:dyDescent="0.2">
      <c r="B214">
        <v>205</v>
      </c>
      <c r="C214" s="52">
        <f t="shared" ca="1" si="12"/>
        <v>-0.67148454979082195</v>
      </c>
      <c r="D214" s="52">
        <f ca="1">S0*EXP((μ-0.5*σ*σ)*T+σ*SQRT(T)*$C214)</f>
        <v>0.53476371704521763</v>
      </c>
      <c r="E214" s="52">
        <f t="shared" ca="1" si="10"/>
        <v>0</v>
      </c>
      <c r="F214" s="17">
        <f t="shared" ca="1" si="11"/>
        <v>0</v>
      </c>
      <c r="H214" s="17">
        <v>205</v>
      </c>
      <c r="I214" s="45">
        <v>0.67066423806511477</v>
      </c>
      <c r="J214" s="45">
        <v>1.8560677640575549E-2</v>
      </c>
      <c r="K214" s="45">
        <v>0.2346</v>
      </c>
      <c r="N214" s="54"/>
    </row>
    <row r="215" spans="2:14" x14ac:dyDescent="0.2">
      <c r="B215">
        <v>206</v>
      </c>
      <c r="C215" s="52">
        <f t="shared" ca="1" si="12"/>
        <v>0.96197547932331917</v>
      </c>
      <c r="D215" s="52">
        <f ca="1">S0*EXP((μ-0.5*σ*σ)*T+σ*SQRT(T)*$C215)</f>
        <v>0.8399702375272643</v>
      </c>
      <c r="E215" s="52">
        <f t="shared" ca="1" si="10"/>
        <v>0</v>
      </c>
      <c r="F215" s="17">
        <f t="shared" ca="1" si="11"/>
        <v>0</v>
      </c>
      <c r="H215" s="17">
        <v>206</v>
      </c>
      <c r="I215" s="45">
        <v>0.67241420913040106</v>
      </c>
      <c r="J215" s="45">
        <v>2.024575981607217E-2</v>
      </c>
      <c r="K215" s="45">
        <v>0.25719999999999998</v>
      </c>
      <c r="N215" s="54"/>
    </row>
    <row r="216" spans="2:14" x14ac:dyDescent="0.2">
      <c r="B216">
        <v>207</v>
      </c>
      <c r="C216" s="52">
        <f t="shared" ca="1" si="12"/>
        <v>-1.0325297936443998</v>
      </c>
      <c r="D216" s="52">
        <f ca="1">S0*EXP((μ-0.5*σ*σ)*T+σ*SQRT(T)*$C216)</f>
        <v>0.48396875792470329</v>
      </c>
      <c r="E216" s="52">
        <f t="shared" ca="1" si="10"/>
        <v>5.0431242075296701E-2</v>
      </c>
      <c r="F216" s="17">
        <f t="shared" ca="1" si="11"/>
        <v>1</v>
      </c>
      <c r="H216" s="17">
        <v>207</v>
      </c>
      <c r="I216" s="45">
        <v>0.6706146132895644</v>
      </c>
      <c r="J216" s="45">
        <v>1.8423520540307624E-2</v>
      </c>
      <c r="K216" s="45">
        <v>0.23980000000000001</v>
      </c>
      <c r="N216" s="54"/>
    </row>
    <row r="217" spans="2:14" x14ac:dyDescent="0.2">
      <c r="B217">
        <v>208</v>
      </c>
      <c r="C217" s="52">
        <f t="shared" ca="1" si="12"/>
        <v>-2.8628234324934327</v>
      </c>
      <c r="D217" s="52">
        <f ca="1">S0*EXP((μ-0.5*σ*σ)*T+σ*SQRT(T)*$C217)</f>
        <v>0.29179972240561436</v>
      </c>
      <c r="E217" s="52">
        <f t="shared" ca="1" si="10"/>
        <v>0.24260027759438563</v>
      </c>
      <c r="F217" s="17">
        <f t="shared" ca="1" si="11"/>
        <v>1</v>
      </c>
      <c r="H217" s="17">
        <v>208</v>
      </c>
      <c r="I217" s="45">
        <v>0.67100267061732732</v>
      </c>
      <c r="J217" s="45">
        <v>1.9130805658822851E-2</v>
      </c>
      <c r="K217" s="45">
        <v>0.24</v>
      </c>
      <c r="N217" s="54"/>
    </row>
    <row r="218" spans="2:14" x14ac:dyDescent="0.2">
      <c r="B218">
        <v>209</v>
      </c>
      <c r="C218" s="52">
        <f t="shared" ca="1" si="12"/>
        <v>-1.1070555605819135</v>
      </c>
      <c r="D218" s="52">
        <f ca="1">S0*EXP((μ-0.5*σ*σ)*T+σ*SQRT(T)*$C218)</f>
        <v>0.47410035080795698</v>
      </c>
      <c r="E218" s="52">
        <f t="shared" ca="1" si="10"/>
        <v>6.0299649192043003E-2</v>
      </c>
      <c r="F218" s="17">
        <f t="shared" ca="1" si="11"/>
        <v>1</v>
      </c>
      <c r="H218" s="17">
        <v>209</v>
      </c>
      <c r="I218" s="45">
        <v>0.67065438201641647</v>
      </c>
      <c r="J218" s="45">
        <v>1.8570660200088632E-2</v>
      </c>
      <c r="K218" s="45">
        <v>0.24179999999999999</v>
      </c>
      <c r="N218" s="54"/>
    </row>
    <row r="219" spans="2:14" x14ac:dyDescent="0.2">
      <c r="B219">
        <v>210</v>
      </c>
      <c r="C219" s="52">
        <f t="shared" ca="1" si="12"/>
        <v>-0.68119794476998141</v>
      </c>
      <c r="D219" s="52">
        <f ca="1">S0*EXP((μ-0.5*σ*σ)*T+σ*SQRT(T)*$C219)</f>
        <v>0.53332974999248617</v>
      </c>
      <c r="E219" s="52">
        <f t="shared" ca="1" si="10"/>
        <v>1.0702500075138177E-3</v>
      </c>
      <c r="F219" s="17">
        <f t="shared" ca="1" si="11"/>
        <v>1</v>
      </c>
      <c r="H219" s="17">
        <v>210</v>
      </c>
      <c r="I219" s="45">
        <v>0.67034462744618817</v>
      </c>
      <c r="J219" s="45">
        <v>1.8504203543081816E-2</v>
      </c>
      <c r="K219" s="45">
        <v>0.24379999999999999</v>
      </c>
      <c r="N219" s="54"/>
    </row>
    <row r="220" spans="2:14" x14ac:dyDescent="0.2">
      <c r="B220">
        <v>211</v>
      </c>
      <c r="C220" s="52">
        <f t="shared" ca="1" si="12"/>
        <v>-0.51453114204875572</v>
      </c>
      <c r="D220" s="52">
        <f ca="1">S0*EXP((μ-0.5*σ*σ)*T+σ*SQRT(T)*$C220)</f>
        <v>0.55847621140812953</v>
      </c>
      <c r="E220" s="52">
        <f t="shared" ca="1" si="10"/>
        <v>0</v>
      </c>
      <c r="F220" s="17">
        <f t="shared" ca="1" si="11"/>
        <v>0</v>
      </c>
      <c r="H220" s="17">
        <v>211</v>
      </c>
      <c r="I220" s="45">
        <v>0.67128343812405755</v>
      </c>
      <c r="J220" s="45">
        <v>1.9355278293378343E-2</v>
      </c>
      <c r="K220" s="45">
        <v>0.25559999999999999</v>
      </c>
      <c r="N220" s="54"/>
    </row>
    <row r="221" spans="2:14" x14ac:dyDescent="0.2">
      <c r="B221">
        <v>212</v>
      </c>
      <c r="C221" s="52">
        <f t="shared" ca="1" si="12"/>
        <v>-1.2468749281245761</v>
      </c>
      <c r="D221" s="52">
        <f ca="1">S0*EXP((μ-0.5*σ*σ)*T+σ*SQRT(T)*$C221)</f>
        <v>0.45612568234525969</v>
      </c>
      <c r="E221" s="52">
        <f t="shared" ca="1" si="10"/>
        <v>7.82743176547403E-2</v>
      </c>
      <c r="F221" s="17">
        <f t="shared" ca="1" si="11"/>
        <v>1</v>
      </c>
      <c r="H221" s="17">
        <v>212</v>
      </c>
      <c r="I221" s="45">
        <v>0.67027398861276155</v>
      </c>
      <c r="J221" s="45">
        <v>1.8589596655287657E-2</v>
      </c>
      <c r="K221" s="45">
        <v>0.24340000000000001</v>
      </c>
      <c r="N221" s="54"/>
    </row>
    <row r="222" spans="2:14" x14ac:dyDescent="0.2">
      <c r="B222">
        <v>213</v>
      </c>
      <c r="C222" s="52">
        <f t="shared" ca="1" si="12"/>
        <v>1.3336984525508631</v>
      </c>
      <c r="D222" s="52">
        <f ca="1">S0*EXP((μ-0.5*σ*σ)*T+σ*SQRT(T)*$C222)</f>
        <v>0.93087292535543464</v>
      </c>
      <c r="E222" s="52">
        <f t="shared" ca="1" si="10"/>
        <v>0</v>
      </c>
      <c r="F222" s="17">
        <f t="shared" ca="1" si="11"/>
        <v>0</v>
      </c>
      <c r="H222" s="17">
        <v>213</v>
      </c>
      <c r="I222" s="45">
        <v>0.66992660829684514</v>
      </c>
      <c r="J222" s="45">
        <v>1.8427965652347496E-2</v>
      </c>
      <c r="K222" s="45">
        <v>0.24879999999999999</v>
      </c>
      <c r="N222" s="54"/>
    </row>
    <row r="223" spans="2:14" x14ac:dyDescent="0.2">
      <c r="B223">
        <v>214</v>
      </c>
      <c r="C223" s="52">
        <f t="shared" ca="1" si="12"/>
        <v>3.9665056195240599E-2</v>
      </c>
      <c r="D223" s="52">
        <f ca="1">S0*EXP((μ-0.5*σ*σ)*T+σ*SQRT(T)*$C223)</f>
        <v>0.65093505261324192</v>
      </c>
      <c r="E223" s="52">
        <f t="shared" ca="1" si="10"/>
        <v>0</v>
      </c>
      <c r="F223" s="17">
        <f t="shared" ca="1" si="11"/>
        <v>0</v>
      </c>
      <c r="H223" s="17">
        <v>214</v>
      </c>
      <c r="I223" s="45">
        <v>0.66965617466026384</v>
      </c>
      <c r="J223" s="45">
        <v>1.7904256029102051E-2</v>
      </c>
      <c r="K223" s="45">
        <v>0.2384</v>
      </c>
      <c r="N223" s="54"/>
    </row>
    <row r="224" spans="2:14" x14ac:dyDescent="0.2">
      <c r="B224">
        <v>215</v>
      </c>
      <c r="C224" s="52">
        <f t="shared" ca="1" si="12"/>
        <v>0.72903188921303297</v>
      </c>
      <c r="D224" s="52">
        <f ca="1">S0*EXP((μ-0.5*σ*σ)*T+σ*SQRT(T)*$C224)</f>
        <v>0.78758655651319864</v>
      </c>
      <c r="E224" s="52">
        <f t="shared" ca="1" si="10"/>
        <v>0</v>
      </c>
      <c r="F224" s="17">
        <f t="shared" ca="1" si="11"/>
        <v>0</v>
      </c>
      <c r="H224" s="17">
        <v>215</v>
      </c>
      <c r="I224" s="45">
        <v>0.67171459230348152</v>
      </c>
      <c r="J224" s="45">
        <v>1.942807283330801E-2</v>
      </c>
      <c r="K224" s="45">
        <v>0.24679999999999999</v>
      </c>
      <c r="N224" s="54"/>
    </row>
    <row r="225" spans="2:14" x14ac:dyDescent="0.2">
      <c r="B225">
        <v>216</v>
      </c>
      <c r="C225" s="52">
        <f t="shared" ca="1" si="12"/>
        <v>-5.0366747546186592E-2</v>
      </c>
      <c r="D225" s="52">
        <f ca="1">S0*EXP((μ-0.5*σ*σ)*T+σ*SQRT(T)*$C225)</f>
        <v>0.63493469678914116</v>
      </c>
      <c r="E225" s="52">
        <f t="shared" ca="1" si="10"/>
        <v>0</v>
      </c>
      <c r="F225" s="17">
        <f t="shared" ca="1" si="11"/>
        <v>0</v>
      </c>
      <c r="H225" s="17">
        <v>216</v>
      </c>
      <c r="I225" s="45">
        <v>0.67184691716882072</v>
      </c>
      <c r="J225" s="45">
        <v>1.9581244275780191E-2</v>
      </c>
      <c r="K225" s="45">
        <v>0.25119999999999998</v>
      </c>
      <c r="N225" s="54"/>
    </row>
    <row r="226" spans="2:14" x14ac:dyDescent="0.2">
      <c r="B226">
        <v>217</v>
      </c>
      <c r="C226" s="52">
        <f t="shared" ca="1" si="12"/>
        <v>-0.780845393819523</v>
      </c>
      <c r="D226" s="52">
        <f ca="1">S0*EXP((μ-0.5*σ*σ)*T+σ*SQRT(T)*$C226)</f>
        <v>0.51883925055979796</v>
      </c>
      <c r="E226" s="52">
        <f t="shared" ca="1" si="10"/>
        <v>1.5560749440202026E-2</v>
      </c>
      <c r="F226" s="17">
        <f t="shared" ca="1" si="11"/>
        <v>1</v>
      </c>
      <c r="H226" s="17">
        <v>217</v>
      </c>
      <c r="I226" s="45">
        <v>0.67179175557347603</v>
      </c>
      <c r="J226" s="45">
        <v>1.943386025936945E-2</v>
      </c>
      <c r="K226" s="45">
        <v>0.24560000000000001</v>
      </c>
      <c r="N226" s="54"/>
    </row>
    <row r="227" spans="2:14" x14ac:dyDescent="0.2">
      <c r="B227">
        <v>218</v>
      </c>
      <c r="C227" s="52">
        <f t="shared" ca="1" si="12"/>
        <v>-0.82583800748725822</v>
      </c>
      <c r="D227" s="52">
        <f ca="1">S0*EXP((μ-0.5*σ*σ)*T+σ*SQRT(T)*$C227)</f>
        <v>0.51242619185843374</v>
      </c>
      <c r="E227" s="52">
        <f t="shared" ca="1" si="10"/>
        <v>2.1973808141566242E-2</v>
      </c>
      <c r="F227" s="17">
        <f t="shared" ca="1" si="11"/>
        <v>1</v>
      </c>
      <c r="H227" s="17">
        <v>218</v>
      </c>
      <c r="I227" s="45">
        <v>0.67051104232838366</v>
      </c>
      <c r="J227" s="45">
        <v>1.8457905350855206E-2</v>
      </c>
      <c r="K227" s="45">
        <v>0.24360000000000001</v>
      </c>
      <c r="N227" s="54"/>
    </row>
    <row r="228" spans="2:14" x14ac:dyDescent="0.2">
      <c r="B228">
        <v>219</v>
      </c>
      <c r="C228" s="52">
        <f t="shared" ca="1" si="12"/>
        <v>0.29685177858111594</v>
      </c>
      <c r="D228" s="52">
        <f ca="1">S0*EXP((μ-0.5*σ*σ)*T+σ*SQRT(T)*$C228)</f>
        <v>0.69889788454302859</v>
      </c>
      <c r="E228" s="52">
        <f t="shared" ca="1" si="10"/>
        <v>0</v>
      </c>
      <c r="F228" s="17">
        <f t="shared" ca="1" si="11"/>
        <v>0</v>
      </c>
      <c r="H228" s="17">
        <v>219</v>
      </c>
      <c r="I228" s="45">
        <v>0.67284860922097633</v>
      </c>
      <c r="J228" s="45">
        <v>2.0692705116249467E-2</v>
      </c>
      <c r="K228" s="45">
        <v>0.254</v>
      </c>
      <c r="N228" s="54"/>
    </row>
    <row r="229" spans="2:14" x14ac:dyDescent="0.2">
      <c r="B229">
        <v>220</v>
      </c>
      <c r="C229" s="52">
        <f t="shared" ca="1" si="12"/>
        <v>-0.30496945095058764</v>
      </c>
      <c r="D229" s="52">
        <f ca="1">S0*EXP((μ-0.5*σ*σ)*T+σ*SQRT(T)*$C229)</f>
        <v>0.5917839913262597</v>
      </c>
      <c r="E229" s="52">
        <f t="shared" ca="1" si="10"/>
        <v>0</v>
      </c>
      <c r="F229" s="17">
        <f t="shared" ca="1" si="11"/>
        <v>0</v>
      </c>
      <c r="H229" s="17">
        <v>220</v>
      </c>
      <c r="I229" s="45">
        <v>0.67103994774600961</v>
      </c>
      <c r="J229" s="45">
        <v>1.9134773568966722E-2</v>
      </c>
      <c r="K229" s="45">
        <v>0.247</v>
      </c>
      <c r="N229" s="54"/>
    </row>
    <row r="230" spans="2:14" x14ac:dyDescent="0.2">
      <c r="B230">
        <v>221</v>
      </c>
      <c r="C230" s="52">
        <f t="shared" ca="1" si="12"/>
        <v>0.2754731489184174</v>
      </c>
      <c r="D230" s="52">
        <f ca="1">S0*EXP((μ-0.5*σ*σ)*T+σ*SQRT(T)*$C230)</f>
        <v>0.69477975448406504</v>
      </c>
      <c r="E230" s="52">
        <f t="shared" ca="1" si="10"/>
        <v>0</v>
      </c>
      <c r="F230" s="17">
        <f t="shared" ca="1" si="11"/>
        <v>0</v>
      </c>
      <c r="H230" s="17">
        <v>221</v>
      </c>
      <c r="I230" s="45">
        <v>0.6711919006199345</v>
      </c>
      <c r="J230" s="45">
        <v>1.8944782097123681E-2</v>
      </c>
      <c r="K230" s="45">
        <v>0.2452</v>
      </c>
      <c r="N230" s="54"/>
    </row>
    <row r="231" spans="2:14" x14ac:dyDescent="0.2">
      <c r="B231">
        <v>222</v>
      </c>
      <c r="C231" s="52">
        <f t="shared" ca="1" si="12"/>
        <v>-0.11423238642512852</v>
      </c>
      <c r="D231" s="52">
        <f ca="1">S0*EXP((μ-0.5*σ*σ)*T+σ*SQRT(T)*$C231)</f>
        <v>0.62382358674725735</v>
      </c>
      <c r="E231" s="52">
        <f t="shared" ca="1" si="10"/>
        <v>0</v>
      </c>
      <c r="F231" s="17">
        <f t="shared" ca="1" si="11"/>
        <v>0</v>
      </c>
      <c r="H231" s="17">
        <v>222</v>
      </c>
      <c r="I231" s="45">
        <v>0.67120840478523747</v>
      </c>
      <c r="J231" s="45">
        <v>1.889157040330219E-2</v>
      </c>
      <c r="K231" s="45">
        <v>0.24279999999999999</v>
      </c>
      <c r="N231" s="54"/>
    </row>
    <row r="232" spans="2:14" x14ac:dyDescent="0.2">
      <c r="B232">
        <v>223</v>
      </c>
      <c r="C232" s="52">
        <f t="shared" ca="1" si="12"/>
        <v>-0.45968684802084803</v>
      </c>
      <c r="D232" s="52">
        <f ca="1">S0*EXP((μ-0.5*σ*σ)*T+σ*SQRT(T)*$C232)</f>
        <v>0.56700763537416632</v>
      </c>
      <c r="E232" s="52">
        <f t="shared" ca="1" si="10"/>
        <v>0</v>
      </c>
      <c r="F232" s="17">
        <f t="shared" ca="1" si="11"/>
        <v>0</v>
      </c>
      <c r="H232" s="17">
        <v>223</v>
      </c>
      <c r="I232" s="45">
        <v>0.67077786843576448</v>
      </c>
      <c r="J232" s="45">
        <v>1.8869518535312865E-2</v>
      </c>
      <c r="K232" s="45">
        <v>0.24979999999999999</v>
      </c>
      <c r="N232" s="54"/>
    </row>
    <row r="233" spans="2:14" x14ac:dyDescent="0.2">
      <c r="B233">
        <v>224</v>
      </c>
      <c r="C233" s="52">
        <f t="shared" ca="1" si="12"/>
        <v>1.2794144204734768</v>
      </c>
      <c r="D233" s="52">
        <f ca="1">S0*EXP((μ-0.5*σ*σ)*T+σ*SQRT(T)*$C233)</f>
        <v>0.91700864887766509</v>
      </c>
      <c r="E233" s="52">
        <f t="shared" ca="1" si="10"/>
        <v>0</v>
      </c>
      <c r="F233" s="17">
        <f t="shared" ca="1" si="11"/>
        <v>0</v>
      </c>
      <c r="H233" s="17">
        <v>224</v>
      </c>
      <c r="I233" s="45">
        <v>0.67183682895350216</v>
      </c>
      <c r="J233" s="45">
        <v>1.9627330415234061E-2</v>
      </c>
      <c r="K233" s="45">
        <v>0.25140000000000001</v>
      </c>
      <c r="N233" s="54"/>
    </row>
    <row r="234" spans="2:14" x14ac:dyDescent="0.2">
      <c r="B234">
        <v>225</v>
      </c>
      <c r="C234" s="52">
        <f t="shared" ca="1" si="12"/>
        <v>-1.5141003471573313</v>
      </c>
      <c r="D234" s="52">
        <f ca="1">S0*EXP((μ-0.5*σ*σ)*T+σ*SQRT(T)*$C234)</f>
        <v>0.42364616765854735</v>
      </c>
      <c r="E234" s="52">
        <f t="shared" ca="1" si="10"/>
        <v>0.11075383234145264</v>
      </c>
      <c r="F234" s="17">
        <f t="shared" ca="1" si="11"/>
        <v>1</v>
      </c>
      <c r="H234" s="17">
        <v>225</v>
      </c>
      <c r="I234" s="45">
        <v>0.67114461538715875</v>
      </c>
      <c r="J234" s="45">
        <v>1.909121546447937E-2</v>
      </c>
      <c r="K234" s="45">
        <v>0.24940000000000001</v>
      </c>
      <c r="N234" s="54"/>
    </row>
    <row r="235" spans="2:14" x14ac:dyDescent="0.2">
      <c r="B235">
        <v>226</v>
      </c>
      <c r="C235" s="52">
        <f t="shared" ca="1" si="12"/>
        <v>5.9300699569422945E-2</v>
      </c>
      <c r="D235" s="52">
        <f ca="1">S0*EXP((μ-0.5*σ*σ)*T+σ*SQRT(T)*$C235)</f>
        <v>0.65447788910742677</v>
      </c>
      <c r="E235" s="52">
        <f t="shared" ca="1" si="10"/>
        <v>0</v>
      </c>
      <c r="F235" s="17">
        <f t="shared" ca="1" si="11"/>
        <v>0</v>
      </c>
      <c r="H235" s="17">
        <v>226</v>
      </c>
      <c r="I235" s="45">
        <v>0.67131008079892796</v>
      </c>
      <c r="J235" s="45">
        <v>1.9408781127003925E-2</v>
      </c>
      <c r="K235" s="45">
        <v>0.25280000000000002</v>
      </c>
      <c r="N235" s="54"/>
    </row>
    <row r="236" spans="2:14" x14ac:dyDescent="0.2">
      <c r="B236">
        <v>227</v>
      </c>
      <c r="C236" s="52">
        <f t="shared" ca="1" si="12"/>
        <v>-0.84383257037556825</v>
      </c>
      <c r="D236" s="52">
        <f ca="1">S0*EXP((μ-0.5*σ*σ)*T+σ*SQRT(T)*$C236)</f>
        <v>0.50988356845915239</v>
      </c>
      <c r="E236" s="52">
        <f t="shared" ca="1" si="10"/>
        <v>2.4516431540847594E-2</v>
      </c>
      <c r="F236" s="17">
        <f t="shared" ca="1" si="11"/>
        <v>1</v>
      </c>
      <c r="H236" s="17">
        <v>227</v>
      </c>
      <c r="I236" s="45">
        <v>0.67143244452130146</v>
      </c>
      <c r="J236" s="45">
        <v>1.9001321055031033E-2</v>
      </c>
      <c r="K236" s="45">
        <v>0.248</v>
      </c>
      <c r="N236" s="54"/>
    </row>
    <row r="237" spans="2:14" x14ac:dyDescent="0.2">
      <c r="B237">
        <v>228</v>
      </c>
      <c r="C237" s="52">
        <f t="shared" ca="1" si="12"/>
        <v>0.63242299626245424</v>
      </c>
      <c r="D237" s="52">
        <f ca="1">S0*EXP((μ-0.5*σ*σ)*T+σ*SQRT(T)*$C237)</f>
        <v>0.76683176723756097</v>
      </c>
      <c r="E237" s="52">
        <f t="shared" ca="1" si="10"/>
        <v>0</v>
      </c>
      <c r="F237" s="17">
        <f t="shared" ca="1" si="11"/>
        <v>0</v>
      </c>
      <c r="H237" s="17">
        <v>228</v>
      </c>
      <c r="I237" s="45">
        <v>0.67017914779388743</v>
      </c>
      <c r="J237" s="45">
        <v>1.830266186618304E-2</v>
      </c>
      <c r="K237" s="45">
        <v>0.23719999999999999</v>
      </c>
      <c r="N237" s="54"/>
    </row>
    <row r="238" spans="2:14" x14ac:dyDescent="0.2">
      <c r="B238">
        <v>229</v>
      </c>
      <c r="C238" s="52">
        <f t="shared" ca="1" si="12"/>
        <v>0.59493722358984269</v>
      </c>
      <c r="D238" s="52">
        <f ca="1">S0*EXP((μ-0.5*σ*σ)*T+σ*SQRT(T)*$C238)</f>
        <v>0.75892666509087825</v>
      </c>
      <c r="E238" s="52">
        <f t="shared" ca="1" si="10"/>
        <v>0</v>
      </c>
      <c r="F238" s="17">
        <f t="shared" ca="1" si="11"/>
        <v>0</v>
      </c>
      <c r="H238" s="17">
        <v>229</v>
      </c>
      <c r="I238" s="45">
        <v>0.67096986135517678</v>
      </c>
      <c r="J238" s="45">
        <v>1.9138353077837133E-2</v>
      </c>
      <c r="K238" s="45">
        <v>0.249</v>
      </c>
      <c r="N238" s="54"/>
    </row>
    <row r="239" spans="2:14" x14ac:dyDescent="0.2">
      <c r="B239">
        <v>230</v>
      </c>
      <c r="C239" s="52">
        <f t="shared" ca="1" si="12"/>
        <v>-1.3030591578204374</v>
      </c>
      <c r="D239" s="52">
        <f ca="1">S0*EXP((μ-0.5*σ*σ)*T+σ*SQRT(T)*$C239)</f>
        <v>0.44909625578670415</v>
      </c>
      <c r="E239" s="52">
        <f t="shared" ca="1" si="10"/>
        <v>8.530374421329584E-2</v>
      </c>
      <c r="F239" s="17">
        <f t="shared" ca="1" si="11"/>
        <v>1</v>
      </c>
      <c r="H239" s="17">
        <v>230</v>
      </c>
      <c r="I239" s="45">
        <v>0.67060667106382232</v>
      </c>
      <c r="J239" s="45">
        <v>1.89990772659356E-2</v>
      </c>
      <c r="K239" s="45">
        <v>0.2492</v>
      </c>
      <c r="N239" s="54"/>
    </row>
    <row r="240" spans="2:14" x14ac:dyDescent="0.2">
      <c r="B240">
        <v>231</v>
      </c>
      <c r="C240" s="52">
        <f t="shared" ca="1" si="12"/>
        <v>-0.54627528774140444</v>
      </c>
      <c r="D240" s="52">
        <f ca="1">S0*EXP((μ-0.5*σ*σ)*T+σ*SQRT(T)*$C240)</f>
        <v>0.55359695831574418</v>
      </c>
      <c r="E240" s="52">
        <f t="shared" ca="1" si="10"/>
        <v>0</v>
      </c>
      <c r="F240" s="17">
        <f t="shared" ca="1" si="11"/>
        <v>0</v>
      </c>
      <c r="H240" s="17">
        <v>231</v>
      </c>
      <c r="I240" s="45">
        <v>0.66982525533070825</v>
      </c>
      <c r="J240" s="45">
        <v>1.7843206345935159E-2</v>
      </c>
      <c r="K240" s="45">
        <v>0.24299999999999999</v>
      </c>
      <c r="N240" s="54"/>
    </row>
    <row r="241" spans="2:14" x14ac:dyDescent="0.2">
      <c r="B241">
        <v>232</v>
      </c>
      <c r="C241" s="52">
        <f t="shared" ca="1" si="12"/>
        <v>1.3650325439963025</v>
      </c>
      <c r="D241" s="52">
        <f ca="1">S0*EXP((μ-0.5*σ*σ)*T+σ*SQRT(T)*$C241)</f>
        <v>0.93897094568358497</v>
      </c>
      <c r="E241" s="52">
        <f t="shared" ca="1" si="10"/>
        <v>0</v>
      </c>
      <c r="F241" s="17">
        <f t="shared" ca="1" si="11"/>
        <v>0</v>
      </c>
      <c r="H241" s="17">
        <v>232</v>
      </c>
      <c r="I241" s="45">
        <v>0.67011730472476105</v>
      </c>
      <c r="J241" s="45">
        <v>1.8718020779996548E-2</v>
      </c>
      <c r="K241" s="45">
        <v>0.25380000000000003</v>
      </c>
      <c r="N241" s="54"/>
    </row>
    <row r="242" spans="2:14" x14ac:dyDescent="0.2">
      <c r="B242">
        <v>233</v>
      </c>
      <c r="C242" s="52">
        <f t="shared" ca="1" si="12"/>
        <v>-0.41041202176330077</v>
      </c>
      <c r="D242" s="52">
        <f ca="1">S0*EXP((μ-0.5*σ*σ)*T+σ*SQRT(T)*$C242)</f>
        <v>0.57478377922959756</v>
      </c>
      <c r="E242" s="52">
        <f t="shared" ca="1" si="10"/>
        <v>0</v>
      </c>
      <c r="F242" s="17">
        <f t="shared" ca="1" si="11"/>
        <v>0</v>
      </c>
      <c r="H242" s="17">
        <v>233</v>
      </c>
      <c r="I242" s="45">
        <v>0.67084393295548361</v>
      </c>
      <c r="J242" s="45">
        <v>1.894527134346672E-2</v>
      </c>
      <c r="K242" s="45">
        <v>0.25040000000000001</v>
      </c>
      <c r="N242" s="54"/>
    </row>
    <row r="243" spans="2:14" x14ac:dyDescent="0.2">
      <c r="B243">
        <v>234</v>
      </c>
      <c r="C243" s="52">
        <f t="shared" ca="1" si="12"/>
        <v>0.10973215425019914</v>
      </c>
      <c r="D243" s="52">
        <f ca="1">S0*EXP((μ-0.5*σ*σ)*T+σ*SQRT(T)*$C243)</f>
        <v>0.66366579079890187</v>
      </c>
      <c r="E243" s="52">
        <f t="shared" ca="1" si="10"/>
        <v>0</v>
      </c>
      <c r="F243" s="17">
        <f t="shared" ca="1" si="11"/>
        <v>0</v>
      </c>
      <c r="H243" s="17">
        <v>234</v>
      </c>
      <c r="I243" s="45">
        <v>0.67080068547726379</v>
      </c>
      <c r="J243" s="45">
        <v>1.8910610360426055E-2</v>
      </c>
      <c r="K243" s="45">
        <v>0.2442</v>
      </c>
      <c r="N243" s="54"/>
    </row>
    <row r="244" spans="2:14" x14ac:dyDescent="0.2">
      <c r="B244">
        <v>235</v>
      </c>
      <c r="C244" s="52">
        <f t="shared" ca="1" si="12"/>
        <v>1.172321714446944</v>
      </c>
      <c r="D244" s="52">
        <f ca="1">S0*EXP((μ-0.5*σ*σ)*T+σ*SQRT(T)*$C244)</f>
        <v>0.8902595042818211</v>
      </c>
      <c r="E244" s="52">
        <f t="shared" ca="1" si="10"/>
        <v>0</v>
      </c>
      <c r="F244" s="17">
        <f t="shared" ca="1" si="11"/>
        <v>0</v>
      </c>
      <c r="H244" s="17">
        <v>235</v>
      </c>
      <c r="I244" s="45">
        <v>0.67088071825990081</v>
      </c>
      <c r="J244" s="45">
        <v>1.8868207027193381E-2</v>
      </c>
      <c r="K244" s="45">
        <v>0.24479999999999999</v>
      </c>
      <c r="N244" s="54"/>
    </row>
    <row r="245" spans="2:14" x14ac:dyDescent="0.2">
      <c r="B245">
        <v>236</v>
      </c>
      <c r="C245" s="52">
        <f t="shared" ca="1" si="12"/>
        <v>1.7644078001681012</v>
      </c>
      <c r="D245" s="52">
        <f ca="1">S0*EXP((μ-0.5*σ*σ)*T+σ*SQRT(T)*$C245)</f>
        <v>1.0485723409411245</v>
      </c>
      <c r="E245" s="52">
        <f t="shared" ca="1" si="10"/>
        <v>0</v>
      </c>
      <c r="F245" s="17">
        <f t="shared" ca="1" si="11"/>
        <v>0</v>
      </c>
      <c r="H245" s="17">
        <v>236</v>
      </c>
      <c r="I245" s="45">
        <v>0.66972672153783019</v>
      </c>
      <c r="J245" s="45">
        <v>1.8086983379757397E-2</v>
      </c>
      <c r="K245" s="45">
        <v>0.24560000000000001</v>
      </c>
      <c r="N245" s="54"/>
    </row>
    <row r="246" spans="2:14" x14ac:dyDescent="0.2">
      <c r="B246">
        <v>237</v>
      </c>
      <c r="C246" s="52">
        <f t="shared" ca="1" si="12"/>
        <v>-1.1271274152402515</v>
      </c>
      <c r="D246" s="52">
        <f ca="1">S0*EXP((μ-0.5*σ*σ)*T+σ*SQRT(T)*$C246)</f>
        <v>0.47147708308987812</v>
      </c>
      <c r="E246" s="52">
        <f t="shared" ca="1" si="10"/>
        <v>6.2922916910121862E-2</v>
      </c>
      <c r="F246" s="17">
        <f t="shared" ca="1" si="11"/>
        <v>1</v>
      </c>
      <c r="H246" s="17">
        <v>237</v>
      </c>
      <c r="I246" s="45">
        <v>0.67151411609251355</v>
      </c>
      <c r="J246" s="45">
        <v>1.912699658791377E-2</v>
      </c>
      <c r="K246" s="45">
        <v>0.24540000000000001</v>
      </c>
      <c r="N246" s="54"/>
    </row>
    <row r="247" spans="2:14" x14ac:dyDescent="0.2">
      <c r="B247">
        <v>238</v>
      </c>
      <c r="C247" s="52">
        <f t="shared" ca="1" si="12"/>
        <v>0.202709694212408</v>
      </c>
      <c r="D247" s="52">
        <f ca="1">S0*EXP((μ-0.5*σ*σ)*T+σ*SQRT(T)*$C247)</f>
        <v>0.68094443575171171</v>
      </c>
      <c r="E247" s="52">
        <f t="shared" ca="1" si="10"/>
        <v>0</v>
      </c>
      <c r="F247" s="17">
        <f t="shared" ca="1" si="11"/>
        <v>0</v>
      </c>
      <c r="H247" s="17">
        <v>238</v>
      </c>
      <c r="I247" s="45">
        <v>0.67055742603201085</v>
      </c>
      <c r="J247" s="45">
        <v>1.8794331585053739E-2</v>
      </c>
      <c r="K247" s="45">
        <v>0.24979999999999999</v>
      </c>
      <c r="N247" s="54"/>
    </row>
    <row r="248" spans="2:14" x14ac:dyDescent="0.2">
      <c r="B248">
        <v>239</v>
      </c>
      <c r="C248" s="52">
        <f t="shared" ca="1" si="12"/>
        <v>-0.31625380869467384</v>
      </c>
      <c r="D248" s="52">
        <f ca="1">S0*EXP((μ-0.5*σ*σ)*T+σ*SQRT(T)*$C248)</f>
        <v>0.58994087818579333</v>
      </c>
      <c r="E248" s="52">
        <f t="shared" ca="1" si="10"/>
        <v>0</v>
      </c>
      <c r="F248" s="17">
        <f t="shared" ca="1" si="11"/>
        <v>0</v>
      </c>
      <c r="H248" s="17">
        <v>239</v>
      </c>
      <c r="I248" s="45">
        <v>0.67098213078839775</v>
      </c>
      <c r="J248" s="45">
        <v>1.9160141215225909E-2</v>
      </c>
      <c r="K248" s="45">
        <v>0.24759999999999999</v>
      </c>
      <c r="N248" s="54"/>
    </row>
    <row r="249" spans="2:14" x14ac:dyDescent="0.2">
      <c r="B249">
        <v>240</v>
      </c>
      <c r="C249" s="52">
        <f t="shared" ca="1" si="12"/>
        <v>-0.5472069334710935</v>
      </c>
      <c r="D249" s="52">
        <f ca="1">S0*EXP((μ-0.5*σ*σ)*T+σ*SQRT(T)*$C249)</f>
        <v>0.55345440487881281</v>
      </c>
      <c r="E249" s="52">
        <f t="shared" ca="1" si="10"/>
        <v>0</v>
      </c>
      <c r="F249" s="17">
        <f t="shared" ca="1" si="11"/>
        <v>0</v>
      </c>
      <c r="H249" s="17">
        <v>240</v>
      </c>
      <c r="I249" s="45">
        <v>0.67112620116929134</v>
      </c>
      <c r="J249" s="45">
        <v>1.9065641699744722E-2</v>
      </c>
      <c r="K249" s="45">
        <v>0.24479999999999999</v>
      </c>
      <c r="N249" s="54"/>
    </row>
    <row r="250" spans="2:14" x14ac:dyDescent="0.2">
      <c r="B250">
        <v>241</v>
      </c>
      <c r="C250" s="52">
        <f t="shared" ca="1" si="12"/>
        <v>-0.52032645898859431</v>
      </c>
      <c r="D250" s="52">
        <f ca="1">S0*EXP((μ-0.5*σ*σ)*T+σ*SQRT(T)*$C250)</f>
        <v>0.55758224095244069</v>
      </c>
      <c r="E250" s="52">
        <f t="shared" ca="1" si="10"/>
        <v>0</v>
      </c>
      <c r="F250" s="17">
        <f t="shared" ca="1" si="11"/>
        <v>0</v>
      </c>
      <c r="H250" s="17">
        <v>241</v>
      </c>
      <c r="I250" s="45">
        <v>0.66970752980954273</v>
      </c>
      <c r="J250" s="45">
        <v>1.8560236691229151E-2</v>
      </c>
      <c r="K250" s="45">
        <v>0.246</v>
      </c>
      <c r="N250" s="54"/>
    </row>
    <row r="251" spans="2:14" x14ac:dyDescent="0.2">
      <c r="B251">
        <v>242</v>
      </c>
      <c r="C251" s="52">
        <f t="shared" ca="1" si="12"/>
        <v>-0.32733673045165684</v>
      </c>
      <c r="D251" s="52">
        <f ca="1">S0*EXP((μ-0.5*σ*σ)*T+σ*SQRT(T)*$C251)</f>
        <v>0.58813625397462743</v>
      </c>
      <c r="E251" s="52">
        <f t="shared" ca="1" si="10"/>
        <v>0</v>
      </c>
      <c r="F251" s="17">
        <f t="shared" ca="1" si="11"/>
        <v>0</v>
      </c>
      <c r="H251" s="17">
        <v>242</v>
      </c>
      <c r="I251" s="45">
        <v>0.66923297918561719</v>
      </c>
      <c r="J251" s="45">
        <v>1.7887736667223417E-2</v>
      </c>
      <c r="K251" s="45">
        <v>0.23899999999999999</v>
      </c>
      <c r="N251" s="54"/>
    </row>
    <row r="252" spans="2:14" x14ac:dyDescent="0.2">
      <c r="B252">
        <v>243</v>
      </c>
      <c r="C252" s="52">
        <f t="shared" ca="1" si="12"/>
        <v>0.96088220645486022</v>
      </c>
      <c r="D252" s="52">
        <f ca="1">S0*EXP((μ-0.5*σ*σ)*T+σ*SQRT(T)*$C252)</f>
        <v>0.83971642329748075</v>
      </c>
      <c r="E252" s="52">
        <f t="shared" ca="1" si="10"/>
        <v>0</v>
      </c>
      <c r="F252" s="17">
        <f t="shared" ca="1" si="11"/>
        <v>0</v>
      </c>
      <c r="H252" s="17">
        <v>243</v>
      </c>
      <c r="I252" s="45">
        <v>0.67051144044534938</v>
      </c>
      <c r="J252" s="45">
        <v>1.866062832280882E-2</v>
      </c>
      <c r="K252" s="45">
        <v>0.245</v>
      </c>
      <c r="N252" s="54"/>
    </row>
    <row r="253" spans="2:14" x14ac:dyDescent="0.2">
      <c r="B253">
        <v>244</v>
      </c>
      <c r="C253" s="52">
        <f t="shared" ca="1" si="12"/>
        <v>0.88223610871366986</v>
      </c>
      <c r="D253" s="52">
        <f ca="1">S0*EXP((μ-0.5*σ*σ)*T+σ*SQRT(T)*$C253)</f>
        <v>0.82165771653288333</v>
      </c>
      <c r="E253" s="52">
        <f t="shared" ca="1" si="10"/>
        <v>0</v>
      </c>
      <c r="F253" s="17">
        <f t="shared" ca="1" si="11"/>
        <v>0</v>
      </c>
      <c r="H253" s="17">
        <v>244</v>
      </c>
      <c r="I253" s="45">
        <v>0.67161822135452309</v>
      </c>
      <c r="J253" s="45">
        <v>1.946121930697477E-2</v>
      </c>
      <c r="K253" s="45">
        <v>0.249</v>
      </c>
      <c r="N253" s="54"/>
    </row>
    <row r="254" spans="2:14" x14ac:dyDescent="0.2">
      <c r="B254">
        <v>245</v>
      </c>
      <c r="C254" s="52">
        <f t="shared" ca="1" si="12"/>
        <v>-0.75181098944680425</v>
      </c>
      <c r="D254" s="52">
        <f ca="1">S0*EXP((μ-0.5*σ*σ)*T+σ*SQRT(T)*$C254)</f>
        <v>0.52302023804255315</v>
      </c>
      <c r="E254" s="52">
        <f t="shared" ca="1" si="10"/>
        <v>1.1379761957446832E-2</v>
      </c>
      <c r="F254" s="17">
        <f t="shared" ca="1" si="11"/>
        <v>1</v>
      </c>
      <c r="H254" s="17">
        <v>245</v>
      </c>
      <c r="I254" s="45">
        <v>0.67046165386908196</v>
      </c>
      <c r="J254" s="45">
        <v>1.8679322273931539E-2</v>
      </c>
      <c r="K254" s="45">
        <v>0.23960000000000001</v>
      </c>
      <c r="N254" s="54"/>
    </row>
    <row r="255" spans="2:14" x14ac:dyDescent="0.2">
      <c r="B255">
        <v>246</v>
      </c>
      <c r="C255" s="52">
        <f t="shared" ca="1" si="12"/>
        <v>-1.7135087991314359</v>
      </c>
      <c r="D255" s="52">
        <f ca="1">S0*EXP((μ-0.5*σ*σ)*T+σ*SQRT(T)*$C255)</f>
        <v>0.40092549702988389</v>
      </c>
      <c r="E255" s="52">
        <f t="shared" ca="1" si="10"/>
        <v>0.13347450297011609</v>
      </c>
      <c r="F255" s="17">
        <f t="shared" ca="1" si="11"/>
        <v>1</v>
      </c>
      <c r="H255" s="17">
        <v>246</v>
      </c>
      <c r="I255" s="45">
        <v>0.67005551672950625</v>
      </c>
      <c r="J255" s="45">
        <v>1.8296153907397326E-2</v>
      </c>
      <c r="K255" s="45">
        <v>0.24460000000000001</v>
      </c>
      <c r="N255" s="54"/>
    </row>
    <row r="256" spans="2:14" x14ac:dyDescent="0.2">
      <c r="B256">
        <v>247</v>
      </c>
      <c r="C256" s="52">
        <f t="shared" ca="1" si="12"/>
        <v>-0.14528526379677281</v>
      </c>
      <c r="D256" s="52">
        <f ca="1">S0*EXP((μ-0.5*σ*σ)*T+σ*SQRT(T)*$C256)</f>
        <v>0.61849158727712039</v>
      </c>
      <c r="E256" s="52">
        <f t="shared" ca="1" si="10"/>
        <v>0</v>
      </c>
      <c r="F256" s="17">
        <f t="shared" ca="1" si="11"/>
        <v>0</v>
      </c>
      <c r="H256" s="17">
        <v>247</v>
      </c>
      <c r="I256" s="45">
        <v>0.67132414898439841</v>
      </c>
      <c r="J256" s="45">
        <v>1.9342271213338584E-2</v>
      </c>
      <c r="K256" s="45">
        <v>0.2472</v>
      </c>
      <c r="N256" s="54"/>
    </row>
    <row r="257" spans="2:14" x14ac:dyDescent="0.2">
      <c r="B257">
        <v>248</v>
      </c>
      <c r="C257" s="52">
        <f t="shared" ca="1" si="12"/>
        <v>2.2927937219822301</v>
      </c>
      <c r="D257" s="52">
        <f ca="1">S0*EXP((μ-0.5*σ*σ)*T+σ*SQRT(T)*$C257)</f>
        <v>1.2134804211799051</v>
      </c>
      <c r="E257" s="52">
        <f t="shared" ca="1" si="10"/>
        <v>0</v>
      </c>
      <c r="F257" s="17">
        <f t="shared" ca="1" si="11"/>
        <v>0</v>
      </c>
      <c r="H257" s="17">
        <v>248</v>
      </c>
      <c r="I257" s="45">
        <v>0.67036395337475974</v>
      </c>
      <c r="J257" s="45">
        <v>1.831123453525195E-2</v>
      </c>
      <c r="K257" s="45">
        <v>0.245</v>
      </c>
      <c r="N257" s="54"/>
    </row>
    <row r="258" spans="2:14" x14ac:dyDescent="0.2">
      <c r="B258">
        <v>249</v>
      </c>
      <c r="C258" s="52">
        <f t="shared" ca="1" si="12"/>
        <v>-0.40449293967777827</v>
      </c>
      <c r="D258" s="52">
        <f ca="1">S0*EXP((μ-0.5*σ*σ)*T+σ*SQRT(T)*$C258)</f>
        <v>0.57572502565263117</v>
      </c>
      <c r="E258" s="52">
        <f t="shared" ca="1" si="10"/>
        <v>0</v>
      </c>
      <c r="F258" s="17">
        <f t="shared" ca="1" si="11"/>
        <v>0</v>
      </c>
      <c r="H258" s="17">
        <v>249</v>
      </c>
      <c r="I258" s="45">
        <v>0.67123521411426168</v>
      </c>
      <c r="J258" s="45">
        <v>1.8976863610005709E-2</v>
      </c>
      <c r="K258" s="45">
        <v>0.24079999999999999</v>
      </c>
      <c r="N258" s="54"/>
    </row>
    <row r="259" spans="2:14" x14ac:dyDescent="0.2">
      <c r="B259">
        <v>250</v>
      </c>
      <c r="C259" s="52">
        <f t="shared" ca="1" si="12"/>
        <v>0.17805001999478787</v>
      </c>
      <c r="D259" s="52">
        <f ca="1">S0*EXP((μ-0.5*σ*σ)*T+σ*SQRT(T)*$C259)</f>
        <v>0.67631840263347576</v>
      </c>
      <c r="E259" s="52">
        <f t="shared" ca="1" si="10"/>
        <v>0</v>
      </c>
      <c r="F259" s="17">
        <f t="shared" ca="1" si="11"/>
        <v>0</v>
      </c>
      <c r="H259" s="17">
        <v>250</v>
      </c>
      <c r="I259" s="45">
        <v>0.67070974860464372</v>
      </c>
      <c r="J259" s="45">
        <v>1.8757541686254074E-2</v>
      </c>
      <c r="K259" s="45">
        <v>0.25380000000000003</v>
      </c>
      <c r="N259" s="54"/>
    </row>
    <row r="260" spans="2:14" x14ac:dyDescent="0.2">
      <c r="B260">
        <v>251</v>
      </c>
      <c r="C260" s="52">
        <f t="shared" ca="1" si="12"/>
        <v>-0.85049678394569905</v>
      </c>
      <c r="D260" s="52">
        <f ca="1">S0*EXP((μ-0.5*σ*σ)*T+σ*SQRT(T)*$C260)</f>
        <v>0.50894512291480343</v>
      </c>
      <c r="E260" s="52">
        <f t="shared" ca="1" si="10"/>
        <v>2.5454877085196559E-2</v>
      </c>
      <c r="F260" s="17">
        <f t="shared" ca="1" si="11"/>
        <v>1</v>
      </c>
      <c r="H260" s="17">
        <v>251</v>
      </c>
      <c r="I260" s="45">
        <v>0.67181053254123102</v>
      </c>
      <c r="J260" s="45">
        <v>1.9659248942072639E-2</v>
      </c>
      <c r="K260" s="45">
        <v>0.24859999999999999</v>
      </c>
      <c r="N260" s="54"/>
    </row>
    <row r="261" spans="2:14" x14ac:dyDescent="0.2">
      <c r="B261">
        <v>252</v>
      </c>
      <c r="C261" s="52">
        <f t="shared" ca="1" si="12"/>
        <v>0.46565014062387333</v>
      </c>
      <c r="D261" s="52">
        <f ca="1">S0*EXP((μ-0.5*σ*σ)*T+σ*SQRT(T)*$C261)</f>
        <v>0.73228222947969468</v>
      </c>
      <c r="E261" s="52">
        <f t="shared" ca="1" si="10"/>
        <v>0</v>
      </c>
      <c r="F261" s="17">
        <f t="shared" ca="1" si="11"/>
        <v>0</v>
      </c>
      <c r="H261" s="17">
        <v>252</v>
      </c>
      <c r="I261" s="45">
        <v>0.67150797241520921</v>
      </c>
      <c r="J261" s="45">
        <v>1.9648826735616267E-2</v>
      </c>
      <c r="K261" s="45">
        <v>0.25580000000000003</v>
      </c>
      <c r="N261" s="54"/>
    </row>
    <row r="262" spans="2:14" x14ac:dyDescent="0.2">
      <c r="B262">
        <v>253</v>
      </c>
      <c r="C262" s="52">
        <f t="shared" ca="1" si="12"/>
        <v>0.86097958497516458</v>
      </c>
      <c r="D262" s="52">
        <f ca="1">S0*EXP((μ-0.5*σ*σ)*T+σ*SQRT(T)*$C262)</f>
        <v>0.81684381756703051</v>
      </c>
      <c r="E262" s="52">
        <f t="shared" ca="1" si="10"/>
        <v>0</v>
      </c>
      <c r="F262" s="17">
        <f t="shared" ca="1" si="11"/>
        <v>0</v>
      </c>
      <c r="H262" s="17">
        <v>253</v>
      </c>
      <c r="I262" s="45">
        <v>0.66980242287750957</v>
      </c>
      <c r="J262" s="45">
        <v>1.8260574782435125E-2</v>
      </c>
      <c r="K262" s="45">
        <v>0.23980000000000001</v>
      </c>
      <c r="N262" s="54"/>
    </row>
    <row r="263" spans="2:14" x14ac:dyDescent="0.2">
      <c r="B263">
        <v>254</v>
      </c>
      <c r="C263" s="52">
        <f t="shared" ca="1" si="12"/>
        <v>2.8519664393234712E-2</v>
      </c>
      <c r="D263" s="52">
        <f ca="1">S0*EXP((μ-0.5*σ*σ)*T+σ*SQRT(T)*$C263)</f>
        <v>0.64893264137944973</v>
      </c>
      <c r="E263" s="52">
        <f t="shared" ca="1" si="10"/>
        <v>0</v>
      </c>
      <c r="F263" s="17">
        <f t="shared" ca="1" si="11"/>
        <v>0</v>
      </c>
      <c r="H263" s="17">
        <v>254</v>
      </c>
      <c r="I263" s="45">
        <v>0.6708956801726178</v>
      </c>
      <c r="J263" s="45">
        <v>1.8992545772359783E-2</v>
      </c>
      <c r="K263" s="45">
        <v>0.24340000000000001</v>
      </c>
      <c r="N263" s="54"/>
    </row>
    <row r="264" spans="2:14" x14ac:dyDescent="0.2">
      <c r="B264">
        <v>255</v>
      </c>
      <c r="C264" s="52">
        <f t="shared" ca="1" si="12"/>
        <v>-1.040281118946065</v>
      </c>
      <c r="D264" s="52">
        <f ca="1">S0*EXP((μ-0.5*σ*σ)*T+σ*SQRT(T)*$C264)</f>
        <v>0.48293285941057285</v>
      </c>
      <c r="E264" s="52">
        <f t="shared" ca="1" si="10"/>
        <v>5.1467140589427141E-2</v>
      </c>
      <c r="F264" s="17">
        <f t="shared" ca="1" si="11"/>
        <v>1</v>
      </c>
      <c r="H264" s="17">
        <v>255</v>
      </c>
      <c r="I264" s="45">
        <v>0.670674634479277</v>
      </c>
      <c r="J264" s="45">
        <v>1.8917406899847965E-2</v>
      </c>
      <c r="K264" s="45">
        <v>0.24660000000000001</v>
      </c>
      <c r="N264" s="54"/>
    </row>
    <row r="265" spans="2:14" x14ac:dyDescent="0.2">
      <c r="B265">
        <v>256</v>
      </c>
      <c r="C265" s="52">
        <f t="shared" ca="1" si="12"/>
        <v>0.62599073278733608</v>
      </c>
      <c r="D265" s="52">
        <f ca="1">S0*EXP((μ-0.5*σ*σ)*T+σ*SQRT(T)*$C265)</f>
        <v>0.76546948531424019</v>
      </c>
      <c r="E265" s="52">
        <f t="shared" ca="1" si="10"/>
        <v>0</v>
      </c>
      <c r="F265" s="17">
        <f t="shared" ca="1" si="11"/>
        <v>0</v>
      </c>
      <c r="H265" s="17">
        <v>256</v>
      </c>
      <c r="I265" s="45">
        <v>0.67140435696577916</v>
      </c>
      <c r="J265" s="45">
        <v>1.9012792477749632E-2</v>
      </c>
      <c r="K265" s="45">
        <v>0.24660000000000001</v>
      </c>
      <c r="N265" s="54"/>
    </row>
    <row r="266" spans="2:14" x14ac:dyDescent="0.2">
      <c r="B266">
        <v>257</v>
      </c>
      <c r="C266" s="52">
        <f t="shared" ca="1" si="12"/>
        <v>0.52830383127663338</v>
      </c>
      <c r="D266" s="52">
        <f ca="1">S0*EXP((μ-0.5*σ*σ)*T+σ*SQRT(T)*$C266)</f>
        <v>0.74507547070382329</v>
      </c>
      <c r="E266" s="52">
        <f t="shared" ref="E266:E329" ca="1" si="13">MAX(0,CP*(D266-K))</f>
        <v>0</v>
      </c>
      <c r="F266" s="17">
        <f t="shared" ref="F266:F329" ca="1" si="14">(CP*(D266-K)&gt;0)*1</f>
        <v>0</v>
      </c>
      <c r="H266" s="17">
        <v>257</v>
      </c>
      <c r="I266" s="45">
        <v>0.67002012853398518</v>
      </c>
      <c r="J266" s="45">
        <v>1.8417247292425304E-2</v>
      </c>
      <c r="K266" s="45">
        <v>0.24679999999999999</v>
      </c>
      <c r="N266" s="54"/>
    </row>
    <row r="267" spans="2:14" x14ac:dyDescent="0.2">
      <c r="B267">
        <v>258</v>
      </c>
      <c r="C267" s="52">
        <f t="shared" ref="C267:C330" ca="1" si="15">_xlfn.NORM.S.INV(RAND())</f>
        <v>-1.4407699399213327</v>
      </c>
      <c r="D267" s="52">
        <f ca="1">S0*EXP((μ-0.5*σ*σ)*T+σ*SQRT(T)*$C267)</f>
        <v>0.43232149175519974</v>
      </c>
      <c r="E267" s="52">
        <f t="shared" ca="1" si="13"/>
        <v>0.10207850824480025</v>
      </c>
      <c r="F267" s="17">
        <f t="shared" ca="1" si="14"/>
        <v>1</v>
      </c>
      <c r="H267" s="17">
        <v>258</v>
      </c>
      <c r="I267" s="45">
        <v>0.67212594527679981</v>
      </c>
      <c r="J267" s="45">
        <v>1.9754966037275879E-2</v>
      </c>
      <c r="K267" s="45">
        <v>0.25280000000000002</v>
      </c>
      <c r="N267" s="54"/>
    </row>
    <row r="268" spans="2:14" x14ac:dyDescent="0.2">
      <c r="B268">
        <v>259</v>
      </c>
      <c r="C268" s="52">
        <f t="shared" ca="1" si="15"/>
        <v>-1.231176460108742</v>
      </c>
      <c r="D268" s="52">
        <f ca="1">S0*EXP((μ-0.5*σ*σ)*T+σ*SQRT(T)*$C268)</f>
        <v>0.45810937135035046</v>
      </c>
      <c r="E268" s="52">
        <f t="shared" ca="1" si="13"/>
        <v>7.6290628649649528E-2</v>
      </c>
      <c r="F268" s="17">
        <f t="shared" ca="1" si="14"/>
        <v>1</v>
      </c>
      <c r="H268" s="17">
        <v>259</v>
      </c>
      <c r="I268" s="45">
        <v>0.67094252997286719</v>
      </c>
      <c r="J268" s="45">
        <v>1.9151351966614716E-2</v>
      </c>
      <c r="K268" s="45">
        <v>0.24979999999999999</v>
      </c>
      <c r="N268" s="54"/>
    </row>
    <row r="269" spans="2:14" x14ac:dyDescent="0.2">
      <c r="B269">
        <v>260</v>
      </c>
      <c r="C269" s="52">
        <f t="shared" ca="1" si="15"/>
        <v>0.68110494237359254</v>
      </c>
      <c r="D269" s="52">
        <f ca="1">S0*EXP((μ-0.5*σ*σ)*T+σ*SQRT(T)*$C269)</f>
        <v>0.77722097989076677</v>
      </c>
      <c r="E269" s="52">
        <f t="shared" ca="1" si="13"/>
        <v>0</v>
      </c>
      <c r="F269" s="17">
        <f t="shared" ca="1" si="14"/>
        <v>0</v>
      </c>
      <c r="H269" s="17">
        <v>260</v>
      </c>
      <c r="I269" s="45">
        <v>0.67018636097936879</v>
      </c>
      <c r="J269" s="45">
        <v>1.872836939263825E-2</v>
      </c>
      <c r="K269" s="45">
        <v>0.248</v>
      </c>
      <c r="N269" s="54"/>
    </row>
    <row r="270" spans="2:14" x14ac:dyDescent="0.2">
      <c r="B270">
        <v>261</v>
      </c>
      <c r="C270" s="52">
        <f t="shared" ca="1" si="15"/>
        <v>-0.31223928043901206</v>
      </c>
      <c r="D270" s="52">
        <f ca="1">S0*EXP((μ-0.5*σ*σ)*T+σ*SQRT(T)*$C270)</f>
        <v>0.59059592619605827</v>
      </c>
      <c r="E270" s="52">
        <f t="shared" ca="1" si="13"/>
        <v>0</v>
      </c>
      <c r="F270" s="17">
        <f t="shared" ca="1" si="14"/>
        <v>0</v>
      </c>
      <c r="H270" s="17">
        <v>261</v>
      </c>
      <c r="I270" s="45">
        <v>0.6707263227638971</v>
      </c>
      <c r="J270" s="45">
        <v>1.8860617126680353E-2</v>
      </c>
      <c r="K270" s="45">
        <v>0.24560000000000001</v>
      </c>
      <c r="N270" s="54"/>
    </row>
    <row r="271" spans="2:14" x14ac:dyDescent="0.2">
      <c r="B271">
        <v>262</v>
      </c>
      <c r="C271" s="52">
        <f t="shared" ca="1" si="15"/>
        <v>-0.7771536742948596</v>
      </c>
      <c r="D271" s="52">
        <f ca="1">S0*EXP((μ-0.5*σ*σ)*T+σ*SQRT(T)*$C271)</f>
        <v>0.51936900214349802</v>
      </c>
      <c r="E271" s="52">
        <f t="shared" ca="1" si="13"/>
        <v>1.5030997856501971E-2</v>
      </c>
      <c r="F271" s="17">
        <f t="shared" ca="1" si="14"/>
        <v>1</v>
      </c>
      <c r="H271" s="17">
        <v>262</v>
      </c>
      <c r="I271" s="45">
        <v>0.67044226395079609</v>
      </c>
      <c r="J271" s="45">
        <v>1.8760192106279099E-2</v>
      </c>
      <c r="K271" s="45">
        <v>0.24460000000000001</v>
      </c>
      <c r="N271" s="54"/>
    </row>
    <row r="272" spans="2:14" x14ac:dyDescent="0.2">
      <c r="B272">
        <v>263</v>
      </c>
      <c r="C272" s="52">
        <f t="shared" ca="1" si="15"/>
        <v>-0.22615600868133634</v>
      </c>
      <c r="D272" s="52">
        <f ca="1">S0*EXP((μ-0.5*σ*σ)*T+σ*SQRT(T)*$C272)</f>
        <v>0.60481842359078464</v>
      </c>
      <c r="E272" s="52">
        <f t="shared" ca="1" si="13"/>
        <v>0</v>
      </c>
      <c r="F272" s="17">
        <f t="shared" ca="1" si="14"/>
        <v>0</v>
      </c>
      <c r="H272" s="17">
        <v>263</v>
      </c>
      <c r="I272" s="45">
        <v>0.67285026714862872</v>
      </c>
      <c r="J272" s="45">
        <v>2.0237231172298455E-2</v>
      </c>
      <c r="K272" s="45">
        <v>0.25440000000000002</v>
      </c>
      <c r="N272" s="54"/>
    </row>
    <row r="273" spans="2:14" x14ac:dyDescent="0.2">
      <c r="B273">
        <v>264</v>
      </c>
      <c r="C273" s="52">
        <f t="shared" ca="1" si="15"/>
        <v>0.47093019491755289</v>
      </c>
      <c r="D273" s="52">
        <f ca="1">S0*EXP((μ-0.5*σ*σ)*T+σ*SQRT(T)*$C273)</f>
        <v>0.73335183340318255</v>
      </c>
      <c r="E273" s="52">
        <f t="shared" ca="1" si="13"/>
        <v>0</v>
      </c>
      <c r="F273" s="17">
        <f t="shared" ca="1" si="14"/>
        <v>0</v>
      </c>
      <c r="H273" s="17">
        <v>264</v>
      </c>
      <c r="I273" s="45">
        <v>0.6719808568613318</v>
      </c>
      <c r="J273" s="45">
        <v>1.9875956428574475E-2</v>
      </c>
      <c r="K273" s="45">
        <v>0.25280000000000002</v>
      </c>
      <c r="N273" s="54"/>
    </row>
    <row r="274" spans="2:14" x14ac:dyDescent="0.2">
      <c r="B274">
        <v>265</v>
      </c>
      <c r="C274" s="52">
        <f t="shared" ca="1" si="15"/>
        <v>-0.43600862991126449</v>
      </c>
      <c r="D274" s="52">
        <f ca="1">S0*EXP((μ-0.5*σ*σ)*T+σ*SQRT(T)*$C274)</f>
        <v>0.57073111638144236</v>
      </c>
      <c r="E274" s="52">
        <f t="shared" ca="1" si="13"/>
        <v>0</v>
      </c>
      <c r="F274" s="17">
        <f t="shared" ca="1" si="14"/>
        <v>0</v>
      </c>
      <c r="H274" s="17">
        <v>265</v>
      </c>
      <c r="I274" s="45">
        <v>0.67093647688175018</v>
      </c>
      <c r="J274" s="45">
        <v>1.8986083298004126E-2</v>
      </c>
      <c r="K274" s="45">
        <v>0.24179999999999999</v>
      </c>
      <c r="N274" s="54"/>
    </row>
    <row r="275" spans="2:14" x14ac:dyDescent="0.2">
      <c r="B275">
        <v>266</v>
      </c>
      <c r="C275" s="52">
        <f t="shared" ca="1" si="15"/>
        <v>-0.14103662522575752</v>
      </c>
      <c r="D275" s="52">
        <f ca="1">S0*EXP((μ-0.5*σ*σ)*T+σ*SQRT(T)*$C275)</f>
        <v>0.61921840877140699</v>
      </c>
      <c r="E275" s="52">
        <f t="shared" ca="1" si="13"/>
        <v>0</v>
      </c>
      <c r="F275" s="17">
        <f t="shared" ca="1" si="14"/>
        <v>0</v>
      </c>
      <c r="H275" s="17">
        <v>266</v>
      </c>
      <c r="I275" s="45">
        <v>0.6703054030347384</v>
      </c>
      <c r="J275" s="45">
        <v>1.8463128265918501E-2</v>
      </c>
      <c r="K275" s="45">
        <v>0.24099999999999999</v>
      </c>
      <c r="N275" s="54"/>
    </row>
    <row r="276" spans="2:14" x14ac:dyDescent="0.2">
      <c r="B276">
        <v>267</v>
      </c>
      <c r="C276" s="52">
        <f t="shared" ca="1" si="15"/>
        <v>0.52483539157972581</v>
      </c>
      <c r="D276" s="52">
        <f ca="1">S0*EXP((μ-0.5*σ*σ)*T+σ*SQRT(T)*$C276)</f>
        <v>0.74436144252066405</v>
      </c>
      <c r="E276" s="52">
        <f t="shared" ca="1" si="13"/>
        <v>0</v>
      </c>
      <c r="F276" s="17">
        <f t="shared" ca="1" si="14"/>
        <v>0</v>
      </c>
      <c r="H276" s="17">
        <v>267</v>
      </c>
      <c r="I276" s="45">
        <v>0.67134274490260448</v>
      </c>
      <c r="J276" s="45">
        <v>1.916785987578801E-2</v>
      </c>
      <c r="K276" s="45">
        <v>0.24540000000000001</v>
      </c>
      <c r="N276" s="54"/>
    </row>
    <row r="277" spans="2:14" x14ac:dyDescent="0.2">
      <c r="B277">
        <v>268</v>
      </c>
      <c r="C277" s="52">
        <f t="shared" ca="1" si="15"/>
        <v>0.3970663489981896</v>
      </c>
      <c r="D277" s="52">
        <f ca="1">S0*EXP((μ-0.5*σ*σ)*T+σ*SQRT(T)*$C277)</f>
        <v>0.71852982099959128</v>
      </c>
      <c r="E277" s="52">
        <f t="shared" ca="1" si="13"/>
        <v>0</v>
      </c>
      <c r="F277" s="17">
        <f t="shared" ca="1" si="14"/>
        <v>0</v>
      </c>
      <c r="H277" s="17">
        <v>268</v>
      </c>
      <c r="I277" s="45">
        <v>0.67256365249372552</v>
      </c>
      <c r="J277" s="45">
        <v>2.0294026816967077E-2</v>
      </c>
      <c r="K277" s="45">
        <v>0.25779999999999997</v>
      </c>
      <c r="N277" s="54"/>
    </row>
    <row r="278" spans="2:14" x14ac:dyDescent="0.2">
      <c r="B278">
        <v>269</v>
      </c>
      <c r="C278" s="52">
        <f t="shared" ca="1" si="15"/>
        <v>-0.22437885202400729</v>
      </c>
      <c r="D278" s="52">
        <f ca="1">S0*EXP((μ-0.5*σ*σ)*T+σ*SQRT(T)*$C278)</f>
        <v>0.60511562203218083</v>
      </c>
      <c r="E278" s="52">
        <f t="shared" ca="1" si="13"/>
        <v>0</v>
      </c>
      <c r="F278" s="17">
        <f t="shared" ca="1" si="14"/>
        <v>0</v>
      </c>
      <c r="H278" s="17">
        <v>269</v>
      </c>
      <c r="I278" s="45">
        <v>0.67072419326882626</v>
      </c>
      <c r="J278" s="45">
        <v>1.9131022776922458E-2</v>
      </c>
      <c r="K278" s="45">
        <v>0.248</v>
      </c>
      <c r="N278" s="54"/>
    </row>
    <row r="279" spans="2:14" x14ac:dyDescent="0.2">
      <c r="B279">
        <v>270</v>
      </c>
      <c r="C279" s="52">
        <f t="shared" ca="1" si="15"/>
        <v>0.87715363956157444</v>
      </c>
      <c r="D279" s="52">
        <f ca="1">S0*EXP((μ-0.5*σ*σ)*T+σ*SQRT(T)*$C279)</f>
        <v>0.82050413109784115</v>
      </c>
      <c r="E279" s="52">
        <f t="shared" ca="1" si="13"/>
        <v>0</v>
      </c>
      <c r="F279" s="17">
        <f t="shared" ca="1" si="14"/>
        <v>0</v>
      </c>
      <c r="H279" s="17">
        <v>270</v>
      </c>
      <c r="I279" s="45">
        <v>0.67122936994247506</v>
      </c>
      <c r="J279" s="45">
        <v>1.9045398047336043E-2</v>
      </c>
      <c r="K279" s="45">
        <v>0.24840000000000001</v>
      </c>
      <c r="N279" s="54"/>
    </row>
    <row r="280" spans="2:14" x14ac:dyDescent="0.2">
      <c r="B280">
        <v>271</v>
      </c>
      <c r="C280" s="52">
        <f t="shared" ca="1" si="15"/>
        <v>-1.271261201414736</v>
      </c>
      <c r="D280" s="52">
        <f ca="1">S0*EXP((μ-0.5*σ*σ)*T+σ*SQRT(T)*$C280)</f>
        <v>0.45306120734527328</v>
      </c>
      <c r="E280" s="52">
        <f t="shared" ca="1" si="13"/>
        <v>8.133879265472671E-2</v>
      </c>
      <c r="F280" s="17">
        <f t="shared" ca="1" si="14"/>
        <v>1</v>
      </c>
      <c r="H280" s="17">
        <v>271</v>
      </c>
      <c r="I280" s="45">
        <v>0.6705890639953932</v>
      </c>
      <c r="J280" s="45">
        <v>1.8841903452396145E-2</v>
      </c>
      <c r="K280" s="45">
        <v>0.24660000000000001</v>
      </c>
      <c r="N280" s="54"/>
    </row>
    <row r="281" spans="2:14" x14ac:dyDescent="0.2">
      <c r="B281">
        <v>272</v>
      </c>
      <c r="C281" s="52">
        <f t="shared" ca="1" si="15"/>
        <v>0.41567979419995404</v>
      </c>
      <c r="D281" s="52">
        <f ca="1">S0*EXP((μ-0.5*σ*σ)*T+σ*SQRT(T)*$C281)</f>
        <v>0.72223644440976698</v>
      </c>
      <c r="E281" s="52">
        <f t="shared" ca="1" si="13"/>
        <v>0</v>
      </c>
      <c r="F281" s="17">
        <f t="shared" ca="1" si="14"/>
        <v>0</v>
      </c>
      <c r="H281" s="17">
        <v>272</v>
      </c>
      <c r="I281" s="45">
        <v>0.67152080863464703</v>
      </c>
      <c r="J281" s="45">
        <v>1.9664184959212114E-2</v>
      </c>
      <c r="K281" s="45">
        <v>0.2576</v>
      </c>
      <c r="N281" s="54"/>
    </row>
    <row r="282" spans="2:14" x14ac:dyDescent="0.2">
      <c r="B282">
        <v>273</v>
      </c>
      <c r="C282" s="52">
        <f t="shared" ca="1" si="15"/>
        <v>-2.0145080819681307</v>
      </c>
      <c r="D282" s="52">
        <f ca="1">S0*EXP((μ-0.5*σ*σ)*T+σ*SQRT(T)*$C282)</f>
        <v>0.36891624093386455</v>
      </c>
      <c r="E282" s="52">
        <f t="shared" ca="1" si="13"/>
        <v>0.16548375906613544</v>
      </c>
      <c r="F282" s="17">
        <f t="shared" ca="1" si="14"/>
        <v>1</v>
      </c>
      <c r="H282" s="17">
        <v>273</v>
      </c>
      <c r="I282" s="45">
        <v>0.6706058399250846</v>
      </c>
      <c r="J282" s="45">
        <v>1.8949677943396612E-2</v>
      </c>
      <c r="K282" s="45">
        <v>0.2414</v>
      </c>
      <c r="N282" s="54"/>
    </row>
    <row r="283" spans="2:14" x14ac:dyDescent="0.2">
      <c r="B283">
        <v>274</v>
      </c>
      <c r="C283" s="52">
        <f t="shared" ca="1" si="15"/>
        <v>0.73737023006828961</v>
      </c>
      <c r="D283" s="52">
        <f ca="1">S0*EXP((μ-0.5*σ*σ)*T+σ*SQRT(T)*$C283)</f>
        <v>0.78940402830314127</v>
      </c>
      <c r="E283" s="52">
        <f t="shared" ca="1" si="13"/>
        <v>0</v>
      </c>
      <c r="F283" s="17">
        <f t="shared" ca="1" si="14"/>
        <v>0</v>
      </c>
      <c r="H283" s="17">
        <v>274</v>
      </c>
      <c r="I283" s="45">
        <v>0.67175764836986962</v>
      </c>
      <c r="J283" s="45">
        <v>1.9731207521327468E-2</v>
      </c>
      <c r="K283" s="45">
        <v>0.251</v>
      </c>
      <c r="N283" s="54"/>
    </row>
    <row r="284" spans="2:14" x14ac:dyDescent="0.2">
      <c r="B284">
        <v>275</v>
      </c>
      <c r="C284" s="52">
        <f t="shared" ca="1" si="15"/>
        <v>-1.1673547274272784</v>
      </c>
      <c r="D284" s="52">
        <f ca="1">S0*EXP((μ-0.5*σ*σ)*T+σ*SQRT(T)*$C284)</f>
        <v>0.46626323640611156</v>
      </c>
      <c r="E284" s="52">
        <f t="shared" ca="1" si="13"/>
        <v>6.8136763593888428E-2</v>
      </c>
      <c r="F284" s="17">
        <f t="shared" ca="1" si="14"/>
        <v>1</v>
      </c>
      <c r="H284" s="17">
        <v>275</v>
      </c>
      <c r="I284" s="45">
        <v>0.67085658758632016</v>
      </c>
      <c r="J284" s="45">
        <v>1.8902696997180373E-2</v>
      </c>
      <c r="K284" s="45">
        <v>0.24840000000000001</v>
      </c>
      <c r="N284" s="54"/>
    </row>
    <row r="285" spans="2:14" x14ac:dyDescent="0.2">
      <c r="B285">
        <v>276</v>
      </c>
      <c r="C285" s="52">
        <f t="shared" ca="1" si="15"/>
        <v>-0.42401783298591117</v>
      </c>
      <c r="D285" s="52">
        <f ca="1">S0*EXP((μ-0.5*σ*σ)*T+σ*SQRT(T)*$C285)</f>
        <v>0.57262602680973052</v>
      </c>
      <c r="E285" s="52">
        <f t="shared" ca="1" si="13"/>
        <v>0</v>
      </c>
      <c r="F285" s="17">
        <f t="shared" ca="1" si="14"/>
        <v>0</v>
      </c>
      <c r="H285" s="17">
        <v>276</v>
      </c>
      <c r="I285" s="45">
        <v>0.6710807656789799</v>
      </c>
      <c r="J285" s="45">
        <v>1.8760188064908957E-2</v>
      </c>
      <c r="K285" s="45">
        <v>0.23699999999999999</v>
      </c>
      <c r="N285" s="54"/>
    </row>
    <row r="286" spans="2:14" x14ac:dyDescent="0.2">
      <c r="B286">
        <v>277</v>
      </c>
      <c r="C286" s="52">
        <f t="shared" ca="1" si="15"/>
        <v>-0.70162318915777966</v>
      </c>
      <c r="D286" s="52">
        <f ca="1">S0*EXP((μ-0.5*σ*σ)*T+σ*SQRT(T)*$C286)</f>
        <v>0.53032694787662993</v>
      </c>
      <c r="E286" s="52">
        <f t="shared" ca="1" si="13"/>
        <v>4.0730521233700578E-3</v>
      </c>
      <c r="F286" s="17">
        <f t="shared" ca="1" si="14"/>
        <v>1</v>
      </c>
      <c r="H286" s="17">
        <v>277</v>
      </c>
      <c r="I286" s="45">
        <v>0.67007408961155779</v>
      </c>
      <c r="J286" s="45">
        <v>1.826410180361333E-2</v>
      </c>
      <c r="K286" s="45">
        <v>0.24340000000000001</v>
      </c>
      <c r="N286" s="54"/>
    </row>
    <row r="287" spans="2:14" x14ac:dyDescent="0.2">
      <c r="B287">
        <v>278</v>
      </c>
      <c r="C287" s="52">
        <f t="shared" ca="1" si="15"/>
        <v>0.84934697332469777</v>
      </c>
      <c r="D287" s="52">
        <f ca="1">S0*EXP((μ-0.5*σ*σ)*T+σ*SQRT(T)*$C287)</f>
        <v>0.81422136706770654</v>
      </c>
      <c r="E287" s="52">
        <f t="shared" ca="1" si="13"/>
        <v>0</v>
      </c>
      <c r="F287" s="17">
        <f t="shared" ca="1" si="14"/>
        <v>0</v>
      </c>
      <c r="H287" s="17">
        <v>278</v>
      </c>
      <c r="I287" s="45">
        <v>0.67127105110775198</v>
      </c>
      <c r="J287" s="45">
        <v>1.9251923836454767E-2</v>
      </c>
      <c r="K287" s="45">
        <v>0.25280000000000002</v>
      </c>
      <c r="N287" s="54"/>
    </row>
    <row r="288" spans="2:14" x14ac:dyDescent="0.2">
      <c r="B288">
        <v>279</v>
      </c>
      <c r="C288" s="52">
        <f t="shared" ca="1" si="15"/>
        <v>0.42859711860991079</v>
      </c>
      <c r="D288" s="52">
        <f ca="1">S0*EXP((μ-0.5*σ*σ)*T+σ*SQRT(T)*$C288)</f>
        <v>0.72481999339990533</v>
      </c>
      <c r="E288" s="52">
        <f t="shared" ca="1" si="13"/>
        <v>0</v>
      </c>
      <c r="F288" s="17">
        <f t="shared" ca="1" si="14"/>
        <v>0</v>
      </c>
      <c r="H288" s="17">
        <v>279</v>
      </c>
      <c r="I288" s="45">
        <v>0.66980704464194407</v>
      </c>
      <c r="J288" s="45">
        <v>1.809317679394715E-2</v>
      </c>
      <c r="K288" s="45">
        <v>0.24299999999999999</v>
      </c>
      <c r="N288" s="54"/>
    </row>
    <row r="289" spans="2:14" x14ac:dyDescent="0.2">
      <c r="B289">
        <v>280</v>
      </c>
      <c r="C289" s="52">
        <f t="shared" ca="1" si="15"/>
        <v>1.6525608710506547</v>
      </c>
      <c r="D289" s="52">
        <f ca="1">S0*EXP((μ-0.5*σ*σ)*T+σ*SQRT(T)*$C289)</f>
        <v>1.0166485031021995</v>
      </c>
      <c r="E289" s="52">
        <f t="shared" ca="1" si="13"/>
        <v>0</v>
      </c>
      <c r="F289" s="17">
        <f t="shared" ca="1" si="14"/>
        <v>0</v>
      </c>
      <c r="H289" s="17">
        <v>280</v>
      </c>
      <c r="I289" s="45">
        <v>0.67103005595943466</v>
      </c>
      <c r="J289" s="45">
        <v>1.9298511001938624E-2</v>
      </c>
      <c r="K289" s="45">
        <v>0.25440000000000002</v>
      </c>
      <c r="N289" s="54"/>
    </row>
    <row r="290" spans="2:14" x14ac:dyDescent="0.2">
      <c r="B290">
        <v>281</v>
      </c>
      <c r="C290" s="52">
        <f t="shared" ca="1" si="15"/>
        <v>0.41960597433213059</v>
      </c>
      <c r="D290" s="52">
        <f ca="1">S0*EXP((μ-0.5*σ*σ)*T+σ*SQRT(T)*$C290)</f>
        <v>0.72302073036645587</v>
      </c>
      <c r="E290" s="52">
        <f t="shared" ca="1" si="13"/>
        <v>0</v>
      </c>
      <c r="F290" s="17">
        <f t="shared" ca="1" si="14"/>
        <v>0</v>
      </c>
      <c r="H290" s="17">
        <v>281</v>
      </c>
      <c r="I290" s="45">
        <v>0.67055732079591601</v>
      </c>
      <c r="J290" s="45">
        <v>1.8926048234469438E-2</v>
      </c>
      <c r="K290" s="45">
        <v>0.24560000000000001</v>
      </c>
      <c r="N290" s="54"/>
    </row>
    <row r="291" spans="2:14" x14ac:dyDescent="0.2">
      <c r="B291">
        <v>282</v>
      </c>
      <c r="C291" s="52">
        <f t="shared" ca="1" si="15"/>
        <v>4.2767492409693561E-2</v>
      </c>
      <c r="D291" s="52">
        <f ca="1">S0*EXP((μ-0.5*σ*σ)*T+σ*SQRT(T)*$C291)</f>
        <v>0.65149354323367559</v>
      </c>
      <c r="E291" s="52">
        <f t="shared" ca="1" si="13"/>
        <v>0</v>
      </c>
      <c r="F291" s="17">
        <f t="shared" ca="1" si="14"/>
        <v>0</v>
      </c>
      <c r="H291" s="17">
        <v>282</v>
      </c>
      <c r="I291" s="45">
        <v>0.67208205564046997</v>
      </c>
      <c r="J291" s="45">
        <v>1.9818846744621327E-2</v>
      </c>
      <c r="K291" s="45">
        <v>0.24779999999999999</v>
      </c>
      <c r="N291" s="54"/>
    </row>
    <row r="292" spans="2:14" x14ac:dyDescent="0.2">
      <c r="B292">
        <v>283</v>
      </c>
      <c r="C292" s="52">
        <f t="shared" ca="1" si="15"/>
        <v>-0.73484103571075188</v>
      </c>
      <c r="D292" s="52">
        <f ca="1">S0*EXP((μ-0.5*σ*σ)*T+σ*SQRT(T)*$C292)</f>
        <v>0.52547951431892681</v>
      </c>
      <c r="E292" s="52">
        <f t="shared" ca="1" si="13"/>
        <v>8.9204856810731759E-3</v>
      </c>
      <c r="F292" s="17">
        <f t="shared" ca="1" si="14"/>
        <v>1</v>
      </c>
      <c r="H292" s="17">
        <v>283</v>
      </c>
      <c r="I292" s="45">
        <v>0.67046549240768338</v>
      </c>
      <c r="J292" s="45">
        <v>1.8709836439441678E-2</v>
      </c>
      <c r="K292" s="45">
        <v>0.24679999999999999</v>
      </c>
      <c r="N292" s="54"/>
    </row>
    <row r="293" spans="2:14" x14ac:dyDescent="0.2">
      <c r="B293">
        <v>284</v>
      </c>
      <c r="C293" s="52">
        <f t="shared" ca="1" si="15"/>
        <v>1.9641227517243489</v>
      </c>
      <c r="D293" s="52">
        <f ca="1">S0*EXP((μ-0.5*σ*σ)*T+σ*SQRT(T)*$C293)</f>
        <v>1.1080893984821885</v>
      </c>
      <c r="E293" s="52">
        <f t="shared" ca="1" si="13"/>
        <v>0</v>
      </c>
      <c r="F293" s="17">
        <f t="shared" ca="1" si="14"/>
        <v>0</v>
      </c>
      <c r="H293" s="17">
        <v>284</v>
      </c>
      <c r="I293" s="45">
        <v>0.67090095616183099</v>
      </c>
      <c r="J293" s="45">
        <v>1.8924013216177364E-2</v>
      </c>
      <c r="K293" s="45">
        <v>0.2442</v>
      </c>
      <c r="N293" s="54"/>
    </row>
    <row r="294" spans="2:14" x14ac:dyDescent="0.2">
      <c r="B294">
        <v>285</v>
      </c>
      <c r="C294" s="52">
        <f t="shared" ca="1" si="15"/>
        <v>-0.64617957591887998</v>
      </c>
      <c r="D294" s="52">
        <f ca="1">S0*EXP((μ-0.5*σ*σ)*T+σ*SQRT(T)*$C294)</f>
        <v>0.53851756609157131</v>
      </c>
      <c r="E294" s="52">
        <f t="shared" ca="1" si="13"/>
        <v>0</v>
      </c>
      <c r="F294" s="17">
        <f t="shared" ca="1" si="14"/>
        <v>0</v>
      </c>
      <c r="H294" s="17">
        <v>285</v>
      </c>
      <c r="I294" s="45">
        <v>0.67053424586817167</v>
      </c>
      <c r="J294" s="45">
        <v>1.877686737670211E-2</v>
      </c>
      <c r="K294" s="45">
        <v>0.24379999999999999</v>
      </c>
      <c r="N294" s="54"/>
    </row>
    <row r="295" spans="2:14" x14ac:dyDescent="0.2">
      <c r="B295">
        <v>286</v>
      </c>
      <c r="C295" s="52">
        <f t="shared" ca="1" si="15"/>
        <v>1.3663684443901292</v>
      </c>
      <c r="D295" s="52">
        <f ca="1">S0*EXP((μ-0.5*σ*σ)*T+σ*SQRT(T)*$C295)</f>
        <v>0.93931775882545865</v>
      </c>
      <c r="E295" s="52">
        <f t="shared" ca="1" si="13"/>
        <v>0</v>
      </c>
      <c r="F295" s="17">
        <f t="shared" ca="1" si="14"/>
        <v>0</v>
      </c>
      <c r="H295" s="17">
        <v>286</v>
      </c>
      <c r="I295" s="45">
        <v>0.67031435075121049</v>
      </c>
      <c r="J295" s="45">
        <v>1.8477066773344156E-2</v>
      </c>
      <c r="K295" s="45">
        <v>0.24399999999999999</v>
      </c>
      <c r="N295" s="54"/>
    </row>
    <row r="296" spans="2:14" x14ac:dyDescent="0.2">
      <c r="B296">
        <v>287</v>
      </c>
      <c r="C296" s="52">
        <f t="shared" ca="1" si="15"/>
        <v>0.85940345914172911</v>
      </c>
      <c r="D296" s="52">
        <f ca="1">S0*EXP((μ-0.5*σ*σ)*T+σ*SQRT(T)*$C296)</f>
        <v>0.81648800242196384</v>
      </c>
      <c r="E296" s="52">
        <f t="shared" ca="1" si="13"/>
        <v>0</v>
      </c>
      <c r="F296" s="17">
        <f t="shared" ca="1" si="14"/>
        <v>0</v>
      </c>
      <c r="H296" s="17">
        <v>287</v>
      </c>
      <c r="I296" s="45">
        <v>0.67043051501442452</v>
      </c>
      <c r="J296" s="45">
        <v>1.8660382893321822E-2</v>
      </c>
      <c r="K296" s="45">
        <v>0.247</v>
      </c>
      <c r="N296" s="54"/>
    </row>
    <row r="297" spans="2:14" x14ac:dyDescent="0.2">
      <c r="B297">
        <v>288</v>
      </c>
      <c r="C297" s="52">
        <f t="shared" ca="1" si="15"/>
        <v>0.37972197694618592</v>
      </c>
      <c r="D297" s="52">
        <f ca="1">S0*EXP((μ-0.5*σ*σ)*T+σ*SQRT(T)*$C297)</f>
        <v>0.7150930405186201</v>
      </c>
      <c r="E297" s="52">
        <f t="shared" ca="1" si="13"/>
        <v>0</v>
      </c>
      <c r="F297" s="17">
        <f t="shared" ca="1" si="14"/>
        <v>0</v>
      </c>
      <c r="H297" s="17">
        <v>288</v>
      </c>
      <c r="I297" s="45">
        <v>0.6706774206080679</v>
      </c>
      <c r="J297" s="45">
        <v>1.8735285901103176E-2</v>
      </c>
      <c r="K297" s="45">
        <v>0.24740000000000001</v>
      </c>
      <c r="N297" s="54"/>
    </row>
    <row r="298" spans="2:14" x14ac:dyDescent="0.2">
      <c r="B298">
        <v>289</v>
      </c>
      <c r="C298" s="52">
        <f t="shared" ca="1" si="15"/>
        <v>1.5413893464691459</v>
      </c>
      <c r="D298" s="52">
        <f ca="1">S0*EXP((μ-0.5*σ*σ)*T+σ*SQRT(T)*$C298)</f>
        <v>0.98588063857051844</v>
      </c>
      <c r="E298" s="52">
        <f t="shared" ca="1" si="13"/>
        <v>0</v>
      </c>
      <c r="F298" s="17">
        <f t="shared" ca="1" si="14"/>
        <v>0</v>
      </c>
      <c r="H298" s="17">
        <v>289</v>
      </c>
      <c r="I298" s="45">
        <v>0.67026286283925851</v>
      </c>
      <c r="J298" s="45">
        <v>1.8482514821131096E-2</v>
      </c>
      <c r="K298" s="45">
        <v>0.24399999999999999</v>
      </c>
      <c r="N298" s="54"/>
    </row>
    <row r="299" spans="2:14" x14ac:dyDescent="0.2">
      <c r="B299">
        <v>290</v>
      </c>
      <c r="C299" s="52">
        <f t="shared" ca="1" si="15"/>
        <v>0.87183662610075185</v>
      </c>
      <c r="D299" s="52">
        <f ca="1">S0*EXP((μ-0.5*σ*σ)*T+σ*SQRT(T)*$C299)</f>
        <v>0.81929904373917717</v>
      </c>
      <c r="E299" s="52">
        <f t="shared" ca="1" si="13"/>
        <v>0</v>
      </c>
      <c r="F299" s="17">
        <f t="shared" ca="1" si="14"/>
        <v>0</v>
      </c>
      <c r="H299" s="17">
        <v>290</v>
      </c>
      <c r="I299" s="45">
        <v>0.67093074271481346</v>
      </c>
      <c r="J299" s="45">
        <v>1.8831439902885237E-2</v>
      </c>
      <c r="K299" s="45">
        <v>0.24340000000000001</v>
      </c>
      <c r="N299" s="54"/>
    </row>
    <row r="300" spans="2:14" x14ac:dyDescent="0.2">
      <c r="B300">
        <v>291</v>
      </c>
      <c r="C300" s="52">
        <f t="shared" ca="1" si="15"/>
        <v>2.103437588359228</v>
      </c>
      <c r="D300" s="52">
        <f ca="1">S0*EXP((μ-0.5*σ*σ)*T+σ*SQRT(T)*$C300)</f>
        <v>1.1515955551258199</v>
      </c>
      <c r="E300" s="52">
        <f t="shared" ca="1" si="13"/>
        <v>0</v>
      </c>
      <c r="F300" s="17">
        <f t="shared" ca="1" si="14"/>
        <v>0</v>
      </c>
      <c r="H300" s="17">
        <v>291</v>
      </c>
      <c r="I300" s="45">
        <v>0.67058861457093677</v>
      </c>
      <c r="J300" s="45">
        <v>1.8725664540649434E-2</v>
      </c>
      <c r="K300" s="45">
        <v>0.247</v>
      </c>
      <c r="N300" s="54"/>
    </row>
    <row r="301" spans="2:14" x14ac:dyDescent="0.2">
      <c r="B301">
        <v>292</v>
      </c>
      <c r="C301" s="52">
        <f t="shared" ca="1" si="15"/>
        <v>0.46689634901949778</v>
      </c>
      <c r="D301" s="52">
        <f ca="1">S0*EXP((μ-0.5*σ*σ)*T+σ*SQRT(T)*$C301)</f>
        <v>0.73253453868602292</v>
      </c>
      <c r="E301" s="52">
        <f t="shared" ca="1" si="13"/>
        <v>0</v>
      </c>
      <c r="F301" s="17">
        <f t="shared" ca="1" si="14"/>
        <v>0</v>
      </c>
      <c r="H301" s="17">
        <v>292</v>
      </c>
      <c r="I301" s="45">
        <v>0.66945977475682583</v>
      </c>
      <c r="J301" s="45">
        <v>1.794734374067268E-2</v>
      </c>
      <c r="K301" s="45">
        <v>0.24579999999999999</v>
      </c>
      <c r="N301" s="54"/>
    </row>
    <row r="302" spans="2:14" x14ac:dyDescent="0.2">
      <c r="B302">
        <v>293</v>
      </c>
      <c r="C302" s="52">
        <f t="shared" ca="1" si="15"/>
        <v>-1.2154441292545004</v>
      </c>
      <c r="D302" s="52">
        <f ca="1">S0*EXP((μ-0.5*σ*σ)*T+σ*SQRT(T)*$C302)</f>
        <v>0.46010599434723176</v>
      </c>
      <c r="E302" s="52">
        <f t="shared" ca="1" si="13"/>
        <v>7.4294005652768225E-2</v>
      </c>
      <c r="F302" s="17">
        <f t="shared" ca="1" si="14"/>
        <v>1</v>
      </c>
      <c r="H302" s="17">
        <v>293</v>
      </c>
      <c r="I302" s="45">
        <v>0.67007804211549959</v>
      </c>
      <c r="J302" s="45">
        <v>1.8359137351267183E-2</v>
      </c>
      <c r="K302" s="45">
        <v>0.2442</v>
      </c>
      <c r="N302" s="54"/>
    </row>
    <row r="303" spans="2:14" x14ac:dyDescent="0.2">
      <c r="B303">
        <v>294</v>
      </c>
      <c r="C303" s="52">
        <f t="shared" ca="1" si="15"/>
        <v>1.6948348367674808</v>
      </c>
      <c r="D303" s="52">
        <f ca="1">S0*EXP((μ-0.5*σ*σ)*T+σ*SQRT(T)*$C303)</f>
        <v>1.0285986424644018</v>
      </c>
      <c r="E303" s="52">
        <f t="shared" ca="1" si="13"/>
        <v>0</v>
      </c>
      <c r="F303" s="17">
        <f t="shared" ca="1" si="14"/>
        <v>0</v>
      </c>
      <c r="H303" s="17">
        <v>294</v>
      </c>
      <c r="I303" s="45">
        <v>0.66968196416621817</v>
      </c>
      <c r="J303" s="45">
        <v>1.8162907742683001E-2</v>
      </c>
      <c r="K303" s="45">
        <v>0.24340000000000001</v>
      </c>
      <c r="N303" s="54"/>
    </row>
    <row r="304" spans="2:14" x14ac:dyDescent="0.2">
      <c r="B304">
        <v>295</v>
      </c>
      <c r="C304" s="52">
        <f t="shared" ca="1" si="15"/>
        <v>-0.39559224261415715</v>
      </c>
      <c r="D304" s="52">
        <f ca="1">S0*EXP((μ-0.5*σ*σ)*T+σ*SQRT(T)*$C304)</f>
        <v>0.57714330780391343</v>
      </c>
      <c r="E304" s="52">
        <f t="shared" ca="1" si="13"/>
        <v>0</v>
      </c>
      <c r="F304" s="17">
        <f t="shared" ca="1" si="14"/>
        <v>0</v>
      </c>
      <c r="H304" s="17">
        <v>295</v>
      </c>
      <c r="I304" s="45">
        <v>0.67046074283918888</v>
      </c>
      <c r="J304" s="45">
        <v>1.8494966710049247E-2</v>
      </c>
      <c r="K304" s="45">
        <v>0.23880000000000001</v>
      </c>
      <c r="N304" s="54"/>
    </row>
    <row r="305" spans="2:14" x14ac:dyDescent="0.2">
      <c r="B305">
        <v>296</v>
      </c>
      <c r="C305" s="52">
        <f t="shared" ca="1" si="15"/>
        <v>1.5287061519762155</v>
      </c>
      <c r="D305" s="52">
        <f ca="1">S0*EXP((μ-0.5*σ*σ)*T+σ*SQRT(T)*$C305)</f>
        <v>0.98243014672174811</v>
      </c>
      <c r="E305" s="52">
        <f t="shared" ca="1" si="13"/>
        <v>0</v>
      </c>
      <c r="F305" s="17">
        <f t="shared" ca="1" si="14"/>
        <v>0</v>
      </c>
      <c r="H305" s="17">
        <v>296</v>
      </c>
      <c r="I305" s="45">
        <v>0.67010954599875971</v>
      </c>
      <c r="J305" s="45">
        <v>1.8234919380902114E-2</v>
      </c>
      <c r="K305" s="45">
        <v>0.24540000000000001</v>
      </c>
      <c r="N305" s="54"/>
    </row>
    <row r="306" spans="2:14" x14ac:dyDescent="0.2">
      <c r="B306">
        <v>297</v>
      </c>
      <c r="C306" s="52">
        <f t="shared" ca="1" si="15"/>
        <v>1.1120620212564329</v>
      </c>
      <c r="D306" s="52">
        <f ca="1">S0*EXP((μ-0.5*σ*σ)*T+σ*SQRT(T)*$C306)</f>
        <v>0.8755526260682257</v>
      </c>
      <c r="E306" s="52">
        <f t="shared" ca="1" si="13"/>
        <v>0</v>
      </c>
      <c r="F306" s="17">
        <f t="shared" ca="1" si="14"/>
        <v>0</v>
      </c>
      <c r="H306" s="17">
        <v>297</v>
      </c>
      <c r="I306" s="45">
        <v>0.67054595109878423</v>
      </c>
      <c r="J306" s="45">
        <v>1.8454807439085438E-2</v>
      </c>
      <c r="K306" s="45">
        <v>0.24379999999999999</v>
      </c>
      <c r="N306" s="54"/>
    </row>
    <row r="307" spans="2:14" x14ac:dyDescent="0.2">
      <c r="B307">
        <v>298</v>
      </c>
      <c r="C307" s="52">
        <f t="shared" ca="1" si="15"/>
        <v>-0.28312517916553132</v>
      </c>
      <c r="D307" s="52">
        <f ca="1">S0*EXP((μ-0.5*σ*σ)*T+σ*SQRT(T)*$C307)</f>
        <v>0.59536827027986561</v>
      </c>
      <c r="E307" s="52">
        <f t="shared" ca="1" si="13"/>
        <v>0</v>
      </c>
      <c r="F307" s="17">
        <f t="shared" ca="1" si="14"/>
        <v>0</v>
      </c>
      <c r="H307" s="17">
        <v>298</v>
      </c>
      <c r="I307" s="45">
        <v>0.67025927119226192</v>
      </c>
      <c r="J307" s="45">
        <v>1.8346199086868971E-2</v>
      </c>
      <c r="K307" s="45">
        <v>0.2472</v>
      </c>
      <c r="N307" s="54"/>
    </row>
    <row r="308" spans="2:14" x14ac:dyDescent="0.2">
      <c r="B308">
        <v>299</v>
      </c>
      <c r="C308" s="52">
        <f t="shared" ca="1" si="15"/>
        <v>-0.16149708132638932</v>
      </c>
      <c r="D308" s="52">
        <f ca="1">S0*EXP((μ-0.5*σ*σ)*T+σ*SQRT(T)*$C308)</f>
        <v>0.61572603514622992</v>
      </c>
      <c r="E308" s="52">
        <f t="shared" ca="1" si="13"/>
        <v>0</v>
      </c>
      <c r="F308" s="17">
        <f t="shared" ca="1" si="14"/>
        <v>0</v>
      </c>
      <c r="H308" s="17">
        <v>299</v>
      </c>
      <c r="I308" s="45">
        <v>0.67058491405315412</v>
      </c>
      <c r="J308" s="45">
        <v>1.8921372401307372E-2</v>
      </c>
      <c r="K308" s="45">
        <v>0.24540000000000001</v>
      </c>
      <c r="N308" s="54"/>
    </row>
    <row r="309" spans="2:14" x14ac:dyDescent="0.2">
      <c r="B309">
        <v>300</v>
      </c>
      <c r="C309" s="52">
        <f t="shared" ca="1" si="15"/>
        <v>2.1842238801352649</v>
      </c>
      <c r="D309" s="52">
        <f ca="1">S0*EXP((μ-0.5*σ*σ)*T+σ*SQRT(T)*$C309)</f>
        <v>1.1776022476517816</v>
      </c>
      <c r="E309" s="52">
        <f t="shared" ca="1" si="13"/>
        <v>0</v>
      </c>
      <c r="F309" s="17">
        <f t="shared" ca="1" si="14"/>
        <v>0</v>
      </c>
      <c r="H309" s="17">
        <v>300</v>
      </c>
      <c r="I309" s="45">
        <v>0.67158493143290976</v>
      </c>
      <c r="J309" s="45">
        <v>1.9196876892350095E-2</v>
      </c>
      <c r="K309" s="45">
        <v>0.24340000000000001</v>
      </c>
      <c r="N309" s="54"/>
    </row>
    <row r="310" spans="2:14" x14ac:dyDescent="0.2">
      <c r="B310">
        <v>301</v>
      </c>
      <c r="C310" s="52">
        <f t="shared" ca="1" si="15"/>
        <v>3.6778634334556332E-2</v>
      </c>
      <c r="D310" s="52">
        <f ca="1">S0*EXP((μ-0.5*σ*σ)*T+σ*SQRT(T)*$C310)</f>
        <v>0.65041587813484336</v>
      </c>
      <c r="E310" s="52">
        <f t="shared" ca="1" si="13"/>
        <v>0</v>
      </c>
      <c r="F310" s="17">
        <f t="shared" ca="1" si="14"/>
        <v>0</v>
      </c>
      <c r="H310" s="17">
        <v>301</v>
      </c>
      <c r="I310" s="45">
        <v>0.67113474119126115</v>
      </c>
      <c r="J310" s="45">
        <v>1.9054765983609463E-2</v>
      </c>
      <c r="K310" s="45">
        <v>0.2482</v>
      </c>
      <c r="N310" s="54"/>
    </row>
    <row r="311" spans="2:14" x14ac:dyDescent="0.2">
      <c r="B311">
        <v>302</v>
      </c>
      <c r="C311" s="52">
        <f t="shared" ca="1" si="15"/>
        <v>-0.10895385732310803</v>
      </c>
      <c r="D311" s="52">
        <f ca="1">S0*EXP((μ-0.5*σ*σ)*T+σ*SQRT(T)*$C311)</f>
        <v>0.62473450776774009</v>
      </c>
      <c r="E311" s="52">
        <f t="shared" ca="1" si="13"/>
        <v>0</v>
      </c>
      <c r="F311" s="17">
        <f t="shared" ca="1" si="14"/>
        <v>0</v>
      </c>
      <c r="H311" s="17">
        <v>302</v>
      </c>
      <c r="I311" s="45">
        <v>0.67073643447817033</v>
      </c>
      <c r="J311" s="45">
        <v>1.8490232359816752E-2</v>
      </c>
      <c r="K311" s="45">
        <v>0.2472</v>
      </c>
      <c r="N311" s="54"/>
    </row>
    <row r="312" spans="2:14" x14ac:dyDescent="0.2">
      <c r="B312">
        <v>303</v>
      </c>
      <c r="C312" s="52">
        <f t="shared" ca="1" si="15"/>
        <v>2.1586133078300933</v>
      </c>
      <c r="D312" s="52">
        <f ca="1">S0*EXP((μ-0.5*σ*σ)*T+σ*SQRT(T)*$C312)</f>
        <v>1.1692947424139217</v>
      </c>
      <c r="E312" s="52">
        <f t="shared" ca="1" si="13"/>
        <v>0</v>
      </c>
      <c r="F312" s="17">
        <f t="shared" ca="1" si="14"/>
        <v>0</v>
      </c>
      <c r="H312" s="17">
        <v>303</v>
      </c>
      <c r="I312" s="45">
        <v>0.66998536340858605</v>
      </c>
      <c r="J312" s="45">
        <v>1.824057826401802E-2</v>
      </c>
      <c r="K312" s="45">
        <v>0.24260000000000001</v>
      </c>
      <c r="N312" s="54"/>
    </row>
    <row r="313" spans="2:14" x14ac:dyDescent="0.2">
      <c r="B313">
        <v>304</v>
      </c>
      <c r="C313" s="52">
        <f t="shared" ca="1" si="15"/>
        <v>0.27800999393390213</v>
      </c>
      <c r="D313" s="52">
        <f ca="1">S0*EXP((μ-0.5*σ*σ)*T+σ*SQRT(T)*$C313)</f>
        <v>0.69526715108843951</v>
      </c>
      <c r="E313" s="52">
        <f t="shared" ca="1" si="13"/>
        <v>0</v>
      </c>
      <c r="F313" s="17">
        <f t="shared" ca="1" si="14"/>
        <v>0</v>
      </c>
      <c r="H313" s="17">
        <v>304</v>
      </c>
      <c r="I313" s="45">
        <v>0.67094396855053706</v>
      </c>
      <c r="J313" s="45">
        <v>1.8647197758183028E-2</v>
      </c>
      <c r="K313" s="45">
        <v>0.23880000000000001</v>
      </c>
      <c r="N313" s="54"/>
    </row>
    <row r="314" spans="2:14" x14ac:dyDescent="0.2">
      <c r="B314">
        <v>305</v>
      </c>
      <c r="C314" s="52">
        <f t="shared" ca="1" si="15"/>
        <v>0.24942853337066484</v>
      </c>
      <c r="D314" s="52">
        <f ca="1">S0*EXP((μ-0.5*σ*σ)*T+σ*SQRT(T)*$C314)</f>
        <v>0.68979559653065303</v>
      </c>
      <c r="E314" s="52">
        <f t="shared" ca="1" si="13"/>
        <v>0</v>
      </c>
      <c r="F314" s="17">
        <f t="shared" ca="1" si="14"/>
        <v>0</v>
      </c>
      <c r="H314" s="17">
        <v>305</v>
      </c>
      <c r="I314" s="45">
        <v>0.67139093213713819</v>
      </c>
      <c r="J314" s="45">
        <v>1.9468393025869279E-2</v>
      </c>
      <c r="K314" s="45">
        <v>0.25059999999999999</v>
      </c>
      <c r="N314" s="54"/>
    </row>
    <row r="315" spans="2:14" x14ac:dyDescent="0.2">
      <c r="B315">
        <v>306</v>
      </c>
      <c r="C315" s="52">
        <f t="shared" ca="1" si="15"/>
        <v>1.5619564510277912</v>
      </c>
      <c r="D315" s="52">
        <f ca="1">S0*EXP((μ-0.5*σ*σ)*T+σ*SQRT(T)*$C315)</f>
        <v>0.99150174454252538</v>
      </c>
      <c r="E315" s="52">
        <f t="shared" ca="1" si="13"/>
        <v>0</v>
      </c>
      <c r="F315" s="17">
        <f t="shared" ca="1" si="14"/>
        <v>0</v>
      </c>
      <c r="H315" s="17">
        <v>306</v>
      </c>
      <c r="I315" s="45">
        <v>0.6716482022882988</v>
      </c>
      <c r="J315" s="45">
        <v>1.9218520082690937E-2</v>
      </c>
      <c r="K315" s="45">
        <v>0.24260000000000001</v>
      </c>
      <c r="N315" s="54"/>
    </row>
    <row r="316" spans="2:14" x14ac:dyDescent="0.2">
      <c r="B316">
        <v>307</v>
      </c>
      <c r="C316" s="52">
        <f t="shared" ca="1" si="15"/>
        <v>0.7745241867416689</v>
      </c>
      <c r="D316" s="52">
        <f ca="1">S0*EXP((μ-0.5*σ*σ)*T+σ*SQRT(T)*$C316)</f>
        <v>0.79755342883598734</v>
      </c>
      <c r="E316" s="52">
        <f t="shared" ca="1" si="13"/>
        <v>0</v>
      </c>
      <c r="F316" s="17">
        <f t="shared" ca="1" si="14"/>
        <v>0</v>
      </c>
      <c r="H316" s="17">
        <v>307</v>
      </c>
      <c r="I316" s="45">
        <v>0.67066751969097627</v>
      </c>
      <c r="J316" s="45">
        <v>1.8969776676148093E-2</v>
      </c>
      <c r="K316" s="45">
        <v>0.25459999999999999</v>
      </c>
      <c r="N316" s="54"/>
    </row>
    <row r="317" spans="2:14" x14ac:dyDescent="0.2">
      <c r="B317">
        <v>308</v>
      </c>
      <c r="C317" s="52">
        <f t="shared" ca="1" si="15"/>
        <v>-1.4588898151161076</v>
      </c>
      <c r="D317" s="52">
        <f ca="1">S0*EXP((μ-0.5*σ*σ)*T+σ*SQRT(T)*$C317)</f>
        <v>0.43016144112879989</v>
      </c>
      <c r="E317" s="52">
        <f t="shared" ca="1" si="13"/>
        <v>0.10423855887120009</v>
      </c>
      <c r="F317" s="17">
        <f t="shared" ca="1" si="14"/>
        <v>1</v>
      </c>
      <c r="H317" s="17">
        <v>308</v>
      </c>
      <c r="I317" s="45">
        <v>0.67176221646205092</v>
      </c>
      <c r="J317" s="45">
        <v>1.9427754087439408E-2</v>
      </c>
      <c r="K317" s="45">
        <v>0.24859999999999999</v>
      </c>
      <c r="N317" s="54"/>
    </row>
    <row r="318" spans="2:14" x14ac:dyDescent="0.2">
      <c r="B318">
        <v>309</v>
      </c>
      <c r="C318" s="52">
        <f t="shared" ca="1" si="15"/>
        <v>1.5983421280250152</v>
      </c>
      <c r="D318" s="52">
        <f ca="1">S0*EXP((μ-0.5*σ*σ)*T+σ*SQRT(T)*$C318)</f>
        <v>1.0015247738914668</v>
      </c>
      <c r="E318" s="52">
        <f t="shared" ca="1" si="13"/>
        <v>0</v>
      </c>
      <c r="F318" s="17">
        <f t="shared" ca="1" si="14"/>
        <v>0</v>
      </c>
      <c r="H318" s="17">
        <v>309</v>
      </c>
      <c r="I318" s="45">
        <v>0.67087853102231765</v>
      </c>
      <c r="J318" s="45">
        <v>1.8996563867018798E-2</v>
      </c>
      <c r="K318" s="45">
        <v>0.2462</v>
      </c>
      <c r="N318" s="54"/>
    </row>
    <row r="319" spans="2:14" x14ac:dyDescent="0.2">
      <c r="B319">
        <v>310</v>
      </c>
      <c r="C319" s="52">
        <f t="shared" ca="1" si="15"/>
        <v>-1.2909016350144473</v>
      </c>
      <c r="D319" s="52">
        <f ca="1">S0*EXP((μ-0.5*σ*σ)*T+σ*SQRT(T)*$C319)</f>
        <v>0.45060808811442921</v>
      </c>
      <c r="E319" s="52">
        <f t="shared" ca="1" si="13"/>
        <v>8.379191188557078E-2</v>
      </c>
      <c r="F319" s="17">
        <f t="shared" ca="1" si="14"/>
        <v>1</v>
      </c>
      <c r="H319" s="17">
        <v>310</v>
      </c>
      <c r="I319" s="45">
        <v>0.67096429219717224</v>
      </c>
      <c r="J319" s="45">
        <v>1.8878198594023426E-2</v>
      </c>
      <c r="K319" s="45">
        <v>0.24740000000000001</v>
      </c>
      <c r="N319" s="54"/>
    </row>
    <row r="320" spans="2:14" x14ac:dyDescent="0.2">
      <c r="B320">
        <v>311</v>
      </c>
      <c r="C320" s="52">
        <f t="shared" ca="1" si="15"/>
        <v>-0.15422407908273233</v>
      </c>
      <c r="D320" s="52">
        <f ca="1">S0*EXP((μ-0.5*σ*σ)*T+σ*SQRT(T)*$C320)</f>
        <v>0.61696519406599182</v>
      </c>
      <c r="E320" s="52">
        <f t="shared" ca="1" si="13"/>
        <v>0</v>
      </c>
      <c r="F320" s="17">
        <f t="shared" ca="1" si="14"/>
        <v>0</v>
      </c>
      <c r="H320" s="17">
        <v>311</v>
      </c>
      <c r="I320" s="45">
        <v>0.67103169778059002</v>
      </c>
      <c r="J320" s="45">
        <v>1.8920836685738261E-2</v>
      </c>
      <c r="K320" s="45">
        <v>0.24440000000000001</v>
      </c>
      <c r="N320" s="54"/>
    </row>
    <row r="321" spans="2:14" x14ac:dyDescent="0.2">
      <c r="B321">
        <v>312</v>
      </c>
      <c r="C321" s="52">
        <f t="shared" ca="1" si="15"/>
        <v>1.401435178321788</v>
      </c>
      <c r="D321" s="52">
        <f ca="1">S0*EXP((μ-0.5*σ*σ)*T+σ*SQRT(T)*$C321)</f>
        <v>0.94846739044478912</v>
      </c>
      <c r="E321" s="52">
        <f t="shared" ca="1" si="13"/>
        <v>0</v>
      </c>
      <c r="F321" s="17">
        <f t="shared" ca="1" si="14"/>
        <v>0</v>
      </c>
      <c r="H321" s="17">
        <v>312</v>
      </c>
      <c r="I321" s="45">
        <v>0.67179141258996689</v>
      </c>
      <c r="J321" s="45">
        <v>1.9515835260242836E-2</v>
      </c>
      <c r="K321" s="45">
        <v>0.24399999999999999</v>
      </c>
      <c r="N321" s="54"/>
    </row>
    <row r="322" spans="2:14" x14ac:dyDescent="0.2">
      <c r="B322">
        <v>313</v>
      </c>
      <c r="C322" s="52">
        <f t="shared" ca="1" si="15"/>
        <v>0.30033395065387525</v>
      </c>
      <c r="D322" s="52">
        <f ca="1">S0*EXP((μ-0.5*σ*σ)*T+σ*SQRT(T)*$C322)</f>
        <v>0.69957095745950226</v>
      </c>
      <c r="E322" s="52">
        <f t="shared" ca="1" si="13"/>
        <v>0</v>
      </c>
      <c r="F322" s="17">
        <f t="shared" ca="1" si="14"/>
        <v>0</v>
      </c>
      <c r="H322" s="17">
        <v>313</v>
      </c>
      <c r="I322" s="45">
        <v>0.67313998410231646</v>
      </c>
      <c r="J322" s="45">
        <v>2.0874239841458805E-2</v>
      </c>
      <c r="K322" s="45">
        <v>0.25719999999999998</v>
      </c>
      <c r="N322" s="54"/>
    </row>
    <row r="323" spans="2:14" x14ac:dyDescent="0.2">
      <c r="B323">
        <v>314</v>
      </c>
      <c r="C323" s="52">
        <f t="shared" ca="1" si="15"/>
        <v>-0.60528141374757416</v>
      </c>
      <c r="D323" s="52">
        <f ca="1">S0*EXP((μ-0.5*σ*σ)*T+σ*SQRT(T)*$C323)</f>
        <v>0.54464036614913447</v>
      </c>
      <c r="E323" s="52">
        <f t="shared" ca="1" si="13"/>
        <v>0</v>
      </c>
      <c r="F323" s="17">
        <f t="shared" ca="1" si="14"/>
        <v>0</v>
      </c>
      <c r="H323" s="17">
        <v>314</v>
      </c>
      <c r="I323" s="45">
        <v>0.67054608281398564</v>
      </c>
      <c r="J323" s="45">
        <v>1.8975644008787065E-2</v>
      </c>
      <c r="K323" s="45">
        <v>0.24340000000000001</v>
      </c>
      <c r="N323" s="54"/>
    </row>
    <row r="324" spans="2:14" x14ac:dyDescent="0.2">
      <c r="B324">
        <v>315</v>
      </c>
      <c r="C324" s="52">
        <f t="shared" ca="1" si="15"/>
        <v>-0.34733158677963127</v>
      </c>
      <c r="D324" s="52">
        <f ca="1">S0*EXP((μ-0.5*σ*σ)*T+σ*SQRT(T)*$C324)</f>
        <v>0.58489445790600825</v>
      </c>
      <c r="E324" s="52">
        <f t="shared" ca="1" si="13"/>
        <v>0</v>
      </c>
      <c r="F324" s="17">
        <f t="shared" ca="1" si="14"/>
        <v>0</v>
      </c>
      <c r="H324" s="17">
        <v>315</v>
      </c>
      <c r="I324" s="45">
        <v>0.66988525285812628</v>
      </c>
      <c r="J324" s="45">
        <v>1.8059478797104168E-2</v>
      </c>
      <c r="K324" s="45">
        <v>0.24279999999999999</v>
      </c>
      <c r="N324" s="54"/>
    </row>
    <row r="325" spans="2:14" x14ac:dyDescent="0.2">
      <c r="B325">
        <v>316</v>
      </c>
      <c r="C325" s="52">
        <f t="shared" ca="1" si="15"/>
        <v>-0.37741073513212947</v>
      </c>
      <c r="D325" s="52">
        <f ca="1">S0*EXP((μ-0.5*σ*σ)*T+σ*SQRT(T)*$C325)</f>
        <v>0.58005130849564479</v>
      </c>
      <c r="E325" s="52">
        <f t="shared" ca="1" si="13"/>
        <v>0</v>
      </c>
      <c r="F325" s="17">
        <f t="shared" ca="1" si="14"/>
        <v>0</v>
      </c>
      <c r="H325" s="17">
        <v>316</v>
      </c>
      <c r="I325" s="45">
        <v>0.67108327453202099</v>
      </c>
      <c r="J325" s="45">
        <v>1.9289346380150185E-2</v>
      </c>
      <c r="K325" s="45">
        <v>0.24959999999999999</v>
      </c>
      <c r="N325" s="54"/>
    </row>
    <row r="326" spans="2:14" x14ac:dyDescent="0.2">
      <c r="B326">
        <v>317</v>
      </c>
      <c r="C326" s="52">
        <f t="shared" ca="1" si="15"/>
        <v>0.26942730552833294</v>
      </c>
      <c r="D326" s="52">
        <f ca="1">S0*EXP((μ-0.5*σ*σ)*T+σ*SQRT(T)*$C326)</f>
        <v>0.69361956130133973</v>
      </c>
      <c r="E326" s="52">
        <f t="shared" ca="1" si="13"/>
        <v>0</v>
      </c>
      <c r="F326" s="17">
        <f t="shared" ca="1" si="14"/>
        <v>0</v>
      </c>
      <c r="H326" s="17">
        <v>317</v>
      </c>
      <c r="I326" s="45">
        <v>0.67142522045117414</v>
      </c>
      <c r="J326" s="45">
        <v>1.9479495020180683E-2</v>
      </c>
      <c r="K326" s="45">
        <v>0.25380000000000003</v>
      </c>
      <c r="N326" s="54"/>
    </row>
    <row r="327" spans="2:14" x14ac:dyDescent="0.2">
      <c r="B327">
        <v>318</v>
      </c>
      <c r="C327" s="52">
        <f t="shared" ca="1" si="15"/>
        <v>0.79811136840663954</v>
      </c>
      <c r="D327" s="52">
        <f ca="1">S0*EXP((μ-0.5*σ*σ)*T+σ*SQRT(T)*$C327)</f>
        <v>0.80277067810545966</v>
      </c>
      <c r="E327" s="52">
        <f t="shared" ca="1" si="13"/>
        <v>0</v>
      </c>
      <c r="F327" s="17">
        <f t="shared" ca="1" si="14"/>
        <v>0</v>
      </c>
      <c r="H327" s="17">
        <v>318</v>
      </c>
      <c r="I327" s="45">
        <v>0.67168511158130773</v>
      </c>
      <c r="J327" s="45">
        <v>1.9685775194045577E-2</v>
      </c>
      <c r="K327" s="45">
        <v>0.252</v>
      </c>
      <c r="N327" s="54"/>
    </row>
    <row r="328" spans="2:14" x14ac:dyDescent="0.2">
      <c r="B328">
        <v>319</v>
      </c>
      <c r="C328" s="52">
        <f t="shared" ca="1" si="15"/>
        <v>-9.7013711275011752E-2</v>
      </c>
      <c r="D328" s="52">
        <f ca="1">S0*EXP((μ-0.5*σ*σ)*T+σ*SQRT(T)*$C328)</f>
        <v>0.62679994108883574</v>
      </c>
      <c r="E328" s="52">
        <f t="shared" ca="1" si="13"/>
        <v>0</v>
      </c>
      <c r="F328" s="17">
        <f t="shared" ca="1" si="14"/>
        <v>0</v>
      </c>
      <c r="H328" s="17">
        <v>319</v>
      </c>
      <c r="I328" s="45">
        <v>0.67007771503403168</v>
      </c>
      <c r="J328" s="45">
        <v>1.8414241873102876E-2</v>
      </c>
      <c r="K328" s="45">
        <v>0.24340000000000001</v>
      </c>
      <c r="N328" s="54"/>
    </row>
    <row r="329" spans="2:14" x14ac:dyDescent="0.2">
      <c r="B329">
        <v>320</v>
      </c>
      <c r="C329" s="52">
        <f t="shared" ca="1" si="15"/>
        <v>0.55372171226198796</v>
      </c>
      <c r="D329" s="52">
        <f ca="1">S0*EXP((μ-0.5*σ*σ)*T+σ*SQRT(T)*$C329)</f>
        <v>0.75032905095632241</v>
      </c>
      <c r="E329" s="52">
        <f t="shared" ca="1" si="13"/>
        <v>0</v>
      </c>
      <c r="F329" s="17">
        <f t="shared" ca="1" si="14"/>
        <v>0</v>
      </c>
      <c r="H329" s="17">
        <v>320</v>
      </c>
      <c r="I329" s="45">
        <v>0.67159553462199217</v>
      </c>
      <c r="J329" s="45">
        <v>1.9311516110166252E-2</v>
      </c>
      <c r="K329" s="45">
        <v>0.25059999999999999</v>
      </c>
      <c r="N329" s="54"/>
    </row>
    <row r="330" spans="2:14" x14ac:dyDescent="0.2">
      <c r="B330">
        <v>321</v>
      </c>
      <c r="C330" s="52">
        <f t="shared" ca="1" si="15"/>
        <v>0.42242134180140339</v>
      </c>
      <c r="D330" s="52">
        <f ca="1">S0*EXP((μ-0.5*σ*σ)*T+σ*SQRT(T)*$C330)</f>
        <v>0.72358364685167431</v>
      </c>
      <c r="E330" s="52">
        <f t="shared" ref="E330:E393" ca="1" si="16">MAX(0,CP*(D330-K))</f>
        <v>0</v>
      </c>
      <c r="F330" s="17">
        <f t="shared" ref="F330:F393" ca="1" si="17">(CP*(D330-K)&gt;0)*1</f>
        <v>0</v>
      </c>
      <c r="H330" s="17">
        <v>321</v>
      </c>
      <c r="I330" s="45">
        <v>0.67184340043889468</v>
      </c>
      <c r="J330" s="45">
        <v>1.9538832715159719E-2</v>
      </c>
      <c r="K330" s="45">
        <v>0.248</v>
      </c>
      <c r="N330" s="54"/>
    </row>
    <row r="331" spans="2:14" x14ac:dyDescent="0.2">
      <c r="B331">
        <v>322</v>
      </c>
      <c r="C331" s="52">
        <f t="shared" ref="C331:C394" ca="1" si="18">_xlfn.NORM.S.INV(RAND())</f>
        <v>0.12428428778960345</v>
      </c>
      <c r="D331" s="52">
        <f ca="1">S0*EXP((μ-0.5*σ*σ)*T+σ*SQRT(T)*$C331)</f>
        <v>0.66634088470942954</v>
      </c>
      <c r="E331" s="52">
        <f t="shared" ca="1" si="16"/>
        <v>0</v>
      </c>
      <c r="F331" s="17">
        <f t="shared" ca="1" si="17"/>
        <v>0</v>
      </c>
      <c r="H331" s="17">
        <v>322</v>
      </c>
      <c r="I331" s="45">
        <v>0.67119124774745453</v>
      </c>
      <c r="J331" s="45">
        <v>1.9070645325812933E-2</v>
      </c>
      <c r="K331" s="45">
        <v>0.24640000000000001</v>
      </c>
      <c r="N331" s="54"/>
    </row>
    <row r="332" spans="2:14" x14ac:dyDescent="0.2">
      <c r="B332">
        <v>323</v>
      </c>
      <c r="C332" s="52">
        <f t="shared" ca="1" si="18"/>
        <v>-0.97685694030048609</v>
      </c>
      <c r="D332" s="52">
        <f ca="1">S0*EXP((μ-0.5*σ*σ)*T+σ*SQRT(T)*$C332)</f>
        <v>0.49147454197160001</v>
      </c>
      <c r="E332" s="52">
        <f t="shared" ca="1" si="16"/>
        <v>4.2925458028399976E-2</v>
      </c>
      <c r="F332" s="17">
        <f t="shared" ca="1" si="17"/>
        <v>1</v>
      </c>
      <c r="H332" s="17">
        <v>323</v>
      </c>
      <c r="I332" s="45">
        <v>0.67146436099961715</v>
      </c>
      <c r="J332" s="45">
        <v>1.9311050987545552E-2</v>
      </c>
      <c r="K332" s="45">
        <v>0.24460000000000001</v>
      </c>
      <c r="N332" s="54"/>
    </row>
    <row r="333" spans="2:14" x14ac:dyDescent="0.2">
      <c r="B333">
        <v>324</v>
      </c>
      <c r="C333" s="52">
        <f t="shared" ca="1" si="18"/>
        <v>-0.58428591121657603</v>
      </c>
      <c r="D333" s="52">
        <f ca="1">S0*EXP((μ-0.5*σ*σ)*T+σ*SQRT(T)*$C333)</f>
        <v>0.5478105621895244</v>
      </c>
      <c r="E333" s="52">
        <f t="shared" ca="1" si="16"/>
        <v>0</v>
      </c>
      <c r="F333" s="17">
        <f t="shared" ca="1" si="17"/>
        <v>0</v>
      </c>
      <c r="H333" s="17">
        <v>324</v>
      </c>
      <c r="I333" s="45">
        <v>0.66992812631122556</v>
      </c>
      <c r="J333" s="45">
        <v>1.8250747671404777E-2</v>
      </c>
      <c r="K333" s="45">
        <v>0.24940000000000001</v>
      </c>
      <c r="N333" s="54"/>
    </row>
    <row r="334" spans="2:14" x14ac:dyDescent="0.2">
      <c r="B334">
        <v>325</v>
      </c>
      <c r="C334" s="52">
        <f t="shared" ca="1" si="18"/>
        <v>-1.5402352414891822</v>
      </c>
      <c r="D334" s="52">
        <f ca="1">S0*EXP((μ-0.5*σ*σ)*T+σ*SQRT(T)*$C334)</f>
        <v>0.42059655059336087</v>
      </c>
      <c r="E334" s="52">
        <f t="shared" ca="1" si="16"/>
        <v>0.11380344940663911</v>
      </c>
      <c r="F334" s="17">
        <f t="shared" ca="1" si="17"/>
        <v>1</v>
      </c>
      <c r="H334" s="17">
        <v>325</v>
      </c>
      <c r="I334" s="45">
        <v>0.67046352472035564</v>
      </c>
      <c r="J334" s="45">
        <v>1.8901795967266131E-2</v>
      </c>
      <c r="K334" s="45">
        <v>0.2462</v>
      </c>
      <c r="N334" s="54"/>
    </row>
    <row r="335" spans="2:14" x14ac:dyDescent="0.2">
      <c r="B335">
        <v>326</v>
      </c>
      <c r="C335" s="52">
        <f t="shared" ca="1" si="18"/>
        <v>0.47923418459721967</v>
      </c>
      <c r="D335" s="52">
        <f ca="1">S0*EXP((μ-0.5*σ*σ)*T+σ*SQRT(T)*$C335)</f>
        <v>0.73503717080887265</v>
      </c>
      <c r="E335" s="52">
        <f t="shared" ca="1" si="16"/>
        <v>0</v>
      </c>
      <c r="F335" s="17">
        <f t="shared" ca="1" si="17"/>
        <v>0</v>
      </c>
      <c r="H335" s="17">
        <v>326</v>
      </c>
      <c r="I335" s="45">
        <v>0.66925886267241808</v>
      </c>
      <c r="J335" s="45">
        <v>1.766287192416479E-2</v>
      </c>
      <c r="K335" s="45">
        <v>0.2402</v>
      </c>
      <c r="N335" s="54"/>
    </row>
    <row r="336" spans="2:14" x14ac:dyDescent="0.2">
      <c r="B336">
        <v>327</v>
      </c>
      <c r="C336" s="52">
        <f t="shared" ca="1" si="18"/>
        <v>0.77097114349276141</v>
      </c>
      <c r="D336" s="52">
        <f ca="1">S0*EXP((μ-0.5*σ*σ)*T+σ*SQRT(T)*$C336)</f>
        <v>0.79677047502426035</v>
      </c>
      <c r="E336" s="52">
        <f t="shared" ca="1" si="16"/>
        <v>0</v>
      </c>
      <c r="F336" s="17">
        <f t="shared" ca="1" si="17"/>
        <v>0</v>
      </c>
      <c r="H336" s="17">
        <v>327</v>
      </c>
      <c r="I336" s="45">
        <v>0.67089578484533552</v>
      </c>
      <c r="J336" s="45">
        <v>1.9079429206446799E-2</v>
      </c>
      <c r="K336" s="45">
        <v>0.24340000000000001</v>
      </c>
      <c r="N336" s="54"/>
    </row>
    <row r="337" spans="2:14" x14ac:dyDescent="0.2">
      <c r="B337">
        <v>328</v>
      </c>
      <c r="C337" s="52">
        <f t="shared" ca="1" si="18"/>
        <v>-1.3727119749963286</v>
      </c>
      <c r="D337" s="52">
        <f ca="1">S0*EXP((μ-0.5*σ*σ)*T+σ*SQRT(T)*$C337)</f>
        <v>0.44053193487235287</v>
      </c>
      <c r="E337" s="52">
        <f t="shared" ca="1" si="16"/>
        <v>9.3868065127647116E-2</v>
      </c>
      <c r="F337" s="17">
        <f t="shared" ca="1" si="17"/>
        <v>1</v>
      </c>
      <c r="H337" s="17">
        <v>328</v>
      </c>
      <c r="I337" s="45">
        <v>0.67056814307489832</v>
      </c>
      <c r="J337" s="45">
        <v>1.8575930422227823E-2</v>
      </c>
      <c r="K337" s="45">
        <v>0.2354</v>
      </c>
      <c r="N337" s="54"/>
    </row>
    <row r="338" spans="2:14" x14ac:dyDescent="0.2">
      <c r="B338">
        <v>329</v>
      </c>
      <c r="C338" s="52">
        <f t="shared" ca="1" si="18"/>
        <v>0.55845681152276083</v>
      </c>
      <c r="D338" s="52">
        <f ca="1">S0*EXP((μ-0.5*σ*σ)*T+σ*SQRT(T)*$C338)</f>
        <v>0.75131182625811188</v>
      </c>
      <c r="E338" s="52">
        <f t="shared" ca="1" si="16"/>
        <v>0</v>
      </c>
      <c r="F338" s="17">
        <f t="shared" ca="1" si="17"/>
        <v>0</v>
      </c>
      <c r="H338" s="17">
        <v>329</v>
      </c>
      <c r="I338" s="45">
        <v>0.67052130447576763</v>
      </c>
      <c r="J338" s="45">
        <v>1.8860816935541529E-2</v>
      </c>
      <c r="K338" s="45">
        <v>0.24879999999999999</v>
      </c>
      <c r="N338" s="54"/>
    </row>
    <row r="339" spans="2:14" x14ac:dyDescent="0.2">
      <c r="B339">
        <v>330</v>
      </c>
      <c r="C339" s="52">
        <f t="shared" ca="1" si="18"/>
        <v>0.93121618777582316</v>
      </c>
      <c r="D339" s="52">
        <f ca="1">S0*EXP((μ-0.5*σ*σ)*T+σ*SQRT(T)*$C339)</f>
        <v>0.83285835978275258</v>
      </c>
      <c r="E339" s="52">
        <f t="shared" ca="1" si="16"/>
        <v>0</v>
      </c>
      <c r="F339" s="17">
        <f t="shared" ca="1" si="17"/>
        <v>0</v>
      </c>
      <c r="H339" s="17">
        <v>330</v>
      </c>
      <c r="I339" s="45">
        <v>0.6705019624800439</v>
      </c>
      <c r="J339" s="45">
        <v>1.8916910166604392E-2</v>
      </c>
      <c r="K339" s="45">
        <v>0.24199999999999999</v>
      </c>
      <c r="N339" s="54"/>
    </row>
    <row r="340" spans="2:14" x14ac:dyDescent="0.2">
      <c r="B340">
        <v>331</v>
      </c>
      <c r="C340" s="52">
        <f t="shared" ca="1" si="18"/>
        <v>1.6454487363535051</v>
      </c>
      <c r="D340" s="52">
        <f ca="1">S0*EXP((μ-0.5*σ*σ)*T+σ*SQRT(T)*$C340)</f>
        <v>1.0146517099733419</v>
      </c>
      <c r="E340" s="52">
        <f t="shared" ca="1" si="16"/>
        <v>0</v>
      </c>
      <c r="F340" s="17">
        <f t="shared" ca="1" si="17"/>
        <v>0</v>
      </c>
      <c r="H340" s="17">
        <v>331</v>
      </c>
      <c r="I340" s="45">
        <v>0.67081033477117957</v>
      </c>
      <c r="J340" s="45">
        <v>1.8942310399617565E-2</v>
      </c>
      <c r="K340" s="45">
        <v>0.2482</v>
      </c>
      <c r="N340" s="54"/>
    </row>
    <row r="341" spans="2:14" x14ac:dyDescent="0.2">
      <c r="B341">
        <v>332</v>
      </c>
      <c r="C341" s="52">
        <f t="shared" ca="1" si="18"/>
        <v>-7.2842934455270264E-2</v>
      </c>
      <c r="D341" s="52">
        <f ca="1">S0*EXP((μ-0.5*σ*σ)*T+σ*SQRT(T)*$C341)</f>
        <v>0.63100198294016241</v>
      </c>
      <c r="E341" s="52">
        <f t="shared" ca="1" si="16"/>
        <v>0</v>
      </c>
      <c r="F341" s="17">
        <f t="shared" ca="1" si="17"/>
        <v>0</v>
      </c>
      <c r="H341" s="17">
        <v>332</v>
      </c>
      <c r="I341" s="45">
        <v>0.67056368485463536</v>
      </c>
      <c r="J341" s="45">
        <v>1.8729815536012807E-2</v>
      </c>
      <c r="K341" s="45">
        <v>0.24759999999999999</v>
      </c>
      <c r="N341" s="54"/>
    </row>
    <row r="342" spans="2:14" x14ac:dyDescent="0.2">
      <c r="B342">
        <v>333</v>
      </c>
      <c r="C342" s="52">
        <f t="shared" ca="1" si="18"/>
        <v>-0.54612352082914406</v>
      </c>
      <c r="D342" s="52">
        <f ca="1">S0*EXP((μ-0.5*σ*σ)*T+σ*SQRT(T)*$C342)</f>
        <v>0.55362018402716262</v>
      </c>
      <c r="E342" s="52">
        <f t="shared" ca="1" si="16"/>
        <v>0</v>
      </c>
      <c r="F342" s="17">
        <f t="shared" ca="1" si="17"/>
        <v>0</v>
      </c>
      <c r="H342" s="17">
        <v>333</v>
      </c>
      <c r="I342" s="45">
        <v>0.67079087264619497</v>
      </c>
      <c r="J342" s="45">
        <v>1.9211587991888858E-2</v>
      </c>
      <c r="K342" s="45">
        <v>0.24779999999999999</v>
      </c>
      <c r="N342" s="54"/>
    </row>
    <row r="343" spans="2:14" x14ac:dyDescent="0.2">
      <c r="B343">
        <v>334</v>
      </c>
      <c r="C343" s="52">
        <f t="shared" ca="1" si="18"/>
        <v>-0.80592419367286872</v>
      </c>
      <c r="D343" s="52">
        <f ca="1">S0*EXP((μ-0.5*σ*σ)*T+σ*SQRT(T)*$C343)</f>
        <v>0.51525478699404981</v>
      </c>
      <c r="E343" s="52">
        <f t="shared" ca="1" si="16"/>
        <v>1.9145213005950179E-2</v>
      </c>
      <c r="F343" s="17">
        <f t="shared" ca="1" si="17"/>
        <v>1</v>
      </c>
      <c r="H343" s="17">
        <v>334</v>
      </c>
      <c r="I343" s="45">
        <v>0.67094812400705972</v>
      </c>
      <c r="J343" s="45">
        <v>1.869760244121586E-2</v>
      </c>
      <c r="K343" s="45">
        <v>0.2392</v>
      </c>
      <c r="N343" s="54"/>
    </row>
    <row r="344" spans="2:14" x14ac:dyDescent="0.2">
      <c r="B344">
        <v>335</v>
      </c>
      <c r="C344" s="52">
        <f t="shared" ca="1" si="18"/>
        <v>1.8968572923627247E-2</v>
      </c>
      <c r="D344" s="52">
        <f ca="1">S0*EXP((μ-0.5*σ*σ)*T+σ*SQRT(T)*$C344)</f>
        <v>0.64722156832217759</v>
      </c>
      <c r="E344" s="52">
        <f t="shared" ca="1" si="16"/>
        <v>0</v>
      </c>
      <c r="F344" s="17">
        <f t="shared" ca="1" si="17"/>
        <v>0</v>
      </c>
      <c r="H344" s="17">
        <v>335</v>
      </c>
      <c r="I344" s="45">
        <v>0.67202918721352689</v>
      </c>
      <c r="J344" s="45">
        <v>1.9637115358741481E-2</v>
      </c>
      <c r="K344" s="45">
        <v>0.2424</v>
      </c>
      <c r="N344" s="54"/>
    </row>
    <row r="345" spans="2:14" x14ac:dyDescent="0.2">
      <c r="B345">
        <v>336</v>
      </c>
      <c r="C345" s="52">
        <f t="shared" ca="1" si="18"/>
        <v>-0.82106452035036015</v>
      </c>
      <c r="D345" s="52">
        <f ca="1">S0*EXP((μ-0.5*σ*σ)*T+σ*SQRT(T)*$C345)</f>
        <v>0.51310280864136193</v>
      </c>
      <c r="E345" s="52">
        <f t="shared" ca="1" si="16"/>
        <v>2.1297191358638057E-2</v>
      </c>
      <c r="F345" s="17">
        <f t="shared" ca="1" si="17"/>
        <v>1</v>
      </c>
      <c r="H345" s="17">
        <v>336</v>
      </c>
      <c r="I345" s="45">
        <v>0.67049754397662054</v>
      </c>
      <c r="J345" s="45">
        <v>1.8402382875267902E-2</v>
      </c>
      <c r="K345" s="45">
        <v>0.24060000000000001</v>
      </c>
      <c r="N345" s="54"/>
    </row>
    <row r="346" spans="2:14" x14ac:dyDescent="0.2">
      <c r="B346">
        <v>337</v>
      </c>
      <c r="C346" s="52">
        <f t="shared" ca="1" si="18"/>
        <v>-0.61641705457620377</v>
      </c>
      <c r="D346" s="52">
        <f ca="1">S0*EXP((μ-0.5*σ*σ)*T+σ*SQRT(T)*$C346)</f>
        <v>0.54296640297413978</v>
      </c>
      <c r="E346" s="52">
        <f t="shared" ca="1" si="16"/>
        <v>0</v>
      </c>
      <c r="F346" s="17">
        <f t="shared" ca="1" si="17"/>
        <v>0</v>
      </c>
      <c r="H346" s="17">
        <v>337</v>
      </c>
      <c r="I346" s="45">
        <v>0.67040327390717169</v>
      </c>
      <c r="J346" s="45">
        <v>1.8374220069063862E-2</v>
      </c>
      <c r="K346" s="45">
        <v>0.24779999999999999</v>
      </c>
      <c r="N346" s="54"/>
    </row>
    <row r="347" spans="2:14" x14ac:dyDescent="0.2">
      <c r="B347">
        <v>338</v>
      </c>
      <c r="C347" s="52">
        <f t="shared" ca="1" si="18"/>
        <v>-0.98462587199416696</v>
      </c>
      <c r="D347" s="52">
        <f ca="1">S0*EXP((μ-0.5*σ*σ)*T+σ*SQRT(T)*$C347)</f>
        <v>0.49042019102385692</v>
      </c>
      <c r="E347" s="52">
        <f t="shared" ca="1" si="16"/>
        <v>4.3979808976143064E-2</v>
      </c>
      <c r="F347" s="17">
        <f t="shared" ca="1" si="17"/>
        <v>1</v>
      </c>
      <c r="H347" s="17">
        <v>338</v>
      </c>
      <c r="I347" s="45">
        <v>0.67238895023365719</v>
      </c>
      <c r="J347" s="45">
        <v>1.9821847315970125E-2</v>
      </c>
      <c r="K347" s="45">
        <v>0.253</v>
      </c>
      <c r="N347" s="54"/>
    </row>
    <row r="348" spans="2:14" x14ac:dyDescent="0.2">
      <c r="B348">
        <v>339</v>
      </c>
      <c r="C348" s="52">
        <f t="shared" ca="1" si="18"/>
        <v>6.9809201201652599E-2</v>
      </c>
      <c r="D348" s="52">
        <f ca="1">S0*EXP((μ-0.5*σ*σ)*T+σ*SQRT(T)*$C348)</f>
        <v>0.65638184042080383</v>
      </c>
      <c r="E348" s="52">
        <f t="shared" ca="1" si="16"/>
        <v>0</v>
      </c>
      <c r="F348" s="17">
        <f t="shared" ca="1" si="17"/>
        <v>0</v>
      </c>
      <c r="H348" s="17">
        <v>339</v>
      </c>
      <c r="I348" s="45">
        <v>0.67095426310654371</v>
      </c>
      <c r="J348" s="45">
        <v>1.9111545207876217E-2</v>
      </c>
      <c r="K348" s="45">
        <v>0.24440000000000001</v>
      </c>
      <c r="N348" s="54"/>
    </row>
    <row r="349" spans="2:14" x14ac:dyDescent="0.2">
      <c r="B349">
        <v>340</v>
      </c>
      <c r="C349" s="52">
        <f t="shared" ca="1" si="18"/>
        <v>1.5137182669396232</v>
      </c>
      <c r="D349" s="52">
        <f ca="1">S0*EXP((μ-0.5*σ*σ)*T+σ*SQRT(T)*$C349)</f>
        <v>0.9783682227037952</v>
      </c>
      <c r="E349" s="52">
        <f t="shared" ca="1" si="16"/>
        <v>0</v>
      </c>
      <c r="F349" s="17">
        <f t="shared" ca="1" si="17"/>
        <v>0</v>
      </c>
      <c r="H349" s="17">
        <v>340</v>
      </c>
      <c r="I349" s="45">
        <v>0.67069500837983365</v>
      </c>
      <c r="J349" s="45">
        <v>1.8866560346392554E-2</v>
      </c>
      <c r="K349" s="45">
        <v>0.24160000000000001</v>
      </c>
      <c r="N349" s="54"/>
    </row>
    <row r="350" spans="2:14" x14ac:dyDescent="0.2">
      <c r="B350">
        <v>341</v>
      </c>
      <c r="C350" s="52">
        <f t="shared" ca="1" si="18"/>
        <v>-4.5528906517214023E-2</v>
      </c>
      <c r="D350" s="52">
        <f ca="1">S0*EXP((μ-0.5*σ*σ)*T+σ*SQRT(T)*$C350)</f>
        <v>0.6357843862017365</v>
      </c>
      <c r="E350" s="52">
        <f t="shared" ca="1" si="16"/>
        <v>0</v>
      </c>
      <c r="F350" s="17">
        <f t="shared" ca="1" si="17"/>
        <v>0</v>
      </c>
      <c r="H350" s="17">
        <v>341</v>
      </c>
      <c r="I350" s="45">
        <v>0.67160323653224185</v>
      </c>
      <c r="J350" s="45">
        <v>1.949299677540263E-2</v>
      </c>
      <c r="K350" s="45">
        <v>0.249</v>
      </c>
      <c r="N350" s="54"/>
    </row>
    <row r="351" spans="2:14" x14ac:dyDescent="0.2">
      <c r="B351">
        <v>342</v>
      </c>
      <c r="C351" s="52">
        <f t="shared" ca="1" si="18"/>
        <v>3.0825297458363319</v>
      </c>
      <c r="D351" s="52">
        <f ca="1">S0*EXP((μ-0.5*σ*σ)*T+σ*SQRT(T)*$C351)</f>
        <v>1.5095345006181604</v>
      </c>
      <c r="E351" s="52">
        <f t="shared" ca="1" si="16"/>
        <v>0</v>
      </c>
      <c r="F351" s="17">
        <f t="shared" ca="1" si="17"/>
        <v>0</v>
      </c>
      <c r="H351" s="17">
        <v>342</v>
      </c>
      <c r="I351" s="45">
        <v>0.66943807079654705</v>
      </c>
      <c r="J351" s="45">
        <v>1.7935627406181574E-2</v>
      </c>
      <c r="K351" s="45">
        <v>0.24060000000000001</v>
      </c>
      <c r="N351" s="54"/>
    </row>
    <row r="352" spans="2:14" x14ac:dyDescent="0.2">
      <c r="B352">
        <v>343</v>
      </c>
      <c r="C352" s="52">
        <f t="shared" ca="1" si="18"/>
        <v>1.9799217771229907</v>
      </c>
      <c r="D352" s="52">
        <f ca="1">S0*EXP((μ-0.5*σ*σ)*T+σ*SQRT(T)*$C352)</f>
        <v>1.1129394117339222</v>
      </c>
      <c r="E352" s="52">
        <f t="shared" ca="1" si="16"/>
        <v>0</v>
      </c>
      <c r="F352" s="17">
        <f t="shared" ca="1" si="17"/>
        <v>0</v>
      </c>
      <c r="H352" s="17">
        <v>343</v>
      </c>
      <c r="I352" s="45">
        <v>0.67130154874867543</v>
      </c>
      <c r="J352" s="45">
        <v>1.9269101137722264E-2</v>
      </c>
      <c r="K352" s="45">
        <v>0.25419999999999998</v>
      </c>
      <c r="N352" s="54"/>
    </row>
    <row r="353" spans="2:14" x14ac:dyDescent="0.2">
      <c r="B353">
        <v>344</v>
      </c>
      <c r="C353" s="52">
        <f t="shared" ca="1" si="18"/>
        <v>0.4408035132401783</v>
      </c>
      <c r="D353" s="52">
        <f ca="1">S0*EXP((μ-0.5*σ*σ)*T+σ*SQRT(T)*$C353)</f>
        <v>0.72726984403477501</v>
      </c>
      <c r="E353" s="52">
        <f t="shared" ca="1" si="16"/>
        <v>0</v>
      </c>
      <c r="F353" s="17">
        <f t="shared" ca="1" si="17"/>
        <v>0</v>
      </c>
      <c r="H353" s="17">
        <v>344</v>
      </c>
      <c r="I353" s="45">
        <v>0.67194312982317039</v>
      </c>
      <c r="J353" s="45">
        <v>1.9825505696972792E-2</v>
      </c>
      <c r="K353" s="45">
        <v>0.254</v>
      </c>
      <c r="N353" s="54"/>
    </row>
    <row r="354" spans="2:14" x14ac:dyDescent="0.2">
      <c r="B354">
        <v>345</v>
      </c>
      <c r="C354" s="52">
        <f t="shared" ca="1" si="18"/>
        <v>-0.58227895730301915</v>
      </c>
      <c r="D354" s="52">
        <f ca="1">S0*EXP((μ-0.5*σ*σ)*T+σ*SQRT(T)*$C354)</f>
        <v>0.54811456486041088</v>
      </c>
      <c r="E354" s="52">
        <f t="shared" ca="1" si="16"/>
        <v>0</v>
      </c>
      <c r="F354" s="17">
        <f t="shared" ca="1" si="17"/>
        <v>0</v>
      </c>
      <c r="H354" s="17">
        <v>345</v>
      </c>
      <c r="I354" s="45">
        <v>0.67056600984009362</v>
      </c>
      <c r="J354" s="45">
        <v>1.8871054549212112E-2</v>
      </c>
      <c r="K354" s="45">
        <v>0.2452</v>
      </c>
      <c r="N354" s="54"/>
    </row>
    <row r="355" spans="2:14" x14ac:dyDescent="0.2">
      <c r="B355">
        <v>346</v>
      </c>
      <c r="C355" s="52">
        <f t="shared" ca="1" si="18"/>
        <v>-0.36121704582148884</v>
      </c>
      <c r="D355" s="52">
        <f ca="1">S0*EXP((μ-0.5*σ*σ)*T+σ*SQRT(T)*$C355)</f>
        <v>0.58265370669302008</v>
      </c>
      <c r="E355" s="52">
        <f t="shared" ca="1" si="16"/>
        <v>0</v>
      </c>
      <c r="F355" s="17">
        <f t="shared" ca="1" si="17"/>
        <v>0</v>
      </c>
      <c r="H355" s="17">
        <v>346</v>
      </c>
      <c r="I355" s="45">
        <v>0.67082945147526318</v>
      </c>
      <c r="J355" s="45">
        <v>1.9043585919727934E-2</v>
      </c>
      <c r="K355" s="45">
        <v>0.2452</v>
      </c>
      <c r="N355" s="54"/>
    </row>
    <row r="356" spans="2:14" x14ac:dyDescent="0.2">
      <c r="B356">
        <v>347</v>
      </c>
      <c r="C356" s="52">
        <f t="shared" ca="1" si="18"/>
        <v>1.0085030981869867</v>
      </c>
      <c r="D356" s="52">
        <f ca="1">S0*EXP((μ-0.5*σ*σ)*T+σ*SQRT(T)*$C356)</f>
        <v>0.85084349653888924</v>
      </c>
      <c r="E356" s="52">
        <f t="shared" ca="1" si="16"/>
        <v>0</v>
      </c>
      <c r="F356" s="17">
        <f t="shared" ca="1" si="17"/>
        <v>0</v>
      </c>
      <c r="H356" s="17">
        <v>347</v>
      </c>
      <c r="I356" s="45">
        <v>0.66961570545921345</v>
      </c>
      <c r="J356" s="45">
        <v>1.7964534670244111E-2</v>
      </c>
      <c r="K356" s="45">
        <v>0.2452</v>
      </c>
      <c r="N356" s="54"/>
    </row>
    <row r="357" spans="2:14" x14ac:dyDescent="0.2">
      <c r="B357">
        <v>348</v>
      </c>
      <c r="C357" s="52">
        <f t="shared" ca="1" si="18"/>
        <v>-1.0277722061051189</v>
      </c>
      <c r="D357" s="52">
        <f ca="1">S0*EXP((μ-0.5*σ*σ)*T+σ*SQRT(T)*$C357)</f>
        <v>0.48460566907186176</v>
      </c>
      <c r="E357" s="52">
        <f t="shared" ca="1" si="16"/>
        <v>4.9794330928138231E-2</v>
      </c>
      <c r="F357" s="17">
        <f t="shared" ca="1" si="17"/>
        <v>1</v>
      </c>
      <c r="H357" s="17">
        <v>348</v>
      </c>
      <c r="I357" s="45">
        <v>0.67012476529053056</v>
      </c>
      <c r="J357" s="45">
        <v>1.8216752525980467E-2</v>
      </c>
      <c r="K357" s="45">
        <v>0.23799999999999999</v>
      </c>
      <c r="N357" s="54"/>
    </row>
    <row r="358" spans="2:14" x14ac:dyDescent="0.2">
      <c r="B358">
        <v>349</v>
      </c>
      <c r="C358" s="52">
        <f t="shared" ca="1" si="18"/>
        <v>0.43129632367532006</v>
      </c>
      <c r="D358" s="52">
        <f ca="1">S0*EXP((μ-0.5*σ*σ)*T+σ*SQRT(T)*$C358)</f>
        <v>0.7253610182340644</v>
      </c>
      <c r="E358" s="52">
        <f t="shared" ca="1" si="16"/>
        <v>0</v>
      </c>
      <c r="F358" s="17">
        <f t="shared" ca="1" si="17"/>
        <v>0</v>
      </c>
      <c r="H358" s="17">
        <v>349</v>
      </c>
      <c r="I358" s="45">
        <v>0.67070581675365837</v>
      </c>
      <c r="J358" s="45">
        <v>1.8886927008568723E-2</v>
      </c>
      <c r="K358" s="45">
        <v>0.24460000000000001</v>
      </c>
      <c r="N358" s="54"/>
    </row>
    <row r="359" spans="2:14" x14ac:dyDescent="0.2">
      <c r="B359">
        <v>350</v>
      </c>
      <c r="C359" s="52">
        <f t="shared" ca="1" si="18"/>
        <v>-0.72930145591466944</v>
      </c>
      <c r="D359" s="52">
        <f ca="1">S0*EXP((μ-0.5*σ*σ)*T+σ*SQRT(T)*$C359)</f>
        <v>0.52628480801367372</v>
      </c>
      <c r="E359" s="52">
        <f t="shared" ca="1" si="16"/>
        <v>8.1151919863262645E-3</v>
      </c>
      <c r="F359" s="17">
        <f t="shared" ca="1" si="17"/>
        <v>1</v>
      </c>
      <c r="H359" s="17">
        <v>350</v>
      </c>
      <c r="I359" s="45">
        <v>0.67085902839260814</v>
      </c>
      <c r="J359" s="45">
        <v>1.9033411666599494E-2</v>
      </c>
      <c r="K359" s="45">
        <v>0.24540000000000001</v>
      </c>
      <c r="N359" s="54"/>
    </row>
    <row r="360" spans="2:14" x14ac:dyDescent="0.2">
      <c r="B360">
        <v>351</v>
      </c>
      <c r="C360" s="52">
        <f t="shared" ca="1" si="18"/>
        <v>1.3071650546543832</v>
      </c>
      <c r="D360" s="52">
        <f ca="1">S0*EXP((μ-0.5*σ*σ)*T+σ*SQRT(T)*$C360)</f>
        <v>0.92407023574656044</v>
      </c>
      <c r="E360" s="52">
        <f t="shared" ca="1" si="16"/>
        <v>0</v>
      </c>
      <c r="F360" s="17">
        <f t="shared" ca="1" si="17"/>
        <v>0</v>
      </c>
      <c r="H360" s="17">
        <v>351</v>
      </c>
      <c r="I360" s="45">
        <v>0.66963515626875103</v>
      </c>
      <c r="J360" s="45">
        <v>1.8074122558011812E-2</v>
      </c>
      <c r="K360" s="45">
        <v>0.24179999999999999</v>
      </c>
      <c r="N360" s="54"/>
    </row>
    <row r="361" spans="2:14" x14ac:dyDescent="0.2">
      <c r="B361">
        <v>352</v>
      </c>
      <c r="C361" s="52">
        <f t="shared" ca="1" si="18"/>
        <v>2.1086262803338505</v>
      </c>
      <c r="D361" s="52">
        <f ca="1">S0*EXP((μ-0.5*σ*σ)*T+σ*SQRT(T)*$C361)</f>
        <v>1.1532485004489959</v>
      </c>
      <c r="E361" s="52">
        <f t="shared" ca="1" si="16"/>
        <v>0</v>
      </c>
      <c r="F361" s="17">
        <f t="shared" ca="1" si="17"/>
        <v>0</v>
      </c>
      <c r="H361" s="17">
        <v>352</v>
      </c>
      <c r="I361" s="45">
        <v>0.67032881664246535</v>
      </c>
      <c r="J361" s="45">
        <v>1.8534982479783742E-2</v>
      </c>
      <c r="K361" s="45">
        <v>0.24379999999999999</v>
      </c>
      <c r="N361" s="54"/>
    </row>
    <row r="362" spans="2:14" x14ac:dyDescent="0.2">
      <c r="B362">
        <v>353</v>
      </c>
      <c r="C362" s="52">
        <f t="shared" ca="1" si="18"/>
        <v>0.77442817596526803</v>
      </c>
      <c r="D362" s="52">
        <f ca="1">S0*EXP((μ-0.5*σ*σ)*T+σ*SQRT(T)*$C362)</f>
        <v>0.79753226164994817</v>
      </c>
      <c r="E362" s="52">
        <f t="shared" ca="1" si="16"/>
        <v>0</v>
      </c>
      <c r="F362" s="17">
        <f t="shared" ca="1" si="17"/>
        <v>0</v>
      </c>
      <c r="H362" s="17">
        <v>353</v>
      </c>
      <c r="I362" s="45">
        <v>0.67105200169163626</v>
      </c>
      <c r="J362" s="45">
        <v>1.9097657596287222E-2</v>
      </c>
      <c r="K362" s="45">
        <v>0.24859999999999999</v>
      </c>
      <c r="N362" s="54"/>
    </row>
    <row r="363" spans="2:14" x14ac:dyDescent="0.2">
      <c r="B363">
        <v>354</v>
      </c>
      <c r="C363" s="52">
        <f t="shared" ca="1" si="18"/>
        <v>4.3749819266141125E-2</v>
      </c>
      <c r="D363" s="52">
        <f ca="1">S0*EXP((μ-0.5*σ*σ)*T+σ*SQRT(T)*$C363)</f>
        <v>0.65167047842599868</v>
      </c>
      <c r="E363" s="52">
        <f t="shared" ca="1" si="16"/>
        <v>0</v>
      </c>
      <c r="F363" s="17">
        <f t="shared" ca="1" si="17"/>
        <v>0</v>
      </c>
      <c r="H363" s="17">
        <v>354</v>
      </c>
      <c r="I363" s="45">
        <v>0.6713861872759167</v>
      </c>
      <c r="J363" s="45">
        <v>1.9242110144553362E-2</v>
      </c>
      <c r="K363" s="45">
        <v>0.253</v>
      </c>
      <c r="N363" s="54"/>
    </row>
    <row r="364" spans="2:14" x14ac:dyDescent="0.2">
      <c r="B364">
        <v>355</v>
      </c>
      <c r="C364" s="52">
        <f t="shared" ca="1" si="18"/>
        <v>-1.2524511797605693</v>
      </c>
      <c r="D364" s="52">
        <f ca="1">S0*EXP((μ-0.5*σ*σ)*T+σ*SQRT(T)*$C364)</f>
        <v>0.4554231257235985</v>
      </c>
      <c r="E364" s="52">
        <f t="shared" ca="1" si="16"/>
        <v>7.8976874276401487E-2</v>
      </c>
      <c r="F364" s="17">
        <f t="shared" ca="1" si="17"/>
        <v>1</v>
      </c>
      <c r="H364" s="17">
        <v>355</v>
      </c>
      <c r="I364" s="45">
        <v>0.67091232309155824</v>
      </c>
      <c r="J364" s="45">
        <v>1.8997683111756328E-2</v>
      </c>
      <c r="K364" s="45">
        <v>0.2452</v>
      </c>
      <c r="N364" s="54"/>
    </row>
    <row r="365" spans="2:14" x14ac:dyDescent="0.2">
      <c r="B365">
        <v>356</v>
      </c>
      <c r="C365" s="52">
        <f t="shared" ca="1" si="18"/>
        <v>-0.53666090651780418</v>
      </c>
      <c r="D365" s="52">
        <f ca="1">S0*EXP((μ-0.5*σ*σ)*T+σ*SQRT(T)*$C365)</f>
        <v>0.55507022511411974</v>
      </c>
      <c r="E365" s="52">
        <f t="shared" ca="1" si="16"/>
        <v>0</v>
      </c>
      <c r="F365" s="17">
        <f t="shared" ca="1" si="17"/>
        <v>0</v>
      </c>
      <c r="H365" s="17">
        <v>356</v>
      </c>
      <c r="I365" s="45">
        <v>0.67189663469963357</v>
      </c>
      <c r="J365" s="45">
        <v>1.980853817052293E-2</v>
      </c>
      <c r="K365" s="45">
        <v>0.25</v>
      </c>
      <c r="N365" s="54"/>
    </row>
    <row r="366" spans="2:14" x14ac:dyDescent="0.2">
      <c r="B366">
        <v>357</v>
      </c>
      <c r="C366" s="52">
        <f t="shared" ca="1" si="18"/>
        <v>-0.42385953067458504</v>
      </c>
      <c r="D366" s="52">
        <f ca="1">S0*EXP((μ-0.5*σ*σ)*T+σ*SQRT(T)*$C366)</f>
        <v>0.5726510854189617</v>
      </c>
      <c r="E366" s="52">
        <f t="shared" ca="1" si="16"/>
        <v>0</v>
      </c>
      <c r="F366" s="17">
        <f t="shared" ca="1" si="17"/>
        <v>0</v>
      </c>
      <c r="H366" s="17">
        <v>357</v>
      </c>
      <c r="I366" s="45">
        <v>0.67037066772170517</v>
      </c>
      <c r="J366" s="45">
        <v>1.8650720769032937E-2</v>
      </c>
      <c r="K366" s="45">
        <v>0.2392</v>
      </c>
      <c r="N366" s="54"/>
    </row>
    <row r="367" spans="2:14" x14ac:dyDescent="0.2">
      <c r="B367">
        <v>358</v>
      </c>
      <c r="C367" s="52">
        <f t="shared" ca="1" si="18"/>
        <v>0.20670015545557263</v>
      </c>
      <c r="D367" s="52">
        <f ca="1">S0*EXP((μ-0.5*σ*σ)*T+σ*SQRT(T)*$C367)</f>
        <v>0.68169599539241343</v>
      </c>
      <c r="E367" s="52">
        <f t="shared" ca="1" si="16"/>
        <v>0</v>
      </c>
      <c r="F367" s="17">
        <f t="shared" ca="1" si="17"/>
        <v>0</v>
      </c>
      <c r="H367" s="17">
        <v>358</v>
      </c>
      <c r="I367" s="45">
        <v>0.66996570815703416</v>
      </c>
      <c r="J367" s="45">
        <v>1.8188371553552504E-2</v>
      </c>
      <c r="K367" s="45">
        <v>0.24579999999999999</v>
      </c>
      <c r="N367" s="54"/>
    </row>
    <row r="368" spans="2:14" x14ac:dyDescent="0.2">
      <c r="B368">
        <v>359</v>
      </c>
      <c r="C368" s="52">
        <f t="shared" ca="1" si="18"/>
        <v>0.33720332516620483</v>
      </c>
      <c r="D368" s="52">
        <f ca="1">S0*EXP((μ-0.5*σ*σ)*T+σ*SQRT(T)*$C368)</f>
        <v>0.70673736801182963</v>
      </c>
      <c r="E368" s="52">
        <f t="shared" ca="1" si="16"/>
        <v>0</v>
      </c>
      <c r="F368" s="17">
        <f t="shared" ca="1" si="17"/>
        <v>0</v>
      </c>
      <c r="H368" s="17">
        <v>359</v>
      </c>
      <c r="I368" s="45">
        <v>0.67054091758589041</v>
      </c>
      <c r="J368" s="45">
        <v>1.8573656069354738E-2</v>
      </c>
      <c r="K368" s="45">
        <v>0.2366</v>
      </c>
      <c r="N368" s="54"/>
    </row>
    <row r="369" spans="2:14" x14ac:dyDescent="0.2">
      <c r="B369">
        <v>360</v>
      </c>
      <c r="C369" s="52">
        <f t="shared" ca="1" si="18"/>
        <v>1.7450022976445534</v>
      </c>
      <c r="D369" s="52">
        <f ca="1">S0*EXP((μ-0.5*σ*σ)*T+σ*SQRT(T)*$C369)</f>
        <v>1.0429625317645064</v>
      </c>
      <c r="E369" s="52">
        <f t="shared" ca="1" si="16"/>
        <v>0</v>
      </c>
      <c r="F369" s="17">
        <f t="shared" ca="1" si="17"/>
        <v>0</v>
      </c>
      <c r="H369" s="17">
        <v>360</v>
      </c>
      <c r="I369" s="45">
        <v>0.6704854410934884</v>
      </c>
      <c r="J369" s="45">
        <v>1.8850860757973813E-2</v>
      </c>
      <c r="K369" s="45">
        <v>0.25159999999999999</v>
      </c>
      <c r="N369" s="54"/>
    </row>
    <row r="370" spans="2:14" x14ac:dyDescent="0.2">
      <c r="B370">
        <v>361</v>
      </c>
      <c r="C370" s="52">
        <f t="shared" ca="1" si="18"/>
        <v>0.2620818172582961</v>
      </c>
      <c r="D370" s="52">
        <f ca="1">S0*EXP((μ-0.5*σ*σ)*T+σ*SQRT(T)*$C370)</f>
        <v>0.69221257368765332</v>
      </c>
      <c r="E370" s="52">
        <f t="shared" ca="1" si="16"/>
        <v>0</v>
      </c>
      <c r="F370" s="17">
        <f t="shared" ca="1" si="17"/>
        <v>0</v>
      </c>
      <c r="H370" s="17">
        <v>361</v>
      </c>
      <c r="I370" s="45">
        <v>0.66969427447852736</v>
      </c>
      <c r="J370" s="45">
        <v>1.8070834806351167E-2</v>
      </c>
      <c r="K370" s="45">
        <v>0.24640000000000001</v>
      </c>
      <c r="N370" s="54"/>
    </row>
    <row r="371" spans="2:14" x14ac:dyDescent="0.2">
      <c r="B371">
        <v>362</v>
      </c>
      <c r="C371" s="52">
        <f t="shared" ca="1" si="18"/>
        <v>-0.18636718285884729</v>
      </c>
      <c r="D371" s="52">
        <f ca="1">S0*EXP((μ-0.5*σ*σ)*T+σ*SQRT(T)*$C371)</f>
        <v>0.61150749500087098</v>
      </c>
      <c r="E371" s="52">
        <f t="shared" ca="1" si="16"/>
        <v>0</v>
      </c>
      <c r="F371" s="17">
        <f t="shared" ca="1" si="17"/>
        <v>0</v>
      </c>
      <c r="H371" s="17">
        <v>362</v>
      </c>
      <c r="I371" s="45">
        <v>0.67037225838922854</v>
      </c>
      <c r="J371" s="45">
        <v>1.8680952241733908E-2</v>
      </c>
      <c r="K371" s="45">
        <v>0.25119999999999998</v>
      </c>
      <c r="N371" s="54"/>
    </row>
    <row r="372" spans="2:14" x14ac:dyDescent="0.2">
      <c r="B372">
        <v>363</v>
      </c>
      <c r="C372" s="52">
        <f t="shared" ca="1" si="18"/>
        <v>-1.5848955947896985</v>
      </c>
      <c r="D372" s="52">
        <f ca="1">S0*EXP((μ-0.5*σ*σ)*T+σ*SQRT(T)*$C372)</f>
        <v>0.41543596561837132</v>
      </c>
      <c r="E372" s="52">
        <f t="shared" ca="1" si="16"/>
        <v>0.11896403438162867</v>
      </c>
      <c r="F372" s="17">
        <f t="shared" ca="1" si="17"/>
        <v>1</v>
      </c>
      <c r="H372" s="17">
        <v>363</v>
      </c>
      <c r="I372" s="45">
        <v>0.67074713092873939</v>
      </c>
      <c r="J372" s="45">
        <v>1.8955681554161465E-2</v>
      </c>
      <c r="K372" s="45">
        <v>0.249</v>
      </c>
      <c r="N372" s="54"/>
    </row>
    <row r="373" spans="2:14" x14ac:dyDescent="0.2">
      <c r="B373">
        <v>364</v>
      </c>
      <c r="C373" s="52">
        <f t="shared" ca="1" si="18"/>
        <v>1.7632582356960014</v>
      </c>
      <c r="D373" s="52">
        <f ca="1">S0*EXP((μ-0.5*σ*σ)*T+σ*SQRT(T)*$C373)</f>
        <v>1.0482391817106294</v>
      </c>
      <c r="E373" s="52">
        <f t="shared" ca="1" si="16"/>
        <v>0</v>
      </c>
      <c r="F373" s="17">
        <f t="shared" ca="1" si="17"/>
        <v>0</v>
      </c>
      <c r="H373" s="17">
        <v>364</v>
      </c>
      <c r="I373" s="45">
        <v>0.67082474621973598</v>
      </c>
      <c r="J373" s="45">
        <v>1.8749183007331777E-2</v>
      </c>
      <c r="K373" s="45">
        <v>0.247</v>
      </c>
      <c r="N373" s="54"/>
    </row>
    <row r="374" spans="2:14" x14ac:dyDescent="0.2">
      <c r="B374">
        <v>365</v>
      </c>
      <c r="C374" s="52">
        <f t="shared" ca="1" si="18"/>
        <v>2.0304865817589177</v>
      </c>
      <c r="D374" s="52">
        <f ca="1">S0*EXP((μ-0.5*σ*σ)*T+σ*SQRT(T)*$C374)</f>
        <v>1.128605037378545</v>
      </c>
      <c r="E374" s="52">
        <f t="shared" ca="1" si="16"/>
        <v>0</v>
      </c>
      <c r="F374" s="17">
        <f t="shared" ca="1" si="17"/>
        <v>0</v>
      </c>
      <c r="H374" s="17">
        <v>365</v>
      </c>
      <c r="I374" s="45">
        <v>0.67100139392061697</v>
      </c>
      <c r="J374" s="45">
        <v>1.9135220060744862E-2</v>
      </c>
      <c r="K374" s="45">
        <v>0.254</v>
      </c>
      <c r="N374" s="54"/>
    </row>
    <row r="375" spans="2:14" x14ac:dyDescent="0.2">
      <c r="B375">
        <v>366</v>
      </c>
      <c r="C375" s="52">
        <f t="shared" ca="1" si="18"/>
        <v>0.98906889598445902</v>
      </c>
      <c r="D375" s="52">
        <f ca="1">S0*EXP((μ-0.5*σ*σ)*T+σ*SQRT(T)*$C375)</f>
        <v>0.84628481266657896</v>
      </c>
      <c r="E375" s="52">
        <f t="shared" ca="1" si="16"/>
        <v>0</v>
      </c>
      <c r="F375" s="17">
        <f t="shared" ca="1" si="17"/>
        <v>0</v>
      </c>
      <c r="H375" s="17">
        <v>366</v>
      </c>
      <c r="I375" s="45">
        <v>0.67113079466715764</v>
      </c>
      <c r="J375" s="45">
        <v>1.9148887624067776E-2</v>
      </c>
      <c r="K375" s="45">
        <v>0.24379999999999999</v>
      </c>
      <c r="N375" s="54"/>
    </row>
    <row r="376" spans="2:14" x14ac:dyDescent="0.2">
      <c r="B376">
        <v>367</v>
      </c>
      <c r="C376" s="52">
        <f t="shared" ca="1" si="18"/>
        <v>0.37221912836765475</v>
      </c>
      <c r="D376" s="52">
        <f ca="1">S0*EXP((μ-0.5*σ*σ)*T+σ*SQRT(T)*$C376)</f>
        <v>0.71361145214072141</v>
      </c>
      <c r="E376" s="52">
        <f t="shared" ca="1" si="16"/>
        <v>0</v>
      </c>
      <c r="F376" s="17">
        <f t="shared" ca="1" si="17"/>
        <v>0</v>
      </c>
      <c r="H376" s="17">
        <v>367</v>
      </c>
      <c r="I376" s="45">
        <v>0.67088935334473254</v>
      </c>
      <c r="J376" s="45">
        <v>1.892437233014824E-2</v>
      </c>
      <c r="K376" s="45">
        <v>0.24579999999999999</v>
      </c>
      <c r="N376" s="54"/>
    </row>
    <row r="377" spans="2:14" x14ac:dyDescent="0.2">
      <c r="B377">
        <v>368</v>
      </c>
      <c r="C377" s="52">
        <f t="shared" ca="1" si="18"/>
        <v>-0.14425266170143941</v>
      </c>
      <c r="D377" s="52">
        <f ca="1">S0*EXP((μ-0.5*σ*σ)*T+σ*SQRT(T)*$C377)</f>
        <v>0.61866815767904604</v>
      </c>
      <c r="E377" s="52">
        <f t="shared" ca="1" si="16"/>
        <v>0</v>
      </c>
      <c r="F377" s="17">
        <f t="shared" ca="1" si="17"/>
        <v>0</v>
      </c>
      <c r="H377" s="17">
        <v>368</v>
      </c>
      <c r="I377" s="45">
        <v>0.67146105084568153</v>
      </c>
      <c r="J377" s="45">
        <v>1.9408251633683673E-2</v>
      </c>
      <c r="K377" s="45">
        <v>0.24660000000000001</v>
      </c>
      <c r="N377" s="54"/>
    </row>
    <row r="378" spans="2:14" x14ac:dyDescent="0.2">
      <c r="B378">
        <v>369</v>
      </c>
      <c r="C378" s="52">
        <f t="shared" ca="1" si="18"/>
        <v>-0.23590214580972887</v>
      </c>
      <c r="D378" s="52">
        <f ca="1">S0*EXP((μ-0.5*σ*σ)*T+σ*SQRT(T)*$C378)</f>
        <v>0.60319114558089193</v>
      </c>
      <c r="E378" s="52">
        <f t="shared" ca="1" si="16"/>
        <v>0</v>
      </c>
      <c r="F378" s="17">
        <f t="shared" ca="1" si="17"/>
        <v>0</v>
      </c>
      <c r="H378" s="17">
        <v>369</v>
      </c>
      <c r="I378" s="45">
        <v>0.67047026625083039</v>
      </c>
      <c r="J378" s="45">
        <v>1.8890954807839332E-2</v>
      </c>
      <c r="K378" s="45">
        <v>0.247</v>
      </c>
      <c r="N378" s="54"/>
    </row>
    <row r="379" spans="2:14" x14ac:dyDescent="0.2">
      <c r="B379">
        <v>370</v>
      </c>
      <c r="C379" s="52">
        <f t="shared" ca="1" si="18"/>
        <v>-0.69301603415664725</v>
      </c>
      <c r="D379" s="52">
        <f ca="1">S0*EXP((μ-0.5*σ*σ)*T+σ*SQRT(T)*$C379)</f>
        <v>0.53159025574752716</v>
      </c>
      <c r="E379" s="52">
        <f t="shared" ca="1" si="16"/>
        <v>2.8097442524728233E-3</v>
      </c>
      <c r="F379" s="17">
        <f t="shared" ca="1" si="17"/>
        <v>1</v>
      </c>
      <c r="H379" s="17">
        <v>370</v>
      </c>
      <c r="I379" s="45">
        <v>0.66921649057043775</v>
      </c>
      <c r="J379" s="45">
        <v>1.771783112252312E-2</v>
      </c>
      <c r="K379" s="45">
        <v>0.23699999999999999</v>
      </c>
      <c r="N379" s="54"/>
    </row>
    <row r="380" spans="2:14" x14ac:dyDescent="0.2">
      <c r="B380">
        <v>371</v>
      </c>
      <c r="C380" s="52">
        <f t="shared" ca="1" si="18"/>
        <v>1.1910361651269743</v>
      </c>
      <c r="D380" s="52">
        <f ca="1">S0*EXP((μ-0.5*σ*σ)*T+σ*SQRT(T)*$C380)</f>
        <v>0.89487700182416119</v>
      </c>
      <c r="E380" s="52">
        <f t="shared" ca="1" si="16"/>
        <v>0</v>
      </c>
      <c r="F380" s="17">
        <f t="shared" ca="1" si="17"/>
        <v>0</v>
      </c>
      <c r="H380" s="17">
        <v>371</v>
      </c>
      <c r="I380" s="45">
        <v>0.67033149778117873</v>
      </c>
      <c r="J380" s="45">
        <v>1.853866634005942E-2</v>
      </c>
      <c r="K380" s="45">
        <v>0.2404</v>
      </c>
      <c r="N380" s="54"/>
    </row>
    <row r="381" spans="2:14" x14ac:dyDescent="0.2">
      <c r="B381">
        <v>372</v>
      </c>
      <c r="C381" s="52">
        <f t="shared" ca="1" si="18"/>
        <v>1.3863422742747868</v>
      </c>
      <c r="D381" s="52">
        <f ca="1">S0*EXP((μ-0.5*σ*σ)*T+σ*SQRT(T)*$C381)</f>
        <v>0.94451846734325007</v>
      </c>
      <c r="E381" s="52">
        <f t="shared" ca="1" si="16"/>
        <v>0</v>
      </c>
      <c r="F381" s="17">
        <f t="shared" ca="1" si="17"/>
        <v>0</v>
      </c>
      <c r="H381" s="17">
        <v>372</v>
      </c>
      <c r="I381" s="45">
        <v>0.67089262078880296</v>
      </c>
      <c r="J381" s="45">
        <v>1.8704292187694566E-2</v>
      </c>
      <c r="K381" s="45">
        <v>0.247</v>
      </c>
      <c r="N381" s="54"/>
    </row>
    <row r="382" spans="2:14" x14ac:dyDescent="0.2">
      <c r="B382">
        <v>373</v>
      </c>
      <c r="C382" s="52">
        <f t="shared" ca="1" si="18"/>
        <v>-7.0945017692164436E-2</v>
      </c>
      <c r="D382" s="52">
        <f ca="1">S0*EXP((μ-0.5*σ*σ)*T+σ*SQRT(T)*$C382)</f>
        <v>0.63133312240147488</v>
      </c>
      <c r="E382" s="52">
        <f t="shared" ca="1" si="16"/>
        <v>0</v>
      </c>
      <c r="F382" s="17">
        <f t="shared" ca="1" si="17"/>
        <v>0</v>
      </c>
      <c r="H382" s="17">
        <v>373</v>
      </c>
      <c r="I382" s="45">
        <v>0.67118998802099117</v>
      </c>
      <c r="J382" s="45">
        <v>1.9375291591553174E-2</v>
      </c>
      <c r="K382" s="45">
        <v>0.25280000000000002</v>
      </c>
      <c r="N382" s="54"/>
    </row>
    <row r="383" spans="2:14" x14ac:dyDescent="0.2">
      <c r="B383">
        <v>374</v>
      </c>
      <c r="C383" s="52">
        <f t="shared" ca="1" si="18"/>
        <v>-0.13668023684782077</v>
      </c>
      <c r="D383" s="52">
        <f ca="1">S0*EXP((μ-0.5*σ*σ)*T+σ*SQRT(T)*$C383)</f>
        <v>0.61996455010130969</v>
      </c>
      <c r="E383" s="52">
        <f t="shared" ca="1" si="16"/>
        <v>0</v>
      </c>
      <c r="F383" s="17">
        <f t="shared" ca="1" si="17"/>
        <v>0</v>
      </c>
      <c r="H383" s="17">
        <v>374</v>
      </c>
      <c r="I383" s="45">
        <v>0.6701492534308473</v>
      </c>
      <c r="J383" s="45">
        <v>1.8394384628058497E-2</v>
      </c>
      <c r="K383" s="45">
        <v>0.24840000000000001</v>
      </c>
      <c r="N383" s="54"/>
    </row>
    <row r="384" spans="2:14" x14ac:dyDescent="0.2">
      <c r="B384">
        <v>375</v>
      </c>
      <c r="C384" s="52">
        <f t="shared" ca="1" si="18"/>
        <v>0.52519659919664419</v>
      </c>
      <c r="D384" s="52">
        <f ca="1">S0*EXP((μ-0.5*σ*σ)*T+σ*SQRT(T)*$C384)</f>
        <v>0.74443577037103814</v>
      </c>
      <c r="E384" s="52">
        <f t="shared" ca="1" si="16"/>
        <v>0</v>
      </c>
      <c r="F384" s="17">
        <f t="shared" ca="1" si="17"/>
        <v>0</v>
      </c>
      <c r="H384" s="17">
        <v>375</v>
      </c>
      <c r="I384" s="45">
        <v>0.67048104663104435</v>
      </c>
      <c r="J384" s="45">
        <v>1.8741231252144892E-2</v>
      </c>
      <c r="K384" s="45">
        <v>0.24660000000000001</v>
      </c>
      <c r="N384" s="54"/>
    </row>
    <row r="385" spans="2:14" x14ac:dyDescent="0.2">
      <c r="B385">
        <v>376</v>
      </c>
      <c r="C385" s="52">
        <f t="shared" ca="1" si="18"/>
        <v>0.40185726434812963</v>
      </c>
      <c r="D385" s="52">
        <f ca="1">S0*EXP((μ-0.5*σ*σ)*T+σ*SQRT(T)*$C385)</f>
        <v>0.71948204698864748</v>
      </c>
      <c r="E385" s="52">
        <f t="shared" ca="1" si="16"/>
        <v>0</v>
      </c>
      <c r="F385" s="17">
        <f t="shared" ca="1" si="17"/>
        <v>0</v>
      </c>
      <c r="H385" s="17">
        <v>376</v>
      </c>
      <c r="I385" s="45">
        <v>0.67209582126775147</v>
      </c>
      <c r="J385" s="45">
        <v>1.9661754844479573E-2</v>
      </c>
      <c r="K385" s="45">
        <v>0.25359999999999999</v>
      </c>
      <c r="N385" s="54"/>
    </row>
    <row r="386" spans="2:14" x14ac:dyDescent="0.2">
      <c r="B386">
        <v>377</v>
      </c>
      <c r="C386" s="52">
        <f t="shared" ca="1" si="18"/>
        <v>-1.4666823316517608</v>
      </c>
      <c r="D386" s="52">
        <f ca="1">S0*EXP((μ-0.5*σ*σ)*T+σ*SQRT(T)*$C386)</f>
        <v>0.42923582554285084</v>
      </c>
      <c r="E386" s="52">
        <f t="shared" ca="1" si="16"/>
        <v>0.10516417445714915</v>
      </c>
      <c r="F386" s="17">
        <f t="shared" ca="1" si="17"/>
        <v>1</v>
      </c>
      <c r="H386" s="17">
        <v>377</v>
      </c>
      <c r="I386" s="45">
        <v>0.67040417156667742</v>
      </c>
      <c r="J386" s="45">
        <v>1.8707113435201619E-2</v>
      </c>
      <c r="K386" s="45">
        <v>0.24479999999999999</v>
      </c>
      <c r="N386" s="54"/>
    </row>
    <row r="387" spans="2:14" x14ac:dyDescent="0.2">
      <c r="B387">
        <v>378</v>
      </c>
      <c r="C387" s="52">
        <f t="shared" ca="1" si="18"/>
        <v>1.1343186453026917</v>
      </c>
      <c r="D387" s="52">
        <f ca="1">S0*EXP((μ-0.5*σ*σ)*T+σ*SQRT(T)*$C387)</f>
        <v>0.88095602882694679</v>
      </c>
      <c r="E387" s="52">
        <f t="shared" ca="1" si="16"/>
        <v>0</v>
      </c>
      <c r="F387" s="17">
        <f t="shared" ca="1" si="17"/>
        <v>0</v>
      </c>
      <c r="H387" s="17">
        <v>378</v>
      </c>
      <c r="I387" s="45">
        <v>0.67040116806840944</v>
      </c>
      <c r="J387" s="45">
        <v>1.8768234882250816E-2</v>
      </c>
      <c r="K387" s="45">
        <v>0.24360000000000001</v>
      </c>
      <c r="N387" s="54"/>
    </row>
    <row r="388" spans="2:14" x14ac:dyDescent="0.2">
      <c r="B388">
        <v>379</v>
      </c>
      <c r="C388" s="52">
        <f t="shared" ca="1" si="18"/>
        <v>-1.6064455592852172</v>
      </c>
      <c r="D388" s="52">
        <f ca="1">S0*EXP((μ-0.5*σ*σ)*T+σ*SQRT(T)*$C388)</f>
        <v>0.41296852423179253</v>
      </c>
      <c r="E388" s="52">
        <f t="shared" ca="1" si="16"/>
        <v>0.12143147576820745</v>
      </c>
      <c r="F388" s="17">
        <f t="shared" ca="1" si="17"/>
        <v>1</v>
      </c>
      <c r="H388" s="17">
        <v>379</v>
      </c>
      <c r="I388" s="45">
        <v>0.67196513310095163</v>
      </c>
      <c r="J388" s="45">
        <v>1.9378385545698928E-2</v>
      </c>
      <c r="K388" s="45">
        <v>0.24660000000000001</v>
      </c>
      <c r="N388" s="54"/>
    </row>
    <row r="389" spans="2:14" x14ac:dyDescent="0.2">
      <c r="B389">
        <v>380</v>
      </c>
      <c r="C389" s="52">
        <f t="shared" ca="1" si="18"/>
        <v>0.12113328901786539</v>
      </c>
      <c r="D389" s="52">
        <f ca="1">S0*EXP((μ-0.5*σ*σ)*T+σ*SQRT(T)*$C389)</f>
        <v>0.665760728844497</v>
      </c>
      <c r="E389" s="52">
        <f t="shared" ca="1" si="16"/>
        <v>0</v>
      </c>
      <c r="F389" s="17">
        <f t="shared" ca="1" si="17"/>
        <v>0</v>
      </c>
      <c r="H389" s="17">
        <v>380</v>
      </c>
      <c r="I389" s="45">
        <v>0.6700483011837981</v>
      </c>
      <c r="J389" s="45">
        <v>1.8506220731787371E-2</v>
      </c>
      <c r="K389" s="45">
        <v>0.24779999999999999</v>
      </c>
      <c r="N389" s="54"/>
    </row>
    <row r="390" spans="2:14" x14ac:dyDescent="0.2">
      <c r="B390">
        <v>381</v>
      </c>
      <c r="C390" s="52">
        <f t="shared" ca="1" si="18"/>
        <v>-0.59047087838320622</v>
      </c>
      <c r="D390" s="52">
        <f ca="1">S0*EXP((μ-0.5*σ*σ)*T+σ*SQRT(T)*$C390)</f>
        <v>0.54687475643280381</v>
      </c>
      <c r="E390" s="52">
        <f t="shared" ca="1" si="16"/>
        <v>0</v>
      </c>
      <c r="F390" s="17">
        <f t="shared" ca="1" si="17"/>
        <v>0</v>
      </c>
      <c r="H390" s="17">
        <v>381</v>
      </c>
      <c r="I390" s="45">
        <v>0.66992548188923495</v>
      </c>
      <c r="J390" s="45">
        <v>1.8088587913408408E-2</v>
      </c>
      <c r="K390" s="45">
        <v>0.23799999999999999</v>
      </c>
      <c r="N390" s="54"/>
    </row>
    <row r="391" spans="2:14" x14ac:dyDescent="0.2">
      <c r="B391">
        <v>382</v>
      </c>
      <c r="C391" s="52">
        <f t="shared" ca="1" si="18"/>
        <v>0.83544399029713645</v>
      </c>
      <c r="D391" s="52">
        <f ca="1">S0*EXP((μ-0.5*σ*σ)*T+σ*SQRT(T)*$C391)</f>
        <v>0.81109812727989883</v>
      </c>
      <c r="E391" s="52">
        <f t="shared" ca="1" si="16"/>
        <v>0</v>
      </c>
      <c r="F391" s="17">
        <f t="shared" ca="1" si="17"/>
        <v>0</v>
      </c>
      <c r="H391" s="17">
        <v>382</v>
      </c>
      <c r="I391" s="45">
        <v>0.67127232980769813</v>
      </c>
      <c r="J391" s="45">
        <v>1.9081518700083656E-2</v>
      </c>
      <c r="K391" s="45">
        <v>0.252</v>
      </c>
      <c r="N391" s="54"/>
    </row>
    <row r="392" spans="2:14" x14ac:dyDescent="0.2">
      <c r="B392">
        <v>383</v>
      </c>
      <c r="C392" s="52">
        <f t="shared" ca="1" si="18"/>
        <v>6.4120174784037171E-2</v>
      </c>
      <c r="D392" s="52">
        <f ca="1">S0*EXP((μ-0.5*σ*σ)*T+σ*SQRT(T)*$C392)</f>
        <v>0.6553504046671651</v>
      </c>
      <c r="E392" s="52">
        <f t="shared" ca="1" si="16"/>
        <v>0</v>
      </c>
      <c r="F392" s="17">
        <f t="shared" ca="1" si="17"/>
        <v>0</v>
      </c>
      <c r="H392" s="17">
        <v>383</v>
      </c>
      <c r="I392" s="45">
        <v>0.6703929623075956</v>
      </c>
      <c r="J392" s="45">
        <v>1.8691324158978867E-2</v>
      </c>
      <c r="K392" s="45">
        <v>0.25059999999999999</v>
      </c>
      <c r="N392" s="54"/>
    </row>
    <row r="393" spans="2:14" x14ac:dyDescent="0.2">
      <c r="B393">
        <v>384</v>
      </c>
      <c r="C393" s="52">
        <f t="shared" ca="1" si="18"/>
        <v>-0.68602311009674632</v>
      </c>
      <c r="D393" s="52">
        <f ca="1">S0*EXP((μ-0.5*σ*σ)*T+σ*SQRT(T)*$C393)</f>
        <v>0.53261885161280575</v>
      </c>
      <c r="E393" s="52">
        <f t="shared" ca="1" si="16"/>
        <v>1.7811483871942313E-3</v>
      </c>
      <c r="F393" s="17">
        <f t="shared" ca="1" si="17"/>
        <v>1</v>
      </c>
      <c r="H393" s="17">
        <v>384</v>
      </c>
      <c r="I393" s="45">
        <v>0.67020454822084963</v>
      </c>
      <c r="J393" s="45">
        <v>1.8256405285547506E-2</v>
      </c>
      <c r="K393" s="45">
        <v>0.23960000000000001</v>
      </c>
      <c r="N393" s="54"/>
    </row>
    <row r="394" spans="2:14" x14ac:dyDescent="0.2">
      <c r="B394">
        <v>385</v>
      </c>
      <c r="C394" s="52">
        <f t="shared" ca="1" si="18"/>
        <v>-1.0419841608726843</v>
      </c>
      <c r="D394" s="52">
        <f ca="1">S0*EXP((μ-0.5*σ*σ)*T+σ*SQRT(T)*$C394)</f>
        <v>0.48270555964156558</v>
      </c>
      <c r="E394" s="52">
        <f t="shared" ref="E394:E457" ca="1" si="19">MAX(0,CP*(D394-K))</f>
        <v>5.1694440358434401E-2</v>
      </c>
      <c r="F394" s="17">
        <f t="shared" ref="F394:F457" ca="1" si="20">(CP*(D394-K)&gt;0)*1</f>
        <v>1</v>
      </c>
      <c r="H394" s="17">
        <v>385</v>
      </c>
      <c r="I394" s="45">
        <v>0.67018042815745316</v>
      </c>
      <c r="J394" s="45">
        <v>1.8294799897144814E-2</v>
      </c>
      <c r="K394" s="45">
        <v>0.24540000000000001</v>
      </c>
      <c r="N394" s="54"/>
    </row>
    <row r="395" spans="2:14" x14ac:dyDescent="0.2">
      <c r="B395">
        <v>386</v>
      </c>
      <c r="C395" s="52">
        <f t="shared" ref="C395:C458" ca="1" si="21">_xlfn.NORM.S.INV(RAND())</f>
        <v>-0.1179073305714972</v>
      </c>
      <c r="D395" s="52">
        <f ca="1">S0*EXP((μ-0.5*σ*σ)*T+σ*SQRT(T)*$C395)</f>
        <v>0.6231901823405156</v>
      </c>
      <c r="E395" s="52">
        <f t="shared" ca="1" si="19"/>
        <v>0</v>
      </c>
      <c r="F395" s="17">
        <f t="shared" ca="1" si="20"/>
        <v>0</v>
      </c>
      <c r="H395" s="17">
        <v>386</v>
      </c>
      <c r="I395" s="45">
        <v>0.67222450748841367</v>
      </c>
      <c r="J395" s="45">
        <v>1.954089673736318E-2</v>
      </c>
      <c r="K395" s="45">
        <v>0.248</v>
      </c>
      <c r="N395" s="54"/>
    </row>
    <row r="396" spans="2:14" x14ac:dyDescent="0.2">
      <c r="B396">
        <v>387</v>
      </c>
      <c r="C396" s="52">
        <f t="shared" ca="1" si="21"/>
        <v>0.18947081385901313</v>
      </c>
      <c r="D396" s="52">
        <f ca="1">S0*EXP((μ-0.5*σ*σ)*T+σ*SQRT(T)*$C396)</f>
        <v>0.67845696712153081</v>
      </c>
      <c r="E396" s="52">
        <f t="shared" ca="1" si="19"/>
        <v>0</v>
      </c>
      <c r="F396" s="17">
        <f t="shared" ca="1" si="20"/>
        <v>0</v>
      </c>
      <c r="H396" s="17">
        <v>387</v>
      </c>
      <c r="I396" s="45">
        <v>0.67020524165419992</v>
      </c>
      <c r="J396" s="45">
        <v>1.8210818701451543E-2</v>
      </c>
      <c r="K396" s="45">
        <v>0.2402</v>
      </c>
      <c r="N396" s="54"/>
    </row>
    <row r="397" spans="2:14" x14ac:dyDescent="0.2">
      <c r="B397">
        <v>388</v>
      </c>
      <c r="C397" s="52">
        <f t="shared" ca="1" si="21"/>
        <v>0.17983320371772232</v>
      </c>
      <c r="D397" s="52">
        <f ca="1">S0*EXP((μ-0.5*σ*σ)*T+σ*SQRT(T)*$C397)</f>
        <v>0.6766518624144674</v>
      </c>
      <c r="E397" s="52">
        <f t="shared" ca="1" si="19"/>
        <v>0</v>
      </c>
      <c r="F397" s="17">
        <f t="shared" ca="1" si="20"/>
        <v>0</v>
      </c>
      <c r="H397" s="17">
        <v>388</v>
      </c>
      <c r="I397" s="45">
        <v>0.67034013760223798</v>
      </c>
      <c r="J397" s="45">
        <v>1.839544705451901E-2</v>
      </c>
      <c r="K397" s="45">
        <v>0.24279999999999999</v>
      </c>
      <c r="N397" s="54"/>
    </row>
    <row r="398" spans="2:14" x14ac:dyDescent="0.2">
      <c r="B398">
        <v>389</v>
      </c>
      <c r="C398" s="52">
        <f t="shared" ca="1" si="21"/>
        <v>-0.52592407479568459</v>
      </c>
      <c r="D398" s="52">
        <f ca="1">S0*EXP((μ-0.5*σ*σ)*T+σ*SQRT(T)*$C398)</f>
        <v>0.55672012599530374</v>
      </c>
      <c r="E398" s="52">
        <f t="shared" ca="1" si="19"/>
        <v>0</v>
      </c>
      <c r="F398" s="17">
        <f t="shared" ca="1" si="20"/>
        <v>0</v>
      </c>
      <c r="H398" s="17">
        <v>389</v>
      </c>
      <c r="I398" s="45">
        <v>0.67071203194301965</v>
      </c>
      <c r="J398" s="45">
        <v>1.9052845401250393E-2</v>
      </c>
      <c r="K398" s="45">
        <v>0.25359999999999999</v>
      </c>
      <c r="N398" s="54"/>
    </row>
    <row r="399" spans="2:14" x14ac:dyDescent="0.2">
      <c r="B399">
        <v>390</v>
      </c>
      <c r="C399" s="52">
        <f t="shared" ca="1" si="21"/>
        <v>-0.26922950572791499</v>
      </c>
      <c r="D399" s="52">
        <f ca="1">S0*EXP((μ-0.5*σ*σ)*T+σ*SQRT(T)*$C399)</f>
        <v>0.59765960630366399</v>
      </c>
      <c r="E399" s="52">
        <f t="shared" ca="1" si="19"/>
        <v>0</v>
      </c>
      <c r="F399" s="17">
        <f t="shared" ca="1" si="20"/>
        <v>0</v>
      </c>
      <c r="H399" s="17">
        <v>390</v>
      </c>
      <c r="I399" s="45">
        <v>0.67084161650908458</v>
      </c>
      <c r="J399" s="45">
        <v>1.8965687654710611E-2</v>
      </c>
      <c r="K399" s="45">
        <v>0.2422</v>
      </c>
      <c r="N399" s="54"/>
    </row>
    <row r="400" spans="2:14" x14ac:dyDescent="0.2">
      <c r="B400">
        <v>391</v>
      </c>
      <c r="C400" s="52">
        <f t="shared" ca="1" si="21"/>
        <v>0.88185227011094514</v>
      </c>
      <c r="D400" s="52">
        <f ca="1">S0*EXP((μ-0.5*σ*σ)*T+σ*SQRT(T)*$C400)</f>
        <v>0.8215705387801705</v>
      </c>
      <c r="E400" s="52">
        <f t="shared" ca="1" si="19"/>
        <v>0</v>
      </c>
      <c r="F400" s="17">
        <f t="shared" ca="1" si="20"/>
        <v>0</v>
      </c>
      <c r="H400" s="17">
        <v>391</v>
      </c>
      <c r="I400" s="45">
        <v>0.67081760165004167</v>
      </c>
      <c r="J400" s="45">
        <v>1.8990013434354677E-2</v>
      </c>
      <c r="K400" s="45">
        <v>0.25040000000000001</v>
      </c>
      <c r="N400" s="54"/>
    </row>
    <row r="401" spans="2:14" x14ac:dyDescent="0.2">
      <c r="B401">
        <v>392</v>
      </c>
      <c r="C401" s="52">
        <f t="shared" ca="1" si="21"/>
        <v>0.80269531300061148</v>
      </c>
      <c r="D401" s="52">
        <f ca="1">S0*EXP((μ-0.5*σ*σ)*T+σ*SQRT(T)*$C401)</f>
        <v>0.80378855479845102</v>
      </c>
      <c r="E401" s="52">
        <f t="shared" ca="1" si="19"/>
        <v>0</v>
      </c>
      <c r="F401" s="17">
        <f t="shared" ca="1" si="20"/>
        <v>0</v>
      </c>
      <c r="H401" s="17">
        <v>392</v>
      </c>
      <c r="I401" s="45">
        <v>0.67169059533332409</v>
      </c>
      <c r="J401" s="45">
        <v>1.9481671634123735E-2</v>
      </c>
      <c r="K401" s="45">
        <v>0.249</v>
      </c>
      <c r="N401" s="54"/>
    </row>
    <row r="402" spans="2:14" x14ac:dyDescent="0.2">
      <c r="B402">
        <v>393</v>
      </c>
      <c r="C402" s="52">
        <f t="shared" ca="1" si="21"/>
        <v>-2.2754091463693156</v>
      </c>
      <c r="D402" s="52">
        <f ca="1">S0*EXP((μ-0.5*σ*σ)*T+σ*SQRT(T)*$C402)</f>
        <v>0.34324624054401726</v>
      </c>
      <c r="E402" s="52">
        <f t="shared" ca="1" si="19"/>
        <v>0.19115375945598273</v>
      </c>
      <c r="F402" s="17">
        <f t="shared" ca="1" si="20"/>
        <v>1</v>
      </c>
      <c r="H402" s="17">
        <v>393</v>
      </c>
      <c r="I402" s="45">
        <v>0.66960704842661467</v>
      </c>
      <c r="J402" s="45">
        <v>1.8075170153461627E-2</v>
      </c>
      <c r="K402" s="45">
        <v>0.2402</v>
      </c>
      <c r="N402" s="54"/>
    </row>
    <row r="403" spans="2:14" x14ac:dyDescent="0.2">
      <c r="B403">
        <v>394</v>
      </c>
      <c r="C403" s="52">
        <f t="shared" ca="1" si="21"/>
        <v>2.9890404088213516</v>
      </c>
      <c r="D403" s="52">
        <f ca="1">S0*EXP((μ-0.5*σ*σ)*T+σ*SQRT(T)*$C403)</f>
        <v>1.4710226411793847</v>
      </c>
      <c r="E403" s="52">
        <f t="shared" ca="1" si="19"/>
        <v>0</v>
      </c>
      <c r="F403" s="17">
        <f t="shared" ca="1" si="20"/>
        <v>0</v>
      </c>
      <c r="H403" s="17">
        <v>394</v>
      </c>
      <c r="I403" s="45">
        <v>0.67132955004484951</v>
      </c>
      <c r="J403" s="45">
        <v>1.9138905549964662E-2</v>
      </c>
      <c r="K403" s="45">
        <v>0.24560000000000001</v>
      </c>
      <c r="N403" s="54"/>
    </row>
    <row r="404" spans="2:14" x14ac:dyDescent="0.2">
      <c r="B404">
        <v>395</v>
      </c>
      <c r="C404" s="52">
        <f t="shared" ca="1" si="21"/>
        <v>0.88861078935062177</v>
      </c>
      <c r="D404" s="52">
        <f ca="1">S0*EXP((μ-0.5*σ*σ)*T+σ*SQRT(T)*$C404)</f>
        <v>0.82310689275145166</v>
      </c>
      <c r="E404" s="52">
        <f t="shared" ca="1" si="19"/>
        <v>0</v>
      </c>
      <c r="F404" s="17">
        <f t="shared" ca="1" si="20"/>
        <v>0</v>
      </c>
      <c r="H404" s="17">
        <v>395</v>
      </c>
      <c r="I404" s="45">
        <v>0.66983702570238179</v>
      </c>
      <c r="J404" s="45">
        <v>1.8253543362355459E-2</v>
      </c>
      <c r="K404" s="45">
        <v>0.23619999999999999</v>
      </c>
      <c r="N404" s="54"/>
    </row>
    <row r="405" spans="2:14" x14ac:dyDescent="0.2">
      <c r="B405">
        <v>396</v>
      </c>
      <c r="C405" s="52">
        <f t="shared" ca="1" si="21"/>
        <v>1.0266250405570598</v>
      </c>
      <c r="D405" s="52">
        <f ca="1">S0*EXP((μ-0.5*σ*σ)*T+σ*SQRT(T)*$C405)</f>
        <v>0.85511648581048327</v>
      </c>
      <c r="E405" s="52">
        <f t="shared" ca="1" si="19"/>
        <v>0</v>
      </c>
      <c r="F405" s="17">
        <f t="shared" ca="1" si="20"/>
        <v>0</v>
      </c>
      <c r="H405" s="17">
        <v>396</v>
      </c>
      <c r="I405" s="45">
        <v>0.67036286897067698</v>
      </c>
      <c r="J405" s="45">
        <v>1.8565559878836797E-2</v>
      </c>
      <c r="K405" s="45">
        <v>0.245</v>
      </c>
      <c r="N405" s="54"/>
    </row>
    <row r="406" spans="2:14" x14ac:dyDescent="0.2">
      <c r="B406">
        <v>397</v>
      </c>
      <c r="C406" s="52">
        <f t="shared" ca="1" si="21"/>
        <v>0.59080301500462473</v>
      </c>
      <c r="D406" s="52">
        <f ca="1">S0*EXP((μ-0.5*σ*σ)*T+σ*SQRT(T)*$C406)</f>
        <v>0.75805983659481035</v>
      </c>
      <c r="E406" s="52">
        <f t="shared" ca="1" si="19"/>
        <v>0</v>
      </c>
      <c r="F406" s="17">
        <f t="shared" ca="1" si="20"/>
        <v>0</v>
      </c>
      <c r="H406" s="17">
        <v>397</v>
      </c>
      <c r="I406" s="45">
        <v>0.67065625988694466</v>
      </c>
      <c r="J406" s="45">
        <v>1.8693838164390145E-2</v>
      </c>
      <c r="K406" s="45">
        <v>0.24360000000000001</v>
      </c>
      <c r="N406" s="54"/>
    </row>
    <row r="407" spans="2:14" x14ac:dyDescent="0.2">
      <c r="B407">
        <v>398</v>
      </c>
      <c r="C407" s="52">
        <f t="shared" ca="1" si="21"/>
        <v>-0.92647807044565855</v>
      </c>
      <c r="D407" s="52">
        <f ca="1">S0*EXP((μ-0.5*σ*σ)*T+σ*SQRT(T)*$C407)</f>
        <v>0.49836687333497187</v>
      </c>
      <c r="E407" s="52">
        <f t="shared" ca="1" si="19"/>
        <v>3.6033126665028115E-2</v>
      </c>
      <c r="F407" s="17">
        <f t="shared" ca="1" si="20"/>
        <v>1</v>
      </c>
      <c r="H407" s="17">
        <v>398</v>
      </c>
      <c r="I407" s="45">
        <v>0.67107270756099024</v>
      </c>
      <c r="J407" s="45">
        <v>1.8797027068701656E-2</v>
      </c>
      <c r="K407" s="45">
        <v>0.23680000000000001</v>
      </c>
      <c r="N407" s="54"/>
    </row>
    <row r="408" spans="2:14" x14ac:dyDescent="0.2">
      <c r="B408">
        <v>399</v>
      </c>
      <c r="C408" s="52">
        <f t="shared" ca="1" si="21"/>
        <v>-0.42393115321120461</v>
      </c>
      <c r="D408" s="52">
        <f ca="1">S0*EXP((μ-0.5*σ*σ)*T+σ*SQRT(T)*$C408)</f>
        <v>0.57263974772815662</v>
      </c>
      <c r="E408" s="52">
        <f t="shared" ca="1" si="19"/>
        <v>0</v>
      </c>
      <c r="F408" s="17">
        <f t="shared" ca="1" si="20"/>
        <v>0</v>
      </c>
      <c r="H408" s="17">
        <v>399</v>
      </c>
      <c r="I408" s="45">
        <v>0.67113270751983622</v>
      </c>
      <c r="J408" s="45">
        <v>1.8931241500630948E-2</v>
      </c>
      <c r="K408" s="45">
        <v>0.24099999999999999</v>
      </c>
      <c r="N408" s="54"/>
    </row>
    <row r="409" spans="2:14" x14ac:dyDescent="0.2">
      <c r="B409">
        <v>400</v>
      </c>
      <c r="C409" s="52">
        <f t="shared" ca="1" si="21"/>
        <v>-0.65071286781019044</v>
      </c>
      <c r="D409" s="52">
        <f ca="1">S0*EXP((μ-0.5*σ*σ)*T+σ*SQRT(T)*$C409)</f>
        <v>0.53784314585977722</v>
      </c>
      <c r="E409" s="52">
        <f t="shared" ca="1" si="19"/>
        <v>0</v>
      </c>
      <c r="F409" s="17">
        <f t="shared" ca="1" si="20"/>
        <v>0</v>
      </c>
      <c r="H409" s="17">
        <v>400</v>
      </c>
      <c r="I409" s="45">
        <v>0.6701290417318102</v>
      </c>
      <c r="J409" s="45">
        <v>1.8406538513380279E-2</v>
      </c>
      <c r="K409" s="45">
        <v>0.24160000000000001</v>
      </c>
      <c r="N409" s="54"/>
    </row>
    <row r="410" spans="2:14" x14ac:dyDescent="0.2">
      <c r="B410">
        <v>401</v>
      </c>
      <c r="C410" s="52">
        <f t="shared" ca="1" si="21"/>
        <v>-0.40775872436660959</v>
      </c>
      <c r="D410" s="52">
        <f ca="1">S0*EXP((μ-0.5*σ*σ)*T+σ*SQRT(T)*$C410)</f>
        <v>0.57520551344259407</v>
      </c>
      <c r="E410" s="52">
        <f t="shared" ca="1" si="19"/>
        <v>0</v>
      </c>
      <c r="F410" s="17">
        <f t="shared" ca="1" si="20"/>
        <v>0</v>
      </c>
      <c r="H410" s="17">
        <v>401</v>
      </c>
      <c r="I410" s="45">
        <v>0.67161252522495862</v>
      </c>
      <c r="J410" s="45">
        <v>1.9182633147229341E-2</v>
      </c>
      <c r="K410" s="45">
        <v>0.247</v>
      </c>
      <c r="N410" s="54"/>
    </row>
    <row r="411" spans="2:14" x14ac:dyDescent="0.2">
      <c r="B411">
        <v>402</v>
      </c>
      <c r="C411" s="52">
        <f t="shared" ca="1" si="21"/>
        <v>0.86733856557043465</v>
      </c>
      <c r="D411" s="52">
        <f ca="1">S0*EXP((μ-0.5*σ*σ)*T+σ*SQRT(T)*$C411)</f>
        <v>0.81828095205492724</v>
      </c>
      <c r="E411" s="52">
        <f t="shared" ca="1" si="19"/>
        <v>0</v>
      </c>
      <c r="F411" s="17">
        <f t="shared" ca="1" si="20"/>
        <v>0</v>
      </c>
      <c r="H411" s="17">
        <v>402</v>
      </c>
      <c r="I411" s="45">
        <v>0.67170488929217931</v>
      </c>
      <c r="J411" s="45">
        <v>1.9636480858607148E-2</v>
      </c>
      <c r="K411" s="45">
        <v>0.25040000000000001</v>
      </c>
      <c r="N411" s="54"/>
    </row>
    <row r="412" spans="2:14" x14ac:dyDescent="0.2">
      <c r="B412">
        <v>403</v>
      </c>
      <c r="C412" s="52">
        <f t="shared" ca="1" si="21"/>
        <v>1.8047365222879324</v>
      </c>
      <c r="D412" s="52">
        <f ca="1">S0*EXP((μ-0.5*σ*σ)*T+σ*SQRT(T)*$C412)</f>
        <v>1.0603274056422338</v>
      </c>
      <c r="E412" s="52">
        <f t="shared" ca="1" si="19"/>
        <v>0</v>
      </c>
      <c r="F412" s="17">
        <f t="shared" ca="1" si="20"/>
        <v>0</v>
      </c>
      <c r="H412" s="17">
        <v>403</v>
      </c>
      <c r="I412" s="45">
        <v>0.66958518719061721</v>
      </c>
      <c r="J412" s="45">
        <v>1.7583973911808139E-2</v>
      </c>
      <c r="K412" s="45">
        <v>0.23719999999999999</v>
      </c>
      <c r="N412" s="54"/>
    </row>
    <row r="413" spans="2:14" x14ac:dyDescent="0.2">
      <c r="B413">
        <v>404</v>
      </c>
      <c r="C413" s="52">
        <f t="shared" ca="1" si="21"/>
        <v>1.3939602811947867</v>
      </c>
      <c r="D413" s="52">
        <f ca="1">S0*EXP((μ-0.5*σ*σ)*T+σ*SQRT(T)*$C413)</f>
        <v>0.94650959131682433</v>
      </c>
      <c r="E413" s="52">
        <f t="shared" ca="1" si="19"/>
        <v>0</v>
      </c>
      <c r="F413" s="17">
        <f t="shared" ca="1" si="20"/>
        <v>0</v>
      </c>
      <c r="H413" s="17">
        <v>404</v>
      </c>
      <c r="I413" s="45">
        <v>0.6721263113756023</v>
      </c>
      <c r="J413" s="45">
        <v>1.9678846630419498E-2</v>
      </c>
      <c r="K413" s="45">
        <v>0.24099999999999999</v>
      </c>
      <c r="N413" s="54"/>
    </row>
    <row r="414" spans="2:14" x14ac:dyDescent="0.2">
      <c r="B414">
        <v>405</v>
      </c>
      <c r="C414" s="52">
        <f t="shared" ca="1" si="21"/>
        <v>0.20788232035330639</v>
      </c>
      <c r="D414" s="52">
        <f ca="1">S0*EXP((μ-0.5*σ*σ)*T+σ*SQRT(T)*$C414)</f>
        <v>0.68191880242133041</v>
      </c>
      <c r="E414" s="52">
        <f t="shared" ca="1" si="19"/>
        <v>0</v>
      </c>
      <c r="F414" s="17">
        <f t="shared" ca="1" si="20"/>
        <v>0</v>
      </c>
      <c r="H414" s="17">
        <v>405</v>
      </c>
      <c r="I414" s="45">
        <v>0.67109700327967226</v>
      </c>
      <c r="J414" s="45">
        <v>1.9168979519695789E-2</v>
      </c>
      <c r="K414" s="45">
        <v>0.2424</v>
      </c>
      <c r="N414" s="54"/>
    </row>
    <row r="415" spans="2:14" x14ac:dyDescent="0.2">
      <c r="B415">
        <v>406</v>
      </c>
      <c r="C415" s="52">
        <f t="shared" ca="1" si="21"/>
        <v>-0.91239508789522594</v>
      </c>
      <c r="D415" s="52">
        <f ca="1">S0*EXP((μ-0.5*σ*σ)*T+σ*SQRT(T)*$C415)</f>
        <v>0.5003107940918351</v>
      </c>
      <c r="E415" s="52">
        <f t="shared" ca="1" si="19"/>
        <v>3.4089205908164888E-2</v>
      </c>
      <c r="F415" s="17">
        <f t="shared" ca="1" si="20"/>
        <v>1</v>
      </c>
      <c r="H415" s="17">
        <v>406</v>
      </c>
      <c r="I415" s="45">
        <v>0.67053348800245072</v>
      </c>
      <c r="J415" s="45">
        <v>1.8971333543563732E-2</v>
      </c>
      <c r="K415" s="45">
        <v>0.253</v>
      </c>
      <c r="N415" s="54"/>
    </row>
    <row r="416" spans="2:14" x14ac:dyDescent="0.2">
      <c r="B416">
        <v>407</v>
      </c>
      <c r="C416" s="52">
        <f t="shared" ca="1" si="21"/>
        <v>-6.7449782346969472E-3</v>
      </c>
      <c r="D416" s="52">
        <f ca="1">S0*EXP((μ-0.5*σ*σ)*T+σ*SQRT(T)*$C416)</f>
        <v>0.64263738918328384</v>
      </c>
      <c r="E416" s="52">
        <f t="shared" ca="1" si="19"/>
        <v>0</v>
      </c>
      <c r="F416" s="17">
        <f t="shared" ca="1" si="20"/>
        <v>0</v>
      </c>
      <c r="H416" s="17">
        <v>407</v>
      </c>
      <c r="I416" s="45">
        <v>0.6700294495431709</v>
      </c>
      <c r="J416" s="45">
        <v>1.8555676610280358E-2</v>
      </c>
      <c r="K416" s="45">
        <v>0.24879999999999999</v>
      </c>
      <c r="N416" s="54"/>
    </row>
    <row r="417" spans="2:14" x14ac:dyDescent="0.2">
      <c r="B417">
        <v>408</v>
      </c>
      <c r="C417" s="52">
        <f t="shared" ca="1" si="21"/>
        <v>-0.19715243815518976</v>
      </c>
      <c r="D417" s="52">
        <f ca="1">S0*EXP((μ-0.5*σ*σ)*T+σ*SQRT(T)*$C417)</f>
        <v>0.60968706453504795</v>
      </c>
      <c r="E417" s="52">
        <f t="shared" ca="1" si="19"/>
        <v>0</v>
      </c>
      <c r="F417" s="17">
        <f t="shared" ca="1" si="20"/>
        <v>0</v>
      </c>
      <c r="H417" s="17">
        <v>408</v>
      </c>
      <c r="I417" s="45">
        <v>0.67000383635018856</v>
      </c>
      <c r="J417" s="45">
        <v>1.8269411163886397E-2</v>
      </c>
      <c r="K417" s="45">
        <v>0.24840000000000001</v>
      </c>
      <c r="N417" s="54"/>
    </row>
    <row r="418" spans="2:14" x14ac:dyDescent="0.2">
      <c r="B418">
        <v>409</v>
      </c>
      <c r="C418" s="52">
        <f t="shared" ca="1" si="21"/>
        <v>-1.5728732791245206</v>
      </c>
      <c r="D418" s="52">
        <f ca="1">S0*EXP((μ-0.5*σ*σ)*T+σ*SQRT(T)*$C418)</f>
        <v>0.41681890517456466</v>
      </c>
      <c r="E418" s="52">
        <f t="shared" ca="1" si="19"/>
        <v>0.11758109482543533</v>
      </c>
      <c r="F418" s="17">
        <f t="shared" ca="1" si="20"/>
        <v>1</v>
      </c>
      <c r="H418" s="17">
        <v>409</v>
      </c>
      <c r="I418" s="45">
        <v>0.67129319106529417</v>
      </c>
      <c r="J418" s="45">
        <v>1.9375784965937209E-2</v>
      </c>
      <c r="K418" s="45">
        <v>0.2492</v>
      </c>
      <c r="N418" s="54"/>
    </row>
    <row r="419" spans="2:14" x14ac:dyDescent="0.2">
      <c r="B419">
        <v>410</v>
      </c>
      <c r="C419" s="52">
        <f t="shared" ca="1" si="21"/>
        <v>5.5407733966010814E-2</v>
      </c>
      <c r="D419" s="52">
        <f ca="1">S0*EXP((μ-0.5*σ*σ)*T+σ*SQRT(T)*$C419)</f>
        <v>0.65377395662327464</v>
      </c>
      <c r="E419" s="52">
        <f t="shared" ca="1" si="19"/>
        <v>0</v>
      </c>
      <c r="F419" s="17">
        <f t="shared" ca="1" si="20"/>
        <v>0</v>
      </c>
      <c r="H419" s="17">
        <v>410</v>
      </c>
      <c r="I419" s="45">
        <v>0.67106585374214245</v>
      </c>
      <c r="J419" s="45">
        <v>1.9102077027753246E-2</v>
      </c>
      <c r="K419" s="45">
        <v>0.24540000000000001</v>
      </c>
      <c r="N419" s="54"/>
    </row>
    <row r="420" spans="2:14" x14ac:dyDescent="0.2">
      <c r="B420">
        <v>411</v>
      </c>
      <c r="C420" s="52">
        <f t="shared" ca="1" si="21"/>
        <v>-1.0798999236284859</v>
      </c>
      <c r="D420" s="52">
        <f ca="1">S0*EXP((μ-0.5*σ*σ)*T+σ*SQRT(T)*$C420)</f>
        <v>0.47767267176639955</v>
      </c>
      <c r="E420" s="52">
        <f t="shared" ca="1" si="19"/>
        <v>5.6727328233600438E-2</v>
      </c>
      <c r="F420" s="17">
        <f t="shared" ca="1" si="20"/>
        <v>1</v>
      </c>
      <c r="H420" s="17">
        <v>411</v>
      </c>
      <c r="I420" s="45">
        <v>0.67093773780064525</v>
      </c>
      <c r="J420" s="45">
        <v>1.9217752312550591E-2</v>
      </c>
      <c r="K420" s="45">
        <v>0.25159999999999999</v>
      </c>
      <c r="N420" s="54"/>
    </row>
    <row r="421" spans="2:14" x14ac:dyDescent="0.2">
      <c r="B421">
        <v>412</v>
      </c>
      <c r="C421" s="52">
        <f t="shared" ca="1" si="21"/>
        <v>-0.68142001222494786</v>
      </c>
      <c r="D421" s="52">
        <f ca="1">S0*EXP((μ-0.5*σ*σ)*T+σ*SQRT(T)*$C421)</f>
        <v>0.5332970116628436</v>
      </c>
      <c r="E421" s="52">
        <f t="shared" ca="1" si="19"/>
        <v>1.1029883371563853E-3</v>
      </c>
      <c r="F421" s="17">
        <f t="shared" ca="1" si="20"/>
        <v>1</v>
      </c>
      <c r="H421" s="17">
        <v>412</v>
      </c>
      <c r="I421" s="45">
        <v>0.671461086183192</v>
      </c>
      <c r="J421" s="45">
        <v>1.9326676907120095E-2</v>
      </c>
      <c r="K421" s="45">
        <v>0.24940000000000001</v>
      </c>
      <c r="N421" s="54"/>
    </row>
    <row r="422" spans="2:14" x14ac:dyDescent="0.2">
      <c r="B422">
        <v>413</v>
      </c>
      <c r="C422" s="52">
        <f t="shared" ca="1" si="21"/>
        <v>1.3805272603398717</v>
      </c>
      <c r="D422" s="52">
        <f ca="1">S0*EXP((μ-0.5*σ*σ)*T+σ*SQRT(T)*$C422)</f>
        <v>0.94300141234082946</v>
      </c>
      <c r="E422" s="52">
        <f t="shared" ca="1" si="19"/>
        <v>0</v>
      </c>
      <c r="F422" s="17">
        <f t="shared" ca="1" si="20"/>
        <v>0</v>
      </c>
      <c r="H422" s="17">
        <v>413</v>
      </c>
      <c r="I422" s="45">
        <v>0.67183155075732859</v>
      </c>
      <c r="J422" s="45">
        <v>1.9651401522421293E-2</v>
      </c>
      <c r="K422" s="45">
        <v>0.25559999999999999</v>
      </c>
      <c r="N422" s="54"/>
    </row>
    <row r="423" spans="2:14" x14ac:dyDescent="0.2">
      <c r="B423">
        <v>414</v>
      </c>
      <c r="C423" s="52">
        <f t="shared" ca="1" si="21"/>
        <v>0.92668933608791826</v>
      </c>
      <c r="D423" s="52">
        <f ca="1">S0*EXP((μ-0.5*σ*σ)*T+σ*SQRT(T)*$C423)</f>
        <v>0.83181679848452994</v>
      </c>
      <c r="E423" s="52">
        <f t="shared" ca="1" si="19"/>
        <v>0</v>
      </c>
      <c r="F423" s="17">
        <f t="shared" ca="1" si="20"/>
        <v>0</v>
      </c>
      <c r="H423" s="17">
        <v>414</v>
      </c>
      <c r="I423" s="45">
        <v>0.67163524917495765</v>
      </c>
      <c r="J423" s="45">
        <v>1.9629205631959704E-2</v>
      </c>
      <c r="K423" s="45">
        <v>0.25900000000000001</v>
      </c>
      <c r="N423" s="54"/>
    </row>
    <row r="424" spans="2:14" x14ac:dyDescent="0.2">
      <c r="B424">
        <v>415</v>
      </c>
      <c r="C424" s="52">
        <f t="shared" ca="1" si="21"/>
        <v>-0.84903913547309273</v>
      </c>
      <c r="D424" s="52">
        <f ca="1">S0*EXP((μ-0.5*σ*σ)*T+σ*SQRT(T)*$C424)</f>
        <v>0.50915023931277614</v>
      </c>
      <c r="E424" s="52">
        <f t="shared" ca="1" si="19"/>
        <v>2.5249760687223843E-2</v>
      </c>
      <c r="F424" s="17">
        <f t="shared" ca="1" si="20"/>
        <v>1</v>
      </c>
      <c r="H424" s="17">
        <v>415</v>
      </c>
      <c r="I424" s="45">
        <v>0.67129527584987858</v>
      </c>
      <c r="J424" s="45">
        <v>1.9222471880467627E-2</v>
      </c>
      <c r="K424" s="45">
        <v>0.247</v>
      </c>
      <c r="N424" s="54"/>
    </row>
    <row r="425" spans="2:14" x14ac:dyDescent="0.2">
      <c r="B425">
        <v>416</v>
      </c>
      <c r="C425" s="52">
        <f t="shared" ca="1" si="21"/>
        <v>0.57737486107993707</v>
      </c>
      <c r="D425" s="52">
        <f ca="1">S0*EXP((μ-0.5*σ*σ)*T+σ*SQRT(T)*$C425)</f>
        <v>0.75525115102022233</v>
      </c>
      <c r="E425" s="52">
        <f t="shared" ca="1" si="19"/>
        <v>0</v>
      </c>
      <c r="F425" s="17">
        <f t="shared" ca="1" si="20"/>
        <v>0</v>
      </c>
      <c r="H425" s="17">
        <v>416</v>
      </c>
      <c r="I425" s="45">
        <v>0.66892540644472054</v>
      </c>
      <c r="J425" s="45">
        <v>1.7440324376011441E-2</v>
      </c>
      <c r="K425" s="45">
        <v>0.2316</v>
      </c>
      <c r="N425" s="54"/>
    </row>
    <row r="426" spans="2:14" x14ac:dyDescent="0.2">
      <c r="B426">
        <v>417</v>
      </c>
      <c r="C426" s="52">
        <f t="shared" ca="1" si="21"/>
        <v>-0.50829103122954977</v>
      </c>
      <c r="D426" s="52">
        <f ca="1">S0*EXP((μ-0.5*σ*σ)*T+σ*SQRT(T)*$C426)</f>
        <v>0.55944039720422856</v>
      </c>
      <c r="E426" s="52">
        <f t="shared" ca="1" si="19"/>
        <v>0</v>
      </c>
      <c r="F426" s="17">
        <f t="shared" ca="1" si="20"/>
        <v>0</v>
      </c>
      <c r="H426" s="17">
        <v>417</v>
      </c>
      <c r="I426" s="45">
        <v>0.6705907555883367</v>
      </c>
      <c r="J426" s="45">
        <v>1.8982785959786957E-2</v>
      </c>
      <c r="K426" s="45">
        <v>0.25319999999999998</v>
      </c>
      <c r="N426" s="54"/>
    </row>
    <row r="427" spans="2:14" x14ac:dyDescent="0.2">
      <c r="B427">
        <v>418</v>
      </c>
      <c r="C427" s="52">
        <f t="shared" ca="1" si="21"/>
        <v>1.2866578296432767</v>
      </c>
      <c r="D427" s="52">
        <f ca="1">S0*EXP((μ-0.5*σ*σ)*T+σ*SQRT(T)*$C427)</f>
        <v>0.918846627440429</v>
      </c>
      <c r="E427" s="52">
        <f t="shared" ca="1" si="19"/>
        <v>0</v>
      </c>
      <c r="F427" s="17">
        <f t="shared" ca="1" si="20"/>
        <v>0</v>
      </c>
      <c r="H427" s="17">
        <v>418</v>
      </c>
      <c r="I427" s="45">
        <v>0.67087304897343236</v>
      </c>
      <c r="J427" s="45">
        <v>1.8681313095521505E-2</v>
      </c>
      <c r="K427" s="45">
        <v>0.24079999999999999</v>
      </c>
      <c r="N427" s="54"/>
    </row>
    <row r="428" spans="2:14" x14ac:dyDescent="0.2">
      <c r="B428">
        <v>419</v>
      </c>
      <c r="C428" s="52">
        <f t="shared" ca="1" si="21"/>
        <v>0.85083754295476133</v>
      </c>
      <c r="D428" s="52">
        <f ca="1">S0*EXP((μ-0.5*σ*σ)*T+σ*SQRT(T)*$C428)</f>
        <v>0.81455692952200132</v>
      </c>
      <c r="E428" s="52">
        <f t="shared" ca="1" si="19"/>
        <v>0</v>
      </c>
      <c r="F428" s="17">
        <f t="shared" ca="1" si="20"/>
        <v>0</v>
      </c>
      <c r="H428" s="17">
        <v>419</v>
      </c>
      <c r="I428" s="45">
        <v>0.67071106493672228</v>
      </c>
      <c r="J428" s="45">
        <v>1.8722074683510927E-2</v>
      </c>
      <c r="K428" s="45">
        <v>0.2424</v>
      </c>
      <c r="N428" s="54"/>
    </row>
    <row r="429" spans="2:14" x14ac:dyDescent="0.2">
      <c r="B429">
        <v>420</v>
      </c>
      <c r="C429" s="52">
        <f t="shared" ca="1" si="21"/>
        <v>-1.1266386820263017</v>
      </c>
      <c r="D429" s="52">
        <f ca="1">S0*EXP((μ-0.5*σ*σ)*T+σ*SQRT(T)*$C429)</f>
        <v>0.47154078477214123</v>
      </c>
      <c r="E429" s="52">
        <f t="shared" ca="1" si="19"/>
        <v>6.2859215227858756E-2</v>
      </c>
      <c r="F429" s="17">
        <f t="shared" ca="1" si="20"/>
        <v>1</v>
      </c>
      <c r="H429" s="17">
        <v>420</v>
      </c>
      <c r="I429" s="45">
        <v>0.67017578758840934</v>
      </c>
      <c r="J429" s="45">
        <v>1.8669239291332441E-2</v>
      </c>
      <c r="K429" s="45">
        <v>0.24959999999999999</v>
      </c>
      <c r="N429" s="54"/>
    </row>
    <row r="430" spans="2:14" x14ac:dyDescent="0.2">
      <c r="B430">
        <v>421</v>
      </c>
      <c r="C430" s="52">
        <f t="shared" ca="1" si="21"/>
        <v>-1.8221929835233568</v>
      </c>
      <c r="D430" s="52">
        <f ca="1">S0*EXP((μ-0.5*σ*σ)*T+σ*SQRT(T)*$C430)</f>
        <v>0.38905930028291474</v>
      </c>
      <c r="E430" s="52">
        <f t="shared" ca="1" si="19"/>
        <v>0.14534069971708524</v>
      </c>
      <c r="F430" s="17">
        <f t="shared" ca="1" si="20"/>
        <v>1</v>
      </c>
      <c r="H430" s="17">
        <v>421</v>
      </c>
      <c r="I430" s="45">
        <v>0.67049293489001383</v>
      </c>
      <c r="J430" s="45">
        <v>1.8849952183403379E-2</v>
      </c>
      <c r="K430" s="45">
        <v>0.24859999999999999</v>
      </c>
      <c r="N430" s="54"/>
    </row>
    <row r="431" spans="2:14" x14ac:dyDescent="0.2">
      <c r="B431">
        <v>422</v>
      </c>
      <c r="C431" s="52">
        <f t="shared" ca="1" si="21"/>
        <v>-0.85976735966596307</v>
      </c>
      <c r="D431" s="52">
        <f ca="1">S0*EXP((μ-0.5*σ*σ)*T+σ*SQRT(T)*$C431)</f>
        <v>0.50764252486855566</v>
      </c>
      <c r="E431" s="52">
        <f t="shared" ca="1" si="19"/>
        <v>2.675747513144433E-2</v>
      </c>
      <c r="F431" s="17">
        <f t="shared" ca="1" si="20"/>
        <v>1</v>
      </c>
      <c r="H431" s="17">
        <v>422</v>
      </c>
      <c r="I431" s="45">
        <v>0.66952996430309564</v>
      </c>
      <c r="J431" s="45">
        <v>1.7778576474761311E-2</v>
      </c>
      <c r="K431" s="45">
        <v>0.24160000000000001</v>
      </c>
      <c r="N431" s="54"/>
    </row>
    <row r="432" spans="2:14" x14ac:dyDescent="0.2">
      <c r="B432">
        <v>423</v>
      </c>
      <c r="C432" s="52">
        <f t="shared" ca="1" si="21"/>
        <v>-0.36096251698104437</v>
      </c>
      <c r="D432" s="52">
        <f ca="1">S0*EXP((μ-0.5*σ*σ)*T+σ*SQRT(T)*$C432)</f>
        <v>0.58269470367746312</v>
      </c>
      <c r="E432" s="52">
        <f t="shared" ca="1" si="19"/>
        <v>0</v>
      </c>
      <c r="F432" s="17">
        <f t="shared" ca="1" si="20"/>
        <v>0</v>
      </c>
      <c r="H432" s="17">
        <v>423</v>
      </c>
      <c r="I432" s="45">
        <v>0.66977014378722433</v>
      </c>
      <c r="J432" s="45">
        <v>1.7975741112071932E-2</v>
      </c>
      <c r="K432" s="45">
        <v>0.24160000000000001</v>
      </c>
      <c r="N432" s="54"/>
    </row>
    <row r="433" spans="2:14" x14ac:dyDescent="0.2">
      <c r="B433">
        <v>424</v>
      </c>
      <c r="C433" s="52">
        <f t="shared" ca="1" si="21"/>
        <v>-0.58346674835356471</v>
      </c>
      <c r="D433" s="52">
        <f ca="1">S0*EXP((μ-0.5*σ*σ)*T+σ*SQRT(T)*$C433)</f>
        <v>0.5479346242389197</v>
      </c>
      <c r="E433" s="52">
        <f t="shared" ca="1" si="19"/>
        <v>0</v>
      </c>
      <c r="F433" s="17">
        <f t="shared" ca="1" si="20"/>
        <v>0</v>
      </c>
      <c r="H433" s="17">
        <v>424</v>
      </c>
      <c r="I433" s="45">
        <v>0.67086029079818454</v>
      </c>
      <c r="J433" s="45">
        <v>1.896110685198759E-2</v>
      </c>
      <c r="K433" s="45">
        <v>0.24660000000000001</v>
      </c>
      <c r="N433" s="54"/>
    </row>
    <row r="434" spans="2:14" x14ac:dyDescent="0.2">
      <c r="B434">
        <v>425</v>
      </c>
      <c r="C434" s="52">
        <f t="shared" ca="1" si="21"/>
        <v>1.5315085593953353</v>
      </c>
      <c r="D434" s="52">
        <f ca="1">S0*EXP((μ-0.5*σ*σ)*T+σ*SQRT(T)*$C434)</f>
        <v>0.98319150716013848</v>
      </c>
      <c r="E434" s="52">
        <f t="shared" ca="1" si="19"/>
        <v>0</v>
      </c>
      <c r="F434" s="17">
        <f t="shared" ca="1" si="20"/>
        <v>0</v>
      </c>
      <c r="H434" s="17">
        <v>425</v>
      </c>
      <c r="I434" s="45">
        <v>0.66997711497482204</v>
      </c>
      <c r="J434" s="45">
        <v>1.8210879420144727E-2</v>
      </c>
      <c r="K434" s="45">
        <v>0.23519999999999999</v>
      </c>
      <c r="N434" s="54"/>
    </row>
    <row r="435" spans="2:14" x14ac:dyDescent="0.2">
      <c r="B435">
        <v>426</v>
      </c>
      <c r="C435" s="52">
        <f t="shared" ca="1" si="21"/>
        <v>-0.8418662023441259</v>
      </c>
      <c r="D435" s="52">
        <f ca="1">S0*EXP((μ-0.5*σ*σ)*T+σ*SQRT(T)*$C435)</f>
        <v>0.51016080021979882</v>
      </c>
      <c r="E435" s="52">
        <f t="shared" ca="1" si="19"/>
        <v>2.423919978020117E-2</v>
      </c>
      <c r="F435" s="17">
        <f t="shared" ca="1" si="20"/>
        <v>1</v>
      </c>
      <c r="H435" s="17">
        <v>426</v>
      </c>
      <c r="I435" s="45">
        <v>0.66999810861534148</v>
      </c>
      <c r="J435" s="45">
        <v>1.8132259137085029E-2</v>
      </c>
      <c r="K435" s="45">
        <v>0.2384</v>
      </c>
      <c r="N435" s="54"/>
    </row>
    <row r="436" spans="2:14" x14ac:dyDescent="0.2">
      <c r="B436">
        <v>427</v>
      </c>
      <c r="C436" s="52">
        <f t="shared" ca="1" si="21"/>
        <v>-0.87728703522804363</v>
      </c>
      <c r="D436" s="52">
        <f ca="1">S0*EXP((μ-0.5*σ*σ)*T+σ*SQRT(T)*$C436)</f>
        <v>0.50518995179773796</v>
      </c>
      <c r="E436" s="52">
        <f t="shared" ca="1" si="19"/>
        <v>2.9210048202262029E-2</v>
      </c>
      <c r="F436" s="17">
        <f t="shared" ca="1" si="20"/>
        <v>1</v>
      </c>
      <c r="H436" s="17">
        <v>427</v>
      </c>
      <c r="I436" s="45">
        <v>0.66950550642317885</v>
      </c>
      <c r="J436" s="45">
        <v>1.7739813019173625E-2</v>
      </c>
      <c r="K436" s="45">
        <v>0.24099999999999999</v>
      </c>
      <c r="N436" s="54"/>
    </row>
    <row r="437" spans="2:14" x14ac:dyDescent="0.2">
      <c r="B437">
        <v>428</v>
      </c>
      <c r="C437" s="52">
        <f t="shared" ca="1" si="21"/>
        <v>0.22182056986264326</v>
      </c>
      <c r="D437" s="52">
        <f ca="1">S0*EXP((μ-0.5*σ*σ)*T+σ*SQRT(T)*$C437)</f>
        <v>0.68455129378786117</v>
      </c>
      <c r="E437" s="52">
        <f t="shared" ca="1" si="19"/>
        <v>0</v>
      </c>
      <c r="F437" s="17">
        <f t="shared" ca="1" si="20"/>
        <v>0</v>
      </c>
      <c r="H437" s="17">
        <v>428</v>
      </c>
      <c r="I437" s="45">
        <v>0.66999817876965495</v>
      </c>
      <c r="J437" s="45">
        <v>1.8071010738115775E-2</v>
      </c>
      <c r="K437" s="45">
        <v>0.2354</v>
      </c>
      <c r="N437" s="54"/>
    </row>
    <row r="438" spans="2:14" x14ac:dyDescent="0.2">
      <c r="B438">
        <v>429</v>
      </c>
      <c r="C438" s="52">
        <f t="shared" ca="1" si="21"/>
        <v>0.7985418752220268</v>
      </c>
      <c r="D438" s="52">
        <f ca="1">S0*EXP((μ-0.5*σ*σ)*T+σ*SQRT(T)*$C438)</f>
        <v>0.80286621838250039</v>
      </c>
      <c r="E438" s="52">
        <f t="shared" ca="1" si="19"/>
        <v>0</v>
      </c>
      <c r="F438" s="17">
        <f t="shared" ca="1" si="20"/>
        <v>0</v>
      </c>
      <c r="H438" s="17">
        <v>429</v>
      </c>
      <c r="I438" s="45">
        <v>0.67064103570130629</v>
      </c>
      <c r="J438" s="45">
        <v>1.8715412459878827E-2</v>
      </c>
      <c r="K438" s="45">
        <v>0.24479999999999999</v>
      </c>
      <c r="N438" s="54"/>
    </row>
    <row r="439" spans="2:14" x14ac:dyDescent="0.2">
      <c r="B439">
        <v>430</v>
      </c>
      <c r="C439" s="52">
        <f t="shared" ca="1" si="21"/>
        <v>-1.3480209844617446</v>
      </c>
      <c r="D439" s="52">
        <f ca="1">S0*EXP((μ-0.5*σ*σ)*T+σ*SQRT(T)*$C439)</f>
        <v>0.44354902295641296</v>
      </c>
      <c r="E439" s="52">
        <f t="shared" ca="1" si="19"/>
        <v>9.0850977043587022E-2</v>
      </c>
      <c r="F439" s="17">
        <f t="shared" ca="1" si="20"/>
        <v>1</v>
      </c>
      <c r="H439" s="17">
        <v>430</v>
      </c>
      <c r="I439" s="45">
        <v>0.67070607853914266</v>
      </c>
      <c r="J439" s="45">
        <v>1.8865768213835669E-2</v>
      </c>
      <c r="K439" s="45">
        <v>0.2412</v>
      </c>
      <c r="N439" s="54"/>
    </row>
    <row r="440" spans="2:14" x14ac:dyDescent="0.2">
      <c r="B440">
        <v>431</v>
      </c>
      <c r="C440" s="52">
        <f t="shared" ca="1" si="21"/>
        <v>1.3212869190718757</v>
      </c>
      <c r="D440" s="52">
        <f ca="1">S0*EXP((μ-0.5*σ*σ)*T+σ*SQRT(T)*$C440)</f>
        <v>0.92768461818947412</v>
      </c>
      <c r="E440" s="52">
        <f t="shared" ca="1" si="19"/>
        <v>0</v>
      </c>
      <c r="F440" s="17">
        <f t="shared" ca="1" si="20"/>
        <v>0</v>
      </c>
      <c r="H440" s="17">
        <v>431</v>
      </c>
      <c r="I440" s="45">
        <v>0.67036830737381048</v>
      </c>
      <c r="J440" s="45">
        <v>1.8826492516825381E-2</v>
      </c>
      <c r="K440" s="45">
        <v>0.25159999999999999</v>
      </c>
      <c r="N440" s="54"/>
    </row>
    <row r="441" spans="2:14" x14ac:dyDescent="0.2">
      <c r="B441">
        <v>432</v>
      </c>
      <c r="C441" s="52">
        <f t="shared" ca="1" si="21"/>
        <v>0.41369530518456005</v>
      </c>
      <c r="D441" s="52">
        <f ca="1">S0*EXP((μ-0.5*σ*σ)*T+σ*SQRT(T)*$C441)</f>
        <v>0.72184035055554507</v>
      </c>
      <c r="E441" s="52">
        <f t="shared" ca="1" si="19"/>
        <v>0</v>
      </c>
      <c r="F441" s="17">
        <f t="shared" ca="1" si="20"/>
        <v>0</v>
      </c>
      <c r="H441" s="17">
        <v>432</v>
      </c>
      <c r="I441" s="45">
        <v>0.67058674081303504</v>
      </c>
      <c r="J441" s="45">
        <v>1.8773609179477298E-2</v>
      </c>
      <c r="K441" s="45">
        <v>0.246</v>
      </c>
      <c r="N441" s="54"/>
    </row>
    <row r="442" spans="2:14" x14ac:dyDescent="0.2">
      <c r="B442">
        <v>433</v>
      </c>
      <c r="C442" s="52">
        <f t="shared" ca="1" si="21"/>
        <v>0.45614122017856001</v>
      </c>
      <c r="D442" s="52">
        <f ca="1">S0*EXP((μ-0.5*σ*σ)*T+σ*SQRT(T)*$C442)</f>
        <v>0.73035989848559324</v>
      </c>
      <c r="E442" s="52">
        <f t="shared" ca="1" si="19"/>
        <v>0</v>
      </c>
      <c r="F442" s="17">
        <f t="shared" ca="1" si="20"/>
        <v>0</v>
      </c>
      <c r="H442" s="17">
        <v>433</v>
      </c>
      <c r="I442" s="45">
        <v>0.6720069613192674</v>
      </c>
      <c r="J442" s="45">
        <v>1.979140281998194E-2</v>
      </c>
      <c r="K442" s="45">
        <v>0.248</v>
      </c>
      <c r="N442" s="54"/>
    </row>
    <row r="443" spans="2:14" x14ac:dyDescent="0.2">
      <c r="B443">
        <v>434</v>
      </c>
      <c r="C443" s="52">
        <f t="shared" ca="1" si="21"/>
        <v>0.224670628258824</v>
      </c>
      <c r="D443" s="52">
        <f ca="1">S0*EXP((μ-0.5*σ*σ)*T+σ*SQRT(T)*$C443)</f>
        <v>0.68509082921466369</v>
      </c>
      <c r="E443" s="52">
        <f t="shared" ca="1" si="19"/>
        <v>0</v>
      </c>
      <c r="F443" s="17">
        <f t="shared" ca="1" si="20"/>
        <v>0</v>
      </c>
      <c r="H443" s="17">
        <v>434</v>
      </c>
      <c r="I443" s="45">
        <v>0.67014315586300954</v>
      </c>
      <c r="J443" s="45">
        <v>1.846246059688678E-2</v>
      </c>
      <c r="K443" s="45">
        <v>0.24859999999999999</v>
      </c>
      <c r="N443" s="54"/>
    </row>
    <row r="444" spans="2:14" x14ac:dyDescent="0.2">
      <c r="B444">
        <v>435</v>
      </c>
      <c r="C444" s="52">
        <f t="shared" ca="1" si="21"/>
        <v>-0.51358346474865157</v>
      </c>
      <c r="D444" s="52">
        <f ca="1">S0*EXP((μ-0.5*σ*σ)*T+σ*SQRT(T)*$C444)</f>
        <v>0.55862253392601235</v>
      </c>
      <c r="E444" s="52">
        <f t="shared" ca="1" si="19"/>
        <v>0</v>
      </c>
      <c r="F444" s="17">
        <f t="shared" ca="1" si="20"/>
        <v>0</v>
      </c>
      <c r="H444" s="17">
        <v>435</v>
      </c>
      <c r="I444" s="45">
        <v>0.67097753369788415</v>
      </c>
      <c r="J444" s="45">
        <v>1.905183285866335E-2</v>
      </c>
      <c r="K444" s="45">
        <v>0.24099999999999999</v>
      </c>
      <c r="N444" s="54"/>
    </row>
    <row r="445" spans="2:14" x14ac:dyDescent="0.2">
      <c r="B445">
        <v>436</v>
      </c>
      <c r="C445" s="52">
        <f t="shared" ca="1" si="21"/>
        <v>0.43286315026280298</v>
      </c>
      <c r="D445" s="52">
        <f ca="1">S0*EXP((μ-0.5*σ*σ)*T+σ*SQRT(T)*$C445)</f>
        <v>0.72567525595861715</v>
      </c>
      <c r="E445" s="52">
        <f t="shared" ca="1" si="19"/>
        <v>0</v>
      </c>
      <c r="F445" s="17">
        <f t="shared" ca="1" si="20"/>
        <v>0</v>
      </c>
      <c r="H445" s="17">
        <v>436</v>
      </c>
      <c r="I445" s="45">
        <v>0.67103247642373676</v>
      </c>
      <c r="J445" s="45">
        <v>1.8973092153846089E-2</v>
      </c>
      <c r="K445" s="45">
        <v>0.2442</v>
      </c>
      <c r="N445" s="54"/>
    </row>
    <row r="446" spans="2:14" x14ac:dyDescent="0.2">
      <c r="B446">
        <v>437</v>
      </c>
      <c r="C446" s="52">
        <f t="shared" ca="1" si="21"/>
        <v>1.5214972419881816</v>
      </c>
      <c r="D446" s="52">
        <f ca="1">S0*EXP((μ-0.5*σ*σ)*T+σ*SQRT(T)*$C446)</f>
        <v>0.98047433181789723</v>
      </c>
      <c r="E446" s="52">
        <f t="shared" ca="1" si="19"/>
        <v>0</v>
      </c>
      <c r="F446" s="17">
        <f t="shared" ca="1" si="20"/>
        <v>0</v>
      </c>
      <c r="H446" s="17">
        <v>437</v>
      </c>
      <c r="I446" s="45">
        <v>0.67106156542101159</v>
      </c>
      <c r="J446" s="45">
        <v>1.9013637918447217E-2</v>
      </c>
      <c r="K446" s="45">
        <v>0.24299999999999999</v>
      </c>
      <c r="N446" s="54"/>
    </row>
    <row r="447" spans="2:14" x14ac:dyDescent="0.2">
      <c r="B447">
        <v>438</v>
      </c>
      <c r="C447" s="52">
        <f t="shared" ca="1" si="21"/>
        <v>1.6157282127040888</v>
      </c>
      <c r="D447" s="52">
        <f ca="1">S0*EXP((μ-0.5*σ*σ)*T+σ*SQRT(T)*$C447)</f>
        <v>1.0063497665150714</v>
      </c>
      <c r="E447" s="52">
        <f t="shared" ca="1" si="19"/>
        <v>0</v>
      </c>
      <c r="F447" s="17">
        <f t="shared" ca="1" si="20"/>
        <v>0</v>
      </c>
      <c r="H447" s="17">
        <v>438</v>
      </c>
      <c r="I447" s="45">
        <v>0.67146818571045941</v>
      </c>
      <c r="J447" s="45">
        <v>1.9319684433749672E-2</v>
      </c>
      <c r="K447" s="45">
        <v>0.24379999999999999</v>
      </c>
      <c r="N447" s="54"/>
    </row>
    <row r="448" spans="2:14" x14ac:dyDescent="0.2">
      <c r="B448">
        <v>439</v>
      </c>
      <c r="C448" s="52">
        <f t="shared" ca="1" si="21"/>
        <v>-1.342773767790906</v>
      </c>
      <c r="D448" s="52">
        <f ca="1">S0*EXP((μ-0.5*σ*σ)*T+σ*SQRT(T)*$C448)</f>
        <v>0.44419285821570498</v>
      </c>
      <c r="E448" s="52">
        <f t="shared" ca="1" si="19"/>
        <v>9.0207141784295009E-2</v>
      </c>
      <c r="F448" s="17">
        <f t="shared" ca="1" si="20"/>
        <v>1</v>
      </c>
      <c r="H448" s="17">
        <v>439</v>
      </c>
      <c r="I448" s="45">
        <v>0.67085061291413939</v>
      </c>
      <c r="J448" s="45">
        <v>1.8906579823965645E-2</v>
      </c>
      <c r="K448" s="45">
        <v>0.2492</v>
      </c>
      <c r="N448" s="54"/>
    </row>
    <row r="449" spans="2:14" x14ac:dyDescent="0.2">
      <c r="B449">
        <v>440</v>
      </c>
      <c r="C449" s="52">
        <f t="shared" ca="1" si="21"/>
        <v>0.90884542708016414</v>
      </c>
      <c r="D449" s="52">
        <f ca="1">S0*EXP((μ-0.5*σ*σ)*T+σ*SQRT(T)*$C449)</f>
        <v>0.82772385130181703</v>
      </c>
      <c r="E449" s="52">
        <f t="shared" ca="1" si="19"/>
        <v>0</v>
      </c>
      <c r="F449" s="17">
        <f t="shared" ca="1" si="20"/>
        <v>0</v>
      </c>
      <c r="H449" s="17">
        <v>440</v>
      </c>
      <c r="I449" s="45">
        <v>0.67053550317397859</v>
      </c>
      <c r="J449" s="45">
        <v>1.871873487227033E-2</v>
      </c>
      <c r="K449" s="45">
        <v>0.24560000000000001</v>
      </c>
      <c r="N449" s="54"/>
    </row>
    <row r="450" spans="2:14" x14ac:dyDescent="0.2">
      <c r="B450">
        <v>441</v>
      </c>
      <c r="C450" s="52">
        <f t="shared" ca="1" si="21"/>
        <v>-0.32725861194896849</v>
      </c>
      <c r="D450" s="52">
        <f ca="1">S0*EXP((μ-0.5*σ*σ)*T+σ*SQRT(T)*$C450)</f>
        <v>0.58814895461657257</v>
      </c>
      <c r="E450" s="52">
        <f t="shared" ca="1" si="19"/>
        <v>0</v>
      </c>
      <c r="F450" s="17">
        <f t="shared" ca="1" si="20"/>
        <v>0</v>
      </c>
      <c r="H450" s="17">
        <v>441</v>
      </c>
      <c r="I450" s="45">
        <v>0.67101177123642741</v>
      </c>
      <c r="J450" s="45">
        <v>1.9226764733860383E-2</v>
      </c>
      <c r="K450" s="45">
        <v>0.24759999999999999</v>
      </c>
      <c r="N450" s="54"/>
    </row>
    <row r="451" spans="2:14" x14ac:dyDescent="0.2">
      <c r="B451">
        <v>442</v>
      </c>
      <c r="C451" s="52">
        <f t="shared" ca="1" si="21"/>
        <v>0.32310282154126974</v>
      </c>
      <c r="D451" s="52">
        <f ca="1">S0*EXP((μ-0.5*σ*σ)*T+σ*SQRT(T)*$C451)</f>
        <v>0.70398798229952519</v>
      </c>
      <c r="E451" s="52">
        <f t="shared" ca="1" si="19"/>
        <v>0</v>
      </c>
      <c r="F451" s="17">
        <f t="shared" ca="1" si="20"/>
        <v>0</v>
      </c>
      <c r="H451" s="17">
        <v>442</v>
      </c>
      <c r="I451" s="45">
        <v>0.67077349987421697</v>
      </c>
      <c r="J451" s="45">
        <v>1.8636678114268487E-2</v>
      </c>
      <c r="K451" s="45">
        <v>0.24740000000000001</v>
      </c>
      <c r="N451" s="54"/>
    </row>
    <row r="452" spans="2:14" x14ac:dyDescent="0.2">
      <c r="B452">
        <v>443</v>
      </c>
      <c r="C452" s="52">
        <f t="shared" ca="1" si="21"/>
        <v>0.99368413386678389</v>
      </c>
      <c r="D452" s="52">
        <f ca="1">S0*EXP((μ-0.5*σ*σ)*T+σ*SQRT(T)*$C452)</f>
        <v>0.84736519338819449</v>
      </c>
      <c r="E452" s="52">
        <f t="shared" ca="1" si="19"/>
        <v>0</v>
      </c>
      <c r="F452" s="17">
        <f t="shared" ca="1" si="20"/>
        <v>0</v>
      </c>
      <c r="H452" s="17">
        <v>443</v>
      </c>
      <c r="I452" s="45">
        <v>0.67032632803678882</v>
      </c>
      <c r="J452" s="45">
        <v>1.8489335983565409E-2</v>
      </c>
      <c r="K452" s="45">
        <v>0.24179999999999999</v>
      </c>
      <c r="N452" s="54"/>
    </row>
    <row r="453" spans="2:14" x14ac:dyDescent="0.2">
      <c r="B453">
        <v>444</v>
      </c>
      <c r="C453" s="52">
        <f t="shared" ca="1" si="21"/>
        <v>4.763626253558975E-3</v>
      </c>
      <c r="D453" s="52">
        <f ca="1">S0*EXP((μ-0.5*σ*σ)*T+σ*SQRT(T)*$C453)</f>
        <v>0.64468510074117558</v>
      </c>
      <c r="E453" s="52">
        <f t="shared" ca="1" si="19"/>
        <v>0</v>
      </c>
      <c r="F453" s="17">
        <f t="shared" ca="1" si="20"/>
        <v>0</v>
      </c>
      <c r="H453" s="17">
        <v>444</v>
      </c>
      <c r="I453" s="45">
        <v>0.67026710668023715</v>
      </c>
      <c r="J453" s="45">
        <v>1.8374848961322725E-2</v>
      </c>
      <c r="K453" s="45">
        <v>0.24099999999999999</v>
      </c>
      <c r="N453" s="54"/>
    </row>
    <row r="454" spans="2:14" x14ac:dyDescent="0.2">
      <c r="B454">
        <v>445</v>
      </c>
      <c r="C454" s="52">
        <f t="shared" ca="1" si="21"/>
        <v>-8.7113809485069416E-2</v>
      </c>
      <c r="D454" s="52">
        <f ca="1">S0*EXP((μ-0.5*σ*σ)*T+σ*SQRT(T)*$C454)</f>
        <v>0.62851762539497458</v>
      </c>
      <c r="E454" s="52">
        <f t="shared" ca="1" si="19"/>
        <v>0</v>
      </c>
      <c r="F454" s="17">
        <f t="shared" ca="1" si="20"/>
        <v>0</v>
      </c>
      <c r="H454" s="17">
        <v>445</v>
      </c>
      <c r="I454" s="45">
        <v>0.67115246892982428</v>
      </c>
      <c r="J454" s="45">
        <v>1.9333534051280261E-2</v>
      </c>
      <c r="K454" s="45">
        <v>0.24679999999999999</v>
      </c>
      <c r="N454" s="54"/>
    </row>
    <row r="455" spans="2:14" x14ac:dyDescent="0.2">
      <c r="B455">
        <v>446</v>
      </c>
      <c r="C455" s="52">
        <f t="shared" ca="1" si="21"/>
        <v>1.1408617590511216</v>
      </c>
      <c r="D455" s="52">
        <f ca="1">S0*EXP((μ-0.5*σ*σ)*T+σ*SQRT(T)*$C455)</f>
        <v>0.88255088176943797</v>
      </c>
      <c r="E455" s="52">
        <f t="shared" ca="1" si="19"/>
        <v>0</v>
      </c>
      <c r="F455" s="17">
        <f t="shared" ca="1" si="20"/>
        <v>0</v>
      </c>
      <c r="H455" s="17">
        <v>446</v>
      </c>
      <c r="I455" s="45">
        <v>0.67041017823142945</v>
      </c>
      <c r="J455" s="45">
        <v>1.8559672096279473E-2</v>
      </c>
      <c r="K455" s="45">
        <v>0.24340000000000001</v>
      </c>
      <c r="N455" s="54"/>
    </row>
    <row r="456" spans="2:14" x14ac:dyDescent="0.2">
      <c r="B456">
        <v>447</v>
      </c>
      <c r="C456" s="52">
        <f t="shared" ca="1" si="21"/>
        <v>-0.32762044069136315</v>
      </c>
      <c r="D456" s="52">
        <f ca="1">S0*EXP((μ-0.5*σ*σ)*T+σ*SQRT(T)*$C456)</f>
        <v>0.58809013017746459</v>
      </c>
      <c r="E456" s="52">
        <f t="shared" ca="1" si="19"/>
        <v>0</v>
      </c>
      <c r="F456" s="17">
        <f t="shared" ca="1" si="20"/>
        <v>0</v>
      </c>
      <c r="H456" s="17">
        <v>447</v>
      </c>
      <c r="I456" s="45">
        <v>0.67045078680442716</v>
      </c>
      <c r="J456" s="45">
        <v>1.866354943671239E-2</v>
      </c>
      <c r="K456" s="45">
        <v>0.24479999999999999</v>
      </c>
      <c r="N456" s="54"/>
    </row>
    <row r="457" spans="2:14" x14ac:dyDescent="0.2">
      <c r="B457">
        <v>448</v>
      </c>
      <c r="C457" s="52">
        <f t="shared" ca="1" si="21"/>
        <v>0.74623839596340857</v>
      </c>
      <c r="D457" s="52">
        <f ca="1">S0*EXP((μ-0.5*σ*σ)*T+σ*SQRT(T)*$C457)</f>
        <v>0.79134158626444706</v>
      </c>
      <c r="E457" s="52">
        <f t="shared" ca="1" si="19"/>
        <v>0</v>
      </c>
      <c r="F457" s="17">
        <f t="shared" ca="1" si="20"/>
        <v>0</v>
      </c>
      <c r="H457" s="17">
        <v>448</v>
      </c>
      <c r="I457" s="45">
        <v>0.6711337193310597</v>
      </c>
      <c r="J457" s="45">
        <v>1.9212561512072124E-2</v>
      </c>
      <c r="K457" s="45">
        <v>0.2442</v>
      </c>
      <c r="N457" s="54"/>
    </row>
    <row r="458" spans="2:14" x14ac:dyDescent="0.2">
      <c r="B458">
        <v>449</v>
      </c>
      <c r="C458" s="52">
        <f t="shared" ca="1" si="21"/>
        <v>0.13623908290570572</v>
      </c>
      <c r="D458" s="52">
        <f ca="1">S0*EXP((μ-0.5*σ*σ)*T+σ*SQRT(T)*$C458)</f>
        <v>0.66854658003740319</v>
      </c>
      <c r="E458" s="52">
        <f t="shared" ref="E458:E521" ca="1" si="22">MAX(0,CP*(D458-K))</f>
        <v>0</v>
      </c>
      <c r="F458" s="17">
        <f t="shared" ref="F458:F521" ca="1" si="23">(CP*(D458-K)&gt;0)*1</f>
        <v>0</v>
      </c>
      <c r="H458" s="17">
        <v>449</v>
      </c>
      <c r="I458" s="45">
        <v>0.67109976241547031</v>
      </c>
      <c r="J458" s="45">
        <v>1.9158850514255449E-2</v>
      </c>
      <c r="K458" s="45">
        <v>0.25080000000000002</v>
      </c>
      <c r="N458" s="54"/>
    </row>
    <row r="459" spans="2:14" x14ac:dyDescent="0.2">
      <c r="B459">
        <v>450</v>
      </c>
      <c r="C459" s="52">
        <f t="shared" ref="C459:C522" ca="1" si="24">_xlfn.NORM.S.INV(RAND())</f>
        <v>-0.71065432116188521</v>
      </c>
      <c r="D459" s="52">
        <f ca="1">S0*EXP((μ-0.5*σ*σ)*T+σ*SQRT(T)*$C459)</f>
        <v>0.52900463869693626</v>
      </c>
      <c r="E459" s="52">
        <f t="shared" ca="1" si="22"/>
        <v>5.3953613030637282E-3</v>
      </c>
      <c r="F459" s="17">
        <f t="shared" ca="1" si="23"/>
        <v>1</v>
      </c>
      <c r="H459" s="17">
        <v>450</v>
      </c>
      <c r="I459" s="45">
        <v>0.67118579200641693</v>
      </c>
      <c r="J459" s="45">
        <v>1.9092963267407684E-2</v>
      </c>
      <c r="K459" s="45">
        <v>0.25019999999999998</v>
      </c>
      <c r="N459" s="54"/>
    </row>
    <row r="460" spans="2:14" x14ac:dyDescent="0.2">
      <c r="B460">
        <v>451</v>
      </c>
      <c r="C460" s="52">
        <f t="shared" ca="1" si="24"/>
        <v>1.2579132537822146</v>
      </c>
      <c r="D460" s="52">
        <f ca="1">S0*EXP((μ-0.5*σ*σ)*T+σ*SQRT(T)*$C460)</f>
        <v>0.91157446189198577</v>
      </c>
      <c r="E460" s="52">
        <f t="shared" ca="1" si="22"/>
        <v>0</v>
      </c>
      <c r="F460" s="17">
        <f t="shared" ca="1" si="23"/>
        <v>0</v>
      </c>
      <c r="H460" s="17">
        <v>451</v>
      </c>
      <c r="I460" s="45">
        <v>0.671091821662957</v>
      </c>
      <c r="J460" s="45">
        <v>1.9188643556389811E-2</v>
      </c>
      <c r="K460" s="45">
        <v>0.2472</v>
      </c>
      <c r="N460" s="54"/>
    </row>
    <row r="461" spans="2:14" x14ac:dyDescent="0.2">
      <c r="B461">
        <v>452</v>
      </c>
      <c r="C461" s="52">
        <f t="shared" ca="1" si="24"/>
        <v>-0.25265283272026418</v>
      </c>
      <c r="D461" s="52">
        <f ca="1">S0*EXP((μ-0.5*σ*σ)*T+σ*SQRT(T)*$C461)</f>
        <v>0.60040456502230111</v>
      </c>
      <c r="E461" s="52">
        <f t="shared" ca="1" si="22"/>
        <v>0</v>
      </c>
      <c r="F461" s="17">
        <f t="shared" ca="1" si="23"/>
        <v>0</v>
      </c>
      <c r="H461" s="17">
        <v>452</v>
      </c>
      <c r="I461" s="45">
        <v>0.67077120630889497</v>
      </c>
      <c r="J461" s="45">
        <v>1.8934825403227207E-2</v>
      </c>
      <c r="K461" s="45">
        <v>0.24840000000000001</v>
      </c>
      <c r="N461" s="54"/>
    </row>
    <row r="462" spans="2:14" x14ac:dyDescent="0.2">
      <c r="B462">
        <v>453</v>
      </c>
      <c r="C462" s="52">
        <f t="shared" ca="1" si="24"/>
        <v>-0.39378634805188917</v>
      </c>
      <c r="D462" s="52">
        <f ca="1">S0*EXP((μ-0.5*σ*σ)*T+σ*SQRT(T)*$C462)</f>
        <v>0.5774314942706994</v>
      </c>
      <c r="E462" s="52">
        <f t="shared" ca="1" si="22"/>
        <v>0</v>
      </c>
      <c r="F462" s="17">
        <f t="shared" ca="1" si="23"/>
        <v>0</v>
      </c>
      <c r="H462" s="17">
        <v>453</v>
      </c>
      <c r="I462" s="45">
        <v>0.66900042455508757</v>
      </c>
      <c r="J462" s="45">
        <v>1.7522918562694684E-2</v>
      </c>
      <c r="K462" s="45">
        <v>0.23799999999999999</v>
      </c>
      <c r="N462" s="54"/>
    </row>
    <row r="463" spans="2:14" x14ac:dyDescent="0.2">
      <c r="B463">
        <v>454</v>
      </c>
      <c r="C463" s="52">
        <f t="shared" ca="1" si="24"/>
        <v>-1.5874736647326713</v>
      </c>
      <c r="D463" s="52">
        <f ca="1">S0*EXP((μ-0.5*σ*σ)*T+σ*SQRT(T)*$C463)</f>
        <v>0.4151400055179163</v>
      </c>
      <c r="E463" s="52">
        <f t="shared" ca="1" si="22"/>
        <v>0.11925999448208369</v>
      </c>
      <c r="F463" s="17">
        <f t="shared" ca="1" si="23"/>
        <v>1</v>
      </c>
      <c r="H463" s="17">
        <v>454</v>
      </c>
      <c r="I463" s="45">
        <v>0.67064910963817026</v>
      </c>
      <c r="J463" s="45">
        <v>1.8586127753575332E-2</v>
      </c>
      <c r="K463" s="45">
        <v>0.24179999999999999</v>
      </c>
      <c r="N463" s="54"/>
    </row>
    <row r="464" spans="2:14" x14ac:dyDescent="0.2">
      <c r="B464">
        <v>455</v>
      </c>
      <c r="C464" s="52">
        <f t="shared" ca="1" si="24"/>
        <v>0.1718172024385653</v>
      </c>
      <c r="D464" s="52">
        <f ca="1">S0*EXP((μ-0.5*σ*σ)*T+σ*SQRT(T)*$C464)</f>
        <v>0.67515414080101432</v>
      </c>
      <c r="E464" s="52">
        <f t="shared" ca="1" si="22"/>
        <v>0</v>
      </c>
      <c r="F464" s="17">
        <f t="shared" ca="1" si="23"/>
        <v>0</v>
      </c>
      <c r="H464" s="17">
        <v>455</v>
      </c>
      <c r="I464" s="45">
        <v>0.67023684223945434</v>
      </c>
      <c r="J464" s="45">
        <v>1.8218632989883524E-2</v>
      </c>
      <c r="K464" s="45">
        <v>0.24260000000000001</v>
      </c>
      <c r="N464" s="54"/>
    </row>
    <row r="465" spans="2:14" x14ac:dyDescent="0.2">
      <c r="B465">
        <v>456</v>
      </c>
      <c r="C465" s="52">
        <f t="shared" ca="1" si="24"/>
        <v>1.3820081667881572</v>
      </c>
      <c r="D465" s="52">
        <f ca="1">S0*EXP((μ-0.5*σ*σ)*T+σ*SQRT(T)*$C465)</f>
        <v>0.94338752850756236</v>
      </c>
      <c r="E465" s="52">
        <f t="shared" ca="1" si="22"/>
        <v>0</v>
      </c>
      <c r="F465" s="17">
        <f t="shared" ca="1" si="23"/>
        <v>0</v>
      </c>
      <c r="H465" s="17">
        <v>456</v>
      </c>
      <c r="I465" s="45">
        <v>0.67053597985800906</v>
      </c>
      <c r="J465" s="45">
        <v>1.8761391779646419E-2</v>
      </c>
      <c r="K465" s="45">
        <v>0.24060000000000001</v>
      </c>
      <c r="N465" s="54"/>
    </row>
    <row r="466" spans="2:14" x14ac:dyDescent="0.2">
      <c r="B466">
        <v>457</v>
      </c>
      <c r="C466" s="52">
        <f t="shared" ca="1" si="24"/>
        <v>2.2288800666123136</v>
      </c>
      <c r="D466" s="52">
        <f ca="1">S0*EXP((μ-0.5*σ*σ)*T+σ*SQRT(T)*$C466)</f>
        <v>1.1922291612200628</v>
      </c>
      <c r="E466" s="52">
        <f t="shared" ca="1" si="22"/>
        <v>0</v>
      </c>
      <c r="F466" s="17">
        <f t="shared" ca="1" si="23"/>
        <v>0</v>
      </c>
      <c r="H466" s="17">
        <v>457</v>
      </c>
      <c r="I466" s="45">
        <v>0.67097108939130845</v>
      </c>
      <c r="J466" s="45">
        <v>1.9042615189899997E-2</v>
      </c>
      <c r="K466" s="45">
        <v>0.24540000000000001</v>
      </c>
      <c r="N466" s="54"/>
    </row>
    <row r="467" spans="2:14" x14ac:dyDescent="0.2">
      <c r="B467">
        <v>458</v>
      </c>
      <c r="C467" s="52">
        <f t="shared" ca="1" si="24"/>
        <v>-1.9452025896971652</v>
      </c>
      <c r="D467" s="52">
        <f ca="1">S0*EXP((μ-0.5*σ*σ)*T+σ*SQRT(T)*$C467)</f>
        <v>0.37605218374988797</v>
      </c>
      <c r="E467" s="52">
        <f t="shared" ca="1" si="22"/>
        <v>0.15834781625011202</v>
      </c>
      <c r="F467" s="17">
        <f t="shared" ca="1" si="23"/>
        <v>1</v>
      </c>
      <c r="H467" s="17">
        <v>458</v>
      </c>
      <c r="I467" s="45">
        <v>0.67108673303060107</v>
      </c>
      <c r="J467" s="45">
        <v>1.8973900892254553E-2</v>
      </c>
      <c r="K467" s="45">
        <v>0.24179999999999999</v>
      </c>
      <c r="N467" s="54"/>
    </row>
    <row r="468" spans="2:14" x14ac:dyDescent="0.2">
      <c r="B468">
        <v>459</v>
      </c>
      <c r="C468" s="52">
        <f t="shared" ca="1" si="24"/>
        <v>-1.5934816550466067</v>
      </c>
      <c r="D468" s="52">
        <f ca="1">S0*EXP((μ-0.5*σ*σ)*T+σ*SQRT(T)*$C468)</f>
        <v>0.41445111161124826</v>
      </c>
      <c r="E468" s="52">
        <f t="shared" ca="1" si="22"/>
        <v>0.11994888838875173</v>
      </c>
      <c r="F468" s="17">
        <f t="shared" ca="1" si="23"/>
        <v>1</v>
      </c>
      <c r="H468" s="17">
        <v>459</v>
      </c>
      <c r="I468" s="45">
        <v>0.67067297810556714</v>
      </c>
      <c r="J468" s="45">
        <v>1.8932107502518645E-2</v>
      </c>
      <c r="K468" s="45">
        <v>0.249</v>
      </c>
      <c r="N468" s="54"/>
    </row>
    <row r="469" spans="2:14" x14ac:dyDescent="0.2">
      <c r="B469">
        <v>460</v>
      </c>
      <c r="C469" s="52">
        <f t="shared" ca="1" si="24"/>
        <v>-1.1267841533938532</v>
      </c>
      <c r="D469" s="52">
        <f ca="1">S0*EXP((μ-0.5*σ*σ)*T+σ*SQRT(T)*$C469)</f>
        <v>0.47152182307641499</v>
      </c>
      <c r="E469" s="52">
        <f t="shared" ca="1" si="22"/>
        <v>6.2878176923584994E-2</v>
      </c>
      <c r="F469" s="17">
        <f t="shared" ca="1" si="23"/>
        <v>1</v>
      </c>
      <c r="H469" s="17">
        <v>460</v>
      </c>
      <c r="I469" s="45">
        <v>0.67076694214569099</v>
      </c>
      <c r="J469" s="45">
        <v>1.8648296944762308E-2</v>
      </c>
      <c r="K469" s="45">
        <v>0.2384</v>
      </c>
      <c r="N469" s="54"/>
    </row>
    <row r="470" spans="2:14" x14ac:dyDescent="0.2">
      <c r="B470">
        <v>461</v>
      </c>
      <c r="C470" s="52">
        <f t="shared" ca="1" si="24"/>
        <v>-0.42791144874710713</v>
      </c>
      <c r="D470" s="52">
        <f ca="1">S0*EXP((μ-0.5*σ*σ)*T+σ*SQRT(T)*$C470)</f>
        <v>0.57201002839108517</v>
      </c>
      <c r="E470" s="52">
        <f t="shared" ca="1" si="22"/>
        <v>0</v>
      </c>
      <c r="F470" s="17">
        <f t="shared" ca="1" si="23"/>
        <v>0</v>
      </c>
      <c r="H470" s="17">
        <v>461</v>
      </c>
      <c r="I470" s="45">
        <v>0.66876688650930083</v>
      </c>
      <c r="J470" s="45">
        <v>1.7767182074074267E-2</v>
      </c>
      <c r="K470" s="45">
        <v>0.24460000000000001</v>
      </c>
      <c r="N470" s="54"/>
    </row>
    <row r="471" spans="2:14" x14ac:dyDescent="0.2">
      <c r="B471">
        <v>462</v>
      </c>
      <c r="C471" s="52">
        <f t="shared" ca="1" si="24"/>
        <v>0.13960465418303525</v>
      </c>
      <c r="D471" s="52">
        <f ca="1">S0*EXP((μ-0.5*σ*σ)*T+σ*SQRT(T)*$C471)</f>
        <v>0.6691688539940861</v>
      </c>
      <c r="E471" s="52">
        <f t="shared" ca="1" si="22"/>
        <v>0</v>
      </c>
      <c r="F471" s="17">
        <f t="shared" ca="1" si="23"/>
        <v>0</v>
      </c>
      <c r="H471" s="17">
        <v>462</v>
      </c>
      <c r="I471" s="45">
        <v>0.66995776169788235</v>
      </c>
      <c r="J471" s="45">
        <v>1.8185277425725913E-2</v>
      </c>
      <c r="K471" s="45">
        <v>0.24460000000000001</v>
      </c>
      <c r="N471" s="54"/>
    </row>
    <row r="472" spans="2:14" x14ac:dyDescent="0.2">
      <c r="B472">
        <v>463</v>
      </c>
      <c r="C472" s="52">
        <f t="shared" ca="1" si="24"/>
        <v>-1.3240219701223972</v>
      </c>
      <c r="D472" s="52">
        <f ca="1">S0*EXP((μ-0.5*σ*σ)*T+σ*SQRT(T)*$C472)</f>
        <v>0.44650135723251627</v>
      </c>
      <c r="E472" s="52">
        <f t="shared" ca="1" si="22"/>
        <v>8.7898642767483715E-2</v>
      </c>
      <c r="F472" s="17">
        <f t="shared" ca="1" si="23"/>
        <v>1</v>
      </c>
      <c r="H472" s="17">
        <v>463</v>
      </c>
      <c r="I472" s="45">
        <v>0.67021199951264676</v>
      </c>
      <c r="J472" s="45">
        <v>1.8402679610472403E-2</v>
      </c>
      <c r="K472" s="45">
        <v>0.24440000000000001</v>
      </c>
      <c r="N472" s="54"/>
    </row>
    <row r="473" spans="2:14" x14ac:dyDescent="0.2">
      <c r="B473">
        <v>464</v>
      </c>
      <c r="C473" s="52">
        <f t="shared" ca="1" si="24"/>
        <v>0.13768641504325987</v>
      </c>
      <c r="D473" s="52">
        <f ca="1">S0*EXP((μ-0.5*σ*σ)*T+σ*SQRT(T)*$C473)</f>
        <v>0.66881411212610264</v>
      </c>
      <c r="E473" s="52">
        <f t="shared" ca="1" si="22"/>
        <v>0</v>
      </c>
      <c r="F473" s="17">
        <f t="shared" ca="1" si="23"/>
        <v>0</v>
      </c>
      <c r="H473" s="17">
        <v>464</v>
      </c>
      <c r="I473" s="45">
        <v>0.67091831069474805</v>
      </c>
      <c r="J473" s="45">
        <v>1.907584528443159E-2</v>
      </c>
      <c r="K473" s="45">
        <v>0.24979999999999999</v>
      </c>
      <c r="N473" s="54"/>
    </row>
    <row r="474" spans="2:14" x14ac:dyDescent="0.2">
      <c r="B474">
        <v>465</v>
      </c>
      <c r="C474" s="52">
        <f t="shared" ca="1" si="24"/>
        <v>0.40962191222530792</v>
      </c>
      <c r="D474" s="52">
        <f ca="1">S0*EXP((μ-0.5*σ*σ)*T+σ*SQRT(T)*$C474)</f>
        <v>0.72102800259081434</v>
      </c>
      <c r="E474" s="52">
        <f t="shared" ca="1" si="22"/>
        <v>0</v>
      </c>
      <c r="F474" s="17">
        <f t="shared" ca="1" si="23"/>
        <v>0</v>
      </c>
      <c r="H474" s="17">
        <v>465</v>
      </c>
      <c r="I474" s="45">
        <v>0.67020227051406478</v>
      </c>
      <c r="J474" s="45">
        <v>1.8367294467838677E-2</v>
      </c>
      <c r="K474" s="45">
        <v>0.24379999999999999</v>
      </c>
      <c r="N474" s="54"/>
    </row>
    <row r="475" spans="2:14" x14ac:dyDescent="0.2">
      <c r="B475">
        <v>466</v>
      </c>
      <c r="C475" s="52">
        <f t="shared" ca="1" si="24"/>
        <v>1.1072271086764998</v>
      </c>
      <c r="D475" s="52">
        <f ca="1">S0*EXP((μ-0.5*σ*σ)*T+σ*SQRT(T)*$C475)</f>
        <v>0.87438320796678515</v>
      </c>
      <c r="E475" s="52">
        <f t="shared" ca="1" si="22"/>
        <v>0</v>
      </c>
      <c r="F475" s="17">
        <f t="shared" ca="1" si="23"/>
        <v>0</v>
      </c>
      <c r="H475" s="17">
        <v>466</v>
      </c>
      <c r="I475" s="45">
        <v>0.67234993536232546</v>
      </c>
      <c r="J475" s="45">
        <v>2.0271837816532745E-2</v>
      </c>
      <c r="K475" s="45">
        <v>0.252</v>
      </c>
      <c r="N475" s="54"/>
    </row>
    <row r="476" spans="2:14" x14ac:dyDescent="0.2">
      <c r="B476">
        <v>467</v>
      </c>
      <c r="C476" s="52">
        <f t="shared" ca="1" si="24"/>
        <v>-1.0874893685687841</v>
      </c>
      <c r="D476" s="52">
        <f ca="1">S0*EXP((μ-0.5*σ*σ)*T+σ*SQRT(T)*$C476)</f>
        <v>0.47667157964531981</v>
      </c>
      <c r="E476" s="52">
        <f t="shared" ca="1" si="22"/>
        <v>5.7728420354680177E-2</v>
      </c>
      <c r="F476" s="17">
        <f t="shared" ca="1" si="23"/>
        <v>1</v>
      </c>
      <c r="H476" s="17">
        <v>467</v>
      </c>
      <c r="I476" s="45">
        <v>0.67115671835341673</v>
      </c>
      <c r="J476" s="45">
        <v>1.9169886366589849E-2</v>
      </c>
      <c r="K476" s="45">
        <v>0.24479999999999999</v>
      </c>
      <c r="N476" s="54"/>
    </row>
    <row r="477" spans="2:14" x14ac:dyDescent="0.2">
      <c r="B477">
        <v>468</v>
      </c>
      <c r="C477" s="52">
        <f t="shared" ca="1" si="24"/>
        <v>1.0065675705527368</v>
      </c>
      <c r="D477" s="52">
        <f ca="1">S0*EXP((μ-0.5*σ*σ)*T+σ*SQRT(T)*$C477)</f>
        <v>0.85038838064352418</v>
      </c>
      <c r="E477" s="52">
        <f t="shared" ca="1" si="22"/>
        <v>0</v>
      </c>
      <c r="F477" s="17">
        <f t="shared" ca="1" si="23"/>
        <v>0</v>
      </c>
      <c r="H477" s="17">
        <v>468</v>
      </c>
      <c r="I477" s="45">
        <v>0.67220121359706497</v>
      </c>
      <c r="J477" s="45">
        <v>1.9881720254752946E-2</v>
      </c>
      <c r="K477" s="45">
        <v>0.24679999999999999</v>
      </c>
      <c r="N477" s="54"/>
    </row>
    <row r="478" spans="2:14" x14ac:dyDescent="0.2">
      <c r="B478">
        <v>469</v>
      </c>
      <c r="C478" s="52">
        <f t="shared" ca="1" si="24"/>
        <v>-1.4333657021171482</v>
      </c>
      <c r="D478" s="52">
        <f ca="1">S0*EXP((μ-0.5*σ*σ)*T+σ*SQRT(T)*$C478)</f>
        <v>0.43320726148193123</v>
      </c>
      <c r="E478" s="52">
        <f t="shared" ca="1" si="22"/>
        <v>0.10119273851806876</v>
      </c>
      <c r="F478" s="17">
        <f t="shared" ca="1" si="23"/>
        <v>1</v>
      </c>
      <c r="H478" s="17">
        <v>469</v>
      </c>
      <c r="I478" s="45">
        <v>0.67060373953719044</v>
      </c>
      <c r="J478" s="45">
        <v>1.8565715118592296E-2</v>
      </c>
      <c r="K478" s="45">
        <v>0.24279999999999999</v>
      </c>
      <c r="N478" s="54"/>
    </row>
    <row r="479" spans="2:14" x14ac:dyDescent="0.2">
      <c r="B479">
        <v>470</v>
      </c>
      <c r="C479" s="52">
        <f t="shared" ca="1" si="24"/>
        <v>-0.83836761093381784</v>
      </c>
      <c r="D479" s="52">
        <f ca="1">S0*EXP((μ-0.5*σ*σ)*T+σ*SQRT(T)*$C479)</f>
        <v>0.51065442784672288</v>
      </c>
      <c r="E479" s="52">
        <f t="shared" ca="1" si="22"/>
        <v>2.3745572153277106E-2</v>
      </c>
      <c r="F479" s="17">
        <f t="shared" ca="1" si="23"/>
        <v>1</v>
      </c>
      <c r="H479" s="17">
        <v>470</v>
      </c>
      <c r="I479" s="45">
        <v>0.67117659461839196</v>
      </c>
      <c r="J479" s="45">
        <v>1.9375136391479919E-2</v>
      </c>
      <c r="K479" s="45">
        <v>0.24779999999999999</v>
      </c>
      <c r="N479" s="54"/>
    </row>
    <row r="480" spans="2:14" x14ac:dyDescent="0.2">
      <c r="B480">
        <v>471</v>
      </c>
      <c r="C480" s="52">
        <f t="shared" ca="1" si="24"/>
        <v>0.2116240532915431</v>
      </c>
      <c r="D480" s="52">
        <f ca="1">S0*EXP((μ-0.5*σ*σ)*T+σ*SQRT(T)*$C480)</f>
        <v>0.68262450092556071</v>
      </c>
      <c r="E480" s="52">
        <f t="shared" ca="1" si="22"/>
        <v>0</v>
      </c>
      <c r="F480" s="17">
        <f t="shared" ca="1" si="23"/>
        <v>0</v>
      </c>
      <c r="H480" s="17">
        <v>471</v>
      </c>
      <c r="I480" s="45">
        <v>0.67172044129709552</v>
      </c>
      <c r="J480" s="45">
        <v>1.9564101735134991E-2</v>
      </c>
      <c r="K480" s="45">
        <v>0.254</v>
      </c>
      <c r="N480" s="54"/>
    </row>
    <row r="481" spans="2:14" x14ac:dyDescent="0.2">
      <c r="B481">
        <v>472</v>
      </c>
      <c r="C481" s="52">
        <f t="shared" ca="1" si="24"/>
        <v>-1.5536270143826993</v>
      </c>
      <c r="D481" s="52">
        <f ca="1">S0*EXP((μ-0.5*σ*σ)*T+σ*SQRT(T)*$C481)</f>
        <v>0.4190424136287591</v>
      </c>
      <c r="E481" s="52">
        <f t="shared" ca="1" si="22"/>
        <v>0.11535758637124088</v>
      </c>
      <c r="F481" s="17">
        <f t="shared" ca="1" si="23"/>
        <v>1</v>
      </c>
      <c r="H481" s="17">
        <v>472</v>
      </c>
      <c r="I481" s="45">
        <v>0.6711457558699655</v>
      </c>
      <c r="J481" s="45">
        <v>1.9201499428928522E-2</v>
      </c>
      <c r="K481" s="45">
        <v>0.25080000000000002</v>
      </c>
      <c r="N481" s="54"/>
    </row>
    <row r="482" spans="2:14" x14ac:dyDescent="0.2">
      <c r="B482">
        <v>473</v>
      </c>
      <c r="C482" s="52">
        <f t="shared" ca="1" si="24"/>
        <v>-0.32808227961931213</v>
      </c>
      <c r="D482" s="52">
        <f ca="1">S0*EXP((μ-0.5*σ*σ)*T+σ*SQRT(T)*$C482)</f>
        <v>0.58801505509347918</v>
      </c>
      <c r="E482" s="52">
        <f t="shared" ca="1" si="22"/>
        <v>0</v>
      </c>
      <c r="F482" s="17">
        <f t="shared" ca="1" si="23"/>
        <v>0</v>
      </c>
      <c r="H482" s="17">
        <v>473</v>
      </c>
      <c r="I482" s="45">
        <v>0.67128073998737747</v>
      </c>
      <c r="J482" s="45">
        <v>1.9301428856485482E-2</v>
      </c>
      <c r="K482" s="45">
        <v>0.24279999999999999</v>
      </c>
      <c r="N482" s="54"/>
    </row>
    <row r="483" spans="2:14" x14ac:dyDescent="0.2">
      <c r="B483">
        <v>474</v>
      </c>
      <c r="C483" s="52">
        <f t="shared" ca="1" si="24"/>
        <v>1.0097362825201623</v>
      </c>
      <c r="D483" s="52">
        <f ca="1">S0*EXP((μ-0.5*σ*σ)*T+σ*SQRT(T)*$C483)</f>
        <v>0.8511335919307258</v>
      </c>
      <c r="E483" s="52">
        <f t="shared" ca="1" si="22"/>
        <v>0</v>
      </c>
      <c r="F483" s="17">
        <f t="shared" ca="1" si="23"/>
        <v>0</v>
      </c>
      <c r="H483" s="17">
        <v>474</v>
      </c>
      <c r="I483" s="45">
        <v>0.67151111811488096</v>
      </c>
      <c r="J483" s="45">
        <v>1.9792496351028518E-2</v>
      </c>
      <c r="K483" s="45">
        <v>0.25040000000000001</v>
      </c>
      <c r="N483" s="54"/>
    </row>
    <row r="484" spans="2:14" x14ac:dyDescent="0.2">
      <c r="B484">
        <v>475</v>
      </c>
      <c r="C484" s="52">
        <f t="shared" ca="1" si="24"/>
        <v>0.10286418291434475</v>
      </c>
      <c r="D484" s="52">
        <f ca="1">S0*EXP((μ-0.5*σ*σ)*T+σ*SQRT(T)*$C484)</f>
        <v>0.66240699631110345</v>
      </c>
      <c r="E484" s="52">
        <f t="shared" ca="1" si="22"/>
        <v>0</v>
      </c>
      <c r="F484" s="17">
        <f t="shared" ca="1" si="23"/>
        <v>0</v>
      </c>
      <c r="H484" s="17">
        <v>475</v>
      </c>
      <c r="I484" s="45">
        <v>0.67187148863463853</v>
      </c>
      <c r="J484" s="45">
        <v>1.9655717479545441E-2</v>
      </c>
      <c r="K484" s="45">
        <v>0.252</v>
      </c>
      <c r="N484" s="54"/>
    </row>
    <row r="485" spans="2:14" x14ac:dyDescent="0.2">
      <c r="B485">
        <v>476</v>
      </c>
      <c r="C485" s="52">
        <f t="shared" ca="1" si="24"/>
        <v>-0.806860071688417</v>
      </c>
      <c r="D485" s="52">
        <f ca="1">S0*EXP((μ-0.5*σ*σ)*T+σ*SQRT(T)*$C485)</f>
        <v>0.51512150415766822</v>
      </c>
      <c r="E485" s="52">
        <f t="shared" ca="1" si="22"/>
        <v>1.9278495842331766E-2</v>
      </c>
      <c r="F485" s="17">
        <f t="shared" ca="1" si="23"/>
        <v>1</v>
      </c>
      <c r="H485" s="17">
        <v>476</v>
      </c>
      <c r="I485" s="45">
        <v>0.67203989351367677</v>
      </c>
      <c r="J485" s="45">
        <v>1.9679301558790708E-2</v>
      </c>
      <c r="K485" s="45">
        <v>0.25359999999999999</v>
      </c>
      <c r="N485" s="54"/>
    </row>
    <row r="486" spans="2:14" x14ac:dyDescent="0.2">
      <c r="B486">
        <v>477</v>
      </c>
      <c r="C486" s="52">
        <f t="shared" ca="1" si="24"/>
        <v>1.0816327259970866</v>
      </c>
      <c r="D486" s="52">
        <f ca="1">S0*EXP((μ-0.5*σ*σ)*T+σ*SQRT(T)*$C486)</f>
        <v>0.86821867537907571</v>
      </c>
      <c r="E486" s="52">
        <f t="shared" ca="1" si="22"/>
        <v>0</v>
      </c>
      <c r="F486" s="17">
        <f t="shared" ca="1" si="23"/>
        <v>0</v>
      </c>
      <c r="H486" s="17">
        <v>477</v>
      </c>
      <c r="I486" s="45">
        <v>0.67135280177447276</v>
      </c>
      <c r="J486" s="45">
        <v>1.9289403533484534E-2</v>
      </c>
      <c r="K486" s="45">
        <v>0.24979999999999999</v>
      </c>
      <c r="N486" s="54"/>
    </row>
    <row r="487" spans="2:14" x14ac:dyDescent="0.2">
      <c r="B487">
        <v>478</v>
      </c>
      <c r="C487" s="52">
        <f t="shared" ca="1" si="24"/>
        <v>-0.26958536924769699</v>
      </c>
      <c r="D487" s="52">
        <f ca="1">S0*EXP((μ-0.5*σ*σ)*T+σ*SQRT(T)*$C487)</f>
        <v>0.59760081607692606</v>
      </c>
      <c r="E487" s="52">
        <f t="shared" ca="1" si="22"/>
        <v>0</v>
      </c>
      <c r="F487" s="17">
        <f t="shared" ca="1" si="23"/>
        <v>0</v>
      </c>
      <c r="H487" s="17">
        <v>478</v>
      </c>
      <c r="I487" s="45">
        <v>0.67059107521571493</v>
      </c>
      <c r="J487" s="45">
        <v>1.8718889377653813E-2</v>
      </c>
      <c r="K487" s="45">
        <v>0.2424</v>
      </c>
      <c r="N487" s="54"/>
    </row>
    <row r="488" spans="2:14" x14ac:dyDescent="0.2">
      <c r="B488">
        <v>479</v>
      </c>
      <c r="C488" s="52">
        <f t="shared" ca="1" si="24"/>
        <v>1.8810267207578741</v>
      </c>
      <c r="D488" s="52">
        <f ca="1">S0*EXP((μ-0.5*σ*σ)*T+σ*SQRT(T)*$C488)</f>
        <v>1.0829262035820439</v>
      </c>
      <c r="E488" s="52">
        <f t="shared" ca="1" si="22"/>
        <v>0</v>
      </c>
      <c r="F488" s="17">
        <f t="shared" ca="1" si="23"/>
        <v>0</v>
      </c>
      <c r="H488" s="17">
        <v>479</v>
      </c>
      <c r="I488" s="45">
        <v>0.6715375046726646</v>
      </c>
      <c r="J488" s="45">
        <v>1.9474086431037353E-2</v>
      </c>
      <c r="K488" s="45">
        <v>0.25059999999999999</v>
      </c>
      <c r="N488" s="54"/>
    </row>
    <row r="489" spans="2:14" x14ac:dyDescent="0.2">
      <c r="B489">
        <v>480</v>
      </c>
      <c r="C489" s="52">
        <f t="shared" ca="1" si="24"/>
        <v>2.7953666627763722E-4</v>
      </c>
      <c r="D489" s="52">
        <f ca="1">S0*EXP((μ-0.5*σ*σ)*T+σ*SQRT(T)*$C489)</f>
        <v>0.6438864775833798</v>
      </c>
      <c r="E489" s="52">
        <f t="shared" ca="1" si="22"/>
        <v>0</v>
      </c>
      <c r="F489" s="17">
        <f t="shared" ca="1" si="23"/>
        <v>0</v>
      </c>
      <c r="H489" s="17">
        <v>480</v>
      </c>
      <c r="I489" s="45">
        <v>0.67130859260182474</v>
      </c>
      <c r="J489" s="45">
        <v>1.9451201237207401E-2</v>
      </c>
      <c r="K489" s="45">
        <v>0.25280000000000002</v>
      </c>
      <c r="N489" s="54"/>
    </row>
    <row r="490" spans="2:14" x14ac:dyDescent="0.2">
      <c r="B490">
        <v>481</v>
      </c>
      <c r="C490" s="52">
        <f t="shared" ca="1" si="24"/>
        <v>0.32310273518830179</v>
      </c>
      <c r="D490" s="52">
        <f ca="1">S0*EXP((μ-0.5*σ*σ)*T+σ*SQRT(T)*$C490)</f>
        <v>0.7039879654947917</v>
      </c>
      <c r="E490" s="52">
        <f t="shared" ca="1" si="22"/>
        <v>0</v>
      </c>
      <c r="F490" s="17">
        <f t="shared" ca="1" si="23"/>
        <v>0</v>
      </c>
      <c r="H490" s="17">
        <v>481</v>
      </c>
      <c r="I490" s="45">
        <v>0.67027387162525764</v>
      </c>
      <c r="J490" s="45">
        <v>1.8290884167627596E-2</v>
      </c>
      <c r="K490" s="45">
        <v>0.24160000000000001</v>
      </c>
      <c r="N490" s="54"/>
    </row>
    <row r="491" spans="2:14" x14ac:dyDescent="0.2">
      <c r="B491">
        <v>482</v>
      </c>
      <c r="C491" s="52">
        <f t="shared" ca="1" si="24"/>
        <v>-0.14498145191413719</v>
      </c>
      <c r="D491" s="52">
        <f ca="1">S0*EXP((μ-0.5*σ*σ)*T+σ*SQRT(T)*$C491)</f>
        <v>0.61854353253557082</v>
      </c>
      <c r="E491" s="52">
        <f t="shared" ca="1" si="22"/>
        <v>0</v>
      </c>
      <c r="F491" s="17">
        <f t="shared" ca="1" si="23"/>
        <v>0</v>
      </c>
      <c r="H491" s="17">
        <v>482</v>
      </c>
      <c r="I491" s="45">
        <v>0.66987104957578303</v>
      </c>
      <c r="J491" s="45">
        <v>1.8313602312587052E-2</v>
      </c>
      <c r="K491" s="45">
        <v>0.2394</v>
      </c>
      <c r="N491" s="54"/>
    </row>
    <row r="492" spans="2:14" x14ac:dyDescent="0.2">
      <c r="B492">
        <v>483</v>
      </c>
      <c r="C492" s="52">
        <f t="shared" ca="1" si="24"/>
        <v>0.35879606892731408</v>
      </c>
      <c r="D492" s="52">
        <f ca="1">S0*EXP((μ-0.5*σ*σ)*T+σ*SQRT(T)*$C492)</f>
        <v>0.71096845340518378</v>
      </c>
      <c r="E492" s="52">
        <f t="shared" ca="1" si="22"/>
        <v>0</v>
      </c>
      <c r="F492" s="17">
        <f t="shared" ca="1" si="23"/>
        <v>0</v>
      </c>
      <c r="H492" s="17">
        <v>483</v>
      </c>
      <c r="I492" s="45">
        <v>0.6712833780784816</v>
      </c>
      <c r="J492" s="45">
        <v>1.9417503758583577E-2</v>
      </c>
      <c r="K492" s="45">
        <v>0.25640000000000002</v>
      </c>
      <c r="N492" s="54"/>
    </row>
    <row r="493" spans="2:14" x14ac:dyDescent="0.2">
      <c r="B493">
        <v>484</v>
      </c>
      <c r="C493" s="52">
        <f t="shared" ca="1" si="24"/>
        <v>-0.22373805909262354</v>
      </c>
      <c r="D493" s="52">
        <f ca="1">S0*EXP((μ-0.5*σ*σ)*T+σ*SQRT(T)*$C493)</f>
        <v>0.60522281928717514</v>
      </c>
      <c r="E493" s="52">
        <f t="shared" ca="1" si="22"/>
        <v>0</v>
      </c>
      <c r="F493" s="17">
        <f t="shared" ca="1" si="23"/>
        <v>0</v>
      </c>
      <c r="H493" s="17">
        <v>484</v>
      </c>
      <c r="I493" s="45">
        <v>0.67145404607551085</v>
      </c>
      <c r="J493" s="45">
        <v>1.933210670169799E-2</v>
      </c>
      <c r="K493" s="45">
        <v>0.25700000000000001</v>
      </c>
      <c r="N493" s="54"/>
    </row>
    <row r="494" spans="2:14" x14ac:dyDescent="0.2">
      <c r="B494">
        <v>485</v>
      </c>
      <c r="C494" s="52">
        <f t="shared" ca="1" si="24"/>
        <v>-0.18033110947052011</v>
      </c>
      <c r="D494" s="52">
        <f ca="1">S0*EXP((μ-0.5*σ*σ)*T+σ*SQRT(T)*$C494)</f>
        <v>0.61252868791522042</v>
      </c>
      <c r="E494" s="52">
        <f t="shared" ca="1" si="22"/>
        <v>0</v>
      </c>
      <c r="F494" s="17">
        <f t="shared" ca="1" si="23"/>
        <v>0</v>
      </c>
      <c r="H494" s="17">
        <v>485</v>
      </c>
      <c r="I494" s="45">
        <v>0.67105663589486586</v>
      </c>
      <c r="J494" s="45">
        <v>1.9083285241448932E-2</v>
      </c>
      <c r="K494" s="45">
        <v>0.2462</v>
      </c>
      <c r="N494" s="54"/>
    </row>
    <row r="495" spans="2:14" x14ac:dyDescent="0.2">
      <c r="B495">
        <v>486</v>
      </c>
      <c r="C495" s="52">
        <f t="shared" ca="1" si="24"/>
        <v>-1.3184034392954085</v>
      </c>
      <c r="D495" s="52">
        <f ca="1">S0*EXP((μ-0.5*σ*σ)*T+σ*SQRT(T)*$C495)</f>
        <v>0.44719537721974173</v>
      </c>
      <c r="E495" s="52">
        <f t="shared" ca="1" si="22"/>
        <v>8.7204622780258256E-2</v>
      </c>
      <c r="F495" s="17">
        <f t="shared" ca="1" si="23"/>
        <v>1</v>
      </c>
      <c r="H495" s="17">
        <v>486</v>
      </c>
      <c r="I495" s="45">
        <v>0.67175351337915767</v>
      </c>
      <c r="J495" s="45">
        <v>1.9709846465667386E-2</v>
      </c>
      <c r="K495" s="45">
        <v>0.24979999999999999</v>
      </c>
      <c r="N495" s="54"/>
    </row>
    <row r="496" spans="2:14" x14ac:dyDescent="0.2">
      <c r="B496">
        <v>487</v>
      </c>
      <c r="C496" s="52">
        <f t="shared" ca="1" si="24"/>
        <v>0.84112343100122544</v>
      </c>
      <c r="D496" s="52">
        <f ca="1">S0*EXP((μ-0.5*σ*σ)*T+σ*SQRT(T)*$C496)</f>
        <v>0.81237253693210376</v>
      </c>
      <c r="E496" s="52">
        <f t="shared" ca="1" si="22"/>
        <v>0</v>
      </c>
      <c r="F496" s="17">
        <f t="shared" ca="1" si="23"/>
        <v>0</v>
      </c>
      <c r="H496" s="17">
        <v>487</v>
      </c>
      <c r="I496" s="45">
        <v>0.66931086137950124</v>
      </c>
      <c r="J496" s="45">
        <v>1.7649429088832692E-2</v>
      </c>
      <c r="K496" s="45">
        <v>0.23580000000000001</v>
      </c>
      <c r="N496" s="54"/>
    </row>
    <row r="497" spans="2:14" x14ac:dyDescent="0.2">
      <c r="B497">
        <v>488</v>
      </c>
      <c r="C497" s="52">
        <f t="shared" ca="1" si="24"/>
        <v>1.7512372786832552E-2</v>
      </c>
      <c r="D497" s="52">
        <f ca="1">S0*EXP((μ-0.5*σ*σ)*T+σ*SQRT(T)*$C497)</f>
        <v>0.64696108749453951</v>
      </c>
      <c r="E497" s="52">
        <f t="shared" ca="1" si="22"/>
        <v>0</v>
      </c>
      <c r="F497" s="17">
        <f t="shared" ca="1" si="23"/>
        <v>0</v>
      </c>
      <c r="H497" s="17">
        <v>488</v>
      </c>
      <c r="I497" s="45">
        <v>0.67011549425177031</v>
      </c>
      <c r="J497" s="45">
        <v>1.8190091636845346E-2</v>
      </c>
      <c r="K497" s="45">
        <v>0.245</v>
      </c>
      <c r="N497" s="54"/>
    </row>
    <row r="498" spans="2:14" x14ac:dyDescent="0.2">
      <c r="B498">
        <v>489</v>
      </c>
      <c r="C498" s="52">
        <f t="shared" ca="1" si="24"/>
        <v>0.71981426913241298</v>
      </c>
      <c r="D498" s="52">
        <f ca="1">S0*EXP((μ-0.5*σ*σ)*T+σ*SQRT(T)*$C498)</f>
        <v>0.78558230123579575</v>
      </c>
      <c r="E498" s="52">
        <f t="shared" ca="1" si="22"/>
        <v>0</v>
      </c>
      <c r="F498" s="17">
        <f t="shared" ca="1" si="23"/>
        <v>0</v>
      </c>
      <c r="H498" s="17">
        <v>489</v>
      </c>
      <c r="I498" s="45">
        <v>0.67200064435988127</v>
      </c>
      <c r="J498" s="45">
        <v>1.9974289197795595E-2</v>
      </c>
      <c r="K498" s="45">
        <v>0.251</v>
      </c>
      <c r="N498" s="54"/>
    </row>
    <row r="499" spans="2:14" x14ac:dyDescent="0.2">
      <c r="B499">
        <v>490</v>
      </c>
      <c r="C499" s="52">
        <f t="shared" ca="1" si="24"/>
        <v>1.1472374830769176</v>
      </c>
      <c r="D499" s="52">
        <f ca="1">S0*EXP((μ-0.5*σ*σ)*T+σ*SQRT(T)*$C499)</f>
        <v>0.88410771163500668</v>
      </c>
      <c r="E499" s="52">
        <f t="shared" ca="1" si="22"/>
        <v>0</v>
      </c>
      <c r="F499" s="17">
        <f t="shared" ca="1" si="23"/>
        <v>0</v>
      </c>
      <c r="H499" s="17">
        <v>490</v>
      </c>
      <c r="I499" s="45">
        <v>0.67097620964307569</v>
      </c>
      <c r="J499" s="45">
        <v>1.9196504575623538E-2</v>
      </c>
      <c r="K499" s="45">
        <v>0.25919999999999999</v>
      </c>
      <c r="N499" s="54"/>
    </row>
    <row r="500" spans="2:14" x14ac:dyDescent="0.2">
      <c r="B500">
        <v>491</v>
      </c>
      <c r="C500" s="52">
        <f t="shared" ca="1" si="24"/>
        <v>0.68438873890113494</v>
      </c>
      <c r="D500" s="52">
        <f ca="1">S0*EXP((μ-0.5*σ*σ)*T+σ*SQRT(T)*$C500)</f>
        <v>0.77792682109352862</v>
      </c>
      <c r="E500" s="52">
        <f t="shared" ca="1" si="22"/>
        <v>0</v>
      </c>
      <c r="F500" s="17">
        <f t="shared" ca="1" si="23"/>
        <v>0</v>
      </c>
      <c r="H500" s="17">
        <v>491</v>
      </c>
      <c r="I500" s="45">
        <v>0.67049667218441977</v>
      </c>
      <c r="J500" s="45">
        <v>1.8500285610829677E-2</v>
      </c>
      <c r="K500" s="45">
        <v>0.2422</v>
      </c>
      <c r="N500" s="54"/>
    </row>
    <row r="501" spans="2:14" x14ac:dyDescent="0.2">
      <c r="B501">
        <v>492</v>
      </c>
      <c r="C501" s="52">
        <f t="shared" ca="1" si="24"/>
        <v>0.53466036236503134</v>
      </c>
      <c r="D501" s="52">
        <f ca="1">S0*EXP((μ-0.5*σ*σ)*T+σ*SQRT(T)*$C501)</f>
        <v>0.74638583237012401</v>
      </c>
      <c r="E501" s="52">
        <f t="shared" ca="1" si="22"/>
        <v>0</v>
      </c>
      <c r="F501" s="17">
        <f t="shared" ca="1" si="23"/>
        <v>0</v>
      </c>
      <c r="H501" s="17">
        <v>492</v>
      </c>
      <c r="I501" s="45">
        <v>0.67145344539713714</v>
      </c>
      <c r="J501" s="45">
        <v>1.9455064575563584E-2</v>
      </c>
      <c r="K501" s="45">
        <v>0.254</v>
      </c>
      <c r="N501" s="54"/>
    </row>
    <row r="502" spans="2:14" x14ac:dyDescent="0.2">
      <c r="B502">
        <v>493</v>
      </c>
      <c r="C502" s="52">
        <f t="shared" ca="1" si="24"/>
        <v>0.18232664362610268</v>
      </c>
      <c r="D502" s="52">
        <f ca="1">S0*EXP((μ-0.5*σ*σ)*T+σ*SQRT(T)*$C502)</f>
        <v>0.67711841756783242</v>
      </c>
      <c r="E502" s="52">
        <f t="shared" ca="1" si="22"/>
        <v>0</v>
      </c>
      <c r="F502" s="17">
        <f t="shared" ca="1" si="23"/>
        <v>0</v>
      </c>
      <c r="H502" s="17">
        <v>493</v>
      </c>
      <c r="I502" s="45">
        <v>0.67070287644525084</v>
      </c>
      <c r="J502" s="45">
        <v>1.8627242922401227E-2</v>
      </c>
      <c r="K502" s="45">
        <v>0.24740000000000001</v>
      </c>
      <c r="N502" s="54"/>
    </row>
    <row r="503" spans="2:14" x14ac:dyDescent="0.2">
      <c r="B503">
        <v>494</v>
      </c>
      <c r="C503" s="52">
        <f t="shared" ca="1" si="24"/>
        <v>0.57173669285000928</v>
      </c>
      <c r="D503" s="52">
        <f ca="1">S0*EXP((μ-0.5*σ*σ)*T+σ*SQRT(T)*$C503)</f>
        <v>0.75407495379128509</v>
      </c>
      <c r="E503" s="52">
        <f t="shared" ca="1" si="22"/>
        <v>0</v>
      </c>
      <c r="F503" s="17">
        <f t="shared" ca="1" si="23"/>
        <v>0</v>
      </c>
      <c r="H503" s="17">
        <v>494</v>
      </c>
      <c r="I503" s="45">
        <v>0.67169022165887637</v>
      </c>
      <c r="J503" s="45">
        <v>1.9334538260362542E-2</v>
      </c>
      <c r="K503" s="45">
        <v>0.25140000000000001</v>
      </c>
      <c r="N503" s="54"/>
    </row>
    <row r="504" spans="2:14" x14ac:dyDescent="0.2">
      <c r="B504">
        <v>495</v>
      </c>
      <c r="C504" s="52">
        <f t="shared" ca="1" si="24"/>
        <v>-0.27523329510033828</v>
      </c>
      <c r="D504" s="52">
        <f ca="1">S0*EXP((μ-0.5*σ*σ)*T+σ*SQRT(T)*$C504)</f>
        <v>0.59666852761613398</v>
      </c>
      <c r="E504" s="52">
        <f t="shared" ca="1" si="22"/>
        <v>0</v>
      </c>
      <c r="F504" s="17">
        <f t="shared" ca="1" si="23"/>
        <v>0</v>
      </c>
      <c r="H504" s="17">
        <v>495</v>
      </c>
      <c r="I504" s="45">
        <v>0.67177964928013867</v>
      </c>
      <c r="J504" s="45">
        <v>1.9472496562313712E-2</v>
      </c>
      <c r="K504" s="45">
        <v>0.2442</v>
      </c>
      <c r="N504" s="54"/>
    </row>
    <row r="505" spans="2:14" x14ac:dyDescent="0.2">
      <c r="B505">
        <v>496</v>
      </c>
      <c r="C505" s="52">
        <f t="shared" ca="1" si="24"/>
        <v>-1.1037664957545772</v>
      </c>
      <c r="D505" s="52">
        <f ca="1">S0*EXP((μ-0.5*σ*σ)*T+σ*SQRT(T)*$C505)</f>
        <v>0.47453160097691621</v>
      </c>
      <c r="E505" s="52">
        <f t="shared" ca="1" si="22"/>
        <v>5.9868399023083774E-2</v>
      </c>
      <c r="F505" s="17">
        <f t="shared" ca="1" si="23"/>
        <v>1</v>
      </c>
      <c r="H505" s="17">
        <v>496</v>
      </c>
      <c r="I505" s="45">
        <v>0.67096687304828195</v>
      </c>
      <c r="J505" s="45">
        <v>1.9006303352819016E-2</v>
      </c>
      <c r="K505" s="45">
        <v>0.2482</v>
      </c>
      <c r="N505" s="54"/>
    </row>
    <row r="506" spans="2:14" x14ac:dyDescent="0.2">
      <c r="B506">
        <v>497</v>
      </c>
      <c r="C506" s="52">
        <f t="shared" ca="1" si="24"/>
        <v>1.217696562971319</v>
      </c>
      <c r="D506" s="52">
        <f ca="1">S0*EXP((μ-0.5*σ*σ)*T+σ*SQRT(T)*$C506)</f>
        <v>0.90149642901385774</v>
      </c>
      <c r="E506" s="52">
        <f t="shared" ca="1" si="22"/>
        <v>0</v>
      </c>
      <c r="F506" s="17">
        <f t="shared" ca="1" si="23"/>
        <v>0</v>
      </c>
      <c r="H506" s="17">
        <v>497</v>
      </c>
      <c r="I506" s="45">
        <v>0.67013109424917916</v>
      </c>
      <c r="J506" s="45">
        <v>1.8549398980674724E-2</v>
      </c>
      <c r="K506" s="45">
        <v>0.2492</v>
      </c>
      <c r="N506" s="54"/>
    </row>
    <row r="507" spans="2:14" x14ac:dyDescent="0.2">
      <c r="B507">
        <v>498</v>
      </c>
      <c r="C507" s="52">
        <f t="shared" ca="1" si="24"/>
        <v>-0.72157907826925305</v>
      </c>
      <c r="D507" s="52">
        <f ca="1">S0*EXP((μ-0.5*σ*σ)*T+σ*SQRT(T)*$C507)</f>
        <v>0.52740947674736283</v>
      </c>
      <c r="E507" s="52">
        <f t="shared" ca="1" si="22"/>
        <v>6.9905232526371597E-3</v>
      </c>
      <c r="F507" s="17">
        <f t="shared" ca="1" si="23"/>
        <v>1</v>
      </c>
      <c r="H507" s="17">
        <v>498</v>
      </c>
      <c r="I507" s="45">
        <v>0.67195291632722898</v>
      </c>
      <c r="J507" s="45">
        <v>1.944795530270561E-2</v>
      </c>
      <c r="K507" s="45">
        <v>0.24640000000000001</v>
      </c>
      <c r="N507" s="54"/>
    </row>
    <row r="508" spans="2:14" x14ac:dyDescent="0.2">
      <c r="B508">
        <v>499</v>
      </c>
      <c r="C508" s="52">
        <f t="shared" ca="1" si="24"/>
        <v>0.82691498613028569</v>
      </c>
      <c r="D508" s="52">
        <f ca="1">S0*EXP((μ-0.5*σ*σ)*T+σ*SQRT(T)*$C508)</f>
        <v>0.80918805861055232</v>
      </c>
      <c r="E508" s="52">
        <f t="shared" ca="1" si="22"/>
        <v>0</v>
      </c>
      <c r="F508" s="17">
        <f t="shared" ca="1" si="23"/>
        <v>0</v>
      </c>
      <c r="H508" s="17">
        <v>499</v>
      </c>
      <c r="I508" s="45">
        <v>0.67163222907381825</v>
      </c>
      <c r="J508" s="45">
        <v>1.9668258974263456E-2</v>
      </c>
      <c r="K508" s="45">
        <v>0.25180000000000002</v>
      </c>
      <c r="N508" s="54"/>
    </row>
    <row r="509" spans="2:14" x14ac:dyDescent="0.2">
      <c r="B509">
        <v>500</v>
      </c>
      <c r="C509" s="52">
        <f t="shared" ca="1" si="24"/>
        <v>-0.48872159340773319</v>
      </c>
      <c r="D509" s="52">
        <f ca="1">S0*EXP((μ-0.5*σ*σ)*T+σ*SQRT(T)*$C509)</f>
        <v>0.56247496266702568</v>
      </c>
      <c r="E509" s="52">
        <f t="shared" ca="1" si="22"/>
        <v>0</v>
      </c>
      <c r="F509" s="17">
        <f t="shared" ca="1" si="23"/>
        <v>0</v>
      </c>
      <c r="H509" s="17">
        <v>500</v>
      </c>
      <c r="I509" s="45">
        <v>0.67065834604222241</v>
      </c>
      <c r="J509" s="45">
        <v>1.8939899817855842E-2</v>
      </c>
      <c r="K509" s="45">
        <v>0.2482</v>
      </c>
      <c r="N509" s="54"/>
    </row>
    <row r="510" spans="2:14" x14ac:dyDescent="0.2">
      <c r="B510">
        <v>501</v>
      </c>
      <c r="C510" s="52">
        <f t="shared" ca="1" si="24"/>
        <v>-0.58511977745927879</v>
      </c>
      <c r="D510" s="52">
        <f ca="1">S0*EXP((μ-0.5*σ*σ)*T+σ*SQRT(T)*$C510)</f>
        <v>0.54768430216686537</v>
      </c>
      <c r="E510" s="52">
        <f t="shared" ca="1" si="22"/>
        <v>0</v>
      </c>
      <c r="F510" s="17">
        <f t="shared" ca="1" si="23"/>
        <v>0</v>
      </c>
      <c r="H510" s="17">
        <v>501</v>
      </c>
      <c r="I510" s="45">
        <v>0.66978120841340172</v>
      </c>
      <c r="J510" s="45">
        <v>1.8100668175963473E-2</v>
      </c>
      <c r="K510" s="45">
        <v>0.24299999999999999</v>
      </c>
      <c r="N510" s="54"/>
    </row>
    <row r="511" spans="2:14" x14ac:dyDescent="0.2">
      <c r="B511">
        <v>502</v>
      </c>
      <c r="C511" s="52">
        <f t="shared" ca="1" si="24"/>
        <v>-1.4370502601964124</v>
      </c>
      <c r="D511" s="52">
        <f ca="1">S0*EXP((μ-0.5*σ*σ)*T+σ*SQRT(T)*$C511)</f>
        <v>0.43276625080525949</v>
      </c>
      <c r="E511" s="52">
        <f t="shared" ca="1" si="22"/>
        <v>0.1016337491947405</v>
      </c>
      <c r="F511" s="17">
        <f t="shared" ca="1" si="23"/>
        <v>1</v>
      </c>
      <c r="H511" s="17">
        <v>502</v>
      </c>
      <c r="I511" s="45">
        <v>0.67201724590028622</v>
      </c>
      <c r="J511" s="45">
        <v>1.9939522783694694E-2</v>
      </c>
      <c r="K511" s="45">
        <v>0.24879999999999999</v>
      </c>
      <c r="N511" s="54"/>
    </row>
    <row r="512" spans="2:14" x14ac:dyDescent="0.2">
      <c r="B512">
        <v>503</v>
      </c>
      <c r="C512" s="52">
        <f t="shared" ca="1" si="24"/>
        <v>1.3640490901402258</v>
      </c>
      <c r="D512" s="52">
        <f ca="1">S0*EXP((μ-0.5*σ*σ)*T+σ*SQRT(T)*$C512)</f>
        <v>0.93871571303243639</v>
      </c>
      <c r="E512" s="52">
        <f t="shared" ca="1" si="22"/>
        <v>0</v>
      </c>
      <c r="F512" s="17">
        <f t="shared" ca="1" si="23"/>
        <v>0</v>
      </c>
      <c r="H512" s="17">
        <v>503</v>
      </c>
      <c r="I512" s="45">
        <v>0.67035840452666418</v>
      </c>
      <c r="J512" s="45">
        <v>1.8173432104909466E-2</v>
      </c>
      <c r="K512" s="45">
        <v>0.23580000000000001</v>
      </c>
      <c r="N512" s="54"/>
    </row>
    <row r="513" spans="2:14" x14ac:dyDescent="0.2">
      <c r="B513">
        <v>504</v>
      </c>
      <c r="C513" s="52">
        <f t="shared" ca="1" si="24"/>
        <v>-0.90542870191872593</v>
      </c>
      <c r="D513" s="52">
        <f ca="1">S0*EXP((μ-0.5*σ*σ)*T+σ*SQRT(T)*$C513)</f>
        <v>0.50127518867654064</v>
      </c>
      <c r="E513" s="52">
        <f t="shared" ca="1" si="22"/>
        <v>3.3124811323459347E-2</v>
      </c>
      <c r="F513" s="17">
        <f t="shared" ca="1" si="23"/>
        <v>1</v>
      </c>
      <c r="H513" s="17">
        <v>504</v>
      </c>
      <c r="I513" s="45">
        <v>0.67061220122277243</v>
      </c>
      <c r="J513" s="45">
        <v>1.8703290604646435E-2</v>
      </c>
      <c r="K513" s="45">
        <v>0.24940000000000001</v>
      </c>
      <c r="N513" s="54"/>
    </row>
    <row r="514" spans="2:14" x14ac:dyDescent="0.2">
      <c r="B514">
        <v>505</v>
      </c>
      <c r="C514" s="52">
        <f t="shared" ca="1" si="24"/>
        <v>6.5555336469843004E-2</v>
      </c>
      <c r="D514" s="52">
        <f ca="1">S0*EXP((μ-0.5*σ*σ)*T+σ*SQRT(T)*$C514)</f>
        <v>0.65561045036667875</v>
      </c>
      <c r="E514" s="52">
        <f t="shared" ca="1" si="22"/>
        <v>0</v>
      </c>
      <c r="F514" s="17">
        <f t="shared" ca="1" si="23"/>
        <v>0</v>
      </c>
      <c r="H514" s="17">
        <v>505</v>
      </c>
      <c r="I514" s="45">
        <v>0.6700919634081981</v>
      </c>
      <c r="J514" s="45">
        <v>1.8407280511670301E-2</v>
      </c>
      <c r="K514" s="45">
        <v>0.2422</v>
      </c>
      <c r="N514" s="54"/>
    </row>
    <row r="515" spans="2:14" x14ac:dyDescent="0.2">
      <c r="B515">
        <v>506</v>
      </c>
      <c r="C515" s="52">
        <f t="shared" ca="1" si="24"/>
        <v>1.2878169118573393</v>
      </c>
      <c r="D515" s="52">
        <f ca="1">S0*EXP((μ-0.5*σ*σ)*T+σ*SQRT(T)*$C515)</f>
        <v>0.91914108042912546</v>
      </c>
      <c r="E515" s="52">
        <f t="shared" ca="1" si="22"/>
        <v>0</v>
      </c>
      <c r="F515" s="17">
        <f t="shared" ca="1" si="23"/>
        <v>0</v>
      </c>
      <c r="H515" s="17">
        <v>506</v>
      </c>
      <c r="I515" s="45">
        <v>0.67102103310826122</v>
      </c>
      <c r="J515" s="45">
        <v>1.9363731613635349E-2</v>
      </c>
      <c r="K515" s="45">
        <v>0.25240000000000001</v>
      </c>
      <c r="N515" s="54"/>
    </row>
    <row r="516" spans="2:14" x14ac:dyDescent="0.2">
      <c r="B516">
        <v>507</v>
      </c>
      <c r="C516" s="52">
        <f t="shared" ca="1" si="24"/>
        <v>0.19558352234089346</v>
      </c>
      <c r="D516" s="52">
        <f ca="1">S0*EXP((μ-0.5*σ*σ)*T+σ*SQRT(T)*$C516)</f>
        <v>0.67960435984030543</v>
      </c>
      <c r="E516" s="52">
        <f t="shared" ca="1" si="22"/>
        <v>0</v>
      </c>
      <c r="F516" s="17">
        <f t="shared" ca="1" si="23"/>
        <v>0</v>
      </c>
      <c r="H516" s="17">
        <v>507</v>
      </c>
      <c r="I516" s="45">
        <v>0.67291643337096341</v>
      </c>
      <c r="J516" s="45">
        <v>2.0482967461738773E-2</v>
      </c>
      <c r="K516" s="45">
        <v>0.253</v>
      </c>
      <c r="N516" s="54"/>
    </row>
    <row r="517" spans="2:14" x14ac:dyDescent="0.2">
      <c r="B517">
        <v>508</v>
      </c>
      <c r="C517" s="52">
        <f t="shared" ca="1" si="24"/>
        <v>-0.15902319495163075</v>
      </c>
      <c r="D517" s="52">
        <f ca="1">S0*EXP((μ-0.5*σ*σ)*T+σ*SQRT(T)*$C517)</f>
        <v>0.61614725118095548</v>
      </c>
      <c r="E517" s="52">
        <f t="shared" ca="1" si="22"/>
        <v>0</v>
      </c>
      <c r="F517" s="17">
        <f t="shared" ca="1" si="23"/>
        <v>0</v>
      </c>
      <c r="H517" s="17">
        <v>508</v>
      </c>
      <c r="I517" s="45">
        <v>0.67114287156859187</v>
      </c>
      <c r="J517" s="45">
        <v>1.8869914462460356E-2</v>
      </c>
      <c r="K517" s="45">
        <v>0.24260000000000001</v>
      </c>
      <c r="N517" s="54"/>
    </row>
    <row r="518" spans="2:14" x14ac:dyDescent="0.2">
      <c r="B518">
        <v>509</v>
      </c>
      <c r="C518" s="52">
        <f t="shared" ca="1" si="24"/>
        <v>1.408712353683649</v>
      </c>
      <c r="D518" s="52">
        <f ca="1">S0*EXP((μ-0.5*σ*σ)*T+σ*SQRT(T)*$C518)</f>
        <v>0.95037729323510756</v>
      </c>
      <c r="E518" s="52">
        <f t="shared" ca="1" si="22"/>
        <v>0</v>
      </c>
      <c r="F518" s="17">
        <f t="shared" ca="1" si="23"/>
        <v>0</v>
      </c>
      <c r="H518" s="17">
        <v>509</v>
      </c>
      <c r="I518" s="45">
        <v>0.6701322905945013</v>
      </c>
      <c r="J518" s="45">
        <v>1.8581112762735226E-2</v>
      </c>
      <c r="K518" s="45">
        <v>0.2442</v>
      </c>
      <c r="N518" s="54"/>
    </row>
    <row r="519" spans="2:14" x14ac:dyDescent="0.2">
      <c r="B519">
        <v>510</v>
      </c>
      <c r="C519" s="52">
        <f t="shared" ca="1" si="24"/>
        <v>-0.50418676307023536</v>
      </c>
      <c r="D519" s="52">
        <f ca="1">S0*EXP((μ-0.5*σ*σ)*T+σ*SQRT(T)*$C519)</f>
        <v>0.56007547227053378</v>
      </c>
      <c r="E519" s="52">
        <f t="shared" ca="1" si="22"/>
        <v>0</v>
      </c>
      <c r="F519" s="17">
        <f t="shared" ca="1" si="23"/>
        <v>0</v>
      </c>
      <c r="H519" s="17">
        <v>510</v>
      </c>
      <c r="I519" s="45">
        <v>0.6705643097707743</v>
      </c>
      <c r="J519" s="45">
        <v>1.8870387474209091E-2</v>
      </c>
      <c r="K519" s="45">
        <v>0.25219999999999998</v>
      </c>
      <c r="N519" s="54"/>
    </row>
    <row r="520" spans="2:14" x14ac:dyDescent="0.2">
      <c r="B520">
        <v>511</v>
      </c>
      <c r="C520" s="52">
        <f t="shared" ca="1" si="24"/>
        <v>-1.2814976308021604</v>
      </c>
      <c r="D520" s="52">
        <f ca="1">S0*EXP((μ-0.5*σ*σ)*T+σ*SQRT(T)*$C520)</f>
        <v>0.4517810003908258</v>
      </c>
      <c r="E520" s="52">
        <f t="shared" ca="1" si="22"/>
        <v>8.2618999609174182E-2</v>
      </c>
      <c r="F520" s="17">
        <f t="shared" ca="1" si="23"/>
        <v>1</v>
      </c>
      <c r="H520" s="17">
        <v>511</v>
      </c>
      <c r="I520" s="45">
        <v>0.6703335653411161</v>
      </c>
      <c r="J520" s="45">
        <v>1.8535060510356444E-2</v>
      </c>
      <c r="K520" s="45">
        <v>0.246</v>
      </c>
      <c r="N520" s="54"/>
    </row>
    <row r="521" spans="2:14" x14ac:dyDescent="0.2">
      <c r="B521">
        <v>512</v>
      </c>
      <c r="C521" s="52">
        <f t="shared" ca="1" si="24"/>
        <v>-0.93145092278342334</v>
      </c>
      <c r="D521" s="52">
        <f ca="1">S0*EXP((μ-0.5*σ*σ)*T+σ*SQRT(T)*$C521)</f>
        <v>0.49768225995392162</v>
      </c>
      <c r="E521" s="52">
        <f t="shared" ca="1" si="22"/>
        <v>3.6717740046078362E-2</v>
      </c>
      <c r="F521" s="17">
        <f t="shared" ca="1" si="23"/>
        <v>1</v>
      </c>
      <c r="H521" s="17">
        <v>512</v>
      </c>
      <c r="I521" s="45">
        <v>0.66993678419411407</v>
      </c>
      <c r="J521" s="45">
        <v>1.8359026883449068E-2</v>
      </c>
      <c r="K521" s="45">
        <v>0.2414</v>
      </c>
      <c r="N521" s="54"/>
    </row>
    <row r="522" spans="2:14" x14ac:dyDescent="0.2">
      <c r="B522">
        <v>513</v>
      </c>
      <c r="C522" s="52">
        <f t="shared" ca="1" si="24"/>
        <v>-0.14933016979583941</v>
      </c>
      <c r="D522" s="52">
        <f ca="1">S0*EXP((μ-0.5*σ*σ)*T+σ*SQRT(T)*$C522)</f>
        <v>0.61780041139926434</v>
      </c>
      <c r="E522" s="52">
        <f t="shared" ref="E522:E585" ca="1" si="25">MAX(0,CP*(D522-K))</f>
        <v>0</v>
      </c>
      <c r="F522" s="17">
        <f t="shared" ref="F522:F585" ca="1" si="26">(CP*(D522-K)&gt;0)*1</f>
        <v>0</v>
      </c>
      <c r="H522" s="17">
        <v>513</v>
      </c>
      <c r="I522" s="45">
        <v>0.67166394970910082</v>
      </c>
      <c r="J522" s="45">
        <v>1.9306182200715082E-2</v>
      </c>
      <c r="K522" s="45">
        <v>0.24679999999999999</v>
      </c>
      <c r="N522" s="54"/>
    </row>
    <row r="523" spans="2:14" x14ac:dyDescent="0.2">
      <c r="B523">
        <v>514</v>
      </c>
      <c r="C523" s="52">
        <f t="shared" ref="C523:C586" ca="1" si="27">_xlfn.NORM.S.INV(RAND())</f>
        <v>-0.25508648601064782</v>
      </c>
      <c r="D523" s="52">
        <f ca="1">S0*EXP((μ-0.5*σ*σ)*T+σ*SQRT(T)*$C523)</f>
        <v>0.6000007841531434</v>
      </c>
      <c r="E523" s="52">
        <f t="shared" ca="1" si="25"/>
        <v>0</v>
      </c>
      <c r="F523" s="17">
        <f t="shared" ca="1" si="26"/>
        <v>0</v>
      </c>
      <c r="H523" s="17">
        <v>514</v>
      </c>
      <c r="I523" s="45">
        <v>0.67038782723971968</v>
      </c>
      <c r="J523" s="45">
        <v>1.8496860492280501E-2</v>
      </c>
      <c r="K523" s="45">
        <v>0.24340000000000001</v>
      </c>
      <c r="N523" s="54"/>
    </row>
    <row r="524" spans="2:14" x14ac:dyDescent="0.2">
      <c r="B524">
        <v>515</v>
      </c>
      <c r="C524" s="52">
        <f t="shared" ca="1" si="27"/>
        <v>0.27699415280833212</v>
      </c>
      <c r="D524" s="52">
        <f ca="1">S0*EXP((μ-0.5*σ*σ)*T+σ*SQRT(T)*$C524)</f>
        <v>0.69507193947642343</v>
      </c>
      <c r="E524" s="52">
        <f t="shared" ca="1" si="25"/>
        <v>0</v>
      </c>
      <c r="F524" s="17">
        <f t="shared" ca="1" si="26"/>
        <v>0</v>
      </c>
      <c r="H524" s="17">
        <v>515</v>
      </c>
      <c r="I524" s="45">
        <v>0.67115278299226022</v>
      </c>
      <c r="J524" s="45">
        <v>1.9153866413440305E-2</v>
      </c>
      <c r="K524" s="45">
        <v>0.24959999999999999</v>
      </c>
      <c r="N524" s="54"/>
    </row>
    <row r="525" spans="2:14" x14ac:dyDescent="0.2">
      <c r="B525">
        <v>516</v>
      </c>
      <c r="C525" s="52">
        <f t="shared" ca="1" si="27"/>
        <v>-0.69512825869147155</v>
      </c>
      <c r="D525" s="52">
        <f ca="1">S0*EXP((μ-0.5*σ*σ)*T+σ*SQRT(T)*$C525)</f>
        <v>0.53127995742131584</v>
      </c>
      <c r="E525" s="52">
        <f t="shared" ca="1" si="25"/>
        <v>3.1200425786841457E-3</v>
      </c>
      <c r="F525" s="17">
        <f t="shared" ca="1" si="26"/>
        <v>1</v>
      </c>
      <c r="H525" s="17">
        <v>516</v>
      </c>
      <c r="I525" s="45">
        <v>0.67089671722032063</v>
      </c>
      <c r="J525" s="45">
        <v>1.9059918747806142E-2</v>
      </c>
      <c r="K525" s="45">
        <v>0.25119999999999998</v>
      </c>
      <c r="N525" s="54"/>
    </row>
    <row r="526" spans="2:14" x14ac:dyDescent="0.2">
      <c r="B526">
        <v>517</v>
      </c>
      <c r="C526" s="52">
        <f t="shared" ca="1" si="27"/>
        <v>4.8680979187998449E-2</v>
      </c>
      <c r="D526" s="52">
        <f ca="1">S0*EXP((μ-0.5*σ*σ)*T+σ*SQRT(T)*$C526)</f>
        <v>0.65255939763401782</v>
      </c>
      <c r="E526" s="52">
        <f t="shared" ca="1" si="25"/>
        <v>0</v>
      </c>
      <c r="F526" s="17">
        <f t="shared" ca="1" si="26"/>
        <v>0</v>
      </c>
      <c r="H526" s="17">
        <v>517</v>
      </c>
      <c r="I526" s="45">
        <v>0.67275961417330399</v>
      </c>
      <c r="J526" s="45">
        <v>2.0614301462544643E-2</v>
      </c>
      <c r="K526" s="45">
        <v>0.2596</v>
      </c>
      <c r="N526" s="54"/>
    </row>
    <row r="527" spans="2:14" x14ac:dyDescent="0.2">
      <c r="B527">
        <v>518</v>
      </c>
      <c r="C527" s="52">
        <f t="shared" ca="1" si="27"/>
        <v>-1.8066465259423818</v>
      </c>
      <c r="D527" s="52">
        <f ca="1">S0*EXP((μ-0.5*σ*σ)*T+σ*SQRT(T)*$C527)</f>
        <v>0.39073489855561533</v>
      </c>
      <c r="E527" s="52">
        <f t="shared" ca="1" si="25"/>
        <v>0.14366510144438466</v>
      </c>
      <c r="F527" s="17">
        <f t="shared" ca="1" si="26"/>
        <v>1</v>
      </c>
      <c r="H527" s="17">
        <v>518</v>
      </c>
      <c r="I527" s="45">
        <v>0.66983826529338009</v>
      </c>
      <c r="J527" s="45">
        <v>1.8288094427008083E-2</v>
      </c>
      <c r="K527" s="45">
        <v>0.25059999999999999</v>
      </c>
      <c r="N527" s="54"/>
    </row>
    <row r="528" spans="2:14" x14ac:dyDescent="0.2">
      <c r="B528">
        <v>519</v>
      </c>
      <c r="C528" s="52">
        <f t="shared" ca="1" si="27"/>
        <v>0.73645815005692894</v>
      </c>
      <c r="D528" s="52">
        <f ca="1">S0*EXP((μ-0.5*σ*σ)*T+σ*SQRT(T)*$C528)</f>
        <v>0.78920502208327981</v>
      </c>
      <c r="E528" s="52">
        <f t="shared" ca="1" si="25"/>
        <v>0</v>
      </c>
      <c r="F528" s="17">
        <f t="shared" ca="1" si="26"/>
        <v>0</v>
      </c>
      <c r="H528" s="17">
        <v>519</v>
      </c>
      <c r="I528" s="45">
        <v>0.67049874541464483</v>
      </c>
      <c r="J528" s="45">
        <v>1.8925746222521075E-2</v>
      </c>
      <c r="K528" s="45">
        <v>0.24640000000000001</v>
      </c>
      <c r="N528" s="54"/>
    </row>
    <row r="529" spans="2:14" x14ac:dyDescent="0.2">
      <c r="B529">
        <v>520</v>
      </c>
      <c r="C529" s="52">
        <f t="shared" ca="1" si="27"/>
        <v>0.59987945939434362</v>
      </c>
      <c r="D529" s="52">
        <f ca="1">S0*EXP((μ-0.5*σ*σ)*T+σ*SQRT(T)*$C529)</f>
        <v>0.75996421523690894</v>
      </c>
      <c r="E529" s="52">
        <f t="shared" ca="1" si="25"/>
        <v>0</v>
      </c>
      <c r="F529" s="17">
        <f t="shared" ca="1" si="26"/>
        <v>0</v>
      </c>
      <c r="H529" s="17">
        <v>520</v>
      </c>
      <c r="I529" s="45">
        <v>0.67305370561295941</v>
      </c>
      <c r="J529" s="45">
        <v>2.0813391362956946E-2</v>
      </c>
      <c r="K529" s="45">
        <v>0.255</v>
      </c>
      <c r="N529" s="54"/>
    </row>
    <row r="530" spans="2:14" x14ac:dyDescent="0.2">
      <c r="B530">
        <v>521</v>
      </c>
      <c r="C530" s="52">
        <f t="shared" ca="1" si="27"/>
        <v>-3.5307037886350014E-2</v>
      </c>
      <c r="D530" s="52">
        <f ca="1">S0*EXP((μ-0.5*σ*σ)*T+σ*SQRT(T)*$C530)</f>
        <v>0.63758343524765515</v>
      </c>
      <c r="E530" s="52">
        <f t="shared" ca="1" si="25"/>
        <v>0</v>
      </c>
      <c r="F530" s="17">
        <f t="shared" ca="1" si="26"/>
        <v>0</v>
      </c>
      <c r="H530" s="17">
        <v>521</v>
      </c>
      <c r="I530" s="45">
        <v>0.67108880705648555</v>
      </c>
      <c r="J530" s="45">
        <v>1.9003690548223925E-2</v>
      </c>
      <c r="K530" s="45">
        <v>0.24340000000000001</v>
      </c>
      <c r="N530" s="54"/>
    </row>
    <row r="531" spans="2:14" x14ac:dyDescent="0.2">
      <c r="B531">
        <v>522</v>
      </c>
      <c r="C531" s="52">
        <f t="shared" ca="1" si="27"/>
        <v>-0.74138220498113683</v>
      </c>
      <c r="D531" s="52">
        <f ca="1">S0*EXP((μ-0.5*σ*σ)*T+σ*SQRT(T)*$C531)</f>
        <v>0.52453020506414483</v>
      </c>
      <c r="E531" s="52">
        <f t="shared" ca="1" si="25"/>
        <v>9.8697949358551584E-3</v>
      </c>
      <c r="F531" s="17">
        <f t="shared" ca="1" si="26"/>
        <v>1</v>
      </c>
      <c r="H531" s="17">
        <v>522</v>
      </c>
      <c r="I531" s="45">
        <v>0.6723348570435046</v>
      </c>
      <c r="J531" s="45">
        <v>1.9968800172695277E-2</v>
      </c>
      <c r="K531" s="45">
        <v>0.25</v>
      </c>
      <c r="N531" s="54"/>
    </row>
    <row r="532" spans="2:14" x14ac:dyDescent="0.2">
      <c r="B532">
        <v>523</v>
      </c>
      <c r="C532" s="52">
        <f t="shared" ca="1" si="27"/>
        <v>0.8783093320862787</v>
      </c>
      <c r="D532" s="52">
        <f ca="1">S0*EXP((μ-0.5*σ*σ)*T+σ*SQRT(T)*$C532)</f>
        <v>0.82076630023945629</v>
      </c>
      <c r="E532" s="52">
        <f t="shared" ca="1" si="25"/>
        <v>0</v>
      </c>
      <c r="F532" s="17">
        <f t="shared" ca="1" si="26"/>
        <v>0</v>
      </c>
      <c r="H532" s="17">
        <v>523</v>
      </c>
      <c r="I532" s="45">
        <v>0.67015577583568486</v>
      </c>
      <c r="J532" s="45">
        <v>1.8559496847939269E-2</v>
      </c>
      <c r="K532" s="45">
        <v>0.25280000000000002</v>
      </c>
      <c r="N532" s="54"/>
    </row>
    <row r="533" spans="2:14" x14ac:dyDescent="0.2">
      <c r="B533">
        <v>524</v>
      </c>
      <c r="C533" s="52">
        <f t="shared" ca="1" si="27"/>
        <v>-0.24639033926597481</v>
      </c>
      <c r="D533" s="52">
        <f ca="1">S0*EXP((μ-0.5*σ*σ)*T+σ*SQRT(T)*$C533)</f>
        <v>0.6014448596665013</v>
      </c>
      <c r="E533" s="52">
        <f t="shared" ca="1" si="25"/>
        <v>0</v>
      </c>
      <c r="F533" s="17">
        <f t="shared" ca="1" si="26"/>
        <v>0</v>
      </c>
      <c r="H533" s="17">
        <v>524</v>
      </c>
      <c r="I533" s="45">
        <v>0.67058570825205888</v>
      </c>
      <c r="J533" s="45">
        <v>1.87125327116337E-2</v>
      </c>
      <c r="K533" s="45">
        <v>0.2412</v>
      </c>
      <c r="N533" s="54"/>
    </row>
    <row r="534" spans="2:14" x14ac:dyDescent="0.2">
      <c r="B534">
        <v>525</v>
      </c>
      <c r="C534" s="52">
        <f t="shared" ca="1" si="27"/>
        <v>-1.7374556933416221</v>
      </c>
      <c r="D534" s="52">
        <f ca="1">S0*EXP((μ-0.5*σ*σ)*T+σ*SQRT(T)*$C534)</f>
        <v>0.39828025547159995</v>
      </c>
      <c r="E534" s="52">
        <f t="shared" ca="1" si="25"/>
        <v>0.13611974452840003</v>
      </c>
      <c r="F534" s="17">
        <f t="shared" ca="1" si="26"/>
        <v>1</v>
      </c>
      <c r="H534" s="17">
        <v>525</v>
      </c>
      <c r="I534" s="45">
        <v>0.6715869565469923</v>
      </c>
      <c r="J534" s="45">
        <v>1.9430250713082003E-2</v>
      </c>
      <c r="K534" s="45">
        <v>0.24979999999999999</v>
      </c>
      <c r="N534" s="54"/>
    </row>
    <row r="535" spans="2:14" x14ac:dyDescent="0.2">
      <c r="B535">
        <v>526</v>
      </c>
      <c r="C535" s="52">
        <f t="shared" ca="1" si="27"/>
        <v>8.586184390659507E-2</v>
      </c>
      <c r="D535" s="52">
        <f ca="1">S0*EXP((μ-0.5*σ*σ)*T+σ*SQRT(T)*$C535)</f>
        <v>0.65930098872726861</v>
      </c>
      <c r="E535" s="52">
        <f t="shared" ca="1" si="25"/>
        <v>0</v>
      </c>
      <c r="F535" s="17">
        <f t="shared" ca="1" si="26"/>
        <v>0</v>
      </c>
      <c r="H535" s="17">
        <v>526</v>
      </c>
      <c r="I535" s="45">
        <v>0.67037561087453346</v>
      </c>
      <c r="J535" s="45">
        <v>1.8802618660719247E-2</v>
      </c>
      <c r="K535" s="45">
        <v>0.24740000000000001</v>
      </c>
      <c r="N535" s="54"/>
    </row>
    <row r="536" spans="2:14" x14ac:dyDescent="0.2">
      <c r="B536">
        <v>527</v>
      </c>
      <c r="C536" s="52">
        <f t="shared" ca="1" si="27"/>
        <v>-0.38903244482613991</v>
      </c>
      <c r="D536" s="52">
        <f ca="1">S0*EXP((μ-0.5*σ*σ)*T+σ*SQRT(T)*$C536)</f>
        <v>0.57819081510751402</v>
      </c>
      <c r="E536" s="52">
        <f t="shared" ca="1" si="25"/>
        <v>0</v>
      </c>
      <c r="F536" s="17">
        <f t="shared" ca="1" si="26"/>
        <v>0</v>
      </c>
      <c r="H536" s="17">
        <v>527</v>
      </c>
      <c r="I536" s="45">
        <v>0.67088954285672253</v>
      </c>
      <c r="J536" s="45">
        <v>1.9380074719803846E-2</v>
      </c>
      <c r="K536" s="45">
        <v>0.2616</v>
      </c>
      <c r="N536" s="54"/>
    </row>
    <row r="537" spans="2:14" x14ac:dyDescent="0.2">
      <c r="B537">
        <v>528</v>
      </c>
      <c r="C537" s="52">
        <f t="shared" ca="1" si="27"/>
        <v>-0.30022396809706592</v>
      </c>
      <c r="D537" s="52">
        <f ca="1">S0*EXP((μ-0.5*σ*σ)*T+σ*SQRT(T)*$C537)</f>
        <v>0.59256080637302577</v>
      </c>
      <c r="E537" s="52">
        <f t="shared" ca="1" si="25"/>
        <v>0</v>
      </c>
      <c r="F537" s="17">
        <f t="shared" ca="1" si="26"/>
        <v>0</v>
      </c>
      <c r="H537" s="17">
        <v>528</v>
      </c>
      <c r="I537" s="45">
        <v>0.67024393870722598</v>
      </c>
      <c r="J537" s="45">
        <v>1.8359660463439398E-2</v>
      </c>
      <c r="K537" s="45">
        <v>0.2392</v>
      </c>
      <c r="N537" s="54"/>
    </row>
    <row r="538" spans="2:14" x14ac:dyDescent="0.2">
      <c r="B538">
        <v>529</v>
      </c>
      <c r="C538" s="52">
        <f t="shared" ca="1" si="27"/>
        <v>-0.5961586472196605</v>
      </c>
      <c r="D538" s="52">
        <f ca="1">S0*EXP((μ-0.5*σ*σ)*T+σ*SQRT(T)*$C538)</f>
        <v>0.54601558948024698</v>
      </c>
      <c r="E538" s="52">
        <f t="shared" ca="1" si="25"/>
        <v>0</v>
      </c>
      <c r="F538" s="17">
        <f t="shared" ca="1" si="26"/>
        <v>0</v>
      </c>
      <c r="H538" s="17">
        <v>529</v>
      </c>
      <c r="I538" s="45">
        <v>0.67152310178455377</v>
      </c>
      <c r="J538" s="45">
        <v>1.9573955160963465E-2</v>
      </c>
      <c r="K538" s="45">
        <v>0.25019999999999998</v>
      </c>
      <c r="N538" s="54"/>
    </row>
    <row r="539" spans="2:14" x14ac:dyDescent="0.2">
      <c r="B539">
        <v>530</v>
      </c>
      <c r="C539" s="52">
        <f t="shared" ca="1" si="27"/>
        <v>-1.03776087721029</v>
      </c>
      <c r="D539" s="52">
        <f ca="1">S0*EXP((μ-0.5*σ*σ)*T+σ*SQRT(T)*$C539)</f>
        <v>0.48326942473362922</v>
      </c>
      <c r="E539" s="52">
        <f t="shared" ca="1" si="25"/>
        <v>5.113057526637077E-2</v>
      </c>
      <c r="F539" s="17">
        <f t="shared" ca="1" si="26"/>
        <v>1</v>
      </c>
      <c r="H539" s="17">
        <v>530</v>
      </c>
      <c r="I539" s="45">
        <v>0.67006525057167521</v>
      </c>
      <c r="J539" s="45">
        <v>1.8276972867673647E-2</v>
      </c>
      <c r="K539" s="45">
        <v>0.23980000000000001</v>
      </c>
      <c r="N539" s="54"/>
    </row>
    <row r="540" spans="2:14" x14ac:dyDescent="0.2">
      <c r="B540">
        <v>531</v>
      </c>
      <c r="C540" s="52">
        <f t="shared" ca="1" si="27"/>
        <v>2.8059133436915831</v>
      </c>
      <c r="D540" s="52">
        <f ca="1">S0*EXP((μ-0.5*σ*σ)*T+σ*SQRT(T)*$C540)</f>
        <v>1.3984095545466484</v>
      </c>
      <c r="E540" s="52">
        <f t="shared" ca="1" si="25"/>
        <v>0</v>
      </c>
      <c r="F540" s="17">
        <f t="shared" ca="1" si="26"/>
        <v>0</v>
      </c>
      <c r="H540" s="17">
        <v>531</v>
      </c>
      <c r="I540" s="45">
        <v>0.67202593974865887</v>
      </c>
      <c r="J540" s="45">
        <v>1.9494710930290225E-2</v>
      </c>
      <c r="K540" s="45">
        <v>0.25559999999999999</v>
      </c>
      <c r="N540" s="54"/>
    </row>
    <row r="541" spans="2:14" x14ac:dyDescent="0.2">
      <c r="B541">
        <v>532</v>
      </c>
      <c r="C541" s="52">
        <f t="shared" ca="1" si="27"/>
        <v>0.21154248273807424</v>
      </c>
      <c r="D541" s="52">
        <f ca="1">S0*EXP((μ-0.5*σ*σ)*T+σ*SQRT(T)*$C541)</f>
        <v>0.68260910876777903</v>
      </c>
      <c r="E541" s="52">
        <f t="shared" ca="1" si="25"/>
        <v>0</v>
      </c>
      <c r="F541" s="17">
        <f t="shared" ca="1" si="26"/>
        <v>0</v>
      </c>
      <c r="H541" s="17">
        <v>532</v>
      </c>
      <c r="I541" s="45">
        <v>0.67160264172373552</v>
      </c>
      <c r="J541" s="45">
        <v>1.9375523839687669E-2</v>
      </c>
      <c r="K541" s="45">
        <v>0.25019999999999998</v>
      </c>
      <c r="N541" s="54"/>
    </row>
    <row r="542" spans="2:14" x14ac:dyDescent="0.2">
      <c r="B542">
        <v>533</v>
      </c>
      <c r="C542" s="52">
        <f t="shared" ca="1" si="27"/>
        <v>-1.5525344777710308</v>
      </c>
      <c r="D542" s="52">
        <f ca="1">S0*EXP((μ-0.5*σ*σ)*T+σ*SQRT(T)*$C542)</f>
        <v>0.41916898884753262</v>
      </c>
      <c r="E542" s="52">
        <f t="shared" ca="1" si="25"/>
        <v>0.11523101115246737</v>
      </c>
      <c r="F542" s="17">
        <f t="shared" ca="1" si="26"/>
        <v>1</v>
      </c>
      <c r="H542" s="17">
        <v>533</v>
      </c>
      <c r="I542" s="45">
        <v>0.67054532829427371</v>
      </c>
      <c r="J542" s="45">
        <v>1.8783982645968731E-2</v>
      </c>
      <c r="K542" s="45">
        <v>0.2482</v>
      </c>
      <c r="N542" s="54"/>
    </row>
    <row r="543" spans="2:14" x14ac:dyDescent="0.2">
      <c r="B543">
        <v>534</v>
      </c>
      <c r="C543" s="52">
        <f t="shared" ca="1" si="27"/>
        <v>-0.3534524553308333</v>
      </c>
      <c r="D543" s="52">
        <f ca="1">S0*EXP((μ-0.5*σ*σ)*T+σ*SQRT(T)*$C543)</f>
        <v>0.58390564911652576</v>
      </c>
      <c r="E543" s="52">
        <f t="shared" ca="1" si="25"/>
        <v>0</v>
      </c>
      <c r="F543" s="17">
        <f t="shared" ca="1" si="26"/>
        <v>0</v>
      </c>
      <c r="H543" s="17">
        <v>534</v>
      </c>
      <c r="I543" s="45">
        <v>0.67090683562809894</v>
      </c>
      <c r="J543" s="45">
        <v>1.8854732695096105E-2</v>
      </c>
      <c r="K543" s="45">
        <v>0.24279999999999999</v>
      </c>
      <c r="N543" s="54"/>
    </row>
    <row r="544" spans="2:14" x14ac:dyDescent="0.2">
      <c r="B544">
        <v>535</v>
      </c>
      <c r="C544" s="52">
        <f t="shared" ca="1" si="27"/>
        <v>1.2631872855042103</v>
      </c>
      <c r="D544" s="52">
        <f ca="1">S0*EXP((μ-0.5*σ*σ)*T+σ*SQRT(T)*$C544)</f>
        <v>0.91290442817106143</v>
      </c>
      <c r="E544" s="52">
        <f t="shared" ca="1" si="25"/>
        <v>0</v>
      </c>
      <c r="F544" s="17">
        <f t="shared" ca="1" si="26"/>
        <v>0</v>
      </c>
      <c r="H544" s="17">
        <v>535</v>
      </c>
      <c r="I544" s="45">
        <v>0.67193774015349961</v>
      </c>
      <c r="J544" s="45">
        <v>1.9781663600359836E-2</v>
      </c>
      <c r="K544" s="45">
        <v>0.25419999999999998</v>
      </c>
      <c r="N544" s="54"/>
    </row>
    <row r="545" spans="2:14" x14ac:dyDescent="0.2">
      <c r="B545">
        <v>536</v>
      </c>
      <c r="C545" s="52">
        <f t="shared" ca="1" si="27"/>
        <v>-3.8507912457894741E-2</v>
      </c>
      <c r="D545" s="52">
        <f ca="1">S0*EXP((μ-0.5*σ*σ)*T+σ*SQRT(T)*$C545)</f>
        <v>0.63701953448722515</v>
      </c>
      <c r="E545" s="52">
        <f t="shared" ca="1" si="25"/>
        <v>0</v>
      </c>
      <c r="F545" s="17">
        <f t="shared" ca="1" si="26"/>
        <v>0</v>
      </c>
      <c r="H545" s="17">
        <v>536</v>
      </c>
      <c r="I545" s="45">
        <v>0.67142293814126119</v>
      </c>
      <c r="J545" s="45">
        <v>1.9421759957968691E-2</v>
      </c>
      <c r="K545" s="45">
        <v>0.25380000000000003</v>
      </c>
      <c r="N545" s="54"/>
    </row>
    <row r="546" spans="2:14" x14ac:dyDescent="0.2">
      <c r="B546">
        <v>537</v>
      </c>
      <c r="C546" s="52">
        <f t="shared" ca="1" si="27"/>
        <v>-2.2532627446328934</v>
      </c>
      <c r="D546" s="52">
        <f ca="1">S0*EXP((μ-0.5*σ*σ)*T+σ*SQRT(T)*$C546)</f>
        <v>0.34535403440534213</v>
      </c>
      <c r="E546" s="52">
        <f t="shared" ca="1" si="25"/>
        <v>0.18904596559465786</v>
      </c>
      <c r="F546" s="17">
        <f t="shared" ca="1" si="26"/>
        <v>1</v>
      </c>
      <c r="H546" s="17">
        <v>537</v>
      </c>
      <c r="I546" s="45">
        <v>0.67113915974199212</v>
      </c>
      <c r="J546" s="45">
        <v>1.8984798072412202E-2</v>
      </c>
      <c r="K546" s="45">
        <v>0.24740000000000001</v>
      </c>
      <c r="N546" s="54"/>
    </row>
    <row r="547" spans="2:14" x14ac:dyDescent="0.2">
      <c r="B547">
        <v>538</v>
      </c>
      <c r="C547" s="52">
        <f t="shared" ca="1" si="27"/>
        <v>0.70100218043960616</v>
      </c>
      <c r="D547" s="52">
        <f ca="1">S0*EXP((μ-0.5*σ*σ)*T+σ*SQRT(T)*$C547)</f>
        <v>0.78150766264187954</v>
      </c>
      <c r="E547" s="52">
        <f t="shared" ca="1" si="25"/>
        <v>0</v>
      </c>
      <c r="F547" s="17">
        <f t="shared" ca="1" si="26"/>
        <v>0</v>
      </c>
      <c r="H547" s="17">
        <v>538</v>
      </c>
      <c r="I547" s="45">
        <v>0.67210044472797981</v>
      </c>
      <c r="J547" s="45">
        <v>1.9806409069702043E-2</v>
      </c>
      <c r="K547" s="45">
        <v>0.25719999999999998</v>
      </c>
      <c r="N547" s="54"/>
    </row>
    <row r="548" spans="2:14" x14ac:dyDescent="0.2">
      <c r="B548">
        <v>539</v>
      </c>
      <c r="C548" s="52">
        <f t="shared" ca="1" si="27"/>
        <v>-0.42434176855392136</v>
      </c>
      <c r="D548" s="52">
        <f ca="1">S0*EXP((μ-0.5*σ*σ)*T+σ*SQRT(T)*$C548)</f>
        <v>0.57257475255025414</v>
      </c>
      <c r="E548" s="52">
        <f t="shared" ca="1" si="25"/>
        <v>0</v>
      </c>
      <c r="F548" s="17">
        <f t="shared" ca="1" si="26"/>
        <v>0</v>
      </c>
      <c r="H548" s="17">
        <v>539</v>
      </c>
      <c r="I548" s="45">
        <v>0.6716481204899456</v>
      </c>
      <c r="J548" s="45">
        <v>1.9533562682348481E-2</v>
      </c>
      <c r="K548" s="45">
        <v>0.24779999999999999</v>
      </c>
      <c r="N548" s="54"/>
    </row>
    <row r="549" spans="2:14" x14ac:dyDescent="0.2">
      <c r="B549">
        <v>540</v>
      </c>
      <c r="C549" s="52">
        <f t="shared" ca="1" si="27"/>
        <v>-1.3456499989623374</v>
      </c>
      <c r="D549" s="52">
        <f ca="1">S0*EXP((μ-0.5*σ*σ)*T+σ*SQRT(T)*$C549)</f>
        <v>0.4438398280282021</v>
      </c>
      <c r="E549" s="52">
        <f t="shared" ca="1" si="25"/>
        <v>9.0560171971797887E-2</v>
      </c>
      <c r="F549" s="17">
        <f t="shared" ca="1" si="26"/>
        <v>1</v>
      </c>
      <c r="H549" s="17">
        <v>540</v>
      </c>
      <c r="I549" s="45">
        <v>0.67125784431376834</v>
      </c>
      <c r="J549" s="45">
        <v>1.9106835905784422E-2</v>
      </c>
      <c r="K549" s="45">
        <v>0.24060000000000001</v>
      </c>
      <c r="N549" s="54"/>
    </row>
    <row r="550" spans="2:14" x14ac:dyDescent="0.2">
      <c r="B550">
        <v>541</v>
      </c>
      <c r="C550" s="52">
        <f t="shared" ca="1" si="27"/>
        <v>0.31635912325051707</v>
      </c>
      <c r="D550" s="52">
        <f ca="1">S0*EXP((μ-0.5*σ*σ)*T+σ*SQRT(T)*$C550)</f>
        <v>0.70267684624182525</v>
      </c>
      <c r="E550" s="52">
        <f t="shared" ca="1" si="25"/>
        <v>0</v>
      </c>
      <c r="F550" s="17">
        <f t="shared" ca="1" si="26"/>
        <v>0</v>
      </c>
      <c r="H550" s="17">
        <v>541</v>
      </c>
      <c r="I550" s="45">
        <v>0.67114380927115613</v>
      </c>
      <c r="J550" s="45">
        <v>1.907667429109064E-2</v>
      </c>
      <c r="K550" s="45">
        <v>0.2492</v>
      </c>
      <c r="N550" s="54"/>
    </row>
    <row r="551" spans="2:14" x14ac:dyDescent="0.2">
      <c r="B551">
        <v>542</v>
      </c>
      <c r="C551" s="52">
        <f t="shared" ca="1" si="27"/>
        <v>0.92496981268012246</v>
      </c>
      <c r="D551" s="52">
        <f ca="1">S0*EXP((μ-0.5*σ*σ)*T+σ*SQRT(T)*$C551)</f>
        <v>0.83142150315075924</v>
      </c>
      <c r="E551" s="52">
        <f t="shared" ca="1" si="25"/>
        <v>0</v>
      </c>
      <c r="F551" s="17">
        <f t="shared" ca="1" si="26"/>
        <v>0</v>
      </c>
      <c r="H551" s="17">
        <v>542</v>
      </c>
      <c r="I551" s="45">
        <v>0.66994658181052014</v>
      </c>
      <c r="J551" s="45">
        <v>1.8259528005147366E-2</v>
      </c>
      <c r="K551" s="45">
        <v>0.24360000000000001</v>
      </c>
      <c r="N551" s="54"/>
    </row>
    <row r="552" spans="2:14" x14ac:dyDescent="0.2">
      <c r="B552">
        <v>543</v>
      </c>
      <c r="C552" s="52">
        <f t="shared" ca="1" si="27"/>
        <v>0.42363766301209305</v>
      </c>
      <c r="D552" s="52">
        <f ca="1">S0*EXP((μ-0.5*σ*σ)*T+σ*SQRT(T)*$C552)</f>
        <v>0.72382697881421698</v>
      </c>
      <c r="E552" s="52">
        <f t="shared" ca="1" si="25"/>
        <v>0</v>
      </c>
      <c r="F552" s="17">
        <f t="shared" ca="1" si="26"/>
        <v>0</v>
      </c>
      <c r="H552" s="17">
        <v>543</v>
      </c>
      <c r="I552" s="45">
        <v>0.67059040647792112</v>
      </c>
      <c r="J552" s="45">
        <v>1.8638026975535668E-2</v>
      </c>
      <c r="K552" s="45">
        <v>0.24340000000000001</v>
      </c>
      <c r="N552" s="54"/>
    </row>
    <row r="553" spans="2:14" x14ac:dyDescent="0.2">
      <c r="B553">
        <v>544</v>
      </c>
      <c r="C553" s="52">
        <f t="shared" ca="1" si="27"/>
        <v>0.55768721256775233</v>
      </c>
      <c r="D553" s="52">
        <f ca="1">S0*EXP((μ-0.5*σ*σ)*T+σ*SQRT(T)*$C553)</f>
        <v>0.75115200754818279</v>
      </c>
      <c r="E553" s="52">
        <f t="shared" ca="1" si="25"/>
        <v>0</v>
      </c>
      <c r="F553" s="17">
        <f t="shared" ca="1" si="26"/>
        <v>0</v>
      </c>
      <c r="H553" s="17">
        <v>544</v>
      </c>
      <c r="I553" s="45">
        <v>0.67028509051877816</v>
      </c>
      <c r="J553" s="45">
        <v>1.8457158945502258E-2</v>
      </c>
      <c r="K553" s="45">
        <v>0.23960000000000001</v>
      </c>
      <c r="N553" s="54"/>
    </row>
    <row r="554" spans="2:14" x14ac:dyDescent="0.2">
      <c r="B554">
        <v>545</v>
      </c>
      <c r="C554" s="52">
        <f t="shared" ca="1" si="27"/>
        <v>-0.19587520048656326</v>
      </c>
      <c r="D554" s="52">
        <f ca="1">S0*EXP((μ-0.5*σ*σ)*T+σ*SQRT(T)*$C554)</f>
        <v>0.60990236476395743</v>
      </c>
      <c r="E554" s="52">
        <f t="shared" ca="1" si="25"/>
        <v>0</v>
      </c>
      <c r="F554" s="17">
        <f t="shared" ca="1" si="26"/>
        <v>0</v>
      </c>
      <c r="H554" s="17">
        <v>545</v>
      </c>
      <c r="I554" s="45">
        <v>0.67059281287926009</v>
      </c>
      <c r="J554" s="45">
        <v>1.8949734044668869E-2</v>
      </c>
      <c r="K554" s="45">
        <v>0.25159999999999999</v>
      </c>
      <c r="N554" s="54"/>
    </row>
    <row r="555" spans="2:14" x14ac:dyDescent="0.2">
      <c r="B555">
        <v>546</v>
      </c>
      <c r="C555" s="52">
        <f t="shared" ca="1" si="27"/>
        <v>-1.1749074802606019</v>
      </c>
      <c r="D555" s="52">
        <f ca="1">S0*EXP((μ-0.5*σ*σ)*T+σ*SQRT(T)*$C555)</f>
        <v>0.46529077520878753</v>
      </c>
      <c r="E555" s="52">
        <f t="shared" ca="1" si="25"/>
        <v>6.9109224791212454E-2</v>
      </c>
      <c r="F555" s="17">
        <f t="shared" ca="1" si="26"/>
        <v>1</v>
      </c>
      <c r="H555" s="17">
        <v>546</v>
      </c>
      <c r="I555" s="45">
        <v>0.67063597627172589</v>
      </c>
      <c r="J555" s="45">
        <v>1.8717795979574112E-2</v>
      </c>
      <c r="K555" s="45">
        <v>0.23980000000000001</v>
      </c>
      <c r="N555" s="54"/>
    </row>
    <row r="556" spans="2:14" x14ac:dyDescent="0.2">
      <c r="B556">
        <v>547</v>
      </c>
      <c r="C556" s="52">
        <f t="shared" ca="1" si="27"/>
        <v>-0.45707431253846775</v>
      </c>
      <c r="D556" s="52">
        <f ca="1">S0*EXP((μ-0.5*σ*σ)*T+σ*SQRT(T)*$C556)</f>
        <v>0.56741727037516509</v>
      </c>
      <c r="E556" s="52">
        <f t="shared" ca="1" si="25"/>
        <v>0</v>
      </c>
      <c r="F556" s="17">
        <f t="shared" ca="1" si="26"/>
        <v>0</v>
      </c>
      <c r="H556" s="17">
        <v>547</v>
      </c>
      <c r="I556" s="45">
        <v>0.67146417126819358</v>
      </c>
      <c r="J556" s="45">
        <v>1.9412812434984716E-2</v>
      </c>
      <c r="K556" s="45">
        <v>0.24640000000000001</v>
      </c>
      <c r="N556" s="54"/>
    </row>
    <row r="557" spans="2:14" x14ac:dyDescent="0.2">
      <c r="B557">
        <v>548</v>
      </c>
      <c r="C557" s="52">
        <f t="shared" ca="1" si="27"/>
        <v>-2.5501479151694726</v>
      </c>
      <c r="D557" s="52">
        <f ca="1">S0*EXP((μ-0.5*σ*σ)*T+σ*SQRT(T)*$C557)</f>
        <v>0.3181431261573085</v>
      </c>
      <c r="E557" s="52">
        <f t="shared" ca="1" si="25"/>
        <v>0.21625687384269149</v>
      </c>
      <c r="F557" s="17">
        <f t="shared" ca="1" si="26"/>
        <v>1</v>
      </c>
      <c r="H557" s="17">
        <v>548</v>
      </c>
      <c r="I557" s="45">
        <v>0.67132825194217871</v>
      </c>
      <c r="J557" s="45">
        <v>1.9295661435092742E-2</v>
      </c>
      <c r="K557" s="45">
        <v>0.25059999999999999</v>
      </c>
      <c r="N557" s="54"/>
    </row>
    <row r="558" spans="2:14" x14ac:dyDescent="0.2">
      <c r="B558">
        <v>549</v>
      </c>
      <c r="C558" s="52">
        <f t="shared" ca="1" si="27"/>
        <v>0.63199942252717367</v>
      </c>
      <c r="D558" s="52">
        <f ca="1">S0*EXP((μ-0.5*σ*σ)*T+σ*SQRT(T)*$C558)</f>
        <v>0.76674198450582265</v>
      </c>
      <c r="E558" s="52">
        <f t="shared" ca="1" si="25"/>
        <v>0</v>
      </c>
      <c r="F558" s="17">
        <f t="shared" ca="1" si="26"/>
        <v>0</v>
      </c>
      <c r="H558" s="17">
        <v>549</v>
      </c>
      <c r="I558" s="45">
        <v>0.67100990671771232</v>
      </c>
      <c r="J558" s="45">
        <v>1.9100689953690915E-2</v>
      </c>
      <c r="K558" s="45">
        <v>0.25019999999999998</v>
      </c>
      <c r="N558" s="54"/>
    </row>
    <row r="559" spans="2:14" x14ac:dyDescent="0.2">
      <c r="B559">
        <v>550</v>
      </c>
      <c r="C559" s="52">
        <f t="shared" ca="1" si="27"/>
        <v>1.7516156093258788E-2</v>
      </c>
      <c r="D559" s="52">
        <f ca="1">S0*EXP((μ-0.5*σ*σ)*T+σ*SQRT(T)*$C559)</f>
        <v>0.64696176410549766</v>
      </c>
      <c r="E559" s="52">
        <f t="shared" ca="1" si="25"/>
        <v>0</v>
      </c>
      <c r="F559" s="17">
        <f t="shared" ca="1" si="26"/>
        <v>0</v>
      </c>
      <c r="H559" s="17">
        <v>550</v>
      </c>
      <c r="I559" s="45">
        <v>0.66987899525924799</v>
      </c>
      <c r="J559" s="45">
        <v>1.8240635397301971E-2</v>
      </c>
      <c r="K559" s="45">
        <v>0.23899999999999999</v>
      </c>
      <c r="N559" s="54"/>
    </row>
    <row r="560" spans="2:14" x14ac:dyDescent="0.2">
      <c r="B560">
        <v>551</v>
      </c>
      <c r="C560" s="52">
        <f t="shared" ca="1" si="27"/>
        <v>0.51097359625160599</v>
      </c>
      <c r="D560" s="52">
        <f ca="1">S0*EXP((μ-0.5*σ*σ)*T+σ*SQRT(T)*$C560)</f>
        <v>0.74151461823083065</v>
      </c>
      <c r="E560" s="52">
        <f t="shared" ca="1" si="25"/>
        <v>0</v>
      </c>
      <c r="F560" s="17">
        <f t="shared" ca="1" si="26"/>
        <v>0</v>
      </c>
      <c r="H560" s="17">
        <v>551</v>
      </c>
      <c r="I560" s="45">
        <v>0.67151653044844772</v>
      </c>
      <c r="J560" s="45">
        <v>1.9276063898078726E-2</v>
      </c>
      <c r="K560" s="45">
        <v>0.2482</v>
      </c>
      <c r="N560" s="54"/>
    </row>
    <row r="561" spans="2:14" x14ac:dyDescent="0.2">
      <c r="B561">
        <v>552</v>
      </c>
      <c r="C561" s="52">
        <f t="shared" ca="1" si="27"/>
        <v>-1.1624727423687828</v>
      </c>
      <c r="D561" s="52">
        <f ca="1">S0*EXP((μ-0.5*σ*σ)*T+σ*SQRT(T)*$C561)</f>
        <v>0.46689290179711729</v>
      </c>
      <c r="E561" s="52">
        <f t="shared" ca="1" si="25"/>
        <v>6.7507098202882698E-2</v>
      </c>
      <c r="F561" s="17">
        <f t="shared" ca="1" si="26"/>
        <v>1</v>
      </c>
      <c r="H561" s="17">
        <v>552</v>
      </c>
      <c r="I561" s="45">
        <v>0.67080041814212077</v>
      </c>
      <c r="J561" s="45">
        <v>1.8690723462860943E-2</v>
      </c>
      <c r="K561" s="45">
        <v>0.25</v>
      </c>
      <c r="N561" s="54"/>
    </row>
    <row r="562" spans="2:14" x14ac:dyDescent="0.2">
      <c r="B562">
        <v>553</v>
      </c>
      <c r="C562" s="52">
        <f t="shared" ca="1" si="27"/>
        <v>-8.6760266553790946E-2</v>
      </c>
      <c r="D562" s="52">
        <f ca="1">S0*EXP((μ-0.5*σ*σ)*T+σ*SQRT(T)*$C562)</f>
        <v>0.62857905390245195</v>
      </c>
      <c r="E562" s="52">
        <f t="shared" ca="1" si="25"/>
        <v>0</v>
      </c>
      <c r="F562" s="17">
        <f t="shared" ca="1" si="26"/>
        <v>0</v>
      </c>
      <c r="H562" s="17">
        <v>553</v>
      </c>
      <c r="I562" s="45">
        <v>0.66981073859262319</v>
      </c>
      <c r="J562" s="45">
        <v>1.8152393422637275E-2</v>
      </c>
      <c r="K562" s="45">
        <v>0.23899999999999999</v>
      </c>
      <c r="N562" s="54"/>
    </row>
    <row r="563" spans="2:14" x14ac:dyDescent="0.2">
      <c r="B563">
        <v>554</v>
      </c>
      <c r="C563" s="52">
        <f t="shared" ca="1" si="27"/>
        <v>-2.5699445795228271E-3</v>
      </c>
      <c r="D563" s="52">
        <f ca="1">S0*EXP((μ-0.5*σ*σ)*T+σ*SQRT(T)*$C563)</f>
        <v>0.64337949481799594</v>
      </c>
      <c r="E563" s="52">
        <f t="shared" ca="1" si="25"/>
        <v>0</v>
      </c>
      <c r="F563" s="17">
        <f t="shared" ca="1" si="26"/>
        <v>0</v>
      </c>
      <c r="H563" s="17">
        <v>554</v>
      </c>
      <c r="I563" s="45">
        <v>0.67188768841058999</v>
      </c>
      <c r="J563" s="45">
        <v>1.9668130205595158E-2</v>
      </c>
      <c r="K563" s="45">
        <v>0.251</v>
      </c>
      <c r="N563" s="54"/>
    </row>
    <row r="564" spans="2:14" x14ac:dyDescent="0.2">
      <c r="B564">
        <v>555</v>
      </c>
      <c r="C564" s="52">
        <f t="shared" ca="1" si="27"/>
        <v>1.1537083666895578</v>
      </c>
      <c r="D564" s="52">
        <f ca="1">S0*EXP((μ-0.5*σ*σ)*T+σ*SQRT(T)*$C564)</f>
        <v>0.88569058573116</v>
      </c>
      <c r="E564" s="52">
        <f t="shared" ca="1" si="25"/>
        <v>0</v>
      </c>
      <c r="F564" s="17">
        <f t="shared" ca="1" si="26"/>
        <v>0</v>
      </c>
      <c r="H564" s="17">
        <v>555</v>
      </c>
      <c r="I564" s="45">
        <v>0.66934046497858346</v>
      </c>
      <c r="J564" s="45">
        <v>1.7800153368210041E-2</v>
      </c>
      <c r="K564" s="45">
        <v>0.23300000000000001</v>
      </c>
      <c r="N564" s="54"/>
    </row>
    <row r="565" spans="2:14" x14ac:dyDescent="0.2">
      <c r="B565">
        <v>556</v>
      </c>
      <c r="C565" s="52">
        <f t="shared" ca="1" si="27"/>
        <v>-0.89592886856286136</v>
      </c>
      <c r="D565" s="52">
        <f ca="1">S0*EXP((μ-0.5*σ*σ)*T+σ*SQRT(T)*$C565)</f>
        <v>0.50259329876837899</v>
      </c>
      <c r="E565" s="52">
        <f t="shared" ca="1" si="25"/>
        <v>3.1806701231620993E-2</v>
      </c>
      <c r="F565" s="17">
        <f t="shared" ca="1" si="26"/>
        <v>1</v>
      </c>
      <c r="H565" s="17">
        <v>556</v>
      </c>
      <c r="I565" s="45">
        <v>0.67075745964006206</v>
      </c>
      <c r="J565" s="45">
        <v>1.9004499981577907E-2</v>
      </c>
      <c r="K565" s="45">
        <v>0.24560000000000001</v>
      </c>
      <c r="N565" s="54"/>
    </row>
    <row r="566" spans="2:14" x14ac:dyDescent="0.2">
      <c r="B566">
        <v>557</v>
      </c>
      <c r="C566" s="52">
        <f t="shared" ca="1" si="27"/>
        <v>-0.23666221376643079</v>
      </c>
      <c r="D566" s="52">
        <f ca="1">S0*EXP((μ-0.5*σ*σ)*T+σ*SQRT(T)*$C566)</f>
        <v>0.60306442391314463</v>
      </c>
      <c r="E566" s="52">
        <f t="shared" ca="1" si="25"/>
        <v>0</v>
      </c>
      <c r="F566" s="17">
        <f t="shared" ca="1" si="26"/>
        <v>0</v>
      </c>
      <c r="H566" s="17">
        <v>557</v>
      </c>
      <c r="I566" s="45">
        <v>0.67079549062033084</v>
      </c>
      <c r="J566" s="45">
        <v>1.8985965180454763E-2</v>
      </c>
      <c r="K566" s="45">
        <v>0.24640000000000001</v>
      </c>
      <c r="N566" s="54"/>
    </row>
    <row r="567" spans="2:14" x14ac:dyDescent="0.2">
      <c r="B567">
        <v>558</v>
      </c>
      <c r="C567" s="52">
        <f t="shared" ca="1" si="27"/>
        <v>-0.57103953549347386</v>
      </c>
      <c r="D567" s="52">
        <f ca="1">S0*EXP((μ-0.5*σ*σ)*T+σ*SQRT(T)*$C567)</f>
        <v>0.54982017305254716</v>
      </c>
      <c r="E567" s="52">
        <f t="shared" ca="1" si="25"/>
        <v>0</v>
      </c>
      <c r="F567" s="17">
        <f t="shared" ca="1" si="26"/>
        <v>0</v>
      </c>
      <c r="H567" s="17">
        <v>558</v>
      </c>
      <c r="I567" s="45">
        <v>0.67228409017590862</v>
      </c>
      <c r="J567" s="45">
        <v>2.0144855728502421E-2</v>
      </c>
      <c r="K567" s="45">
        <v>0.25740000000000002</v>
      </c>
      <c r="N567" s="54"/>
    </row>
    <row r="568" spans="2:14" x14ac:dyDescent="0.2">
      <c r="B568">
        <v>559</v>
      </c>
      <c r="C568" s="52">
        <f t="shared" ca="1" si="27"/>
        <v>-1.8643827895742195</v>
      </c>
      <c r="D568" s="52">
        <f ca="1">S0*EXP((μ-0.5*σ*σ)*T+σ*SQRT(T)*$C568)</f>
        <v>0.38454820080015673</v>
      </c>
      <c r="E568" s="52">
        <f t="shared" ca="1" si="25"/>
        <v>0.14985179919984326</v>
      </c>
      <c r="F568" s="17">
        <f t="shared" ca="1" si="26"/>
        <v>1</v>
      </c>
      <c r="H568" s="17">
        <v>559</v>
      </c>
      <c r="I568" s="45">
        <v>0.67106945621302116</v>
      </c>
      <c r="J568" s="45">
        <v>1.9280677027512776E-2</v>
      </c>
      <c r="K568" s="45">
        <v>0.25359999999999999</v>
      </c>
      <c r="N568" s="54"/>
    </row>
    <row r="569" spans="2:14" x14ac:dyDescent="0.2">
      <c r="B569">
        <v>560</v>
      </c>
      <c r="C569" s="52">
        <f t="shared" ca="1" si="27"/>
        <v>3.2362078906535934</v>
      </c>
      <c r="D569" s="52">
        <f ca="1">S0*EXP((μ-0.5*σ*σ)*T+σ*SQRT(T)*$C569)</f>
        <v>1.5750436108590937</v>
      </c>
      <c r="E569" s="52">
        <f t="shared" ca="1" si="25"/>
        <v>0</v>
      </c>
      <c r="F569" s="17">
        <f t="shared" ca="1" si="26"/>
        <v>0</v>
      </c>
      <c r="H569" s="17">
        <v>560</v>
      </c>
      <c r="I569" s="45">
        <v>0.67303587997347769</v>
      </c>
      <c r="J569" s="45">
        <v>2.0542188176751332E-2</v>
      </c>
      <c r="K569" s="45">
        <v>0.25900000000000001</v>
      </c>
      <c r="N569" s="54"/>
    </row>
    <row r="570" spans="2:14" x14ac:dyDescent="0.2">
      <c r="B570">
        <v>561</v>
      </c>
      <c r="C570" s="52">
        <f t="shared" ca="1" si="27"/>
        <v>-0.65131208045789679</v>
      </c>
      <c r="D570" s="52">
        <f ca="1">S0*EXP((μ-0.5*σ*σ)*T+σ*SQRT(T)*$C570)</f>
        <v>0.5377540638998235</v>
      </c>
      <c r="E570" s="52">
        <f t="shared" ca="1" si="25"/>
        <v>0</v>
      </c>
      <c r="F570" s="17">
        <f t="shared" ca="1" si="26"/>
        <v>0</v>
      </c>
      <c r="H570" s="17">
        <v>561</v>
      </c>
      <c r="I570" s="45">
        <v>0.67115448773879438</v>
      </c>
      <c r="J570" s="45">
        <v>1.8997199917793306E-2</v>
      </c>
      <c r="K570" s="45">
        <v>0.24660000000000001</v>
      </c>
      <c r="N570" s="54"/>
    </row>
    <row r="571" spans="2:14" x14ac:dyDescent="0.2">
      <c r="B571">
        <v>562</v>
      </c>
      <c r="C571" s="52">
        <f t="shared" ca="1" si="27"/>
        <v>-0.79011808139396833</v>
      </c>
      <c r="D571" s="52">
        <f ca="1">S0*EXP((μ-0.5*σ*σ)*T+σ*SQRT(T)*$C571)</f>
        <v>0.51751102729211862</v>
      </c>
      <c r="E571" s="52">
        <f t="shared" ca="1" si="25"/>
        <v>1.6888972707881367E-2</v>
      </c>
      <c r="F571" s="17">
        <f t="shared" ca="1" si="26"/>
        <v>1</v>
      </c>
      <c r="H571" s="17">
        <v>562</v>
      </c>
      <c r="I571" s="45">
        <v>0.67008491986175733</v>
      </c>
      <c r="J571" s="45">
        <v>1.8441683593480751E-2</v>
      </c>
      <c r="K571" s="45">
        <v>0.24859999999999999</v>
      </c>
      <c r="N571" s="54"/>
    </row>
    <row r="572" spans="2:14" x14ac:dyDescent="0.2">
      <c r="B572">
        <v>563</v>
      </c>
      <c r="C572" s="52">
        <f t="shared" ca="1" si="27"/>
        <v>0.71457348459606795</v>
      </c>
      <c r="D572" s="52">
        <f ca="1">S0*EXP((μ-0.5*σ*σ)*T+σ*SQRT(T)*$C572)</f>
        <v>0.78444503389118903</v>
      </c>
      <c r="E572" s="52">
        <f t="shared" ca="1" si="25"/>
        <v>0</v>
      </c>
      <c r="F572" s="17">
        <f t="shared" ca="1" si="26"/>
        <v>0</v>
      </c>
      <c r="H572" s="17">
        <v>563</v>
      </c>
      <c r="I572" s="45">
        <v>0.67161063012010724</v>
      </c>
      <c r="J572" s="45">
        <v>1.9539603731669814E-2</v>
      </c>
      <c r="K572" s="45">
        <v>0.24260000000000001</v>
      </c>
      <c r="N572" s="54"/>
    </row>
    <row r="573" spans="2:14" x14ac:dyDescent="0.2">
      <c r="B573">
        <v>564</v>
      </c>
      <c r="C573" s="52">
        <f t="shared" ca="1" si="27"/>
        <v>-0.21927874902748337</v>
      </c>
      <c r="D573" s="52">
        <f ca="1">S0*EXP((μ-0.5*σ*σ)*T+σ*SQRT(T)*$C573)</f>
        <v>0.60596933644078355</v>
      </c>
      <c r="E573" s="52">
        <f t="shared" ca="1" si="25"/>
        <v>0</v>
      </c>
      <c r="F573" s="17">
        <f t="shared" ca="1" si="26"/>
        <v>0</v>
      </c>
      <c r="H573" s="17">
        <v>564</v>
      </c>
      <c r="I573" s="45">
        <v>0.67108605600691784</v>
      </c>
      <c r="J573" s="45">
        <v>1.8760375383346458E-2</v>
      </c>
      <c r="K573" s="45">
        <v>0.24199999999999999</v>
      </c>
      <c r="N573" s="54"/>
    </row>
    <row r="574" spans="2:14" x14ac:dyDescent="0.2">
      <c r="B574">
        <v>565</v>
      </c>
      <c r="C574" s="52">
        <f t="shared" ca="1" si="27"/>
        <v>-1.8255478265875291</v>
      </c>
      <c r="D574" s="52">
        <f ca="1">S0*EXP((μ-0.5*σ*σ)*T+σ*SQRT(T)*$C574)</f>
        <v>0.38869865872678572</v>
      </c>
      <c r="E574" s="52">
        <f t="shared" ca="1" si="25"/>
        <v>0.14570134127321427</v>
      </c>
      <c r="F574" s="17">
        <f t="shared" ca="1" si="26"/>
        <v>1</v>
      </c>
      <c r="H574" s="17">
        <v>565</v>
      </c>
      <c r="I574" s="45">
        <v>0.67012775282671366</v>
      </c>
      <c r="J574" s="45">
        <v>1.8488657981260724E-2</v>
      </c>
      <c r="K574" s="45">
        <v>0.24660000000000001</v>
      </c>
      <c r="N574" s="54"/>
    </row>
    <row r="575" spans="2:14" x14ac:dyDescent="0.2">
      <c r="B575">
        <v>566</v>
      </c>
      <c r="C575" s="52">
        <f t="shared" ca="1" si="27"/>
        <v>-0.392345763034885</v>
      </c>
      <c r="D575" s="52">
        <f ca="1">S0*EXP((μ-0.5*σ*σ)*T+σ*SQRT(T)*$C575)</f>
        <v>0.57766148745125834</v>
      </c>
      <c r="E575" s="52">
        <f t="shared" ca="1" si="25"/>
        <v>0</v>
      </c>
      <c r="F575" s="17">
        <f t="shared" ca="1" si="26"/>
        <v>0</v>
      </c>
      <c r="H575" s="17">
        <v>566</v>
      </c>
      <c r="I575" s="45">
        <v>0.66963588749118663</v>
      </c>
      <c r="J575" s="45">
        <v>1.807014183433726E-2</v>
      </c>
      <c r="K575" s="45">
        <v>0.25080000000000002</v>
      </c>
      <c r="N575" s="54"/>
    </row>
    <row r="576" spans="2:14" x14ac:dyDescent="0.2">
      <c r="B576">
        <v>567</v>
      </c>
      <c r="C576" s="52">
        <f t="shared" ca="1" si="27"/>
        <v>-0.21510133547877794</v>
      </c>
      <c r="D576" s="52">
        <f ca="1">S0*EXP((μ-0.5*σ*σ)*T+σ*SQRT(T)*$C576)</f>
        <v>0.60666949760973354</v>
      </c>
      <c r="E576" s="52">
        <f t="shared" ca="1" si="25"/>
        <v>0</v>
      </c>
      <c r="F576" s="17">
        <f t="shared" ca="1" si="26"/>
        <v>0</v>
      </c>
      <c r="H576" s="17">
        <v>567</v>
      </c>
      <c r="I576" s="45">
        <v>0.67212767963330033</v>
      </c>
      <c r="J576" s="45">
        <v>1.9699251321759658E-2</v>
      </c>
      <c r="K576" s="45">
        <v>0.25519999999999998</v>
      </c>
      <c r="N576" s="54"/>
    </row>
    <row r="577" spans="2:14" x14ac:dyDescent="0.2">
      <c r="B577">
        <v>568</v>
      </c>
      <c r="C577" s="52">
        <f t="shared" ca="1" si="27"/>
        <v>-1.2385244956017345</v>
      </c>
      <c r="D577" s="52">
        <f ca="1">S0*EXP((μ-0.5*σ*σ)*T+σ*SQRT(T)*$C577)</f>
        <v>0.45717978756297117</v>
      </c>
      <c r="E577" s="52">
        <f t="shared" ca="1" si="25"/>
        <v>7.7220212437028812E-2</v>
      </c>
      <c r="F577" s="17">
        <f t="shared" ca="1" si="26"/>
        <v>1</v>
      </c>
      <c r="H577" s="17">
        <v>568</v>
      </c>
      <c r="I577" s="45">
        <v>0.67113470364943373</v>
      </c>
      <c r="J577" s="45">
        <v>1.9260307032911528E-2</v>
      </c>
      <c r="K577" s="45">
        <v>0.25559999999999999</v>
      </c>
      <c r="N577" s="54"/>
    </row>
    <row r="578" spans="2:14" x14ac:dyDescent="0.2">
      <c r="B578">
        <v>569</v>
      </c>
      <c r="C578" s="52">
        <f t="shared" ca="1" si="27"/>
        <v>-1.1770888222859879</v>
      </c>
      <c r="D578" s="52">
        <f ca="1">S0*EXP((μ-0.5*σ*σ)*T+σ*SQRT(T)*$C578)</f>
        <v>0.46501029230248109</v>
      </c>
      <c r="E578" s="52">
        <f t="shared" ca="1" si="25"/>
        <v>6.9389707697518899E-2</v>
      </c>
      <c r="F578" s="17">
        <f t="shared" ca="1" si="26"/>
        <v>1</v>
      </c>
      <c r="H578" s="17">
        <v>569</v>
      </c>
      <c r="I578" s="45">
        <v>0.67130572672160083</v>
      </c>
      <c r="J578" s="45">
        <v>1.8912913762619988E-2</v>
      </c>
      <c r="K578" s="45">
        <v>0.2462</v>
      </c>
      <c r="N578" s="54"/>
    </row>
    <row r="579" spans="2:14" x14ac:dyDescent="0.2">
      <c r="B579">
        <v>570</v>
      </c>
      <c r="C579" s="52">
        <f t="shared" ca="1" si="27"/>
        <v>-0.2421500490293782</v>
      </c>
      <c r="D579" s="52">
        <f ca="1">S0*EXP((μ-0.5*σ*σ)*T+σ*SQRT(T)*$C579)</f>
        <v>0.60215025905386299</v>
      </c>
      <c r="E579" s="52">
        <f t="shared" ca="1" si="25"/>
        <v>0</v>
      </c>
      <c r="F579" s="17">
        <f t="shared" ca="1" si="26"/>
        <v>0</v>
      </c>
      <c r="H579" s="17">
        <v>570</v>
      </c>
      <c r="I579" s="45">
        <v>0.66958462097593774</v>
      </c>
      <c r="J579" s="45">
        <v>1.7920015890365421E-2</v>
      </c>
      <c r="K579" s="45">
        <v>0.23100000000000001</v>
      </c>
      <c r="N579" s="54"/>
    </row>
    <row r="580" spans="2:14" x14ac:dyDescent="0.2">
      <c r="B580">
        <v>571</v>
      </c>
      <c r="C580" s="52">
        <f t="shared" ca="1" si="27"/>
        <v>0.37908558886339977</v>
      </c>
      <c r="D580" s="52">
        <f ca="1">S0*EXP((μ-0.5*σ*σ)*T+σ*SQRT(T)*$C580)</f>
        <v>0.71496725359029101</v>
      </c>
      <c r="E580" s="52">
        <f t="shared" ca="1" si="25"/>
        <v>0</v>
      </c>
      <c r="F580" s="17">
        <f t="shared" ca="1" si="26"/>
        <v>0</v>
      </c>
      <c r="H580" s="17">
        <v>571</v>
      </c>
      <c r="I580" s="45">
        <v>0.67101243979221914</v>
      </c>
      <c r="J580" s="45">
        <v>1.8955281504717352E-2</v>
      </c>
      <c r="K580" s="45">
        <v>0.24579999999999999</v>
      </c>
      <c r="N580" s="54"/>
    </row>
    <row r="581" spans="2:14" x14ac:dyDescent="0.2">
      <c r="B581">
        <v>572</v>
      </c>
      <c r="C581" s="52">
        <f t="shared" ca="1" si="27"/>
        <v>-1.6688827547187506</v>
      </c>
      <c r="D581" s="52">
        <f ca="1">S0*EXP((μ-0.5*σ*σ)*T+σ*SQRT(T)*$C581)</f>
        <v>0.40590198195751254</v>
      </c>
      <c r="E581" s="52">
        <f t="shared" ca="1" si="25"/>
        <v>0.12849801804248745</v>
      </c>
      <c r="F581" s="17">
        <f t="shared" ca="1" si="26"/>
        <v>1</v>
      </c>
      <c r="H581" s="17">
        <v>572</v>
      </c>
      <c r="I581" s="45">
        <v>0.67096815077726257</v>
      </c>
      <c r="J581" s="45">
        <v>1.8952940775198383E-2</v>
      </c>
      <c r="K581" s="45">
        <v>0.2482</v>
      </c>
      <c r="N581" s="54"/>
    </row>
    <row r="582" spans="2:14" x14ac:dyDescent="0.2">
      <c r="B582">
        <v>573</v>
      </c>
      <c r="C582" s="52">
        <f t="shared" ca="1" si="27"/>
        <v>0.55307402557201568</v>
      </c>
      <c r="D582" s="52">
        <f ca="1">S0*EXP((μ-0.5*σ*σ)*T+σ*SQRT(T)*$C582)</f>
        <v>0.75019472282350741</v>
      </c>
      <c r="E582" s="52">
        <f t="shared" ca="1" si="25"/>
        <v>0</v>
      </c>
      <c r="F582" s="17">
        <f t="shared" ca="1" si="26"/>
        <v>0</v>
      </c>
      <c r="H582" s="17">
        <v>573</v>
      </c>
      <c r="I582" s="45">
        <v>0.67022802392295666</v>
      </c>
      <c r="J582" s="45">
        <v>1.8481250212770986E-2</v>
      </c>
      <c r="K582" s="45">
        <v>0.2432</v>
      </c>
      <c r="N582" s="54"/>
    </row>
    <row r="583" spans="2:14" x14ac:dyDescent="0.2">
      <c r="B583">
        <v>574</v>
      </c>
      <c r="C583" s="52">
        <f t="shared" ca="1" si="27"/>
        <v>0.69765729476235572</v>
      </c>
      <c r="D583" s="52">
        <f ca="1">S0*EXP((μ-0.5*σ*σ)*T+σ*SQRT(T)*$C583)</f>
        <v>0.78078538715640677</v>
      </c>
      <c r="E583" s="52">
        <f t="shared" ca="1" si="25"/>
        <v>0</v>
      </c>
      <c r="F583" s="17">
        <f t="shared" ca="1" si="26"/>
        <v>0</v>
      </c>
      <c r="H583" s="17">
        <v>574</v>
      </c>
      <c r="I583" s="45">
        <v>0.67125148986967287</v>
      </c>
      <c r="J583" s="45">
        <v>1.9406355393878381E-2</v>
      </c>
      <c r="K583" s="45">
        <v>0.24979999999999999</v>
      </c>
      <c r="N583" s="54"/>
    </row>
    <row r="584" spans="2:14" x14ac:dyDescent="0.2">
      <c r="B584">
        <v>575</v>
      </c>
      <c r="C584" s="52">
        <f t="shared" ca="1" si="27"/>
        <v>1.8367780312827375</v>
      </c>
      <c r="D584" s="52">
        <f ca="1">S0*EXP((μ-0.5*σ*σ)*T+σ*SQRT(T)*$C584)</f>
        <v>1.0697607748082796</v>
      </c>
      <c r="E584" s="52">
        <f t="shared" ca="1" si="25"/>
        <v>0</v>
      </c>
      <c r="F584" s="17">
        <f t="shared" ca="1" si="26"/>
        <v>0</v>
      </c>
      <c r="H584" s="17">
        <v>575</v>
      </c>
      <c r="I584" s="45">
        <v>0.67051060482431968</v>
      </c>
      <c r="J584" s="45">
        <v>1.862432204352326E-2</v>
      </c>
      <c r="K584" s="45">
        <v>0.2422</v>
      </c>
      <c r="N584" s="54"/>
    </row>
    <row r="585" spans="2:14" x14ac:dyDescent="0.2">
      <c r="B585">
        <v>576</v>
      </c>
      <c r="C585" s="52">
        <f t="shared" ca="1" si="27"/>
        <v>1.7647164106049695</v>
      </c>
      <c r="D585" s="52">
        <f ca="1">S0*EXP((μ-0.5*σ*σ)*T+σ*SQRT(T)*$C585)</f>
        <v>1.0486617984198745</v>
      </c>
      <c r="E585" s="52">
        <f t="shared" ca="1" si="25"/>
        <v>0</v>
      </c>
      <c r="F585" s="17">
        <f t="shared" ca="1" si="26"/>
        <v>0</v>
      </c>
      <c r="H585" s="17">
        <v>576</v>
      </c>
      <c r="I585" s="45">
        <v>0.67107826219968303</v>
      </c>
      <c r="J585" s="45">
        <v>1.9174143355062342E-2</v>
      </c>
      <c r="K585" s="45">
        <v>0.24879999999999999</v>
      </c>
      <c r="N585" s="54"/>
    </row>
    <row r="586" spans="2:14" x14ac:dyDescent="0.2">
      <c r="B586">
        <v>577</v>
      </c>
      <c r="C586" s="52">
        <f t="shared" ca="1" si="27"/>
        <v>-0.38543616527021879</v>
      </c>
      <c r="D586" s="52">
        <f ca="1">S0*EXP((μ-0.5*σ*σ)*T+σ*SQRT(T)*$C586)</f>
        <v>0.57876589693552105</v>
      </c>
      <c r="E586" s="52">
        <f t="shared" ref="E586:E649" ca="1" si="28">MAX(0,CP*(D586-K))</f>
        <v>0</v>
      </c>
      <c r="F586" s="17">
        <f t="shared" ref="F586:F649" ca="1" si="29">(CP*(D586-K)&gt;0)*1</f>
        <v>0</v>
      </c>
      <c r="H586" s="17">
        <v>577</v>
      </c>
      <c r="I586" s="45">
        <v>0.67126148714940725</v>
      </c>
      <c r="J586" s="45">
        <v>1.9023715758600169E-2</v>
      </c>
      <c r="K586" s="45">
        <v>0.24160000000000001</v>
      </c>
      <c r="N586" s="54"/>
    </row>
    <row r="587" spans="2:14" x14ac:dyDescent="0.2">
      <c r="B587">
        <v>578</v>
      </c>
      <c r="C587" s="52">
        <f t="shared" ref="C587:C650" ca="1" si="30">_xlfn.NORM.S.INV(RAND())</f>
        <v>-1.1551174520257927</v>
      </c>
      <c r="D587" s="52">
        <f ca="1">S0*EXP((μ-0.5*σ*σ)*T+σ*SQRT(T)*$C587)</f>
        <v>0.46784317350984167</v>
      </c>
      <c r="E587" s="52">
        <f t="shared" ca="1" si="28"/>
        <v>6.6556826490158316E-2</v>
      </c>
      <c r="F587" s="17">
        <f t="shared" ca="1" si="29"/>
        <v>1</v>
      </c>
      <c r="H587" s="17">
        <v>578</v>
      </c>
      <c r="I587" s="45">
        <v>0.67089482860475091</v>
      </c>
      <c r="J587" s="45">
        <v>1.8996926390675E-2</v>
      </c>
      <c r="K587" s="45">
        <v>0.24379999999999999</v>
      </c>
      <c r="N587" s="54"/>
    </row>
    <row r="588" spans="2:14" x14ac:dyDescent="0.2">
      <c r="B588">
        <v>579</v>
      </c>
      <c r="C588" s="52">
        <f t="shared" ca="1" si="30"/>
        <v>0.61840709518523129</v>
      </c>
      <c r="D588" s="52">
        <f ca="1">S0*EXP((μ-0.5*σ*σ)*T+σ*SQRT(T)*$C588)</f>
        <v>0.76386646348778564</v>
      </c>
      <c r="E588" s="52">
        <f t="shared" ca="1" si="28"/>
        <v>0</v>
      </c>
      <c r="F588" s="17">
        <f t="shared" ca="1" si="29"/>
        <v>0</v>
      </c>
      <c r="H588" s="17">
        <v>579</v>
      </c>
      <c r="I588" s="45">
        <v>0.67100446453847129</v>
      </c>
      <c r="J588" s="45">
        <v>1.8973289438868689E-2</v>
      </c>
      <c r="K588" s="45">
        <v>0.2462</v>
      </c>
      <c r="N588" s="54"/>
    </row>
    <row r="589" spans="2:14" x14ac:dyDescent="0.2">
      <c r="B589">
        <v>580</v>
      </c>
      <c r="C589" s="52">
        <f t="shared" ca="1" si="30"/>
        <v>0.45214367220040358</v>
      </c>
      <c r="D589" s="52">
        <f ca="1">S0*EXP((μ-0.5*σ*σ)*T+σ*SQRT(T)*$C589)</f>
        <v>0.72955325842033691</v>
      </c>
      <c r="E589" s="52">
        <f t="shared" ca="1" si="28"/>
        <v>0</v>
      </c>
      <c r="F589" s="17">
        <f t="shared" ca="1" si="29"/>
        <v>0</v>
      </c>
      <c r="H589" s="17">
        <v>580</v>
      </c>
      <c r="I589" s="45">
        <v>0.67086506849052407</v>
      </c>
      <c r="J589" s="45">
        <v>1.8907274676994042E-2</v>
      </c>
      <c r="K589" s="45">
        <v>0.25340000000000001</v>
      </c>
      <c r="N589" s="54"/>
    </row>
    <row r="590" spans="2:14" x14ac:dyDescent="0.2">
      <c r="B590">
        <v>581</v>
      </c>
      <c r="C590" s="52">
        <f t="shared" ca="1" si="30"/>
        <v>-1.31286594646679</v>
      </c>
      <c r="D590" s="52">
        <f ca="1">S0*EXP((μ-0.5*σ*σ)*T+σ*SQRT(T)*$C590)</f>
        <v>0.44788044263494237</v>
      </c>
      <c r="E590" s="52">
        <f t="shared" ca="1" si="28"/>
        <v>8.651955736505762E-2</v>
      </c>
      <c r="F590" s="17">
        <f t="shared" ca="1" si="29"/>
        <v>1</v>
      </c>
      <c r="H590" s="17">
        <v>581</v>
      </c>
      <c r="I590" s="45">
        <v>0.67127877070763153</v>
      </c>
      <c r="J590" s="45">
        <v>1.9278149620888856E-2</v>
      </c>
      <c r="K590" s="45">
        <v>0.24779999999999999</v>
      </c>
      <c r="N590" s="54"/>
    </row>
    <row r="591" spans="2:14" x14ac:dyDescent="0.2">
      <c r="B591">
        <v>582</v>
      </c>
      <c r="C591" s="52">
        <f t="shared" ca="1" si="30"/>
        <v>1.4668771160971947</v>
      </c>
      <c r="D591" s="52">
        <f ca="1">S0*EXP((μ-0.5*σ*σ)*T+σ*SQRT(T)*$C591)</f>
        <v>0.96578156742668331</v>
      </c>
      <c r="E591" s="52">
        <f t="shared" ca="1" si="28"/>
        <v>0</v>
      </c>
      <c r="F591" s="17">
        <f t="shared" ca="1" si="29"/>
        <v>0</v>
      </c>
      <c r="H591" s="17">
        <v>582</v>
      </c>
      <c r="I591" s="45">
        <v>0.67214171438397574</v>
      </c>
      <c r="J591" s="45">
        <v>2.0072978893832812E-2</v>
      </c>
      <c r="K591" s="45">
        <v>0.25019999999999998</v>
      </c>
      <c r="N591" s="54"/>
    </row>
    <row r="592" spans="2:14" x14ac:dyDescent="0.2">
      <c r="B592">
        <v>583</v>
      </c>
      <c r="C592" s="52">
        <f t="shared" ca="1" si="30"/>
        <v>0.37055624818596783</v>
      </c>
      <c r="D592" s="52">
        <f ca="1">S0*EXP((μ-0.5*σ*σ)*T+σ*SQRT(T)*$C592)</f>
        <v>0.71328349878646491</v>
      </c>
      <c r="E592" s="52">
        <f t="shared" ca="1" si="28"/>
        <v>0</v>
      </c>
      <c r="F592" s="17">
        <f t="shared" ca="1" si="29"/>
        <v>0</v>
      </c>
      <c r="H592" s="17">
        <v>583</v>
      </c>
      <c r="I592" s="45">
        <v>0.66909060314833879</v>
      </c>
      <c r="J592" s="45">
        <v>1.7556530651920133E-2</v>
      </c>
      <c r="K592" s="45">
        <v>0.2394</v>
      </c>
      <c r="N592" s="54"/>
    </row>
    <row r="593" spans="2:14" x14ac:dyDescent="0.2">
      <c r="B593">
        <v>584</v>
      </c>
      <c r="C593" s="52">
        <f t="shared" ca="1" si="30"/>
        <v>-0.23288511948503268</v>
      </c>
      <c r="D593" s="52">
        <f ca="1">S0*EXP((μ-0.5*σ*σ)*T+σ*SQRT(T)*$C593)</f>
        <v>0.60369441934788637</v>
      </c>
      <c r="E593" s="52">
        <f t="shared" ca="1" si="28"/>
        <v>0</v>
      </c>
      <c r="F593" s="17">
        <f t="shared" ca="1" si="29"/>
        <v>0</v>
      </c>
      <c r="H593" s="17">
        <v>584</v>
      </c>
      <c r="I593" s="45">
        <v>0.67080647528309845</v>
      </c>
      <c r="J593" s="45">
        <v>1.8765396034421383E-2</v>
      </c>
      <c r="K593" s="45">
        <v>0.2404</v>
      </c>
      <c r="N593" s="54"/>
    </row>
    <row r="594" spans="2:14" x14ac:dyDescent="0.2">
      <c r="B594">
        <v>585</v>
      </c>
      <c r="C594" s="52">
        <f t="shared" ca="1" si="30"/>
        <v>-0.21343566677214351</v>
      </c>
      <c r="D594" s="52">
        <f ca="1">S0*EXP((μ-0.5*σ*σ)*T+σ*SQRT(T)*$C594)</f>
        <v>0.60694889985805867</v>
      </c>
      <c r="E594" s="52">
        <f t="shared" ca="1" si="28"/>
        <v>0</v>
      </c>
      <c r="F594" s="17">
        <f t="shared" ca="1" si="29"/>
        <v>0</v>
      </c>
      <c r="H594" s="17">
        <v>585</v>
      </c>
      <c r="I594" s="45">
        <v>0.67302217029120404</v>
      </c>
      <c r="J594" s="45">
        <v>2.0486955099021827E-2</v>
      </c>
      <c r="K594" s="45">
        <v>0.2586</v>
      </c>
      <c r="N594" s="54"/>
    </row>
    <row r="595" spans="2:14" x14ac:dyDescent="0.2">
      <c r="B595">
        <v>586</v>
      </c>
      <c r="C595" s="52">
        <f t="shared" ca="1" si="30"/>
        <v>0.89139185540573707</v>
      </c>
      <c r="D595" s="52">
        <f ca="1">S0*EXP((μ-0.5*σ*σ)*T+σ*SQRT(T)*$C595)</f>
        <v>0.82373992176162547</v>
      </c>
      <c r="E595" s="52">
        <f t="shared" ca="1" si="28"/>
        <v>0</v>
      </c>
      <c r="F595" s="17">
        <f t="shared" ca="1" si="29"/>
        <v>0</v>
      </c>
      <c r="H595" s="17">
        <v>586</v>
      </c>
      <c r="I595" s="45">
        <v>0.67035698284282963</v>
      </c>
      <c r="J595" s="45">
        <v>1.8828049113549131E-2</v>
      </c>
      <c r="K595" s="45">
        <v>0.25040000000000001</v>
      </c>
      <c r="N595" s="54"/>
    </row>
    <row r="596" spans="2:14" x14ac:dyDescent="0.2">
      <c r="B596">
        <v>587</v>
      </c>
      <c r="C596" s="52">
        <f t="shared" ca="1" si="30"/>
        <v>0.31853828475450535</v>
      </c>
      <c r="D596" s="52">
        <f ca="1">S0*EXP((μ-0.5*σ*σ)*T+σ*SQRT(T)*$C596)</f>
        <v>0.70310026003124648</v>
      </c>
      <c r="E596" s="52">
        <f t="shared" ca="1" si="28"/>
        <v>0</v>
      </c>
      <c r="F596" s="17">
        <f t="shared" ca="1" si="29"/>
        <v>0</v>
      </c>
      <c r="H596" s="17">
        <v>587</v>
      </c>
      <c r="I596" s="45">
        <v>0.67088476411990228</v>
      </c>
      <c r="J596" s="45">
        <v>1.9091866873700229E-2</v>
      </c>
      <c r="K596" s="45">
        <v>0.246</v>
      </c>
      <c r="N596" s="54"/>
    </row>
    <row r="597" spans="2:14" x14ac:dyDescent="0.2">
      <c r="B597">
        <v>588</v>
      </c>
      <c r="C597" s="52">
        <f t="shared" ca="1" si="30"/>
        <v>-0.84780944130389702</v>
      </c>
      <c r="D597" s="52">
        <f ca="1">S0*EXP((μ-0.5*σ*σ)*T+σ*SQRT(T)*$C597)</f>
        <v>0.50932334287465431</v>
      </c>
      <c r="E597" s="52">
        <f t="shared" ca="1" si="28"/>
        <v>2.507665712534568E-2</v>
      </c>
      <c r="F597" s="17">
        <f t="shared" ca="1" si="29"/>
        <v>1</v>
      </c>
      <c r="H597" s="17">
        <v>588</v>
      </c>
      <c r="I597" s="45">
        <v>0.67073175587629186</v>
      </c>
      <c r="J597" s="45">
        <v>1.8808798659208037E-2</v>
      </c>
      <c r="K597" s="45">
        <v>0.24540000000000001</v>
      </c>
      <c r="N597" s="54"/>
    </row>
    <row r="598" spans="2:14" x14ac:dyDescent="0.2">
      <c r="B598">
        <v>589</v>
      </c>
      <c r="C598" s="52">
        <f t="shared" ca="1" si="30"/>
        <v>2.037719925005121</v>
      </c>
      <c r="D598" s="52">
        <f ca="1">S0*EXP((μ-0.5*σ*σ)*T+σ*SQRT(T)*$C598)</f>
        <v>1.1308639760774077</v>
      </c>
      <c r="E598" s="52">
        <f t="shared" ca="1" si="28"/>
        <v>0</v>
      </c>
      <c r="F598" s="17">
        <f t="shared" ca="1" si="29"/>
        <v>0</v>
      </c>
      <c r="H598" s="17">
        <v>589</v>
      </c>
      <c r="I598" s="45">
        <v>0.67153778125420127</v>
      </c>
      <c r="J598" s="45">
        <v>1.9340368156911151E-2</v>
      </c>
      <c r="K598" s="45">
        <v>0.24759999999999999</v>
      </c>
      <c r="N598" s="54"/>
    </row>
    <row r="599" spans="2:14" x14ac:dyDescent="0.2">
      <c r="B599">
        <v>590</v>
      </c>
      <c r="C599" s="52">
        <f t="shared" ca="1" si="30"/>
        <v>0.70048344492652925</v>
      </c>
      <c r="D599" s="52">
        <f ca="1">S0*EXP((μ-0.5*σ*σ)*T+σ*SQRT(T)*$C599)</f>
        <v>0.78139560610249448</v>
      </c>
      <c r="E599" s="52">
        <f t="shared" ca="1" si="28"/>
        <v>0</v>
      </c>
      <c r="F599" s="17">
        <f t="shared" ca="1" si="29"/>
        <v>0</v>
      </c>
      <c r="H599" s="17">
        <v>590</v>
      </c>
      <c r="I599" s="45">
        <v>0.67123934544802377</v>
      </c>
      <c r="J599" s="45">
        <v>1.9043925341340456E-2</v>
      </c>
      <c r="K599" s="45">
        <v>0.24379999999999999</v>
      </c>
      <c r="N599" s="54"/>
    </row>
    <row r="600" spans="2:14" x14ac:dyDescent="0.2">
      <c r="B600">
        <v>591</v>
      </c>
      <c r="C600" s="52">
        <f t="shared" ca="1" si="30"/>
        <v>1.1443974060394888</v>
      </c>
      <c r="D600" s="52">
        <f ca="1">S0*EXP((μ-0.5*σ*σ)*T+σ*SQRT(T)*$C600)</f>
        <v>0.88341388023207856</v>
      </c>
      <c r="E600" s="52">
        <f t="shared" ca="1" si="28"/>
        <v>0</v>
      </c>
      <c r="F600" s="17">
        <f t="shared" ca="1" si="29"/>
        <v>0</v>
      </c>
      <c r="H600" s="17">
        <v>591</v>
      </c>
      <c r="I600" s="45">
        <v>0.67003965438632362</v>
      </c>
      <c r="J600" s="45">
        <v>1.8201216874820868E-2</v>
      </c>
      <c r="K600" s="45">
        <v>0.2364</v>
      </c>
      <c r="N600" s="54"/>
    </row>
    <row r="601" spans="2:14" x14ac:dyDescent="0.2">
      <c r="B601">
        <v>592</v>
      </c>
      <c r="C601" s="52">
        <f t="shared" ca="1" si="30"/>
        <v>-0.63105288109479607</v>
      </c>
      <c r="D601" s="52">
        <f ca="1">S0*EXP((μ-0.5*σ*σ)*T+σ*SQRT(T)*$C601)</f>
        <v>0.54077409738776649</v>
      </c>
      <c r="E601" s="52">
        <f t="shared" ca="1" si="28"/>
        <v>0</v>
      </c>
      <c r="F601" s="17">
        <f t="shared" ca="1" si="29"/>
        <v>0</v>
      </c>
      <c r="H601" s="17">
        <v>592</v>
      </c>
      <c r="I601" s="45">
        <v>0.6715836586985664</v>
      </c>
      <c r="J601" s="45">
        <v>1.9425995060752398E-2</v>
      </c>
      <c r="K601" s="45">
        <v>0.252</v>
      </c>
      <c r="N601" s="54"/>
    </row>
    <row r="602" spans="2:14" x14ac:dyDescent="0.2">
      <c r="B602">
        <v>593</v>
      </c>
      <c r="C602" s="52">
        <f t="shared" ca="1" si="30"/>
        <v>0.57122011217662361</v>
      </c>
      <c r="D602" s="52">
        <f ca="1">S0*EXP((μ-0.5*σ*σ)*T+σ*SQRT(T)*$C602)</f>
        <v>0.75396727980693634</v>
      </c>
      <c r="E602" s="52">
        <f t="shared" ca="1" si="28"/>
        <v>0</v>
      </c>
      <c r="F602" s="17">
        <f t="shared" ca="1" si="29"/>
        <v>0</v>
      </c>
      <c r="H602" s="17">
        <v>593</v>
      </c>
      <c r="I602" s="45">
        <v>0.67164754785550107</v>
      </c>
      <c r="J602" s="45">
        <v>1.9386710846597256E-2</v>
      </c>
      <c r="K602" s="45">
        <v>0.24940000000000001</v>
      </c>
      <c r="N602" s="54"/>
    </row>
    <row r="603" spans="2:14" x14ac:dyDescent="0.2">
      <c r="B603">
        <v>594</v>
      </c>
      <c r="C603" s="52">
        <f t="shared" ca="1" si="30"/>
        <v>7.591187185036434E-2</v>
      </c>
      <c r="D603" s="52">
        <f ca="1">S0*EXP((μ-0.5*σ*σ)*T+σ*SQRT(T)*$C603)</f>
        <v>0.65749007573608309</v>
      </c>
      <c r="E603" s="52">
        <f t="shared" ca="1" si="28"/>
        <v>0</v>
      </c>
      <c r="F603" s="17">
        <f t="shared" ca="1" si="29"/>
        <v>0</v>
      </c>
      <c r="H603" s="17">
        <v>594</v>
      </c>
      <c r="I603" s="45">
        <v>0.67145465314959829</v>
      </c>
      <c r="J603" s="45">
        <v>1.9344840350316524E-2</v>
      </c>
      <c r="K603" s="45">
        <v>0.25</v>
      </c>
      <c r="N603" s="54"/>
    </row>
    <row r="604" spans="2:14" x14ac:dyDescent="0.2">
      <c r="B604">
        <v>595</v>
      </c>
      <c r="C604" s="52">
        <f t="shared" ca="1" si="30"/>
        <v>-0.64499698365405944</v>
      </c>
      <c r="D604" s="52">
        <f ca="1">S0*EXP((μ-0.5*σ*σ)*T+σ*SQRT(T)*$C604)</f>
        <v>0.53869364000582243</v>
      </c>
      <c r="E604" s="52">
        <f t="shared" ca="1" si="28"/>
        <v>0</v>
      </c>
      <c r="F604" s="17">
        <f t="shared" ca="1" si="29"/>
        <v>0</v>
      </c>
      <c r="H604" s="17">
        <v>595</v>
      </c>
      <c r="I604" s="45">
        <v>0.67202374806546306</v>
      </c>
      <c r="J604" s="45">
        <v>1.972559951853867E-2</v>
      </c>
      <c r="K604" s="45">
        <v>0.254</v>
      </c>
      <c r="N604" s="54"/>
    </row>
    <row r="605" spans="2:14" x14ac:dyDescent="0.2">
      <c r="B605">
        <v>596</v>
      </c>
      <c r="C605" s="52">
        <f t="shared" ca="1" si="30"/>
        <v>0.42947397650647096</v>
      </c>
      <c r="D605" s="52">
        <f ca="1">S0*EXP((μ-0.5*σ*σ)*T+σ*SQRT(T)*$C605)</f>
        <v>0.72499570528558188</v>
      </c>
      <c r="E605" s="52">
        <f t="shared" ca="1" si="28"/>
        <v>0</v>
      </c>
      <c r="F605" s="17">
        <f t="shared" ca="1" si="29"/>
        <v>0</v>
      </c>
      <c r="H605" s="17">
        <v>596</v>
      </c>
      <c r="I605" s="45">
        <v>0.67246654139597628</v>
      </c>
      <c r="J605" s="45">
        <v>2.0203616493401539E-2</v>
      </c>
      <c r="K605" s="45">
        <v>0.255</v>
      </c>
      <c r="N605" s="54"/>
    </row>
    <row r="606" spans="2:14" x14ac:dyDescent="0.2">
      <c r="B606">
        <v>597</v>
      </c>
      <c r="C606" s="52">
        <f t="shared" ca="1" si="30"/>
        <v>-0.47194154972122393</v>
      </c>
      <c r="D606" s="52">
        <f ca="1">S0*EXP((μ-0.5*σ*σ)*T+σ*SQRT(T)*$C606)</f>
        <v>0.56509009121802745</v>
      </c>
      <c r="E606" s="52">
        <f t="shared" ca="1" si="28"/>
        <v>0</v>
      </c>
      <c r="F606" s="17">
        <f t="shared" ca="1" si="29"/>
        <v>0</v>
      </c>
      <c r="H606" s="17">
        <v>597</v>
      </c>
      <c r="I606" s="45">
        <v>0.67102073361141312</v>
      </c>
      <c r="J606" s="45">
        <v>1.9290387052158273E-2</v>
      </c>
      <c r="K606" s="45">
        <v>0.25040000000000001</v>
      </c>
      <c r="N606" s="54"/>
    </row>
    <row r="607" spans="2:14" x14ac:dyDescent="0.2">
      <c r="B607">
        <v>598</v>
      </c>
      <c r="C607" s="52">
        <f t="shared" ca="1" si="30"/>
        <v>-0.53690067002913733</v>
      </c>
      <c r="D607" s="52">
        <f ca="1">S0*EXP((μ-0.5*σ*σ)*T+σ*SQRT(T)*$C607)</f>
        <v>0.55503343715021702</v>
      </c>
      <c r="E607" s="52">
        <f t="shared" ca="1" si="28"/>
        <v>0</v>
      </c>
      <c r="F607" s="17">
        <f t="shared" ca="1" si="29"/>
        <v>0</v>
      </c>
      <c r="H607" s="17">
        <v>598</v>
      </c>
      <c r="I607" s="45">
        <v>0.67205503133655553</v>
      </c>
      <c r="J607" s="45">
        <v>1.9825236275913729E-2</v>
      </c>
      <c r="K607" s="45">
        <v>0.24660000000000001</v>
      </c>
      <c r="N607" s="54"/>
    </row>
    <row r="608" spans="2:14" x14ac:dyDescent="0.2">
      <c r="B608">
        <v>599</v>
      </c>
      <c r="C608" s="52">
        <f t="shared" ca="1" si="30"/>
        <v>-1.0848247894991259</v>
      </c>
      <c r="D608" s="52">
        <f ca="1">S0*EXP((μ-0.5*σ*σ)*T+σ*SQRT(T)*$C608)</f>
        <v>0.47702281396775942</v>
      </c>
      <c r="E608" s="52">
        <f t="shared" ca="1" si="28"/>
        <v>5.7377186032240568E-2</v>
      </c>
      <c r="F608" s="17">
        <f t="shared" ca="1" si="29"/>
        <v>1</v>
      </c>
      <c r="H608" s="17">
        <v>599</v>
      </c>
      <c r="I608" s="45">
        <v>0.66995791498183421</v>
      </c>
      <c r="J608" s="45">
        <v>1.8363248891352206E-2</v>
      </c>
      <c r="K608" s="45">
        <v>0.249</v>
      </c>
      <c r="N608" s="54"/>
    </row>
    <row r="609" spans="2:14" x14ac:dyDescent="0.2">
      <c r="B609">
        <v>600</v>
      </c>
      <c r="C609" s="52">
        <f t="shared" ca="1" si="30"/>
        <v>-0.73789805428986988</v>
      </c>
      <c r="D609" s="52">
        <f ca="1">S0*EXP((μ-0.5*σ*σ)*T+σ*SQRT(T)*$C609)</f>
        <v>0.52503564052987284</v>
      </c>
      <c r="E609" s="52">
        <f t="shared" ca="1" si="28"/>
        <v>9.3643594701271482E-3</v>
      </c>
      <c r="F609" s="17">
        <f t="shared" ca="1" si="29"/>
        <v>1</v>
      </c>
      <c r="H609" s="17">
        <v>600</v>
      </c>
      <c r="I609" s="45">
        <v>0.67176097147842095</v>
      </c>
      <c r="J609" s="45">
        <v>1.9580608894833689E-2</v>
      </c>
      <c r="K609" s="45">
        <v>0.25600000000000001</v>
      </c>
      <c r="N609" s="54"/>
    </row>
    <row r="610" spans="2:14" x14ac:dyDescent="0.2">
      <c r="B610">
        <v>601</v>
      </c>
      <c r="C610" s="52">
        <f t="shared" ca="1" si="30"/>
        <v>0.50169741677544044</v>
      </c>
      <c r="D610" s="52">
        <f ca="1">S0*EXP((μ-0.5*σ*σ)*T+σ*SQRT(T)*$C610)</f>
        <v>0.73961563432660182</v>
      </c>
      <c r="E610" s="52">
        <f t="shared" ca="1" si="28"/>
        <v>0</v>
      </c>
      <c r="F610" s="17">
        <f t="shared" ca="1" si="29"/>
        <v>0</v>
      </c>
      <c r="H610" s="17">
        <v>601</v>
      </c>
      <c r="I610" s="45">
        <v>0.67124318621445678</v>
      </c>
      <c r="J610" s="45">
        <v>1.9281308839148276E-2</v>
      </c>
      <c r="K610" s="45">
        <v>0.24940000000000001</v>
      </c>
      <c r="N610" s="54"/>
    </row>
    <row r="611" spans="2:14" x14ac:dyDescent="0.2">
      <c r="B611">
        <v>602</v>
      </c>
      <c r="C611" s="52">
        <f t="shared" ca="1" si="30"/>
        <v>0.55512736907908544</v>
      </c>
      <c r="D611" s="52">
        <f ca="1">S0*EXP((μ-0.5*σ*σ)*T+σ*SQRT(T)*$C611)</f>
        <v>0.75062066240213254</v>
      </c>
      <c r="E611" s="52">
        <f t="shared" ca="1" si="28"/>
        <v>0</v>
      </c>
      <c r="F611" s="17">
        <f t="shared" ca="1" si="29"/>
        <v>0</v>
      </c>
      <c r="H611" s="17">
        <v>602</v>
      </c>
      <c r="I611" s="45">
        <v>0.67027706346264493</v>
      </c>
      <c r="J611" s="45">
        <v>1.8442469522308342E-2</v>
      </c>
      <c r="K611" s="45">
        <v>0.2392</v>
      </c>
      <c r="N611" s="54"/>
    </row>
    <row r="612" spans="2:14" x14ac:dyDescent="0.2">
      <c r="B612">
        <v>603</v>
      </c>
      <c r="C612" s="52">
        <f t="shared" ca="1" si="30"/>
        <v>-0.43591630634985723</v>
      </c>
      <c r="D612" s="52">
        <f ca="1">S0*EXP((μ-0.5*σ*σ)*T+σ*SQRT(T)*$C612)</f>
        <v>0.5707456823297351</v>
      </c>
      <c r="E612" s="52">
        <f t="shared" ca="1" si="28"/>
        <v>0</v>
      </c>
      <c r="F612" s="17">
        <f t="shared" ca="1" si="29"/>
        <v>0</v>
      </c>
      <c r="H612" s="17">
        <v>603</v>
      </c>
      <c r="I612" s="45">
        <v>0.67129277765531459</v>
      </c>
      <c r="J612" s="45">
        <v>1.8981972353361621E-2</v>
      </c>
      <c r="K612" s="45">
        <v>0.24479999999999999</v>
      </c>
      <c r="N612" s="54"/>
    </row>
    <row r="613" spans="2:14" x14ac:dyDescent="0.2">
      <c r="B613">
        <v>604</v>
      </c>
      <c r="C613" s="52">
        <f t="shared" ca="1" si="30"/>
        <v>2.261514105437624</v>
      </c>
      <c r="D613" s="52">
        <f ca="1">S0*EXP((μ-0.5*σ*σ)*T+σ*SQRT(T)*$C613)</f>
        <v>1.2030330491264143</v>
      </c>
      <c r="E613" s="52">
        <f t="shared" ca="1" si="28"/>
        <v>0</v>
      </c>
      <c r="F613" s="17">
        <f t="shared" ca="1" si="29"/>
        <v>0</v>
      </c>
      <c r="H613" s="17">
        <v>604</v>
      </c>
      <c r="I613" s="45">
        <v>0.67085253385472721</v>
      </c>
      <c r="J613" s="45">
        <v>1.8926092229231691E-2</v>
      </c>
      <c r="K613" s="45">
        <v>0.24440000000000001</v>
      </c>
      <c r="N613" s="54"/>
    </row>
    <row r="614" spans="2:14" x14ac:dyDescent="0.2">
      <c r="B614">
        <v>605</v>
      </c>
      <c r="C614" s="52">
        <f t="shared" ca="1" si="30"/>
        <v>-0.44086262634144724</v>
      </c>
      <c r="D614" s="52">
        <f ca="1">S0*EXP((μ-0.5*σ*σ)*T+σ*SQRT(T)*$C614)</f>
        <v>0.56996582153392761</v>
      </c>
      <c r="E614" s="52">
        <f t="shared" ca="1" si="28"/>
        <v>0</v>
      </c>
      <c r="F614" s="17">
        <f t="shared" ca="1" si="29"/>
        <v>0</v>
      </c>
      <c r="H614" s="17">
        <v>605</v>
      </c>
      <c r="I614" s="45">
        <v>0.67053596850620911</v>
      </c>
      <c r="J614" s="45">
        <v>1.867481428310502E-2</v>
      </c>
      <c r="K614" s="45">
        <v>0.2482</v>
      </c>
      <c r="N614" s="54"/>
    </row>
    <row r="615" spans="2:14" x14ac:dyDescent="0.2">
      <c r="B615">
        <v>606</v>
      </c>
      <c r="C615" s="52">
        <f t="shared" ca="1" si="30"/>
        <v>-2.0231427771170134</v>
      </c>
      <c r="D615" s="52">
        <f ca="1">S0*EXP((μ-0.5*σ*σ)*T+σ*SQRT(T)*$C615)</f>
        <v>0.36803672097777651</v>
      </c>
      <c r="E615" s="52">
        <f t="shared" ca="1" si="28"/>
        <v>0.16636327902222348</v>
      </c>
      <c r="F615" s="17">
        <f t="shared" ca="1" si="29"/>
        <v>1</v>
      </c>
      <c r="H615" s="17">
        <v>606</v>
      </c>
      <c r="I615" s="45">
        <v>0.67143133846709324</v>
      </c>
      <c r="J615" s="45">
        <v>1.9359433656380928E-2</v>
      </c>
      <c r="K615" s="45">
        <v>0.25040000000000001</v>
      </c>
      <c r="N615" s="54"/>
    </row>
    <row r="616" spans="2:14" x14ac:dyDescent="0.2">
      <c r="B616">
        <v>607</v>
      </c>
      <c r="C616" s="52">
        <f t="shared" ca="1" si="30"/>
        <v>0.61972112311558236</v>
      </c>
      <c r="D616" s="52">
        <f ca="1">S0*EXP((μ-0.5*σ*σ)*T+σ*SQRT(T)*$C616)</f>
        <v>0.76414398077442958</v>
      </c>
      <c r="E616" s="52">
        <f t="shared" ca="1" si="28"/>
        <v>0</v>
      </c>
      <c r="F616" s="17">
        <f t="shared" ca="1" si="29"/>
        <v>0</v>
      </c>
      <c r="H616" s="17">
        <v>607</v>
      </c>
      <c r="I616" s="45">
        <v>0.67258236543736016</v>
      </c>
      <c r="J616" s="45">
        <v>1.9815904474274858E-2</v>
      </c>
      <c r="K616" s="45">
        <v>0.24940000000000001</v>
      </c>
      <c r="N616" s="54"/>
    </row>
    <row r="617" spans="2:14" x14ac:dyDescent="0.2">
      <c r="B617">
        <v>608</v>
      </c>
      <c r="C617" s="52">
        <f t="shared" ca="1" si="30"/>
        <v>0.31082329338713593</v>
      </c>
      <c r="D617" s="52">
        <f ca="1">S0*EXP((μ-0.5*σ*σ)*T+σ*SQRT(T)*$C617)</f>
        <v>0.70160237388934099</v>
      </c>
      <c r="E617" s="52">
        <f t="shared" ca="1" si="28"/>
        <v>0</v>
      </c>
      <c r="F617" s="17">
        <f t="shared" ca="1" si="29"/>
        <v>0</v>
      </c>
      <c r="H617" s="17">
        <v>608</v>
      </c>
      <c r="I617" s="45">
        <v>0.67138837881286595</v>
      </c>
      <c r="J617" s="45">
        <v>1.9108977825559207E-2</v>
      </c>
      <c r="K617" s="45">
        <v>0.2462</v>
      </c>
      <c r="N617" s="54"/>
    </row>
    <row r="618" spans="2:14" x14ac:dyDescent="0.2">
      <c r="B618">
        <v>609</v>
      </c>
      <c r="C618" s="52">
        <f t="shared" ca="1" si="30"/>
        <v>1.0055934713829664</v>
      </c>
      <c r="D618" s="52">
        <f ca="1">S0*EXP((μ-0.5*σ*σ)*T+σ*SQRT(T)*$C618)</f>
        <v>0.85015942511114384</v>
      </c>
      <c r="E618" s="52">
        <f t="shared" ca="1" si="28"/>
        <v>0</v>
      </c>
      <c r="F618" s="17">
        <f t="shared" ca="1" si="29"/>
        <v>0</v>
      </c>
      <c r="H618" s="17">
        <v>609</v>
      </c>
      <c r="I618" s="45">
        <v>0.67103082889831189</v>
      </c>
      <c r="J618" s="45">
        <v>1.9061157771555499E-2</v>
      </c>
      <c r="K618" s="45">
        <v>0.2452</v>
      </c>
      <c r="N618" s="54"/>
    </row>
    <row r="619" spans="2:14" x14ac:dyDescent="0.2">
      <c r="B619">
        <v>610</v>
      </c>
      <c r="C619" s="52">
        <f t="shared" ca="1" si="30"/>
        <v>-1.0932685278122563</v>
      </c>
      <c r="D619" s="52">
        <f ca="1">S0*EXP((μ-0.5*σ*σ)*T+σ*SQRT(T)*$C619)</f>
        <v>0.47591068209569659</v>
      </c>
      <c r="E619" s="52">
        <f t="shared" ca="1" si="28"/>
        <v>5.8489317904303395E-2</v>
      </c>
      <c r="F619" s="17">
        <f t="shared" ca="1" si="29"/>
        <v>1</v>
      </c>
      <c r="H619" s="17">
        <v>610</v>
      </c>
      <c r="I619" s="45">
        <v>0.67028407279253055</v>
      </c>
      <c r="J619" s="45">
        <v>1.8501858181669054E-2</v>
      </c>
      <c r="K619" s="45">
        <v>0.23860000000000001</v>
      </c>
      <c r="N619" s="54"/>
    </row>
    <row r="620" spans="2:14" x14ac:dyDescent="0.2">
      <c r="B620">
        <v>611</v>
      </c>
      <c r="C620" s="52">
        <f t="shared" ca="1" si="30"/>
        <v>3.8902762881986817E-2</v>
      </c>
      <c r="D620" s="52">
        <f ca="1">S0*EXP((μ-0.5*σ*σ)*T+σ*SQRT(T)*$C620)</f>
        <v>0.65079790030098073</v>
      </c>
      <c r="E620" s="52">
        <f t="shared" ca="1" si="28"/>
        <v>0</v>
      </c>
      <c r="F620" s="17">
        <f t="shared" ca="1" si="29"/>
        <v>0</v>
      </c>
      <c r="H620" s="17">
        <v>611</v>
      </c>
      <c r="I620" s="45">
        <v>0.67062895948037071</v>
      </c>
      <c r="J620" s="45">
        <v>1.8812283457013551E-2</v>
      </c>
      <c r="K620" s="45">
        <v>0.25559999999999999</v>
      </c>
      <c r="N620" s="54"/>
    </row>
    <row r="621" spans="2:14" x14ac:dyDescent="0.2">
      <c r="B621">
        <v>612</v>
      </c>
      <c r="C621" s="52">
        <f t="shared" ca="1" si="30"/>
        <v>1.1194942628815305</v>
      </c>
      <c r="D621" s="52">
        <f ca="1">S0*EXP((μ-0.5*σ*σ)*T+σ*SQRT(T)*$C621)</f>
        <v>0.87735330965248337</v>
      </c>
      <c r="E621" s="52">
        <f t="shared" ca="1" si="28"/>
        <v>0</v>
      </c>
      <c r="F621" s="17">
        <f t="shared" ca="1" si="29"/>
        <v>0</v>
      </c>
      <c r="H621" s="17">
        <v>612</v>
      </c>
      <c r="I621" s="45">
        <v>0.67023344731360635</v>
      </c>
      <c r="J621" s="45">
        <v>1.8236432817094556E-2</v>
      </c>
      <c r="K621" s="45">
        <v>0.23980000000000001</v>
      </c>
      <c r="N621" s="54"/>
    </row>
    <row r="622" spans="2:14" x14ac:dyDescent="0.2">
      <c r="B622">
        <v>613</v>
      </c>
      <c r="C622" s="52">
        <f t="shared" ca="1" si="30"/>
        <v>1.1354892565463188</v>
      </c>
      <c r="D622" s="52">
        <f ca="1">S0*EXP((μ-0.5*σ*σ)*T+σ*SQRT(T)*$C622)</f>
        <v>0.88124114792905972</v>
      </c>
      <c r="E622" s="52">
        <f t="shared" ca="1" si="28"/>
        <v>0</v>
      </c>
      <c r="F622" s="17">
        <f t="shared" ca="1" si="29"/>
        <v>0</v>
      </c>
      <c r="H622" s="17">
        <v>613</v>
      </c>
      <c r="I622" s="45">
        <v>0.66963572679879346</v>
      </c>
      <c r="J622" s="45">
        <v>1.7923455991878792E-2</v>
      </c>
      <c r="K622" s="45">
        <v>0.24299999999999999</v>
      </c>
      <c r="N622" s="54"/>
    </row>
    <row r="623" spans="2:14" x14ac:dyDescent="0.2">
      <c r="B623">
        <v>614</v>
      </c>
      <c r="C623" s="52">
        <f t="shared" ca="1" si="30"/>
        <v>-0.20020732463329508</v>
      </c>
      <c r="D623" s="52">
        <f ca="1">S0*EXP((μ-0.5*σ*σ)*T+σ*SQRT(T)*$C623)</f>
        <v>0.60917241946426559</v>
      </c>
      <c r="E623" s="52">
        <f t="shared" ca="1" si="28"/>
        <v>0</v>
      </c>
      <c r="F623" s="17">
        <f t="shared" ca="1" si="29"/>
        <v>0</v>
      </c>
      <c r="H623" s="17">
        <v>614</v>
      </c>
      <c r="I623" s="45">
        <v>0.6717003062786524</v>
      </c>
      <c r="J623" s="45">
        <v>1.9561484365463719E-2</v>
      </c>
      <c r="K623" s="45">
        <v>0.25180000000000002</v>
      </c>
      <c r="N623" s="54"/>
    </row>
    <row r="624" spans="2:14" x14ac:dyDescent="0.2">
      <c r="B624">
        <v>615</v>
      </c>
      <c r="C624" s="52">
        <f t="shared" ca="1" si="30"/>
        <v>-0.47545899212486131</v>
      </c>
      <c r="D624" s="52">
        <f ca="1">S0*EXP((μ-0.5*σ*σ)*T+σ*SQRT(T)*$C624)</f>
        <v>0.56454090113561917</v>
      </c>
      <c r="E624" s="52">
        <f t="shared" ca="1" si="28"/>
        <v>0</v>
      </c>
      <c r="F624" s="17">
        <f t="shared" ca="1" si="29"/>
        <v>0</v>
      </c>
      <c r="H624" s="17">
        <v>615</v>
      </c>
      <c r="I624" s="45">
        <v>0.66972406496282555</v>
      </c>
      <c r="J624" s="45">
        <v>1.817287134595786E-2</v>
      </c>
      <c r="K624" s="45">
        <v>0.246</v>
      </c>
      <c r="N624" s="54"/>
    </row>
    <row r="625" spans="2:14" x14ac:dyDescent="0.2">
      <c r="B625">
        <v>616</v>
      </c>
      <c r="C625" s="52">
        <f t="shared" ca="1" si="30"/>
        <v>0.65958294000630391</v>
      </c>
      <c r="D625" s="52">
        <f ca="1">S0*EXP((μ-0.5*σ*σ)*T+σ*SQRT(T)*$C625)</f>
        <v>0.77261072368951267</v>
      </c>
      <c r="E625" s="52">
        <f t="shared" ca="1" si="28"/>
        <v>0</v>
      </c>
      <c r="F625" s="17">
        <f t="shared" ca="1" si="29"/>
        <v>0</v>
      </c>
      <c r="H625" s="17">
        <v>616</v>
      </c>
      <c r="I625" s="45">
        <v>0.67283754432847265</v>
      </c>
      <c r="J625" s="45">
        <v>2.0451890196457496E-2</v>
      </c>
      <c r="K625" s="45">
        <v>0.25659999999999999</v>
      </c>
      <c r="N625" s="54"/>
    </row>
    <row r="626" spans="2:14" x14ac:dyDescent="0.2">
      <c r="B626">
        <v>617</v>
      </c>
      <c r="C626" s="52">
        <f t="shared" ca="1" si="30"/>
        <v>-0.28430930585818298</v>
      </c>
      <c r="D626" s="52">
        <f ca="1">S0*EXP((μ-0.5*σ*σ)*T+σ*SQRT(T)*$C626)</f>
        <v>0.59517341961079573</v>
      </c>
      <c r="E626" s="52">
        <f t="shared" ca="1" si="28"/>
        <v>0</v>
      </c>
      <c r="F626" s="17">
        <f t="shared" ca="1" si="29"/>
        <v>0</v>
      </c>
      <c r="H626" s="17">
        <v>617</v>
      </c>
      <c r="I626" s="45">
        <v>0.670998768155458</v>
      </c>
      <c r="J626" s="45">
        <v>1.9014552408838689E-2</v>
      </c>
      <c r="K626" s="45">
        <v>0.25340000000000001</v>
      </c>
      <c r="N626" s="54"/>
    </row>
    <row r="627" spans="2:14" x14ac:dyDescent="0.2">
      <c r="B627">
        <v>618</v>
      </c>
      <c r="C627" s="52">
        <f t="shared" ca="1" si="30"/>
        <v>-0.75636211037644019</v>
      </c>
      <c r="D627" s="52">
        <f ca="1">S0*EXP((μ-0.5*σ*σ)*T+σ*SQRT(T)*$C627)</f>
        <v>0.52236265162861051</v>
      </c>
      <c r="E627" s="52">
        <f t="shared" ca="1" si="28"/>
        <v>1.2037348371389478E-2</v>
      </c>
      <c r="F627" s="17">
        <f t="shared" ca="1" si="29"/>
        <v>1</v>
      </c>
      <c r="H627" s="17">
        <v>618</v>
      </c>
      <c r="I627" s="45">
        <v>0.67065660684447226</v>
      </c>
      <c r="J627" s="45">
        <v>1.8571960511774996E-2</v>
      </c>
      <c r="K627" s="45">
        <v>0.24560000000000001</v>
      </c>
      <c r="N627" s="54"/>
    </row>
    <row r="628" spans="2:14" x14ac:dyDescent="0.2">
      <c r="B628">
        <v>619</v>
      </c>
      <c r="C628" s="52">
        <f t="shared" ca="1" si="30"/>
        <v>-1.4606087100789102</v>
      </c>
      <c r="D628" s="52">
        <f ca="1">S0*EXP((μ-0.5*σ*σ)*T+σ*SQRT(T)*$C628)</f>
        <v>0.42995709483567501</v>
      </c>
      <c r="E628" s="52">
        <f t="shared" ca="1" si="28"/>
        <v>0.10444290516432497</v>
      </c>
      <c r="F628" s="17">
        <f t="shared" ca="1" si="29"/>
        <v>1</v>
      </c>
      <c r="H628" s="17">
        <v>619</v>
      </c>
      <c r="I628" s="45">
        <v>0.6697887925955861</v>
      </c>
      <c r="J628" s="45">
        <v>1.791965225859261E-2</v>
      </c>
      <c r="K628" s="45">
        <v>0.2424</v>
      </c>
      <c r="N628" s="54"/>
    </row>
    <row r="629" spans="2:14" x14ac:dyDescent="0.2">
      <c r="B629">
        <v>620</v>
      </c>
      <c r="C629" s="52">
        <f t="shared" ca="1" si="30"/>
        <v>0.70711649087887585</v>
      </c>
      <c r="D629" s="52">
        <f ca="1">S0*EXP((μ-0.5*σ*σ)*T+σ*SQRT(T)*$C629)</f>
        <v>0.78282967927823932</v>
      </c>
      <c r="E629" s="52">
        <f t="shared" ca="1" si="28"/>
        <v>0</v>
      </c>
      <c r="F629" s="17">
        <f t="shared" ca="1" si="29"/>
        <v>0</v>
      </c>
      <c r="H629" s="17">
        <v>620</v>
      </c>
      <c r="I629" s="45">
        <v>0.67058384678723781</v>
      </c>
      <c r="J629" s="45">
        <v>1.858924274731175E-2</v>
      </c>
      <c r="K629" s="45">
        <v>0.2424</v>
      </c>
      <c r="N629" s="54"/>
    </row>
    <row r="630" spans="2:14" x14ac:dyDescent="0.2">
      <c r="B630">
        <v>621</v>
      </c>
      <c r="C630" s="52">
        <f t="shared" ca="1" si="30"/>
        <v>1.0974175731147</v>
      </c>
      <c r="D630" s="52">
        <f ca="1">S0*EXP((μ-0.5*σ*σ)*T+σ*SQRT(T)*$C630)</f>
        <v>0.87201537710444654</v>
      </c>
      <c r="E630" s="52">
        <f t="shared" ca="1" si="28"/>
        <v>0</v>
      </c>
      <c r="F630" s="17">
        <f t="shared" ca="1" si="29"/>
        <v>0</v>
      </c>
      <c r="H630" s="17">
        <v>621</v>
      </c>
      <c r="I630" s="45">
        <v>0.6707718322741747</v>
      </c>
      <c r="J630" s="45">
        <v>1.8971565495110539E-2</v>
      </c>
      <c r="K630" s="45">
        <v>0.24199999999999999</v>
      </c>
      <c r="N630" s="54"/>
    </row>
    <row r="631" spans="2:14" x14ac:dyDescent="0.2">
      <c r="B631">
        <v>622</v>
      </c>
      <c r="C631" s="52">
        <f t="shared" ca="1" si="30"/>
        <v>1.5021664709062481</v>
      </c>
      <c r="D631" s="52">
        <f ca="1">S0*EXP((μ-0.5*σ*σ)*T+σ*SQRT(T)*$C631)</f>
        <v>0.97524899023878253</v>
      </c>
      <c r="E631" s="52">
        <f t="shared" ca="1" si="28"/>
        <v>0</v>
      </c>
      <c r="F631" s="17">
        <f t="shared" ca="1" si="29"/>
        <v>0</v>
      </c>
      <c r="H631" s="17">
        <v>622</v>
      </c>
      <c r="I631" s="45">
        <v>0.67132596848874926</v>
      </c>
      <c r="J631" s="45">
        <v>1.9196833558111977E-2</v>
      </c>
      <c r="K631" s="45">
        <v>0.24679999999999999</v>
      </c>
      <c r="N631" s="54"/>
    </row>
    <row r="632" spans="2:14" x14ac:dyDescent="0.2">
      <c r="B632">
        <v>623</v>
      </c>
      <c r="C632" s="52">
        <f t="shared" ca="1" si="30"/>
        <v>-0.2490793746497251</v>
      </c>
      <c r="D632" s="52">
        <f ca="1">S0*EXP((μ-0.5*σ*σ)*T+σ*SQRT(T)*$C632)</f>
        <v>0.60099794968681508</v>
      </c>
      <c r="E632" s="52">
        <f t="shared" ca="1" si="28"/>
        <v>0</v>
      </c>
      <c r="F632" s="17">
        <f t="shared" ca="1" si="29"/>
        <v>0</v>
      </c>
      <c r="H632" s="17">
        <v>623</v>
      </c>
      <c r="I632" s="45">
        <v>0.67120583892146723</v>
      </c>
      <c r="J632" s="45">
        <v>1.9247616884456302E-2</v>
      </c>
      <c r="K632" s="45">
        <v>0.24879999999999999</v>
      </c>
      <c r="N632" s="54"/>
    </row>
    <row r="633" spans="2:14" x14ac:dyDescent="0.2">
      <c r="B633">
        <v>624</v>
      </c>
      <c r="C633" s="52">
        <f t="shared" ca="1" si="30"/>
        <v>1.2885583831385117</v>
      </c>
      <c r="D633" s="52">
        <f ca="1">S0*EXP((μ-0.5*σ*σ)*T+σ*SQRT(T)*$C633)</f>
        <v>0.91932949311567391</v>
      </c>
      <c r="E633" s="52">
        <f t="shared" ca="1" si="28"/>
        <v>0</v>
      </c>
      <c r="F633" s="17">
        <f t="shared" ca="1" si="29"/>
        <v>0</v>
      </c>
      <c r="H633" s="17">
        <v>624</v>
      </c>
      <c r="I633" s="45">
        <v>0.67167466681057453</v>
      </c>
      <c r="J633" s="45">
        <v>1.9654146813612786E-2</v>
      </c>
      <c r="K633" s="45">
        <v>0.25140000000000001</v>
      </c>
      <c r="N633" s="54"/>
    </row>
    <row r="634" spans="2:14" x14ac:dyDescent="0.2">
      <c r="B634">
        <v>625</v>
      </c>
      <c r="C634" s="52">
        <f t="shared" ca="1" si="30"/>
        <v>-1.0641231946690073</v>
      </c>
      <c r="D634" s="52">
        <f ca="1">S0*EXP((μ-0.5*σ*σ)*T+σ*SQRT(T)*$C634)</f>
        <v>0.4797604475160524</v>
      </c>
      <c r="E634" s="52">
        <f t="shared" ca="1" si="28"/>
        <v>5.4639552483947584E-2</v>
      </c>
      <c r="F634" s="17">
        <f t="shared" ca="1" si="29"/>
        <v>1</v>
      </c>
      <c r="H634" s="17">
        <v>625</v>
      </c>
      <c r="I634" s="45">
        <v>0.67170104845541112</v>
      </c>
      <c r="J634" s="45">
        <v>1.9343687491224337E-2</v>
      </c>
      <c r="K634" s="45">
        <v>0.24959999999999999</v>
      </c>
      <c r="N634" s="54"/>
    </row>
    <row r="635" spans="2:14" x14ac:dyDescent="0.2">
      <c r="B635">
        <v>626</v>
      </c>
      <c r="C635" s="52">
        <f t="shared" ca="1" si="30"/>
        <v>-0.93749481339326846</v>
      </c>
      <c r="D635" s="52">
        <f ca="1">S0*EXP((μ-0.5*σ*σ)*T+σ*SQRT(T)*$C635)</f>
        <v>0.49685146254346102</v>
      </c>
      <c r="E635" s="52">
        <f t="shared" ca="1" si="28"/>
        <v>3.7548537456538966E-2</v>
      </c>
      <c r="F635" s="17">
        <f t="shared" ca="1" si="29"/>
        <v>1</v>
      </c>
      <c r="H635" s="17">
        <v>626</v>
      </c>
      <c r="I635" s="45">
        <v>0.67121423317231121</v>
      </c>
      <c r="J635" s="45">
        <v>1.9347743310431587E-2</v>
      </c>
      <c r="K635" s="45">
        <v>0.25219999999999998</v>
      </c>
      <c r="N635" s="54"/>
    </row>
    <row r="636" spans="2:14" x14ac:dyDescent="0.2">
      <c r="B636">
        <v>627</v>
      </c>
      <c r="C636" s="52">
        <f t="shared" ca="1" si="30"/>
        <v>0.75869331731557255</v>
      </c>
      <c r="D636" s="52">
        <f ca="1">S0*EXP((μ-0.5*σ*σ)*T+σ*SQRT(T)*$C636)</f>
        <v>0.79407082760545911</v>
      </c>
      <c r="E636" s="52">
        <f t="shared" ca="1" si="28"/>
        <v>0</v>
      </c>
      <c r="F636" s="17">
        <f t="shared" ca="1" si="29"/>
        <v>0</v>
      </c>
      <c r="H636" s="17">
        <v>627</v>
      </c>
      <c r="I636" s="45">
        <v>0.67037978101615736</v>
      </c>
      <c r="J636" s="45">
        <v>1.8593942990777958E-2</v>
      </c>
      <c r="K636" s="45">
        <v>0.23860000000000001</v>
      </c>
      <c r="N636" s="54"/>
    </row>
    <row r="637" spans="2:14" x14ac:dyDescent="0.2">
      <c r="B637">
        <v>628</v>
      </c>
      <c r="C637" s="52">
        <f t="shared" ca="1" si="30"/>
        <v>1.4692675037725762</v>
      </c>
      <c r="D637" s="52">
        <f ca="1">S0*EXP((μ-0.5*σ*σ)*T+σ*SQRT(T)*$C637)</f>
        <v>0.96641994830482869</v>
      </c>
      <c r="E637" s="52">
        <f t="shared" ca="1" si="28"/>
        <v>0</v>
      </c>
      <c r="F637" s="17">
        <f t="shared" ca="1" si="29"/>
        <v>0</v>
      </c>
      <c r="H637" s="17">
        <v>628</v>
      </c>
      <c r="I637" s="45">
        <v>0.67236228336289938</v>
      </c>
      <c r="J637" s="45">
        <v>2.0031836176480595E-2</v>
      </c>
      <c r="K637" s="45">
        <v>0.25480000000000003</v>
      </c>
      <c r="N637" s="54"/>
    </row>
    <row r="638" spans="2:14" x14ac:dyDescent="0.2">
      <c r="B638">
        <v>629</v>
      </c>
      <c r="C638" s="52">
        <f t="shared" ca="1" si="30"/>
        <v>-0.18809505037013557</v>
      </c>
      <c r="D638" s="52">
        <f ca="1">S0*EXP((μ-0.5*σ*σ)*T+σ*SQRT(T)*$C638)</f>
        <v>0.61121548506346268</v>
      </c>
      <c r="E638" s="52">
        <f t="shared" ca="1" si="28"/>
        <v>0</v>
      </c>
      <c r="F638" s="17">
        <f t="shared" ca="1" si="29"/>
        <v>0</v>
      </c>
      <c r="H638" s="17">
        <v>629</v>
      </c>
      <c r="I638" s="45">
        <v>0.67131443761865783</v>
      </c>
      <c r="J638" s="45">
        <v>1.9260524390116985E-2</v>
      </c>
      <c r="K638" s="45">
        <v>0.24579999999999999</v>
      </c>
      <c r="N638" s="54"/>
    </row>
    <row r="639" spans="2:14" x14ac:dyDescent="0.2">
      <c r="B639">
        <v>630</v>
      </c>
      <c r="C639" s="52">
        <f t="shared" ca="1" si="30"/>
        <v>0.62110530779088891</v>
      </c>
      <c r="D639" s="52">
        <f ca="1">S0*EXP((μ-0.5*σ*σ)*T+σ*SQRT(T)*$C639)</f>
        <v>0.76443642391931099</v>
      </c>
      <c r="E639" s="52">
        <f t="shared" ca="1" si="28"/>
        <v>0</v>
      </c>
      <c r="F639" s="17">
        <f t="shared" ca="1" si="29"/>
        <v>0</v>
      </c>
      <c r="H639" s="17">
        <v>630</v>
      </c>
      <c r="I639" s="45">
        <v>0.67035242536497885</v>
      </c>
      <c r="J639" s="45">
        <v>1.8417383806488982E-2</v>
      </c>
      <c r="K639" s="45">
        <v>0.24179999999999999</v>
      </c>
      <c r="N639" s="54"/>
    </row>
    <row r="640" spans="2:14" x14ac:dyDescent="0.2">
      <c r="B640">
        <v>631</v>
      </c>
      <c r="C640" s="52">
        <f t="shared" ca="1" si="30"/>
        <v>1.0911239452804773</v>
      </c>
      <c r="D640" s="52">
        <f ca="1">S0*EXP((μ-0.5*σ*σ)*T+σ*SQRT(T)*$C640)</f>
        <v>0.8704995956365007</v>
      </c>
      <c r="E640" s="52">
        <f t="shared" ca="1" si="28"/>
        <v>0</v>
      </c>
      <c r="F640" s="17">
        <f t="shared" ca="1" si="29"/>
        <v>0</v>
      </c>
      <c r="H640" s="17">
        <v>631</v>
      </c>
      <c r="I640" s="45">
        <v>0.67166768790772724</v>
      </c>
      <c r="J640" s="45">
        <v>1.9373994081371915E-2</v>
      </c>
      <c r="K640" s="45">
        <v>0.24679999999999999</v>
      </c>
      <c r="N640" s="54"/>
    </row>
    <row r="641" spans="2:14" x14ac:dyDescent="0.2">
      <c r="B641">
        <v>632</v>
      </c>
      <c r="C641" s="52">
        <f t="shared" ca="1" si="30"/>
        <v>-1.5287312606973884</v>
      </c>
      <c r="D641" s="52">
        <f ca="1">S0*EXP((μ-0.5*σ*σ)*T+σ*SQRT(T)*$C641)</f>
        <v>0.42193620785875546</v>
      </c>
      <c r="E641" s="52">
        <f t="shared" ca="1" si="28"/>
        <v>0.11246379214124452</v>
      </c>
      <c r="F641" s="17">
        <f t="shared" ca="1" si="29"/>
        <v>1</v>
      </c>
      <c r="H641" s="17">
        <v>632</v>
      </c>
      <c r="I641" s="45">
        <v>0.66930626080178668</v>
      </c>
      <c r="J641" s="45">
        <v>1.7600705186104279E-2</v>
      </c>
      <c r="K641" s="45">
        <v>0.2344</v>
      </c>
      <c r="N641" s="54"/>
    </row>
    <row r="642" spans="2:14" x14ac:dyDescent="0.2">
      <c r="B642">
        <v>633</v>
      </c>
      <c r="C642" s="52">
        <f t="shared" ca="1" si="30"/>
        <v>-1.98927201202777</v>
      </c>
      <c r="D642" s="52">
        <f ca="1">S0*EXP((μ-0.5*σ*σ)*T+σ*SQRT(T)*$C642)</f>
        <v>0.37149882420790475</v>
      </c>
      <c r="E642" s="52">
        <f t="shared" ca="1" si="28"/>
        <v>0.16290117579209523</v>
      </c>
      <c r="F642" s="17">
        <f t="shared" ca="1" si="29"/>
        <v>1</v>
      </c>
      <c r="H642" s="17">
        <v>633</v>
      </c>
      <c r="I642" s="45">
        <v>0.67122558841130342</v>
      </c>
      <c r="J642" s="45">
        <v>1.9489084620978221E-2</v>
      </c>
      <c r="K642" s="45">
        <v>0.25580000000000003</v>
      </c>
      <c r="N642" s="54"/>
    </row>
    <row r="643" spans="2:14" x14ac:dyDescent="0.2">
      <c r="B643">
        <v>634</v>
      </c>
      <c r="C643" s="52">
        <f t="shared" ca="1" si="30"/>
        <v>-1.1580982842698995</v>
      </c>
      <c r="D643" s="52">
        <f ca="1">S0*EXP((μ-0.5*σ*σ)*T+σ*SQRT(T)*$C643)</f>
        <v>0.46745783001012653</v>
      </c>
      <c r="E643" s="52">
        <f t="shared" ca="1" si="28"/>
        <v>6.6942169989873457E-2</v>
      </c>
      <c r="F643" s="17">
        <f t="shared" ca="1" si="29"/>
        <v>1</v>
      </c>
      <c r="H643" s="17">
        <v>634</v>
      </c>
      <c r="I643" s="45">
        <v>0.67146931763457374</v>
      </c>
      <c r="J643" s="45">
        <v>1.9319188944126257E-2</v>
      </c>
      <c r="K643" s="45">
        <v>0.25600000000000001</v>
      </c>
      <c r="N643" s="54"/>
    </row>
    <row r="644" spans="2:14" x14ac:dyDescent="0.2">
      <c r="B644">
        <v>635</v>
      </c>
      <c r="C644" s="52">
        <f t="shared" ca="1" si="30"/>
        <v>0.33748616176444984</v>
      </c>
      <c r="D644" s="52">
        <f ca="1">S0*EXP((μ-0.5*σ*σ)*T+σ*SQRT(T)*$C644)</f>
        <v>0.70679262659681796</v>
      </c>
      <c r="E644" s="52">
        <f t="shared" ca="1" si="28"/>
        <v>0</v>
      </c>
      <c r="F644" s="17">
        <f t="shared" ca="1" si="29"/>
        <v>0</v>
      </c>
      <c r="H644" s="17">
        <v>635</v>
      </c>
      <c r="I644" s="45">
        <v>0.67119261277340325</v>
      </c>
      <c r="J644" s="45">
        <v>1.9022114672033824E-2</v>
      </c>
      <c r="K644" s="45">
        <v>0.24679999999999999</v>
      </c>
      <c r="N644" s="54"/>
    </row>
    <row r="645" spans="2:14" x14ac:dyDescent="0.2">
      <c r="B645">
        <v>636</v>
      </c>
      <c r="C645" s="52">
        <f t="shared" ca="1" si="30"/>
        <v>6.6012335227112653E-2</v>
      </c>
      <c r="D645" s="52">
        <f ca="1">S0*EXP((μ-0.5*σ*σ)*T+σ*SQRT(T)*$C645)</f>
        <v>0.65569327841741754</v>
      </c>
      <c r="E645" s="52">
        <f t="shared" ca="1" si="28"/>
        <v>0</v>
      </c>
      <c r="F645" s="17">
        <f t="shared" ca="1" si="29"/>
        <v>0</v>
      </c>
      <c r="H645" s="17">
        <v>636</v>
      </c>
      <c r="I645" s="45">
        <v>0.67082993532257984</v>
      </c>
      <c r="J645" s="45">
        <v>1.882248781317088E-2</v>
      </c>
      <c r="K645" s="45">
        <v>0.25240000000000001</v>
      </c>
      <c r="N645" s="54"/>
    </row>
    <row r="646" spans="2:14" x14ac:dyDescent="0.2">
      <c r="B646">
        <v>637</v>
      </c>
      <c r="C646" s="52">
        <f t="shared" ca="1" si="30"/>
        <v>1.2331817027330338</v>
      </c>
      <c r="D646" s="52">
        <f ca="1">S0*EXP((μ-0.5*σ*σ)*T+σ*SQRT(T)*$C646)</f>
        <v>0.9053636421944864</v>
      </c>
      <c r="E646" s="52">
        <f t="shared" ca="1" si="28"/>
        <v>0</v>
      </c>
      <c r="F646" s="17">
        <f t="shared" ca="1" si="29"/>
        <v>0</v>
      </c>
      <c r="H646" s="17">
        <v>637</v>
      </c>
      <c r="I646" s="45">
        <v>0.67107966978047739</v>
      </c>
      <c r="J646" s="45">
        <v>1.9209550723535217E-2</v>
      </c>
      <c r="K646" s="45">
        <v>0.24440000000000001</v>
      </c>
      <c r="N646" s="54"/>
    </row>
    <row r="647" spans="2:14" x14ac:dyDescent="0.2">
      <c r="B647">
        <v>638</v>
      </c>
      <c r="C647" s="52">
        <f t="shared" ca="1" si="30"/>
        <v>0.93857775145636935</v>
      </c>
      <c r="D647" s="52">
        <f ca="1">S0*EXP((μ-0.5*σ*σ)*T+σ*SQRT(T)*$C647)</f>
        <v>0.83455493183557183</v>
      </c>
      <c r="E647" s="52">
        <f t="shared" ca="1" si="28"/>
        <v>0</v>
      </c>
      <c r="F647" s="17">
        <f t="shared" ca="1" si="29"/>
        <v>0</v>
      </c>
      <c r="H647" s="17">
        <v>638</v>
      </c>
      <c r="I647" s="45">
        <v>0.6700769549670017</v>
      </c>
      <c r="J647" s="45">
        <v>1.8463686597468398E-2</v>
      </c>
      <c r="K647" s="45">
        <v>0.24560000000000001</v>
      </c>
      <c r="N647" s="54"/>
    </row>
    <row r="648" spans="2:14" x14ac:dyDescent="0.2">
      <c r="B648">
        <v>639</v>
      </c>
      <c r="C648" s="52">
        <f t="shared" ca="1" si="30"/>
        <v>1.6296880796074553</v>
      </c>
      <c r="D648" s="52">
        <f ca="1">S0*EXP((μ-0.5*σ*σ)*T+σ*SQRT(T)*$C648)</f>
        <v>1.0102407338234283</v>
      </c>
      <c r="E648" s="52">
        <f t="shared" ca="1" si="28"/>
        <v>0</v>
      </c>
      <c r="F648" s="17">
        <f t="shared" ca="1" si="29"/>
        <v>0</v>
      </c>
      <c r="H648" s="17">
        <v>639</v>
      </c>
      <c r="I648" s="45">
        <v>0.67099799686016404</v>
      </c>
      <c r="J648" s="45">
        <v>1.8897739175937581E-2</v>
      </c>
      <c r="K648" s="45">
        <v>0.2452</v>
      </c>
      <c r="N648" s="54"/>
    </row>
    <row r="649" spans="2:14" x14ac:dyDescent="0.2">
      <c r="B649">
        <v>640</v>
      </c>
      <c r="C649" s="52">
        <f t="shared" ca="1" si="30"/>
        <v>-7.3340868761744768E-2</v>
      </c>
      <c r="D649" s="52">
        <f ca="1">S0*EXP((μ-0.5*σ*σ)*T+σ*SQRT(T)*$C649)</f>
        <v>0.63091513450332326</v>
      </c>
      <c r="E649" s="52">
        <f t="shared" ca="1" si="28"/>
        <v>0</v>
      </c>
      <c r="F649" s="17">
        <f t="shared" ca="1" si="29"/>
        <v>0</v>
      </c>
      <c r="H649" s="17">
        <v>640</v>
      </c>
      <c r="I649" s="45">
        <v>0.67145526895111618</v>
      </c>
      <c r="J649" s="45">
        <v>1.9512548463681938E-2</v>
      </c>
      <c r="K649" s="45">
        <v>0.24879999999999999</v>
      </c>
      <c r="N649" s="54"/>
    </row>
    <row r="650" spans="2:14" x14ac:dyDescent="0.2">
      <c r="B650">
        <v>641</v>
      </c>
      <c r="C650" s="52">
        <f t="shared" ca="1" si="30"/>
        <v>-0.75070825567034583</v>
      </c>
      <c r="D650" s="52">
        <f ca="1">S0*EXP((μ-0.5*σ*σ)*T+σ*SQRT(T)*$C650)</f>
        <v>0.52317969537260334</v>
      </c>
      <c r="E650" s="52">
        <f t="shared" ref="E650:E713" ca="1" si="31">MAX(0,CP*(D650-K))</f>
        <v>1.1220304627396649E-2</v>
      </c>
      <c r="F650" s="17">
        <f t="shared" ref="F650:F713" ca="1" si="32">(CP*(D650-K)&gt;0)*1</f>
        <v>1</v>
      </c>
      <c r="H650" s="17">
        <v>641</v>
      </c>
      <c r="I650" s="45">
        <v>0.67124124261855334</v>
      </c>
      <c r="J650" s="45">
        <v>1.9471674402424342E-2</v>
      </c>
      <c r="K650" s="45">
        <v>0.25540000000000002</v>
      </c>
      <c r="N650" s="54"/>
    </row>
    <row r="651" spans="2:14" x14ac:dyDescent="0.2">
      <c r="B651">
        <v>642</v>
      </c>
      <c r="C651" s="52">
        <f t="shared" ref="C651:C714" ca="1" si="33">_xlfn.NORM.S.INV(RAND())</f>
        <v>0.6566258459370552</v>
      </c>
      <c r="D651" s="52">
        <f ca="1">S0*EXP((μ-0.5*σ*σ)*T+σ*SQRT(T)*$C651)</f>
        <v>0.7719794212002028</v>
      </c>
      <c r="E651" s="52">
        <f t="shared" ca="1" si="31"/>
        <v>0</v>
      </c>
      <c r="F651" s="17">
        <f t="shared" ca="1" si="32"/>
        <v>0</v>
      </c>
      <c r="H651" s="17">
        <v>642</v>
      </c>
      <c r="I651" s="45">
        <v>0.67123357255506721</v>
      </c>
      <c r="J651" s="45">
        <v>1.9255965859442808E-2</v>
      </c>
      <c r="K651" s="45">
        <v>0.25280000000000002</v>
      </c>
      <c r="N651" s="54"/>
    </row>
    <row r="652" spans="2:14" x14ac:dyDescent="0.2">
      <c r="B652">
        <v>643</v>
      </c>
      <c r="C652" s="52">
        <f t="shared" ca="1" si="33"/>
        <v>-0.12548234113089948</v>
      </c>
      <c r="D652" s="52">
        <f ca="1">S0*EXP((μ-0.5*σ*σ)*T+σ*SQRT(T)*$C652)</f>
        <v>0.62188660037105215</v>
      </c>
      <c r="E652" s="52">
        <f t="shared" ca="1" si="31"/>
        <v>0</v>
      </c>
      <c r="F652" s="17">
        <f t="shared" ca="1" si="32"/>
        <v>0</v>
      </c>
      <c r="H652" s="17">
        <v>643</v>
      </c>
      <c r="I652" s="45">
        <v>0.67089192186982127</v>
      </c>
      <c r="J652" s="45">
        <v>1.8734319480655199E-2</v>
      </c>
      <c r="K652" s="45">
        <v>0.24</v>
      </c>
      <c r="N652" s="54"/>
    </row>
    <row r="653" spans="2:14" x14ac:dyDescent="0.2">
      <c r="B653">
        <v>644</v>
      </c>
      <c r="C653" s="52">
        <f t="shared" ca="1" si="33"/>
        <v>-0.93207147253857336</v>
      </c>
      <c r="D653" s="52">
        <f ca="1">S0*EXP((μ-0.5*σ*σ)*T+σ*SQRT(T)*$C653)</f>
        <v>0.49759689479720104</v>
      </c>
      <c r="E653" s="52">
        <f t="shared" ca="1" si="31"/>
        <v>3.6803105202798947E-2</v>
      </c>
      <c r="F653" s="17">
        <f t="shared" ca="1" si="32"/>
        <v>1</v>
      </c>
      <c r="H653" s="17">
        <v>644</v>
      </c>
      <c r="I653" s="45">
        <v>0.67062781704905583</v>
      </c>
      <c r="J653" s="45">
        <v>1.8799155519895736E-2</v>
      </c>
      <c r="K653" s="45">
        <v>0.24399999999999999</v>
      </c>
      <c r="N653" s="54"/>
    </row>
    <row r="654" spans="2:14" x14ac:dyDescent="0.2">
      <c r="B654">
        <v>645</v>
      </c>
      <c r="C654" s="52">
        <f t="shared" ca="1" si="33"/>
        <v>0.78797674044458332</v>
      </c>
      <c r="D654" s="52">
        <f ca="1">S0*EXP((μ-0.5*σ*σ)*T+σ*SQRT(T)*$C654)</f>
        <v>0.80052483078254377</v>
      </c>
      <c r="E654" s="52">
        <f t="shared" ca="1" si="31"/>
        <v>0</v>
      </c>
      <c r="F654" s="17">
        <f t="shared" ca="1" si="32"/>
        <v>0</v>
      </c>
      <c r="H654" s="17">
        <v>645</v>
      </c>
      <c r="I654" s="45">
        <v>0.67074034923539416</v>
      </c>
      <c r="J654" s="45">
        <v>1.8984959241268654E-2</v>
      </c>
      <c r="K654" s="45">
        <v>0.24679999999999999</v>
      </c>
      <c r="N654" s="54"/>
    </row>
    <row r="655" spans="2:14" x14ac:dyDescent="0.2">
      <c r="B655">
        <v>646</v>
      </c>
      <c r="C655" s="52">
        <f t="shared" ca="1" si="33"/>
        <v>0.29395520319314888</v>
      </c>
      <c r="D655" s="52">
        <f ca="1">S0*EXP((μ-0.5*σ*σ)*T+σ*SQRT(T)*$C655)</f>
        <v>0.69833849566909978</v>
      </c>
      <c r="E655" s="52">
        <f t="shared" ca="1" si="31"/>
        <v>0</v>
      </c>
      <c r="F655" s="17">
        <f t="shared" ca="1" si="32"/>
        <v>0</v>
      </c>
      <c r="H655" s="17">
        <v>646</v>
      </c>
      <c r="I655" s="45">
        <v>0.67023904829578274</v>
      </c>
      <c r="J655" s="45">
        <v>1.8662199749798519E-2</v>
      </c>
      <c r="K655" s="45">
        <v>0.24079999999999999</v>
      </c>
      <c r="N655" s="54"/>
    </row>
    <row r="656" spans="2:14" x14ac:dyDescent="0.2">
      <c r="B656">
        <v>647</v>
      </c>
      <c r="C656" s="52">
        <f t="shared" ca="1" si="33"/>
        <v>-0.19422628864235544</v>
      </c>
      <c r="D656" s="52">
        <f ca="1">S0*EXP((μ-0.5*σ*σ)*T+σ*SQRT(T)*$C656)</f>
        <v>0.61018042946381601</v>
      </c>
      <c r="E656" s="52">
        <f t="shared" ca="1" si="31"/>
        <v>0</v>
      </c>
      <c r="F656" s="17">
        <f t="shared" ca="1" si="32"/>
        <v>0</v>
      </c>
      <c r="H656" s="17">
        <v>647</v>
      </c>
      <c r="I656" s="45">
        <v>0.67072457858887291</v>
      </c>
      <c r="J656" s="45">
        <v>1.8960978698300244E-2</v>
      </c>
      <c r="K656" s="45">
        <v>0.2414</v>
      </c>
      <c r="N656" s="54"/>
    </row>
    <row r="657" spans="2:14" x14ac:dyDescent="0.2">
      <c r="B657">
        <v>648</v>
      </c>
      <c r="C657" s="52">
        <f t="shared" ca="1" si="33"/>
        <v>-7.0817638844208851E-3</v>
      </c>
      <c r="D657" s="52">
        <f ca="1">S0*EXP((μ-0.5*σ*σ)*T+σ*SQRT(T)*$C657)</f>
        <v>0.64257756338894911</v>
      </c>
      <c r="E657" s="52">
        <f t="shared" ca="1" si="31"/>
        <v>0</v>
      </c>
      <c r="F657" s="17">
        <f t="shared" ca="1" si="32"/>
        <v>0</v>
      </c>
      <c r="H657" s="17">
        <v>648</v>
      </c>
      <c r="I657" s="45">
        <v>0.67069083497438164</v>
      </c>
      <c r="J657" s="45">
        <v>1.8856433847436294E-2</v>
      </c>
      <c r="K657" s="45">
        <v>0.25080000000000002</v>
      </c>
      <c r="N657" s="54"/>
    </row>
    <row r="658" spans="2:14" x14ac:dyDescent="0.2">
      <c r="B658">
        <v>649</v>
      </c>
      <c r="C658" s="52">
        <f t="shared" ca="1" si="33"/>
        <v>-0.29901527698430869</v>
      </c>
      <c r="D658" s="52">
        <f ca="1">S0*EXP((μ-0.5*σ*σ)*T+σ*SQRT(T)*$C658)</f>
        <v>0.59275882677097291</v>
      </c>
      <c r="E658" s="52">
        <f t="shared" ca="1" si="31"/>
        <v>0</v>
      </c>
      <c r="F658" s="17">
        <f t="shared" ca="1" si="32"/>
        <v>0</v>
      </c>
      <c r="H658" s="17">
        <v>649</v>
      </c>
      <c r="I658" s="45">
        <v>0.67147176276788001</v>
      </c>
      <c r="J658" s="45">
        <v>1.960601333471159E-2</v>
      </c>
      <c r="K658" s="45">
        <v>0.25380000000000003</v>
      </c>
      <c r="N658" s="54"/>
    </row>
    <row r="659" spans="2:14" x14ac:dyDescent="0.2">
      <c r="B659">
        <v>650</v>
      </c>
      <c r="C659" s="52">
        <f t="shared" ca="1" si="33"/>
        <v>1.0603483736834858</v>
      </c>
      <c r="D659" s="52">
        <f ca="1">S0*EXP((μ-0.5*σ*σ)*T+σ*SQRT(T)*$C659)</f>
        <v>0.86312534691612663</v>
      </c>
      <c r="E659" s="52">
        <f t="shared" ca="1" si="31"/>
        <v>0</v>
      </c>
      <c r="F659" s="17">
        <f t="shared" ca="1" si="32"/>
        <v>0</v>
      </c>
      <c r="H659" s="17">
        <v>650</v>
      </c>
      <c r="I659" s="45">
        <v>0.67043923559865726</v>
      </c>
      <c r="J659" s="45">
        <v>1.9054016242100066E-2</v>
      </c>
      <c r="K659" s="45">
        <v>0.24679999999999999</v>
      </c>
      <c r="N659" s="54"/>
    </row>
    <row r="660" spans="2:14" x14ac:dyDescent="0.2">
      <c r="B660">
        <v>651</v>
      </c>
      <c r="C660" s="52">
        <f t="shared" ca="1" si="33"/>
        <v>1.6013488651173584</v>
      </c>
      <c r="D660" s="52">
        <f ca="1">S0*EXP((μ-0.5*σ*σ)*T+σ*SQRT(T)*$C660)</f>
        <v>1.002357547148665</v>
      </c>
      <c r="E660" s="52">
        <f t="shared" ca="1" si="31"/>
        <v>0</v>
      </c>
      <c r="F660" s="17">
        <f t="shared" ca="1" si="32"/>
        <v>0</v>
      </c>
      <c r="H660" s="17">
        <v>651</v>
      </c>
      <c r="I660" s="45">
        <v>0.67010236250661293</v>
      </c>
      <c r="J660" s="45">
        <v>1.8190711785167596E-2</v>
      </c>
      <c r="K660" s="45">
        <v>0.23699999999999999</v>
      </c>
      <c r="N660" s="54"/>
    </row>
    <row r="661" spans="2:14" x14ac:dyDescent="0.2">
      <c r="B661">
        <v>652</v>
      </c>
      <c r="C661" s="52">
        <f t="shared" ca="1" si="33"/>
        <v>-0.95800724812217464</v>
      </c>
      <c r="D661" s="52">
        <f ca="1">S0*EXP((μ-0.5*σ*σ)*T+σ*SQRT(T)*$C661)</f>
        <v>0.49404213616199827</v>
      </c>
      <c r="E661" s="52">
        <f t="shared" ca="1" si="31"/>
        <v>4.0357863838001717E-2</v>
      </c>
      <c r="F661" s="17">
        <f t="shared" ca="1" si="32"/>
        <v>1</v>
      </c>
      <c r="H661" s="17">
        <v>652</v>
      </c>
      <c r="I661" s="45">
        <v>0.66992685769539118</v>
      </c>
      <c r="J661" s="45">
        <v>1.8173269152817043E-2</v>
      </c>
      <c r="K661" s="45">
        <v>0.2472</v>
      </c>
      <c r="N661" s="54"/>
    </row>
    <row r="662" spans="2:14" x14ac:dyDescent="0.2">
      <c r="B662">
        <v>653</v>
      </c>
      <c r="C662" s="52">
        <f t="shared" ca="1" si="33"/>
        <v>0.70288085550756829</v>
      </c>
      <c r="D662" s="52">
        <f ca="1">S0*EXP((μ-0.5*σ*σ)*T+σ*SQRT(T)*$C662)</f>
        <v>0.781913625975029</v>
      </c>
      <c r="E662" s="52">
        <f t="shared" ca="1" si="31"/>
        <v>0</v>
      </c>
      <c r="F662" s="17">
        <f t="shared" ca="1" si="32"/>
        <v>0</v>
      </c>
      <c r="H662" s="17">
        <v>653</v>
      </c>
      <c r="I662" s="45">
        <v>0.6711881027134976</v>
      </c>
      <c r="J662" s="45">
        <v>1.9212573252469514E-2</v>
      </c>
      <c r="K662" s="45">
        <v>0.24979999999999999</v>
      </c>
      <c r="N662" s="54"/>
    </row>
    <row r="663" spans="2:14" x14ac:dyDescent="0.2">
      <c r="B663">
        <v>654</v>
      </c>
      <c r="C663" s="52">
        <f t="shared" ca="1" si="33"/>
        <v>-1.6881491088830435E-2</v>
      </c>
      <c r="D663" s="52">
        <f ca="1">S0*EXP((μ-0.5*σ*σ)*T+σ*SQRT(T)*$C663)</f>
        <v>0.6408392000493609</v>
      </c>
      <c r="E663" s="52">
        <f t="shared" ca="1" si="31"/>
        <v>0</v>
      </c>
      <c r="F663" s="17">
        <f t="shared" ca="1" si="32"/>
        <v>0</v>
      </c>
      <c r="H663" s="17">
        <v>654</v>
      </c>
      <c r="I663" s="45">
        <v>0.67079609816146535</v>
      </c>
      <c r="J663" s="45">
        <v>1.8918859718471105E-2</v>
      </c>
      <c r="K663" s="45">
        <v>0.24479999999999999</v>
      </c>
      <c r="N663" s="54"/>
    </row>
    <row r="664" spans="2:14" x14ac:dyDescent="0.2">
      <c r="B664">
        <v>655</v>
      </c>
      <c r="C664" s="52">
        <f t="shared" ca="1" si="33"/>
        <v>0.36096354305878842</v>
      </c>
      <c r="D664" s="52">
        <f ca="1">S0*EXP((μ-0.5*σ*σ)*T+σ*SQRT(T)*$C664)</f>
        <v>0.71139456513384192</v>
      </c>
      <c r="E664" s="52">
        <f t="shared" ca="1" si="31"/>
        <v>0</v>
      </c>
      <c r="F664" s="17">
        <f t="shared" ca="1" si="32"/>
        <v>0</v>
      </c>
      <c r="H664" s="17">
        <v>655</v>
      </c>
      <c r="I664" s="45">
        <v>0.66992571490349295</v>
      </c>
      <c r="J664" s="45">
        <v>1.8178935134072271E-2</v>
      </c>
      <c r="K664" s="45">
        <v>0.24340000000000001</v>
      </c>
      <c r="N664" s="54"/>
    </row>
    <row r="665" spans="2:14" x14ac:dyDescent="0.2">
      <c r="B665">
        <v>656</v>
      </c>
      <c r="C665" s="52">
        <f t="shared" ca="1" si="33"/>
        <v>0.68071560671403641</v>
      </c>
      <c r="D665" s="52">
        <f ca="1">S0*EXP((μ-0.5*σ*σ)*T+σ*SQRT(T)*$C665)</f>
        <v>0.77713733595695123</v>
      </c>
      <c r="E665" s="52">
        <f t="shared" ca="1" si="31"/>
        <v>0</v>
      </c>
      <c r="F665" s="17">
        <f t="shared" ca="1" si="32"/>
        <v>0</v>
      </c>
      <c r="H665" s="17">
        <v>656</v>
      </c>
      <c r="I665" s="45">
        <v>0.66983981411935356</v>
      </c>
      <c r="J665" s="45">
        <v>1.8170050370107889E-2</v>
      </c>
      <c r="K665" s="45">
        <v>0.24340000000000001</v>
      </c>
      <c r="N665" s="54"/>
    </row>
    <row r="666" spans="2:14" x14ac:dyDescent="0.2">
      <c r="B666">
        <v>657</v>
      </c>
      <c r="C666" s="52">
        <f t="shared" ca="1" si="33"/>
        <v>-0.28331433346957691</v>
      </c>
      <c r="D666" s="52">
        <f ca="1">S0*EXP((μ-0.5*σ*σ)*T+σ*SQRT(T)*$C666)</f>
        <v>0.59533714023970974</v>
      </c>
      <c r="E666" s="52">
        <f t="shared" ca="1" si="31"/>
        <v>0</v>
      </c>
      <c r="F666" s="17">
        <f t="shared" ca="1" si="32"/>
        <v>0</v>
      </c>
      <c r="H666" s="17">
        <v>657</v>
      </c>
      <c r="I666" s="45">
        <v>0.67066759709540436</v>
      </c>
      <c r="J666" s="45">
        <v>1.8696045209065631E-2</v>
      </c>
      <c r="K666" s="45">
        <v>0.24</v>
      </c>
      <c r="N666" s="54"/>
    </row>
    <row r="667" spans="2:14" x14ac:dyDescent="0.2">
      <c r="B667">
        <v>658</v>
      </c>
      <c r="C667" s="52">
        <f t="shared" ca="1" si="33"/>
        <v>-0.25713583022001524</v>
      </c>
      <c r="D667" s="52">
        <f ca="1">S0*EXP((μ-0.5*σ*σ)*T+σ*SQRT(T)*$C667)</f>
        <v>0.59966097674748242</v>
      </c>
      <c r="E667" s="52">
        <f t="shared" ca="1" si="31"/>
        <v>0</v>
      </c>
      <c r="F667" s="17">
        <f t="shared" ca="1" si="32"/>
        <v>0</v>
      </c>
      <c r="H667" s="17">
        <v>658</v>
      </c>
      <c r="I667" s="45">
        <v>0.67030462982862737</v>
      </c>
      <c r="J667" s="45">
        <v>1.8721545304902918E-2</v>
      </c>
      <c r="K667" s="45">
        <v>0.2442</v>
      </c>
      <c r="N667" s="54"/>
    </row>
    <row r="668" spans="2:14" x14ac:dyDescent="0.2">
      <c r="B668">
        <v>659</v>
      </c>
      <c r="C668" s="52">
        <f t="shared" ca="1" si="33"/>
        <v>-0.70599375308993095</v>
      </c>
      <c r="D668" s="52">
        <f ca="1">S0*EXP((μ-0.5*σ*σ)*T+σ*SQRT(T)*$C668)</f>
        <v>0.52968661179871857</v>
      </c>
      <c r="E668" s="52">
        <f t="shared" ca="1" si="31"/>
        <v>4.713388201281421E-3</v>
      </c>
      <c r="F668" s="17">
        <f t="shared" ca="1" si="32"/>
        <v>1</v>
      </c>
      <c r="H668" s="17">
        <v>659</v>
      </c>
      <c r="I668" s="45">
        <v>0.67166687772808498</v>
      </c>
      <c r="J668" s="45">
        <v>1.9548255489029203E-2</v>
      </c>
      <c r="K668" s="45">
        <v>0.252</v>
      </c>
      <c r="N668" s="54"/>
    </row>
    <row r="669" spans="2:14" x14ac:dyDescent="0.2">
      <c r="B669">
        <v>660</v>
      </c>
      <c r="C669" s="52">
        <f t="shared" ca="1" si="33"/>
        <v>-1.1304786599122665</v>
      </c>
      <c r="D669" s="52">
        <f ca="1">S0*EXP((μ-0.5*σ*σ)*T+σ*SQRT(T)*$C669)</f>
        <v>0.47104051227616073</v>
      </c>
      <c r="E669" s="52">
        <f t="shared" ca="1" si="31"/>
        <v>6.3359487723839258E-2</v>
      </c>
      <c r="F669" s="17">
        <f t="shared" ca="1" si="32"/>
        <v>1</v>
      </c>
      <c r="H669" s="17">
        <v>660</v>
      </c>
      <c r="I669" s="45">
        <v>0.67042633867418322</v>
      </c>
      <c r="J669" s="45">
        <v>1.8712250701020231E-2</v>
      </c>
      <c r="K669" s="45">
        <v>0.246</v>
      </c>
      <c r="N669" s="54"/>
    </row>
    <row r="670" spans="2:14" x14ac:dyDescent="0.2">
      <c r="B670">
        <v>661</v>
      </c>
      <c r="C670" s="52">
        <f t="shared" ca="1" si="33"/>
        <v>-0.12206055211232877</v>
      </c>
      <c r="D670" s="52">
        <f ca="1">S0*EXP((μ-0.5*σ*σ)*T+σ*SQRT(T)*$C670)</f>
        <v>0.622475117305058</v>
      </c>
      <c r="E670" s="52">
        <f t="shared" ca="1" si="31"/>
        <v>0</v>
      </c>
      <c r="F670" s="17">
        <f t="shared" ca="1" si="32"/>
        <v>0</v>
      </c>
      <c r="H670" s="17">
        <v>661</v>
      </c>
      <c r="I670" s="45">
        <v>0.67003083028340904</v>
      </c>
      <c r="J670" s="45">
        <v>1.8029678097466733E-2</v>
      </c>
      <c r="K670" s="45">
        <v>0.2382</v>
      </c>
      <c r="N670" s="54"/>
    </row>
    <row r="671" spans="2:14" x14ac:dyDescent="0.2">
      <c r="B671">
        <v>662</v>
      </c>
      <c r="C671" s="52">
        <f t="shared" ca="1" si="33"/>
        <v>-0.33810898889142843</v>
      </c>
      <c r="D671" s="52">
        <f ca="1">S0*EXP((μ-0.5*σ*σ)*T+σ*SQRT(T)*$C671)</f>
        <v>0.5863875053902794</v>
      </c>
      <c r="E671" s="52">
        <f t="shared" ca="1" si="31"/>
        <v>0</v>
      </c>
      <c r="F671" s="17">
        <f t="shared" ca="1" si="32"/>
        <v>0</v>
      </c>
      <c r="H671" s="17">
        <v>662</v>
      </c>
      <c r="I671" s="45">
        <v>0.6700143509871197</v>
      </c>
      <c r="J671" s="45">
        <v>1.8479412781181283E-2</v>
      </c>
      <c r="K671" s="45">
        <v>0.24360000000000001</v>
      </c>
      <c r="N671" s="54"/>
    </row>
    <row r="672" spans="2:14" x14ac:dyDescent="0.2">
      <c r="B672">
        <v>663</v>
      </c>
      <c r="C672" s="52">
        <f t="shared" ca="1" si="33"/>
        <v>0.71692990144841473</v>
      </c>
      <c r="D672" s="52">
        <f ca="1">S0*EXP((μ-0.5*σ*σ)*T+σ*SQRT(T)*$C672)</f>
        <v>0.78495618018372215</v>
      </c>
      <c r="E672" s="52">
        <f t="shared" ca="1" si="31"/>
        <v>0</v>
      </c>
      <c r="F672" s="17">
        <f t="shared" ca="1" si="32"/>
        <v>0</v>
      </c>
      <c r="H672" s="17">
        <v>663</v>
      </c>
      <c r="I672" s="45">
        <v>0.67188858356490533</v>
      </c>
      <c r="J672" s="45">
        <v>1.958898036705202E-2</v>
      </c>
      <c r="K672" s="45">
        <v>0.25419999999999998</v>
      </c>
      <c r="N672" s="54"/>
    </row>
    <row r="673" spans="2:14" x14ac:dyDescent="0.2">
      <c r="B673">
        <v>664</v>
      </c>
      <c r="C673" s="52">
        <f t="shared" ca="1" si="33"/>
        <v>-1.8434144581103853</v>
      </c>
      <c r="D673" s="52">
        <f ca="1">S0*EXP((μ-0.5*σ*σ)*T+σ*SQRT(T)*$C673)</f>
        <v>0.38678364093315398</v>
      </c>
      <c r="E673" s="52">
        <f t="shared" ca="1" si="31"/>
        <v>0.147616359066846</v>
      </c>
      <c r="F673" s="17">
        <f t="shared" ca="1" si="32"/>
        <v>1</v>
      </c>
      <c r="H673" s="17">
        <v>664</v>
      </c>
      <c r="I673" s="45">
        <v>0.67121193291825487</v>
      </c>
      <c r="J673" s="45">
        <v>1.9209453908357703E-2</v>
      </c>
      <c r="K673" s="45">
        <v>0.24379999999999999</v>
      </c>
      <c r="N673" s="54"/>
    </row>
    <row r="674" spans="2:14" x14ac:dyDescent="0.2">
      <c r="B674">
        <v>665</v>
      </c>
      <c r="C674" s="52">
        <f t="shared" ca="1" si="33"/>
        <v>1.2619536243608329</v>
      </c>
      <c r="D674" s="52">
        <f ca="1">S0*EXP((μ-0.5*σ*σ)*T+σ*SQRT(T)*$C674)</f>
        <v>0.9125931588838242</v>
      </c>
      <c r="E674" s="52">
        <f t="shared" ca="1" si="31"/>
        <v>0</v>
      </c>
      <c r="F674" s="17">
        <f t="shared" ca="1" si="32"/>
        <v>0</v>
      </c>
      <c r="H674" s="17">
        <v>665</v>
      </c>
      <c r="I674" s="45">
        <v>0.67204567854849095</v>
      </c>
      <c r="J674" s="45">
        <v>1.9934208992710846E-2</v>
      </c>
      <c r="K674" s="45">
        <v>0.253</v>
      </c>
      <c r="N674" s="54"/>
    </row>
    <row r="675" spans="2:14" x14ac:dyDescent="0.2">
      <c r="B675">
        <v>666</v>
      </c>
      <c r="C675" s="52">
        <f t="shared" ca="1" si="33"/>
        <v>0.94831310737543795</v>
      </c>
      <c r="D675" s="52">
        <f ca="1">S0*EXP((μ-0.5*σ*σ)*T+σ*SQRT(T)*$C675)</f>
        <v>0.83680388491385149</v>
      </c>
      <c r="E675" s="52">
        <f t="shared" ca="1" si="31"/>
        <v>0</v>
      </c>
      <c r="F675" s="17">
        <f t="shared" ca="1" si="32"/>
        <v>0</v>
      </c>
      <c r="H675" s="17">
        <v>666</v>
      </c>
      <c r="I675" s="45">
        <v>0.67019979147115905</v>
      </c>
      <c r="J675" s="45">
        <v>1.8317653981947599E-2</v>
      </c>
      <c r="K675" s="45">
        <v>0.2394</v>
      </c>
      <c r="N675" s="54"/>
    </row>
    <row r="676" spans="2:14" x14ac:dyDescent="0.2">
      <c r="B676">
        <v>667</v>
      </c>
      <c r="C676" s="52">
        <f t="shared" ca="1" si="33"/>
        <v>-0.1310939285948389</v>
      </c>
      <c r="D676" s="52">
        <f ca="1">S0*EXP((μ-0.5*σ*σ)*T+σ*SQRT(T)*$C676)</f>
        <v>0.62092266202575297</v>
      </c>
      <c r="E676" s="52">
        <f t="shared" ca="1" si="31"/>
        <v>0</v>
      </c>
      <c r="F676" s="17">
        <f t="shared" ca="1" si="32"/>
        <v>0</v>
      </c>
      <c r="H676" s="17">
        <v>667</v>
      </c>
      <c r="I676" s="45">
        <v>0.67197463955329051</v>
      </c>
      <c r="J676" s="45">
        <v>1.9596623718489466E-2</v>
      </c>
      <c r="K676" s="45">
        <v>0.24940000000000001</v>
      </c>
      <c r="N676" s="54"/>
    </row>
    <row r="677" spans="2:14" x14ac:dyDescent="0.2">
      <c r="B677">
        <v>668</v>
      </c>
      <c r="C677" s="52">
        <f t="shared" ca="1" si="33"/>
        <v>0.37295613672261113</v>
      </c>
      <c r="D677" s="52">
        <f ca="1">S0*EXP((μ-0.5*σ*σ)*T+σ*SQRT(T)*$C677)</f>
        <v>0.71375685320484095</v>
      </c>
      <c r="E677" s="52">
        <f t="shared" ca="1" si="31"/>
        <v>0</v>
      </c>
      <c r="F677" s="17">
        <f t="shared" ca="1" si="32"/>
        <v>0</v>
      </c>
      <c r="H677" s="17">
        <v>668</v>
      </c>
      <c r="I677" s="45">
        <v>0.670991802421669</v>
      </c>
      <c r="J677" s="45">
        <v>1.8869731343621386E-2</v>
      </c>
      <c r="K677" s="45">
        <v>0.2492</v>
      </c>
      <c r="N677" s="54"/>
    </row>
    <row r="678" spans="2:14" x14ac:dyDescent="0.2">
      <c r="B678">
        <v>669</v>
      </c>
      <c r="C678" s="52">
        <f t="shared" ca="1" si="33"/>
        <v>-0.11549623425528793</v>
      </c>
      <c r="D678" s="52">
        <f ca="1">S0*EXP((μ-0.5*σ*σ)*T+σ*SQRT(T)*$C678)</f>
        <v>0.62360568042133968</v>
      </c>
      <c r="E678" s="52">
        <f t="shared" ca="1" si="31"/>
        <v>0</v>
      </c>
      <c r="F678" s="17">
        <f t="shared" ca="1" si="32"/>
        <v>0</v>
      </c>
      <c r="H678" s="17">
        <v>669</v>
      </c>
      <c r="I678" s="45">
        <v>0.67069701776621937</v>
      </c>
      <c r="J678" s="45">
        <v>1.8852143617286533E-2</v>
      </c>
      <c r="K678" s="45">
        <v>0.247</v>
      </c>
      <c r="N678" s="54"/>
    </row>
    <row r="679" spans="2:14" x14ac:dyDescent="0.2">
      <c r="B679">
        <v>670</v>
      </c>
      <c r="C679" s="52">
        <f t="shared" ca="1" si="33"/>
        <v>-0.69196830172765589</v>
      </c>
      <c r="D679" s="52">
        <f ca="1">S0*EXP((μ-0.5*σ*σ)*T+σ*SQRT(T)*$C679)</f>
        <v>0.53174424110052343</v>
      </c>
      <c r="E679" s="52">
        <f t="shared" ca="1" si="31"/>
        <v>2.6557588994765569E-3</v>
      </c>
      <c r="F679" s="17">
        <f t="shared" ca="1" si="32"/>
        <v>1</v>
      </c>
      <c r="H679" s="17">
        <v>670</v>
      </c>
      <c r="I679" s="45">
        <v>0.67150108066684056</v>
      </c>
      <c r="J679" s="45">
        <v>1.9451852341992409E-2</v>
      </c>
      <c r="K679" s="45">
        <v>0.25419999999999998</v>
      </c>
      <c r="N679" s="54"/>
    </row>
    <row r="680" spans="2:14" x14ac:dyDescent="0.2">
      <c r="B680">
        <v>671</v>
      </c>
      <c r="C680" s="52">
        <f t="shared" ca="1" si="33"/>
        <v>0.16470304388000012</v>
      </c>
      <c r="D680" s="52">
        <f ca="1">S0*EXP((μ-0.5*σ*σ)*T+σ*SQRT(T)*$C680)</f>
        <v>0.67382769768738604</v>
      </c>
      <c r="E680" s="52">
        <f t="shared" ca="1" si="31"/>
        <v>0</v>
      </c>
      <c r="F680" s="17">
        <f t="shared" ca="1" si="32"/>
        <v>0</v>
      </c>
      <c r="H680" s="17">
        <v>671</v>
      </c>
      <c r="I680" s="45">
        <v>0.66985487589405335</v>
      </c>
      <c r="J680" s="45">
        <v>1.8160844380167906E-2</v>
      </c>
      <c r="K680" s="45">
        <v>0.2384</v>
      </c>
      <c r="N680" s="54"/>
    </row>
    <row r="681" spans="2:14" x14ac:dyDescent="0.2">
      <c r="B681">
        <v>672</v>
      </c>
      <c r="C681" s="52">
        <f t="shared" ca="1" si="33"/>
        <v>1.1244495012093174</v>
      </c>
      <c r="D681" s="52">
        <f ca="1">S0*EXP((μ-0.5*σ*σ)*T+σ*SQRT(T)*$C681)</f>
        <v>0.87855592202521204</v>
      </c>
      <c r="E681" s="52">
        <f t="shared" ca="1" si="31"/>
        <v>0</v>
      </c>
      <c r="F681" s="17">
        <f t="shared" ca="1" si="32"/>
        <v>0</v>
      </c>
      <c r="H681" s="17">
        <v>672</v>
      </c>
      <c r="I681" s="45">
        <v>0.67074467712947716</v>
      </c>
      <c r="J681" s="45">
        <v>1.8909416155686871E-2</v>
      </c>
      <c r="K681" s="45">
        <v>0.24740000000000001</v>
      </c>
      <c r="N681" s="54"/>
    </row>
    <row r="682" spans="2:14" x14ac:dyDescent="0.2">
      <c r="B682">
        <v>673</v>
      </c>
      <c r="C682" s="52">
        <f t="shared" ca="1" si="33"/>
        <v>-0.57949957063216295</v>
      </c>
      <c r="D682" s="52">
        <f ca="1">S0*EXP((μ-0.5*σ*σ)*T+σ*SQRT(T)*$C682)</f>
        <v>0.54853585013821804</v>
      </c>
      <c r="E682" s="52">
        <f t="shared" ca="1" si="31"/>
        <v>0</v>
      </c>
      <c r="F682" s="17">
        <f t="shared" ca="1" si="32"/>
        <v>0</v>
      </c>
      <c r="H682" s="17">
        <v>673</v>
      </c>
      <c r="I682" s="45">
        <v>0.66999793277354414</v>
      </c>
      <c r="J682" s="45">
        <v>1.8139249814329964E-2</v>
      </c>
      <c r="K682" s="45">
        <v>0.24199999999999999</v>
      </c>
      <c r="N682" s="54"/>
    </row>
    <row r="683" spans="2:14" x14ac:dyDescent="0.2">
      <c r="B683">
        <v>674</v>
      </c>
      <c r="C683" s="52">
        <f t="shared" ca="1" si="33"/>
        <v>0.42880626294818786</v>
      </c>
      <c r="D683" s="52">
        <f ca="1">S0*EXP((μ-0.5*σ*σ)*T+σ*SQRT(T)*$C683)</f>
        <v>0.72486189956820923</v>
      </c>
      <c r="E683" s="52">
        <f t="shared" ca="1" si="31"/>
        <v>0</v>
      </c>
      <c r="F683" s="17">
        <f t="shared" ca="1" si="32"/>
        <v>0</v>
      </c>
      <c r="H683" s="17">
        <v>674</v>
      </c>
      <c r="I683" s="45">
        <v>0.67224367147791531</v>
      </c>
      <c r="J683" s="45">
        <v>1.9964850525981553E-2</v>
      </c>
      <c r="K683" s="45">
        <v>0.25700000000000001</v>
      </c>
      <c r="N683" s="54"/>
    </row>
    <row r="684" spans="2:14" x14ac:dyDescent="0.2">
      <c r="B684">
        <v>675</v>
      </c>
      <c r="C684" s="52">
        <f t="shared" ca="1" si="33"/>
        <v>0.63960486743848954</v>
      </c>
      <c r="D684" s="52">
        <f ca="1">S0*EXP((μ-0.5*σ*σ)*T+σ*SQRT(T)*$C684)</f>
        <v>0.76835567261959969</v>
      </c>
      <c r="E684" s="52">
        <f t="shared" ca="1" si="31"/>
        <v>0</v>
      </c>
      <c r="F684" s="17">
        <f t="shared" ca="1" si="32"/>
        <v>0</v>
      </c>
      <c r="H684" s="17">
        <v>675</v>
      </c>
      <c r="I684" s="45">
        <v>0.66991084323024086</v>
      </c>
      <c r="J684" s="45">
        <v>1.8283629532057647E-2</v>
      </c>
      <c r="K684" s="45">
        <v>0.24859999999999999</v>
      </c>
      <c r="N684" s="54"/>
    </row>
    <row r="685" spans="2:14" x14ac:dyDescent="0.2">
      <c r="B685">
        <v>676</v>
      </c>
      <c r="C685" s="52">
        <f t="shared" ca="1" si="33"/>
        <v>-0.38365055389492692</v>
      </c>
      <c r="D685" s="52">
        <f ca="1">S0*EXP((μ-0.5*σ*σ)*T+σ*SQRT(T)*$C685)</f>
        <v>0.57905164690144029</v>
      </c>
      <c r="E685" s="52">
        <f t="shared" ca="1" si="31"/>
        <v>0</v>
      </c>
      <c r="F685" s="17">
        <f t="shared" ca="1" si="32"/>
        <v>0</v>
      </c>
      <c r="H685" s="17">
        <v>676</v>
      </c>
      <c r="I685" s="45">
        <v>0.67163568656910499</v>
      </c>
      <c r="J685" s="45">
        <v>1.960405873573386E-2</v>
      </c>
      <c r="K685" s="45">
        <v>0.24879999999999999</v>
      </c>
      <c r="N685" s="54"/>
    </row>
    <row r="686" spans="2:14" x14ac:dyDescent="0.2">
      <c r="B686">
        <v>677</v>
      </c>
      <c r="C686" s="52">
        <f t="shared" ca="1" si="33"/>
        <v>0.62158455957136816</v>
      </c>
      <c r="D686" s="52">
        <f ca="1">S0*EXP((μ-0.5*σ*σ)*T+σ*SQRT(T)*$C686)</f>
        <v>0.76453770375712293</v>
      </c>
      <c r="E686" s="52">
        <f t="shared" ca="1" si="31"/>
        <v>0</v>
      </c>
      <c r="F686" s="17">
        <f t="shared" ca="1" si="32"/>
        <v>0</v>
      </c>
      <c r="H686" s="17">
        <v>677</v>
      </c>
      <c r="I686" s="45">
        <v>0.67204220070241671</v>
      </c>
      <c r="J686" s="45">
        <v>1.9959116105156344E-2</v>
      </c>
      <c r="K686" s="45">
        <v>0.2576</v>
      </c>
      <c r="N686" s="54"/>
    </row>
    <row r="687" spans="2:14" x14ac:dyDescent="0.2">
      <c r="B687">
        <v>678</v>
      </c>
      <c r="C687" s="52">
        <f t="shared" ca="1" si="33"/>
        <v>-1.1875750645773719</v>
      </c>
      <c r="D687" s="52">
        <f ca="1">S0*EXP((μ-0.5*σ*σ)*T+σ*SQRT(T)*$C687)</f>
        <v>0.46366430093517252</v>
      </c>
      <c r="E687" s="52">
        <f t="shared" ca="1" si="31"/>
        <v>7.0735699064827462E-2</v>
      </c>
      <c r="F687" s="17">
        <f t="shared" ca="1" si="32"/>
        <v>1</v>
      </c>
      <c r="H687" s="17">
        <v>678</v>
      </c>
      <c r="I687" s="45">
        <v>0.67151178219795871</v>
      </c>
      <c r="J687" s="45">
        <v>1.944913983163099E-2</v>
      </c>
      <c r="K687" s="45">
        <v>0.2492</v>
      </c>
      <c r="N687" s="54"/>
    </row>
    <row r="688" spans="2:14" x14ac:dyDescent="0.2">
      <c r="B688">
        <v>679</v>
      </c>
      <c r="C688" s="52">
        <f t="shared" ca="1" si="33"/>
        <v>0.74310333884226731</v>
      </c>
      <c r="D688" s="52">
        <f ca="1">S0*EXP((μ-0.5*σ*σ)*T+σ*SQRT(T)*$C688)</f>
        <v>0.79065608162863232</v>
      </c>
      <c r="E688" s="52">
        <f t="shared" ca="1" si="31"/>
        <v>0</v>
      </c>
      <c r="F688" s="17">
        <f t="shared" ca="1" si="32"/>
        <v>0</v>
      </c>
      <c r="H688" s="17">
        <v>679</v>
      </c>
      <c r="I688" s="45">
        <v>0.6710229355352062</v>
      </c>
      <c r="J688" s="45">
        <v>1.8935221318603236E-2</v>
      </c>
      <c r="K688" s="45">
        <v>0.24099999999999999</v>
      </c>
      <c r="N688" s="54"/>
    </row>
    <row r="689" spans="2:14" x14ac:dyDescent="0.2">
      <c r="B689">
        <v>680</v>
      </c>
      <c r="C689" s="52">
        <f t="shared" ca="1" si="33"/>
        <v>-0.7281412927354084</v>
      </c>
      <c r="D689" s="52">
        <f ca="1">S0*EXP((μ-0.5*σ*σ)*T+σ*SQRT(T)*$C689)</f>
        <v>0.52645361821036074</v>
      </c>
      <c r="E689" s="52">
        <f t="shared" ca="1" si="31"/>
        <v>7.9463817896392452E-3</v>
      </c>
      <c r="F689" s="17">
        <f t="shared" ca="1" si="32"/>
        <v>1</v>
      </c>
      <c r="H689" s="17">
        <v>680</v>
      </c>
      <c r="I689" s="45">
        <v>0.67178850194236528</v>
      </c>
      <c r="J689" s="45">
        <v>1.9513783725879516E-2</v>
      </c>
      <c r="K689" s="45">
        <v>0.248</v>
      </c>
      <c r="N689" s="54"/>
    </row>
    <row r="690" spans="2:14" x14ac:dyDescent="0.2">
      <c r="B690">
        <v>681</v>
      </c>
      <c r="C690" s="52">
        <f t="shared" ca="1" si="33"/>
        <v>-1.1729366695288075</v>
      </c>
      <c r="D690" s="52">
        <f ca="1">S0*EXP((μ-0.5*σ*σ)*T+σ*SQRT(T)*$C690)</f>
        <v>0.46554433290027081</v>
      </c>
      <c r="E690" s="52">
        <f t="shared" ca="1" si="31"/>
        <v>6.8855667099729179E-2</v>
      </c>
      <c r="F690" s="17">
        <f t="shared" ca="1" si="32"/>
        <v>1</v>
      </c>
      <c r="H690" s="17">
        <v>681</v>
      </c>
      <c r="I690" s="45">
        <v>0.67071754439230802</v>
      </c>
      <c r="J690" s="45">
        <v>1.8810985915918205E-2</v>
      </c>
      <c r="K690" s="45">
        <v>0.24679999999999999</v>
      </c>
      <c r="N690" s="54"/>
    </row>
    <row r="691" spans="2:14" x14ac:dyDescent="0.2">
      <c r="B691">
        <v>682</v>
      </c>
      <c r="C691" s="52">
        <f t="shared" ca="1" si="33"/>
        <v>1.122545085770845</v>
      </c>
      <c r="D691" s="52">
        <f ca="1">S0*EXP((μ-0.5*σ*σ)*T+σ*SQRT(T)*$C691)</f>
        <v>0.8780935347058163</v>
      </c>
      <c r="E691" s="52">
        <f t="shared" ca="1" si="31"/>
        <v>0</v>
      </c>
      <c r="F691" s="17">
        <f t="shared" ca="1" si="32"/>
        <v>0</v>
      </c>
      <c r="H691" s="17">
        <v>682</v>
      </c>
      <c r="I691" s="45">
        <v>0.6707820568319014</v>
      </c>
      <c r="J691" s="45">
        <v>1.8893208934748745E-2</v>
      </c>
      <c r="K691" s="45">
        <v>0.2472</v>
      </c>
      <c r="N691" s="54"/>
    </row>
    <row r="692" spans="2:14" x14ac:dyDescent="0.2">
      <c r="B692">
        <v>683</v>
      </c>
      <c r="C692" s="52">
        <f t="shared" ca="1" si="33"/>
        <v>0.46742690187116964</v>
      </c>
      <c r="D692" s="52">
        <f ca="1">S0*EXP((μ-0.5*σ*σ)*T+σ*SQRT(T)*$C692)</f>
        <v>0.73264198158777871</v>
      </c>
      <c r="E692" s="52">
        <f t="shared" ca="1" si="31"/>
        <v>0</v>
      </c>
      <c r="F692" s="17">
        <f t="shared" ca="1" si="32"/>
        <v>0</v>
      </c>
      <c r="H692" s="17">
        <v>683</v>
      </c>
      <c r="I692" s="45">
        <v>0.6705460265688995</v>
      </c>
      <c r="J692" s="45">
        <v>1.870607255599251E-2</v>
      </c>
      <c r="K692" s="45">
        <v>0.24779999999999999</v>
      </c>
      <c r="N692" s="54"/>
    </row>
    <row r="693" spans="2:14" x14ac:dyDescent="0.2">
      <c r="B693">
        <v>684</v>
      </c>
      <c r="C693" s="52">
        <f t="shared" ca="1" si="33"/>
        <v>1.1921116377990089</v>
      </c>
      <c r="D693" s="52">
        <f ca="1">S0*EXP((μ-0.5*σ*σ)*T+σ*SQRT(T)*$C693)</f>
        <v>0.89514308438196155</v>
      </c>
      <c r="E693" s="52">
        <f t="shared" ca="1" si="31"/>
        <v>0</v>
      </c>
      <c r="F693" s="17">
        <f t="shared" ca="1" si="32"/>
        <v>0</v>
      </c>
      <c r="H693" s="17">
        <v>684</v>
      </c>
      <c r="I693" s="45">
        <v>0.67121049406543387</v>
      </c>
      <c r="J693" s="45">
        <v>1.8999346576629779E-2</v>
      </c>
      <c r="K693" s="45">
        <v>0.24660000000000001</v>
      </c>
      <c r="N693" s="54"/>
    </row>
    <row r="694" spans="2:14" x14ac:dyDescent="0.2">
      <c r="B694">
        <v>685</v>
      </c>
      <c r="C694" s="52">
        <f t="shared" ca="1" si="33"/>
        <v>0.38910263073188678</v>
      </c>
      <c r="D694" s="52">
        <f ca="1">S0*EXP((μ-0.5*σ*σ)*T+σ*SQRT(T)*$C694)</f>
        <v>0.71694976725389692</v>
      </c>
      <c r="E694" s="52">
        <f t="shared" ca="1" si="31"/>
        <v>0</v>
      </c>
      <c r="F694" s="17">
        <f t="shared" ca="1" si="32"/>
        <v>0</v>
      </c>
      <c r="H694" s="17">
        <v>685</v>
      </c>
      <c r="I694" s="45">
        <v>0.67035070386646201</v>
      </c>
      <c r="J694" s="45">
        <v>1.8566241374106861E-2</v>
      </c>
      <c r="K694" s="45">
        <v>0.24279999999999999</v>
      </c>
      <c r="N694" s="54"/>
    </row>
    <row r="695" spans="2:14" x14ac:dyDescent="0.2">
      <c r="B695">
        <v>686</v>
      </c>
      <c r="C695" s="52">
        <f t="shared" ca="1" si="33"/>
        <v>-0.60967898883813598</v>
      </c>
      <c r="D695" s="52">
        <f ca="1">S0*EXP((μ-0.5*σ*σ)*T+σ*SQRT(T)*$C695)</f>
        <v>0.54397868575376918</v>
      </c>
      <c r="E695" s="52">
        <f t="shared" ca="1" si="31"/>
        <v>0</v>
      </c>
      <c r="F695" s="17">
        <f t="shared" ca="1" si="32"/>
        <v>0</v>
      </c>
      <c r="H695" s="17">
        <v>686</v>
      </c>
      <c r="I695" s="45">
        <v>0.66994371051825452</v>
      </c>
      <c r="J695" s="45">
        <v>1.836686712665939E-2</v>
      </c>
      <c r="K695" s="45">
        <v>0.24579999999999999</v>
      </c>
      <c r="N695" s="54"/>
    </row>
    <row r="696" spans="2:14" x14ac:dyDescent="0.2">
      <c r="B696">
        <v>687</v>
      </c>
      <c r="C696" s="52">
        <f t="shared" ca="1" si="33"/>
        <v>0.56086837391801214</v>
      </c>
      <c r="D696" s="52">
        <f ca="1">S0*EXP((μ-0.5*σ*σ)*T+σ*SQRT(T)*$C696)</f>
        <v>0.75181284343536803</v>
      </c>
      <c r="E696" s="52">
        <f t="shared" ca="1" si="31"/>
        <v>0</v>
      </c>
      <c r="F696" s="17">
        <f t="shared" ca="1" si="32"/>
        <v>0</v>
      </c>
      <c r="H696" s="17">
        <v>687</v>
      </c>
      <c r="I696" s="45">
        <v>0.67071270684842466</v>
      </c>
      <c r="J696" s="45">
        <v>1.9160858311313322E-2</v>
      </c>
      <c r="K696" s="45">
        <v>0.252</v>
      </c>
      <c r="N696" s="54"/>
    </row>
    <row r="697" spans="2:14" x14ac:dyDescent="0.2">
      <c r="B697">
        <v>688</v>
      </c>
      <c r="C697" s="52">
        <f t="shared" ca="1" si="33"/>
        <v>-8.659050845166634E-2</v>
      </c>
      <c r="D697" s="52">
        <f ca="1">S0*EXP((μ-0.5*σ*σ)*T+σ*SQRT(T)*$C697)</f>
        <v>0.6286085517093376</v>
      </c>
      <c r="E697" s="52">
        <f t="shared" ca="1" si="31"/>
        <v>0</v>
      </c>
      <c r="F697" s="17">
        <f t="shared" ca="1" si="32"/>
        <v>0</v>
      </c>
      <c r="H697" s="17">
        <v>688</v>
      </c>
      <c r="I697" s="45">
        <v>0.67087281550269895</v>
      </c>
      <c r="J697" s="45">
        <v>1.8875818886089756E-2</v>
      </c>
      <c r="K697" s="45">
        <v>0.24279999999999999</v>
      </c>
      <c r="N697" s="54"/>
    </row>
    <row r="698" spans="2:14" x14ac:dyDescent="0.2">
      <c r="B698">
        <v>689</v>
      </c>
      <c r="C698" s="52">
        <f t="shared" ca="1" si="33"/>
        <v>-0.26292560743910443</v>
      </c>
      <c r="D698" s="52">
        <f ca="1">S0*EXP((μ-0.5*σ*σ)*T+σ*SQRT(T)*$C698)</f>
        <v>0.59870199736812513</v>
      </c>
      <c r="E698" s="52">
        <f t="shared" ca="1" si="31"/>
        <v>0</v>
      </c>
      <c r="F698" s="17">
        <f t="shared" ca="1" si="32"/>
        <v>0</v>
      </c>
      <c r="H698" s="17">
        <v>689</v>
      </c>
      <c r="I698" s="45">
        <v>0.67040549316136711</v>
      </c>
      <c r="J698" s="45">
        <v>1.8846146626920038E-2</v>
      </c>
      <c r="K698" s="45">
        <v>0.24479999999999999</v>
      </c>
      <c r="N698" s="54"/>
    </row>
    <row r="699" spans="2:14" x14ac:dyDescent="0.2">
      <c r="B699">
        <v>690</v>
      </c>
      <c r="C699" s="52">
        <f t="shared" ca="1" si="33"/>
        <v>0.37121805984647804</v>
      </c>
      <c r="D699" s="52">
        <f ca="1">S0*EXP((μ-0.5*σ*σ)*T+σ*SQRT(T)*$C699)</f>
        <v>0.71341400327249793</v>
      </c>
      <c r="E699" s="52">
        <f t="shared" ca="1" si="31"/>
        <v>0</v>
      </c>
      <c r="F699" s="17">
        <f t="shared" ca="1" si="32"/>
        <v>0</v>
      </c>
      <c r="H699" s="17">
        <v>690</v>
      </c>
      <c r="I699" s="45">
        <v>0.66987620130170755</v>
      </c>
      <c r="J699" s="45">
        <v>1.8440402607558633E-2</v>
      </c>
      <c r="K699" s="45">
        <v>0.2402</v>
      </c>
      <c r="N699" s="54"/>
    </row>
    <row r="700" spans="2:14" x14ac:dyDescent="0.2">
      <c r="B700">
        <v>691</v>
      </c>
      <c r="C700" s="52">
        <f t="shared" ca="1" si="33"/>
        <v>-0.94090898863593242</v>
      </c>
      <c r="D700" s="52">
        <f ca="1">S0*EXP((μ-0.5*σ*σ)*T+σ*SQRT(T)*$C700)</f>
        <v>0.49638276079011096</v>
      </c>
      <c r="E700" s="52">
        <f t="shared" ca="1" si="31"/>
        <v>3.8017239209889031E-2</v>
      </c>
      <c r="F700" s="17">
        <f t="shared" ca="1" si="32"/>
        <v>1</v>
      </c>
      <c r="H700" s="17">
        <v>691</v>
      </c>
      <c r="I700" s="45">
        <v>0.67104028322978049</v>
      </c>
      <c r="J700" s="45">
        <v>1.9020054477087583E-2</v>
      </c>
      <c r="K700" s="45">
        <v>0.24479999999999999</v>
      </c>
      <c r="N700" s="54"/>
    </row>
    <row r="701" spans="2:14" x14ac:dyDescent="0.2">
      <c r="B701">
        <v>692</v>
      </c>
      <c r="C701" s="52">
        <f t="shared" ca="1" si="33"/>
        <v>0.92346740602005439</v>
      </c>
      <c r="D701" s="52">
        <f ca="1">S0*EXP((μ-0.5*σ*σ)*T+σ*SQRT(T)*$C701)</f>
        <v>0.83107627381445603</v>
      </c>
      <c r="E701" s="52">
        <f t="shared" ca="1" si="31"/>
        <v>0</v>
      </c>
      <c r="F701" s="17">
        <f t="shared" ca="1" si="32"/>
        <v>0</v>
      </c>
      <c r="H701" s="17">
        <v>692</v>
      </c>
      <c r="I701" s="45">
        <v>0.67082010153346239</v>
      </c>
      <c r="J701" s="45">
        <v>1.8995060689761777E-2</v>
      </c>
      <c r="K701" s="45">
        <v>0.24360000000000001</v>
      </c>
      <c r="N701" s="54"/>
    </row>
    <row r="702" spans="2:14" x14ac:dyDescent="0.2">
      <c r="B702">
        <v>693</v>
      </c>
      <c r="C702" s="52">
        <f t="shared" ca="1" si="33"/>
        <v>1.2973886558800731</v>
      </c>
      <c r="D702" s="52">
        <f ca="1">S0*EXP((μ-0.5*σ*σ)*T+σ*SQRT(T)*$C702)</f>
        <v>0.92157629402741614</v>
      </c>
      <c r="E702" s="52">
        <f t="shared" ca="1" si="31"/>
        <v>0</v>
      </c>
      <c r="F702" s="17">
        <f t="shared" ca="1" si="32"/>
        <v>0</v>
      </c>
      <c r="H702" s="17">
        <v>693</v>
      </c>
      <c r="I702" s="45">
        <v>0.67071411517792889</v>
      </c>
      <c r="J702" s="45">
        <v>1.9032054291699942E-2</v>
      </c>
      <c r="K702" s="45">
        <v>0.247</v>
      </c>
      <c r="N702" s="54"/>
    </row>
    <row r="703" spans="2:14" x14ac:dyDescent="0.2">
      <c r="B703">
        <v>694</v>
      </c>
      <c r="C703" s="52">
        <f t="shared" ca="1" si="33"/>
        <v>-1.5073181091693348</v>
      </c>
      <c r="D703" s="52">
        <f ca="1">S0*EXP((μ-0.5*σ*σ)*T+σ*SQRT(T)*$C703)</f>
        <v>0.42444117768706208</v>
      </c>
      <c r="E703" s="52">
        <f t="shared" ca="1" si="31"/>
        <v>0.10995882231293791</v>
      </c>
      <c r="F703" s="17">
        <f t="shared" ca="1" si="32"/>
        <v>1</v>
      </c>
      <c r="H703" s="17">
        <v>694</v>
      </c>
      <c r="I703" s="45">
        <v>0.67141330007043942</v>
      </c>
      <c r="J703" s="45">
        <v>1.9419584776673628E-2</v>
      </c>
      <c r="K703" s="45">
        <v>0.24879999999999999</v>
      </c>
      <c r="N703" s="54"/>
    </row>
    <row r="704" spans="2:14" x14ac:dyDescent="0.2">
      <c r="B704">
        <v>695</v>
      </c>
      <c r="C704" s="52">
        <f t="shared" ca="1" si="33"/>
        <v>-1.118343263753578</v>
      </c>
      <c r="D704" s="52">
        <f ca="1">S0*EXP((μ-0.5*σ*σ)*T+σ*SQRT(T)*$C704)</f>
        <v>0.47262332666847762</v>
      </c>
      <c r="E704" s="52">
        <f t="shared" ca="1" si="31"/>
        <v>6.1776673331522369E-2</v>
      </c>
      <c r="F704" s="17">
        <f t="shared" ca="1" si="32"/>
        <v>1</v>
      </c>
      <c r="H704" s="17">
        <v>695</v>
      </c>
      <c r="I704" s="45">
        <v>0.67111299523925505</v>
      </c>
      <c r="J704" s="45">
        <v>1.9235855175605759E-2</v>
      </c>
      <c r="K704" s="45">
        <v>0.24579999999999999</v>
      </c>
      <c r="N704" s="54"/>
    </row>
    <row r="705" spans="2:14" x14ac:dyDescent="0.2">
      <c r="B705">
        <v>696</v>
      </c>
      <c r="C705" s="52">
        <f t="shared" ca="1" si="33"/>
        <v>0.17625769036499472</v>
      </c>
      <c r="D705" s="52">
        <f ca="1">S0*EXP((μ-0.5*σ*σ)*T+σ*SQRT(T)*$C705)</f>
        <v>0.67598339814332009</v>
      </c>
      <c r="E705" s="52">
        <f t="shared" ca="1" si="31"/>
        <v>0</v>
      </c>
      <c r="F705" s="17">
        <f t="shared" ca="1" si="32"/>
        <v>0</v>
      </c>
      <c r="H705" s="17">
        <v>696</v>
      </c>
      <c r="I705" s="45">
        <v>0.67078226195856749</v>
      </c>
      <c r="J705" s="45">
        <v>1.9046216856211783E-2</v>
      </c>
      <c r="K705" s="45">
        <v>0.25019999999999998</v>
      </c>
      <c r="N705" s="54"/>
    </row>
    <row r="706" spans="2:14" x14ac:dyDescent="0.2">
      <c r="B706">
        <v>697</v>
      </c>
      <c r="C706" s="52">
        <f t="shared" ca="1" si="33"/>
        <v>1.4192493973359943</v>
      </c>
      <c r="D706" s="52">
        <f ca="1">S0*EXP((μ-0.5*σ*σ)*T+σ*SQRT(T)*$C706)</f>
        <v>0.95314957014978841</v>
      </c>
      <c r="E706" s="52">
        <f t="shared" ca="1" si="31"/>
        <v>0</v>
      </c>
      <c r="F706" s="17">
        <f t="shared" ca="1" si="32"/>
        <v>0</v>
      </c>
      <c r="H706" s="17">
        <v>697</v>
      </c>
      <c r="I706" s="45">
        <v>0.67095461323477879</v>
      </c>
      <c r="J706" s="45">
        <v>1.8740299013832902E-2</v>
      </c>
      <c r="K706" s="45">
        <v>0.24779999999999999</v>
      </c>
      <c r="N706" s="54"/>
    </row>
    <row r="707" spans="2:14" x14ac:dyDescent="0.2">
      <c r="B707">
        <v>698</v>
      </c>
      <c r="C707" s="52">
        <f t="shared" ca="1" si="33"/>
        <v>-0.90061063575658695</v>
      </c>
      <c r="D707" s="52">
        <f ca="1">S0*EXP((μ-0.5*σ*σ)*T+σ*SQRT(T)*$C707)</f>
        <v>0.5019432669287438</v>
      </c>
      <c r="E707" s="52">
        <f t="shared" ca="1" si="31"/>
        <v>3.2456733071256183E-2</v>
      </c>
      <c r="F707" s="17">
        <f t="shared" ca="1" si="32"/>
        <v>1</v>
      </c>
      <c r="H707" s="17">
        <v>698</v>
      </c>
      <c r="I707" s="45">
        <v>0.67028477276856424</v>
      </c>
      <c r="J707" s="45">
        <v>1.8313029441997863E-2</v>
      </c>
      <c r="K707" s="45">
        <v>0.24299999999999999</v>
      </c>
      <c r="N707" s="54"/>
    </row>
    <row r="708" spans="2:14" x14ac:dyDescent="0.2">
      <c r="B708">
        <v>699</v>
      </c>
      <c r="C708" s="52">
        <f t="shared" ca="1" si="33"/>
        <v>-0.26653232277773259</v>
      </c>
      <c r="D708" s="52">
        <f ca="1">S0*EXP((μ-0.5*σ*σ)*T+σ*SQRT(T)*$C708)</f>
        <v>0.59810538092998577</v>
      </c>
      <c r="E708" s="52">
        <f t="shared" ca="1" si="31"/>
        <v>0</v>
      </c>
      <c r="F708" s="17">
        <f t="shared" ca="1" si="32"/>
        <v>0</v>
      </c>
      <c r="H708" s="17">
        <v>699</v>
      </c>
      <c r="I708" s="45">
        <v>0.67114719477549445</v>
      </c>
      <c r="J708" s="45">
        <v>1.8930080799626089E-2</v>
      </c>
      <c r="K708" s="45">
        <v>0.2482</v>
      </c>
      <c r="N708" s="54"/>
    </row>
    <row r="709" spans="2:14" x14ac:dyDescent="0.2">
      <c r="B709">
        <v>700</v>
      </c>
      <c r="C709" s="52">
        <f t="shared" ca="1" si="33"/>
        <v>1.6425196661464749</v>
      </c>
      <c r="D709" s="52">
        <f ca="1">S0*EXP((μ-0.5*σ*σ)*T+σ*SQRT(T)*$C709)</f>
        <v>1.0138304889009231</v>
      </c>
      <c r="E709" s="52">
        <f t="shared" ca="1" si="31"/>
        <v>0</v>
      </c>
      <c r="F709" s="17">
        <f t="shared" ca="1" si="32"/>
        <v>0</v>
      </c>
      <c r="H709" s="17">
        <v>700</v>
      </c>
      <c r="I709" s="45">
        <v>0.67203555509220891</v>
      </c>
      <c r="J709" s="45">
        <v>1.9941984283116346E-2</v>
      </c>
      <c r="K709" s="45">
        <v>0.25540000000000002</v>
      </c>
      <c r="N709" s="54"/>
    </row>
    <row r="710" spans="2:14" x14ac:dyDescent="0.2">
      <c r="B710">
        <v>701</v>
      </c>
      <c r="C710" s="52">
        <f t="shared" ca="1" si="33"/>
        <v>0.70175526313799963</v>
      </c>
      <c r="D710" s="52">
        <f ca="1">S0*EXP((μ-0.5*σ*σ)*T+σ*SQRT(T)*$C710)</f>
        <v>0.78167037114073112</v>
      </c>
      <c r="E710" s="52">
        <f t="shared" ca="1" si="31"/>
        <v>0</v>
      </c>
      <c r="F710" s="17">
        <f t="shared" ca="1" si="32"/>
        <v>0</v>
      </c>
      <c r="H710" s="17">
        <v>701</v>
      </c>
      <c r="I710" s="45">
        <v>0.67023227656449125</v>
      </c>
      <c r="J710" s="45">
        <v>1.831691600590727E-2</v>
      </c>
      <c r="K710" s="45">
        <v>0.23880000000000001</v>
      </c>
      <c r="N710" s="54"/>
    </row>
    <row r="711" spans="2:14" x14ac:dyDescent="0.2">
      <c r="B711">
        <v>702</v>
      </c>
      <c r="C711" s="52">
        <f t="shared" ca="1" si="33"/>
        <v>0.66961887866772518</v>
      </c>
      <c r="D711" s="52">
        <f ca="1">S0*EXP((μ-0.5*σ*σ)*T+σ*SQRT(T)*$C711)</f>
        <v>0.77475712247565198</v>
      </c>
      <c r="E711" s="52">
        <f t="shared" ca="1" si="31"/>
        <v>0</v>
      </c>
      <c r="F711" s="17">
        <f t="shared" ca="1" si="32"/>
        <v>0</v>
      </c>
      <c r="H711" s="17">
        <v>702</v>
      </c>
      <c r="I711" s="45">
        <v>0.67088693170203739</v>
      </c>
      <c r="J711" s="45">
        <v>1.9017279583084537E-2</v>
      </c>
      <c r="K711" s="45">
        <v>0.24979999999999999</v>
      </c>
      <c r="N711" s="54"/>
    </row>
    <row r="712" spans="2:14" x14ac:dyDescent="0.2">
      <c r="B712">
        <v>703</v>
      </c>
      <c r="C712" s="52">
        <f t="shared" ca="1" si="33"/>
        <v>0.19488434757480722</v>
      </c>
      <c r="D712" s="52">
        <f ca="1">S0*EXP((μ-0.5*σ*σ)*T+σ*SQRT(T)*$C712)</f>
        <v>0.679473022246456</v>
      </c>
      <c r="E712" s="52">
        <f t="shared" ca="1" si="31"/>
        <v>0</v>
      </c>
      <c r="F712" s="17">
        <f t="shared" ca="1" si="32"/>
        <v>0</v>
      </c>
      <c r="H712" s="17">
        <v>703</v>
      </c>
      <c r="I712" s="45">
        <v>0.67072087527590474</v>
      </c>
      <c r="J712" s="45">
        <v>1.9048518076196154E-2</v>
      </c>
      <c r="K712" s="45">
        <v>0.25340000000000001</v>
      </c>
      <c r="N712" s="54"/>
    </row>
    <row r="713" spans="2:14" x14ac:dyDescent="0.2">
      <c r="B713">
        <v>704</v>
      </c>
      <c r="C713" s="52">
        <f t="shared" ca="1" si="33"/>
        <v>0.41040427130592511</v>
      </c>
      <c r="D713" s="52">
        <f ca="1">S0*EXP((μ-0.5*σ*σ)*T+σ*SQRT(T)*$C713)</f>
        <v>0.72118395581020278</v>
      </c>
      <c r="E713" s="52">
        <f t="shared" ca="1" si="31"/>
        <v>0</v>
      </c>
      <c r="F713" s="17">
        <f t="shared" ca="1" si="32"/>
        <v>0</v>
      </c>
      <c r="H713" s="17">
        <v>704</v>
      </c>
      <c r="I713" s="45">
        <v>0.67094194786498329</v>
      </c>
      <c r="J713" s="45">
        <v>1.9090177951976262E-2</v>
      </c>
      <c r="K713" s="45">
        <v>0.24779999999999999</v>
      </c>
      <c r="N713" s="54"/>
    </row>
    <row r="714" spans="2:14" x14ac:dyDescent="0.2">
      <c r="B714">
        <v>705</v>
      </c>
      <c r="C714" s="52">
        <f t="shared" ca="1" si="33"/>
        <v>-0.15015294539569446</v>
      </c>
      <c r="D714" s="52">
        <f ca="1">S0*EXP((μ-0.5*σ*σ)*T+σ*SQRT(T)*$C714)</f>
        <v>0.61765991366152018</v>
      </c>
      <c r="E714" s="52">
        <f t="shared" ref="E714:E777" ca="1" si="34">MAX(0,CP*(D714-K))</f>
        <v>0</v>
      </c>
      <c r="F714" s="17">
        <f t="shared" ref="F714:F777" ca="1" si="35">(CP*(D714-K)&gt;0)*1</f>
        <v>0</v>
      </c>
      <c r="H714" s="17">
        <v>705</v>
      </c>
      <c r="I714" s="45">
        <v>0.67154199622811606</v>
      </c>
      <c r="J714" s="45">
        <v>1.9684916665255757E-2</v>
      </c>
      <c r="K714" s="45">
        <v>0.25019999999999998</v>
      </c>
      <c r="N714" s="54"/>
    </row>
    <row r="715" spans="2:14" x14ac:dyDescent="0.2">
      <c r="B715">
        <v>706</v>
      </c>
      <c r="C715" s="52">
        <f t="shared" ref="C715:C778" ca="1" si="36">_xlfn.NORM.S.INV(RAND())</f>
        <v>-0.11892168597437251</v>
      </c>
      <c r="D715" s="52">
        <f ca="1">S0*EXP((μ-0.5*σ*σ)*T+σ*SQRT(T)*$C715)</f>
        <v>0.62301546380342943</v>
      </c>
      <c r="E715" s="52">
        <f t="shared" ca="1" si="34"/>
        <v>0</v>
      </c>
      <c r="F715" s="17">
        <f t="shared" ca="1" si="35"/>
        <v>0</v>
      </c>
      <c r="H715" s="17">
        <v>706</v>
      </c>
      <c r="I715" s="45">
        <v>0.67019748594571482</v>
      </c>
      <c r="J715" s="45">
        <v>1.8364825687972562E-2</v>
      </c>
      <c r="K715" s="45">
        <v>0.23960000000000001</v>
      </c>
      <c r="N715" s="54"/>
    </row>
    <row r="716" spans="2:14" x14ac:dyDescent="0.2">
      <c r="B716">
        <v>707</v>
      </c>
      <c r="C716" s="52">
        <f t="shared" ca="1" si="36"/>
        <v>-1.9638943363235541</v>
      </c>
      <c r="D716" s="52">
        <f ca="1">S0*EXP((μ-0.5*σ*σ)*T+σ*SQRT(T)*$C716)</f>
        <v>0.37411413095252138</v>
      </c>
      <c r="E716" s="52">
        <f t="shared" ca="1" si="34"/>
        <v>0.1602858690474786</v>
      </c>
      <c r="F716" s="17">
        <f t="shared" ca="1" si="35"/>
        <v>1</v>
      </c>
      <c r="H716" s="17">
        <v>707</v>
      </c>
      <c r="I716" s="45">
        <v>0.67181256668741296</v>
      </c>
      <c r="J716" s="45">
        <v>1.9583175594894559E-2</v>
      </c>
      <c r="K716" s="45">
        <v>0.2472</v>
      </c>
      <c r="N716" s="54"/>
    </row>
    <row r="717" spans="2:14" x14ac:dyDescent="0.2">
      <c r="B717">
        <v>708</v>
      </c>
      <c r="C717" s="52">
        <f t="shared" ca="1" si="36"/>
        <v>-2.2638725181014268</v>
      </c>
      <c r="D717" s="52">
        <f ca="1">S0*EXP((μ-0.5*σ*σ)*T+σ*SQRT(T)*$C717)</f>
        <v>0.3443426341605505</v>
      </c>
      <c r="E717" s="52">
        <f t="shared" ca="1" si="34"/>
        <v>0.19005736583944949</v>
      </c>
      <c r="F717" s="17">
        <f t="shared" ca="1" si="35"/>
        <v>1</v>
      </c>
      <c r="H717" s="17">
        <v>708</v>
      </c>
      <c r="I717" s="45">
        <v>0.67134959690194951</v>
      </c>
      <c r="J717" s="45">
        <v>1.9429412077663067E-2</v>
      </c>
      <c r="K717" s="45">
        <v>0.25800000000000001</v>
      </c>
      <c r="N717" s="54"/>
    </row>
    <row r="718" spans="2:14" x14ac:dyDescent="0.2">
      <c r="B718">
        <v>709</v>
      </c>
      <c r="C718" s="52">
        <f t="shared" ca="1" si="36"/>
        <v>-0.7364203805439985</v>
      </c>
      <c r="D718" s="52">
        <f ca="1">S0*EXP((μ-0.5*σ*σ)*T+σ*SQRT(T)*$C718)</f>
        <v>0.52525014935635639</v>
      </c>
      <c r="E718" s="52">
        <f t="shared" ca="1" si="34"/>
        <v>9.1498506436435978E-3</v>
      </c>
      <c r="F718" s="17">
        <f t="shared" ca="1" si="35"/>
        <v>1</v>
      </c>
      <c r="H718" s="17">
        <v>709</v>
      </c>
      <c r="I718" s="45">
        <v>0.67162939497565277</v>
      </c>
      <c r="J718" s="45">
        <v>1.9432193033099825E-2</v>
      </c>
      <c r="K718" s="45">
        <v>0.248</v>
      </c>
      <c r="N718" s="54"/>
    </row>
    <row r="719" spans="2:14" x14ac:dyDescent="0.2">
      <c r="B719">
        <v>710</v>
      </c>
      <c r="C719" s="52">
        <f t="shared" ca="1" si="36"/>
        <v>0.96516710805611206</v>
      </c>
      <c r="D719" s="52">
        <f ca="1">S0*EXP((μ-0.5*σ*σ)*T+σ*SQRT(T)*$C719)</f>
        <v>0.84071164504041074</v>
      </c>
      <c r="E719" s="52">
        <f t="shared" ca="1" si="34"/>
        <v>0</v>
      </c>
      <c r="F719" s="17">
        <f t="shared" ca="1" si="35"/>
        <v>0</v>
      </c>
      <c r="H719" s="17">
        <v>710</v>
      </c>
      <c r="I719" s="45">
        <v>0.670601259690351</v>
      </c>
      <c r="J719" s="45">
        <v>1.8782869036713206E-2</v>
      </c>
      <c r="K719" s="45">
        <v>0.24759999999999999</v>
      </c>
      <c r="N719" s="54"/>
    </row>
    <row r="720" spans="2:14" x14ac:dyDescent="0.2">
      <c r="B720">
        <v>711</v>
      </c>
      <c r="C720" s="52">
        <f t="shared" ca="1" si="36"/>
        <v>1.381592372074552</v>
      </c>
      <c r="D720" s="52">
        <f ca="1">S0*EXP((μ-0.5*σ*σ)*T+σ*SQRT(T)*$C720)</f>
        <v>0.94327910255221548</v>
      </c>
      <c r="E720" s="52">
        <f t="shared" ca="1" si="34"/>
        <v>0</v>
      </c>
      <c r="F720" s="17">
        <f t="shared" ca="1" si="35"/>
        <v>0</v>
      </c>
      <c r="H720" s="17">
        <v>711</v>
      </c>
      <c r="I720" s="45">
        <v>0.67127671656100674</v>
      </c>
      <c r="J720" s="45">
        <v>1.9291550421883848E-2</v>
      </c>
      <c r="K720" s="45">
        <v>0.247</v>
      </c>
      <c r="N720" s="54"/>
    </row>
    <row r="721" spans="2:14" x14ac:dyDescent="0.2">
      <c r="B721">
        <v>712</v>
      </c>
      <c r="C721" s="52">
        <f t="shared" ca="1" si="36"/>
        <v>0.11185352948696543</v>
      </c>
      <c r="D721" s="52">
        <f ca="1">S0*EXP((μ-0.5*σ*σ)*T+σ*SQRT(T)*$C721)</f>
        <v>0.66405508989382689</v>
      </c>
      <c r="E721" s="52">
        <f t="shared" ca="1" si="34"/>
        <v>0</v>
      </c>
      <c r="F721" s="17">
        <f t="shared" ca="1" si="35"/>
        <v>0</v>
      </c>
      <c r="H721" s="17">
        <v>712</v>
      </c>
      <c r="I721" s="45">
        <v>0.67153243980331379</v>
      </c>
      <c r="J721" s="45">
        <v>1.9663593346601973E-2</v>
      </c>
      <c r="K721" s="45">
        <v>0.26200000000000001</v>
      </c>
      <c r="N721" s="54"/>
    </row>
    <row r="722" spans="2:14" x14ac:dyDescent="0.2">
      <c r="B722">
        <v>713</v>
      </c>
      <c r="C722" s="52">
        <f t="shared" ca="1" si="36"/>
        <v>0.38689892954136401</v>
      </c>
      <c r="D722" s="52">
        <f ca="1">S0*EXP((μ-0.5*σ*σ)*T+σ*SQRT(T)*$C722)</f>
        <v>0.71651315262540993</v>
      </c>
      <c r="E722" s="52">
        <f t="shared" ca="1" si="34"/>
        <v>0</v>
      </c>
      <c r="F722" s="17">
        <f t="shared" ca="1" si="35"/>
        <v>0</v>
      </c>
      <c r="H722" s="17">
        <v>713</v>
      </c>
      <c r="I722" s="45">
        <v>0.6706893359821765</v>
      </c>
      <c r="J722" s="45">
        <v>1.8747446035256396E-2</v>
      </c>
      <c r="K722" s="45">
        <v>0.24299999999999999</v>
      </c>
      <c r="N722" s="54"/>
    </row>
    <row r="723" spans="2:14" x14ac:dyDescent="0.2">
      <c r="B723">
        <v>714</v>
      </c>
      <c r="C723" s="52">
        <f t="shared" ca="1" si="36"/>
        <v>-0.20230850557787103</v>
      </c>
      <c r="D723" s="52">
        <f ca="1">S0*EXP((μ-0.5*σ*σ)*T+σ*SQRT(T)*$C723)</f>
        <v>0.60881869370527153</v>
      </c>
      <c r="E723" s="52">
        <f t="shared" ca="1" si="34"/>
        <v>0</v>
      </c>
      <c r="F723" s="17">
        <f t="shared" ca="1" si="35"/>
        <v>0</v>
      </c>
      <c r="H723" s="17">
        <v>714</v>
      </c>
      <c r="I723" s="45">
        <v>0.67063932250724134</v>
      </c>
      <c r="J723" s="45">
        <v>1.8880758101198235E-2</v>
      </c>
      <c r="K723" s="45">
        <v>0.24440000000000001</v>
      </c>
      <c r="N723" s="54"/>
    </row>
    <row r="724" spans="2:14" x14ac:dyDescent="0.2">
      <c r="B724">
        <v>715</v>
      </c>
      <c r="C724" s="52">
        <f t="shared" ca="1" si="36"/>
        <v>1.0694181885306793</v>
      </c>
      <c r="D724" s="52">
        <f ca="1">S0*EXP((μ-0.5*σ*σ)*T+σ*SQRT(T)*$C724)</f>
        <v>0.86529208270718883</v>
      </c>
      <c r="E724" s="52">
        <f t="shared" ca="1" si="34"/>
        <v>0</v>
      </c>
      <c r="F724" s="17">
        <f t="shared" ca="1" si="35"/>
        <v>0</v>
      </c>
      <c r="H724" s="17">
        <v>715</v>
      </c>
      <c r="I724" s="45">
        <v>0.67170137343450165</v>
      </c>
      <c r="J724" s="45">
        <v>1.9598475026264318E-2</v>
      </c>
      <c r="K724" s="45">
        <v>0.253</v>
      </c>
      <c r="N724" s="54"/>
    </row>
    <row r="725" spans="2:14" x14ac:dyDescent="0.2">
      <c r="B725">
        <v>716</v>
      </c>
      <c r="C725" s="52">
        <f t="shared" ca="1" si="36"/>
        <v>0.55878757462334361</v>
      </c>
      <c r="D725" s="52">
        <f ca="1">S0*EXP((μ-0.5*σ*σ)*T+σ*SQRT(T)*$C725)</f>
        <v>0.75138052460015792</v>
      </c>
      <c r="E725" s="52">
        <f t="shared" ca="1" si="34"/>
        <v>0</v>
      </c>
      <c r="F725" s="17">
        <f t="shared" ca="1" si="35"/>
        <v>0</v>
      </c>
      <c r="H725" s="17">
        <v>716</v>
      </c>
      <c r="I725" s="45">
        <v>0.67064553199853572</v>
      </c>
      <c r="J725" s="45">
        <v>1.8644151422561848E-2</v>
      </c>
      <c r="K725" s="45">
        <v>0.2392</v>
      </c>
      <c r="N725" s="54"/>
    </row>
    <row r="726" spans="2:14" x14ac:dyDescent="0.2">
      <c r="B726">
        <v>717</v>
      </c>
      <c r="C726" s="52">
        <f t="shared" ca="1" si="36"/>
        <v>-9.8730981856067185E-2</v>
      </c>
      <c r="D726" s="52">
        <f ca="1">S0*EXP((μ-0.5*σ*σ)*T+σ*SQRT(T)*$C726)</f>
        <v>0.62650246386415676</v>
      </c>
      <c r="E726" s="52">
        <f t="shared" ca="1" si="34"/>
        <v>0</v>
      </c>
      <c r="F726" s="17">
        <f t="shared" ca="1" si="35"/>
        <v>0</v>
      </c>
      <c r="H726" s="17">
        <v>717</v>
      </c>
      <c r="I726" s="45">
        <v>0.67123745772777388</v>
      </c>
      <c r="J726" s="45">
        <v>1.948745513274951E-2</v>
      </c>
      <c r="K726" s="45">
        <v>0.25280000000000002</v>
      </c>
      <c r="N726" s="54"/>
    </row>
    <row r="727" spans="2:14" x14ac:dyDescent="0.2">
      <c r="B727">
        <v>718</v>
      </c>
      <c r="C727" s="52">
        <f t="shared" ca="1" si="36"/>
        <v>-0.56803274707813667</v>
      </c>
      <c r="D727" s="52">
        <f ca="1">S0*EXP((μ-0.5*σ*σ)*T+σ*SQRT(T)*$C727)</f>
        <v>0.55027735930215449</v>
      </c>
      <c r="E727" s="52">
        <f t="shared" ca="1" si="34"/>
        <v>0</v>
      </c>
      <c r="F727" s="17">
        <f t="shared" ca="1" si="35"/>
        <v>0</v>
      </c>
      <c r="H727" s="17">
        <v>718</v>
      </c>
      <c r="I727" s="45">
        <v>0.67058181744528711</v>
      </c>
      <c r="J727" s="45">
        <v>1.8400646892715762E-2</v>
      </c>
      <c r="K727" s="45">
        <v>0.23580000000000001</v>
      </c>
      <c r="N727" s="54"/>
    </row>
    <row r="728" spans="2:14" x14ac:dyDescent="0.2">
      <c r="B728">
        <v>719</v>
      </c>
      <c r="C728" s="52">
        <f t="shared" ca="1" si="36"/>
        <v>-0.72903387147792231</v>
      </c>
      <c r="D728" s="52">
        <f ca="1">S0*EXP((μ-0.5*σ*σ)*T+σ*SQRT(T)*$C728)</f>
        <v>0.52632373823458711</v>
      </c>
      <c r="E728" s="52">
        <f t="shared" ca="1" si="34"/>
        <v>8.0762617654128732E-3</v>
      </c>
      <c r="F728" s="17">
        <f t="shared" ca="1" si="35"/>
        <v>1</v>
      </c>
      <c r="H728" s="17">
        <v>719</v>
      </c>
      <c r="I728" s="45">
        <v>0.67072992851526969</v>
      </c>
      <c r="J728" s="45">
        <v>1.887369529408485E-2</v>
      </c>
      <c r="K728" s="45">
        <v>0.2422</v>
      </c>
      <c r="N728" s="54"/>
    </row>
    <row r="729" spans="2:14" x14ac:dyDescent="0.2">
      <c r="B729">
        <v>720</v>
      </c>
      <c r="C729" s="52">
        <f t="shared" ca="1" si="36"/>
        <v>1.0021010500720129</v>
      </c>
      <c r="D729" s="52">
        <f ca="1">S0*EXP((μ-0.5*σ*σ)*T+σ*SQRT(T)*$C729)</f>
        <v>0.84933906128066039</v>
      </c>
      <c r="E729" s="52">
        <f t="shared" ca="1" si="34"/>
        <v>0</v>
      </c>
      <c r="F729" s="17">
        <f t="shared" ca="1" si="35"/>
        <v>0</v>
      </c>
      <c r="H729" s="17">
        <v>720</v>
      </c>
      <c r="I729" s="45">
        <v>0.67072497492970029</v>
      </c>
      <c r="J729" s="45">
        <v>1.8835893841086259E-2</v>
      </c>
      <c r="K729" s="45">
        <v>0.24560000000000001</v>
      </c>
      <c r="N729" s="54"/>
    </row>
    <row r="730" spans="2:14" x14ac:dyDescent="0.2">
      <c r="B730">
        <v>721</v>
      </c>
      <c r="C730" s="52">
        <f t="shared" ca="1" si="36"/>
        <v>1.5075817051911209</v>
      </c>
      <c r="D730" s="52">
        <f ca="1">S0*EXP((μ-0.5*σ*σ)*T+σ*SQRT(T)*$C730)</f>
        <v>0.97670997935393322</v>
      </c>
      <c r="E730" s="52">
        <f t="shared" ca="1" si="34"/>
        <v>0</v>
      </c>
      <c r="F730" s="17">
        <f t="shared" ca="1" si="35"/>
        <v>0</v>
      </c>
      <c r="H730" s="17">
        <v>721</v>
      </c>
      <c r="I730" s="45">
        <v>0.6709450295313738</v>
      </c>
      <c r="J730" s="45">
        <v>1.8737219115496945E-2</v>
      </c>
      <c r="K730" s="45">
        <v>0.2392</v>
      </c>
      <c r="N730" s="54"/>
    </row>
    <row r="731" spans="2:14" x14ac:dyDescent="0.2">
      <c r="B731">
        <v>722</v>
      </c>
      <c r="C731" s="52">
        <f t="shared" ca="1" si="36"/>
        <v>-0.99687434408394027</v>
      </c>
      <c r="D731" s="52">
        <f ca="1">S0*EXP((μ-0.5*σ*σ)*T+σ*SQRT(T)*$C731)</f>
        <v>0.48876249706498043</v>
      </c>
      <c r="E731" s="52">
        <f t="shared" ca="1" si="34"/>
        <v>4.5637502935019558E-2</v>
      </c>
      <c r="F731" s="17">
        <f t="shared" ca="1" si="35"/>
        <v>1</v>
      </c>
      <c r="H731" s="17">
        <v>722</v>
      </c>
      <c r="I731" s="45">
        <v>0.67128579167132252</v>
      </c>
      <c r="J731" s="45">
        <v>1.9147008306870921E-2</v>
      </c>
      <c r="K731" s="45">
        <v>0.25019999999999998</v>
      </c>
      <c r="N731" s="54"/>
    </row>
    <row r="732" spans="2:14" x14ac:dyDescent="0.2">
      <c r="B732">
        <v>723</v>
      </c>
      <c r="C732" s="52">
        <f t="shared" ca="1" si="36"/>
        <v>1.0440525098221656</v>
      </c>
      <c r="D732" s="52">
        <f ca="1">S0*EXP((μ-0.5*σ*σ)*T+σ*SQRT(T)*$C732)</f>
        <v>0.85924596476967163</v>
      </c>
      <c r="E732" s="52">
        <f t="shared" ca="1" si="34"/>
        <v>0</v>
      </c>
      <c r="F732" s="17">
        <f t="shared" ca="1" si="35"/>
        <v>0</v>
      </c>
      <c r="H732" s="17">
        <v>723</v>
      </c>
      <c r="I732" s="45">
        <v>0.67087360952359854</v>
      </c>
      <c r="J732" s="45">
        <v>1.8643611882672394E-2</v>
      </c>
      <c r="K732" s="45">
        <v>0.2402</v>
      </c>
      <c r="N732" s="54"/>
    </row>
    <row r="733" spans="2:14" x14ac:dyDescent="0.2">
      <c r="B733">
        <v>724</v>
      </c>
      <c r="C733" s="52">
        <f t="shared" ca="1" si="36"/>
        <v>-0.56852488145698099</v>
      </c>
      <c r="D733" s="52">
        <f ca="1">S0*EXP((μ-0.5*σ*σ)*T+σ*SQRT(T)*$C733)</f>
        <v>0.55020250359283618</v>
      </c>
      <c r="E733" s="52">
        <f t="shared" ca="1" si="34"/>
        <v>0</v>
      </c>
      <c r="F733" s="17">
        <f t="shared" ca="1" si="35"/>
        <v>0</v>
      </c>
      <c r="H733" s="17">
        <v>724</v>
      </c>
      <c r="I733" s="45">
        <v>0.67100329400834402</v>
      </c>
      <c r="J733" s="45">
        <v>1.8987698974904474E-2</v>
      </c>
      <c r="K733" s="45">
        <v>0.24460000000000001</v>
      </c>
      <c r="N733" s="54"/>
    </row>
    <row r="734" spans="2:14" x14ac:dyDescent="0.2">
      <c r="B734">
        <v>725</v>
      </c>
      <c r="C734" s="52">
        <f t="shared" ca="1" si="36"/>
        <v>2.0882931146302712</v>
      </c>
      <c r="D734" s="52">
        <f ca="1">S0*EXP((μ-0.5*σ*σ)*T+σ*SQRT(T)*$C734)</f>
        <v>1.146784564236027</v>
      </c>
      <c r="E734" s="52">
        <f t="shared" ca="1" si="34"/>
        <v>0</v>
      </c>
      <c r="F734" s="17">
        <f t="shared" ca="1" si="35"/>
        <v>0</v>
      </c>
      <c r="H734" s="17">
        <v>725</v>
      </c>
      <c r="I734" s="45">
        <v>0.67081429173009044</v>
      </c>
      <c r="J734" s="45">
        <v>1.8508158285071484E-2</v>
      </c>
      <c r="K734" s="45">
        <v>0.24260000000000001</v>
      </c>
      <c r="N734" s="54"/>
    </row>
    <row r="735" spans="2:14" x14ac:dyDescent="0.2">
      <c r="B735">
        <v>726</v>
      </c>
      <c r="C735" s="52">
        <f t="shared" ca="1" si="36"/>
        <v>0.46797766958626902</v>
      </c>
      <c r="D735" s="52">
        <f ca="1">S0*EXP((μ-0.5*σ*σ)*T+σ*SQRT(T)*$C735)</f>
        <v>0.7327535348971379</v>
      </c>
      <c r="E735" s="52">
        <f t="shared" ca="1" si="34"/>
        <v>0</v>
      </c>
      <c r="F735" s="17">
        <f t="shared" ca="1" si="35"/>
        <v>0</v>
      </c>
      <c r="H735" s="17">
        <v>726</v>
      </c>
      <c r="I735" s="45">
        <v>0.67023842130820566</v>
      </c>
      <c r="J735" s="45">
        <v>1.8379956629313306E-2</v>
      </c>
      <c r="K735" s="45">
        <v>0.24340000000000001</v>
      </c>
      <c r="N735" s="54"/>
    </row>
    <row r="736" spans="2:14" x14ac:dyDescent="0.2">
      <c r="B736">
        <v>727</v>
      </c>
      <c r="C736" s="52">
        <f t="shared" ca="1" si="36"/>
        <v>-0.12307863331806698</v>
      </c>
      <c r="D736" s="52">
        <f ca="1">S0*EXP((μ-0.5*σ*σ)*T+σ*SQRT(T)*$C736)</f>
        <v>0.62229995831705787</v>
      </c>
      <c r="E736" s="52">
        <f t="shared" ca="1" si="34"/>
        <v>0</v>
      </c>
      <c r="F736" s="17">
        <f t="shared" ca="1" si="35"/>
        <v>0</v>
      </c>
      <c r="H736" s="17">
        <v>727</v>
      </c>
      <c r="I736" s="45">
        <v>0.67186848239298158</v>
      </c>
      <c r="J736" s="45">
        <v>1.9654651458256102E-2</v>
      </c>
      <c r="K736" s="45">
        <v>0.24979999999999999</v>
      </c>
      <c r="N736" s="54"/>
    </row>
    <row r="737" spans="2:14" x14ac:dyDescent="0.2">
      <c r="B737">
        <v>728</v>
      </c>
      <c r="C737" s="52">
        <f t="shared" ca="1" si="36"/>
        <v>0.72736878209723854</v>
      </c>
      <c r="D737" s="52">
        <f ca="1">S0*EXP((μ-0.5*σ*σ)*T+σ*SQRT(T)*$C737)</f>
        <v>0.78722455714604622</v>
      </c>
      <c r="E737" s="52">
        <f t="shared" ca="1" si="34"/>
        <v>0</v>
      </c>
      <c r="F737" s="17">
        <f t="shared" ca="1" si="35"/>
        <v>0</v>
      </c>
      <c r="H737" s="17">
        <v>728</v>
      </c>
      <c r="I737" s="45">
        <v>0.67101185057368573</v>
      </c>
      <c r="J737" s="45">
        <v>1.8981467803698575E-2</v>
      </c>
      <c r="K737" s="45">
        <v>0.245</v>
      </c>
      <c r="N737" s="54"/>
    </row>
    <row r="738" spans="2:14" x14ac:dyDescent="0.2">
      <c r="B738">
        <v>729</v>
      </c>
      <c r="C738" s="52">
        <f t="shared" ca="1" si="36"/>
        <v>1.1746491686897444</v>
      </c>
      <c r="D738" s="52">
        <f ca="1">S0*EXP((μ-0.5*σ*σ)*T+σ*SQRT(T)*$C738)</f>
        <v>0.8908324673230601</v>
      </c>
      <c r="E738" s="52">
        <f t="shared" ca="1" si="34"/>
        <v>0</v>
      </c>
      <c r="F738" s="17">
        <f t="shared" ca="1" si="35"/>
        <v>0</v>
      </c>
      <c r="H738" s="17">
        <v>729</v>
      </c>
      <c r="I738" s="45">
        <v>0.67127792638411787</v>
      </c>
      <c r="J738" s="45">
        <v>1.9345483378277878E-2</v>
      </c>
      <c r="K738" s="45">
        <v>0.24379999999999999</v>
      </c>
      <c r="N738" s="54"/>
    </row>
    <row r="739" spans="2:14" x14ac:dyDescent="0.2">
      <c r="B739">
        <v>730</v>
      </c>
      <c r="C739" s="52">
        <f t="shared" ca="1" si="36"/>
        <v>-2.3135166590049323</v>
      </c>
      <c r="D739" s="52">
        <f ca="1">S0*EXP((μ-0.5*σ*σ)*T+σ*SQRT(T)*$C739)</f>
        <v>0.33964940932826443</v>
      </c>
      <c r="E739" s="52">
        <f t="shared" ca="1" si="34"/>
        <v>0.19475059067173556</v>
      </c>
      <c r="F739" s="17">
        <f t="shared" ca="1" si="35"/>
        <v>1</v>
      </c>
      <c r="H739" s="17">
        <v>730</v>
      </c>
      <c r="I739" s="45">
        <v>0.67110674979863594</v>
      </c>
      <c r="J739" s="45">
        <v>1.8914727169422715E-2</v>
      </c>
      <c r="K739" s="45">
        <v>0.24399999999999999</v>
      </c>
      <c r="N739" s="54"/>
    </row>
    <row r="740" spans="2:14" x14ac:dyDescent="0.2">
      <c r="B740">
        <v>731</v>
      </c>
      <c r="C740" s="52">
        <f t="shared" ca="1" si="36"/>
        <v>0.20059019785262033</v>
      </c>
      <c r="D740" s="52">
        <f ca="1">S0*EXP((μ-0.5*σ*σ)*T+σ*SQRT(T)*$C740)</f>
        <v>0.68054558882270733</v>
      </c>
      <c r="E740" s="52">
        <f t="shared" ca="1" si="34"/>
        <v>0</v>
      </c>
      <c r="F740" s="17">
        <f t="shared" ca="1" si="35"/>
        <v>0</v>
      </c>
      <c r="H740" s="17">
        <v>731</v>
      </c>
      <c r="I740" s="45">
        <v>0.67062389614507723</v>
      </c>
      <c r="J740" s="45">
        <v>1.8696079125516976E-2</v>
      </c>
      <c r="K740" s="45">
        <v>0.25019999999999998</v>
      </c>
      <c r="N740" s="54"/>
    </row>
    <row r="741" spans="2:14" x14ac:dyDescent="0.2">
      <c r="B741">
        <v>732</v>
      </c>
      <c r="C741" s="52">
        <f t="shared" ca="1" si="36"/>
        <v>0.64367593946490953</v>
      </c>
      <c r="D741" s="52">
        <f ca="1">S0*EXP((μ-0.5*σ*σ)*T+σ*SQRT(T)*$C741)</f>
        <v>0.76922084890179465</v>
      </c>
      <c r="E741" s="52">
        <f t="shared" ca="1" si="34"/>
        <v>0</v>
      </c>
      <c r="F741" s="17">
        <f t="shared" ca="1" si="35"/>
        <v>0</v>
      </c>
      <c r="H741" s="17">
        <v>732</v>
      </c>
      <c r="I741" s="45">
        <v>0.67087732118327548</v>
      </c>
      <c r="J741" s="45">
        <v>1.8625415281599986E-2</v>
      </c>
      <c r="K741" s="45">
        <v>0.2452</v>
      </c>
      <c r="N741" s="54"/>
    </row>
    <row r="742" spans="2:14" x14ac:dyDescent="0.2">
      <c r="B742">
        <v>733</v>
      </c>
      <c r="C742" s="52">
        <f t="shared" ca="1" si="36"/>
        <v>1.9932944210949548</v>
      </c>
      <c r="D742" s="52">
        <f ca="1">S0*EXP((μ-0.5*σ*σ)*T+σ*SQRT(T)*$C742)</f>
        <v>1.1170611545270908</v>
      </c>
      <c r="E742" s="52">
        <f t="shared" ca="1" si="34"/>
        <v>0</v>
      </c>
      <c r="F742" s="17">
        <f t="shared" ca="1" si="35"/>
        <v>0</v>
      </c>
      <c r="H742" s="17">
        <v>733</v>
      </c>
      <c r="I742" s="45">
        <v>0.67079452188358746</v>
      </c>
      <c r="J742" s="45">
        <v>1.8713501353409542E-2</v>
      </c>
      <c r="K742" s="45">
        <v>0.246</v>
      </c>
      <c r="N742" s="54"/>
    </row>
    <row r="743" spans="2:14" x14ac:dyDescent="0.2">
      <c r="B743">
        <v>734</v>
      </c>
      <c r="C743" s="52">
        <f t="shared" ca="1" si="36"/>
        <v>-0.54120625237211106</v>
      </c>
      <c r="D743" s="52">
        <f ca="1">S0*EXP((μ-0.5*σ*σ)*T+σ*SQRT(T)*$C743)</f>
        <v>0.55437322768719377</v>
      </c>
      <c r="E743" s="52">
        <f t="shared" ca="1" si="34"/>
        <v>0</v>
      </c>
      <c r="F743" s="17">
        <f t="shared" ca="1" si="35"/>
        <v>0</v>
      </c>
      <c r="H743" s="17">
        <v>734</v>
      </c>
      <c r="I743" s="45">
        <v>0.67064217500995438</v>
      </c>
      <c r="J743" s="45">
        <v>1.8463218853972528E-2</v>
      </c>
      <c r="K743" s="45">
        <v>0.24779999999999999</v>
      </c>
      <c r="N743" s="54"/>
    </row>
    <row r="744" spans="2:14" x14ac:dyDescent="0.2">
      <c r="B744">
        <v>735</v>
      </c>
      <c r="C744" s="52">
        <f t="shared" ca="1" si="36"/>
        <v>0.42742372675137391</v>
      </c>
      <c r="D744" s="52">
        <f ca="1">S0*EXP((μ-0.5*σ*σ)*T+σ*SQRT(T)*$C744)</f>
        <v>0.72458492625954551</v>
      </c>
      <c r="E744" s="52">
        <f t="shared" ca="1" si="34"/>
        <v>0</v>
      </c>
      <c r="F744" s="17">
        <f t="shared" ca="1" si="35"/>
        <v>0</v>
      </c>
      <c r="H744" s="17">
        <v>735</v>
      </c>
      <c r="I744" s="45">
        <v>0.67042637139884798</v>
      </c>
      <c r="J744" s="45">
        <v>1.8454296102940825E-2</v>
      </c>
      <c r="K744" s="45">
        <v>0.24859999999999999</v>
      </c>
      <c r="N744" s="54"/>
    </row>
    <row r="745" spans="2:14" x14ac:dyDescent="0.2">
      <c r="B745">
        <v>736</v>
      </c>
      <c r="C745" s="52">
        <f t="shared" ca="1" si="36"/>
        <v>-1.8770147949990216E-2</v>
      </c>
      <c r="D745" s="52">
        <f ca="1">S0*EXP((μ-0.5*σ*σ)*T+σ*SQRT(T)*$C745)</f>
        <v>0.64050471409357856</v>
      </c>
      <c r="E745" s="52">
        <f t="shared" ca="1" si="34"/>
        <v>0</v>
      </c>
      <c r="F745" s="17">
        <f t="shared" ca="1" si="35"/>
        <v>0</v>
      </c>
      <c r="H745" s="17">
        <v>736</v>
      </c>
      <c r="I745" s="45">
        <v>0.66990516957649271</v>
      </c>
      <c r="J745" s="45">
        <v>1.8186858107085358E-2</v>
      </c>
      <c r="K745" s="45">
        <v>0.2392</v>
      </c>
      <c r="N745" s="54"/>
    </row>
    <row r="746" spans="2:14" x14ac:dyDescent="0.2">
      <c r="B746">
        <v>737</v>
      </c>
      <c r="C746" s="52">
        <f t="shared" ca="1" si="36"/>
        <v>9.8982931380913478E-2</v>
      </c>
      <c r="D746" s="52">
        <f ca="1">S0*EXP((μ-0.5*σ*σ)*T+σ*SQRT(T)*$C746)</f>
        <v>0.66169667823869838</v>
      </c>
      <c r="E746" s="52">
        <f t="shared" ca="1" si="34"/>
        <v>0</v>
      </c>
      <c r="F746" s="17">
        <f t="shared" ca="1" si="35"/>
        <v>0</v>
      </c>
      <c r="H746" s="17">
        <v>737</v>
      </c>
      <c r="I746" s="45">
        <v>0.67124564175211388</v>
      </c>
      <c r="J746" s="45">
        <v>1.9228604507758377E-2</v>
      </c>
      <c r="K746" s="45">
        <v>0.24859999999999999</v>
      </c>
      <c r="N746" s="54"/>
    </row>
    <row r="747" spans="2:14" x14ac:dyDescent="0.2">
      <c r="B747">
        <v>738</v>
      </c>
      <c r="C747" s="52">
        <f t="shared" ca="1" si="36"/>
        <v>1.4364056334206625</v>
      </c>
      <c r="D747" s="52">
        <f ca="1">S0*EXP((μ-0.5*σ*σ)*T+σ*SQRT(T)*$C747)</f>
        <v>0.95768065744061692</v>
      </c>
      <c r="E747" s="52">
        <f t="shared" ca="1" si="34"/>
        <v>0</v>
      </c>
      <c r="F747" s="17">
        <f t="shared" ca="1" si="35"/>
        <v>0</v>
      </c>
      <c r="H747" s="17">
        <v>738</v>
      </c>
      <c r="I747" s="45">
        <v>0.67084927922812443</v>
      </c>
      <c r="J747" s="45">
        <v>1.8847549218554815E-2</v>
      </c>
      <c r="K747" s="45">
        <v>0.24260000000000001</v>
      </c>
      <c r="N747" s="54"/>
    </row>
    <row r="748" spans="2:14" x14ac:dyDescent="0.2">
      <c r="B748">
        <v>739</v>
      </c>
      <c r="C748" s="52">
        <f t="shared" ca="1" si="36"/>
        <v>-1.4085002567050726</v>
      </c>
      <c r="D748" s="52">
        <f ca="1">S0*EXP((μ-0.5*σ*σ)*T+σ*SQRT(T)*$C748)</f>
        <v>0.4361952197996718</v>
      </c>
      <c r="E748" s="52">
        <f t="shared" ca="1" si="34"/>
        <v>9.820478020032819E-2</v>
      </c>
      <c r="F748" s="17">
        <f t="shared" ca="1" si="35"/>
        <v>1</v>
      </c>
      <c r="H748" s="17">
        <v>739</v>
      </c>
      <c r="I748" s="45">
        <v>0.67120806783005527</v>
      </c>
      <c r="J748" s="45">
        <v>1.9131317404447814E-2</v>
      </c>
      <c r="K748" s="45">
        <v>0.24440000000000001</v>
      </c>
      <c r="N748" s="54"/>
    </row>
    <row r="749" spans="2:14" x14ac:dyDescent="0.2">
      <c r="B749">
        <v>740</v>
      </c>
      <c r="C749" s="52">
        <f t="shared" ca="1" si="36"/>
        <v>1.1906104544324528E-3</v>
      </c>
      <c r="D749" s="52">
        <f ca="1">S0*EXP((μ-0.5*σ*σ)*T+σ*SQRT(T)*$C749)</f>
        <v>0.64404866108325876</v>
      </c>
      <c r="E749" s="52">
        <f t="shared" ca="1" si="34"/>
        <v>0</v>
      </c>
      <c r="F749" s="17">
        <f t="shared" ca="1" si="35"/>
        <v>0</v>
      </c>
      <c r="H749" s="17">
        <v>740</v>
      </c>
      <c r="I749" s="45">
        <v>0.67136846458911792</v>
      </c>
      <c r="J749" s="45">
        <v>1.9399056416360101E-2</v>
      </c>
      <c r="K749" s="45">
        <v>0.25319999999999998</v>
      </c>
      <c r="N749" s="54"/>
    </row>
    <row r="750" spans="2:14" x14ac:dyDescent="0.2">
      <c r="B750">
        <v>741</v>
      </c>
      <c r="C750" s="52">
        <f t="shared" ca="1" si="36"/>
        <v>-1.0032458923280254</v>
      </c>
      <c r="D750" s="52">
        <f ca="1">S0*EXP((μ-0.5*σ*σ)*T+σ*SQRT(T)*$C750)</f>
        <v>0.4879023958390647</v>
      </c>
      <c r="E750" s="52">
        <f t="shared" ca="1" si="34"/>
        <v>4.6497604160935291E-2</v>
      </c>
      <c r="F750" s="17">
        <f t="shared" ca="1" si="35"/>
        <v>1</v>
      </c>
      <c r="H750" s="17">
        <v>741</v>
      </c>
      <c r="I750" s="45">
        <v>0.67190523808524338</v>
      </c>
      <c r="J750" s="45">
        <v>1.9618259673368239E-2</v>
      </c>
      <c r="K750" s="45">
        <v>0.254</v>
      </c>
      <c r="N750" s="54"/>
    </row>
    <row r="751" spans="2:14" x14ac:dyDescent="0.2">
      <c r="B751">
        <v>742</v>
      </c>
      <c r="C751" s="52">
        <f t="shared" ca="1" si="36"/>
        <v>0.18751173674522861</v>
      </c>
      <c r="D751" s="52">
        <f ca="1">S0*EXP((μ-0.5*σ*σ)*T+σ*SQRT(T)*$C751)</f>
        <v>0.67808964645110814</v>
      </c>
      <c r="E751" s="52">
        <f t="shared" ca="1" si="34"/>
        <v>0</v>
      </c>
      <c r="F751" s="17">
        <f t="shared" ca="1" si="35"/>
        <v>0</v>
      </c>
      <c r="H751" s="17">
        <v>742</v>
      </c>
      <c r="I751" s="45">
        <v>0.67205819106431464</v>
      </c>
      <c r="J751" s="45">
        <v>2.021965266885719E-2</v>
      </c>
      <c r="K751" s="45">
        <v>0.25840000000000002</v>
      </c>
      <c r="N751" s="54"/>
    </row>
    <row r="752" spans="2:14" x14ac:dyDescent="0.2">
      <c r="B752">
        <v>743</v>
      </c>
      <c r="C752" s="52">
        <f t="shared" ca="1" si="36"/>
        <v>-0.31796022302839622</v>
      </c>
      <c r="D752" s="52">
        <f ca="1">S0*EXP((μ-0.5*σ*σ)*T+σ*SQRT(T)*$C752)</f>
        <v>0.5896626637397826</v>
      </c>
      <c r="E752" s="52">
        <f t="shared" ca="1" si="34"/>
        <v>0</v>
      </c>
      <c r="F752" s="17">
        <f t="shared" ca="1" si="35"/>
        <v>0</v>
      </c>
      <c r="H752" s="17">
        <v>743</v>
      </c>
      <c r="I752" s="45">
        <v>0.67069056107635561</v>
      </c>
      <c r="J752" s="45">
        <v>1.8557447162093368E-2</v>
      </c>
      <c r="K752" s="45">
        <v>0.2412</v>
      </c>
      <c r="N752" s="54"/>
    </row>
    <row r="753" spans="2:14" x14ac:dyDescent="0.2">
      <c r="B753">
        <v>744</v>
      </c>
      <c r="C753" s="52">
        <f t="shared" ca="1" si="36"/>
        <v>-2.2358719175412114</v>
      </c>
      <c r="D753" s="52">
        <f ca="1">S0*EXP((μ-0.5*σ*σ)*T+σ*SQRT(T)*$C753)</f>
        <v>0.34701828309035648</v>
      </c>
      <c r="E753" s="52">
        <f t="shared" ca="1" si="34"/>
        <v>0.1873817169096435</v>
      </c>
      <c r="F753" s="17">
        <f t="shared" ca="1" si="35"/>
        <v>1</v>
      </c>
      <c r="H753" s="17">
        <v>744</v>
      </c>
      <c r="I753" s="45">
        <v>0.67047019634230198</v>
      </c>
      <c r="J753" s="45">
        <v>1.8280714379354582E-2</v>
      </c>
      <c r="K753" s="45">
        <v>0.2384</v>
      </c>
      <c r="N753" s="54"/>
    </row>
    <row r="754" spans="2:14" x14ac:dyDescent="0.2">
      <c r="B754">
        <v>745</v>
      </c>
      <c r="C754" s="52">
        <f t="shared" ca="1" si="36"/>
        <v>1.8586575010153352</v>
      </c>
      <c r="D754" s="52">
        <f ca="1">S0*EXP((μ-0.5*σ*σ)*T+σ*SQRT(T)*$C754)</f>
        <v>1.0762505043020494</v>
      </c>
      <c r="E754" s="52">
        <f t="shared" ca="1" si="34"/>
        <v>0</v>
      </c>
      <c r="F754" s="17">
        <f t="shared" ca="1" si="35"/>
        <v>0</v>
      </c>
      <c r="H754" s="17">
        <v>745</v>
      </c>
      <c r="I754" s="45">
        <v>0.67218383581985164</v>
      </c>
      <c r="J754" s="45">
        <v>1.9859065186325391E-2</v>
      </c>
      <c r="K754" s="45">
        <v>0.25280000000000002</v>
      </c>
      <c r="N754" s="54"/>
    </row>
    <row r="755" spans="2:14" x14ac:dyDescent="0.2">
      <c r="B755">
        <v>746</v>
      </c>
      <c r="C755" s="52">
        <f t="shared" ca="1" si="36"/>
        <v>-1.03801408012551</v>
      </c>
      <c r="D755" s="52">
        <f ca="1">S0*EXP((μ-0.5*σ*σ)*T+σ*SQRT(T)*$C755)</f>
        <v>0.48323560019013923</v>
      </c>
      <c r="E755" s="52">
        <f t="shared" ca="1" si="34"/>
        <v>5.1164399809860761E-2</v>
      </c>
      <c r="F755" s="17">
        <f t="shared" ca="1" si="35"/>
        <v>1</v>
      </c>
      <c r="H755" s="17">
        <v>746</v>
      </c>
      <c r="I755" s="45">
        <v>0.67148840069989169</v>
      </c>
      <c r="J755" s="45">
        <v>1.9082069223739347E-2</v>
      </c>
      <c r="K755" s="45">
        <v>0.2404</v>
      </c>
      <c r="N755" s="54"/>
    </row>
    <row r="756" spans="2:14" x14ac:dyDescent="0.2">
      <c r="B756">
        <v>747</v>
      </c>
      <c r="C756" s="52">
        <f t="shared" ca="1" si="36"/>
        <v>0.76243215786713003</v>
      </c>
      <c r="D756" s="52">
        <f ca="1">S0*EXP((μ-0.5*σ*σ)*T+σ*SQRT(T)*$C756)</f>
        <v>0.7948919535163349</v>
      </c>
      <c r="E756" s="52">
        <f t="shared" ca="1" si="34"/>
        <v>0</v>
      </c>
      <c r="F756" s="17">
        <f t="shared" ca="1" si="35"/>
        <v>0</v>
      </c>
      <c r="H756" s="17">
        <v>747</v>
      </c>
      <c r="I756" s="45">
        <v>0.66990404373835155</v>
      </c>
      <c r="J756" s="45">
        <v>1.8262552526397073E-2</v>
      </c>
      <c r="K756" s="45">
        <v>0.2424</v>
      </c>
      <c r="N756" s="54"/>
    </row>
    <row r="757" spans="2:14" x14ac:dyDescent="0.2">
      <c r="B757">
        <v>748</v>
      </c>
      <c r="C757" s="52">
        <f t="shared" ca="1" si="36"/>
        <v>0.21872470773222072</v>
      </c>
      <c r="D757" s="52">
        <f ca="1">S0*EXP((μ-0.5*σ*σ)*T+σ*SQRT(T)*$C757)</f>
        <v>0.6839657074866865</v>
      </c>
      <c r="E757" s="52">
        <f t="shared" ca="1" si="34"/>
        <v>0</v>
      </c>
      <c r="F757" s="17">
        <f t="shared" ca="1" si="35"/>
        <v>0</v>
      </c>
      <c r="H757" s="17">
        <v>748</v>
      </c>
      <c r="I757" s="45">
        <v>0.66933779231355162</v>
      </c>
      <c r="J757" s="45">
        <v>1.7689162436715585E-2</v>
      </c>
      <c r="K757" s="45">
        <v>0.23719999999999999</v>
      </c>
      <c r="N757" s="54"/>
    </row>
    <row r="758" spans="2:14" x14ac:dyDescent="0.2">
      <c r="B758">
        <v>749</v>
      </c>
      <c r="C758" s="52">
        <f t="shared" ca="1" si="36"/>
        <v>0.72419032298677755</v>
      </c>
      <c r="D758" s="52">
        <f ca="1">S0*EXP((μ-0.5*σ*σ)*T+σ*SQRT(T)*$C758)</f>
        <v>0.78653318225038027</v>
      </c>
      <c r="E758" s="52">
        <f t="shared" ca="1" si="34"/>
        <v>0</v>
      </c>
      <c r="F758" s="17">
        <f t="shared" ca="1" si="35"/>
        <v>0</v>
      </c>
      <c r="H758" s="17">
        <v>749</v>
      </c>
      <c r="I758" s="45">
        <v>0.67104884023146705</v>
      </c>
      <c r="J758" s="45">
        <v>1.902350924747535E-2</v>
      </c>
      <c r="K758" s="45">
        <v>0.25259999999999999</v>
      </c>
      <c r="N758" s="54"/>
    </row>
    <row r="759" spans="2:14" x14ac:dyDescent="0.2">
      <c r="B759">
        <v>750</v>
      </c>
      <c r="C759" s="52">
        <f t="shared" ca="1" si="36"/>
        <v>2.3076676196166157</v>
      </c>
      <c r="D759" s="52">
        <f ca="1">S0*EXP((μ-0.5*σ*σ)*T+σ*SQRT(T)*$C759)</f>
        <v>1.2184800736650545</v>
      </c>
      <c r="E759" s="52">
        <f t="shared" ca="1" si="34"/>
        <v>0</v>
      </c>
      <c r="F759" s="17">
        <f t="shared" ca="1" si="35"/>
        <v>0</v>
      </c>
      <c r="H759" s="17">
        <v>750</v>
      </c>
      <c r="I759" s="45">
        <v>0.67200080265774575</v>
      </c>
      <c r="J759" s="45">
        <v>1.983429993053264E-2</v>
      </c>
      <c r="K759" s="45">
        <v>0.25480000000000003</v>
      </c>
      <c r="N759" s="54"/>
    </row>
    <row r="760" spans="2:14" x14ac:dyDescent="0.2">
      <c r="B760">
        <v>751</v>
      </c>
      <c r="C760" s="52">
        <f t="shared" ca="1" si="36"/>
        <v>1.6165061812401913</v>
      </c>
      <c r="D760" s="52">
        <f ca="1">S0*EXP((μ-0.5*σ*σ)*T+σ*SQRT(T)*$C760)</f>
        <v>1.0065662111396465</v>
      </c>
      <c r="E760" s="52">
        <f t="shared" ca="1" si="34"/>
        <v>0</v>
      </c>
      <c r="F760" s="17">
        <f t="shared" ca="1" si="35"/>
        <v>0</v>
      </c>
      <c r="H760" s="17">
        <v>751</v>
      </c>
      <c r="I760" s="45">
        <v>0.6708910331121003</v>
      </c>
      <c r="J760" s="45">
        <v>1.8987994476216286E-2</v>
      </c>
      <c r="K760" s="45">
        <v>0.24940000000000001</v>
      </c>
      <c r="N760" s="54"/>
    </row>
    <row r="761" spans="2:14" x14ac:dyDescent="0.2">
      <c r="B761">
        <v>752</v>
      </c>
      <c r="C761" s="52">
        <f t="shared" ca="1" si="36"/>
        <v>0.22108478011020988</v>
      </c>
      <c r="D761" s="52">
        <f ca="1">S0*EXP((μ-0.5*σ*σ)*T+σ*SQRT(T)*$C761)</f>
        <v>0.68441207280793404</v>
      </c>
      <c r="E761" s="52">
        <f t="shared" ca="1" si="34"/>
        <v>0</v>
      </c>
      <c r="F761" s="17">
        <f t="shared" ca="1" si="35"/>
        <v>0</v>
      </c>
      <c r="H761" s="17">
        <v>752</v>
      </c>
      <c r="I761" s="45">
        <v>0.67063423162090308</v>
      </c>
      <c r="J761" s="45">
        <v>1.8935366304792173E-2</v>
      </c>
      <c r="K761" s="45">
        <v>0.24299999999999999</v>
      </c>
      <c r="N761" s="54"/>
    </row>
    <row r="762" spans="2:14" x14ac:dyDescent="0.2">
      <c r="B762">
        <v>753</v>
      </c>
      <c r="C762" s="52">
        <f t="shared" ca="1" si="36"/>
        <v>-0.10871488936961263</v>
      </c>
      <c r="D762" s="52">
        <f ca="1">S0*EXP((μ-0.5*σ*σ)*T+σ*SQRT(T)*$C762)</f>
        <v>0.62477577816277863</v>
      </c>
      <c r="E762" s="52">
        <f t="shared" ca="1" si="34"/>
        <v>0</v>
      </c>
      <c r="F762" s="17">
        <f t="shared" ca="1" si="35"/>
        <v>0</v>
      </c>
      <c r="H762" s="17">
        <v>753</v>
      </c>
      <c r="I762" s="45">
        <v>0.67101806258983432</v>
      </c>
      <c r="J762" s="45">
        <v>1.8874929115621084E-2</v>
      </c>
      <c r="K762" s="45">
        <v>0.24079999999999999</v>
      </c>
      <c r="N762" s="54"/>
    </row>
    <row r="763" spans="2:14" x14ac:dyDescent="0.2">
      <c r="B763">
        <v>754</v>
      </c>
      <c r="C763" s="52">
        <f t="shared" ca="1" si="36"/>
        <v>1.1332947701221354</v>
      </c>
      <c r="D763" s="52">
        <f ca="1">S0*EXP((μ-0.5*σ*σ)*T+σ*SQRT(T)*$C763)</f>
        <v>0.88070672501955138</v>
      </c>
      <c r="E763" s="52">
        <f t="shared" ca="1" si="34"/>
        <v>0</v>
      </c>
      <c r="F763" s="17">
        <f t="shared" ca="1" si="35"/>
        <v>0</v>
      </c>
      <c r="H763" s="17">
        <v>754</v>
      </c>
      <c r="I763" s="45">
        <v>0.6702280190665999</v>
      </c>
      <c r="J763" s="45">
        <v>1.8197148251880024E-2</v>
      </c>
      <c r="K763" s="45">
        <v>0.23719999999999999</v>
      </c>
      <c r="N763" s="54"/>
    </row>
    <row r="764" spans="2:14" x14ac:dyDescent="0.2">
      <c r="B764">
        <v>755</v>
      </c>
      <c r="C764" s="52">
        <f t="shared" ca="1" si="36"/>
        <v>-1.1511993299720731</v>
      </c>
      <c r="D764" s="52">
        <f ca="1">S0*EXP((μ-0.5*σ*σ)*T+σ*SQRT(T)*$C764)</f>
        <v>0.46835016724397149</v>
      </c>
      <c r="E764" s="52">
        <f t="shared" ca="1" si="34"/>
        <v>6.6049832756028493E-2</v>
      </c>
      <c r="F764" s="17">
        <f t="shared" ca="1" si="35"/>
        <v>1</v>
      </c>
      <c r="H764" s="17">
        <v>755</v>
      </c>
      <c r="I764" s="45">
        <v>0.67093869975035936</v>
      </c>
      <c r="J764" s="45">
        <v>1.88829169214433E-2</v>
      </c>
      <c r="K764" s="45">
        <v>0.24660000000000001</v>
      </c>
      <c r="N764" s="54"/>
    </row>
    <row r="765" spans="2:14" x14ac:dyDescent="0.2">
      <c r="B765">
        <v>756</v>
      </c>
      <c r="C765" s="52">
        <f t="shared" ca="1" si="36"/>
        <v>-0.40486859333302821</v>
      </c>
      <c r="D765" s="52">
        <f ca="1">S0*EXP((μ-0.5*σ*σ)*T+σ*SQRT(T)*$C765)</f>
        <v>0.57566524380962447</v>
      </c>
      <c r="E765" s="52">
        <f t="shared" ca="1" si="34"/>
        <v>0</v>
      </c>
      <c r="F765" s="17">
        <f t="shared" ca="1" si="35"/>
        <v>0</v>
      </c>
      <c r="H765" s="17">
        <v>756</v>
      </c>
      <c r="I765" s="45">
        <v>0.67052919099372899</v>
      </c>
      <c r="J765" s="45">
        <v>1.8817593642187196E-2</v>
      </c>
      <c r="K765" s="45">
        <v>0.24579999999999999</v>
      </c>
      <c r="N765" s="54"/>
    </row>
    <row r="766" spans="2:14" x14ac:dyDescent="0.2">
      <c r="B766">
        <v>757</v>
      </c>
      <c r="C766" s="52">
        <f t="shared" ca="1" si="36"/>
        <v>-2.0009074195569299E-2</v>
      </c>
      <c r="D766" s="52">
        <f ca="1">S0*EXP((μ-0.5*σ*σ)*T+σ*SQRT(T)*$C766)</f>
        <v>0.64028539192105371</v>
      </c>
      <c r="E766" s="52">
        <f t="shared" ca="1" si="34"/>
        <v>0</v>
      </c>
      <c r="F766" s="17">
        <f t="shared" ca="1" si="35"/>
        <v>0</v>
      </c>
      <c r="H766" s="17">
        <v>757</v>
      </c>
      <c r="I766" s="45">
        <v>0.67000379152802636</v>
      </c>
      <c r="J766" s="45">
        <v>1.8045292708872746E-2</v>
      </c>
      <c r="K766" s="45">
        <v>0.23580000000000001</v>
      </c>
      <c r="N766" s="54"/>
    </row>
    <row r="767" spans="2:14" x14ac:dyDescent="0.2">
      <c r="B767">
        <v>758</v>
      </c>
      <c r="C767" s="52">
        <f t="shared" ca="1" si="36"/>
        <v>0.98710334892457419</v>
      </c>
      <c r="D767" s="52">
        <f ca="1">S0*EXP((μ-0.5*σ*σ)*T+σ*SQRT(T)*$C767)</f>
        <v>0.84582511623168533</v>
      </c>
      <c r="E767" s="52">
        <f t="shared" ca="1" si="34"/>
        <v>0</v>
      </c>
      <c r="F767" s="17">
        <f t="shared" ca="1" si="35"/>
        <v>0</v>
      </c>
      <c r="H767" s="17">
        <v>758</v>
      </c>
      <c r="I767" s="45">
        <v>0.67153044028935371</v>
      </c>
      <c r="J767" s="45">
        <v>1.9321709479552415E-2</v>
      </c>
      <c r="K767" s="45">
        <v>0.25019999999999998</v>
      </c>
      <c r="N767" s="54"/>
    </row>
    <row r="768" spans="2:14" x14ac:dyDescent="0.2">
      <c r="B768">
        <v>759</v>
      </c>
      <c r="C768" s="52">
        <f t="shared" ca="1" si="36"/>
        <v>0.16155024827806799</v>
      </c>
      <c r="D768" s="52">
        <f ca="1">S0*EXP((μ-0.5*σ*σ)*T+σ*SQRT(T)*$C768)</f>
        <v>0.6732406889590965</v>
      </c>
      <c r="E768" s="52">
        <f t="shared" ca="1" si="34"/>
        <v>0</v>
      </c>
      <c r="F768" s="17">
        <f t="shared" ca="1" si="35"/>
        <v>0</v>
      </c>
      <c r="H768" s="17">
        <v>759</v>
      </c>
      <c r="I768" s="45">
        <v>0.67113672089233412</v>
      </c>
      <c r="J768" s="45">
        <v>1.9261367227721551E-2</v>
      </c>
      <c r="K768" s="45">
        <v>0.25059999999999999</v>
      </c>
      <c r="N768" s="54"/>
    </row>
    <row r="769" spans="2:14" x14ac:dyDescent="0.2">
      <c r="B769">
        <v>760</v>
      </c>
      <c r="C769" s="52">
        <f t="shared" ca="1" si="36"/>
        <v>-0.34139658205547552</v>
      </c>
      <c r="D769" s="52">
        <f ca="1">S0*EXP((μ-0.5*σ*σ)*T+σ*SQRT(T)*$C769)</f>
        <v>0.58585483988845211</v>
      </c>
      <c r="E769" s="52">
        <f t="shared" ca="1" si="34"/>
        <v>0</v>
      </c>
      <c r="F769" s="17">
        <f t="shared" ca="1" si="35"/>
        <v>0</v>
      </c>
      <c r="H769" s="17">
        <v>760</v>
      </c>
      <c r="I769" s="45">
        <v>0.67107970019561203</v>
      </c>
      <c r="J769" s="45">
        <v>1.9209792947985242E-2</v>
      </c>
      <c r="K769" s="45">
        <v>0.24560000000000001</v>
      </c>
      <c r="N769" s="54"/>
    </row>
    <row r="770" spans="2:14" x14ac:dyDescent="0.2">
      <c r="B770">
        <v>761</v>
      </c>
      <c r="C770" s="52">
        <f t="shared" ca="1" si="36"/>
        <v>0.11292301426321673</v>
      </c>
      <c r="D770" s="52">
        <f ca="1">S0*EXP((μ-0.5*σ*σ)*T+σ*SQRT(T)*$C770)</f>
        <v>0.66425144040566808</v>
      </c>
      <c r="E770" s="52">
        <f t="shared" ca="1" si="34"/>
        <v>0</v>
      </c>
      <c r="F770" s="17">
        <f t="shared" ca="1" si="35"/>
        <v>0</v>
      </c>
      <c r="H770" s="17">
        <v>761</v>
      </c>
      <c r="I770" s="45">
        <v>0.67092167138423842</v>
      </c>
      <c r="J770" s="45">
        <v>1.9059334672162014E-2</v>
      </c>
      <c r="K770" s="45">
        <v>0.25040000000000001</v>
      </c>
      <c r="N770" s="54"/>
    </row>
    <row r="771" spans="2:14" x14ac:dyDescent="0.2">
      <c r="B771">
        <v>762</v>
      </c>
      <c r="C771" s="52">
        <f t="shared" ca="1" si="36"/>
        <v>5.4170645326803817E-2</v>
      </c>
      <c r="D771" s="52">
        <f ca="1">S0*EXP((μ-0.5*σ*σ)*T+σ*SQRT(T)*$C771)</f>
        <v>0.65355042277199771</v>
      </c>
      <c r="E771" s="52">
        <f t="shared" ca="1" si="34"/>
        <v>0</v>
      </c>
      <c r="F771" s="17">
        <f t="shared" ca="1" si="35"/>
        <v>0</v>
      </c>
      <c r="H771" s="17">
        <v>762</v>
      </c>
      <c r="I771" s="45">
        <v>0.67075712859854564</v>
      </c>
      <c r="J771" s="45">
        <v>1.8788899781193347E-2</v>
      </c>
      <c r="K771" s="45">
        <v>0.24340000000000001</v>
      </c>
      <c r="N771" s="54"/>
    </row>
    <row r="772" spans="2:14" x14ac:dyDescent="0.2">
      <c r="B772">
        <v>763</v>
      </c>
      <c r="C772" s="52">
        <f t="shared" ca="1" si="36"/>
        <v>4.193769193539143E-2</v>
      </c>
      <c r="D772" s="52">
        <f ca="1">S0*EXP((μ-0.5*σ*σ)*T+σ*SQRT(T)*$C772)</f>
        <v>0.65134411828773475</v>
      </c>
      <c r="E772" s="52">
        <f t="shared" ca="1" si="34"/>
        <v>0</v>
      </c>
      <c r="F772" s="17">
        <f t="shared" ca="1" si="35"/>
        <v>0</v>
      </c>
      <c r="H772" s="17">
        <v>763</v>
      </c>
      <c r="I772" s="45">
        <v>0.67085863520691524</v>
      </c>
      <c r="J772" s="45">
        <v>1.9004775675753864E-2</v>
      </c>
      <c r="K772" s="45">
        <v>0.25</v>
      </c>
      <c r="N772" s="54"/>
    </row>
    <row r="773" spans="2:14" x14ac:dyDescent="0.2">
      <c r="B773">
        <v>764</v>
      </c>
      <c r="C773" s="52">
        <f t="shared" ca="1" si="36"/>
        <v>-0.16833016614543186</v>
      </c>
      <c r="D773" s="52">
        <f ca="1">S0*EXP((μ-0.5*σ*σ)*T+σ*SQRT(T)*$C773)</f>
        <v>0.61456409609219387</v>
      </c>
      <c r="E773" s="52">
        <f t="shared" ca="1" si="34"/>
        <v>0</v>
      </c>
      <c r="F773" s="17">
        <f t="shared" ca="1" si="35"/>
        <v>0</v>
      </c>
      <c r="H773" s="17">
        <v>764</v>
      </c>
      <c r="I773" s="45">
        <v>0.67076018101564572</v>
      </c>
      <c r="J773" s="45">
        <v>1.8906805775025758E-2</v>
      </c>
      <c r="K773" s="45">
        <v>0.24560000000000001</v>
      </c>
      <c r="N773" s="54"/>
    </row>
    <row r="774" spans="2:14" x14ac:dyDescent="0.2">
      <c r="B774">
        <v>765</v>
      </c>
      <c r="C774" s="52">
        <f t="shared" ca="1" si="36"/>
        <v>2.2416652391451106</v>
      </c>
      <c r="D774" s="52">
        <f ca="1">S0*EXP((μ-0.5*σ*σ)*T+σ*SQRT(T)*$C774)</f>
        <v>1.1964502368259795</v>
      </c>
      <c r="E774" s="52">
        <f t="shared" ca="1" si="34"/>
        <v>0</v>
      </c>
      <c r="F774" s="17">
        <f t="shared" ca="1" si="35"/>
        <v>0</v>
      </c>
      <c r="H774" s="17">
        <v>765</v>
      </c>
      <c r="I774" s="45">
        <v>0.67142846925463651</v>
      </c>
      <c r="J774" s="45">
        <v>1.9232524734972858E-2</v>
      </c>
      <c r="K774" s="45">
        <v>0.24579999999999999</v>
      </c>
      <c r="N774" s="54"/>
    </row>
    <row r="775" spans="2:14" x14ac:dyDescent="0.2">
      <c r="B775">
        <v>766</v>
      </c>
      <c r="C775" s="52">
        <f t="shared" ca="1" si="36"/>
        <v>1.3786287482273334E-2</v>
      </c>
      <c r="D775" s="52">
        <f ca="1">S0*EXP((μ-0.5*σ*σ)*T+σ*SQRT(T)*$C775)</f>
        <v>0.64629505344748817</v>
      </c>
      <c r="E775" s="52">
        <f t="shared" ca="1" si="34"/>
        <v>0</v>
      </c>
      <c r="F775" s="17">
        <f t="shared" ca="1" si="35"/>
        <v>0</v>
      </c>
      <c r="H775" s="17">
        <v>766</v>
      </c>
      <c r="I775" s="45">
        <v>0.66939635684674348</v>
      </c>
      <c r="J775" s="45">
        <v>1.8073132327422324E-2</v>
      </c>
      <c r="K775" s="45">
        <v>0.24740000000000001</v>
      </c>
      <c r="N775" s="54"/>
    </row>
    <row r="776" spans="2:14" x14ac:dyDescent="0.2">
      <c r="B776">
        <v>767</v>
      </c>
      <c r="C776" s="52">
        <f t="shared" ca="1" si="36"/>
        <v>-0.62391250998003056</v>
      </c>
      <c r="D776" s="52">
        <f ca="1">S0*EXP((μ-0.5*σ*σ)*T+σ*SQRT(T)*$C776)</f>
        <v>0.54184254804321175</v>
      </c>
      <c r="E776" s="52">
        <f t="shared" ca="1" si="34"/>
        <v>0</v>
      </c>
      <c r="F776" s="17">
        <f t="shared" ca="1" si="35"/>
        <v>0</v>
      </c>
      <c r="H776" s="17">
        <v>767</v>
      </c>
      <c r="I776" s="45">
        <v>0.67085493603422452</v>
      </c>
      <c r="J776" s="45">
        <v>1.8757465462635046E-2</v>
      </c>
      <c r="K776" s="45">
        <v>0.23760000000000001</v>
      </c>
      <c r="N776" s="54"/>
    </row>
    <row r="777" spans="2:14" x14ac:dyDescent="0.2">
      <c r="B777">
        <v>768</v>
      </c>
      <c r="C777" s="52">
        <f t="shared" ca="1" si="36"/>
        <v>0.97799880761932789</v>
      </c>
      <c r="D777" s="52">
        <f ca="1">S0*EXP((μ-0.5*σ*σ)*T+σ*SQRT(T)*$C777)</f>
        <v>0.84369902757762161</v>
      </c>
      <c r="E777" s="52">
        <f t="shared" ca="1" si="34"/>
        <v>0</v>
      </c>
      <c r="F777" s="17">
        <f t="shared" ca="1" si="35"/>
        <v>0</v>
      </c>
      <c r="H777" s="17">
        <v>768</v>
      </c>
      <c r="I777" s="45">
        <v>0.67163989724441264</v>
      </c>
      <c r="J777" s="45">
        <v>1.9444763962463679E-2</v>
      </c>
      <c r="K777" s="45">
        <v>0.24759999999999999</v>
      </c>
      <c r="N777" s="54"/>
    </row>
    <row r="778" spans="2:14" x14ac:dyDescent="0.2">
      <c r="B778">
        <v>769</v>
      </c>
      <c r="C778" s="52">
        <f t="shared" ca="1" si="36"/>
        <v>8.9302781056720487E-2</v>
      </c>
      <c r="D778" s="52">
        <f ca="1">S0*EXP((μ-0.5*σ*σ)*T+σ*SQRT(T)*$C778)</f>
        <v>0.65992840554122967</v>
      </c>
      <c r="E778" s="52">
        <f t="shared" ref="E778:E841" ca="1" si="37">MAX(0,CP*(D778-K))</f>
        <v>0</v>
      </c>
      <c r="F778" s="17">
        <f t="shared" ref="F778:F841" ca="1" si="38">(CP*(D778-K)&gt;0)*1</f>
        <v>0</v>
      </c>
      <c r="H778" s="17">
        <v>769</v>
      </c>
      <c r="I778" s="45">
        <v>0.66954611153973953</v>
      </c>
      <c r="J778" s="45">
        <v>1.8141142675558188E-2</v>
      </c>
      <c r="K778" s="45">
        <v>0.24679999999999999</v>
      </c>
      <c r="N778" s="54"/>
    </row>
    <row r="779" spans="2:14" x14ac:dyDescent="0.2">
      <c r="B779">
        <v>770</v>
      </c>
      <c r="C779" s="52">
        <f t="shared" ref="C779:C842" ca="1" si="39">_xlfn.NORM.S.INV(RAND())</f>
        <v>0.91100817970431491</v>
      </c>
      <c r="D779" s="52">
        <f ca="1">S0*EXP((μ-0.5*σ*σ)*T+σ*SQRT(T)*$C779)</f>
        <v>0.8282188582196881</v>
      </c>
      <c r="E779" s="52">
        <f t="shared" ca="1" si="37"/>
        <v>0</v>
      </c>
      <c r="F779" s="17">
        <f t="shared" ca="1" si="38"/>
        <v>0</v>
      </c>
      <c r="H779" s="17">
        <v>770</v>
      </c>
      <c r="I779" s="45">
        <v>0.67129000592525001</v>
      </c>
      <c r="J779" s="45">
        <v>1.9107399912266662E-2</v>
      </c>
      <c r="K779" s="45">
        <v>0.25040000000000001</v>
      </c>
      <c r="N779" s="54"/>
    </row>
    <row r="780" spans="2:14" x14ac:dyDescent="0.2">
      <c r="B780">
        <v>771</v>
      </c>
      <c r="C780" s="52">
        <f t="shared" ca="1" si="39"/>
        <v>-0.19951022414567954</v>
      </c>
      <c r="D780" s="52">
        <f ca="1">S0*EXP((μ-0.5*σ*σ)*T+σ*SQRT(T)*$C780)</f>
        <v>0.60928981905579083</v>
      </c>
      <c r="E780" s="52">
        <f t="shared" ca="1" si="37"/>
        <v>0</v>
      </c>
      <c r="F780" s="17">
        <f t="shared" ca="1" si="38"/>
        <v>0</v>
      </c>
      <c r="H780" s="17">
        <v>771</v>
      </c>
      <c r="I780" s="45">
        <v>0.67059258624592277</v>
      </c>
      <c r="J780" s="45">
        <v>1.8815185533577295E-2</v>
      </c>
      <c r="K780" s="45">
        <v>0.2392</v>
      </c>
      <c r="N780" s="54"/>
    </row>
    <row r="781" spans="2:14" x14ac:dyDescent="0.2">
      <c r="B781">
        <v>772</v>
      </c>
      <c r="C781" s="52">
        <f t="shared" ca="1" si="39"/>
        <v>0.79467584119428569</v>
      </c>
      <c r="D781" s="52">
        <f ca="1">S0*EXP((μ-0.5*σ*σ)*T+σ*SQRT(T)*$C781)</f>
        <v>0.80200865557999368</v>
      </c>
      <c r="E781" s="52">
        <f t="shared" ca="1" si="37"/>
        <v>0</v>
      </c>
      <c r="F781" s="17">
        <f t="shared" ca="1" si="38"/>
        <v>0</v>
      </c>
      <c r="H781" s="17">
        <v>772</v>
      </c>
      <c r="I781" s="45">
        <v>0.67120991207889336</v>
      </c>
      <c r="J781" s="45">
        <v>1.9139272896614243E-2</v>
      </c>
      <c r="K781" s="45">
        <v>0.24660000000000001</v>
      </c>
      <c r="N781" s="54"/>
    </row>
    <row r="782" spans="2:14" x14ac:dyDescent="0.2">
      <c r="B782">
        <v>773</v>
      </c>
      <c r="C782" s="52">
        <f t="shared" ca="1" si="39"/>
        <v>0.3684426240567909</v>
      </c>
      <c r="D782" s="52">
        <f ca="1">S0*EXP((μ-0.5*σ*σ)*T+σ*SQRT(T)*$C782)</f>
        <v>0.71286686720253134</v>
      </c>
      <c r="E782" s="52">
        <f t="shared" ca="1" si="37"/>
        <v>0</v>
      </c>
      <c r="F782" s="17">
        <f t="shared" ca="1" si="38"/>
        <v>0</v>
      </c>
      <c r="H782" s="17">
        <v>773</v>
      </c>
      <c r="I782" s="45">
        <v>0.67108637453186115</v>
      </c>
      <c r="J782" s="45">
        <v>1.9176336070598946E-2</v>
      </c>
      <c r="K782" s="45">
        <v>0.2482</v>
      </c>
      <c r="N782" s="54"/>
    </row>
    <row r="783" spans="2:14" x14ac:dyDescent="0.2">
      <c r="B783">
        <v>774</v>
      </c>
      <c r="C783" s="52">
        <f t="shared" ca="1" si="39"/>
        <v>-1.6822708491272782</v>
      </c>
      <c r="D783" s="52">
        <f ca="1">S0*EXP((μ-0.5*σ*σ)*T+σ*SQRT(T)*$C783)</f>
        <v>0.40440255378450979</v>
      </c>
      <c r="E783" s="52">
        <f t="shared" ca="1" si="37"/>
        <v>0.1299974462154902</v>
      </c>
      <c r="F783" s="17">
        <f t="shared" ca="1" si="38"/>
        <v>1</v>
      </c>
      <c r="H783" s="17">
        <v>774</v>
      </c>
      <c r="I783" s="45">
        <v>0.67005803581510004</v>
      </c>
      <c r="J783" s="45">
        <v>1.8282799562210177E-2</v>
      </c>
      <c r="K783" s="45">
        <v>0.24060000000000001</v>
      </c>
      <c r="N783" s="54"/>
    </row>
    <row r="784" spans="2:14" x14ac:dyDescent="0.2">
      <c r="B784">
        <v>775</v>
      </c>
      <c r="C784" s="52">
        <f t="shared" ca="1" si="39"/>
        <v>1.0156055533996589</v>
      </c>
      <c r="D784" s="52">
        <f ca="1">S0*EXP((μ-0.5*σ*σ)*T+σ*SQRT(T)*$C784)</f>
        <v>0.85251564069351293</v>
      </c>
      <c r="E784" s="52">
        <f t="shared" ca="1" si="37"/>
        <v>0</v>
      </c>
      <c r="F784" s="17">
        <f t="shared" ca="1" si="38"/>
        <v>0</v>
      </c>
      <c r="H784" s="17">
        <v>775</v>
      </c>
      <c r="I784" s="45">
        <v>0.6712992648651489</v>
      </c>
      <c r="J784" s="45">
        <v>1.905084528413898E-2</v>
      </c>
      <c r="K784" s="45">
        <v>0.2432</v>
      </c>
      <c r="N784" s="54"/>
    </row>
    <row r="785" spans="2:14" x14ac:dyDescent="0.2">
      <c r="B785">
        <v>776</v>
      </c>
      <c r="C785" s="52">
        <f t="shared" ca="1" si="39"/>
        <v>-1.7166705622144891</v>
      </c>
      <c r="D785" s="52">
        <f ca="1">S0*EXP((μ-0.5*σ*σ)*T+σ*SQRT(T)*$C785)</f>
        <v>0.40057523557561431</v>
      </c>
      <c r="E785" s="52">
        <f t="shared" ca="1" si="37"/>
        <v>0.13382476442438568</v>
      </c>
      <c r="F785" s="17">
        <f t="shared" ca="1" si="38"/>
        <v>1</v>
      </c>
      <c r="H785" s="17">
        <v>776</v>
      </c>
      <c r="I785" s="45">
        <v>0.67151079814379944</v>
      </c>
      <c r="J785" s="45">
        <v>1.9279423488406087E-2</v>
      </c>
      <c r="K785" s="45">
        <v>0.2452</v>
      </c>
      <c r="N785" s="54"/>
    </row>
    <row r="786" spans="2:14" x14ac:dyDescent="0.2">
      <c r="B786">
        <v>777</v>
      </c>
      <c r="C786" s="52">
        <f t="shared" ca="1" si="39"/>
        <v>-1.2477983700494066</v>
      </c>
      <c r="D786" s="52">
        <f ca="1">S0*EXP((μ-0.5*σ*σ)*T+σ*SQRT(T)*$C786)</f>
        <v>0.45600926228869271</v>
      </c>
      <c r="E786" s="52">
        <f t="shared" ca="1" si="37"/>
        <v>7.8390737711307279E-2</v>
      </c>
      <c r="F786" s="17">
        <f t="shared" ca="1" si="38"/>
        <v>1</v>
      </c>
      <c r="H786" s="17">
        <v>777</v>
      </c>
      <c r="I786" s="45">
        <v>0.67048439398583404</v>
      </c>
      <c r="J786" s="45">
        <v>1.8826019424404518E-2</v>
      </c>
      <c r="K786" s="45">
        <v>0.24840000000000001</v>
      </c>
      <c r="N786" s="54"/>
    </row>
    <row r="787" spans="2:14" x14ac:dyDescent="0.2">
      <c r="B787">
        <v>778</v>
      </c>
      <c r="C787" s="52">
        <f t="shared" ca="1" si="39"/>
        <v>0.81293876414385546</v>
      </c>
      <c r="D787" s="52">
        <f ca="1">S0*EXP((μ-0.5*σ*σ)*T+σ*SQRT(T)*$C787)</f>
        <v>0.80606780637780484</v>
      </c>
      <c r="E787" s="52">
        <f t="shared" ca="1" si="37"/>
        <v>0</v>
      </c>
      <c r="F787" s="17">
        <f t="shared" ca="1" si="38"/>
        <v>0</v>
      </c>
      <c r="H787" s="17">
        <v>778</v>
      </c>
      <c r="I787" s="45">
        <v>0.66996765196930508</v>
      </c>
      <c r="J787" s="45">
        <v>1.8591752425696696E-2</v>
      </c>
      <c r="K787" s="45">
        <v>0.2462</v>
      </c>
      <c r="N787" s="54"/>
    </row>
    <row r="788" spans="2:14" x14ac:dyDescent="0.2">
      <c r="B788">
        <v>779</v>
      </c>
      <c r="C788" s="52">
        <f t="shared" ca="1" si="39"/>
        <v>-0.77022195130813653</v>
      </c>
      <c r="D788" s="52">
        <f ca="1">S0*EXP((μ-0.5*σ*σ)*T+σ*SQRT(T)*$C788)</f>
        <v>0.52036514700759839</v>
      </c>
      <c r="E788" s="52">
        <f t="shared" ca="1" si="37"/>
        <v>1.4034852992401592E-2</v>
      </c>
      <c r="F788" s="17">
        <f t="shared" ca="1" si="38"/>
        <v>1</v>
      </c>
      <c r="H788" s="17">
        <v>779</v>
      </c>
      <c r="I788" s="45">
        <v>0.67165043010614534</v>
      </c>
      <c r="J788" s="45">
        <v>1.9586995840894642E-2</v>
      </c>
      <c r="K788" s="45">
        <v>0.25240000000000001</v>
      </c>
      <c r="N788" s="54"/>
    </row>
    <row r="789" spans="2:14" x14ac:dyDescent="0.2">
      <c r="B789">
        <v>780</v>
      </c>
      <c r="C789" s="52">
        <f t="shared" ca="1" si="39"/>
        <v>1.8233022007041515</v>
      </c>
      <c r="D789" s="52">
        <f ca="1">S0*EXP((μ-0.5*σ*σ)*T+σ*SQRT(T)*$C789)</f>
        <v>1.0657831604285479</v>
      </c>
      <c r="E789" s="52">
        <f t="shared" ca="1" si="37"/>
        <v>0</v>
      </c>
      <c r="F789" s="17">
        <f t="shared" ca="1" si="38"/>
        <v>0</v>
      </c>
      <c r="H789" s="17">
        <v>780</v>
      </c>
      <c r="I789" s="45">
        <v>0.67047822298493975</v>
      </c>
      <c r="J789" s="45">
        <v>1.8760941663658548E-2</v>
      </c>
      <c r="K789" s="45">
        <v>0.25140000000000001</v>
      </c>
      <c r="N789" s="54"/>
    </row>
    <row r="790" spans="2:14" x14ac:dyDescent="0.2">
      <c r="B790">
        <v>781</v>
      </c>
      <c r="C790" s="52">
        <f t="shared" ca="1" si="39"/>
        <v>-0.60670375817624089</v>
      </c>
      <c r="D790" s="52">
        <f ca="1">S0*EXP((μ-0.5*σ*σ)*T+σ*SQRT(T)*$C790)</f>
        <v>0.54442626532045901</v>
      </c>
      <c r="E790" s="52">
        <f t="shared" ca="1" si="37"/>
        <v>0</v>
      </c>
      <c r="F790" s="17">
        <f t="shared" ca="1" si="38"/>
        <v>0</v>
      </c>
      <c r="H790" s="17">
        <v>781</v>
      </c>
      <c r="I790" s="45">
        <v>0.66997511353187189</v>
      </c>
      <c r="J790" s="45">
        <v>1.8273536932893443E-2</v>
      </c>
      <c r="K790" s="45">
        <v>0.249</v>
      </c>
      <c r="N790" s="54"/>
    </row>
    <row r="791" spans="2:14" x14ac:dyDescent="0.2">
      <c r="B791">
        <v>782</v>
      </c>
      <c r="C791" s="52">
        <f t="shared" ca="1" si="39"/>
        <v>1.9830371613083638E-3</v>
      </c>
      <c r="D791" s="52">
        <f ca="1">S0*EXP((μ-0.5*σ*σ)*T+σ*SQRT(T)*$C791)</f>
        <v>0.64418975700956815</v>
      </c>
      <c r="E791" s="52">
        <f t="shared" ca="1" si="37"/>
        <v>0</v>
      </c>
      <c r="F791" s="17">
        <f t="shared" ca="1" si="38"/>
        <v>0</v>
      </c>
      <c r="H791" s="17">
        <v>782</v>
      </c>
      <c r="I791" s="45">
        <v>0.67033573988401218</v>
      </c>
      <c r="J791" s="45">
        <v>1.854712355988233E-2</v>
      </c>
      <c r="K791" s="45">
        <v>0.25280000000000002</v>
      </c>
      <c r="N791" s="54"/>
    </row>
    <row r="792" spans="2:14" x14ac:dyDescent="0.2">
      <c r="B792">
        <v>783</v>
      </c>
      <c r="C792" s="52">
        <f t="shared" ca="1" si="39"/>
        <v>0.95925103197954986</v>
      </c>
      <c r="D792" s="52">
        <f ca="1">S0*EXP((μ-0.5*σ*σ)*T+σ*SQRT(T)*$C792)</f>
        <v>0.83933787240363711</v>
      </c>
      <c r="E792" s="52">
        <f t="shared" ca="1" si="37"/>
        <v>0</v>
      </c>
      <c r="F792" s="17">
        <f t="shared" ca="1" si="38"/>
        <v>0</v>
      </c>
      <c r="H792" s="17">
        <v>783</v>
      </c>
      <c r="I792" s="45">
        <v>0.67110826465276163</v>
      </c>
      <c r="J792" s="45">
        <v>1.879228477951651E-2</v>
      </c>
      <c r="K792" s="45">
        <v>0.2462</v>
      </c>
      <c r="N792" s="54"/>
    </row>
    <row r="793" spans="2:14" x14ac:dyDescent="0.2">
      <c r="B793">
        <v>784</v>
      </c>
      <c r="C793" s="52">
        <f t="shared" ca="1" si="39"/>
        <v>-0.53965835524163397</v>
      </c>
      <c r="D793" s="52">
        <f ca="1">S0*EXP((μ-0.5*σ*σ)*T+σ*SQRT(T)*$C793)</f>
        <v>0.55461048870221163</v>
      </c>
      <c r="E793" s="52">
        <f t="shared" ca="1" si="37"/>
        <v>0</v>
      </c>
      <c r="F793" s="17">
        <f t="shared" ca="1" si="38"/>
        <v>0</v>
      </c>
      <c r="H793" s="17">
        <v>784</v>
      </c>
      <c r="I793" s="45">
        <v>0.67133584557118786</v>
      </c>
      <c r="J793" s="45">
        <v>1.9415588844884406E-2</v>
      </c>
      <c r="K793" s="45">
        <v>0.25319999999999998</v>
      </c>
      <c r="N793" s="54"/>
    </row>
    <row r="794" spans="2:14" x14ac:dyDescent="0.2">
      <c r="B794">
        <v>785</v>
      </c>
      <c r="C794" s="52">
        <f t="shared" ca="1" si="39"/>
        <v>-1.1665087163915555</v>
      </c>
      <c r="D794" s="52">
        <f ca="1">S0*EXP((μ-0.5*σ*σ)*T+σ*SQRT(T)*$C794)</f>
        <v>0.46637229178929246</v>
      </c>
      <c r="E794" s="52">
        <f t="shared" ca="1" si="37"/>
        <v>6.8027708210707527E-2</v>
      </c>
      <c r="F794" s="17">
        <f t="shared" ca="1" si="38"/>
        <v>1</v>
      </c>
      <c r="H794" s="17">
        <v>785</v>
      </c>
      <c r="I794" s="45">
        <v>0.67179255548803041</v>
      </c>
      <c r="J794" s="45">
        <v>1.9433261580041911E-2</v>
      </c>
      <c r="K794" s="45">
        <v>0.2482</v>
      </c>
      <c r="N794" s="54"/>
    </row>
    <row r="795" spans="2:14" x14ac:dyDescent="0.2">
      <c r="B795">
        <v>786</v>
      </c>
      <c r="C795" s="52">
        <f t="shared" ca="1" si="39"/>
        <v>0.4322965163150968</v>
      </c>
      <c r="D795" s="52">
        <f ca="1">S0*EXP((μ-0.5*σ*σ)*T+σ*SQRT(T)*$C795)</f>
        <v>0.72556159795746122</v>
      </c>
      <c r="E795" s="52">
        <f t="shared" ca="1" si="37"/>
        <v>0</v>
      </c>
      <c r="F795" s="17">
        <f t="shared" ca="1" si="38"/>
        <v>0</v>
      </c>
      <c r="H795" s="17">
        <v>786</v>
      </c>
      <c r="I795" s="45">
        <v>0.67168050528388135</v>
      </c>
      <c r="J795" s="45">
        <v>1.9508575654029157E-2</v>
      </c>
      <c r="K795" s="45">
        <v>0.24759999999999999</v>
      </c>
      <c r="N795" s="54"/>
    </row>
    <row r="796" spans="2:14" x14ac:dyDescent="0.2">
      <c r="B796">
        <v>787</v>
      </c>
      <c r="C796" s="52">
        <f t="shared" ca="1" si="39"/>
        <v>-0.75888046706207057</v>
      </c>
      <c r="D796" s="52">
        <f ca="1">S0*EXP((μ-0.5*σ*σ)*T+σ*SQRT(T)*$C796)</f>
        <v>0.52199913245596885</v>
      </c>
      <c r="E796" s="52">
        <f t="shared" ca="1" si="37"/>
        <v>1.2400867544031136E-2</v>
      </c>
      <c r="F796" s="17">
        <f t="shared" ca="1" si="38"/>
        <v>1</v>
      </c>
      <c r="H796" s="17">
        <v>787</v>
      </c>
      <c r="I796" s="45">
        <v>0.67165236927903393</v>
      </c>
      <c r="J796" s="45">
        <v>1.9623133494101622E-2</v>
      </c>
      <c r="K796" s="45">
        <v>0.24759999999999999</v>
      </c>
      <c r="N796" s="54"/>
    </row>
    <row r="797" spans="2:14" x14ac:dyDescent="0.2">
      <c r="B797">
        <v>788</v>
      </c>
      <c r="C797" s="52">
        <f t="shared" ca="1" si="39"/>
        <v>-0.95023243603858276</v>
      </c>
      <c r="D797" s="52">
        <f ca="1">S0*EXP((μ-0.5*σ*σ)*T+σ*SQRT(T)*$C797)</f>
        <v>0.49510507871230891</v>
      </c>
      <c r="E797" s="52">
        <f t="shared" ca="1" si="37"/>
        <v>3.9294921287691076E-2</v>
      </c>
      <c r="F797" s="17">
        <f t="shared" ca="1" si="38"/>
        <v>1</v>
      </c>
      <c r="H797" s="17">
        <v>788</v>
      </c>
      <c r="I797" s="45">
        <v>0.67084447857364571</v>
      </c>
      <c r="J797" s="45">
        <v>1.8837794205429709E-2</v>
      </c>
      <c r="K797" s="45">
        <v>0.2424</v>
      </c>
      <c r="N797" s="54"/>
    </row>
    <row r="798" spans="2:14" x14ac:dyDescent="0.2">
      <c r="B798">
        <v>789</v>
      </c>
      <c r="C798" s="52">
        <f t="shared" ca="1" si="39"/>
        <v>1.0637747780293123</v>
      </c>
      <c r="D798" s="52">
        <f ca="1">S0*EXP((μ-0.5*σ*σ)*T+σ*SQRT(T)*$C798)</f>
        <v>0.86394326026470603</v>
      </c>
      <c r="E798" s="52">
        <f t="shared" ca="1" si="37"/>
        <v>0</v>
      </c>
      <c r="F798" s="17">
        <f t="shared" ca="1" si="38"/>
        <v>0</v>
      </c>
      <c r="H798" s="17">
        <v>789</v>
      </c>
      <c r="I798" s="45">
        <v>0.67018419185228806</v>
      </c>
      <c r="J798" s="45">
        <v>1.8351168339606209E-2</v>
      </c>
      <c r="K798" s="45">
        <v>0.2424</v>
      </c>
      <c r="N798" s="54"/>
    </row>
    <row r="799" spans="2:14" x14ac:dyDescent="0.2">
      <c r="B799">
        <v>790</v>
      </c>
      <c r="C799" s="52">
        <f t="shared" ca="1" si="39"/>
        <v>3.6750122751535774E-2</v>
      </c>
      <c r="D799" s="52">
        <f ca="1">S0*EXP((μ-0.5*σ*σ)*T+σ*SQRT(T)*$C799)</f>
        <v>0.65041075188373576</v>
      </c>
      <c r="E799" s="52">
        <f t="shared" ca="1" si="37"/>
        <v>0</v>
      </c>
      <c r="F799" s="17">
        <f t="shared" ca="1" si="38"/>
        <v>0</v>
      </c>
      <c r="H799" s="17">
        <v>790</v>
      </c>
      <c r="I799" s="45">
        <v>0.67183936733398819</v>
      </c>
      <c r="J799" s="45">
        <v>1.9579980724090749E-2</v>
      </c>
      <c r="K799" s="45">
        <v>0.25459999999999999</v>
      </c>
      <c r="N799" s="54"/>
    </row>
    <row r="800" spans="2:14" x14ac:dyDescent="0.2">
      <c r="B800">
        <v>791</v>
      </c>
      <c r="C800" s="52">
        <f t="shared" ca="1" si="39"/>
        <v>1.1078200525590045</v>
      </c>
      <c r="D800" s="52">
        <f ca="1">S0*EXP((μ-0.5*σ*σ)*T+σ*SQRT(T)*$C800)</f>
        <v>0.87452653896190824</v>
      </c>
      <c r="E800" s="52">
        <f t="shared" ca="1" si="37"/>
        <v>0</v>
      </c>
      <c r="F800" s="17">
        <f t="shared" ca="1" si="38"/>
        <v>0</v>
      </c>
      <c r="H800" s="17">
        <v>791</v>
      </c>
      <c r="I800" s="45">
        <v>0.67218026265657083</v>
      </c>
      <c r="J800" s="45">
        <v>1.982988723524344E-2</v>
      </c>
      <c r="K800" s="45">
        <v>0.24840000000000001</v>
      </c>
      <c r="N800" s="54"/>
    </row>
    <row r="801" spans="2:14" x14ac:dyDescent="0.2">
      <c r="B801">
        <v>792</v>
      </c>
      <c r="C801" s="52">
        <f t="shared" ca="1" si="39"/>
        <v>1.0315335733739692</v>
      </c>
      <c r="D801" s="52">
        <f ca="1">S0*EXP((μ-0.5*σ*σ)*T+σ*SQRT(T)*$C801)</f>
        <v>0.85627756215167483</v>
      </c>
      <c r="E801" s="52">
        <f t="shared" ca="1" si="37"/>
        <v>0</v>
      </c>
      <c r="F801" s="17">
        <f t="shared" ca="1" si="38"/>
        <v>0</v>
      </c>
      <c r="H801" s="17">
        <v>792</v>
      </c>
      <c r="I801" s="45">
        <v>0.67059760277904557</v>
      </c>
      <c r="J801" s="45">
        <v>1.8852817860967482E-2</v>
      </c>
      <c r="K801" s="45">
        <v>0.24660000000000001</v>
      </c>
      <c r="N801" s="54"/>
    </row>
    <row r="802" spans="2:14" x14ac:dyDescent="0.2">
      <c r="B802">
        <v>793</v>
      </c>
      <c r="C802" s="52">
        <f t="shared" ca="1" si="39"/>
        <v>0.85717709926939045</v>
      </c>
      <c r="D802" s="52">
        <f ca="1">S0*EXP((μ-0.5*σ*σ)*T+σ*SQRT(T)*$C802)</f>
        <v>0.8159856590675626</v>
      </c>
      <c r="E802" s="52">
        <f t="shared" ca="1" si="37"/>
        <v>0</v>
      </c>
      <c r="F802" s="17">
        <f t="shared" ca="1" si="38"/>
        <v>0</v>
      </c>
      <c r="H802" s="17">
        <v>793</v>
      </c>
      <c r="I802" s="45">
        <v>0.67060806029588593</v>
      </c>
      <c r="J802" s="45">
        <v>1.8808099626454081E-2</v>
      </c>
      <c r="K802" s="45">
        <v>0.248</v>
      </c>
      <c r="N802" s="54"/>
    </row>
    <row r="803" spans="2:14" x14ac:dyDescent="0.2">
      <c r="B803">
        <v>794</v>
      </c>
      <c r="C803" s="52">
        <f t="shared" ca="1" si="39"/>
        <v>-5.8794727397444749E-2</v>
      </c>
      <c r="D803" s="52">
        <f ca="1">S0*EXP((μ-0.5*σ*σ)*T+σ*SQRT(T)*$C803)</f>
        <v>0.63345716829017606</v>
      </c>
      <c r="E803" s="52">
        <f t="shared" ca="1" si="37"/>
        <v>0</v>
      </c>
      <c r="F803" s="17">
        <f t="shared" ca="1" si="38"/>
        <v>0</v>
      </c>
      <c r="H803" s="17">
        <v>794</v>
      </c>
      <c r="I803" s="45">
        <v>0.67134147311224146</v>
      </c>
      <c r="J803" s="45">
        <v>1.9325023084088951E-2</v>
      </c>
      <c r="K803" s="45">
        <v>0.25440000000000002</v>
      </c>
      <c r="N803" s="54"/>
    </row>
    <row r="804" spans="2:14" x14ac:dyDescent="0.2">
      <c r="B804">
        <v>795</v>
      </c>
      <c r="C804" s="52">
        <f t="shared" ca="1" si="39"/>
        <v>-6.1739034562775824E-2</v>
      </c>
      <c r="D804" s="52">
        <f ca="1">S0*EXP((μ-0.5*σ*σ)*T+σ*SQRT(T)*$C804)</f>
        <v>0.63294180584484894</v>
      </c>
      <c r="E804" s="52">
        <f t="shared" ca="1" si="37"/>
        <v>0</v>
      </c>
      <c r="F804" s="17">
        <f t="shared" ca="1" si="38"/>
        <v>0</v>
      </c>
      <c r="H804" s="17">
        <v>795</v>
      </c>
      <c r="I804" s="45">
        <v>0.67114988552539723</v>
      </c>
      <c r="J804" s="45">
        <v>1.9190791374282198E-2</v>
      </c>
      <c r="K804" s="45">
        <v>0.25359999999999999</v>
      </c>
      <c r="N804" s="54"/>
    </row>
    <row r="805" spans="2:14" x14ac:dyDescent="0.2">
      <c r="B805">
        <v>796</v>
      </c>
      <c r="C805" s="52">
        <f t="shared" ca="1" si="39"/>
        <v>0.77626580220394337</v>
      </c>
      <c r="D805" s="52">
        <f ca="1">S0*EXP((μ-0.5*σ*σ)*T+σ*SQRT(T)*$C805)</f>
        <v>0.79793749471676467</v>
      </c>
      <c r="E805" s="52">
        <f t="shared" ca="1" si="37"/>
        <v>0</v>
      </c>
      <c r="F805" s="17">
        <f t="shared" ca="1" si="38"/>
        <v>0</v>
      </c>
      <c r="H805" s="17">
        <v>796</v>
      </c>
      <c r="I805" s="45">
        <v>0.6709421401824468</v>
      </c>
      <c r="J805" s="45">
        <v>1.8829157731137386E-2</v>
      </c>
      <c r="K805" s="45">
        <v>0.2414</v>
      </c>
      <c r="N805" s="54"/>
    </row>
    <row r="806" spans="2:14" x14ac:dyDescent="0.2">
      <c r="B806">
        <v>797</v>
      </c>
      <c r="C806" s="52">
        <f t="shared" ca="1" si="39"/>
        <v>1.8421046425017555</v>
      </c>
      <c r="D806" s="52">
        <f ca="1">S0*EXP((μ-0.5*σ*σ)*T+σ*SQRT(T)*$C806)</f>
        <v>1.0713371027293723</v>
      </c>
      <c r="E806" s="52">
        <f t="shared" ca="1" si="37"/>
        <v>0</v>
      </c>
      <c r="F806" s="17">
        <f t="shared" ca="1" si="38"/>
        <v>0</v>
      </c>
      <c r="H806" s="17">
        <v>797</v>
      </c>
      <c r="I806" s="45">
        <v>0.67083539004767634</v>
      </c>
      <c r="J806" s="45">
        <v>1.8955970659742458E-2</v>
      </c>
      <c r="K806" s="45">
        <v>0.24379999999999999</v>
      </c>
      <c r="N806" s="54"/>
    </row>
    <row r="807" spans="2:14" x14ac:dyDescent="0.2">
      <c r="B807">
        <v>798</v>
      </c>
      <c r="C807" s="52">
        <f t="shared" ca="1" si="39"/>
        <v>1.0470947761419274</v>
      </c>
      <c r="D807" s="52">
        <f ca="1">S0*EXP((μ-0.5*σ*σ)*T+σ*SQRT(T)*$C807)</f>
        <v>0.85996887851463377</v>
      </c>
      <c r="E807" s="52">
        <f t="shared" ca="1" si="37"/>
        <v>0</v>
      </c>
      <c r="F807" s="17">
        <f t="shared" ca="1" si="38"/>
        <v>0</v>
      </c>
      <c r="H807" s="17">
        <v>798</v>
      </c>
      <c r="I807" s="45">
        <v>0.67017738306757413</v>
      </c>
      <c r="J807" s="45">
        <v>1.8453624647971244E-2</v>
      </c>
      <c r="K807" s="45">
        <v>0.2384</v>
      </c>
      <c r="N807" s="54"/>
    </row>
    <row r="808" spans="2:14" x14ac:dyDescent="0.2">
      <c r="B808">
        <v>799</v>
      </c>
      <c r="C808" s="52">
        <f t="shared" ca="1" si="39"/>
        <v>-0.46448971726073762</v>
      </c>
      <c r="D808" s="52">
        <f ca="1">S0*EXP((μ-0.5*σ*σ)*T+σ*SQRT(T)*$C808)</f>
        <v>0.56625533630546365</v>
      </c>
      <c r="E808" s="52">
        <f t="shared" ca="1" si="37"/>
        <v>0</v>
      </c>
      <c r="F808" s="17">
        <f t="shared" ca="1" si="38"/>
        <v>0</v>
      </c>
      <c r="H808" s="17">
        <v>799</v>
      </c>
      <c r="I808" s="45">
        <v>0.67207945255428725</v>
      </c>
      <c r="J808" s="45">
        <v>2.000898094335931E-2</v>
      </c>
      <c r="K808" s="45">
        <v>0.25059999999999999</v>
      </c>
      <c r="N808" s="54"/>
    </row>
    <row r="809" spans="2:14" x14ac:dyDescent="0.2">
      <c r="B809">
        <v>800</v>
      </c>
      <c r="C809" s="52">
        <f t="shared" ca="1" si="39"/>
        <v>1.0065887387125956</v>
      </c>
      <c r="D809" s="52">
        <f ca="1">S0*EXP((μ-0.5*σ*σ)*T+σ*SQRT(T)*$C809)</f>
        <v>0.85039335676320038</v>
      </c>
      <c r="E809" s="52">
        <f t="shared" ca="1" si="37"/>
        <v>0</v>
      </c>
      <c r="F809" s="17">
        <f t="shared" ca="1" si="38"/>
        <v>0</v>
      </c>
      <c r="H809" s="17">
        <v>800</v>
      </c>
      <c r="I809" s="45">
        <v>0.67100806619974074</v>
      </c>
      <c r="J809" s="45">
        <v>1.9114506022620579E-2</v>
      </c>
      <c r="K809" s="45">
        <v>0.252</v>
      </c>
      <c r="N809" s="54"/>
    </row>
    <row r="810" spans="2:14" x14ac:dyDescent="0.2">
      <c r="B810">
        <v>801</v>
      </c>
      <c r="C810" s="52">
        <f t="shared" ca="1" si="39"/>
        <v>-1.2482894509314713</v>
      </c>
      <c r="D810" s="52">
        <f ca="1">S0*EXP((μ-0.5*σ*σ)*T+σ*SQRT(T)*$C810)</f>
        <v>0.45594736290349208</v>
      </c>
      <c r="E810" s="52">
        <f t="shared" ca="1" si="37"/>
        <v>7.8452637096507905E-2</v>
      </c>
      <c r="F810" s="17">
        <f t="shared" ca="1" si="38"/>
        <v>1</v>
      </c>
      <c r="H810" s="17">
        <v>801</v>
      </c>
      <c r="I810" s="45">
        <v>0.6708024814080753</v>
      </c>
      <c r="J810" s="45">
        <v>1.8774814570622165E-2</v>
      </c>
      <c r="K810" s="45">
        <v>0.24160000000000001</v>
      </c>
      <c r="N810" s="54"/>
    </row>
    <row r="811" spans="2:14" x14ac:dyDescent="0.2">
      <c r="B811">
        <v>802</v>
      </c>
      <c r="C811" s="52">
        <f t="shared" ca="1" si="39"/>
        <v>0.93619323840390156</v>
      </c>
      <c r="D811" s="52">
        <f ca="1">S0*EXP((μ-0.5*σ*σ)*T+σ*SQRT(T)*$C811)</f>
        <v>0.83400501042646225</v>
      </c>
      <c r="E811" s="52">
        <f t="shared" ca="1" si="37"/>
        <v>0</v>
      </c>
      <c r="F811" s="17">
        <f t="shared" ca="1" si="38"/>
        <v>0</v>
      </c>
      <c r="H811" s="17">
        <v>802</v>
      </c>
      <c r="I811" s="45">
        <v>0.67156601882382039</v>
      </c>
      <c r="J811" s="45">
        <v>1.9509791383900008E-2</v>
      </c>
      <c r="K811" s="45">
        <v>0.25140000000000001</v>
      </c>
      <c r="N811" s="54"/>
    </row>
    <row r="812" spans="2:14" x14ac:dyDescent="0.2">
      <c r="B812">
        <v>803</v>
      </c>
      <c r="C812" s="52">
        <f t="shared" ca="1" si="39"/>
        <v>1.9924863986682797</v>
      </c>
      <c r="D812" s="52">
        <f ca="1">S0*EXP((μ-0.5*σ*σ)*T+σ*SQRT(T)*$C812)</f>
        <v>1.1168116715117948</v>
      </c>
      <c r="E812" s="52">
        <f t="shared" ca="1" si="37"/>
        <v>0</v>
      </c>
      <c r="F812" s="17">
        <f t="shared" ca="1" si="38"/>
        <v>0</v>
      </c>
      <c r="H812" s="17">
        <v>803</v>
      </c>
      <c r="I812" s="45">
        <v>0.67032884439879348</v>
      </c>
      <c r="J812" s="45">
        <v>1.8575373692154416E-2</v>
      </c>
      <c r="K812" s="45">
        <v>0.24779999999999999</v>
      </c>
      <c r="N812" s="54"/>
    </row>
    <row r="813" spans="2:14" x14ac:dyDescent="0.2">
      <c r="B813">
        <v>804</v>
      </c>
      <c r="C813" s="52">
        <f t="shared" ca="1" si="39"/>
        <v>0.9239447216283474</v>
      </c>
      <c r="D813" s="52">
        <f ca="1">S0*EXP((μ-0.5*σ*σ)*T+σ*SQRT(T)*$C813)</f>
        <v>0.8311859378677523</v>
      </c>
      <c r="E813" s="52">
        <f t="shared" ca="1" si="37"/>
        <v>0</v>
      </c>
      <c r="F813" s="17">
        <f t="shared" ca="1" si="38"/>
        <v>0</v>
      </c>
      <c r="H813" s="17">
        <v>804</v>
      </c>
      <c r="I813" s="45">
        <v>0.67126168987132795</v>
      </c>
      <c r="J813" s="45">
        <v>1.9177363764001126E-2</v>
      </c>
      <c r="K813" s="45">
        <v>0.2432</v>
      </c>
      <c r="N813" s="54"/>
    </row>
    <row r="814" spans="2:14" x14ac:dyDescent="0.2">
      <c r="B814">
        <v>805</v>
      </c>
      <c r="C814" s="52">
        <f t="shared" ca="1" si="39"/>
        <v>-0.66995468577528272</v>
      </c>
      <c r="D814" s="52">
        <f ca="1">S0*EXP((μ-0.5*σ*σ)*T+σ*SQRT(T)*$C814)</f>
        <v>0.53498991867019341</v>
      </c>
      <c r="E814" s="52">
        <f t="shared" ca="1" si="37"/>
        <v>0</v>
      </c>
      <c r="F814" s="17">
        <f t="shared" ca="1" si="38"/>
        <v>0</v>
      </c>
      <c r="H814" s="17">
        <v>805</v>
      </c>
      <c r="I814" s="45">
        <v>0.67176810586195934</v>
      </c>
      <c r="J814" s="45">
        <v>1.9395575969990794E-2</v>
      </c>
      <c r="K814" s="45">
        <v>0.24579999999999999</v>
      </c>
      <c r="N814" s="54"/>
    </row>
    <row r="815" spans="2:14" x14ac:dyDescent="0.2">
      <c r="B815">
        <v>806</v>
      </c>
      <c r="C815" s="52">
        <f t="shared" ca="1" si="39"/>
        <v>0.59151308838742855</v>
      </c>
      <c r="D815" s="52">
        <f ca="1">S0*EXP((μ-0.5*σ*σ)*T+σ*SQRT(T)*$C815)</f>
        <v>0.75820864877065119</v>
      </c>
      <c r="E815" s="52">
        <f t="shared" ca="1" si="37"/>
        <v>0</v>
      </c>
      <c r="F815" s="17">
        <f t="shared" ca="1" si="38"/>
        <v>0</v>
      </c>
      <c r="H815" s="17">
        <v>806</v>
      </c>
      <c r="I815" s="45">
        <v>0.67035793668757249</v>
      </c>
      <c r="J815" s="45">
        <v>1.8147701451919643E-2</v>
      </c>
      <c r="K815" s="45">
        <v>0.24079999999999999</v>
      </c>
      <c r="N815" s="54"/>
    </row>
    <row r="816" spans="2:14" x14ac:dyDescent="0.2">
      <c r="B816">
        <v>807</v>
      </c>
      <c r="C816" s="52">
        <f t="shared" ca="1" si="39"/>
        <v>0.29465481448010927</v>
      </c>
      <c r="D816" s="52">
        <f ca="1">S0*EXP((μ-0.5*σ*σ)*T+σ*SQRT(T)*$C816)</f>
        <v>0.69847356411666761</v>
      </c>
      <c r="E816" s="52">
        <f t="shared" ca="1" si="37"/>
        <v>0</v>
      </c>
      <c r="F816" s="17">
        <f t="shared" ca="1" si="38"/>
        <v>0</v>
      </c>
      <c r="H816" s="17">
        <v>807</v>
      </c>
      <c r="I816" s="45">
        <v>0.67130436491092838</v>
      </c>
      <c r="J816" s="45">
        <v>1.931031665500875E-2</v>
      </c>
      <c r="K816" s="45">
        <v>0.25140000000000001</v>
      </c>
      <c r="N816" s="54"/>
    </row>
    <row r="817" spans="2:14" x14ac:dyDescent="0.2">
      <c r="B817">
        <v>808</v>
      </c>
      <c r="C817" s="52">
        <f t="shared" ca="1" si="39"/>
        <v>0.81180459468552035</v>
      </c>
      <c r="D817" s="52">
        <f ca="1">S0*EXP((μ-0.5*σ*σ)*T+σ*SQRT(T)*$C817)</f>
        <v>0.8058151265526734</v>
      </c>
      <c r="E817" s="52">
        <f t="shared" ca="1" si="37"/>
        <v>0</v>
      </c>
      <c r="F817" s="17">
        <f t="shared" ca="1" si="38"/>
        <v>0</v>
      </c>
      <c r="H817" s="17">
        <v>808</v>
      </c>
      <c r="I817" s="45">
        <v>0.67100475315180508</v>
      </c>
      <c r="J817" s="45">
        <v>1.9123020904035837E-2</v>
      </c>
      <c r="K817" s="45">
        <v>0.247</v>
      </c>
      <c r="N817" s="54"/>
    </row>
    <row r="818" spans="2:14" x14ac:dyDescent="0.2">
      <c r="B818">
        <v>809</v>
      </c>
      <c r="C818" s="52">
        <f t="shared" ca="1" si="39"/>
        <v>-0.12027268298999007</v>
      </c>
      <c r="D818" s="52">
        <f ca="1">S0*EXP((μ-0.5*σ*σ)*T+σ*SQRT(T)*$C818)</f>
        <v>0.62278283620096919</v>
      </c>
      <c r="E818" s="52">
        <f t="shared" ca="1" si="37"/>
        <v>0</v>
      </c>
      <c r="F818" s="17">
        <f t="shared" ca="1" si="38"/>
        <v>0</v>
      </c>
      <c r="H818" s="17">
        <v>809</v>
      </c>
      <c r="I818" s="45">
        <v>0.67142889976585696</v>
      </c>
      <c r="J818" s="45">
        <v>1.9270023418570471E-2</v>
      </c>
      <c r="K818" s="45">
        <v>0.24859999999999999</v>
      </c>
      <c r="N818" s="54"/>
    </row>
    <row r="819" spans="2:14" x14ac:dyDescent="0.2">
      <c r="B819">
        <v>810</v>
      </c>
      <c r="C819" s="52">
        <f t="shared" ca="1" si="39"/>
        <v>0.65064652318734961</v>
      </c>
      <c r="D819" s="52">
        <f ca="1">S0*EXP((μ-0.5*σ*σ)*T+σ*SQRT(T)*$C819)</f>
        <v>0.77070448640832356</v>
      </c>
      <c r="E819" s="52">
        <f t="shared" ca="1" si="37"/>
        <v>0</v>
      </c>
      <c r="F819" s="17">
        <f t="shared" ca="1" si="38"/>
        <v>0</v>
      </c>
      <c r="H819" s="17">
        <v>810</v>
      </c>
      <c r="I819" s="45">
        <v>0.67111565950042673</v>
      </c>
      <c r="J819" s="45">
        <v>1.9219305130015601E-2</v>
      </c>
      <c r="K819" s="45">
        <v>0.25</v>
      </c>
      <c r="N819" s="54"/>
    </row>
    <row r="820" spans="2:14" x14ac:dyDescent="0.2">
      <c r="B820">
        <v>811</v>
      </c>
      <c r="C820" s="52">
        <f t="shared" ca="1" si="39"/>
        <v>-2.1799620201434657</v>
      </c>
      <c r="D820" s="52">
        <f ca="1">S0*EXP((μ-0.5*σ*σ)*T+σ*SQRT(T)*$C820)</f>
        <v>0.3524232193287048</v>
      </c>
      <c r="E820" s="52">
        <f t="shared" ca="1" si="37"/>
        <v>0.18197678067129519</v>
      </c>
      <c r="F820" s="17">
        <f t="shared" ca="1" si="38"/>
        <v>1</v>
      </c>
      <c r="H820" s="17">
        <v>811</v>
      </c>
      <c r="I820" s="45">
        <v>0.6709684589221534</v>
      </c>
      <c r="J820" s="45">
        <v>1.8655331124381874E-2</v>
      </c>
      <c r="K820" s="45">
        <v>0.2442</v>
      </c>
      <c r="N820" s="54"/>
    </row>
    <row r="821" spans="2:14" x14ac:dyDescent="0.2">
      <c r="B821">
        <v>812</v>
      </c>
      <c r="C821" s="52">
        <f t="shared" ca="1" si="39"/>
        <v>1.4023767347685054</v>
      </c>
      <c r="D821" s="52">
        <f ca="1">S0*EXP((μ-0.5*σ*σ)*T+σ*SQRT(T)*$C821)</f>
        <v>0.94871428664530544</v>
      </c>
      <c r="E821" s="52">
        <f t="shared" ca="1" si="37"/>
        <v>0</v>
      </c>
      <c r="F821" s="17">
        <f t="shared" ca="1" si="38"/>
        <v>0</v>
      </c>
      <c r="H821" s="17">
        <v>812</v>
      </c>
      <c r="I821" s="45">
        <v>0.67089828926132078</v>
      </c>
      <c r="J821" s="45">
        <v>1.9088305136543353E-2</v>
      </c>
      <c r="K821" s="45">
        <v>0.24560000000000001</v>
      </c>
      <c r="N821" s="54"/>
    </row>
    <row r="822" spans="2:14" x14ac:dyDescent="0.2">
      <c r="B822">
        <v>813</v>
      </c>
      <c r="C822" s="52">
        <f t="shared" ca="1" si="39"/>
        <v>0.90402417105960375</v>
      </c>
      <c r="D822" s="52">
        <f ca="1">S0*EXP((μ-0.5*σ*σ)*T+σ*SQRT(T)*$C822)</f>
        <v>0.82662143553829681</v>
      </c>
      <c r="E822" s="52">
        <f t="shared" ca="1" si="37"/>
        <v>0</v>
      </c>
      <c r="F822" s="17">
        <f t="shared" ca="1" si="38"/>
        <v>0</v>
      </c>
      <c r="H822" s="17">
        <v>813</v>
      </c>
      <c r="I822" s="45">
        <v>0.67128043357134459</v>
      </c>
      <c r="J822" s="45">
        <v>1.9038101100750347E-2</v>
      </c>
      <c r="K822" s="45">
        <v>0.24840000000000001</v>
      </c>
      <c r="N822" s="54"/>
    </row>
    <row r="823" spans="2:14" x14ac:dyDescent="0.2">
      <c r="B823">
        <v>814</v>
      </c>
      <c r="C823" s="52">
        <f t="shared" ca="1" si="39"/>
        <v>8.6701937803462706E-2</v>
      </c>
      <c r="D823" s="52">
        <f ca="1">S0*EXP((μ-0.5*σ*σ)*T+σ*SQRT(T)*$C823)</f>
        <v>0.65945411549222888</v>
      </c>
      <c r="E823" s="52">
        <f t="shared" ca="1" si="37"/>
        <v>0</v>
      </c>
      <c r="F823" s="17">
        <f t="shared" ca="1" si="38"/>
        <v>0</v>
      </c>
      <c r="H823" s="17">
        <v>814</v>
      </c>
      <c r="I823" s="45">
        <v>0.67090012154562784</v>
      </c>
      <c r="J823" s="45">
        <v>1.9124749216852355E-2</v>
      </c>
      <c r="K823" s="45">
        <v>0.24440000000000001</v>
      </c>
      <c r="N823" s="54"/>
    </row>
    <row r="824" spans="2:14" x14ac:dyDescent="0.2">
      <c r="B824">
        <v>815</v>
      </c>
      <c r="C824" s="52">
        <f t="shared" ca="1" si="39"/>
        <v>2.162113418886014</v>
      </c>
      <c r="D824" s="52">
        <f ca="1">S0*EXP((μ-0.5*σ*σ)*T+σ*SQRT(T)*$C824)</f>
        <v>1.1704266345946728</v>
      </c>
      <c r="E824" s="52">
        <f t="shared" ca="1" si="37"/>
        <v>0</v>
      </c>
      <c r="F824" s="17">
        <f t="shared" ca="1" si="38"/>
        <v>0</v>
      </c>
      <c r="H824" s="17">
        <v>815</v>
      </c>
      <c r="I824" s="45">
        <v>0.67065786514352865</v>
      </c>
      <c r="J824" s="45">
        <v>1.8811415561089537E-2</v>
      </c>
      <c r="K824" s="45">
        <v>0.247</v>
      </c>
      <c r="N824" s="54"/>
    </row>
    <row r="825" spans="2:14" x14ac:dyDescent="0.2">
      <c r="B825">
        <v>816</v>
      </c>
      <c r="C825" s="52">
        <f t="shared" ca="1" si="39"/>
        <v>-2.8878269323178385</v>
      </c>
      <c r="D825" s="52">
        <f ca="1">S0*EXP((μ-0.5*σ*σ)*T+σ*SQRT(T)*$C825)</f>
        <v>0.28978982083612631</v>
      </c>
      <c r="E825" s="52">
        <f t="shared" ca="1" si="37"/>
        <v>0.24461017916387368</v>
      </c>
      <c r="F825" s="17">
        <f t="shared" ca="1" si="38"/>
        <v>1</v>
      </c>
      <c r="H825" s="17">
        <v>816</v>
      </c>
      <c r="I825" s="45">
        <v>0.67092595960925827</v>
      </c>
      <c r="J825" s="45">
        <v>1.8797880451733296E-2</v>
      </c>
      <c r="K825" s="45">
        <v>0.24759999999999999</v>
      </c>
      <c r="N825" s="54"/>
    </row>
    <row r="826" spans="2:14" x14ac:dyDescent="0.2">
      <c r="B826">
        <v>817</v>
      </c>
      <c r="C826" s="52">
        <f t="shared" ca="1" si="39"/>
        <v>-0.12507084834161894</v>
      </c>
      <c r="D826" s="52">
        <f ca="1">S0*EXP((μ-0.5*σ*σ)*T+σ*SQRT(T)*$C826)</f>
        <v>0.62195734398649438</v>
      </c>
      <c r="E826" s="52">
        <f t="shared" ca="1" si="37"/>
        <v>0</v>
      </c>
      <c r="F826" s="17">
        <f t="shared" ca="1" si="38"/>
        <v>0</v>
      </c>
      <c r="H826" s="17">
        <v>817</v>
      </c>
      <c r="I826" s="45">
        <v>0.67159391602909169</v>
      </c>
      <c r="J826" s="45">
        <v>1.9457678197987965E-2</v>
      </c>
      <c r="K826" s="45">
        <v>0.2462</v>
      </c>
      <c r="N826" s="54"/>
    </row>
    <row r="827" spans="2:14" x14ac:dyDescent="0.2">
      <c r="B827">
        <v>818</v>
      </c>
      <c r="C827" s="52">
        <f t="shared" ca="1" si="39"/>
        <v>-1.415279254810117</v>
      </c>
      <c r="D827" s="52">
        <f ca="1">S0*EXP((μ-0.5*σ*σ)*T+σ*SQRT(T)*$C827)</f>
        <v>0.4353785835011349</v>
      </c>
      <c r="E827" s="52">
        <f t="shared" ca="1" si="37"/>
        <v>9.9021416498865089E-2</v>
      </c>
      <c r="F827" s="17">
        <f t="shared" ca="1" si="38"/>
        <v>1</v>
      </c>
      <c r="H827" s="17">
        <v>818</v>
      </c>
      <c r="I827" s="45">
        <v>0.67236859933697901</v>
      </c>
      <c r="J827" s="45">
        <v>2.013091612880601E-2</v>
      </c>
      <c r="K827" s="45">
        <v>0.25180000000000002</v>
      </c>
      <c r="N827" s="54"/>
    </row>
    <row r="828" spans="2:14" x14ac:dyDescent="0.2">
      <c r="B828">
        <v>819</v>
      </c>
      <c r="C828" s="52">
        <f t="shared" ca="1" si="39"/>
        <v>-1.3448547459664344</v>
      </c>
      <c r="D828" s="52">
        <f ca="1">S0*EXP((μ-0.5*σ*σ)*T+σ*SQRT(T)*$C828)</f>
        <v>0.44393740974263107</v>
      </c>
      <c r="E828" s="52">
        <f t="shared" ca="1" si="37"/>
        <v>9.0462590257368913E-2</v>
      </c>
      <c r="F828" s="17">
        <f t="shared" ca="1" si="38"/>
        <v>1</v>
      </c>
      <c r="H828" s="17">
        <v>819</v>
      </c>
      <c r="I828" s="45">
        <v>0.66902936901671317</v>
      </c>
      <c r="J828" s="45">
        <v>1.7655159277482121E-2</v>
      </c>
      <c r="K828" s="45">
        <v>0.2354</v>
      </c>
      <c r="N828" s="54"/>
    </row>
    <row r="829" spans="2:14" x14ac:dyDescent="0.2">
      <c r="B829">
        <v>820</v>
      </c>
      <c r="C829" s="52">
        <f t="shared" ca="1" si="39"/>
        <v>0.49885927858282253</v>
      </c>
      <c r="D829" s="52">
        <f ca="1">S0*EXP((μ-0.5*σ*σ)*T+σ*SQRT(T)*$C829)</f>
        <v>0.73903559373044758</v>
      </c>
      <c r="E829" s="52">
        <f t="shared" ca="1" si="37"/>
        <v>0</v>
      </c>
      <c r="F829" s="17">
        <f t="shared" ca="1" si="38"/>
        <v>0</v>
      </c>
      <c r="H829" s="17">
        <v>820</v>
      </c>
      <c r="I829" s="45">
        <v>0.67121885707942786</v>
      </c>
      <c r="J829" s="45">
        <v>1.9156874234380995E-2</v>
      </c>
      <c r="K829" s="45">
        <v>0.24179999999999999</v>
      </c>
      <c r="N829" s="54"/>
    </row>
    <row r="830" spans="2:14" x14ac:dyDescent="0.2">
      <c r="B830">
        <v>821</v>
      </c>
      <c r="C830" s="52">
        <f t="shared" ca="1" si="39"/>
        <v>0.35754037407880906</v>
      </c>
      <c r="D830" s="52">
        <f ca="1">S0*EXP((μ-0.5*σ*σ)*T+σ*SQRT(T)*$C830)</f>
        <v>0.71072170850088434</v>
      </c>
      <c r="E830" s="52">
        <f t="shared" ca="1" si="37"/>
        <v>0</v>
      </c>
      <c r="F830" s="17">
        <f t="shared" ca="1" si="38"/>
        <v>0</v>
      </c>
      <c r="H830" s="17">
        <v>821</v>
      </c>
      <c r="I830" s="45">
        <v>0.67174143934601793</v>
      </c>
      <c r="J830" s="45">
        <v>1.9667605747599789E-2</v>
      </c>
      <c r="K830" s="45">
        <v>0.25319999999999998</v>
      </c>
      <c r="N830" s="54"/>
    </row>
    <row r="831" spans="2:14" x14ac:dyDescent="0.2">
      <c r="B831">
        <v>822</v>
      </c>
      <c r="C831" s="52">
        <f t="shared" ca="1" si="39"/>
        <v>0.50238178518838783</v>
      </c>
      <c r="D831" s="52">
        <f ca="1">S0*EXP((μ-0.5*σ*σ)*T+σ*SQRT(T)*$C831)</f>
        <v>0.73975556929116237</v>
      </c>
      <c r="E831" s="52">
        <f t="shared" ca="1" si="37"/>
        <v>0</v>
      </c>
      <c r="F831" s="17">
        <f t="shared" ca="1" si="38"/>
        <v>0</v>
      </c>
      <c r="H831" s="17">
        <v>822</v>
      </c>
      <c r="I831" s="45">
        <v>0.6700580728726192</v>
      </c>
      <c r="J831" s="45">
        <v>1.837811924323374E-2</v>
      </c>
      <c r="K831" s="45">
        <v>0.247</v>
      </c>
      <c r="N831" s="54"/>
    </row>
    <row r="832" spans="2:14" x14ac:dyDescent="0.2">
      <c r="B832">
        <v>823</v>
      </c>
      <c r="C832" s="52">
        <f t="shared" ca="1" si="39"/>
        <v>-1.192064631123777</v>
      </c>
      <c r="D832" s="52">
        <f ca="1">S0*EXP((μ-0.5*σ*σ)*T+σ*SQRT(T)*$C832)</f>
        <v>0.46308922164346772</v>
      </c>
      <c r="E832" s="52">
        <f t="shared" ca="1" si="37"/>
        <v>7.1310778356532267E-2</v>
      </c>
      <c r="F832" s="17">
        <f t="shared" ca="1" si="38"/>
        <v>1</v>
      </c>
      <c r="H832" s="17">
        <v>823</v>
      </c>
      <c r="I832" s="45">
        <v>0.67009212465224621</v>
      </c>
      <c r="J832" s="45">
        <v>1.8356599020031471E-2</v>
      </c>
      <c r="K832" s="45">
        <v>0.2374</v>
      </c>
      <c r="N832" s="54"/>
    </row>
    <row r="833" spans="2:14" x14ac:dyDescent="0.2">
      <c r="B833">
        <v>824</v>
      </c>
      <c r="C833" s="52">
        <f t="shared" ca="1" si="39"/>
        <v>2.079726529476146</v>
      </c>
      <c r="D833" s="52">
        <f ca="1">S0*EXP((μ-0.5*σ*σ)*T+σ*SQRT(T)*$C833)</f>
        <v>1.1440720965338562</v>
      </c>
      <c r="E833" s="52">
        <f t="shared" ca="1" si="37"/>
        <v>0</v>
      </c>
      <c r="F833" s="17">
        <f t="shared" ca="1" si="38"/>
        <v>0</v>
      </c>
      <c r="H833" s="17">
        <v>824</v>
      </c>
      <c r="I833" s="45">
        <v>0.67161794583500978</v>
      </c>
      <c r="J833" s="45">
        <v>1.9530837254683978E-2</v>
      </c>
      <c r="K833" s="45">
        <v>0.246</v>
      </c>
      <c r="N833" s="54"/>
    </row>
    <row r="834" spans="2:14" x14ac:dyDescent="0.2">
      <c r="B834">
        <v>825</v>
      </c>
      <c r="C834" s="52">
        <f t="shared" ca="1" si="39"/>
        <v>0.67843834200918851</v>
      </c>
      <c r="D834" s="52">
        <f ca="1">S0*EXP((μ-0.5*σ*σ)*T+σ*SQRT(T)*$C834)</f>
        <v>0.77664827417939519</v>
      </c>
      <c r="E834" s="52">
        <f t="shared" ca="1" si="37"/>
        <v>0</v>
      </c>
      <c r="F834" s="17">
        <f t="shared" ca="1" si="38"/>
        <v>0</v>
      </c>
      <c r="H834" s="17">
        <v>825</v>
      </c>
      <c r="I834" s="45">
        <v>0.67134652670671768</v>
      </c>
      <c r="J834" s="45">
        <v>1.9348877154099896E-2</v>
      </c>
      <c r="K834" s="45">
        <v>0.24979999999999999</v>
      </c>
      <c r="N834" s="54"/>
    </row>
    <row r="835" spans="2:14" x14ac:dyDescent="0.2">
      <c r="B835">
        <v>826</v>
      </c>
      <c r="C835" s="52">
        <f t="shared" ca="1" si="39"/>
        <v>1.2247430672787165</v>
      </c>
      <c r="D835" s="52">
        <f ca="1">S0*EXP((μ-0.5*σ*σ)*T+σ*SQRT(T)*$C835)</f>
        <v>0.90325414984795904</v>
      </c>
      <c r="E835" s="52">
        <f t="shared" ca="1" si="37"/>
        <v>0</v>
      </c>
      <c r="F835" s="17">
        <f t="shared" ca="1" si="38"/>
        <v>0</v>
      </c>
      <c r="H835" s="17">
        <v>826</v>
      </c>
      <c r="I835" s="45">
        <v>0.66985049445468692</v>
      </c>
      <c r="J835" s="45">
        <v>1.8129042012520431E-2</v>
      </c>
      <c r="K835" s="45">
        <v>0.24379999999999999</v>
      </c>
      <c r="N835" s="54"/>
    </row>
    <row r="836" spans="2:14" x14ac:dyDescent="0.2">
      <c r="B836">
        <v>827</v>
      </c>
      <c r="C836" s="52">
        <f t="shared" ca="1" si="39"/>
        <v>-0.9087679390911465</v>
      </c>
      <c r="D836" s="52">
        <f ca="1">S0*EXP((μ-0.5*σ*σ)*T+σ*SQRT(T)*$C836)</f>
        <v>0.50081268821569036</v>
      </c>
      <c r="E836" s="52">
        <f t="shared" ca="1" si="37"/>
        <v>3.3587311784309626E-2</v>
      </c>
      <c r="F836" s="17">
        <f t="shared" ca="1" si="38"/>
        <v>1</v>
      </c>
      <c r="H836" s="17">
        <v>827</v>
      </c>
      <c r="I836" s="45">
        <v>0.67097983116714144</v>
      </c>
      <c r="J836" s="45">
        <v>1.9031568759678257E-2</v>
      </c>
      <c r="K836" s="45">
        <v>0.24740000000000001</v>
      </c>
      <c r="N836" s="54"/>
    </row>
    <row r="837" spans="2:14" x14ac:dyDescent="0.2">
      <c r="B837">
        <v>828</v>
      </c>
      <c r="C837" s="52">
        <f t="shared" ca="1" si="39"/>
        <v>0.12827929544321176</v>
      </c>
      <c r="D837" s="52">
        <f ca="1">S0*EXP((μ-0.5*σ*σ)*T+σ*SQRT(T)*$C837)</f>
        <v>0.66707716474949452</v>
      </c>
      <c r="E837" s="52">
        <f t="shared" ca="1" si="37"/>
        <v>0</v>
      </c>
      <c r="F837" s="17">
        <f t="shared" ca="1" si="38"/>
        <v>0</v>
      </c>
      <c r="H837" s="17">
        <v>828</v>
      </c>
      <c r="I837" s="45">
        <v>0.67087543801270533</v>
      </c>
      <c r="J837" s="45">
        <v>1.8917272623903626E-2</v>
      </c>
      <c r="K837" s="45">
        <v>0.24199999999999999</v>
      </c>
      <c r="N837" s="54"/>
    </row>
    <row r="838" spans="2:14" x14ac:dyDescent="0.2">
      <c r="B838">
        <v>829</v>
      </c>
      <c r="C838" s="52">
        <f t="shared" ca="1" si="39"/>
        <v>-0.4226812254960513</v>
      </c>
      <c r="D838" s="52">
        <f ca="1">S0*EXP((μ-0.5*σ*σ)*T+σ*SQRT(T)*$C838)</f>
        <v>0.57283764077747368</v>
      </c>
      <c r="E838" s="52">
        <f t="shared" ca="1" si="37"/>
        <v>0</v>
      </c>
      <c r="F838" s="17">
        <f t="shared" ca="1" si="38"/>
        <v>0</v>
      </c>
      <c r="H838" s="17">
        <v>829</v>
      </c>
      <c r="I838" s="45">
        <v>0.67021637557955172</v>
      </c>
      <c r="J838" s="45">
        <v>1.8291862678137323E-2</v>
      </c>
      <c r="K838" s="45">
        <v>0.2384</v>
      </c>
      <c r="N838" s="54"/>
    </row>
    <row r="839" spans="2:14" x14ac:dyDescent="0.2">
      <c r="B839">
        <v>830</v>
      </c>
      <c r="C839" s="52">
        <f t="shared" ca="1" si="39"/>
        <v>-0.25733912668469588</v>
      </c>
      <c r="D839" s="52">
        <f ca="1">S0*EXP((μ-0.5*σ*σ)*T+σ*SQRT(T)*$C839)</f>
        <v>0.5996272780951607</v>
      </c>
      <c r="E839" s="52">
        <f t="shared" ca="1" si="37"/>
        <v>0</v>
      </c>
      <c r="F839" s="17">
        <f t="shared" ca="1" si="38"/>
        <v>0</v>
      </c>
      <c r="H839" s="17">
        <v>830</v>
      </c>
      <c r="I839" s="45">
        <v>0.67091922719016406</v>
      </c>
      <c r="J839" s="45">
        <v>1.8734414700913696E-2</v>
      </c>
      <c r="K839" s="45">
        <v>0.24479999999999999</v>
      </c>
      <c r="N839" s="54"/>
    </row>
    <row r="840" spans="2:14" x14ac:dyDescent="0.2">
      <c r="B840">
        <v>831</v>
      </c>
      <c r="C840" s="52">
        <f t="shared" ca="1" si="39"/>
        <v>1.0707207928568621</v>
      </c>
      <c r="D840" s="52">
        <f ca="1">S0*EXP((μ-0.5*σ*σ)*T+σ*SQRT(T)*$C840)</f>
        <v>0.86560371507627898</v>
      </c>
      <c r="E840" s="52">
        <f t="shared" ca="1" si="37"/>
        <v>0</v>
      </c>
      <c r="F840" s="17">
        <f t="shared" ca="1" si="38"/>
        <v>0</v>
      </c>
      <c r="H840" s="17">
        <v>831</v>
      </c>
      <c r="I840" s="45">
        <v>0.6719375542068653</v>
      </c>
      <c r="J840" s="45">
        <v>1.9493315387836177E-2</v>
      </c>
      <c r="K840" s="45">
        <v>0.255</v>
      </c>
      <c r="N840" s="54"/>
    </row>
    <row r="841" spans="2:14" x14ac:dyDescent="0.2">
      <c r="B841">
        <v>832</v>
      </c>
      <c r="C841" s="52">
        <f t="shared" ca="1" si="39"/>
        <v>-1.0802854447996195</v>
      </c>
      <c r="D841" s="52">
        <f ca="1">S0*EXP((μ-0.5*σ*σ)*T+σ*SQRT(T)*$C841)</f>
        <v>0.47762176862221767</v>
      </c>
      <c r="E841" s="52">
        <f t="shared" ca="1" si="37"/>
        <v>5.6778231377782318E-2</v>
      </c>
      <c r="F841" s="17">
        <f t="shared" ca="1" si="38"/>
        <v>1</v>
      </c>
      <c r="H841" s="17">
        <v>832</v>
      </c>
      <c r="I841" s="45">
        <v>0.67079294993669558</v>
      </c>
      <c r="J841" s="45">
        <v>1.8677266358685232E-2</v>
      </c>
      <c r="K841" s="45">
        <v>0.24379999999999999</v>
      </c>
      <c r="N841" s="54"/>
    </row>
    <row r="842" spans="2:14" x14ac:dyDescent="0.2">
      <c r="B842">
        <v>833</v>
      </c>
      <c r="C842" s="52">
        <f t="shared" ca="1" si="39"/>
        <v>-0.18307995013000661</v>
      </c>
      <c r="D842" s="52">
        <f ca="1">S0*EXP((μ-0.5*σ*σ)*T+σ*SQRT(T)*$C842)</f>
        <v>0.61206342318820806</v>
      </c>
      <c r="E842" s="52">
        <f t="shared" ref="E842:E905" ca="1" si="40">MAX(0,CP*(D842-K))</f>
        <v>0</v>
      </c>
      <c r="F842" s="17">
        <f t="shared" ref="F842:F905" ca="1" si="41">(CP*(D842-K)&gt;0)*1</f>
        <v>0</v>
      </c>
      <c r="H842" s="17">
        <v>833</v>
      </c>
      <c r="I842" s="45">
        <v>0.67127754525947225</v>
      </c>
      <c r="J842" s="45">
        <v>1.9000970763815413E-2</v>
      </c>
      <c r="K842" s="45">
        <v>0.24160000000000001</v>
      </c>
      <c r="N842" s="54"/>
    </row>
    <row r="843" spans="2:14" x14ac:dyDescent="0.2">
      <c r="B843">
        <v>834</v>
      </c>
      <c r="C843" s="52">
        <f t="shared" ref="C843:C906" ca="1" si="42">_xlfn.NORM.S.INV(RAND())</f>
        <v>0.98209641966154648</v>
      </c>
      <c r="D843" s="52">
        <f ca="1">S0*EXP((μ-0.5*σ*σ)*T+σ*SQRT(T)*$C843)</f>
        <v>0.84465523805191489</v>
      </c>
      <c r="E843" s="52">
        <f t="shared" ca="1" si="40"/>
        <v>0</v>
      </c>
      <c r="F843" s="17">
        <f t="shared" ca="1" si="41"/>
        <v>0</v>
      </c>
      <c r="H843" s="17">
        <v>834</v>
      </c>
      <c r="I843" s="45">
        <v>0.67017610901743352</v>
      </c>
      <c r="J843" s="45">
        <v>1.815362474711775E-2</v>
      </c>
      <c r="K843" s="45">
        <v>0.23880000000000001</v>
      </c>
      <c r="N843" s="54"/>
    </row>
    <row r="844" spans="2:14" x14ac:dyDescent="0.2">
      <c r="B844">
        <v>835</v>
      </c>
      <c r="C844" s="52">
        <f t="shared" ca="1" si="42"/>
        <v>1.4052088454914644</v>
      </c>
      <c r="D844" s="52">
        <f ca="1">S0*EXP((μ-0.5*σ*σ)*T+σ*SQRT(T)*$C844)</f>
        <v>0.94945731400190669</v>
      </c>
      <c r="E844" s="52">
        <f t="shared" ca="1" si="40"/>
        <v>0</v>
      </c>
      <c r="F844" s="17">
        <f t="shared" ca="1" si="41"/>
        <v>0</v>
      </c>
      <c r="H844" s="17">
        <v>835</v>
      </c>
      <c r="I844" s="45">
        <v>0.6713563878970763</v>
      </c>
      <c r="J844" s="45">
        <v>1.921581352136463E-2</v>
      </c>
      <c r="K844" s="45">
        <v>0.24859999999999999</v>
      </c>
      <c r="N844" s="54"/>
    </row>
    <row r="845" spans="2:14" x14ac:dyDescent="0.2">
      <c r="B845">
        <v>836</v>
      </c>
      <c r="C845" s="52">
        <f t="shared" ca="1" si="42"/>
        <v>-0.10233662914243269</v>
      </c>
      <c r="D845" s="52">
        <f ca="1">S0*EXP((μ-0.5*σ*σ)*T+σ*SQRT(T)*$C845)</f>
        <v>0.62587832858858194</v>
      </c>
      <c r="E845" s="52">
        <f t="shared" ca="1" si="40"/>
        <v>0</v>
      </c>
      <c r="F845" s="17">
        <f t="shared" ca="1" si="41"/>
        <v>0</v>
      </c>
      <c r="H845" s="17">
        <v>836</v>
      </c>
      <c r="I845" s="45">
        <v>0.67178212116422231</v>
      </c>
      <c r="J845" s="45">
        <v>1.9627487505343141E-2</v>
      </c>
      <c r="K845" s="45">
        <v>0.25140000000000001</v>
      </c>
      <c r="N845" s="54"/>
    </row>
    <row r="846" spans="2:14" x14ac:dyDescent="0.2">
      <c r="B846">
        <v>837</v>
      </c>
      <c r="C846" s="52">
        <f t="shared" ca="1" si="42"/>
        <v>-0.43479977816328408</v>
      </c>
      <c r="D846" s="52">
        <f ca="1">S0*EXP((μ-0.5*σ*σ)*T+σ*SQRT(T)*$C846)</f>
        <v>0.57092186714318172</v>
      </c>
      <c r="E846" s="52">
        <f t="shared" ca="1" si="40"/>
        <v>0</v>
      </c>
      <c r="F846" s="17">
        <f t="shared" ca="1" si="41"/>
        <v>0</v>
      </c>
      <c r="H846" s="17">
        <v>837</v>
      </c>
      <c r="I846" s="45">
        <v>0.66986929379950366</v>
      </c>
      <c r="J846" s="45">
        <v>1.8211558170724972E-2</v>
      </c>
      <c r="K846" s="45">
        <v>0.24379999999999999</v>
      </c>
      <c r="N846" s="54"/>
    </row>
    <row r="847" spans="2:14" x14ac:dyDescent="0.2">
      <c r="B847">
        <v>838</v>
      </c>
      <c r="C847" s="52">
        <f t="shared" ca="1" si="42"/>
        <v>0.44526030836559416</v>
      </c>
      <c r="D847" s="52">
        <f ca="1">S0*EXP((μ-0.5*σ*σ)*T+σ*SQRT(T)*$C847)</f>
        <v>0.72816639488334101</v>
      </c>
      <c r="E847" s="52">
        <f t="shared" ca="1" si="40"/>
        <v>0</v>
      </c>
      <c r="F847" s="17">
        <f t="shared" ca="1" si="41"/>
        <v>0</v>
      </c>
      <c r="H847" s="17">
        <v>838</v>
      </c>
      <c r="I847" s="45">
        <v>0.6717544714475201</v>
      </c>
      <c r="J847" s="45">
        <v>1.9636669118431267E-2</v>
      </c>
      <c r="K847" s="45">
        <v>0.24279999999999999</v>
      </c>
      <c r="N847" s="54"/>
    </row>
    <row r="848" spans="2:14" x14ac:dyDescent="0.2">
      <c r="B848">
        <v>839</v>
      </c>
      <c r="C848" s="52">
        <f t="shared" ca="1" si="42"/>
        <v>-3.1018556291428603E-2</v>
      </c>
      <c r="D848" s="52">
        <f ca="1">S0*EXP((μ-0.5*σ*σ)*T+σ*SQRT(T)*$C848)</f>
        <v>0.63833972313698017</v>
      </c>
      <c r="E848" s="52">
        <f t="shared" ca="1" si="40"/>
        <v>0</v>
      </c>
      <c r="F848" s="17">
        <f t="shared" ca="1" si="41"/>
        <v>0</v>
      </c>
      <c r="H848" s="17">
        <v>839</v>
      </c>
      <c r="I848" s="45">
        <v>0.6716224857070261</v>
      </c>
      <c r="J848" s="45">
        <v>1.940421821889227E-2</v>
      </c>
      <c r="K848" s="45">
        <v>0.25019999999999998</v>
      </c>
      <c r="N848" s="54"/>
    </row>
    <row r="849" spans="2:14" x14ac:dyDescent="0.2">
      <c r="B849">
        <v>840</v>
      </c>
      <c r="C849" s="52">
        <f t="shared" ca="1" si="42"/>
        <v>2.4225854571346003E-2</v>
      </c>
      <c r="D849" s="52">
        <f ca="1">S0*EXP((μ-0.5*σ*σ)*T+σ*SQRT(T)*$C849)</f>
        <v>0.64816284860630791</v>
      </c>
      <c r="E849" s="52">
        <f t="shared" ca="1" si="40"/>
        <v>0</v>
      </c>
      <c r="F849" s="17">
        <f t="shared" ca="1" si="41"/>
        <v>0</v>
      </c>
      <c r="H849" s="17">
        <v>840</v>
      </c>
      <c r="I849" s="45">
        <v>0.67053298212786594</v>
      </c>
      <c r="J849" s="45">
        <v>1.8639691875442271E-2</v>
      </c>
      <c r="K849" s="45">
        <v>0.24199999999999999</v>
      </c>
      <c r="N849" s="54"/>
    </row>
    <row r="850" spans="2:14" x14ac:dyDescent="0.2">
      <c r="B850">
        <v>841</v>
      </c>
      <c r="C850" s="52">
        <f t="shared" ca="1" si="42"/>
        <v>0.21559715839583535</v>
      </c>
      <c r="D850" s="52">
        <f ca="1">S0*EXP((μ-0.5*σ*σ)*T+σ*SQRT(T)*$C850)</f>
        <v>0.68337463615388505</v>
      </c>
      <c r="E850" s="52">
        <f t="shared" ca="1" si="40"/>
        <v>0</v>
      </c>
      <c r="F850" s="17">
        <f t="shared" ca="1" si="41"/>
        <v>0</v>
      </c>
      <c r="H850" s="17">
        <v>841</v>
      </c>
      <c r="I850" s="45">
        <v>0.67065748382137058</v>
      </c>
      <c r="J850" s="45">
        <v>1.8895618091794176E-2</v>
      </c>
      <c r="K850" s="45">
        <v>0.24560000000000001</v>
      </c>
      <c r="N850" s="54"/>
    </row>
    <row r="851" spans="2:14" x14ac:dyDescent="0.2">
      <c r="B851">
        <v>842</v>
      </c>
      <c r="C851" s="52">
        <f t="shared" ca="1" si="42"/>
        <v>2.0600703784004368</v>
      </c>
      <c r="D851" s="52">
        <f ca="1">S0*EXP((μ-0.5*σ*σ)*T+σ*SQRT(T)*$C851)</f>
        <v>1.1378725255073261</v>
      </c>
      <c r="E851" s="52">
        <f t="shared" ca="1" si="40"/>
        <v>0</v>
      </c>
      <c r="F851" s="17">
        <f t="shared" ca="1" si="41"/>
        <v>0</v>
      </c>
      <c r="H851" s="17">
        <v>842</v>
      </c>
      <c r="I851" s="45">
        <v>0.67190598844031735</v>
      </c>
      <c r="J851" s="45">
        <v>1.9722150393929765E-2</v>
      </c>
      <c r="K851" s="45">
        <v>0.24940000000000001</v>
      </c>
      <c r="N851" s="54"/>
    </row>
    <row r="852" spans="2:14" x14ac:dyDescent="0.2">
      <c r="B852">
        <v>843</v>
      </c>
      <c r="C852" s="52">
        <f t="shared" ca="1" si="42"/>
        <v>0.14508292109162496</v>
      </c>
      <c r="D852" s="52">
        <f ca="1">S0*EXP((μ-0.5*σ*σ)*T+σ*SQRT(T)*$C852)</f>
        <v>0.67018299165642592</v>
      </c>
      <c r="E852" s="52">
        <f t="shared" ca="1" si="40"/>
        <v>0</v>
      </c>
      <c r="F852" s="17">
        <f t="shared" ca="1" si="41"/>
        <v>0</v>
      </c>
      <c r="H852" s="17">
        <v>843</v>
      </c>
      <c r="I852" s="45">
        <v>0.67211024889666338</v>
      </c>
      <c r="J852" s="45">
        <v>2.0040042463862765E-2</v>
      </c>
      <c r="K852" s="45">
        <v>0.26279999999999998</v>
      </c>
      <c r="N852" s="54"/>
    </row>
    <row r="853" spans="2:14" x14ac:dyDescent="0.2">
      <c r="B853">
        <v>844</v>
      </c>
      <c r="C853" s="52">
        <f t="shared" ca="1" si="42"/>
        <v>-0.68054680254255751</v>
      </c>
      <c r="D853" s="52">
        <f ca="1">S0*EXP((μ-0.5*σ*σ)*T+σ*SQRT(T)*$C853)</f>
        <v>0.53342575632485656</v>
      </c>
      <c r="E853" s="52">
        <f t="shared" ca="1" si="40"/>
        <v>9.7424367514342691E-4</v>
      </c>
      <c r="F853" s="17">
        <f t="shared" ca="1" si="41"/>
        <v>1</v>
      </c>
      <c r="H853" s="17">
        <v>844</v>
      </c>
      <c r="I853" s="45">
        <v>0.66989315265165195</v>
      </c>
      <c r="J853" s="45">
        <v>1.8130275098567582E-2</v>
      </c>
      <c r="K853" s="45">
        <v>0.24260000000000001</v>
      </c>
      <c r="N853" s="54"/>
    </row>
    <row r="854" spans="2:14" x14ac:dyDescent="0.2">
      <c r="B854">
        <v>845</v>
      </c>
      <c r="C854" s="52">
        <f t="shared" ca="1" si="42"/>
        <v>0.24230736111562415</v>
      </c>
      <c r="D854" s="52">
        <f ca="1">S0*EXP((μ-0.5*σ*σ)*T+σ*SQRT(T)*$C854)</f>
        <v>0.68843905329143507</v>
      </c>
      <c r="E854" s="52">
        <f t="shared" ca="1" si="40"/>
        <v>0</v>
      </c>
      <c r="F854" s="17">
        <f t="shared" ca="1" si="41"/>
        <v>0</v>
      </c>
      <c r="H854" s="17">
        <v>845</v>
      </c>
      <c r="I854" s="45">
        <v>0.67031682282270844</v>
      </c>
      <c r="J854" s="45">
        <v>1.8438244164012234E-2</v>
      </c>
      <c r="K854" s="45">
        <v>0.24959999999999999</v>
      </c>
      <c r="N854" s="54"/>
    </row>
    <row r="855" spans="2:14" x14ac:dyDescent="0.2">
      <c r="B855">
        <v>846</v>
      </c>
      <c r="C855" s="52">
        <f t="shared" ca="1" si="42"/>
        <v>1.5682271188817027</v>
      </c>
      <c r="D855" s="52">
        <f ca="1">S0*EXP((μ-0.5*σ*σ)*T+σ*SQRT(T)*$C855)</f>
        <v>0.99322192045949842</v>
      </c>
      <c r="E855" s="52">
        <f t="shared" ca="1" si="40"/>
        <v>0</v>
      </c>
      <c r="F855" s="17">
        <f t="shared" ca="1" si="41"/>
        <v>0</v>
      </c>
      <c r="H855" s="17">
        <v>846</v>
      </c>
      <c r="I855" s="45">
        <v>0.67001710670123327</v>
      </c>
      <c r="J855" s="45">
        <v>1.8361969701478777E-2</v>
      </c>
      <c r="K855" s="45">
        <v>0.24099999999999999</v>
      </c>
      <c r="N855" s="54"/>
    </row>
    <row r="856" spans="2:14" x14ac:dyDescent="0.2">
      <c r="B856">
        <v>847</v>
      </c>
      <c r="C856" s="52">
        <f t="shared" ca="1" si="42"/>
        <v>1.2810164711748668</v>
      </c>
      <c r="D856" s="52">
        <f ca="1">S0*EXP((μ-0.5*σ*σ)*T+σ*SQRT(T)*$C856)</f>
        <v>0.91741484425741016</v>
      </c>
      <c r="E856" s="52">
        <f t="shared" ca="1" si="40"/>
        <v>0</v>
      </c>
      <c r="F856" s="17">
        <f t="shared" ca="1" si="41"/>
        <v>0</v>
      </c>
      <c r="H856" s="17">
        <v>847</v>
      </c>
      <c r="I856" s="45">
        <v>0.67069208383455781</v>
      </c>
      <c r="J856" s="45">
        <v>1.8763843599204428E-2</v>
      </c>
      <c r="K856" s="45">
        <v>0.24260000000000001</v>
      </c>
      <c r="N856" s="54"/>
    </row>
    <row r="857" spans="2:14" x14ac:dyDescent="0.2">
      <c r="B857">
        <v>848</v>
      </c>
      <c r="C857" s="52">
        <f t="shared" ca="1" si="42"/>
        <v>-0.46147597878066954</v>
      </c>
      <c r="D857" s="52">
        <f ca="1">S0*EXP((μ-0.5*σ*σ)*T+σ*SQRT(T)*$C857)</f>
        <v>0.5667272775243436</v>
      </c>
      <c r="E857" s="52">
        <f t="shared" ca="1" si="40"/>
        <v>0</v>
      </c>
      <c r="F857" s="17">
        <f t="shared" ca="1" si="41"/>
        <v>0</v>
      </c>
      <c r="H857" s="17">
        <v>848</v>
      </c>
      <c r="I857" s="45">
        <v>0.67054066492985709</v>
      </c>
      <c r="J857" s="45">
        <v>1.8641757806824352E-2</v>
      </c>
      <c r="K857" s="45">
        <v>0.2442</v>
      </c>
      <c r="N857" s="54"/>
    </row>
    <row r="858" spans="2:14" x14ac:dyDescent="0.2">
      <c r="B858">
        <v>849</v>
      </c>
      <c r="C858" s="52">
        <f t="shared" ca="1" si="42"/>
        <v>0.90026278713138719</v>
      </c>
      <c r="D858" s="52">
        <f ca="1">S0*EXP((μ-0.5*σ*σ)*T+σ*SQRT(T)*$C858)</f>
        <v>0.82576238703390281</v>
      </c>
      <c r="E858" s="52">
        <f t="shared" ca="1" si="40"/>
        <v>0</v>
      </c>
      <c r="F858" s="17">
        <f t="shared" ca="1" si="41"/>
        <v>0</v>
      </c>
      <c r="H858" s="17">
        <v>849</v>
      </c>
      <c r="I858" s="45">
        <v>0.67197205133763493</v>
      </c>
      <c r="J858" s="45">
        <v>1.9940984085804084E-2</v>
      </c>
      <c r="K858" s="45">
        <v>0.25059999999999999</v>
      </c>
      <c r="N858" s="54"/>
    </row>
    <row r="859" spans="2:14" x14ac:dyDescent="0.2">
      <c r="B859">
        <v>850</v>
      </c>
      <c r="C859" s="52">
        <f t="shared" ca="1" si="42"/>
        <v>-0.92820422314909712</v>
      </c>
      <c r="D859" s="52">
        <f ca="1">S0*EXP((μ-0.5*σ*σ)*T+σ*SQRT(T)*$C859)</f>
        <v>0.49812912696719802</v>
      </c>
      <c r="E859" s="52">
        <f t="shared" ca="1" si="40"/>
        <v>3.6270873032801965E-2</v>
      </c>
      <c r="F859" s="17">
        <f t="shared" ca="1" si="41"/>
        <v>1</v>
      </c>
      <c r="H859" s="17">
        <v>850</v>
      </c>
      <c r="I859" s="45">
        <v>0.67036665409262652</v>
      </c>
      <c r="J859" s="45">
        <v>1.8846347485329384E-2</v>
      </c>
      <c r="K859" s="45">
        <v>0.25180000000000002</v>
      </c>
      <c r="N859" s="54"/>
    </row>
    <row r="860" spans="2:14" x14ac:dyDescent="0.2">
      <c r="B860">
        <v>851</v>
      </c>
      <c r="C860" s="52">
        <f t="shared" ca="1" si="42"/>
        <v>-1.933436225729547</v>
      </c>
      <c r="D860" s="52">
        <f ca="1">S0*EXP((μ-0.5*σ*σ)*T+σ*SQRT(T)*$C860)</f>
        <v>0.37727732454355117</v>
      </c>
      <c r="E860" s="52">
        <f t="shared" ca="1" si="40"/>
        <v>0.15712267545644881</v>
      </c>
      <c r="F860" s="17">
        <f t="shared" ca="1" si="41"/>
        <v>1</v>
      </c>
      <c r="H860" s="17">
        <v>851</v>
      </c>
      <c r="I860" s="45">
        <v>0.67135473860887973</v>
      </c>
      <c r="J860" s="45">
        <v>1.9232753062168546E-2</v>
      </c>
      <c r="K860" s="45">
        <v>0.2422</v>
      </c>
      <c r="N860" s="54"/>
    </row>
    <row r="861" spans="2:14" x14ac:dyDescent="0.2">
      <c r="B861">
        <v>852</v>
      </c>
      <c r="C861" s="52">
        <f t="shared" ca="1" si="42"/>
        <v>-0.68387830293257357</v>
      </c>
      <c r="D861" s="52">
        <f ca="1">S0*EXP((μ-0.5*σ*σ)*T+σ*SQRT(T)*$C861)</f>
        <v>0.53293473199813723</v>
      </c>
      <c r="E861" s="52">
        <f t="shared" ca="1" si="40"/>
        <v>1.4652680018627517E-3</v>
      </c>
      <c r="F861" s="17">
        <f t="shared" ca="1" si="41"/>
        <v>1</v>
      </c>
      <c r="H861" s="17">
        <v>852</v>
      </c>
      <c r="I861" s="45">
        <v>0.67074693584963874</v>
      </c>
      <c r="J861" s="45">
        <v>1.8790196945725993E-2</v>
      </c>
      <c r="K861" s="45">
        <v>0.25040000000000001</v>
      </c>
      <c r="N861" s="54"/>
    </row>
    <row r="862" spans="2:14" x14ac:dyDescent="0.2">
      <c r="B862">
        <v>853</v>
      </c>
      <c r="C862" s="52">
        <f t="shared" ca="1" si="42"/>
        <v>0.91876760384972433</v>
      </c>
      <c r="D862" s="52">
        <f ca="1">S0*EXP((μ-0.5*σ*σ)*T+σ*SQRT(T)*$C862)</f>
        <v>0.82999725876781694</v>
      </c>
      <c r="E862" s="52">
        <f t="shared" ca="1" si="40"/>
        <v>0</v>
      </c>
      <c r="F862" s="17">
        <f t="shared" ca="1" si="41"/>
        <v>0</v>
      </c>
      <c r="H862" s="17">
        <v>853</v>
      </c>
      <c r="I862" s="45">
        <v>0.67048257964518088</v>
      </c>
      <c r="J862" s="45">
        <v>1.867988927905289E-2</v>
      </c>
      <c r="K862" s="45">
        <v>0.24479999999999999</v>
      </c>
      <c r="N862" s="54"/>
    </row>
    <row r="863" spans="2:14" x14ac:dyDescent="0.2">
      <c r="B863">
        <v>854</v>
      </c>
      <c r="C863" s="52">
        <f t="shared" ca="1" si="42"/>
        <v>0.55404590022872824</v>
      </c>
      <c r="D863" s="52">
        <f ca="1">S0*EXP((μ-0.5*σ*σ)*T+σ*SQRT(T)*$C863)</f>
        <v>0.75039629552838549</v>
      </c>
      <c r="E863" s="52">
        <f t="shared" ca="1" si="40"/>
        <v>0</v>
      </c>
      <c r="F863" s="17">
        <f t="shared" ca="1" si="41"/>
        <v>0</v>
      </c>
      <c r="H863" s="17">
        <v>854</v>
      </c>
      <c r="I863" s="45">
        <v>0.67152254294090463</v>
      </c>
      <c r="J863" s="45">
        <v>1.9737233618776832E-2</v>
      </c>
      <c r="K863" s="45">
        <v>0.24979999999999999</v>
      </c>
      <c r="N863" s="54"/>
    </row>
    <row r="864" spans="2:14" x14ac:dyDescent="0.2">
      <c r="B864">
        <v>855</v>
      </c>
      <c r="C864" s="52">
        <f t="shared" ca="1" si="42"/>
        <v>-0.63566798846552175</v>
      </c>
      <c r="D864" s="52">
        <f ca="1">S0*EXP((μ-0.5*σ*σ)*T+σ*SQRT(T)*$C864)</f>
        <v>0.54008463621656388</v>
      </c>
      <c r="E864" s="52">
        <f t="shared" ca="1" si="40"/>
        <v>0</v>
      </c>
      <c r="F864" s="17">
        <f t="shared" ca="1" si="41"/>
        <v>0</v>
      </c>
      <c r="H864" s="17">
        <v>855</v>
      </c>
      <c r="I864" s="45">
        <v>0.66976387350784727</v>
      </c>
      <c r="J864" s="45">
        <v>1.8329147942002785E-2</v>
      </c>
      <c r="K864" s="45">
        <v>0.2412</v>
      </c>
      <c r="N864" s="54"/>
    </row>
    <row r="865" spans="2:14" x14ac:dyDescent="0.2">
      <c r="B865">
        <v>856</v>
      </c>
      <c r="C865" s="52">
        <f t="shared" ca="1" si="42"/>
        <v>-0.59136466755081252</v>
      </c>
      <c r="D865" s="52">
        <f ca="1">S0*EXP((μ-0.5*σ*σ)*T+σ*SQRT(T)*$C865)</f>
        <v>0.54673965547260062</v>
      </c>
      <c r="E865" s="52">
        <f t="shared" ca="1" si="40"/>
        <v>0</v>
      </c>
      <c r="F865" s="17">
        <f t="shared" ca="1" si="41"/>
        <v>0</v>
      </c>
      <c r="H865" s="17">
        <v>856</v>
      </c>
      <c r="I865" s="45">
        <v>0.67197079395920578</v>
      </c>
      <c r="J865" s="45">
        <v>1.9619774796731156E-2</v>
      </c>
      <c r="K865" s="45">
        <v>0.2442</v>
      </c>
      <c r="N865" s="54"/>
    </row>
    <row r="866" spans="2:14" x14ac:dyDescent="0.2">
      <c r="B866">
        <v>857</v>
      </c>
      <c r="C866" s="52">
        <f t="shared" ca="1" si="42"/>
        <v>0.88337323813800939</v>
      </c>
      <c r="D866" s="52">
        <f ca="1">S0*EXP((μ-0.5*σ*σ)*T+σ*SQRT(T)*$C866)</f>
        <v>0.82191603664311996</v>
      </c>
      <c r="E866" s="52">
        <f t="shared" ca="1" si="40"/>
        <v>0</v>
      </c>
      <c r="F866" s="17">
        <f t="shared" ca="1" si="41"/>
        <v>0</v>
      </c>
      <c r="H866" s="17">
        <v>857</v>
      </c>
      <c r="I866" s="45">
        <v>0.67034766748606478</v>
      </c>
      <c r="J866" s="45">
        <v>1.8435431165857701E-2</v>
      </c>
      <c r="K866" s="45">
        <v>0.24879999999999999</v>
      </c>
      <c r="N866" s="54"/>
    </row>
    <row r="867" spans="2:14" x14ac:dyDescent="0.2">
      <c r="B867">
        <v>858</v>
      </c>
      <c r="C867" s="52">
        <f t="shared" ca="1" si="42"/>
        <v>0.75067010345857677</v>
      </c>
      <c r="D867" s="52">
        <f ca="1">S0*EXP((μ-0.5*σ*σ)*T+σ*SQRT(T)*$C867)</f>
        <v>0.79231162761233731</v>
      </c>
      <c r="E867" s="52">
        <f t="shared" ca="1" si="40"/>
        <v>0</v>
      </c>
      <c r="F867" s="17">
        <f t="shared" ca="1" si="41"/>
        <v>0</v>
      </c>
      <c r="H867" s="17">
        <v>858</v>
      </c>
      <c r="I867" s="45">
        <v>0.67065961147872244</v>
      </c>
      <c r="J867" s="45">
        <v>1.8993750052670517E-2</v>
      </c>
      <c r="K867" s="45">
        <v>0.248</v>
      </c>
      <c r="N867" s="54"/>
    </row>
    <row r="868" spans="2:14" x14ac:dyDescent="0.2">
      <c r="B868">
        <v>859</v>
      </c>
      <c r="C868" s="52">
        <f t="shared" ca="1" si="42"/>
        <v>7.6989202421410247E-2</v>
      </c>
      <c r="D868" s="52">
        <f ca="1">S0*EXP((μ-0.5*σ*σ)*T+σ*SQRT(T)*$C868)</f>
        <v>0.65768591148702837</v>
      </c>
      <c r="E868" s="52">
        <f t="shared" ca="1" si="40"/>
        <v>0</v>
      </c>
      <c r="F868" s="17">
        <f t="shared" ca="1" si="41"/>
        <v>0</v>
      </c>
      <c r="H868" s="17">
        <v>859</v>
      </c>
      <c r="I868" s="45">
        <v>0.67110187805654153</v>
      </c>
      <c r="J868" s="45">
        <v>1.8761702362487944E-2</v>
      </c>
      <c r="K868" s="45">
        <v>0.24440000000000001</v>
      </c>
      <c r="N868" s="54"/>
    </row>
    <row r="869" spans="2:14" x14ac:dyDescent="0.2">
      <c r="B869">
        <v>860</v>
      </c>
      <c r="C869" s="52">
        <f t="shared" ca="1" si="42"/>
        <v>0.63517046235037511</v>
      </c>
      <c r="D869" s="52">
        <f ca="1">S0*EXP((μ-0.5*σ*σ)*T+σ*SQRT(T)*$C869)</f>
        <v>0.76741438871446011</v>
      </c>
      <c r="E869" s="52">
        <f t="shared" ca="1" si="40"/>
        <v>0</v>
      </c>
      <c r="F869" s="17">
        <f t="shared" ca="1" si="41"/>
        <v>0</v>
      </c>
      <c r="H869" s="17">
        <v>860</v>
      </c>
      <c r="I869" s="45">
        <v>0.67046714092457882</v>
      </c>
      <c r="J869" s="45">
        <v>1.8273715244850688E-2</v>
      </c>
      <c r="K869" s="45">
        <v>0.23619999999999999</v>
      </c>
      <c r="N869" s="54"/>
    </row>
    <row r="870" spans="2:14" x14ac:dyDescent="0.2">
      <c r="B870">
        <v>861</v>
      </c>
      <c r="C870" s="52">
        <f t="shared" ca="1" si="42"/>
        <v>-0.85362967865112338</v>
      </c>
      <c r="D870" s="52">
        <f ca="1">S0*EXP((μ-0.5*σ*σ)*T+σ*SQRT(T)*$C870)</f>
        <v>0.50850454995952454</v>
      </c>
      <c r="E870" s="52">
        <f t="shared" ca="1" si="40"/>
        <v>2.5895450040475443E-2</v>
      </c>
      <c r="F870" s="17">
        <f t="shared" ca="1" si="41"/>
        <v>1</v>
      </c>
      <c r="H870" s="17">
        <v>861</v>
      </c>
      <c r="I870" s="45">
        <v>0.67006027361833442</v>
      </c>
      <c r="J870" s="45">
        <v>1.8437052783237776E-2</v>
      </c>
      <c r="K870" s="45">
        <v>0.23980000000000001</v>
      </c>
      <c r="N870" s="54"/>
    </row>
    <row r="871" spans="2:14" x14ac:dyDescent="0.2">
      <c r="B871">
        <v>862</v>
      </c>
      <c r="C871" s="52">
        <f t="shared" ca="1" si="42"/>
        <v>-0.74986631463195397</v>
      </c>
      <c r="D871" s="52">
        <f ca="1">S0*EXP((μ-0.5*σ*σ)*T+σ*SQRT(T)*$C871)</f>
        <v>0.52330147432143481</v>
      </c>
      <c r="E871" s="52">
        <f t="shared" ca="1" si="40"/>
        <v>1.1098525678565174E-2</v>
      </c>
      <c r="F871" s="17">
        <f t="shared" ca="1" si="41"/>
        <v>1</v>
      </c>
      <c r="H871" s="17">
        <v>862</v>
      </c>
      <c r="I871" s="45">
        <v>0.66965430594425457</v>
      </c>
      <c r="J871" s="45">
        <v>1.781342304416858E-2</v>
      </c>
      <c r="K871" s="45">
        <v>0.24260000000000001</v>
      </c>
      <c r="N871" s="54"/>
    </row>
    <row r="872" spans="2:14" x14ac:dyDescent="0.2">
      <c r="B872">
        <v>863</v>
      </c>
      <c r="C872" s="52">
        <f t="shared" ca="1" si="42"/>
        <v>1.4712170241689082</v>
      </c>
      <c r="D872" s="52">
        <f ca="1">S0*EXP((μ-0.5*σ*σ)*T+σ*SQRT(T)*$C872)</f>
        <v>0.96694090283527356</v>
      </c>
      <c r="E872" s="52">
        <f t="shared" ca="1" si="40"/>
        <v>0</v>
      </c>
      <c r="F872" s="17">
        <f t="shared" ca="1" si="41"/>
        <v>0</v>
      </c>
      <c r="H872" s="17">
        <v>863</v>
      </c>
      <c r="I872" s="45">
        <v>0.67079202200824828</v>
      </c>
      <c r="J872" s="45">
        <v>1.884243229305772E-2</v>
      </c>
      <c r="K872" s="45">
        <v>0.24</v>
      </c>
      <c r="N872" s="54"/>
    </row>
    <row r="873" spans="2:14" x14ac:dyDescent="0.2">
      <c r="B873">
        <v>864</v>
      </c>
      <c r="C873" s="52">
        <f t="shared" ca="1" si="42"/>
        <v>-1.0476160918505861</v>
      </c>
      <c r="D873" s="52">
        <f ca="1">S0*EXP((μ-0.5*σ*σ)*T+σ*SQRT(T)*$C873)</f>
        <v>0.48195464473638816</v>
      </c>
      <c r="E873" s="52">
        <f t="shared" ca="1" si="40"/>
        <v>5.2445355263611826E-2</v>
      </c>
      <c r="F873" s="17">
        <f t="shared" ca="1" si="41"/>
        <v>1</v>
      </c>
      <c r="H873" s="17">
        <v>864</v>
      </c>
      <c r="I873" s="45">
        <v>0.67077322502030179</v>
      </c>
      <c r="J873" s="45">
        <v>1.8996701950856558E-2</v>
      </c>
      <c r="K873" s="45">
        <v>0.247</v>
      </c>
      <c r="N873" s="54"/>
    </row>
    <row r="874" spans="2:14" x14ac:dyDescent="0.2">
      <c r="B874">
        <v>865</v>
      </c>
      <c r="C874" s="52">
        <f t="shared" ca="1" si="42"/>
        <v>0.47027610916390211</v>
      </c>
      <c r="D874" s="52">
        <f ca="1">S0*EXP((μ-0.5*σ*σ)*T+σ*SQRT(T)*$C874)</f>
        <v>0.73321924762801627</v>
      </c>
      <c r="E874" s="52">
        <f t="shared" ca="1" si="40"/>
        <v>0</v>
      </c>
      <c r="F874" s="17">
        <f t="shared" ca="1" si="41"/>
        <v>0</v>
      </c>
      <c r="H874" s="17">
        <v>865</v>
      </c>
      <c r="I874" s="45">
        <v>0.67209245006311369</v>
      </c>
      <c r="J874" s="45">
        <v>1.9500340614642828E-2</v>
      </c>
      <c r="K874" s="45">
        <v>0.23899999999999999</v>
      </c>
      <c r="N874" s="54"/>
    </row>
    <row r="875" spans="2:14" x14ac:dyDescent="0.2">
      <c r="B875">
        <v>866</v>
      </c>
      <c r="C875" s="52">
        <f t="shared" ca="1" si="42"/>
        <v>-0.93937910934863034</v>
      </c>
      <c r="D875" s="52">
        <f ca="1">S0*EXP((μ-0.5*σ*σ)*T+σ*SQRT(T)*$C875)</f>
        <v>0.49659272961299855</v>
      </c>
      <c r="E875" s="52">
        <f t="shared" ca="1" si="40"/>
        <v>3.7807270387001435E-2</v>
      </c>
      <c r="F875" s="17">
        <f t="shared" ca="1" si="41"/>
        <v>1</v>
      </c>
      <c r="H875" s="17">
        <v>866</v>
      </c>
      <c r="I875" s="45">
        <v>0.67142931863718891</v>
      </c>
      <c r="J875" s="45">
        <v>1.9475694502427789E-2</v>
      </c>
      <c r="K875" s="45">
        <v>0.25059999999999999</v>
      </c>
      <c r="N875" s="54"/>
    </row>
    <row r="876" spans="2:14" x14ac:dyDescent="0.2">
      <c r="B876">
        <v>867</v>
      </c>
      <c r="C876" s="52">
        <f t="shared" ca="1" si="42"/>
        <v>0.7003467525952215</v>
      </c>
      <c r="D876" s="52">
        <f ca="1">S0*EXP((μ-0.5*σ*σ)*T+σ*SQRT(T)*$C876)</f>
        <v>0.78136608068603863</v>
      </c>
      <c r="E876" s="52">
        <f t="shared" ca="1" si="40"/>
        <v>0</v>
      </c>
      <c r="F876" s="17">
        <f t="shared" ca="1" si="41"/>
        <v>0</v>
      </c>
      <c r="H876" s="17">
        <v>867</v>
      </c>
      <c r="I876" s="45">
        <v>0.67155717876468135</v>
      </c>
      <c r="J876" s="45">
        <v>1.9485381233649218E-2</v>
      </c>
      <c r="K876" s="45">
        <v>0.24740000000000001</v>
      </c>
      <c r="N876" s="54"/>
    </row>
    <row r="877" spans="2:14" x14ac:dyDescent="0.2">
      <c r="B877">
        <v>868</v>
      </c>
      <c r="C877" s="52">
        <f t="shared" ca="1" si="42"/>
        <v>0.20516168908208862</v>
      </c>
      <c r="D877" s="52">
        <f ca="1">S0*EXP((μ-0.5*σ*σ)*T+σ*SQRT(T)*$C877)</f>
        <v>0.68140614390904486</v>
      </c>
      <c r="E877" s="52">
        <f t="shared" ca="1" si="40"/>
        <v>0</v>
      </c>
      <c r="F877" s="17">
        <f t="shared" ca="1" si="41"/>
        <v>0</v>
      </c>
      <c r="H877" s="17">
        <v>868</v>
      </c>
      <c r="I877" s="45">
        <v>0.67025524697339756</v>
      </c>
      <c r="J877" s="45">
        <v>1.8621161709895827E-2</v>
      </c>
      <c r="K877" s="45">
        <v>0.25040000000000001</v>
      </c>
      <c r="N877" s="54"/>
    </row>
    <row r="878" spans="2:14" x14ac:dyDescent="0.2">
      <c r="B878">
        <v>869</v>
      </c>
      <c r="C878" s="52">
        <f t="shared" ca="1" si="42"/>
        <v>0.75544195948218473</v>
      </c>
      <c r="D878" s="52">
        <f ca="1">S0*EXP((μ-0.5*σ*σ)*T+σ*SQRT(T)*$C878)</f>
        <v>0.79335745245185296</v>
      </c>
      <c r="E878" s="52">
        <f t="shared" ca="1" si="40"/>
        <v>0</v>
      </c>
      <c r="F878" s="17">
        <f t="shared" ca="1" si="41"/>
        <v>0</v>
      </c>
      <c r="H878" s="17">
        <v>869</v>
      </c>
      <c r="I878" s="45">
        <v>0.67292147049638784</v>
      </c>
      <c r="J878" s="45">
        <v>2.0555846192829966E-2</v>
      </c>
      <c r="K878" s="45">
        <v>0.25259999999999999</v>
      </c>
      <c r="N878" s="54"/>
    </row>
    <row r="879" spans="2:14" x14ac:dyDescent="0.2">
      <c r="B879">
        <v>870</v>
      </c>
      <c r="C879" s="52">
        <f t="shared" ca="1" si="42"/>
        <v>-0.12133948114863227</v>
      </c>
      <c r="D879" s="52">
        <f ca="1">S0*EXP((μ-0.5*σ*σ)*T+σ*SQRT(T)*$C879)</f>
        <v>0.62259920605493646</v>
      </c>
      <c r="E879" s="52">
        <f t="shared" ca="1" si="40"/>
        <v>0</v>
      </c>
      <c r="F879" s="17">
        <f t="shared" ca="1" si="41"/>
        <v>0</v>
      </c>
      <c r="H879" s="17">
        <v>870</v>
      </c>
      <c r="I879" s="45">
        <v>0.67038544011619638</v>
      </c>
      <c r="J879" s="45">
        <v>1.8466379315185896E-2</v>
      </c>
      <c r="K879" s="45">
        <v>0.24260000000000001</v>
      </c>
      <c r="N879" s="54"/>
    </row>
    <row r="880" spans="2:14" x14ac:dyDescent="0.2">
      <c r="B880">
        <v>871</v>
      </c>
      <c r="C880" s="52">
        <f t="shared" ca="1" si="42"/>
        <v>-2.1719653979520213</v>
      </c>
      <c r="D880" s="52">
        <f ca="1">S0*EXP((μ-0.5*σ*σ)*T+σ*SQRT(T)*$C880)</f>
        <v>0.35320312182763725</v>
      </c>
      <c r="E880" s="52">
        <f t="shared" ca="1" si="40"/>
        <v>0.18119687817236274</v>
      </c>
      <c r="F880" s="17">
        <f t="shared" ca="1" si="41"/>
        <v>1</v>
      </c>
      <c r="H880" s="17">
        <v>871</v>
      </c>
      <c r="I880" s="45">
        <v>0.67055773784952155</v>
      </c>
      <c r="J880" s="45">
        <v>1.8607410444284163E-2</v>
      </c>
      <c r="K880" s="45">
        <v>0.24340000000000001</v>
      </c>
      <c r="N880" s="54"/>
    </row>
    <row r="881" spans="2:14" x14ac:dyDescent="0.2">
      <c r="B881">
        <v>872</v>
      </c>
      <c r="C881" s="52">
        <f t="shared" ca="1" si="42"/>
        <v>0.45371205307863732</v>
      </c>
      <c r="D881" s="52">
        <f ca="1">S0*EXP((μ-0.5*σ*σ)*T+σ*SQRT(T)*$C881)</f>
        <v>0.72986962588198889</v>
      </c>
      <c r="E881" s="52">
        <f t="shared" ca="1" si="40"/>
        <v>0</v>
      </c>
      <c r="F881" s="17">
        <f t="shared" ca="1" si="41"/>
        <v>0</v>
      </c>
      <c r="H881" s="17">
        <v>872</v>
      </c>
      <c r="I881" s="45">
        <v>0.6702196452955046</v>
      </c>
      <c r="J881" s="45">
        <v>1.8238813914483013E-2</v>
      </c>
      <c r="K881" s="45">
        <v>0.23860000000000001</v>
      </c>
      <c r="N881" s="54"/>
    </row>
    <row r="882" spans="2:14" x14ac:dyDescent="0.2">
      <c r="B882">
        <v>873</v>
      </c>
      <c r="C882" s="52">
        <f t="shared" ca="1" si="42"/>
        <v>1.4524726895447608</v>
      </c>
      <c r="D882" s="52">
        <f ca="1">S0*EXP((μ-0.5*σ*σ)*T+σ*SQRT(T)*$C882)</f>
        <v>0.96194361447573251</v>
      </c>
      <c r="E882" s="52">
        <f t="shared" ca="1" si="40"/>
        <v>0</v>
      </c>
      <c r="F882" s="17">
        <f t="shared" ca="1" si="41"/>
        <v>0</v>
      </c>
      <c r="H882" s="17">
        <v>873</v>
      </c>
      <c r="I882" s="45">
        <v>0.66911151335628294</v>
      </c>
      <c r="J882" s="45">
        <v>1.7586431973159955E-2</v>
      </c>
      <c r="K882" s="45">
        <v>0.23619999999999999</v>
      </c>
      <c r="N882" s="54"/>
    </row>
    <row r="883" spans="2:14" x14ac:dyDescent="0.2">
      <c r="B883">
        <v>874</v>
      </c>
      <c r="C883" s="52">
        <f t="shared" ca="1" si="42"/>
        <v>-5.8172869567961506E-2</v>
      </c>
      <c r="D883" s="52">
        <f ca="1">S0*EXP((μ-0.5*σ*σ)*T+σ*SQRT(T)*$C883)</f>
        <v>0.63356607002848686</v>
      </c>
      <c r="E883" s="52">
        <f t="shared" ca="1" si="40"/>
        <v>0</v>
      </c>
      <c r="F883" s="17">
        <f t="shared" ca="1" si="41"/>
        <v>0</v>
      </c>
      <c r="H883" s="17">
        <v>874</v>
      </c>
      <c r="I883" s="45">
        <v>0.67133591124093739</v>
      </c>
      <c r="J883" s="45">
        <v>1.9144706335834479E-2</v>
      </c>
      <c r="K883" s="45">
        <v>0.248</v>
      </c>
      <c r="N883" s="54"/>
    </row>
    <row r="884" spans="2:14" x14ac:dyDescent="0.2">
      <c r="B884">
        <v>875</v>
      </c>
      <c r="C884" s="52">
        <f t="shared" ca="1" si="42"/>
        <v>-1.6353398750920174</v>
      </c>
      <c r="D884" s="52">
        <f ca="1">S0*EXP((μ-0.5*σ*σ)*T+σ*SQRT(T)*$C884)</f>
        <v>0.40968314719786764</v>
      </c>
      <c r="E884" s="52">
        <f t="shared" ca="1" si="40"/>
        <v>0.12471685280213235</v>
      </c>
      <c r="F884" s="17">
        <f t="shared" ca="1" si="41"/>
        <v>1</v>
      </c>
      <c r="H884" s="17">
        <v>875</v>
      </c>
      <c r="I884" s="45">
        <v>0.6717847971781814</v>
      </c>
      <c r="J884" s="45">
        <v>1.9517554665265908E-2</v>
      </c>
      <c r="K884" s="45">
        <v>0.25019999999999998</v>
      </c>
      <c r="N884" s="54"/>
    </row>
    <row r="885" spans="2:14" x14ac:dyDescent="0.2">
      <c r="B885">
        <v>876</v>
      </c>
      <c r="C885" s="52">
        <f t="shared" ca="1" si="42"/>
        <v>0.14055796745834406</v>
      </c>
      <c r="D885" s="52">
        <f ca="1">S0*EXP((μ-0.5*σ*σ)*T+σ*SQRT(T)*$C885)</f>
        <v>0.66934522114809514</v>
      </c>
      <c r="E885" s="52">
        <f t="shared" ca="1" si="40"/>
        <v>0</v>
      </c>
      <c r="F885" s="17">
        <f t="shared" ca="1" si="41"/>
        <v>0</v>
      </c>
      <c r="H885" s="17">
        <v>876</v>
      </c>
      <c r="I885" s="45">
        <v>0.67053535634987971</v>
      </c>
      <c r="J885" s="45">
        <v>1.9039525095149997E-2</v>
      </c>
      <c r="K885" s="45">
        <v>0.24560000000000001</v>
      </c>
      <c r="N885" s="54"/>
    </row>
    <row r="886" spans="2:14" x14ac:dyDescent="0.2">
      <c r="B886">
        <v>877</v>
      </c>
      <c r="C886" s="52">
        <f t="shared" ca="1" si="42"/>
        <v>0.87630711728017208</v>
      </c>
      <c r="D886" s="52">
        <f ca="1">S0*EXP((μ-0.5*σ*σ)*T+σ*SQRT(T)*$C886)</f>
        <v>0.82031215044033368</v>
      </c>
      <c r="E886" s="52">
        <f t="shared" ca="1" si="40"/>
        <v>0</v>
      </c>
      <c r="F886" s="17">
        <f t="shared" ca="1" si="41"/>
        <v>0</v>
      </c>
      <c r="H886" s="17">
        <v>877</v>
      </c>
      <c r="I886" s="45">
        <v>0.6727159838260548</v>
      </c>
      <c r="J886" s="45">
        <v>2.0373285841991329E-2</v>
      </c>
      <c r="K886" s="45">
        <v>0.25159999999999999</v>
      </c>
      <c r="N886" s="54"/>
    </row>
    <row r="887" spans="2:14" x14ac:dyDescent="0.2">
      <c r="B887">
        <v>878</v>
      </c>
      <c r="C887" s="52">
        <f t="shared" ca="1" si="42"/>
        <v>-0.34242869970238671</v>
      </c>
      <c r="D887" s="52">
        <f ca="1">S0*EXP((μ-0.5*σ*σ)*T+σ*SQRT(T)*$C887)</f>
        <v>0.58568771297424516</v>
      </c>
      <c r="E887" s="52">
        <f t="shared" ca="1" si="40"/>
        <v>0</v>
      </c>
      <c r="F887" s="17">
        <f t="shared" ca="1" si="41"/>
        <v>0</v>
      </c>
      <c r="H887" s="17">
        <v>878</v>
      </c>
      <c r="I887" s="45">
        <v>0.67081779111095363</v>
      </c>
      <c r="J887" s="45">
        <v>1.8657659669281471E-2</v>
      </c>
      <c r="K887" s="45">
        <v>0.249</v>
      </c>
      <c r="N887" s="54"/>
    </row>
    <row r="888" spans="2:14" x14ac:dyDescent="0.2">
      <c r="B888">
        <v>879</v>
      </c>
      <c r="C888" s="52">
        <f t="shared" ca="1" si="42"/>
        <v>1.0761744311618433</v>
      </c>
      <c r="D888" s="52">
        <f ca="1">S0*EXP((μ-0.5*σ*σ)*T+σ*SQRT(T)*$C888)</f>
        <v>0.86690965130247677</v>
      </c>
      <c r="E888" s="52">
        <f t="shared" ca="1" si="40"/>
        <v>0</v>
      </c>
      <c r="F888" s="17">
        <f t="shared" ca="1" si="41"/>
        <v>0</v>
      </c>
      <c r="H888" s="17">
        <v>879</v>
      </c>
      <c r="I888" s="45">
        <v>0.67212701385087104</v>
      </c>
      <c r="J888" s="45">
        <v>1.9368803758212687E-2</v>
      </c>
      <c r="K888" s="45">
        <v>0.24399999999999999</v>
      </c>
      <c r="N888" s="54"/>
    </row>
    <row r="889" spans="2:14" x14ac:dyDescent="0.2">
      <c r="B889">
        <v>880</v>
      </c>
      <c r="C889" s="52">
        <f t="shared" ca="1" si="42"/>
        <v>0.40181680042915124</v>
      </c>
      <c r="D889" s="52">
        <f ca="1">S0*EXP((μ-0.5*σ*σ)*T+σ*SQRT(T)*$C889)</f>
        <v>0.71947399923641986</v>
      </c>
      <c r="E889" s="52">
        <f t="shared" ca="1" si="40"/>
        <v>0</v>
      </c>
      <c r="F889" s="17">
        <f t="shared" ca="1" si="41"/>
        <v>0</v>
      </c>
      <c r="H889" s="17">
        <v>880</v>
      </c>
      <c r="I889" s="45">
        <v>0.6705128958964206</v>
      </c>
      <c r="J889" s="45">
        <v>1.8605122848766982E-2</v>
      </c>
      <c r="K889" s="45">
        <v>0.24640000000000001</v>
      </c>
      <c r="N889" s="54"/>
    </row>
    <row r="890" spans="2:14" x14ac:dyDescent="0.2">
      <c r="B890">
        <v>881</v>
      </c>
      <c r="C890" s="52">
        <f t="shared" ca="1" si="42"/>
        <v>1.1233955310822463</v>
      </c>
      <c r="D890" s="52">
        <f ca="1">S0*EXP((μ-0.5*σ*σ)*T+σ*SQRT(T)*$C890)</f>
        <v>0.87829999062692576</v>
      </c>
      <c r="E890" s="52">
        <f t="shared" ca="1" si="40"/>
        <v>0</v>
      </c>
      <c r="F890" s="17">
        <f t="shared" ca="1" si="41"/>
        <v>0</v>
      </c>
      <c r="H890" s="17">
        <v>881</v>
      </c>
      <c r="I890" s="45">
        <v>0.6708361144332422</v>
      </c>
      <c r="J890" s="45">
        <v>1.9094020305951916E-2</v>
      </c>
      <c r="K890" s="45">
        <v>0.25380000000000003</v>
      </c>
      <c r="N890" s="54"/>
    </row>
    <row r="891" spans="2:14" x14ac:dyDescent="0.2">
      <c r="B891">
        <v>882</v>
      </c>
      <c r="C891" s="52">
        <f t="shared" ca="1" si="42"/>
        <v>1.6010636070845077</v>
      </c>
      <c r="D891" s="52">
        <f ca="1">S0*EXP((μ-0.5*σ*σ)*T+σ*SQRT(T)*$C891)</f>
        <v>1.0022785097666358</v>
      </c>
      <c r="E891" s="52">
        <f t="shared" ca="1" si="40"/>
        <v>0</v>
      </c>
      <c r="F891" s="17">
        <f t="shared" ca="1" si="41"/>
        <v>0</v>
      </c>
      <c r="H891" s="17">
        <v>882</v>
      </c>
      <c r="I891" s="45">
        <v>0.67036314757327797</v>
      </c>
      <c r="J891" s="45">
        <v>1.8730741111814362E-2</v>
      </c>
      <c r="K891" s="45">
        <v>0.2392</v>
      </c>
      <c r="N891" s="54"/>
    </row>
    <row r="892" spans="2:14" x14ac:dyDescent="0.2">
      <c r="B892">
        <v>883</v>
      </c>
      <c r="C892" s="52">
        <f t="shared" ca="1" si="42"/>
        <v>-0.14857261532517768</v>
      </c>
      <c r="D892" s="52">
        <f ca="1">S0*EXP((μ-0.5*σ*σ)*T+σ*SQRT(T)*$C892)</f>
        <v>0.61792980019021959</v>
      </c>
      <c r="E892" s="52">
        <f t="shared" ca="1" si="40"/>
        <v>0</v>
      </c>
      <c r="F892" s="17">
        <f t="shared" ca="1" si="41"/>
        <v>0</v>
      </c>
      <c r="H892" s="17">
        <v>883</v>
      </c>
      <c r="I892" s="45">
        <v>0.67092626437519964</v>
      </c>
      <c r="J892" s="45">
        <v>1.9016103396268649E-2</v>
      </c>
      <c r="K892" s="45">
        <v>0.2492</v>
      </c>
      <c r="N892" s="54"/>
    </row>
    <row r="893" spans="2:14" x14ac:dyDescent="0.2">
      <c r="B893">
        <v>884</v>
      </c>
      <c r="C893" s="52">
        <f t="shared" ca="1" si="42"/>
        <v>-0.45663180475512394</v>
      </c>
      <c r="D893" s="52">
        <f ca="1">S0*EXP((μ-0.5*σ*σ)*T+σ*SQRT(T)*$C893)</f>
        <v>0.56748668310884376</v>
      </c>
      <c r="E893" s="52">
        <f t="shared" ca="1" si="40"/>
        <v>0</v>
      </c>
      <c r="F893" s="17">
        <f t="shared" ca="1" si="41"/>
        <v>0</v>
      </c>
      <c r="H893" s="17">
        <v>884</v>
      </c>
      <c r="I893" s="45">
        <v>0.67109649445228947</v>
      </c>
      <c r="J893" s="45">
        <v>1.9100073532070987E-2</v>
      </c>
      <c r="K893" s="45">
        <v>0.2414</v>
      </c>
      <c r="N893" s="54"/>
    </row>
    <row r="894" spans="2:14" x14ac:dyDescent="0.2">
      <c r="B894">
        <v>885</v>
      </c>
      <c r="C894" s="52">
        <f t="shared" ca="1" si="42"/>
        <v>-1.2203390190958776</v>
      </c>
      <c r="D894" s="52">
        <f ca="1">S0*EXP((μ-0.5*σ*σ)*T+σ*SQRT(T)*$C894)</f>
        <v>0.45948384285729682</v>
      </c>
      <c r="E894" s="52">
        <f t="shared" ca="1" si="40"/>
        <v>7.4916157142703166E-2</v>
      </c>
      <c r="F894" s="17">
        <f t="shared" ca="1" si="41"/>
        <v>1</v>
      </c>
      <c r="H894" s="17">
        <v>885</v>
      </c>
      <c r="I894" s="45">
        <v>0.67183135078439804</v>
      </c>
      <c r="J894" s="45">
        <v>1.9761227502977936E-2</v>
      </c>
      <c r="K894" s="45">
        <v>0.25</v>
      </c>
      <c r="N894" s="54"/>
    </row>
    <row r="895" spans="2:14" x14ac:dyDescent="0.2">
      <c r="B895">
        <v>886</v>
      </c>
      <c r="C895" s="52">
        <f t="shared" ca="1" si="42"/>
        <v>-0.47605312938326244</v>
      </c>
      <c r="D895" s="52">
        <f ca="1">S0*EXP((μ-0.5*σ*σ)*T+σ*SQRT(T)*$C895)</f>
        <v>0.56444818919784512</v>
      </c>
      <c r="E895" s="52">
        <f t="shared" ca="1" si="40"/>
        <v>0</v>
      </c>
      <c r="F895" s="17">
        <f t="shared" ca="1" si="41"/>
        <v>0</v>
      </c>
      <c r="H895" s="17">
        <v>886</v>
      </c>
      <c r="I895" s="45">
        <v>0.67062738796164789</v>
      </c>
      <c r="J895" s="45">
        <v>1.8435953639563164E-2</v>
      </c>
      <c r="K895" s="45">
        <v>0.24</v>
      </c>
      <c r="N895" s="54"/>
    </row>
    <row r="896" spans="2:14" x14ac:dyDescent="0.2">
      <c r="B896">
        <v>887</v>
      </c>
      <c r="C896" s="52">
        <f t="shared" ca="1" si="42"/>
        <v>-0.23226194918642198</v>
      </c>
      <c r="D896" s="52">
        <f ca="1">S0*EXP((μ-0.5*σ*σ)*T+σ*SQRT(T)*$C896)</f>
        <v>0.60379842344216039</v>
      </c>
      <c r="E896" s="52">
        <f t="shared" ca="1" si="40"/>
        <v>0</v>
      </c>
      <c r="F896" s="17">
        <f t="shared" ca="1" si="41"/>
        <v>0</v>
      </c>
      <c r="H896" s="17">
        <v>887</v>
      </c>
      <c r="I896" s="45">
        <v>0.67043025325673522</v>
      </c>
      <c r="J896" s="45">
        <v>1.8555490599672927E-2</v>
      </c>
      <c r="K896" s="45">
        <v>0.24740000000000001</v>
      </c>
      <c r="N896" s="54"/>
    </row>
    <row r="897" spans="2:14" x14ac:dyDescent="0.2">
      <c r="B897">
        <v>888</v>
      </c>
      <c r="C897" s="52">
        <f t="shared" ca="1" si="42"/>
        <v>0.5486783804476234</v>
      </c>
      <c r="D897" s="52">
        <f ca="1">S0*EXP((μ-0.5*σ*σ)*T+σ*SQRT(T)*$C897)</f>
        <v>0.74928371538925631</v>
      </c>
      <c r="E897" s="52">
        <f t="shared" ca="1" si="40"/>
        <v>0</v>
      </c>
      <c r="F897" s="17">
        <f t="shared" ca="1" si="41"/>
        <v>0</v>
      </c>
      <c r="H897" s="17">
        <v>888</v>
      </c>
      <c r="I897" s="45">
        <v>0.67092759234837751</v>
      </c>
      <c r="J897" s="45">
        <v>1.9131307550160747E-2</v>
      </c>
      <c r="K897" s="45">
        <v>0.2424</v>
      </c>
      <c r="N897" s="54"/>
    </row>
    <row r="898" spans="2:14" x14ac:dyDescent="0.2">
      <c r="B898">
        <v>889</v>
      </c>
      <c r="C898" s="52">
        <f t="shared" ca="1" si="42"/>
        <v>-0.68140285309775239</v>
      </c>
      <c r="D898" s="52">
        <f ca="1">S0*EXP((μ-0.5*σ*σ)*T+σ*SQRT(T)*$C898)</f>
        <v>0.53329954127823787</v>
      </c>
      <c r="E898" s="52">
        <f t="shared" ca="1" si="40"/>
        <v>1.1004587217621209E-3</v>
      </c>
      <c r="F898" s="17">
        <f t="shared" ca="1" si="41"/>
        <v>1</v>
      </c>
      <c r="H898" s="17">
        <v>889</v>
      </c>
      <c r="I898" s="45">
        <v>0.67128726072779732</v>
      </c>
      <c r="J898" s="45">
        <v>1.9056653373721026E-2</v>
      </c>
      <c r="K898" s="45">
        <v>0.24660000000000001</v>
      </c>
      <c r="N898" s="54"/>
    </row>
    <row r="899" spans="2:14" x14ac:dyDescent="0.2">
      <c r="B899">
        <v>890</v>
      </c>
      <c r="C899" s="52">
        <f t="shared" ca="1" si="42"/>
        <v>-0.61965293836120805</v>
      </c>
      <c r="D899" s="52">
        <f ca="1">S0*EXP((μ-0.5*σ*σ)*T+σ*SQRT(T)*$C899)</f>
        <v>0.54248093479250203</v>
      </c>
      <c r="E899" s="52">
        <f t="shared" ca="1" si="40"/>
        <v>0</v>
      </c>
      <c r="F899" s="17">
        <f t="shared" ca="1" si="41"/>
        <v>0</v>
      </c>
      <c r="H899" s="17">
        <v>890</v>
      </c>
      <c r="I899" s="45">
        <v>0.67151488984512919</v>
      </c>
      <c r="J899" s="45">
        <v>1.9251739206863759E-2</v>
      </c>
      <c r="K899" s="45">
        <v>0.24460000000000001</v>
      </c>
      <c r="N899" s="54"/>
    </row>
    <row r="900" spans="2:14" x14ac:dyDescent="0.2">
      <c r="B900">
        <v>891</v>
      </c>
      <c r="C900" s="52">
        <f t="shared" ca="1" si="42"/>
        <v>-8.9644497155388095E-2</v>
      </c>
      <c r="D900" s="52">
        <f ca="1">S0*EXP((μ-0.5*σ*σ)*T+σ*SQRT(T)*$C900)</f>
        <v>0.62807809062878883</v>
      </c>
      <c r="E900" s="52">
        <f t="shared" ca="1" si="40"/>
        <v>0</v>
      </c>
      <c r="F900" s="17">
        <f t="shared" ca="1" si="41"/>
        <v>0</v>
      </c>
      <c r="H900" s="17">
        <v>891</v>
      </c>
      <c r="I900" s="45">
        <v>0.66983397423428537</v>
      </c>
      <c r="J900" s="45">
        <v>1.7941547430285684E-2</v>
      </c>
      <c r="K900" s="45">
        <v>0.23480000000000001</v>
      </c>
      <c r="N900" s="54"/>
    </row>
    <row r="901" spans="2:14" x14ac:dyDescent="0.2">
      <c r="B901">
        <v>892</v>
      </c>
      <c r="C901" s="52">
        <f t="shared" ca="1" si="42"/>
        <v>0.19713594499786674</v>
      </c>
      <c r="D901" s="52">
        <f ca="1">S0*EXP((μ-0.5*σ*σ)*T+σ*SQRT(T)*$C901)</f>
        <v>0.679896067908077</v>
      </c>
      <c r="E901" s="52">
        <f t="shared" ca="1" si="40"/>
        <v>0</v>
      </c>
      <c r="F901" s="17">
        <f t="shared" ca="1" si="41"/>
        <v>0</v>
      </c>
      <c r="H901" s="17">
        <v>892</v>
      </c>
      <c r="I901" s="45">
        <v>0.66988872734262317</v>
      </c>
      <c r="J901" s="45">
        <v>1.8182479703438809E-2</v>
      </c>
      <c r="K901" s="45">
        <v>0.24679999999999999</v>
      </c>
      <c r="N901" s="54"/>
    </row>
    <row r="902" spans="2:14" x14ac:dyDescent="0.2">
      <c r="B902">
        <v>893</v>
      </c>
      <c r="C902" s="52">
        <f t="shared" ca="1" si="42"/>
        <v>0.24981551215699169</v>
      </c>
      <c r="D902" s="52">
        <f ca="1">S0*EXP((μ-0.5*σ*σ)*T+σ*SQRT(T)*$C902)</f>
        <v>0.68986939033950034</v>
      </c>
      <c r="E902" s="52">
        <f t="shared" ca="1" si="40"/>
        <v>0</v>
      </c>
      <c r="F902" s="17">
        <f t="shared" ca="1" si="41"/>
        <v>0</v>
      </c>
      <c r="H902" s="17">
        <v>893</v>
      </c>
      <c r="I902" s="45">
        <v>0.67042294118608081</v>
      </c>
      <c r="J902" s="45">
        <v>1.8555877649238481E-2</v>
      </c>
      <c r="K902" s="45">
        <v>0.249</v>
      </c>
      <c r="N902" s="54"/>
    </row>
    <row r="903" spans="2:14" x14ac:dyDescent="0.2">
      <c r="B903">
        <v>894</v>
      </c>
      <c r="C903" s="52">
        <f t="shared" ca="1" si="42"/>
        <v>1.1623048750919791</v>
      </c>
      <c r="D903" s="52">
        <f ca="1">S0*EXP((μ-0.5*σ*σ)*T+σ*SQRT(T)*$C903)</f>
        <v>0.88779780322613422</v>
      </c>
      <c r="E903" s="52">
        <f t="shared" ca="1" si="40"/>
        <v>0</v>
      </c>
      <c r="F903" s="17">
        <f t="shared" ca="1" si="41"/>
        <v>0</v>
      </c>
      <c r="H903" s="17">
        <v>894</v>
      </c>
      <c r="I903" s="45">
        <v>0.67082890213758506</v>
      </c>
      <c r="J903" s="45">
        <v>1.8869420383038953E-2</v>
      </c>
      <c r="K903" s="45">
        <v>0.246</v>
      </c>
      <c r="N903" s="54"/>
    </row>
    <row r="904" spans="2:14" x14ac:dyDescent="0.2">
      <c r="B904">
        <v>895</v>
      </c>
      <c r="C904" s="52">
        <f t="shared" ca="1" si="42"/>
        <v>0.4891228697013551</v>
      </c>
      <c r="D904" s="52">
        <f ca="1">S0*EXP((μ-0.5*σ*σ)*T+σ*SQRT(T)*$C904)</f>
        <v>0.73704918338112102</v>
      </c>
      <c r="E904" s="52">
        <f t="shared" ca="1" si="40"/>
        <v>0</v>
      </c>
      <c r="F904" s="17">
        <f t="shared" ca="1" si="41"/>
        <v>0</v>
      </c>
      <c r="H904" s="17">
        <v>895</v>
      </c>
      <c r="I904" s="45">
        <v>0.67021212302815125</v>
      </c>
      <c r="J904" s="45">
        <v>1.8387316052514875E-2</v>
      </c>
      <c r="K904" s="45">
        <v>0.247</v>
      </c>
      <c r="N904" s="54"/>
    </row>
    <row r="905" spans="2:14" x14ac:dyDescent="0.2">
      <c r="B905">
        <v>896</v>
      </c>
      <c r="C905" s="52">
        <f t="shared" ca="1" si="42"/>
        <v>0.18978478722854913</v>
      </c>
      <c r="D905" s="52">
        <f ca="1">S0*EXP((μ-0.5*σ*σ)*T+σ*SQRT(T)*$C905)</f>
        <v>0.67851585461772723</v>
      </c>
      <c r="E905" s="52">
        <f t="shared" ca="1" si="40"/>
        <v>0</v>
      </c>
      <c r="F905" s="17">
        <f t="shared" ca="1" si="41"/>
        <v>0</v>
      </c>
      <c r="H905" s="17">
        <v>896</v>
      </c>
      <c r="I905" s="45">
        <v>0.67080709185094844</v>
      </c>
      <c r="J905" s="45">
        <v>1.8828369272015418E-2</v>
      </c>
      <c r="K905" s="45">
        <v>0.24979999999999999</v>
      </c>
      <c r="N905" s="54"/>
    </row>
    <row r="906" spans="2:14" x14ac:dyDescent="0.2">
      <c r="B906">
        <v>897</v>
      </c>
      <c r="C906" s="52">
        <f t="shared" ca="1" si="42"/>
        <v>-0.86193635502351607</v>
      </c>
      <c r="D906" s="52">
        <f ca="1">S0*EXP((μ-0.5*σ*σ)*T+σ*SQRT(T)*$C906)</f>
        <v>0.50733824336819955</v>
      </c>
      <c r="E906" s="52">
        <f t="shared" ref="E906:E969" ca="1" si="43">MAX(0,CP*(D906-K))</f>
        <v>2.7061756631800438E-2</v>
      </c>
      <c r="F906" s="17">
        <f t="shared" ref="F906:F969" ca="1" si="44">(CP*(D906-K)&gt;0)*1</f>
        <v>1</v>
      </c>
      <c r="H906" s="17">
        <v>897</v>
      </c>
      <c r="I906" s="45">
        <v>0.67112193743961457</v>
      </c>
      <c r="J906" s="45">
        <v>1.9137962932348689E-2</v>
      </c>
      <c r="K906" s="45">
        <v>0.2472</v>
      </c>
      <c r="N906" s="54"/>
    </row>
    <row r="907" spans="2:14" x14ac:dyDescent="0.2">
      <c r="B907">
        <v>898</v>
      </c>
      <c r="C907" s="52">
        <f t="shared" ref="C907:C970" ca="1" si="45">_xlfn.NORM.S.INV(RAND())</f>
        <v>-6.881723424449035E-2</v>
      </c>
      <c r="D907" s="52">
        <f ca="1">S0*EXP((μ-0.5*σ*σ)*T+σ*SQRT(T)*$C907)</f>
        <v>0.63170457453111239</v>
      </c>
      <c r="E907" s="52">
        <f t="shared" ca="1" si="43"/>
        <v>0</v>
      </c>
      <c r="F907" s="17">
        <f t="shared" ca="1" si="44"/>
        <v>0</v>
      </c>
      <c r="H907" s="17">
        <v>898</v>
      </c>
      <c r="I907" s="45">
        <v>0.67198027299469498</v>
      </c>
      <c r="J907" s="45">
        <v>1.9751860236137436E-2</v>
      </c>
      <c r="K907" s="45">
        <v>0.25380000000000003</v>
      </c>
      <c r="N907" s="54"/>
    </row>
    <row r="908" spans="2:14" x14ac:dyDescent="0.2">
      <c r="B908">
        <v>899</v>
      </c>
      <c r="C908" s="52">
        <f t="shared" ca="1" si="45"/>
        <v>0.33111566214914195</v>
      </c>
      <c r="D908" s="52">
        <f ca="1">S0*EXP((μ-0.5*σ*σ)*T+σ*SQRT(T)*$C908)</f>
        <v>0.70554905073731911</v>
      </c>
      <c r="E908" s="52">
        <f t="shared" ca="1" si="43"/>
        <v>0</v>
      </c>
      <c r="F908" s="17">
        <f t="shared" ca="1" si="44"/>
        <v>0</v>
      </c>
      <c r="H908" s="17">
        <v>899</v>
      </c>
      <c r="I908" s="45">
        <v>0.67057319161068429</v>
      </c>
      <c r="J908" s="45">
        <v>1.8942126051131332E-2</v>
      </c>
      <c r="K908" s="45">
        <v>0.25319999999999998</v>
      </c>
      <c r="N908" s="54"/>
    </row>
    <row r="909" spans="2:14" x14ac:dyDescent="0.2">
      <c r="B909">
        <v>900</v>
      </c>
      <c r="C909" s="52">
        <f t="shared" ca="1" si="45"/>
        <v>-1.4307261300566303</v>
      </c>
      <c r="D909" s="52">
        <f ca="1">S0*EXP((μ-0.5*σ*σ)*T+σ*SQRT(T)*$C909)</f>
        <v>0.43352347237475569</v>
      </c>
      <c r="E909" s="52">
        <f t="shared" ca="1" si="43"/>
        <v>0.10087652762524429</v>
      </c>
      <c r="F909" s="17">
        <f t="shared" ca="1" si="44"/>
        <v>1</v>
      </c>
      <c r="H909" s="17">
        <v>900</v>
      </c>
      <c r="I909" s="45">
        <v>0.6696107260322256</v>
      </c>
      <c r="J909" s="45">
        <v>1.7998446838286091E-2</v>
      </c>
      <c r="K909" s="45">
        <v>0.24079999999999999</v>
      </c>
      <c r="N909" s="54"/>
    </row>
    <row r="910" spans="2:14" x14ac:dyDescent="0.2">
      <c r="B910">
        <v>901</v>
      </c>
      <c r="C910" s="52">
        <f t="shared" ca="1" si="45"/>
        <v>-0.67229288332762616</v>
      </c>
      <c r="D910" s="52">
        <f ca="1">S0*EXP((μ-0.5*σ*σ)*T+σ*SQRT(T)*$C910)</f>
        <v>0.53464423761793878</v>
      </c>
      <c r="E910" s="52">
        <f t="shared" ca="1" si="43"/>
        <v>0</v>
      </c>
      <c r="F910" s="17">
        <f t="shared" ca="1" si="44"/>
        <v>0</v>
      </c>
      <c r="H910" s="17">
        <v>901</v>
      </c>
      <c r="I910" s="45">
        <v>0.67144968593170928</v>
      </c>
      <c r="J910" s="45">
        <v>1.925647650924002E-2</v>
      </c>
      <c r="K910" s="45">
        <v>0.246</v>
      </c>
      <c r="N910" s="54"/>
    </row>
    <row r="911" spans="2:14" x14ac:dyDescent="0.2">
      <c r="B911">
        <v>902</v>
      </c>
      <c r="C911" s="52">
        <f t="shared" ca="1" si="45"/>
        <v>-0.43208806694988044</v>
      </c>
      <c r="D911" s="52">
        <f ca="1">S0*EXP((μ-0.5*σ*σ)*T+σ*SQRT(T)*$C911)</f>
        <v>0.57134999355516636</v>
      </c>
      <c r="E911" s="52">
        <f t="shared" ca="1" si="43"/>
        <v>0</v>
      </c>
      <c r="F911" s="17">
        <f t="shared" ca="1" si="44"/>
        <v>0</v>
      </c>
      <c r="H911" s="17">
        <v>902</v>
      </c>
      <c r="I911" s="45">
        <v>0.67011147057933096</v>
      </c>
      <c r="J911" s="45">
        <v>1.8494586372020404E-2</v>
      </c>
      <c r="K911" s="45">
        <v>0.24540000000000001</v>
      </c>
      <c r="N911" s="54"/>
    </row>
    <row r="912" spans="2:14" x14ac:dyDescent="0.2">
      <c r="B912">
        <v>903</v>
      </c>
      <c r="C912" s="52">
        <f t="shared" ca="1" si="45"/>
        <v>-1.7778258787852448</v>
      </c>
      <c r="D912" s="52">
        <f ca="1">S0*EXP((μ-0.5*σ*σ)*T+σ*SQRT(T)*$C912)</f>
        <v>0.3938603028549198</v>
      </c>
      <c r="E912" s="52">
        <f t="shared" ca="1" si="43"/>
        <v>0.14053969714508019</v>
      </c>
      <c r="F912" s="17">
        <f t="shared" ca="1" si="44"/>
        <v>1</v>
      </c>
      <c r="H912" s="17">
        <v>903</v>
      </c>
      <c r="I912" s="45">
        <v>0.67099150173675204</v>
      </c>
      <c r="J912" s="45">
        <v>1.9266620915184881E-2</v>
      </c>
      <c r="K912" s="45">
        <v>0.24740000000000001</v>
      </c>
      <c r="N912" s="54"/>
    </row>
    <row r="913" spans="2:14" x14ac:dyDescent="0.2">
      <c r="B913">
        <v>904</v>
      </c>
      <c r="C913" s="52">
        <f t="shared" ca="1" si="45"/>
        <v>-0.47568286372258495</v>
      </c>
      <c r="D913" s="52">
        <f ca="1">S0*EXP((μ-0.5*σ*σ)*T+σ*SQRT(T)*$C913)</f>
        <v>0.56450596538373121</v>
      </c>
      <c r="E913" s="52">
        <f t="shared" ca="1" si="43"/>
        <v>0</v>
      </c>
      <c r="F913" s="17">
        <f t="shared" ca="1" si="44"/>
        <v>0</v>
      </c>
      <c r="H913" s="17">
        <v>904</v>
      </c>
      <c r="I913" s="45">
        <v>0.67099937054826964</v>
      </c>
      <c r="J913" s="45">
        <v>1.9225212293865125E-2</v>
      </c>
      <c r="K913" s="45">
        <v>0.24859999999999999</v>
      </c>
      <c r="N913" s="54"/>
    </row>
    <row r="914" spans="2:14" x14ac:dyDescent="0.2">
      <c r="B914">
        <v>905</v>
      </c>
      <c r="C914" s="52">
        <f t="shared" ca="1" si="45"/>
        <v>5.4768281903561512E-2</v>
      </c>
      <c r="D914" s="52">
        <f ca="1">S0*EXP((μ-0.5*σ*σ)*T+σ*SQRT(T)*$C914)</f>
        <v>0.65365840226048177</v>
      </c>
      <c r="E914" s="52">
        <f t="shared" ca="1" si="43"/>
        <v>0</v>
      </c>
      <c r="F914" s="17">
        <f t="shared" ca="1" si="44"/>
        <v>0</v>
      </c>
      <c r="H914" s="17">
        <v>905</v>
      </c>
      <c r="I914" s="45">
        <v>0.67030852030478527</v>
      </c>
      <c r="J914" s="45">
        <v>1.8511755096718499E-2</v>
      </c>
      <c r="K914" s="45">
        <v>0.2472</v>
      </c>
      <c r="N914" s="54"/>
    </row>
    <row r="915" spans="2:14" x14ac:dyDescent="0.2">
      <c r="B915">
        <v>906</v>
      </c>
      <c r="C915" s="52">
        <f t="shared" ca="1" si="45"/>
        <v>0.4419393241263016</v>
      </c>
      <c r="D915" s="52">
        <f ca="1">S0*EXP((μ-0.5*σ*σ)*T+σ*SQRT(T)*$C915)</f>
        <v>0.72749822447691304</v>
      </c>
      <c r="E915" s="52">
        <f t="shared" ca="1" si="43"/>
        <v>0</v>
      </c>
      <c r="F915" s="17">
        <f t="shared" ca="1" si="44"/>
        <v>0</v>
      </c>
      <c r="H915" s="17">
        <v>906</v>
      </c>
      <c r="I915" s="45">
        <v>0.67110446833202753</v>
      </c>
      <c r="J915" s="45">
        <v>1.9043065418531561E-2</v>
      </c>
      <c r="K915" s="45">
        <v>0.24299999999999999</v>
      </c>
      <c r="N915" s="54"/>
    </row>
    <row r="916" spans="2:14" x14ac:dyDescent="0.2">
      <c r="B916">
        <v>907</v>
      </c>
      <c r="C916" s="52">
        <f t="shared" ca="1" si="45"/>
        <v>1.4707786052638236</v>
      </c>
      <c r="D916" s="52">
        <f ca="1">S0*EXP((μ-0.5*σ*σ)*T+σ*SQRT(T)*$C916)</f>
        <v>0.96682372323551058</v>
      </c>
      <c r="E916" s="52">
        <f t="shared" ca="1" si="43"/>
        <v>0</v>
      </c>
      <c r="F916" s="17">
        <f t="shared" ca="1" si="44"/>
        <v>0</v>
      </c>
      <c r="H916" s="17">
        <v>907</v>
      </c>
      <c r="I916" s="45">
        <v>0.67155513333864048</v>
      </c>
      <c r="J916" s="45">
        <v>1.9355511736142163E-2</v>
      </c>
      <c r="K916" s="45">
        <v>0.24440000000000001</v>
      </c>
      <c r="N916" s="54"/>
    </row>
    <row r="917" spans="2:14" x14ac:dyDescent="0.2">
      <c r="B917">
        <v>908</v>
      </c>
      <c r="C917" s="52">
        <f t="shared" ca="1" si="45"/>
        <v>-1.0764427522635724</v>
      </c>
      <c r="D917" s="52">
        <f ca="1">S0*EXP((μ-0.5*σ*σ)*T+σ*SQRT(T)*$C917)</f>
        <v>0.47812938959281626</v>
      </c>
      <c r="E917" s="52">
        <f t="shared" ca="1" si="43"/>
        <v>5.627061040718373E-2</v>
      </c>
      <c r="F917" s="17">
        <f t="shared" ca="1" si="44"/>
        <v>1</v>
      </c>
      <c r="H917" s="17">
        <v>908</v>
      </c>
      <c r="I917" s="45">
        <v>0.67077937026653522</v>
      </c>
      <c r="J917" s="45">
        <v>1.8763318564522111E-2</v>
      </c>
      <c r="K917" s="45">
        <v>0.2432</v>
      </c>
      <c r="N917" s="54"/>
    </row>
    <row r="918" spans="2:14" x14ac:dyDescent="0.2">
      <c r="B918">
        <v>909</v>
      </c>
      <c r="C918" s="52">
        <f t="shared" ca="1" si="45"/>
        <v>-0.6881914176194559</v>
      </c>
      <c r="D918" s="52">
        <f ca="1">S0*EXP((μ-0.5*σ*σ)*T+σ*SQRT(T)*$C918)</f>
        <v>0.53229970048551778</v>
      </c>
      <c r="E918" s="52">
        <f t="shared" ca="1" si="43"/>
        <v>2.1002995144822068E-3</v>
      </c>
      <c r="F918" s="17">
        <f t="shared" ca="1" si="44"/>
        <v>1</v>
      </c>
      <c r="H918" s="17">
        <v>909</v>
      </c>
      <c r="I918" s="45">
        <v>0.67073517756206458</v>
      </c>
      <c r="J918" s="45">
        <v>1.8686927327393743E-2</v>
      </c>
      <c r="K918" s="45">
        <v>0.24440000000000001</v>
      </c>
      <c r="N918" s="54"/>
    </row>
    <row r="919" spans="2:14" x14ac:dyDescent="0.2">
      <c r="B919">
        <v>910</v>
      </c>
      <c r="C919" s="52">
        <f t="shared" ca="1" si="45"/>
        <v>-0.95245912901233254</v>
      </c>
      <c r="D919" s="52">
        <f ca="1">S0*EXP((μ-0.5*σ*σ)*T+σ*SQRT(T)*$C919)</f>
        <v>0.49480042029050569</v>
      </c>
      <c r="E919" s="52">
        <f t="shared" ca="1" si="43"/>
        <v>3.9599579709494293E-2</v>
      </c>
      <c r="F919" s="17">
        <f t="shared" ca="1" si="44"/>
        <v>1</v>
      </c>
      <c r="H919" s="17">
        <v>910</v>
      </c>
      <c r="I919" s="45">
        <v>0.67091853443777372</v>
      </c>
      <c r="J919" s="45">
        <v>1.9081855438959388E-2</v>
      </c>
      <c r="K919" s="45">
        <v>0.24560000000000001</v>
      </c>
      <c r="N919" s="54"/>
    </row>
    <row r="920" spans="2:14" x14ac:dyDescent="0.2">
      <c r="B920">
        <v>911</v>
      </c>
      <c r="C920" s="52">
        <f t="shared" ca="1" si="45"/>
        <v>0.43492238536608607</v>
      </c>
      <c r="D920" s="52">
        <f ca="1">S0*EXP((μ-0.5*σ*σ)*T+σ*SQRT(T)*$C920)</f>
        <v>0.72608845659740318</v>
      </c>
      <c r="E920" s="52">
        <f t="shared" ca="1" si="43"/>
        <v>0</v>
      </c>
      <c r="F920" s="17">
        <f t="shared" ca="1" si="44"/>
        <v>0</v>
      </c>
      <c r="H920" s="17">
        <v>911</v>
      </c>
      <c r="I920" s="45">
        <v>0.67061394962088694</v>
      </c>
      <c r="J920" s="45">
        <v>1.8767294161866867E-2</v>
      </c>
      <c r="K920" s="45">
        <v>0.24199999999999999</v>
      </c>
      <c r="N920" s="54"/>
    </row>
    <row r="921" spans="2:14" x14ac:dyDescent="0.2">
      <c r="B921">
        <v>912</v>
      </c>
      <c r="C921" s="52">
        <f t="shared" ca="1" si="45"/>
        <v>0.29654600694421329</v>
      </c>
      <c r="D921" s="52">
        <f ca="1">S0*EXP((μ-0.5*σ*σ)*T+σ*SQRT(T)*$C921)</f>
        <v>0.69883881254075875</v>
      </c>
      <c r="E921" s="52">
        <f t="shared" ca="1" si="43"/>
        <v>0</v>
      </c>
      <c r="F921" s="17">
        <f t="shared" ca="1" si="44"/>
        <v>0</v>
      </c>
      <c r="H921" s="17">
        <v>912</v>
      </c>
      <c r="I921" s="45">
        <v>0.67008429585465479</v>
      </c>
      <c r="J921" s="45">
        <v>1.8518341839195939E-2</v>
      </c>
      <c r="K921" s="45">
        <v>0.24859999999999999</v>
      </c>
      <c r="N921" s="54"/>
    </row>
    <row r="922" spans="2:14" x14ac:dyDescent="0.2">
      <c r="B922">
        <v>913</v>
      </c>
      <c r="C922" s="52">
        <f t="shared" ca="1" si="45"/>
        <v>-3.7745537227574608E-2</v>
      </c>
      <c r="D922" s="52">
        <f ca="1">S0*EXP((μ-0.5*σ*σ)*T+σ*SQRT(T)*$C922)</f>
        <v>0.63715379750776946</v>
      </c>
      <c r="E922" s="52">
        <f t="shared" ca="1" si="43"/>
        <v>0</v>
      </c>
      <c r="F922" s="17">
        <f t="shared" ca="1" si="44"/>
        <v>0</v>
      </c>
      <c r="H922" s="17">
        <v>913</v>
      </c>
      <c r="I922" s="45">
        <v>0.670140563290063</v>
      </c>
      <c r="J922" s="45">
        <v>1.8197263185348478E-2</v>
      </c>
      <c r="K922" s="45">
        <v>0.24479999999999999</v>
      </c>
      <c r="N922" s="54"/>
    </row>
    <row r="923" spans="2:14" x14ac:dyDescent="0.2">
      <c r="B923">
        <v>914</v>
      </c>
      <c r="C923" s="52">
        <f t="shared" ca="1" si="45"/>
        <v>-4.5353732584279223E-2</v>
      </c>
      <c r="D923" s="52">
        <f ca="1">S0*EXP((μ-0.5*σ*σ)*T+σ*SQRT(T)*$C923)</f>
        <v>0.63581517402436272</v>
      </c>
      <c r="E923" s="52">
        <f t="shared" ca="1" si="43"/>
        <v>0</v>
      </c>
      <c r="F923" s="17">
        <f t="shared" ca="1" si="44"/>
        <v>0</v>
      </c>
      <c r="H923" s="17">
        <v>914</v>
      </c>
      <c r="I923" s="45">
        <v>0.67164714984060392</v>
      </c>
      <c r="J923" s="45">
        <v>1.9565703223927408E-2</v>
      </c>
      <c r="K923" s="45">
        <v>0.24479999999999999</v>
      </c>
      <c r="N923" s="54"/>
    </row>
    <row r="924" spans="2:14" x14ac:dyDescent="0.2">
      <c r="B924">
        <v>915</v>
      </c>
      <c r="C924" s="52">
        <f t="shared" ca="1" si="45"/>
        <v>-0.5787119135316996</v>
      </c>
      <c r="D924" s="52">
        <f ca="1">S0*EXP((μ-0.5*σ*σ)*T+σ*SQRT(T)*$C924)</f>
        <v>0.54865529806384894</v>
      </c>
      <c r="E924" s="52">
        <f t="shared" ca="1" si="43"/>
        <v>0</v>
      </c>
      <c r="F924" s="17">
        <f t="shared" ca="1" si="44"/>
        <v>0</v>
      </c>
      <c r="H924" s="17">
        <v>915</v>
      </c>
      <c r="I924" s="45">
        <v>0.67325475590464801</v>
      </c>
      <c r="J924" s="45">
        <v>2.0266950087211619E-2</v>
      </c>
      <c r="K924" s="45">
        <v>0.253</v>
      </c>
      <c r="N924" s="54"/>
    </row>
    <row r="925" spans="2:14" x14ac:dyDescent="0.2">
      <c r="B925">
        <v>916</v>
      </c>
      <c r="C925" s="52">
        <f t="shared" ca="1" si="45"/>
        <v>0.83134010350833021</v>
      </c>
      <c r="D925" s="52">
        <f ca="1">S0*EXP((μ-0.5*σ*σ)*T+σ*SQRT(T)*$C925)</f>
        <v>0.81017850057686669</v>
      </c>
      <c r="E925" s="52">
        <f t="shared" ca="1" si="43"/>
        <v>0</v>
      </c>
      <c r="F925" s="17">
        <f t="shared" ca="1" si="44"/>
        <v>0</v>
      </c>
      <c r="H925" s="17">
        <v>916</v>
      </c>
      <c r="I925" s="45">
        <v>0.67141704028020144</v>
      </c>
      <c r="J925" s="45">
        <v>1.9446365551919264E-2</v>
      </c>
      <c r="K925" s="45">
        <v>0.249</v>
      </c>
      <c r="N925" s="54"/>
    </row>
    <row r="926" spans="2:14" x14ac:dyDescent="0.2">
      <c r="B926">
        <v>917</v>
      </c>
      <c r="C926" s="52">
        <f t="shared" ca="1" si="45"/>
        <v>0.73718742986136232</v>
      </c>
      <c r="D926" s="52">
        <f ca="1">S0*EXP((μ-0.5*σ*σ)*T+σ*SQRT(T)*$C926)</f>
        <v>0.78936413920932369</v>
      </c>
      <c r="E926" s="52">
        <f t="shared" ca="1" si="43"/>
        <v>0</v>
      </c>
      <c r="F926" s="17">
        <f t="shared" ca="1" si="44"/>
        <v>0</v>
      </c>
      <c r="H926" s="17">
        <v>917</v>
      </c>
      <c r="I926" s="45">
        <v>0.67057376120526146</v>
      </c>
      <c r="J926" s="45">
        <v>1.9144440904952469E-2</v>
      </c>
      <c r="K926" s="45">
        <v>0.25559999999999999</v>
      </c>
      <c r="N926" s="54"/>
    </row>
    <row r="927" spans="2:14" x14ac:dyDescent="0.2">
      <c r="B927">
        <v>918</v>
      </c>
      <c r="C927" s="52">
        <f t="shared" ca="1" si="45"/>
        <v>-0.9679227661796479</v>
      </c>
      <c r="D927" s="52">
        <f ca="1">S0*EXP((μ-0.5*σ*σ)*T+σ*SQRT(T)*$C927)</f>
        <v>0.49268983486659657</v>
      </c>
      <c r="E927" s="52">
        <f t="shared" ca="1" si="43"/>
        <v>4.1710165133403421E-2</v>
      </c>
      <c r="F927" s="17">
        <f t="shared" ca="1" si="44"/>
        <v>1</v>
      </c>
      <c r="H927" s="17">
        <v>918</v>
      </c>
      <c r="I927" s="45">
        <v>0.67204971056237461</v>
      </c>
      <c r="J927" s="45">
        <v>1.9539481920732404E-2</v>
      </c>
      <c r="K927" s="45">
        <v>0.25019999999999998</v>
      </c>
      <c r="N927" s="54"/>
    </row>
    <row r="928" spans="2:14" x14ac:dyDescent="0.2">
      <c r="B928">
        <v>919</v>
      </c>
      <c r="C928" s="52">
        <f t="shared" ca="1" si="45"/>
        <v>0.47723205905730998</v>
      </c>
      <c r="D928" s="52">
        <f ca="1">S0*EXP((μ-0.5*σ*σ)*T+σ*SQRT(T)*$C928)</f>
        <v>0.73463047513351876</v>
      </c>
      <c r="E928" s="52">
        <f t="shared" ca="1" si="43"/>
        <v>0</v>
      </c>
      <c r="F928" s="17">
        <f t="shared" ca="1" si="44"/>
        <v>0</v>
      </c>
      <c r="H928" s="17">
        <v>919</v>
      </c>
      <c r="I928" s="45">
        <v>0.67142389715397888</v>
      </c>
      <c r="J928" s="45">
        <v>1.9346539051338766E-2</v>
      </c>
      <c r="K928" s="45">
        <v>0.25219999999999998</v>
      </c>
      <c r="N928" s="54"/>
    </row>
    <row r="929" spans="2:14" x14ac:dyDescent="0.2">
      <c r="B929">
        <v>920</v>
      </c>
      <c r="C929" s="52">
        <f t="shared" ca="1" si="45"/>
        <v>0.31674705096809302</v>
      </c>
      <c r="D929" s="52">
        <f ca="1">S0*EXP((μ-0.5*σ*σ)*T+σ*SQRT(T)*$C929)</f>
        <v>0.70275220241971625</v>
      </c>
      <c r="E929" s="52">
        <f t="shared" ca="1" si="43"/>
        <v>0</v>
      </c>
      <c r="F929" s="17">
        <f t="shared" ca="1" si="44"/>
        <v>0</v>
      </c>
      <c r="H929" s="17">
        <v>920</v>
      </c>
      <c r="I929" s="45">
        <v>0.66941363813034016</v>
      </c>
      <c r="J929" s="45">
        <v>1.7846402627182276E-2</v>
      </c>
      <c r="K929" s="45">
        <v>0.23899999999999999</v>
      </c>
      <c r="N929" s="54"/>
    </row>
    <row r="930" spans="2:14" x14ac:dyDescent="0.2">
      <c r="B930">
        <v>921</v>
      </c>
      <c r="C930" s="52">
        <f t="shared" ca="1" si="45"/>
        <v>1.9099770329236805</v>
      </c>
      <c r="D930" s="52">
        <f ca="1">S0*EXP((μ-0.5*σ*σ)*T+σ*SQRT(T)*$C930)</f>
        <v>1.0916274242319819</v>
      </c>
      <c r="E930" s="52">
        <f t="shared" ca="1" si="43"/>
        <v>0</v>
      </c>
      <c r="F930" s="17">
        <f t="shared" ca="1" si="44"/>
        <v>0</v>
      </c>
      <c r="H930" s="17">
        <v>921</v>
      </c>
      <c r="I930" s="45">
        <v>0.67127543037421089</v>
      </c>
      <c r="J930" s="45">
        <v>1.9441532081413387E-2</v>
      </c>
      <c r="K930" s="45">
        <v>0.247</v>
      </c>
      <c r="N930" s="54"/>
    </row>
    <row r="931" spans="2:14" x14ac:dyDescent="0.2">
      <c r="B931">
        <v>922</v>
      </c>
      <c r="C931" s="52">
        <f t="shared" ca="1" si="45"/>
        <v>1.3425050638636025</v>
      </c>
      <c r="D931" s="52">
        <f ca="1">S0*EXP((μ-0.5*σ*σ)*T+σ*SQRT(T)*$C931)</f>
        <v>0.93314183440558895</v>
      </c>
      <c r="E931" s="52">
        <f t="shared" ca="1" si="43"/>
        <v>0</v>
      </c>
      <c r="F931" s="17">
        <f t="shared" ca="1" si="44"/>
        <v>0</v>
      </c>
      <c r="H931" s="17">
        <v>922</v>
      </c>
      <c r="I931" s="45">
        <v>0.67119506302806675</v>
      </c>
      <c r="J931" s="45">
        <v>1.9251841010965113E-2</v>
      </c>
      <c r="K931" s="45">
        <v>0.24640000000000001</v>
      </c>
      <c r="N931" s="54"/>
    </row>
    <row r="932" spans="2:14" x14ac:dyDescent="0.2">
      <c r="B932">
        <v>923</v>
      </c>
      <c r="C932" s="52">
        <f t="shared" ca="1" si="45"/>
        <v>-1.7367045651282544</v>
      </c>
      <c r="D932" s="52">
        <f ca="1">S0*EXP((μ-0.5*σ*σ)*T+σ*SQRT(T)*$C932)</f>
        <v>0.39836296148020794</v>
      </c>
      <c r="E932" s="52">
        <f t="shared" ca="1" si="43"/>
        <v>0.13603703851979204</v>
      </c>
      <c r="F932" s="17">
        <f t="shared" ca="1" si="44"/>
        <v>1</v>
      </c>
      <c r="H932" s="17">
        <v>923</v>
      </c>
      <c r="I932" s="45">
        <v>0.67142190315965022</v>
      </c>
      <c r="J932" s="45">
        <v>1.9301735053482837E-2</v>
      </c>
      <c r="K932" s="45">
        <v>0.24779999999999999</v>
      </c>
      <c r="N932" s="54"/>
    </row>
    <row r="933" spans="2:14" x14ac:dyDescent="0.2">
      <c r="B933">
        <v>924</v>
      </c>
      <c r="C933" s="52">
        <f t="shared" ca="1" si="45"/>
        <v>1.3983612590587409</v>
      </c>
      <c r="D933" s="52">
        <f ca="1">S0*EXP((μ-0.5*σ*σ)*T+σ*SQRT(T)*$C933)</f>
        <v>0.94766179040589527</v>
      </c>
      <c r="E933" s="52">
        <f t="shared" ca="1" si="43"/>
        <v>0</v>
      </c>
      <c r="F933" s="17">
        <f t="shared" ca="1" si="44"/>
        <v>0</v>
      </c>
      <c r="H933" s="17">
        <v>924</v>
      </c>
      <c r="I933" s="45">
        <v>0.67033587193600175</v>
      </c>
      <c r="J933" s="45">
        <v>1.834843004710994E-2</v>
      </c>
      <c r="K933" s="45">
        <v>0.2412</v>
      </c>
      <c r="N933" s="54"/>
    </row>
    <row r="934" spans="2:14" x14ac:dyDescent="0.2">
      <c r="B934">
        <v>925</v>
      </c>
      <c r="C934" s="52">
        <f t="shared" ca="1" si="45"/>
        <v>8.8349176674670127E-2</v>
      </c>
      <c r="D934" s="52">
        <f ca="1">S0*EXP((μ-0.5*σ*σ)*T+σ*SQRT(T)*$C934)</f>
        <v>0.65975446655205661</v>
      </c>
      <c r="E934" s="52">
        <f t="shared" ca="1" si="43"/>
        <v>0</v>
      </c>
      <c r="F934" s="17">
        <f t="shared" ca="1" si="44"/>
        <v>0</v>
      </c>
      <c r="H934" s="17">
        <v>925</v>
      </c>
      <c r="I934" s="45">
        <v>0.67045480054997009</v>
      </c>
      <c r="J934" s="45">
        <v>1.8628222809370418E-2</v>
      </c>
      <c r="K934" s="45">
        <v>0.24440000000000001</v>
      </c>
      <c r="N934" s="54"/>
    </row>
    <row r="935" spans="2:14" x14ac:dyDescent="0.2">
      <c r="B935">
        <v>926</v>
      </c>
      <c r="C935" s="52">
        <f t="shared" ca="1" si="45"/>
        <v>-0.57644972084421764</v>
      </c>
      <c r="D935" s="52">
        <f ca="1">S0*EXP((μ-0.5*σ*σ)*T+σ*SQRT(T)*$C935)</f>
        <v>0.54899850344777235</v>
      </c>
      <c r="E935" s="52">
        <f t="shared" ca="1" si="43"/>
        <v>0</v>
      </c>
      <c r="F935" s="17">
        <f t="shared" ca="1" si="44"/>
        <v>0</v>
      </c>
      <c r="H935" s="17">
        <v>926</v>
      </c>
      <c r="I935" s="45">
        <v>0.67088592853596252</v>
      </c>
      <c r="J935" s="45">
        <v>1.9221927568992211E-2</v>
      </c>
      <c r="K935" s="45">
        <v>0.25140000000000001</v>
      </c>
      <c r="N935" s="54"/>
    </row>
    <row r="936" spans="2:14" x14ac:dyDescent="0.2">
      <c r="B936">
        <v>927</v>
      </c>
      <c r="C936" s="52">
        <f t="shared" ca="1" si="45"/>
        <v>0.26592423778085855</v>
      </c>
      <c r="D936" s="52">
        <f ca="1">S0*EXP((μ-0.5*σ*σ)*T+σ*SQRT(T)*$C936)</f>
        <v>0.69294821170723664</v>
      </c>
      <c r="E936" s="52">
        <f t="shared" ca="1" si="43"/>
        <v>0</v>
      </c>
      <c r="F936" s="17">
        <f t="shared" ca="1" si="44"/>
        <v>0</v>
      </c>
      <c r="H936" s="17">
        <v>927</v>
      </c>
      <c r="I936" s="45">
        <v>0.67064289147226241</v>
      </c>
      <c r="J936" s="45">
        <v>1.8650003275046543E-2</v>
      </c>
      <c r="K936" s="45">
        <v>0.24379999999999999</v>
      </c>
      <c r="N936" s="54"/>
    </row>
    <row r="937" spans="2:14" x14ac:dyDescent="0.2">
      <c r="B937">
        <v>928</v>
      </c>
      <c r="C937" s="52">
        <f t="shared" ca="1" si="45"/>
        <v>0.2070703340612671</v>
      </c>
      <c r="D937" s="52">
        <f ca="1">S0*EXP((μ-0.5*σ*σ)*T+σ*SQRT(T)*$C937)</f>
        <v>0.68176575650537141</v>
      </c>
      <c r="E937" s="52">
        <f t="shared" ca="1" si="43"/>
        <v>0</v>
      </c>
      <c r="F937" s="17">
        <f t="shared" ca="1" si="44"/>
        <v>0</v>
      </c>
      <c r="H937" s="17">
        <v>928</v>
      </c>
      <c r="I937" s="45">
        <v>0.67106455746877047</v>
      </c>
      <c r="J937" s="45">
        <v>1.8898525927061958E-2</v>
      </c>
      <c r="K937" s="45">
        <v>0.24179999999999999</v>
      </c>
      <c r="N937" s="54"/>
    </row>
    <row r="938" spans="2:14" x14ac:dyDescent="0.2">
      <c r="B938">
        <v>929</v>
      </c>
      <c r="C938" s="52">
        <f t="shared" ca="1" si="45"/>
        <v>-8.6965784589759648E-2</v>
      </c>
      <c r="D938" s="52">
        <f ca="1">S0*EXP((μ-0.5*σ*σ)*T+σ*SQRT(T)*$C938)</f>
        <v>0.62854334416712621</v>
      </c>
      <c r="E938" s="52">
        <f t="shared" ca="1" si="43"/>
        <v>0</v>
      </c>
      <c r="F938" s="17">
        <f t="shared" ca="1" si="44"/>
        <v>0</v>
      </c>
      <c r="H938" s="17">
        <v>929</v>
      </c>
      <c r="I938" s="45">
        <v>0.67187243378303729</v>
      </c>
      <c r="J938" s="45">
        <v>1.9651275267686792E-2</v>
      </c>
      <c r="K938" s="45">
        <v>0.25679999999999997</v>
      </c>
      <c r="N938" s="54"/>
    </row>
    <row r="939" spans="2:14" x14ac:dyDescent="0.2">
      <c r="B939">
        <v>930</v>
      </c>
      <c r="C939" s="52">
        <f t="shared" ca="1" si="45"/>
        <v>-0.83344858684363177</v>
      </c>
      <c r="D939" s="52">
        <f ca="1">S0*EXP((μ-0.5*σ*σ)*T+σ*SQRT(T)*$C939)</f>
        <v>0.51134927691396881</v>
      </c>
      <c r="E939" s="52">
        <f t="shared" ca="1" si="43"/>
        <v>2.3050723086031177E-2</v>
      </c>
      <c r="F939" s="17">
        <f t="shared" ca="1" si="44"/>
        <v>1</v>
      </c>
      <c r="H939" s="17">
        <v>930</v>
      </c>
      <c r="I939" s="45">
        <v>0.67126944636166708</v>
      </c>
      <c r="J939" s="45">
        <v>1.908793008999006E-2</v>
      </c>
      <c r="K939" s="45">
        <v>0.24840000000000001</v>
      </c>
      <c r="N939" s="54"/>
    </row>
    <row r="940" spans="2:14" x14ac:dyDescent="0.2">
      <c r="B940">
        <v>931</v>
      </c>
      <c r="C940" s="52">
        <f t="shared" ca="1" si="45"/>
        <v>0.84827488102033155</v>
      </c>
      <c r="D940" s="52">
        <f ca="1">S0*EXP((μ-0.5*σ*σ)*T+σ*SQRT(T)*$C940)</f>
        <v>0.81398009922380798</v>
      </c>
      <c r="E940" s="52">
        <f t="shared" ca="1" si="43"/>
        <v>0</v>
      </c>
      <c r="F940" s="17">
        <f t="shared" ca="1" si="44"/>
        <v>0</v>
      </c>
      <c r="H940" s="17">
        <v>931</v>
      </c>
      <c r="I940" s="45">
        <v>0.67027797580755211</v>
      </c>
      <c r="J940" s="45">
        <v>1.8454945695370942E-2</v>
      </c>
      <c r="K940" s="45">
        <v>0.24879999999999999</v>
      </c>
      <c r="N940" s="54"/>
    </row>
    <row r="941" spans="2:14" x14ac:dyDescent="0.2">
      <c r="B941">
        <v>932</v>
      </c>
      <c r="C941" s="52">
        <f t="shared" ca="1" si="45"/>
        <v>0.23235978250776898</v>
      </c>
      <c r="D941" s="52">
        <f ca="1">S0*EXP((μ-0.5*σ*σ)*T+σ*SQRT(T)*$C941)</f>
        <v>0.68654856053256819</v>
      </c>
      <c r="E941" s="52">
        <f t="shared" ca="1" si="43"/>
        <v>0</v>
      </c>
      <c r="F941" s="17">
        <f t="shared" ca="1" si="44"/>
        <v>0</v>
      </c>
      <c r="H941" s="17">
        <v>932</v>
      </c>
      <c r="I941" s="45">
        <v>0.66908603198628591</v>
      </c>
      <c r="J941" s="45">
        <v>1.7623097049598711E-2</v>
      </c>
      <c r="K941" s="45">
        <v>0.2374</v>
      </c>
      <c r="N941" s="54"/>
    </row>
    <row r="942" spans="2:14" x14ac:dyDescent="0.2">
      <c r="B942">
        <v>933</v>
      </c>
      <c r="C942" s="52">
        <f t="shared" ca="1" si="45"/>
        <v>-0.20988567811949724</v>
      </c>
      <c r="D942" s="52">
        <f ca="1">S0*EXP((μ-0.5*σ*σ)*T+σ*SQRT(T)*$C942)</f>
        <v>0.6075448107539374</v>
      </c>
      <c r="E942" s="52">
        <f t="shared" ca="1" si="43"/>
        <v>0</v>
      </c>
      <c r="F942" s="17">
        <f t="shared" ca="1" si="44"/>
        <v>0</v>
      </c>
      <c r="H942" s="17">
        <v>933</v>
      </c>
      <c r="I942" s="45">
        <v>0.67112630812960605</v>
      </c>
      <c r="J942" s="45">
        <v>1.9088476544328593E-2</v>
      </c>
      <c r="K942" s="45">
        <v>0.24859999999999999</v>
      </c>
      <c r="N942" s="54"/>
    </row>
    <row r="943" spans="2:14" x14ac:dyDescent="0.2">
      <c r="B943">
        <v>934</v>
      </c>
      <c r="C943" s="52">
        <f t="shared" ca="1" si="45"/>
        <v>-1.126670624638259</v>
      </c>
      <c r="D943" s="52">
        <f ca="1">S0*EXP((μ-0.5*σ*σ)*T+σ*SQRT(T)*$C943)</f>
        <v>0.47153662109647776</v>
      </c>
      <c r="E943" s="52">
        <f t="shared" ca="1" si="43"/>
        <v>6.2863378903522227E-2</v>
      </c>
      <c r="F943" s="17">
        <f t="shared" ca="1" si="44"/>
        <v>1</v>
      </c>
      <c r="H943" s="17">
        <v>934</v>
      </c>
      <c r="I943" s="45">
        <v>0.67057882408147329</v>
      </c>
      <c r="J943" s="45">
        <v>1.8587636367029047E-2</v>
      </c>
      <c r="K943" s="45">
        <v>0.24579999999999999</v>
      </c>
      <c r="N943" s="54"/>
    </row>
    <row r="944" spans="2:14" x14ac:dyDescent="0.2">
      <c r="B944">
        <v>935</v>
      </c>
      <c r="C944" s="52">
        <f t="shared" ca="1" si="45"/>
        <v>0.92864793193272632</v>
      </c>
      <c r="D944" s="52">
        <f ca="1">S0*EXP((μ-0.5*σ*σ)*T+σ*SQRT(T)*$C944)</f>
        <v>0.83226728231837399</v>
      </c>
      <c r="E944" s="52">
        <f t="shared" ca="1" si="43"/>
        <v>0</v>
      </c>
      <c r="F944" s="17">
        <f t="shared" ca="1" si="44"/>
        <v>0</v>
      </c>
      <c r="H944" s="17">
        <v>935</v>
      </c>
      <c r="I944" s="45">
        <v>0.67087643128536611</v>
      </c>
      <c r="J944" s="45">
        <v>1.9061406922349065E-2</v>
      </c>
      <c r="K944" s="45">
        <v>0.2482</v>
      </c>
      <c r="N944" s="54"/>
    </row>
    <row r="945" spans="2:14" x14ac:dyDescent="0.2">
      <c r="B945">
        <v>936</v>
      </c>
      <c r="C945" s="52">
        <f t="shared" ca="1" si="45"/>
        <v>0.45377084309178289</v>
      </c>
      <c r="D945" s="52">
        <f ca="1">S0*EXP((μ-0.5*σ*σ)*T+σ*SQRT(T)*$C945)</f>
        <v>0.7298814874334848</v>
      </c>
      <c r="E945" s="52">
        <f t="shared" ca="1" si="43"/>
        <v>0</v>
      </c>
      <c r="F945" s="17">
        <f t="shared" ca="1" si="44"/>
        <v>0</v>
      </c>
      <c r="H945" s="17">
        <v>936</v>
      </c>
      <c r="I945" s="45">
        <v>0.6701067381154685</v>
      </c>
      <c r="J945" s="45">
        <v>1.821074393661843E-2</v>
      </c>
      <c r="K945" s="45">
        <v>0.2424</v>
      </c>
      <c r="N945" s="54"/>
    </row>
    <row r="946" spans="2:14" x14ac:dyDescent="0.2">
      <c r="B946">
        <v>937</v>
      </c>
      <c r="C946" s="52">
        <f t="shared" ca="1" si="45"/>
        <v>-0.57027044098171797</v>
      </c>
      <c r="D946" s="52">
        <f ca="1">S0*EXP((μ-0.5*σ*σ)*T+σ*SQRT(T)*$C946)</f>
        <v>0.54993707874838371</v>
      </c>
      <c r="E946" s="52">
        <f t="shared" ca="1" si="43"/>
        <v>0</v>
      </c>
      <c r="F946" s="17">
        <f t="shared" ca="1" si="44"/>
        <v>0</v>
      </c>
      <c r="H946" s="17">
        <v>937</v>
      </c>
      <c r="I946" s="45">
        <v>0.67009715324406161</v>
      </c>
      <c r="J946" s="45">
        <v>1.8531666140919487E-2</v>
      </c>
      <c r="K946" s="45">
        <v>0.24260000000000001</v>
      </c>
      <c r="N946" s="54"/>
    </row>
    <row r="947" spans="2:14" x14ac:dyDescent="0.2">
      <c r="B947">
        <v>938</v>
      </c>
      <c r="C947" s="52">
        <f t="shared" ca="1" si="45"/>
        <v>1.4466424265318178</v>
      </c>
      <c r="D947" s="52">
        <f ca="1">S0*EXP((μ-0.5*σ*σ)*T+σ*SQRT(T)*$C947)</f>
        <v>0.96039452336687214</v>
      </c>
      <c r="E947" s="52">
        <f t="shared" ca="1" si="43"/>
        <v>0</v>
      </c>
      <c r="F947" s="17">
        <f t="shared" ca="1" si="44"/>
        <v>0</v>
      </c>
      <c r="H947" s="17">
        <v>938</v>
      </c>
      <c r="I947" s="45">
        <v>0.67137160358081993</v>
      </c>
      <c r="J947" s="45">
        <v>1.9372088483217604E-2</v>
      </c>
      <c r="K947" s="45">
        <v>0.25</v>
      </c>
      <c r="N947" s="54"/>
    </row>
    <row r="948" spans="2:14" x14ac:dyDescent="0.2">
      <c r="B948">
        <v>939</v>
      </c>
      <c r="C948" s="52">
        <f t="shared" ca="1" si="45"/>
        <v>-1.5782813252618393</v>
      </c>
      <c r="D948" s="52">
        <f ca="1">S0*EXP((μ-0.5*σ*σ)*T+σ*SQRT(T)*$C948)</f>
        <v>0.41619624321730392</v>
      </c>
      <c r="E948" s="52">
        <f t="shared" ca="1" si="43"/>
        <v>0.11820375678269607</v>
      </c>
      <c r="F948" s="17">
        <f t="shared" ca="1" si="44"/>
        <v>1</v>
      </c>
      <c r="H948" s="17">
        <v>939</v>
      </c>
      <c r="I948" s="45">
        <v>0.67133765003301682</v>
      </c>
      <c r="J948" s="45">
        <v>1.9285200479500837E-2</v>
      </c>
      <c r="K948" s="45">
        <v>0.25019999999999998</v>
      </c>
      <c r="N948" s="54"/>
    </row>
    <row r="949" spans="2:14" x14ac:dyDescent="0.2">
      <c r="B949">
        <v>940</v>
      </c>
      <c r="C949" s="52">
        <f t="shared" ca="1" si="45"/>
        <v>-0.90168354128482175</v>
      </c>
      <c r="D949" s="52">
        <f ca="1">S0*EXP((μ-0.5*σ*σ)*T+σ*SQRT(T)*$C949)</f>
        <v>0.50179441967143723</v>
      </c>
      <c r="E949" s="52">
        <f t="shared" ca="1" si="43"/>
        <v>3.2605580328562755E-2</v>
      </c>
      <c r="F949" s="17">
        <f t="shared" ca="1" si="44"/>
        <v>1</v>
      </c>
      <c r="H949" s="17">
        <v>940</v>
      </c>
      <c r="I949" s="45">
        <v>0.6722051522277237</v>
      </c>
      <c r="J949" s="45">
        <v>1.9784959473684038E-2</v>
      </c>
      <c r="K949" s="45">
        <v>0.254</v>
      </c>
      <c r="N949" s="54"/>
    </row>
    <row r="950" spans="2:14" x14ac:dyDescent="0.2">
      <c r="B950">
        <v>941</v>
      </c>
      <c r="C950" s="52">
        <f t="shared" ca="1" si="45"/>
        <v>0.61330715621625631</v>
      </c>
      <c r="D950" s="52">
        <f ca="1">S0*EXP((μ-0.5*σ*σ)*T+σ*SQRT(T)*$C950)</f>
        <v>0.76279033172939692</v>
      </c>
      <c r="E950" s="52">
        <f t="shared" ca="1" si="43"/>
        <v>0</v>
      </c>
      <c r="F950" s="17">
        <f t="shared" ca="1" si="44"/>
        <v>0</v>
      </c>
      <c r="H950" s="17">
        <v>941</v>
      </c>
      <c r="I950" s="45">
        <v>0.66876907388542195</v>
      </c>
      <c r="J950" s="45">
        <v>1.735001249729096E-2</v>
      </c>
      <c r="K950" s="45">
        <v>0.2424</v>
      </c>
      <c r="N950" s="54"/>
    </row>
    <row r="951" spans="2:14" x14ac:dyDescent="0.2">
      <c r="B951">
        <v>942</v>
      </c>
      <c r="C951" s="52">
        <f t="shared" ca="1" si="45"/>
        <v>-7.0492850512880775E-2</v>
      </c>
      <c r="D951" s="52">
        <f ca="1">S0*EXP((μ-0.5*σ*σ)*T+σ*SQRT(T)*$C951)</f>
        <v>0.63141204000247853</v>
      </c>
      <c r="E951" s="52">
        <f t="shared" ca="1" si="43"/>
        <v>0</v>
      </c>
      <c r="F951" s="17">
        <f t="shared" ca="1" si="44"/>
        <v>0</v>
      </c>
      <c r="H951" s="17">
        <v>942</v>
      </c>
      <c r="I951" s="45">
        <v>0.67057044702953617</v>
      </c>
      <c r="J951" s="45">
        <v>1.8499651617130134E-2</v>
      </c>
      <c r="K951" s="45">
        <v>0.24160000000000001</v>
      </c>
      <c r="N951" s="54"/>
    </row>
    <row r="952" spans="2:14" x14ac:dyDescent="0.2">
      <c r="B952">
        <v>943</v>
      </c>
      <c r="C952" s="52">
        <f t="shared" ca="1" si="45"/>
        <v>0.52885413402749459</v>
      </c>
      <c r="D952" s="52">
        <f ca="1">S0*EXP((μ-0.5*σ*σ)*T+σ*SQRT(T)*$C952)</f>
        <v>0.74518882137725617</v>
      </c>
      <c r="E952" s="52">
        <f t="shared" ca="1" si="43"/>
        <v>0</v>
      </c>
      <c r="F952" s="17">
        <f t="shared" ca="1" si="44"/>
        <v>0</v>
      </c>
      <c r="H952" s="17">
        <v>943</v>
      </c>
      <c r="I952" s="45">
        <v>0.67009885291759241</v>
      </c>
      <c r="J952" s="45">
        <v>1.8479263357989231E-2</v>
      </c>
      <c r="K952" s="45">
        <v>0.24579999999999999</v>
      </c>
      <c r="N952" s="54"/>
    </row>
    <row r="953" spans="2:14" x14ac:dyDescent="0.2">
      <c r="B953">
        <v>944</v>
      </c>
      <c r="C953" s="52">
        <f t="shared" ca="1" si="45"/>
        <v>1.4554215416781988</v>
      </c>
      <c r="D953" s="52">
        <f ca="1">S0*EXP((μ-0.5*σ*σ)*T+σ*SQRT(T)*$C953)</f>
        <v>0.96272807077600331</v>
      </c>
      <c r="E953" s="52">
        <f t="shared" ca="1" si="43"/>
        <v>0</v>
      </c>
      <c r="F953" s="17">
        <f t="shared" ca="1" si="44"/>
        <v>0</v>
      </c>
      <c r="H953" s="17">
        <v>944</v>
      </c>
      <c r="I953" s="45">
        <v>0.6718314135642981</v>
      </c>
      <c r="J953" s="45">
        <v>1.9674974345142735E-2</v>
      </c>
      <c r="K953" s="45">
        <v>0.25259999999999999</v>
      </c>
      <c r="N953" s="54"/>
    </row>
    <row r="954" spans="2:14" x14ac:dyDescent="0.2">
      <c r="B954">
        <v>945</v>
      </c>
      <c r="C954" s="52">
        <f t="shared" ca="1" si="45"/>
        <v>0.15270992212345236</v>
      </c>
      <c r="D954" s="52">
        <f ca="1">S0*EXP((μ-0.5*σ*σ)*T+σ*SQRT(T)*$C954)</f>
        <v>0.67159746325594227</v>
      </c>
      <c r="E954" s="52">
        <f t="shared" ca="1" si="43"/>
        <v>0</v>
      </c>
      <c r="F954" s="17">
        <f t="shared" ca="1" si="44"/>
        <v>0</v>
      </c>
      <c r="H954" s="17">
        <v>945</v>
      </c>
      <c r="I954" s="45">
        <v>0.67037796940909944</v>
      </c>
      <c r="J954" s="45">
        <v>1.850821696631387E-2</v>
      </c>
      <c r="K954" s="45">
        <v>0.2472</v>
      </c>
      <c r="N954" s="54"/>
    </row>
    <row r="955" spans="2:14" x14ac:dyDescent="0.2">
      <c r="B955">
        <v>946</v>
      </c>
      <c r="C955" s="52">
        <f t="shared" ca="1" si="45"/>
        <v>1.2757607152777499</v>
      </c>
      <c r="D955" s="52">
        <f ca="1">S0*EXP((μ-0.5*σ*σ)*T+σ*SQRT(T)*$C955)</f>
        <v>0.91608293504022498</v>
      </c>
      <c r="E955" s="52">
        <f t="shared" ca="1" si="43"/>
        <v>0</v>
      </c>
      <c r="F955" s="17">
        <f t="shared" ca="1" si="44"/>
        <v>0</v>
      </c>
      <c r="H955" s="17">
        <v>946</v>
      </c>
      <c r="I955" s="45">
        <v>0.67022041506697183</v>
      </c>
      <c r="J955" s="45">
        <v>1.828101043942881E-2</v>
      </c>
      <c r="K955" s="45">
        <v>0.24179999999999999</v>
      </c>
      <c r="N955" s="54"/>
    </row>
    <row r="956" spans="2:14" x14ac:dyDescent="0.2">
      <c r="B956">
        <v>947</v>
      </c>
      <c r="C956" s="52">
        <f t="shared" ca="1" si="45"/>
        <v>-0.60344947650300018</v>
      </c>
      <c r="D956" s="52">
        <f ca="1">S0*EXP((μ-0.5*σ*σ)*T+σ*SQRT(T)*$C956)</f>
        <v>0.54491624569962194</v>
      </c>
      <c r="E956" s="52">
        <f t="shared" ca="1" si="43"/>
        <v>0</v>
      </c>
      <c r="F956" s="17">
        <f t="shared" ca="1" si="44"/>
        <v>0</v>
      </c>
      <c r="H956" s="17">
        <v>947</v>
      </c>
      <c r="I956" s="45">
        <v>0.671497632278933</v>
      </c>
      <c r="J956" s="45">
        <v>1.9682762042236158E-2</v>
      </c>
      <c r="K956" s="45">
        <v>0.24759999999999999</v>
      </c>
      <c r="N956" s="54"/>
    </row>
    <row r="957" spans="2:14" x14ac:dyDescent="0.2">
      <c r="B957">
        <v>948</v>
      </c>
      <c r="C957" s="52">
        <f t="shared" ca="1" si="45"/>
        <v>0.26482085036276787</v>
      </c>
      <c r="D957" s="52">
        <f ca="1">S0*EXP((μ-0.5*σ*σ)*T+σ*SQRT(T)*$C957)</f>
        <v>0.69273688630868047</v>
      </c>
      <c r="E957" s="52">
        <f t="shared" ca="1" si="43"/>
        <v>0</v>
      </c>
      <c r="F957" s="17">
        <f t="shared" ca="1" si="44"/>
        <v>0</v>
      </c>
      <c r="H957" s="17">
        <v>948</v>
      </c>
      <c r="I957" s="45">
        <v>0.67205976799689426</v>
      </c>
      <c r="J957" s="45">
        <v>1.9537232834267507E-2</v>
      </c>
      <c r="K957" s="45">
        <v>0.24779999999999999</v>
      </c>
      <c r="N957" s="54"/>
    </row>
    <row r="958" spans="2:14" x14ac:dyDescent="0.2">
      <c r="B958">
        <v>949</v>
      </c>
      <c r="C958" s="52">
        <f t="shared" ca="1" si="45"/>
        <v>-0.48156656287627841</v>
      </c>
      <c r="D958" s="52">
        <f ca="1">S0*EXP((μ-0.5*σ*σ)*T+σ*SQRT(T)*$C958)</f>
        <v>0.56358857330599643</v>
      </c>
      <c r="E958" s="52">
        <f t="shared" ca="1" si="43"/>
        <v>0</v>
      </c>
      <c r="F958" s="17">
        <f t="shared" ca="1" si="44"/>
        <v>0</v>
      </c>
      <c r="H958" s="17">
        <v>949</v>
      </c>
      <c r="I958" s="45">
        <v>0.67015852165240219</v>
      </c>
      <c r="J958" s="45">
        <v>1.87145395717432E-2</v>
      </c>
      <c r="K958" s="45">
        <v>0.24399999999999999</v>
      </c>
      <c r="N958" s="54"/>
    </row>
    <row r="959" spans="2:14" x14ac:dyDescent="0.2">
      <c r="B959">
        <v>950</v>
      </c>
      <c r="C959" s="52">
        <f t="shared" ca="1" si="45"/>
        <v>-1.1201546213665623</v>
      </c>
      <c r="D959" s="52">
        <f ca="1">S0*EXP((μ-0.5*σ*σ)*T+σ*SQRT(T)*$C959)</f>
        <v>0.47238673483474508</v>
      </c>
      <c r="E959" s="52">
        <f t="shared" ca="1" si="43"/>
        <v>6.2013265165254905E-2</v>
      </c>
      <c r="F959" s="17">
        <f t="shared" ca="1" si="44"/>
        <v>1</v>
      </c>
      <c r="H959" s="17">
        <v>950</v>
      </c>
      <c r="I959" s="45">
        <v>0.67132144352643475</v>
      </c>
      <c r="J959" s="45">
        <v>1.9212793665952868E-2</v>
      </c>
      <c r="K959" s="45">
        <v>0.24479999999999999</v>
      </c>
      <c r="N959" s="54"/>
    </row>
    <row r="960" spans="2:14" x14ac:dyDescent="0.2">
      <c r="B960">
        <v>951</v>
      </c>
      <c r="C960" s="52">
        <f t="shared" ca="1" si="45"/>
        <v>0.71652208432782061</v>
      </c>
      <c r="D960" s="52">
        <f ca="1">S0*EXP((μ-0.5*σ*σ)*T+σ*SQRT(T)*$C960)</f>
        <v>0.78486769399097189</v>
      </c>
      <c r="E960" s="52">
        <f t="shared" ca="1" si="43"/>
        <v>0</v>
      </c>
      <c r="F960" s="17">
        <f t="shared" ca="1" si="44"/>
        <v>0</v>
      </c>
      <c r="H960" s="17">
        <v>951</v>
      </c>
      <c r="I960" s="45">
        <v>0.67126567689788963</v>
      </c>
      <c r="J960" s="45">
        <v>1.9150094298789992E-2</v>
      </c>
      <c r="K960" s="45">
        <v>0.2432</v>
      </c>
      <c r="N960" s="54"/>
    </row>
    <row r="961" spans="2:14" x14ac:dyDescent="0.2">
      <c r="B961">
        <v>952</v>
      </c>
      <c r="C961" s="52">
        <f t="shared" ca="1" si="45"/>
        <v>-0.50673691491488704</v>
      </c>
      <c r="D961" s="52">
        <f ca="1">S0*EXP((μ-0.5*σ*σ)*T+σ*SQRT(T)*$C961)</f>
        <v>0.55968078906358598</v>
      </c>
      <c r="E961" s="52">
        <f t="shared" ca="1" si="43"/>
        <v>0</v>
      </c>
      <c r="F961" s="17">
        <f t="shared" ca="1" si="44"/>
        <v>0</v>
      </c>
      <c r="H961" s="17">
        <v>952</v>
      </c>
      <c r="I961" s="45">
        <v>0.67089062148351897</v>
      </c>
      <c r="J961" s="45">
        <v>1.9198176636370714E-2</v>
      </c>
      <c r="K961" s="45">
        <v>0.249</v>
      </c>
      <c r="N961" s="54"/>
    </row>
    <row r="962" spans="2:14" x14ac:dyDescent="0.2">
      <c r="B962">
        <v>953</v>
      </c>
      <c r="C962" s="52">
        <f t="shared" ca="1" si="45"/>
        <v>0.7026733417737725</v>
      </c>
      <c r="D962" s="52">
        <f ca="1">S0*EXP((μ-0.5*σ*σ)*T+σ*SQRT(T)*$C962)</f>
        <v>0.78186877392563747</v>
      </c>
      <c r="E962" s="52">
        <f t="shared" ca="1" si="43"/>
        <v>0</v>
      </c>
      <c r="F962" s="17">
        <f t="shared" ca="1" si="44"/>
        <v>0</v>
      </c>
      <c r="H962" s="17">
        <v>953</v>
      </c>
      <c r="I962" s="45">
        <v>0.67001754493374821</v>
      </c>
      <c r="J962" s="45">
        <v>1.8166443045314021E-2</v>
      </c>
      <c r="K962" s="45">
        <v>0.24160000000000001</v>
      </c>
      <c r="N962" s="54"/>
    </row>
    <row r="963" spans="2:14" x14ac:dyDescent="0.2">
      <c r="B963">
        <v>954</v>
      </c>
      <c r="C963" s="52">
        <f t="shared" ca="1" si="45"/>
        <v>0.34467885534789311</v>
      </c>
      <c r="D963" s="52">
        <f ca="1">S0*EXP((μ-0.5*σ*σ)*T+σ*SQRT(T)*$C963)</f>
        <v>0.70819933640491806</v>
      </c>
      <c r="E963" s="52">
        <f t="shared" ca="1" si="43"/>
        <v>0</v>
      </c>
      <c r="F963" s="17">
        <f t="shared" ca="1" si="44"/>
        <v>0</v>
      </c>
      <c r="H963" s="17">
        <v>954</v>
      </c>
      <c r="I963" s="45">
        <v>0.67149734829700458</v>
      </c>
      <c r="J963" s="45">
        <v>1.9685403180645662E-2</v>
      </c>
      <c r="K963" s="45">
        <v>0.25480000000000003</v>
      </c>
      <c r="N963" s="54"/>
    </row>
    <row r="964" spans="2:14" x14ac:dyDescent="0.2">
      <c r="B964">
        <v>955</v>
      </c>
      <c r="C964" s="52">
        <f t="shared" ca="1" si="45"/>
        <v>0.7022635633533556</v>
      </c>
      <c r="D964" s="52">
        <f ca="1">S0*EXP((μ-0.5*σ*σ)*T+σ*SQRT(T)*$C964)</f>
        <v>0.78178021191307545</v>
      </c>
      <c r="E964" s="52">
        <f t="shared" ca="1" si="43"/>
        <v>0</v>
      </c>
      <c r="F964" s="17">
        <f t="shared" ca="1" si="44"/>
        <v>0</v>
      </c>
      <c r="H964" s="17">
        <v>955</v>
      </c>
      <c r="I964" s="45">
        <v>0.6695044997781715</v>
      </c>
      <c r="J964" s="45">
        <v>1.8076283460347075E-2</v>
      </c>
      <c r="K964" s="45">
        <v>0.2492</v>
      </c>
      <c r="N964" s="54"/>
    </row>
    <row r="965" spans="2:14" x14ac:dyDescent="0.2">
      <c r="B965">
        <v>956</v>
      </c>
      <c r="C965" s="52">
        <f t="shared" ca="1" si="45"/>
        <v>0.42568414379851482</v>
      </c>
      <c r="D965" s="52">
        <f ca="1">S0*EXP((μ-0.5*σ*σ)*T+σ*SQRT(T)*$C965)</f>
        <v>0.72423657358999027</v>
      </c>
      <c r="E965" s="52">
        <f t="shared" ca="1" si="43"/>
        <v>0</v>
      </c>
      <c r="F965" s="17">
        <f t="shared" ca="1" si="44"/>
        <v>0</v>
      </c>
      <c r="H965" s="17">
        <v>956</v>
      </c>
      <c r="I965" s="45">
        <v>0.67047153775500057</v>
      </c>
      <c r="J965" s="45">
        <v>1.8741258158996264E-2</v>
      </c>
      <c r="K965" s="45">
        <v>0.23880000000000001</v>
      </c>
      <c r="N965" s="54"/>
    </row>
    <row r="966" spans="2:14" x14ac:dyDescent="0.2">
      <c r="B966">
        <v>957</v>
      </c>
      <c r="C966" s="52">
        <f t="shared" ca="1" si="45"/>
        <v>1.2055933974622219</v>
      </c>
      <c r="D966" s="52">
        <f ca="1">S0*EXP((μ-0.5*σ*σ)*T+σ*SQRT(T)*$C966)</f>
        <v>0.89848532473470477</v>
      </c>
      <c r="E966" s="52">
        <f t="shared" ca="1" si="43"/>
        <v>0</v>
      </c>
      <c r="F966" s="17">
        <f t="shared" ca="1" si="44"/>
        <v>0</v>
      </c>
      <c r="H966" s="17">
        <v>957</v>
      </c>
      <c r="I966" s="45">
        <v>0.6700828049017723</v>
      </c>
      <c r="J966" s="45">
        <v>1.8360583669303699E-2</v>
      </c>
      <c r="K966" s="45">
        <v>0.2414</v>
      </c>
      <c r="N966" s="54"/>
    </row>
    <row r="967" spans="2:14" x14ac:dyDescent="0.2">
      <c r="B967">
        <v>958</v>
      </c>
      <c r="C967" s="52">
        <f t="shared" ca="1" si="45"/>
        <v>0.98302391978941284</v>
      </c>
      <c r="D967" s="52">
        <f ca="1">S0*EXP((μ-0.5*σ*σ)*T+σ*SQRT(T)*$C967)</f>
        <v>0.84487182797920368</v>
      </c>
      <c r="E967" s="52">
        <f t="shared" ca="1" si="43"/>
        <v>0</v>
      </c>
      <c r="F967" s="17">
        <f t="shared" ca="1" si="44"/>
        <v>0</v>
      </c>
      <c r="H967" s="17">
        <v>958</v>
      </c>
      <c r="I967" s="45">
        <v>0.67200823818420308</v>
      </c>
      <c r="J967" s="45">
        <v>1.979051079111846E-2</v>
      </c>
      <c r="K967" s="45">
        <v>0.255</v>
      </c>
      <c r="N967" s="54"/>
    </row>
    <row r="968" spans="2:14" x14ac:dyDescent="0.2">
      <c r="B968">
        <v>959</v>
      </c>
      <c r="C968" s="52">
        <f t="shared" ca="1" si="45"/>
        <v>0.20124759066327097</v>
      </c>
      <c r="D968" s="52">
        <f ca="1">S0*EXP((μ-0.5*σ*σ)*T+σ*SQRT(T)*$C968)</f>
        <v>0.68066927203524885</v>
      </c>
      <c r="E968" s="52">
        <f t="shared" ca="1" si="43"/>
        <v>0</v>
      </c>
      <c r="F968" s="17">
        <f t="shared" ca="1" si="44"/>
        <v>0</v>
      </c>
      <c r="H968" s="17">
        <v>959</v>
      </c>
      <c r="I968" s="45">
        <v>0.67150486354047512</v>
      </c>
      <c r="J968" s="45">
        <v>1.952617917429348E-2</v>
      </c>
      <c r="K968" s="45">
        <v>0.24959999999999999</v>
      </c>
      <c r="N968" s="54"/>
    </row>
    <row r="969" spans="2:14" x14ac:dyDescent="0.2">
      <c r="B969">
        <v>960</v>
      </c>
      <c r="C969" s="52">
        <f t="shared" ca="1" si="45"/>
        <v>1.0065762724826222</v>
      </c>
      <c r="D969" s="52">
        <f ca="1">S0*EXP((μ-0.5*σ*σ)*T+σ*SQRT(T)*$C969)</f>
        <v>0.85039042625212691</v>
      </c>
      <c r="E969" s="52">
        <f t="shared" ca="1" si="43"/>
        <v>0</v>
      </c>
      <c r="F969" s="17">
        <f t="shared" ca="1" si="44"/>
        <v>0</v>
      </c>
      <c r="H969" s="17">
        <v>960</v>
      </c>
      <c r="I969" s="45">
        <v>0.67098055457697792</v>
      </c>
      <c r="J969" s="45">
        <v>1.8909628357397776E-2</v>
      </c>
      <c r="K969" s="45">
        <v>0.24260000000000001</v>
      </c>
      <c r="N969" s="54"/>
    </row>
    <row r="970" spans="2:14" x14ac:dyDescent="0.2">
      <c r="B970">
        <v>961</v>
      </c>
      <c r="C970" s="52">
        <f t="shared" ca="1" si="45"/>
        <v>-0.18185115938314231</v>
      </c>
      <c r="D970" s="52">
        <f ca="1">S0*EXP((μ-0.5*σ*σ)*T+σ*SQRT(T)*$C970)</f>
        <v>0.61227136280691485</v>
      </c>
      <c r="E970" s="52">
        <f t="shared" ref="E970:E1033" ca="1" si="46">MAX(0,CP*(D970-K))</f>
        <v>0</v>
      </c>
      <c r="F970" s="17">
        <f t="shared" ref="F970:F1033" ca="1" si="47">(CP*(D970-K)&gt;0)*1</f>
        <v>0</v>
      </c>
      <c r="H970" s="17">
        <v>961</v>
      </c>
      <c r="I970" s="45">
        <v>0.67059095486484155</v>
      </c>
      <c r="J970" s="45">
        <v>1.8587404802397327E-2</v>
      </c>
      <c r="K970" s="45">
        <v>0.24879999999999999</v>
      </c>
      <c r="N970" s="54"/>
    </row>
    <row r="971" spans="2:14" x14ac:dyDescent="0.2">
      <c r="B971">
        <v>962</v>
      </c>
      <c r="C971" s="52">
        <f t="shared" ref="C971:C1034" ca="1" si="48">_xlfn.NORM.S.INV(RAND())</f>
        <v>1.0121241151399574</v>
      </c>
      <c r="D971" s="52">
        <f ca="1">S0*EXP((μ-0.5*σ*σ)*T+σ*SQRT(T)*$C971)</f>
        <v>0.85169558903148845</v>
      </c>
      <c r="E971" s="52">
        <f t="shared" ca="1" si="46"/>
        <v>0</v>
      </c>
      <c r="F971" s="17">
        <f t="shared" ca="1" si="47"/>
        <v>0</v>
      </c>
      <c r="H971" s="17">
        <v>962</v>
      </c>
      <c r="I971" s="45">
        <v>0.67210758340990651</v>
      </c>
      <c r="J971" s="45">
        <v>1.9738608456476386E-2</v>
      </c>
      <c r="K971" s="45">
        <v>0.24840000000000001</v>
      </c>
      <c r="N971" s="54"/>
    </row>
    <row r="972" spans="2:14" x14ac:dyDescent="0.2">
      <c r="B972">
        <v>963</v>
      </c>
      <c r="C972" s="52">
        <f t="shared" ca="1" si="48"/>
        <v>6.584816410630509E-2</v>
      </c>
      <c r="D972" s="52">
        <f ca="1">S0*EXP((μ-0.5*σ*σ)*T+σ*SQRT(T)*$C972)</f>
        <v>0.65566352226585434</v>
      </c>
      <c r="E972" s="52">
        <f t="shared" ca="1" si="46"/>
        <v>0</v>
      </c>
      <c r="F972" s="17">
        <f t="shared" ca="1" si="47"/>
        <v>0</v>
      </c>
      <c r="H972" s="17">
        <v>963</v>
      </c>
      <c r="I972" s="45">
        <v>0.66969966664748448</v>
      </c>
      <c r="J972" s="45">
        <v>1.7996916010694856E-2</v>
      </c>
      <c r="K972" s="45">
        <v>0.23619999999999999</v>
      </c>
      <c r="N972" s="54"/>
    </row>
    <row r="973" spans="2:14" x14ac:dyDescent="0.2">
      <c r="B973">
        <v>964</v>
      </c>
      <c r="C973" s="52">
        <f t="shared" ca="1" si="48"/>
        <v>-1.8236922489978917</v>
      </c>
      <c r="D973" s="52">
        <f ca="1">S0*EXP((μ-0.5*σ*σ)*T+σ*SQRT(T)*$C973)</f>
        <v>0.388898089728823</v>
      </c>
      <c r="E973" s="52">
        <f t="shared" ca="1" si="46"/>
        <v>0.14550191027117698</v>
      </c>
      <c r="F973" s="17">
        <f t="shared" ca="1" si="47"/>
        <v>1</v>
      </c>
      <c r="H973" s="17">
        <v>964</v>
      </c>
      <c r="I973" s="45">
        <v>0.67198973983970123</v>
      </c>
      <c r="J973" s="45">
        <v>1.9749204119476418E-2</v>
      </c>
      <c r="K973" s="45">
        <v>0.25140000000000001</v>
      </c>
      <c r="N973" s="54"/>
    </row>
    <row r="974" spans="2:14" x14ac:dyDescent="0.2">
      <c r="B974">
        <v>965</v>
      </c>
      <c r="C974" s="52">
        <f t="shared" ca="1" si="48"/>
        <v>-0.33042282785749272</v>
      </c>
      <c r="D974" s="52">
        <f ca="1">S0*EXP((μ-0.5*σ*σ)*T+σ*SQRT(T)*$C974)</f>
        <v>0.58763473026662338</v>
      </c>
      <c r="E974" s="52">
        <f t="shared" ca="1" si="46"/>
        <v>0</v>
      </c>
      <c r="F974" s="17">
        <f t="shared" ca="1" si="47"/>
        <v>0</v>
      </c>
      <c r="H974" s="17">
        <v>965</v>
      </c>
      <c r="I974" s="45">
        <v>0.67011046530170837</v>
      </c>
      <c r="J974" s="45">
        <v>1.8343491092236281E-2</v>
      </c>
      <c r="K974" s="45">
        <v>0.2452</v>
      </c>
      <c r="N974" s="54"/>
    </row>
    <row r="975" spans="2:14" x14ac:dyDescent="0.2">
      <c r="B975">
        <v>966</v>
      </c>
      <c r="C975" s="52">
        <f t="shared" ca="1" si="48"/>
        <v>-0.85790644363524027</v>
      </c>
      <c r="D975" s="52">
        <f ca="1">S0*EXP((μ-0.5*σ*σ)*T+σ*SQRT(T)*$C975)</f>
        <v>0.50790373234512509</v>
      </c>
      <c r="E975" s="52">
        <f t="shared" ca="1" si="46"/>
        <v>2.6496267654874894E-2</v>
      </c>
      <c r="F975" s="17">
        <f t="shared" ca="1" si="47"/>
        <v>1</v>
      </c>
      <c r="H975" s="17">
        <v>966</v>
      </c>
      <c r="I975" s="45">
        <v>0.67130586829585059</v>
      </c>
      <c r="J975" s="45">
        <v>1.944449026042783E-2</v>
      </c>
      <c r="K975" s="45">
        <v>0.25659999999999999</v>
      </c>
      <c r="N975" s="54"/>
    </row>
    <row r="976" spans="2:14" x14ac:dyDescent="0.2">
      <c r="B976">
        <v>967</v>
      </c>
      <c r="C976" s="52">
        <f t="shared" ca="1" si="48"/>
        <v>0.39360039480090142</v>
      </c>
      <c r="D976" s="52">
        <f ca="1">S0*EXP((μ-0.5*σ*σ)*T+σ*SQRT(T)*$C976)</f>
        <v>0.7178417255186047</v>
      </c>
      <c r="E976" s="52">
        <f t="shared" ca="1" si="46"/>
        <v>0</v>
      </c>
      <c r="F976" s="17">
        <f t="shared" ca="1" si="47"/>
        <v>0</v>
      </c>
      <c r="H976" s="17">
        <v>967</v>
      </c>
      <c r="I976" s="45">
        <v>0.67059886262710755</v>
      </c>
      <c r="J976" s="45">
        <v>1.8677285289269291E-2</v>
      </c>
      <c r="K976" s="45">
        <v>0.24299999999999999</v>
      </c>
      <c r="N976" s="54"/>
    </row>
    <row r="977" spans="2:14" x14ac:dyDescent="0.2">
      <c r="B977">
        <v>968</v>
      </c>
      <c r="C977" s="52">
        <f t="shared" ca="1" si="48"/>
        <v>0.28331069983662782</v>
      </c>
      <c r="D977" s="52">
        <f ca="1">S0*EXP((μ-0.5*σ*σ)*T+σ*SQRT(T)*$C977)</f>
        <v>0.69628666407905915</v>
      </c>
      <c r="E977" s="52">
        <f t="shared" ca="1" si="46"/>
        <v>0</v>
      </c>
      <c r="F977" s="17">
        <f t="shared" ca="1" si="47"/>
        <v>0</v>
      </c>
      <c r="H977" s="17">
        <v>968</v>
      </c>
      <c r="I977" s="45">
        <v>0.67166216208405716</v>
      </c>
      <c r="J977" s="45">
        <v>1.9753311465515712E-2</v>
      </c>
      <c r="K977" s="45">
        <v>0.25940000000000002</v>
      </c>
      <c r="N977" s="54"/>
    </row>
    <row r="978" spans="2:14" x14ac:dyDescent="0.2">
      <c r="B978">
        <v>969</v>
      </c>
      <c r="C978" s="52">
        <f t="shared" ca="1" si="48"/>
        <v>2.1575493261903849</v>
      </c>
      <c r="D978" s="52">
        <f ca="1">S0*EXP((μ-0.5*σ*σ)*T+σ*SQRT(T)*$C978)</f>
        <v>1.168950881045651</v>
      </c>
      <c r="E978" s="52">
        <f t="shared" ca="1" si="46"/>
        <v>0</v>
      </c>
      <c r="F978" s="17">
        <f t="shared" ca="1" si="47"/>
        <v>0</v>
      </c>
      <c r="H978" s="17">
        <v>969</v>
      </c>
      <c r="I978" s="45">
        <v>0.6705102082962201</v>
      </c>
      <c r="J978" s="45">
        <v>1.8535361254868789E-2</v>
      </c>
      <c r="K978" s="45">
        <v>0.24640000000000001</v>
      </c>
      <c r="N978" s="54"/>
    </row>
    <row r="979" spans="2:14" x14ac:dyDescent="0.2">
      <c r="B979">
        <v>970</v>
      </c>
      <c r="C979" s="52">
        <f t="shared" ca="1" si="48"/>
        <v>0.15951978416911322</v>
      </c>
      <c r="D979" s="52">
        <f ca="1">S0*EXP((μ-0.5*σ*σ)*T+σ*SQRT(T)*$C979)</f>
        <v>0.67286291421615041</v>
      </c>
      <c r="E979" s="52">
        <f t="shared" ca="1" si="46"/>
        <v>0</v>
      </c>
      <c r="F979" s="17">
        <f t="shared" ca="1" si="47"/>
        <v>0</v>
      </c>
      <c r="H979" s="17">
        <v>970</v>
      </c>
      <c r="I979" s="45">
        <v>0.67148409804598586</v>
      </c>
      <c r="J979" s="45">
        <v>1.9530791968285961E-2</v>
      </c>
      <c r="K979" s="45">
        <v>0.25180000000000002</v>
      </c>
      <c r="N979" s="54"/>
    </row>
    <row r="980" spans="2:14" x14ac:dyDescent="0.2">
      <c r="B980">
        <v>971</v>
      </c>
      <c r="C980" s="52">
        <f t="shared" ca="1" si="48"/>
        <v>-0.34293304696870619</v>
      </c>
      <c r="D980" s="52">
        <f ca="1">S0*EXP((μ-0.5*σ*σ)*T+σ*SQRT(T)*$C980)</f>
        <v>0.58560606326692188</v>
      </c>
      <c r="E980" s="52">
        <f t="shared" ca="1" si="46"/>
        <v>0</v>
      </c>
      <c r="F980" s="17">
        <f t="shared" ca="1" si="47"/>
        <v>0</v>
      </c>
      <c r="H980" s="17">
        <v>971</v>
      </c>
      <c r="I980" s="45">
        <v>0.67090470897102072</v>
      </c>
      <c r="J980" s="45">
        <v>1.8814010769310035E-2</v>
      </c>
      <c r="K980" s="45">
        <v>0.245</v>
      </c>
      <c r="N980" s="54"/>
    </row>
    <row r="981" spans="2:14" x14ac:dyDescent="0.2">
      <c r="B981">
        <v>972</v>
      </c>
      <c r="C981" s="52">
        <f t="shared" ca="1" si="48"/>
        <v>1.668277564600557</v>
      </c>
      <c r="D981" s="52">
        <f ca="1">S0*EXP((μ-0.5*σ*σ)*T+σ*SQRT(T)*$C981)</f>
        <v>1.0210750482000666</v>
      </c>
      <c r="E981" s="52">
        <f t="shared" ca="1" si="46"/>
        <v>0</v>
      </c>
      <c r="F981" s="17">
        <f t="shared" ca="1" si="47"/>
        <v>0</v>
      </c>
      <c r="H981" s="17">
        <v>972</v>
      </c>
      <c r="I981" s="45">
        <v>0.66995630937397133</v>
      </c>
      <c r="J981" s="45">
        <v>1.8264787672067909E-2</v>
      </c>
      <c r="K981" s="45">
        <v>0.24399999999999999</v>
      </c>
      <c r="N981" s="54"/>
    </row>
    <row r="982" spans="2:14" x14ac:dyDescent="0.2">
      <c r="B982">
        <v>973</v>
      </c>
      <c r="C982" s="52">
        <f t="shared" ca="1" si="48"/>
        <v>-0.5960082491678611</v>
      </c>
      <c r="D982" s="52">
        <f ca="1">S0*EXP((μ-0.5*σ*σ)*T+σ*SQRT(T)*$C982)</f>
        <v>0.546038290501901</v>
      </c>
      <c r="E982" s="52">
        <f t="shared" ca="1" si="46"/>
        <v>0</v>
      </c>
      <c r="F982" s="17">
        <f t="shared" ca="1" si="47"/>
        <v>0</v>
      </c>
      <c r="H982" s="17">
        <v>973</v>
      </c>
      <c r="I982" s="45">
        <v>0.67157619278328506</v>
      </c>
      <c r="J982" s="45">
        <v>1.9479485413506824E-2</v>
      </c>
      <c r="K982" s="45">
        <v>0.2404</v>
      </c>
      <c r="N982" s="54"/>
    </row>
    <row r="983" spans="2:14" x14ac:dyDescent="0.2">
      <c r="B983">
        <v>974</v>
      </c>
      <c r="C983" s="52">
        <f t="shared" ca="1" si="48"/>
        <v>2.3843373148143745</v>
      </c>
      <c r="D983" s="52">
        <f ca="1">S0*EXP((μ-0.5*σ*σ)*T+σ*SQRT(T)*$C983)</f>
        <v>1.244580141499197</v>
      </c>
      <c r="E983" s="52">
        <f t="shared" ca="1" si="46"/>
        <v>0</v>
      </c>
      <c r="F983" s="17">
        <f t="shared" ca="1" si="47"/>
        <v>0</v>
      </c>
      <c r="H983" s="17">
        <v>974</v>
      </c>
      <c r="I983" s="45">
        <v>0.67010687007670944</v>
      </c>
      <c r="J983" s="45">
        <v>1.8216585681085456E-2</v>
      </c>
      <c r="K983" s="45">
        <v>0.23980000000000001</v>
      </c>
      <c r="N983" s="54"/>
    </row>
    <row r="984" spans="2:14" x14ac:dyDescent="0.2">
      <c r="B984">
        <v>975</v>
      </c>
      <c r="C984" s="52">
        <f t="shared" ca="1" si="48"/>
        <v>8.2410747103553686E-2</v>
      </c>
      <c r="D984" s="52">
        <f ca="1">S0*EXP((μ-0.5*σ*σ)*T+σ*SQRT(T)*$C984)</f>
        <v>0.65867231856382946</v>
      </c>
      <c r="E984" s="52">
        <f t="shared" ca="1" si="46"/>
        <v>0</v>
      </c>
      <c r="F984" s="17">
        <f t="shared" ca="1" si="47"/>
        <v>0</v>
      </c>
      <c r="H984" s="17">
        <v>975</v>
      </c>
      <c r="I984" s="45">
        <v>0.67137814456222988</v>
      </c>
      <c r="J984" s="45">
        <v>1.9440073375151645E-2</v>
      </c>
      <c r="K984" s="45">
        <v>0.25459999999999999</v>
      </c>
      <c r="N984" s="54"/>
    </row>
    <row r="985" spans="2:14" x14ac:dyDescent="0.2">
      <c r="B985">
        <v>976</v>
      </c>
      <c r="C985" s="52">
        <f t="shared" ca="1" si="48"/>
        <v>-0.95842917733409472</v>
      </c>
      <c r="D985" s="52">
        <f ca="1">S0*EXP((μ-0.5*σ*σ)*T+σ*SQRT(T)*$C985)</f>
        <v>0.49398451694125584</v>
      </c>
      <c r="E985" s="52">
        <f t="shared" ca="1" si="46"/>
        <v>4.041548305874415E-2</v>
      </c>
      <c r="F985" s="17">
        <f t="shared" ca="1" si="47"/>
        <v>1</v>
      </c>
      <c r="H985" s="17">
        <v>976</v>
      </c>
      <c r="I985" s="45">
        <v>0.67027723777013304</v>
      </c>
      <c r="J985" s="45">
        <v>1.8488563721485971E-2</v>
      </c>
      <c r="K985" s="45">
        <v>0.24079999999999999</v>
      </c>
      <c r="N985" s="54"/>
    </row>
    <row r="986" spans="2:14" x14ac:dyDescent="0.2">
      <c r="B986">
        <v>977</v>
      </c>
      <c r="C986" s="52">
        <f t="shared" ca="1" si="48"/>
        <v>-0.30767038857936296</v>
      </c>
      <c r="D986" s="52">
        <f ca="1">S0*EXP((μ-0.5*σ*σ)*T+σ*SQRT(T)*$C986)</f>
        <v>0.59134231433875506</v>
      </c>
      <c r="E986" s="52">
        <f t="shared" ca="1" si="46"/>
        <v>0</v>
      </c>
      <c r="F986" s="17">
        <f t="shared" ca="1" si="47"/>
        <v>0</v>
      </c>
      <c r="H986" s="17">
        <v>977</v>
      </c>
      <c r="I986" s="45">
        <v>0.67148158877391984</v>
      </c>
      <c r="J986" s="45">
        <v>1.9411084115997568E-2</v>
      </c>
      <c r="K986" s="45">
        <v>0.24879999999999999</v>
      </c>
      <c r="N986" s="54"/>
    </row>
    <row r="987" spans="2:14" x14ac:dyDescent="0.2">
      <c r="B987">
        <v>978</v>
      </c>
      <c r="C987" s="52">
        <f t="shared" ca="1" si="48"/>
        <v>0.47966860083322049</v>
      </c>
      <c r="D987" s="52">
        <f ca="1">S0*EXP((μ-0.5*σ*σ)*T+σ*SQRT(T)*$C987)</f>
        <v>0.73512544435000937</v>
      </c>
      <c r="E987" s="52">
        <f t="shared" ca="1" si="46"/>
        <v>0</v>
      </c>
      <c r="F987" s="17">
        <f t="shared" ca="1" si="47"/>
        <v>0</v>
      </c>
      <c r="H987" s="17">
        <v>978</v>
      </c>
      <c r="I987" s="45">
        <v>0.67259044023883885</v>
      </c>
      <c r="J987" s="45">
        <v>2.0085368989835563E-2</v>
      </c>
      <c r="K987" s="45">
        <v>0.25380000000000003</v>
      </c>
      <c r="N987" s="54"/>
    </row>
    <row r="988" spans="2:14" x14ac:dyDescent="0.2">
      <c r="B988">
        <v>979</v>
      </c>
      <c r="C988" s="52">
        <f t="shared" ca="1" si="48"/>
        <v>-1.5932518359243681</v>
      </c>
      <c r="D988" s="52">
        <f ca="1">S0*EXP((μ-0.5*σ*σ)*T+σ*SQRT(T)*$C988)</f>
        <v>0.41447744231019568</v>
      </c>
      <c r="E988" s="52">
        <f t="shared" ca="1" si="46"/>
        <v>0.11992255768980431</v>
      </c>
      <c r="F988" s="17">
        <f t="shared" ca="1" si="47"/>
        <v>1</v>
      </c>
      <c r="H988" s="17">
        <v>979</v>
      </c>
      <c r="I988" s="45">
        <v>0.669879083723666</v>
      </c>
      <c r="J988" s="45">
        <v>1.8226945197311755E-2</v>
      </c>
      <c r="K988" s="45">
        <v>0.23980000000000001</v>
      </c>
      <c r="N988" s="54"/>
    </row>
    <row r="989" spans="2:14" x14ac:dyDescent="0.2">
      <c r="B989">
        <v>980</v>
      </c>
      <c r="C989" s="52">
        <f t="shared" ca="1" si="48"/>
        <v>-0.22679253081368589</v>
      </c>
      <c r="D989" s="52">
        <f ca="1">S0*EXP((μ-0.5*σ*σ)*T+σ*SQRT(T)*$C989)</f>
        <v>0.60471201187763024</v>
      </c>
      <c r="E989" s="52">
        <f t="shared" ca="1" si="46"/>
        <v>0</v>
      </c>
      <c r="F989" s="17">
        <f t="shared" ca="1" si="47"/>
        <v>0</v>
      </c>
      <c r="H989" s="17">
        <v>980</v>
      </c>
      <c r="I989" s="45">
        <v>0.67068860451503709</v>
      </c>
      <c r="J989" s="45">
        <v>1.8976025308217175E-2</v>
      </c>
      <c r="K989" s="45">
        <v>0.2472</v>
      </c>
      <c r="N989" s="54"/>
    </row>
    <row r="990" spans="2:14" x14ac:dyDescent="0.2">
      <c r="B990">
        <v>981</v>
      </c>
      <c r="C990" s="52">
        <f t="shared" ca="1" si="48"/>
        <v>-1.3135258554773039</v>
      </c>
      <c r="D990" s="52">
        <f ca="1">S0*EXP((μ-0.5*σ*σ)*T+σ*SQRT(T)*$C990)</f>
        <v>0.44779874759913069</v>
      </c>
      <c r="E990" s="52">
        <f t="shared" ca="1" si="46"/>
        <v>8.66012524008693E-2</v>
      </c>
      <c r="F990" s="17">
        <f t="shared" ca="1" si="47"/>
        <v>1</v>
      </c>
      <c r="H990" s="17">
        <v>981</v>
      </c>
      <c r="I990" s="45">
        <v>0.67083883642418518</v>
      </c>
      <c r="J990" s="45">
        <v>1.9097818223581302E-2</v>
      </c>
      <c r="K990" s="45">
        <v>0.24479999999999999</v>
      </c>
      <c r="N990" s="54"/>
    </row>
    <row r="991" spans="2:14" x14ac:dyDescent="0.2">
      <c r="B991">
        <v>982</v>
      </c>
      <c r="C991" s="52">
        <f t="shared" ca="1" si="48"/>
        <v>6.4072840381267884E-2</v>
      </c>
      <c r="D991" s="52">
        <f ca="1">S0*EXP((μ-0.5*σ*σ)*T+σ*SQRT(T)*$C991)</f>
        <v>0.65534182961532228</v>
      </c>
      <c r="E991" s="52">
        <f t="shared" ca="1" si="46"/>
        <v>0</v>
      </c>
      <c r="F991" s="17">
        <f t="shared" ca="1" si="47"/>
        <v>0</v>
      </c>
      <c r="H991" s="17">
        <v>982</v>
      </c>
      <c r="I991" s="45">
        <v>0.67129813788379467</v>
      </c>
      <c r="J991" s="45">
        <v>1.9447620847335402E-2</v>
      </c>
      <c r="K991" s="45">
        <v>0.2472</v>
      </c>
      <c r="N991" s="54"/>
    </row>
    <row r="992" spans="2:14" x14ac:dyDescent="0.2">
      <c r="B992">
        <v>983</v>
      </c>
      <c r="C992" s="52">
        <f t="shared" ca="1" si="48"/>
        <v>0.2765339757872452</v>
      </c>
      <c r="D992" s="52">
        <f ca="1">S0*EXP((μ-0.5*σ*σ)*T+σ*SQRT(T)*$C992)</f>
        <v>0.69498352646488626</v>
      </c>
      <c r="E992" s="52">
        <f t="shared" ca="1" si="46"/>
        <v>0</v>
      </c>
      <c r="F992" s="17">
        <f t="shared" ca="1" si="47"/>
        <v>0</v>
      </c>
      <c r="H992" s="17">
        <v>983</v>
      </c>
      <c r="I992" s="45">
        <v>0.67112399068013395</v>
      </c>
      <c r="J992" s="45">
        <v>1.9231289876611685E-2</v>
      </c>
      <c r="K992" s="45">
        <v>0.25319999999999998</v>
      </c>
      <c r="N992" s="54"/>
    </row>
    <row r="993" spans="2:14" x14ac:dyDescent="0.2">
      <c r="B993">
        <v>984</v>
      </c>
      <c r="C993" s="52">
        <f t="shared" ca="1" si="48"/>
        <v>2.4336658619774334</v>
      </c>
      <c r="D993" s="52">
        <f ca="1">S0*EXP((μ-0.5*σ*σ)*T+σ*SQRT(T)*$C993)</f>
        <v>1.2616674909516796</v>
      </c>
      <c r="E993" s="52">
        <f t="shared" ca="1" si="46"/>
        <v>0</v>
      </c>
      <c r="F993" s="17">
        <f t="shared" ca="1" si="47"/>
        <v>0</v>
      </c>
      <c r="H993" s="17">
        <v>984</v>
      </c>
      <c r="I993" s="45">
        <v>0.67069324189367685</v>
      </c>
      <c r="J993" s="45">
        <v>1.8904998284077528E-2</v>
      </c>
      <c r="K993" s="45">
        <v>0.246</v>
      </c>
      <c r="N993" s="54"/>
    </row>
    <row r="994" spans="2:14" x14ac:dyDescent="0.2">
      <c r="B994">
        <v>985</v>
      </c>
      <c r="C994" s="52">
        <f t="shared" ca="1" si="48"/>
        <v>-0.5201998664684494</v>
      </c>
      <c r="D994" s="52">
        <f ca="1">S0*EXP((μ-0.5*σ*σ)*T+σ*SQRT(T)*$C994)</f>
        <v>0.55760175348763852</v>
      </c>
      <c r="E994" s="52">
        <f t="shared" ca="1" si="46"/>
        <v>0</v>
      </c>
      <c r="F994" s="17">
        <f t="shared" ca="1" si="47"/>
        <v>0</v>
      </c>
      <c r="H994" s="17">
        <v>985</v>
      </c>
      <c r="I994" s="45">
        <v>0.66933773186298262</v>
      </c>
      <c r="J994" s="45">
        <v>1.7771251408390448E-2</v>
      </c>
      <c r="K994" s="45">
        <v>0.2462</v>
      </c>
      <c r="N994" s="54"/>
    </row>
    <row r="995" spans="2:14" x14ac:dyDescent="0.2">
      <c r="B995">
        <v>986</v>
      </c>
      <c r="C995" s="52">
        <f t="shared" ca="1" si="48"/>
        <v>-0.90567045866094409</v>
      </c>
      <c r="D995" s="52">
        <f ca="1">S0*EXP((μ-0.5*σ*σ)*T+σ*SQRT(T)*$C995)</f>
        <v>0.5012416898638884</v>
      </c>
      <c r="E995" s="52">
        <f t="shared" ca="1" si="46"/>
        <v>3.3158310136111591E-2</v>
      </c>
      <c r="F995" s="17">
        <f t="shared" ca="1" si="47"/>
        <v>1</v>
      </c>
      <c r="H995" s="17">
        <v>986</v>
      </c>
      <c r="I995" s="45">
        <v>0.67020337005205233</v>
      </c>
      <c r="J995" s="45">
        <v>1.8475456015064094E-2</v>
      </c>
      <c r="K995" s="45">
        <v>0.24260000000000001</v>
      </c>
      <c r="N995" s="54"/>
    </row>
    <row r="996" spans="2:14" x14ac:dyDescent="0.2">
      <c r="B996">
        <v>987</v>
      </c>
      <c r="C996" s="52">
        <f t="shared" ca="1" si="48"/>
        <v>-0.63572207863649821</v>
      </c>
      <c r="D996" s="52">
        <f ca="1">S0*EXP((μ-0.5*σ*σ)*T+σ*SQRT(T)*$C996)</f>
        <v>0.54007656077921096</v>
      </c>
      <c r="E996" s="52">
        <f t="shared" ca="1" si="46"/>
        <v>0</v>
      </c>
      <c r="F996" s="17">
        <f t="shared" ca="1" si="47"/>
        <v>0</v>
      </c>
      <c r="H996" s="17">
        <v>987</v>
      </c>
      <c r="I996" s="45">
        <v>0.67161059970550385</v>
      </c>
      <c r="J996" s="45">
        <v>1.9726454770088442E-2</v>
      </c>
      <c r="K996" s="45">
        <v>0.25359999999999999</v>
      </c>
      <c r="N996" s="54"/>
    </row>
    <row r="997" spans="2:14" x14ac:dyDescent="0.2">
      <c r="B997">
        <v>988</v>
      </c>
      <c r="C997" s="52">
        <f t="shared" ca="1" si="48"/>
        <v>-1.9397947197571024</v>
      </c>
      <c r="D997" s="52">
        <f ca="1">S0*EXP((μ-0.5*σ*σ)*T+σ*SQRT(T)*$C997)</f>
        <v>0.37661476872759003</v>
      </c>
      <c r="E997" s="52">
        <f t="shared" ca="1" si="46"/>
        <v>0.15778523127240995</v>
      </c>
      <c r="F997" s="17">
        <f t="shared" ca="1" si="47"/>
        <v>1</v>
      </c>
      <c r="H997" s="17">
        <v>988</v>
      </c>
      <c r="I997" s="45">
        <v>0.67043522688322676</v>
      </c>
      <c r="J997" s="45">
        <v>1.8982344163732203E-2</v>
      </c>
      <c r="K997" s="45">
        <v>0.253</v>
      </c>
      <c r="N997" s="54"/>
    </row>
    <row r="998" spans="2:14" x14ac:dyDescent="0.2">
      <c r="B998">
        <v>989</v>
      </c>
      <c r="C998" s="52">
        <f t="shared" ca="1" si="48"/>
        <v>-0.80948100989995553</v>
      </c>
      <c r="D998" s="52">
        <f ca="1">S0*EXP((μ-0.5*σ*σ)*T+σ*SQRT(T)*$C998)</f>
        <v>0.51474842733595572</v>
      </c>
      <c r="E998" s="52">
        <f t="shared" ca="1" si="46"/>
        <v>1.965157266404427E-2</v>
      </c>
      <c r="F998" s="17">
        <f t="shared" ca="1" si="47"/>
        <v>1</v>
      </c>
      <c r="H998" s="17">
        <v>989</v>
      </c>
      <c r="I998" s="45">
        <v>0.67010532285777136</v>
      </c>
      <c r="J998" s="45">
        <v>1.8313970695920424E-2</v>
      </c>
      <c r="K998" s="45">
        <v>0.24740000000000001</v>
      </c>
      <c r="N998" s="54"/>
    </row>
    <row r="999" spans="2:14" x14ac:dyDescent="0.2">
      <c r="B999">
        <v>990</v>
      </c>
      <c r="C999" s="52">
        <f t="shared" ca="1" si="48"/>
        <v>-0.69301884504954381</v>
      </c>
      <c r="D999" s="52">
        <f ca="1">S0*EXP((μ-0.5*σ*σ)*T+σ*SQRT(T)*$C999)</f>
        <v>0.53158984269026455</v>
      </c>
      <c r="E999" s="52">
        <f t="shared" ca="1" si="46"/>
        <v>2.8101573097354393E-3</v>
      </c>
      <c r="F999" s="17">
        <f t="shared" ca="1" si="47"/>
        <v>1</v>
      </c>
      <c r="H999" s="17">
        <v>990</v>
      </c>
      <c r="I999" s="45">
        <v>0.67059881390666165</v>
      </c>
      <c r="J999" s="45">
        <v>1.8818443203645702E-2</v>
      </c>
      <c r="K999" s="45">
        <v>0.24260000000000001</v>
      </c>
      <c r="N999" s="54"/>
    </row>
    <row r="1000" spans="2:14" x14ac:dyDescent="0.2">
      <c r="B1000">
        <v>991</v>
      </c>
      <c r="C1000" s="52">
        <f t="shared" ca="1" si="48"/>
        <v>-1.4794390805628543</v>
      </c>
      <c r="D1000" s="52">
        <f ca="1">S0*EXP((μ-0.5*σ*σ)*T+σ*SQRT(T)*$C1000)</f>
        <v>0.4277248425600288</v>
      </c>
      <c r="E1000" s="52">
        <f t="shared" ca="1" si="46"/>
        <v>0.10667515743997119</v>
      </c>
      <c r="F1000" s="17">
        <f t="shared" ca="1" si="47"/>
        <v>1</v>
      </c>
      <c r="H1000" s="17">
        <v>991</v>
      </c>
      <c r="I1000" s="45">
        <v>0.67066167825047363</v>
      </c>
      <c r="J1000" s="45">
        <v>1.8641827788657535E-2</v>
      </c>
      <c r="K1000" s="45">
        <v>0.24299999999999999</v>
      </c>
      <c r="N1000" s="54"/>
    </row>
    <row r="1001" spans="2:14" x14ac:dyDescent="0.2">
      <c r="B1001">
        <v>992</v>
      </c>
      <c r="C1001" s="52">
        <f t="shared" ca="1" si="48"/>
        <v>-1.373907967672662</v>
      </c>
      <c r="D1001" s="52">
        <f ca="1">S0*EXP((μ-0.5*σ*σ)*T+σ*SQRT(T)*$C1001)</f>
        <v>0.44038631412708668</v>
      </c>
      <c r="E1001" s="52">
        <f t="shared" ca="1" si="46"/>
        <v>9.4013685872913311E-2</v>
      </c>
      <c r="F1001" s="17">
        <f t="shared" ca="1" si="47"/>
        <v>1</v>
      </c>
      <c r="H1001" s="17">
        <v>992</v>
      </c>
      <c r="I1001" s="45">
        <v>0.67193842954017713</v>
      </c>
      <c r="J1001" s="45">
        <v>1.9748874451199522E-2</v>
      </c>
      <c r="K1001" s="45">
        <v>0.25600000000000001</v>
      </c>
      <c r="N1001" s="54"/>
    </row>
    <row r="1002" spans="2:14" x14ac:dyDescent="0.2">
      <c r="B1002">
        <v>993</v>
      </c>
      <c r="C1002" s="52">
        <f t="shared" ca="1" si="48"/>
        <v>-1.8636348260413158</v>
      </c>
      <c r="D1002" s="52">
        <f ca="1">S0*EXP((μ-0.5*σ*σ)*T+σ*SQRT(T)*$C1002)</f>
        <v>0.38462771875987306</v>
      </c>
      <c r="E1002" s="52">
        <f t="shared" ca="1" si="46"/>
        <v>0.14977228124012693</v>
      </c>
      <c r="F1002" s="17">
        <f t="shared" ca="1" si="47"/>
        <v>1</v>
      </c>
      <c r="H1002" s="17">
        <v>993</v>
      </c>
      <c r="I1002" s="45">
        <v>0.67092482774170847</v>
      </c>
      <c r="J1002" s="45">
        <v>1.9139014916760167E-2</v>
      </c>
      <c r="K1002" s="45">
        <v>0.24479999999999999</v>
      </c>
      <c r="N1002" s="54"/>
    </row>
    <row r="1003" spans="2:14" x14ac:dyDescent="0.2">
      <c r="B1003">
        <v>994</v>
      </c>
      <c r="C1003" s="52">
        <f t="shared" ca="1" si="48"/>
        <v>0.24363094935295548</v>
      </c>
      <c r="D1003" s="52">
        <f ca="1">S0*EXP((μ-0.5*σ*σ)*T+σ*SQRT(T)*$C1003)</f>
        <v>0.68869098740183077</v>
      </c>
      <c r="E1003" s="52">
        <f t="shared" ca="1" si="46"/>
        <v>0</v>
      </c>
      <c r="F1003" s="17">
        <f t="shared" ca="1" si="47"/>
        <v>0</v>
      </c>
      <c r="H1003" s="17">
        <v>994</v>
      </c>
      <c r="I1003" s="45">
        <v>0.67209543734393229</v>
      </c>
      <c r="J1003" s="45">
        <v>1.9847359678762208E-2</v>
      </c>
      <c r="K1003" s="45">
        <v>0.25319999999999998</v>
      </c>
      <c r="N1003" s="54"/>
    </row>
    <row r="1004" spans="2:14" x14ac:dyDescent="0.2">
      <c r="B1004">
        <v>995</v>
      </c>
      <c r="C1004" s="52">
        <f t="shared" ca="1" si="48"/>
        <v>2.2013606762459461</v>
      </c>
      <c r="D1004" s="52">
        <f ca="1">S0*EXP((μ-0.5*σ*σ)*T+σ*SQRT(T)*$C1004)</f>
        <v>1.1831939809131318</v>
      </c>
      <c r="E1004" s="52">
        <f t="shared" ca="1" si="46"/>
        <v>0</v>
      </c>
      <c r="F1004" s="17">
        <f t="shared" ca="1" si="47"/>
        <v>0</v>
      </c>
      <c r="H1004" s="17">
        <v>995</v>
      </c>
      <c r="I1004" s="45">
        <v>0.6702778039004833</v>
      </c>
      <c r="J1004" s="45">
        <v>1.8623611520226176E-2</v>
      </c>
      <c r="K1004" s="45">
        <v>0.24879999999999999</v>
      </c>
      <c r="N1004" s="54"/>
    </row>
    <row r="1005" spans="2:14" x14ac:dyDescent="0.2">
      <c r="B1005">
        <v>996</v>
      </c>
      <c r="C1005" s="52">
        <f t="shared" ca="1" si="48"/>
        <v>-0.16502163052202401</v>
      </c>
      <c r="D1005" s="52">
        <f ca="1">S0*EXP((μ-0.5*σ*σ)*T+σ*SQRT(T)*$C1005)</f>
        <v>0.6151264254228187</v>
      </c>
      <c r="E1005" s="52">
        <f t="shared" ca="1" si="46"/>
        <v>0</v>
      </c>
      <c r="F1005" s="17">
        <f t="shared" ca="1" si="47"/>
        <v>0</v>
      </c>
      <c r="H1005" s="17">
        <v>996</v>
      </c>
      <c r="I1005" s="45">
        <v>0.6709017023049203</v>
      </c>
      <c r="J1005" s="45">
        <v>1.9421565809281133E-2</v>
      </c>
      <c r="K1005" s="45">
        <v>0.25</v>
      </c>
      <c r="N1005" s="54"/>
    </row>
    <row r="1006" spans="2:14" x14ac:dyDescent="0.2">
      <c r="B1006">
        <v>997</v>
      </c>
      <c r="C1006" s="52">
        <f t="shared" ca="1" si="48"/>
        <v>-2.3179353112832173</v>
      </c>
      <c r="D1006" s="52">
        <f ca="1">S0*EXP((μ-0.5*σ*σ)*T+σ*SQRT(T)*$C1006)</f>
        <v>0.3392347947172582</v>
      </c>
      <c r="E1006" s="52">
        <f t="shared" ca="1" si="46"/>
        <v>0.19516520528274178</v>
      </c>
      <c r="F1006" s="17">
        <f t="shared" ca="1" si="47"/>
        <v>1</v>
      </c>
      <c r="H1006" s="17">
        <v>997</v>
      </c>
      <c r="I1006" s="45">
        <v>0.67000147847800073</v>
      </c>
      <c r="J1006" s="45">
        <v>1.8223388950060825E-2</v>
      </c>
      <c r="K1006" s="45">
        <v>0.24079999999999999</v>
      </c>
      <c r="N1006" s="54"/>
    </row>
    <row r="1007" spans="2:14" x14ac:dyDescent="0.2">
      <c r="B1007">
        <v>998</v>
      </c>
      <c r="C1007" s="52">
        <f t="shared" ca="1" si="48"/>
        <v>0.18527883151081856</v>
      </c>
      <c r="D1007" s="52">
        <f ca="1">S0*EXP((μ-0.5*σ*σ)*T+σ*SQRT(T)*$C1007)</f>
        <v>0.6776712263883703</v>
      </c>
      <c r="E1007" s="52">
        <f t="shared" ca="1" si="46"/>
        <v>0</v>
      </c>
      <c r="F1007" s="17">
        <f t="shared" ca="1" si="47"/>
        <v>0</v>
      </c>
      <c r="H1007" s="17">
        <v>998</v>
      </c>
      <c r="I1007" s="45">
        <v>0.67151021096661401</v>
      </c>
      <c r="J1007" s="45">
        <v>1.9468408492990277E-2</v>
      </c>
      <c r="K1007" s="45">
        <v>0.25019999999999998</v>
      </c>
      <c r="N1007" s="54"/>
    </row>
    <row r="1008" spans="2:14" x14ac:dyDescent="0.2">
      <c r="B1008">
        <v>999</v>
      </c>
      <c r="C1008" s="52">
        <f t="shared" ca="1" si="48"/>
        <v>0.70827162028534529</v>
      </c>
      <c r="D1008" s="52">
        <f ca="1">S0*EXP((μ-0.5*σ*σ)*T+σ*SQRT(T)*$C1008)</f>
        <v>0.7830796887052387</v>
      </c>
      <c r="E1008" s="52">
        <f t="shared" ca="1" si="46"/>
        <v>0</v>
      </c>
      <c r="F1008" s="17">
        <f t="shared" ca="1" si="47"/>
        <v>0</v>
      </c>
      <c r="H1008" s="17">
        <v>999</v>
      </c>
      <c r="I1008" s="45">
        <v>0.67088060060042831</v>
      </c>
      <c r="J1008" s="45">
        <v>1.885608579715933E-2</v>
      </c>
      <c r="K1008" s="45">
        <v>0.2442</v>
      </c>
      <c r="N1008" s="54"/>
    </row>
    <row r="1009" spans="2:14" x14ac:dyDescent="0.2">
      <c r="B1009">
        <v>1000</v>
      </c>
      <c r="C1009" s="52">
        <f t="shared" ca="1" si="48"/>
        <v>1.0286005585441429</v>
      </c>
      <c r="D1009" s="52">
        <f ca="1">S0*EXP((μ-0.5*σ*σ)*T+σ*SQRT(T)*$C1009)</f>
        <v>0.8555835902321407</v>
      </c>
      <c r="E1009" s="52">
        <f t="shared" ca="1" si="46"/>
        <v>0</v>
      </c>
      <c r="F1009" s="17">
        <f t="shared" ca="1" si="47"/>
        <v>0</v>
      </c>
      <c r="H1009" s="17">
        <v>1000</v>
      </c>
      <c r="I1009" s="45">
        <v>0.67206240605107659</v>
      </c>
      <c r="J1009" s="45">
        <v>1.9785139330065361E-2</v>
      </c>
      <c r="K1009" s="45">
        <v>0.25440000000000002</v>
      </c>
      <c r="N1009" s="54"/>
    </row>
    <row r="1010" spans="2:14" x14ac:dyDescent="0.2">
      <c r="B1010">
        <v>1001</v>
      </c>
      <c r="C1010" s="52">
        <f t="shared" ca="1" si="48"/>
        <v>0.32798417774689598</v>
      </c>
      <c r="D1010" s="52">
        <f ca="1">S0*EXP((μ-0.5*σ*σ)*T+σ*SQRT(T)*$C1010)</f>
        <v>0.70493856063405436</v>
      </c>
      <c r="E1010" s="52">
        <f t="shared" ca="1" si="46"/>
        <v>0</v>
      </c>
      <c r="F1010" s="17">
        <f t="shared" ca="1" si="47"/>
        <v>0</v>
      </c>
      <c r="H1010" s="17">
        <v>1001</v>
      </c>
      <c r="I1010" s="45">
        <v>0.67131659252080123</v>
      </c>
      <c r="J1010" s="45">
        <v>1.9114326852174093E-2</v>
      </c>
      <c r="K1010" s="45">
        <v>0.245</v>
      </c>
      <c r="N1010" s="54"/>
    </row>
    <row r="1011" spans="2:14" x14ac:dyDescent="0.2">
      <c r="B1011">
        <v>1002</v>
      </c>
      <c r="C1011" s="52">
        <f t="shared" ca="1" si="48"/>
        <v>0.64832455149581092</v>
      </c>
      <c r="D1011" s="52">
        <f ca="1">S0*EXP((μ-0.5*σ*σ)*T+σ*SQRT(T)*$C1011)</f>
        <v>0.77020995422824001</v>
      </c>
      <c r="E1011" s="52">
        <f t="shared" ca="1" si="46"/>
        <v>0</v>
      </c>
      <c r="F1011" s="17">
        <f t="shared" ca="1" si="47"/>
        <v>0</v>
      </c>
      <c r="H1011" s="17">
        <v>1002</v>
      </c>
      <c r="I1011" s="45">
        <v>0.67191060572221362</v>
      </c>
      <c r="J1011" s="45">
        <v>1.999611032118892E-2</v>
      </c>
      <c r="K1011" s="45">
        <v>0.25119999999999998</v>
      </c>
      <c r="N1011" s="54"/>
    </row>
    <row r="1012" spans="2:14" x14ac:dyDescent="0.2">
      <c r="B1012">
        <v>1003</v>
      </c>
      <c r="C1012" s="52">
        <f t="shared" ca="1" si="48"/>
        <v>-0.61237291001671679</v>
      </c>
      <c r="D1012" s="52">
        <f ca="1">S0*EXP((μ-0.5*σ*σ)*T+σ*SQRT(T)*$C1012)</f>
        <v>0.54357374247674473</v>
      </c>
      <c r="E1012" s="52">
        <f t="shared" ca="1" si="46"/>
        <v>0</v>
      </c>
      <c r="F1012" s="17">
        <f t="shared" ca="1" si="47"/>
        <v>0</v>
      </c>
      <c r="H1012" s="17">
        <v>1003</v>
      </c>
      <c r="I1012" s="45">
        <v>0.67071968000285964</v>
      </c>
      <c r="J1012" s="45">
        <v>1.8694274008578687E-2</v>
      </c>
      <c r="K1012" s="45">
        <v>0.24079999999999999</v>
      </c>
      <c r="N1012" s="54"/>
    </row>
    <row r="1013" spans="2:14" x14ac:dyDescent="0.2">
      <c r="B1013">
        <v>1004</v>
      </c>
      <c r="C1013" s="52">
        <f t="shared" ca="1" si="48"/>
        <v>0.6618381381342785</v>
      </c>
      <c r="D1013" s="52">
        <f ca="1">S0*EXP((μ-0.5*σ*σ)*T+σ*SQRT(T)*$C1013)</f>
        <v>0.77309252717205634</v>
      </c>
      <c r="E1013" s="52">
        <f t="shared" ca="1" si="46"/>
        <v>0</v>
      </c>
      <c r="F1013" s="17">
        <f t="shared" ca="1" si="47"/>
        <v>0</v>
      </c>
      <c r="H1013" s="17">
        <v>1004</v>
      </c>
      <c r="I1013" s="45">
        <v>0.67017911453158008</v>
      </c>
      <c r="J1013" s="45">
        <v>1.8439508021947947E-2</v>
      </c>
      <c r="K1013" s="45">
        <v>0.23860000000000001</v>
      </c>
      <c r="N1013" s="54"/>
    </row>
    <row r="1014" spans="2:14" x14ac:dyDescent="0.2">
      <c r="B1014">
        <v>1005</v>
      </c>
      <c r="C1014" s="52">
        <f t="shared" ca="1" si="48"/>
        <v>-0.19854157153953059</v>
      </c>
      <c r="D1014" s="52">
        <f ca="1">S0*EXP((μ-0.5*σ*σ)*T+σ*SQRT(T)*$C1014)</f>
        <v>0.60945298865269326</v>
      </c>
      <c r="E1014" s="52">
        <f t="shared" ca="1" si="46"/>
        <v>0</v>
      </c>
      <c r="F1014" s="17">
        <f t="shared" ca="1" si="47"/>
        <v>0</v>
      </c>
      <c r="H1014" s="17">
        <v>1005</v>
      </c>
      <c r="I1014" s="45">
        <v>0.6710288340253896</v>
      </c>
      <c r="J1014" s="45">
        <v>1.9154393488216358E-2</v>
      </c>
      <c r="K1014" s="45">
        <v>0.245</v>
      </c>
      <c r="N1014" s="54"/>
    </row>
    <row r="1015" spans="2:14" x14ac:dyDescent="0.2">
      <c r="B1015">
        <v>1006</v>
      </c>
      <c r="C1015" s="52">
        <f t="shared" ca="1" si="48"/>
        <v>-0.74462359982541437</v>
      </c>
      <c r="D1015" s="52">
        <f ca="1">S0*EXP((μ-0.5*σ*σ)*T+σ*SQRT(T)*$C1015)</f>
        <v>0.52406042237917327</v>
      </c>
      <c r="E1015" s="52">
        <f t="shared" ca="1" si="46"/>
        <v>1.0339577620826712E-2</v>
      </c>
      <c r="F1015" s="17">
        <f t="shared" ca="1" si="47"/>
        <v>1</v>
      </c>
      <c r="H1015" s="17">
        <v>1006</v>
      </c>
      <c r="I1015" s="45">
        <v>0.67222398351090729</v>
      </c>
      <c r="J1015" s="45">
        <v>1.9951815773168947E-2</v>
      </c>
      <c r="K1015" s="45">
        <v>0.24640000000000001</v>
      </c>
      <c r="N1015" s="54"/>
    </row>
    <row r="1016" spans="2:14" x14ac:dyDescent="0.2">
      <c r="B1016">
        <v>1007</v>
      </c>
      <c r="C1016" s="52">
        <f t="shared" ca="1" si="48"/>
        <v>-0.8287706731763903</v>
      </c>
      <c r="D1016" s="52">
        <f ca="1">S0*EXP((μ-0.5*σ*σ)*T+σ*SQRT(T)*$C1016)</f>
        <v>0.51201094440857831</v>
      </c>
      <c r="E1016" s="52">
        <f t="shared" ca="1" si="46"/>
        <v>2.238905559142168E-2</v>
      </c>
      <c r="F1016" s="17">
        <f t="shared" ca="1" si="47"/>
        <v>1</v>
      </c>
      <c r="H1016" s="17">
        <v>1007</v>
      </c>
      <c r="I1016" s="45">
        <v>0.67026172844825449</v>
      </c>
      <c r="J1016" s="45">
        <v>1.8345961734049839E-2</v>
      </c>
      <c r="K1016" s="45">
        <v>0.24679999999999999</v>
      </c>
      <c r="N1016" s="54"/>
    </row>
    <row r="1017" spans="2:14" x14ac:dyDescent="0.2">
      <c r="B1017">
        <v>1008</v>
      </c>
      <c r="C1017" s="52">
        <f t="shared" ca="1" si="48"/>
        <v>0.36277964142425773</v>
      </c>
      <c r="D1017" s="52">
        <f ca="1">S0*EXP((μ-0.5*σ*σ)*T+σ*SQRT(T)*$C1017)</f>
        <v>0.71175179523870968</v>
      </c>
      <c r="E1017" s="52">
        <f t="shared" ca="1" si="46"/>
        <v>0</v>
      </c>
      <c r="F1017" s="17">
        <f t="shared" ca="1" si="47"/>
        <v>0</v>
      </c>
      <c r="H1017" s="17">
        <v>1008</v>
      </c>
      <c r="I1017" s="45">
        <v>0.67147331953925293</v>
      </c>
      <c r="J1017" s="45">
        <v>1.9441635100955902E-2</v>
      </c>
      <c r="K1017" s="45">
        <v>0.24479999999999999</v>
      </c>
      <c r="N1017" s="54"/>
    </row>
    <row r="1018" spans="2:14" x14ac:dyDescent="0.2">
      <c r="B1018">
        <v>1009</v>
      </c>
      <c r="C1018" s="52">
        <f t="shared" ca="1" si="48"/>
        <v>-0.7107393857589116</v>
      </c>
      <c r="D1018" s="52">
        <f ca="1">S0*EXP((μ-0.5*σ*σ)*T+σ*SQRT(T)*$C1018)</f>
        <v>0.52899219949996001</v>
      </c>
      <c r="E1018" s="52">
        <f t="shared" ca="1" si="46"/>
        <v>5.407800500039972E-3</v>
      </c>
      <c r="F1018" s="17">
        <f t="shared" ca="1" si="47"/>
        <v>1</v>
      </c>
      <c r="H1018" s="17">
        <v>1009</v>
      </c>
      <c r="I1018" s="45">
        <v>0.67044191644100715</v>
      </c>
      <c r="J1018" s="45">
        <v>1.846216305104369E-2</v>
      </c>
      <c r="K1018" s="45">
        <v>0.24</v>
      </c>
      <c r="N1018" s="54"/>
    </row>
    <row r="1019" spans="2:14" x14ac:dyDescent="0.2">
      <c r="B1019">
        <v>1010</v>
      </c>
      <c r="C1019" s="52">
        <f t="shared" ca="1" si="48"/>
        <v>-0.69197527503818967</v>
      </c>
      <c r="D1019" s="52">
        <f ca="1">S0*EXP((μ-0.5*σ*σ)*T+σ*SQRT(T)*$C1019)</f>
        <v>0.53174321608485542</v>
      </c>
      <c r="E1019" s="52">
        <f t="shared" ca="1" si="46"/>
        <v>2.6567839151445671E-3</v>
      </c>
      <c r="F1019" s="17">
        <f t="shared" ca="1" si="47"/>
        <v>1</v>
      </c>
      <c r="H1019" s="17">
        <v>1010</v>
      </c>
      <c r="I1019" s="45">
        <v>0.67159933688805418</v>
      </c>
      <c r="J1019" s="45">
        <v>1.9555078313011891E-2</v>
      </c>
      <c r="K1019" s="45">
        <v>0.25019999999999998</v>
      </c>
      <c r="N1019" s="54"/>
    </row>
    <row r="1020" spans="2:14" x14ac:dyDescent="0.2">
      <c r="B1020">
        <v>1011</v>
      </c>
      <c r="C1020" s="52">
        <f t="shared" ca="1" si="48"/>
        <v>0.30496112553141158</v>
      </c>
      <c r="D1020" s="52">
        <f ca="1">S0*EXP((μ-0.5*σ*σ)*T+σ*SQRT(T)*$C1020)</f>
        <v>0.70046635230456189</v>
      </c>
      <c r="E1020" s="52">
        <f t="shared" ca="1" si="46"/>
        <v>0</v>
      </c>
      <c r="F1020" s="17">
        <f t="shared" ca="1" si="47"/>
        <v>0</v>
      </c>
      <c r="H1020" s="17">
        <v>1011</v>
      </c>
      <c r="I1020" s="45">
        <v>0.67044422888958766</v>
      </c>
      <c r="J1020" s="45">
        <v>1.8614170305115228E-2</v>
      </c>
      <c r="K1020" s="45">
        <v>0.24779999999999999</v>
      </c>
      <c r="N1020" s="54"/>
    </row>
    <row r="1021" spans="2:14" x14ac:dyDescent="0.2">
      <c r="B1021">
        <v>1012</v>
      </c>
      <c r="C1021" s="52">
        <f t="shared" ca="1" si="48"/>
        <v>0.17205768364943413</v>
      </c>
      <c r="D1021" s="52">
        <f ca="1">S0*EXP((μ-0.5*σ*σ)*T+σ*SQRT(T)*$C1021)</f>
        <v>0.67519902439682744</v>
      </c>
      <c r="E1021" s="52">
        <f t="shared" ca="1" si="46"/>
        <v>0</v>
      </c>
      <c r="F1021" s="17">
        <f t="shared" ca="1" si="47"/>
        <v>0</v>
      </c>
      <c r="H1021" s="17">
        <v>1012</v>
      </c>
      <c r="I1021" s="45">
        <v>0.67075220903580579</v>
      </c>
      <c r="J1021" s="45">
        <v>1.8714632473534831E-2</v>
      </c>
      <c r="K1021" s="45">
        <v>0.2414</v>
      </c>
      <c r="N1021" s="54"/>
    </row>
    <row r="1022" spans="2:14" x14ac:dyDescent="0.2">
      <c r="B1022">
        <v>1013</v>
      </c>
      <c r="C1022" s="52">
        <f t="shared" ca="1" si="48"/>
        <v>1.227055019600485</v>
      </c>
      <c r="D1022" s="52">
        <f ca="1">S0*EXP((μ-0.5*σ*σ)*T+σ*SQRT(T)*$C1022)</f>
        <v>0.9038316029875606</v>
      </c>
      <c r="E1022" s="52">
        <f t="shared" ca="1" si="46"/>
        <v>0</v>
      </c>
      <c r="F1022" s="17">
        <f t="shared" ca="1" si="47"/>
        <v>0</v>
      </c>
      <c r="H1022" s="17">
        <v>1013</v>
      </c>
      <c r="I1022" s="45">
        <v>0.67026885941158021</v>
      </c>
      <c r="J1022" s="45">
        <v>1.8970539065301599E-2</v>
      </c>
      <c r="K1022" s="45">
        <v>0.25259999999999999</v>
      </c>
      <c r="N1022" s="54"/>
    </row>
    <row r="1023" spans="2:14" x14ac:dyDescent="0.2">
      <c r="B1023">
        <v>1014</v>
      </c>
      <c r="C1023" s="52">
        <f t="shared" ca="1" si="48"/>
        <v>0.20359895960663971</v>
      </c>
      <c r="D1023" s="52">
        <f ca="1">S0*EXP((μ-0.5*σ*σ)*T+σ*SQRT(T)*$C1023)</f>
        <v>0.68111184736055075</v>
      </c>
      <c r="E1023" s="52">
        <f t="shared" ca="1" si="46"/>
        <v>0</v>
      </c>
      <c r="F1023" s="17">
        <f t="shared" ca="1" si="47"/>
        <v>0</v>
      </c>
      <c r="H1023" s="17">
        <v>1014</v>
      </c>
      <c r="I1023" s="45">
        <v>0.67108430372316152</v>
      </c>
      <c r="J1023" s="45">
        <v>1.9195953161967965E-2</v>
      </c>
      <c r="K1023" s="45">
        <v>0.24979999999999999</v>
      </c>
      <c r="N1023" s="54"/>
    </row>
    <row r="1024" spans="2:14" x14ac:dyDescent="0.2">
      <c r="B1024">
        <v>1015</v>
      </c>
      <c r="C1024" s="52">
        <f t="shared" ca="1" si="48"/>
        <v>1.4007539302182639</v>
      </c>
      <c r="D1024" s="52">
        <f ca="1">S0*EXP((μ-0.5*σ*σ)*T+σ*SQRT(T)*$C1024)</f>
        <v>0.94828879271271826</v>
      </c>
      <c r="E1024" s="52">
        <f t="shared" ca="1" si="46"/>
        <v>0</v>
      </c>
      <c r="F1024" s="17">
        <f t="shared" ca="1" si="47"/>
        <v>0</v>
      </c>
      <c r="H1024" s="17">
        <v>1015</v>
      </c>
      <c r="I1024" s="45">
        <v>0.67008473284652315</v>
      </c>
      <c r="J1024" s="45">
        <v>1.8429712392784948E-2</v>
      </c>
      <c r="K1024" s="45">
        <v>0.2402</v>
      </c>
      <c r="N1024" s="54"/>
    </row>
    <row r="1025" spans="2:14" x14ac:dyDescent="0.2">
      <c r="B1025">
        <v>1016</v>
      </c>
      <c r="C1025" s="52">
        <f t="shared" ca="1" si="48"/>
        <v>1.6629368423113702</v>
      </c>
      <c r="D1025" s="52">
        <f ca="1">S0*EXP((μ-0.5*σ*σ)*T+σ*SQRT(T)*$C1025)</f>
        <v>1.0195686970079603</v>
      </c>
      <c r="E1025" s="52">
        <f t="shared" ca="1" si="46"/>
        <v>0</v>
      </c>
      <c r="F1025" s="17">
        <f t="shared" ca="1" si="47"/>
        <v>0</v>
      </c>
      <c r="H1025" s="17">
        <v>1016</v>
      </c>
      <c r="I1025" s="45">
        <v>0.67051936790243882</v>
      </c>
      <c r="J1025" s="45">
        <v>1.8810784083872444E-2</v>
      </c>
      <c r="K1025" s="45">
        <v>0.24859999999999999</v>
      </c>
      <c r="N1025" s="54"/>
    </row>
    <row r="1026" spans="2:14" x14ac:dyDescent="0.2">
      <c r="B1026">
        <v>1017</v>
      </c>
      <c r="C1026" s="52">
        <f t="shared" ca="1" si="48"/>
        <v>-0.59286742968090267</v>
      </c>
      <c r="D1026" s="52">
        <f ca="1">S0*EXP((μ-0.5*σ*σ)*T+σ*SQRT(T)*$C1026)</f>
        <v>0.54651258025640825</v>
      </c>
      <c r="E1026" s="52">
        <f t="shared" ca="1" si="46"/>
        <v>0</v>
      </c>
      <c r="F1026" s="17">
        <f t="shared" ca="1" si="47"/>
        <v>0</v>
      </c>
      <c r="H1026" s="17">
        <v>1017</v>
      </c>
      <c r="I1026" s="45">
        <v>0.67103180306759325</v>
      </c>
      <c r="J1026" s="45">
        <v>1.9127321377069389E-2</v>
      </c>
      <c r="K1026" s="45">
        <v>0.24340000000000001</v>
      </c>
      <c r="N1026" s="54"/>
    </row>
    <row r="1027" spans="2:14" x14ac:dyDescent="0.2">
      <c r="B1027">
        <v>1018</v>
      </c>
      <c r="C1027" s="52">
        <f t="shared" ca="1" si="48"/>
        <v>-1.4815345758481442</v>
      </c>
      <c r="D1027" s="52">
        <f ca="1">S0*EXP((μ-0.5*σ*σ)*T+σ*SQRT(T)*$C1027)</f>
        <v>0.427477149119458</v>
      </c>
      <c r="E1027" s="52">
        <f t="shared" ca="1" si="46"/>
        <v>0.10692285088054199</v>
      </c>
      <c r="F1027" s="17">
        <f t="shared" ca="1" si="47"/>
        <v>1</v>
      </c>
      <c r="H1027" s="17">
        <v>1018</v>
      </c>
      <c r="I1027" s="45">
        <v>0.67065224120348044</v>
      </c>
      <c r="J1027" s="45">
        <v>1.8755766122785351E-2</v>
      </c>
      <c r="K1027" s="45">
        <v>0.24399999999999999</v>
      </c>
      <c r="N1027" s="54"/>
    </row>
    <row r="1028" spans="2:14" x14ac:dyDescent="0.2">
      <c r="B1028">
        <v>1019</v>
      </c>
      <c r="C1028" s="52">
        <f t="shared" ca="1" si="48"/>
        <v>7.2263839835975188E-2</v>
      </c>
      <c r="D1028" s="52">
        <f ca="1">S0*EXP((μ-0.5*σ*σ)*T+σ*SQRT(T)*$C1028)</f>
        <v>0.6568273741586913</v>
      </c>
      <c r="E1028" s="52">
        <f t="shared" ca="1" si="46"/>
        <v>0</v>
      </c>
      <c r="F1028" s="17">
        <f t="shared" ca="1" si="47"/>
        <v>0</v>
      </c>
      <c r="H1028" s="17">
        <v>1019</v>
      </c>
      <c r="I1028" s="45">
        <v>0.67095857172314832</v>
      </c>
      <c r="J1028" s="45">
        <v>1.898517567627268E-2</v>
      </c>
      <c r="K1028" s="45">
        <v>0.24079999999999999</v>
      </c>
      <c r="N1028" s="54"/>
    </row>
    <row r="1029" spans="2:14" x14ac:dyDescent="0.2">
      <c r="B1029">
        <v>1020</v>
      </c>
      <c r="C1029" s="52">
        <f t="shared" ca="1" si="48"/>
        <v>1.9124811683989842</v>
      </c>
      <c r="D1029" s="52">
        <f ca="1">S0*EXP((μ-0.5*σ*σ)*T+σ*SQRT(T)*$C1029)</f>
        <v>1.0923833370392773</v>
      </c>
      <c r="E1029" s="52">
        <f t="shared" ca="1" si="46"/>
        <v>0</v>
      </c>
      <c r="F1029" s="17">
        <f t="shared" ca="1" si="47"/>
        <v>0</v>
      </c>
      <c r="H1029" s="17">
        <v>1020</v>
      </c>
      <c r="I1029" s="45">
        <v>0.66937417471988825</v>
      </c>
      <c r="J1029" s="45">
        <v>1.7870109883080805E-2</v>
      </c>
      <c r="K1029" s="45">
        <v>0.23860000000000001</v>
      </c>
      <c r="N1029" s="54"/>
    </row>
    <row r="1030" spans="2:14" x14ac:dyDescent="0.2">
      <c r="B1030">
        <v>1021</v>
      </c>
      <c r="C1030" s="52">
        <f t="shared" ca="1" si="48"/>
        <v>1.3176197393007192</v>
      </c>
      <c r="D1030" s="52">
        <f ca="1">S0*EXP((μ-0.5*σ*σ)*T+σ*SQRT(T)*$C1030)</f>
        <v>0.92674467508049418</v>
      </c>
      <c r="E1030" s="52">
        <f t="shared" ca="1" si="46"/>
        <v>0</v>
      </c>
      <c r="F1030" s="17">
        <f t="shared" ca="1" si="47"/>
        <v>0</v>
      </c>
      <c r="H1030" s="17">
        <v>1021</v>
      </c>
      <c r="I1030" s="45">
        <v>0.67139286538770904</v>
      </c>
      <c r="J1030" s="45">
        <v>1.9149257371692839E-2</v>
      </c>
      <c r="K1030" s="45">
        <v>0.24440000000000001</v>
      </c>
      <c r="N1030" s="54"/>
    </row>
    <row r="1031" spans="2:14" x14ac:dyDescent="0.2">
      <c r="B1031">
        <v>1022</v>
      </c>
      <c r="C1031" s="52">
        <f t="shared" ca="1" si="48"/>
        <v>0.70257132656668897</v>
      </c>
      <c r="D1031" s="52">
        <f ca="1">S0*EXP((μ-0.5*σ*σ)*T+σ*SQRT(T)*$C1031)</f>
        <v>0.78184672528685983</v>
      </c>
      <c r="E1031" s="52">
        <f t="shared" ca="1" si="46"/>
        <v>0</v>
      </c>
      <c r="F1031" s="17">
        <f t="shared" ca="1" si="47"/>
        <v>0</v>
      </c>
      <c r="H1031" s="17">
        <v>1022</v>
      </c>
      <c r="I1031" s="45">
        <v>0.67001152459432378</v>
      </c>
      <c r="J1031" s="45">
        <v>1.8195195390213137E-2</v>
      </c>
      <c r="K1031" s="45">
        <v>0.247</v>
      </c>
      <c r="N1031" s="54"/>
    </row>
    <row r="1032" spans="2:14" x14ac:dyDescent="0.2">
      <c r="B1032">
        <v>1023</v>
      </c>
      <c r="C1032" s="52">
        <f t="shared" ca="1" si="48"/>
        <v>0.26742301164164251</v>
      </c>
      <c r="D1032" s="52">
        <f ca="1">S0*EXP((μ-0.5*σ*σ)*T+σ*SQRT(T)*$C1032)</f>
        <v>0.69323536644080253</v>
      </c>
      <c r="E1032" s="52">
        <f t="shared" ca="1" si="46"/>
        <v>0</v>
      </c>
      <c r="F1032" s="17">
        <f t="shared" ca="1" si="47"/>
        <v>0</v>
      </c>
      <c r="H1032" s="17">
        <v>1023</v>
      </c>
      <c r="I1032" s="45">
        <v>0.67059434836801302</v>
      </c>
      <c r="J1032" s="45">
        <v>1.8795720531853854E-2</v>
      </c>
      <c r="K1032" s="45">
        <v>0.24759999999999999</v>
      </c>
      <c r="N1032" s="54"/>
    </row>
    <row r="1033" spans="2:14" x14ac:dyDescent="0.2">
      <c r="B1033">
        <v>1024</v>
      </c>
      <c r="C1033" s="52">
        <f t="shared" ca="1" si="48"/>
        <v>1.0716063990745675</v>
      </c>
      <c r="D1033" s="52">
        <f ca="1">S0*EXP((μ-0.5*σ*σ)*T+σ*SQRT(T)*$C1033)</f>
        <v>0.86581564976755609</v>
      </c>
      <c r="E1033" s="52">
        <f t="shared" ca="1" si="46"/>
        <v>0</v>
      </c>
      <c r="F1033" s="17">
        <f t="shared" ca="1" si="47"/>
        <v>0</v>
      </c>
      <c r="H1033" s="17">
        <v>1024</v>
      </c>
      <c r="I1033" s="45">
        <v>0.67226450160457307</v>
      </c>
      <c r="J1033" s="45">
        <v>1.9704894294656532E-2</v>
      </c>
      <c r="K1033" s="45">
        <v>0.25240000000000001</v>
      </c>
      <c r="N1033" s="54"/>
    </row>
    <row r="1034" spans="2:14" x14ac:dyDescent="0.2">
      <c r="B1034">
        <v>1025</v>
      </c>
      <c r="C1034" s="52">
        <f t="shared" ca="1" si="48"/>
        <v>0.63372989409348235</v>
      </c>
      <c r="D1034" s="52">
        <f ca="1">S0*EXP((μ-0.5*σ*σ)*T+σ*SQRT(T)*$C1034)</f>
        <v>0.76710884987057693</v>
      </c>
      <c r="E1034" s="52">
        <f t="shared" ref="E1034:E1097" ca="1" si="49">MAX(0,CP*(D1034-K))</f>
        <v>0</v>
      </c>
      <c r="F1034" s="17">
        <f t="shared" ref="F1034:F1097" ca="1" si="50">(CP*(D1034-K)&gt;0)*1</f>
        <v>0</v>
      </c>
      <c r="H1034" s="17">
        <v>1025</v>
      </c>
      <c r="I1034" s="45">
        <v>0.67154517748999665</v>
      </c>
      <c r="J1034" s="45">
        <v>1.9357151341710028E-2</v>
      </c>
      <c r="K1034" s="45">
        <v>0.25340000000000001</v>
      </c>
      <c r="N1034" s="54"/>
    </row>
    <row r="1035" spans="2:14" x14ac:dyDescent="0.2">
      <c r="B1035">
        <v>1026</v>
      </c>
      <c r="C1035" s="52">
        <f t="shared" ref="C1035:C1098" ca="1" si="51">_xlfn.NORM.S.INV(RAND())</f>
        <v>-1.0760430368202103</v>
      </c>
      <c r="D1035" s="52">
        <f ca="1">S0*EXP((μ-0.5*σ*σ)*T+σ*SQRT(T)*$C1035)</f>
        <v>0.47818222310515135</v>
      </c>
      <c r="E1035" s="52">
        <f t="shared" ca="1" si="49"/>
        <v>5.6217776894848637E-2</v>
      </c>
      <c r="F1035" s="17">
        <f t="shared" ca="1" si="50"/>
        <v>1</v>
      </c>
      <c r="H1035" s="17">
        <v>1026</v>
      </c>
      <c r="I1035" s="45">
        <v>0.67144839211470631</v>
      </c>
      <c r="J1035" s="45">
        <v>1.9541997012030618E-2</v>
      </c>
      <c r="K1035" s="45">
        <v>0.24979999999999999</v>
      </c>
      <c r="N1035" s="54"/>
    </row>
    <row r="1036" spans="2:14" x14ac:dyDescent="0.2">
      <c r="B1036">
        <v>1027</v>
      </c>
      <c r="C1036" s="52">
        <f t="shared" ca="1" si="51"/>
        <v>0.2073530039457116</v>
      </c>
      <c r="D1036" s="52">
        <f ca="1">S0*EXP((μ-0.5*σ*σ)*T+σ*SQRT(T)*$C1036)</f>
        <v>0.68181903118109433</v>
      </c>
      <c r="E1036" s="52">
        <f t="shared" ca="1" si="49"/>
        <v>0</v>
      </c>
      <c r="F1036" s="17">
        <f t="shared" ca="1" si="50"/>
        <v>0</v>
      </c>
      <c r="H1036" s="17">
        <v>1027</v>
      </c>
      <c r="I1036" s="45">
        <v>0.6709792692039056</v>
      </c>
      <c r="J1036" s="45">
        <v>1.8942090444857236E-2</v>
      </c>
      <c r="K1036" s="45">
        <v>0.24759999999999999</v>
      </c>
      <c r="N1036" s="54"/>
    </row>
    <row r="1037" spans="2:14" x14ac:dyDescent="0.2">
      <c r="B1037">
        <v>1028</v>
      </c>
      <c r="C1037" s="52">
        <f t="shared" ca="1" si="51"/>
        <v>2.1972751129492245E-2</v>
      </c>
      <c r="D1037" s="52">
        <f ca="1">S0*EXP((μ-0.5*σ*σ)*T+σ*SQRT(T)*$C1037)</f>
        <v>0.64775927835210445</v>
      </c>
      <c r="E1037" s="52">
        <f t="shared" ca="1" si="49"/>
        <v>0</v>
      </c>
      <c r="F1037" s="17">
        <f t="shared" ca="1" si="50"/>
        <v>0</v>
      </c>
      <c r="H1037" s="17">
        <v>1028</v>
      </c>
      <c r="I1037" s="45">
        <v>0.67205956703578551</v>
      </c>
      <c r="J1037" s="45">
        <v>1.9936946380952371E-2</v>
      </c>
      <c r="K1037" s="45">
        <v>0.25080000000000002</v>
      </c>
      <c r="N1037" s="54"/>
    </row>
    <row r="1038" spans="2:14" x14ac:dyDescent="0.2">
      <c r="B1038">
        <v>1029</v>
      </c>
      <c r="C1038" s="52">
        <f t="shared" ca="1" si="51"/>
        <v>0.26170786966383203</v>
      </c>
      <c r="D1038" s="52">
        <f ca="1">S0*EXP((μ-0.5*σ*σ)*T+σ*SQRT(T)*$C1038)</f>
        <v>0.69214102249077136</v>
      </c>
      <c r="E1038" s="52">
        <f t="shared" ca="1" si="49"/>
        <v>0</v>
      </c>
      <c r="F1038" s="17">
        <f t="shared" ca="1" si="50"/>
        <v>0</v>
      </c>
      <c r="H1038" s="17">
        <v>1029</v>
      </c>
      <c r="I1038" s="45">
        <v>0.67035671684726272</v>
      </c>
      <c r="J1038" s="45">
        <v>1.8614624655437343E-2</v>
      </c>
      <c r="K1038" s="45">
        <v>0.24179999999999999</v>
      </c>
      <c r="N1038" s="54"/>
    </row>
    <row r="1039" spans="2:14" x14ac:dyDescent="0.2">
      <c r="B1039">
        <v>1030</v>
      </c>
      <c r="C1039" s="52">
        <f t="shared" ca="1" si="51"/>
        <v>-1.3690387235159702</v>
      </c>
      <c r="D1039" s="52">
        <f ca="1">S0*EXP((μ-0.5*σ*σ)*T+σ*SQRT(T)*$C1039)</f>
        <v>0.44097948088486433</v>
      </c>
      <c r="E1039" s="52">
        <f t="shared" ca="1" si="49"/>
        <v>9.3420519115135658E-2</v>
      </c>
      <c r="F1039" s="17">
        <f t="shared" ca="1" si="50"/>
        <v>1</v>
      </c>
      <c r="H1039" s="17">
        <v>1030</v>
      </c>
      <c r="I1039" s="45">
        <v>0.67159166639456314</v>
      </c>
      <c r="J1039" s="45">
        <v>1.9111650800151231E-2</v>
      </c>
      <c r="K1039" s="45">
        <v>0.25040000000000001</v>
      </c>
      <c r="N1039" s="54"/>
    </row>
    <row r="1040" spans="2:14" x14ac:dyDescent="0.2">
      <c r="B1040">
        <v>1031</v>
      </c>
      <c r="C1040" s="52">
        <f t="shared" ca="1" si="51"/>
        <v>1.7680667660568192</v>
      </c>
      <c r="D1040" s="52">
        <f ca="1">S0*EXP((μ-0.5*σ*σ)*T+σ*SQRT(T)*$C1040)</f>
        <v>1.0496334634670828</v>
      </c>
      <c r="E1040" s="52">
        <f t="shared" ca="1" si="49"/>
        <v>0</v>
      </c>
      <c r="F1040" s="17">
        <f t="shared" ca="1" si="50"/>
        <v>0</v>
      </c>
      <c r="H1040" s="17">
        <v>1031</v>
      </c>
      <c r="I1040" s="45">
        <v>0.67133067788235212</v>
      </c>
      <c r="J1040" s="45">
        <v>1.9247545202163052E-2</v>
      </c>
      <c r="K1040" s="45">
        <v>0.253</v>
      </c>
      <c r="N1040" s="54"/>
    </row>
    <row r="1041" spans="2:14" x14ac:dyDescent="0.2">
      <c r="B1041">
        <v>1032</v>
      </c>
      <c r="C1041" s="52">
        <f t="shared" ca="1" si="51"/>
        <v>-1.3456401679612819</v>
      </c>
      <c r="D1041" s="52">
        <f ca="1">S0*EXP((μ-0.5*σ*σ)*T+σ*SQRT(T)*$C1041)</f>
        <v>0.44384103421265353</v>
      </c>
      <c r="E1041" s="52">
        <f t="shared" ca="1" si="49"/>
        <v>9.0558965787346457E-2</v>
      </c>
      <c r="F1041" s="17">
        <f t="shared" ca="1" si="50"/>
        <v>1</v>
      </c>
      <c r="H1041" s="17">
        <v>1032</v>
      </c>
      <c r="I1041" s="45">
        <v>0.67110052595831826</v>
      </c>
      <c r="J1041" s="45">
        <v>1.8834136533391607E-2</v>
      </c>
      <c r="K1041" s="45">
        <v>0.24879999999999999</v>
      </c>
      <c r="N1041" s="54"/>
    </row>
    <row r="1042" spans="2:14" x14ac:dyDescent="0.2">
      <c r="B1042">
        <v>1033</v>
      </c>
      <c r="C1042" s="52">
        <f t="shared" ca="1" si="51"/>
        <v>-1.4390231475496984</v>
      </c>
      <c r="D1042" s="52">
        <f ca="1">S0*EXP((μ-0.5*σ*σ)*T+σ*SQRT(T)*$C1042)</f>
        <v>0.43253029733148146</v>
      </c>
      <c r="E1042" s="52">
        <f t="shared" ca="1" si="49"/>
        <v>0.10186970266851852</v>
      </c>
      <c r="F1042" s="17">
        <f t="shared" ca="1" si="50"/>
        <v>1</v>
      </c>
      <c r="H1042" s="17">
        <v>1033</v>
      </c>
      <c r="I1042" s="45">
        <v>0.67200961035041495</v>
      </c>
      <c r="J1042" s="45">
        <v>1.9554510361851754E-2</v>
      </c>
      <c r="K1042" s="45">
        <v>0.24840000000000001</v>
      </c>
      <c r="N1042" s="54"/>
    </row>
    <row r="1043" spans="2:14" x14ac:dyDescent="0.2">
      <c r="B1043">
        <v>1034</v>
      </c>
      <c r="C1043" s="52">
        <f t="shared" ca="1" si="51"/>
        <v>-0.68901076663391236</v>
      </c>
      <c r="D1043" s="52">
        <f ca="1">S0*EXP((μ-0.5*σ*σ)*T+σ*SQRT(T)*$C1043)</f>
        <v>0.53217915107318825</v>
      </c>
      <c r="E1043" s="52">
        <f t="shared" ca="1" si="49"/>
        <v>2.220848926811736E-3</v>
      </c>
      <c r="F1043" s="17">
        <f t="shared" ca="1" si="50"/>
        <v>1</v>
      </c>
      <c r="H1043" s="17">
        <v>1034</v>
      </c>
      <c r="I1043" s="45">
        <v>0.67104844318944912</v>
      </c>
      <c r="J1043" s="45">
        <v>1.9362166388961308E-2</v>
      </c>
      <c r="K1043" s="45">
        <v>0.25019999999999998</v>
      </c>
      <c r="N1043" s="54"/>
    </row>
    <row r="1044" spans="2:14" x14ac:dyDescent="0.2">
      <c r="B1044">
        <v>1035</v>
      </c>
      <c r="C1044" s="52">
        <f t="shared" ca="1" si="51"/>
        <v>-1.9362168638227994</v>
      </c>
      <c r="D1044" s="52">
        <f ca="1">S0*EXP((μ-0.5*σ*σ)*T+σ*SQRT(T)*$C1044)</f>
        <v>0.37698743844312493</v>
      </c>
      <c r="E1044" s="52">
        <f t="shared" ca="1" si="49"/>
        <v>0.15741256155687505</v>
      </c>
      <c r="F1044" s="17">
        <f t="shared" ca="1" si="50"/>
        <v>1</v>
      </c>
      <c r="H1044" s="17">
        <v>1035</v>
      </c>
      <c r="I1044" s="45">
        <v>0.67047109520660242</v>
      </c>
      <c r="J1044" s="45">
        <v>1.8830994278659245E-2</v>
      </c>
      <c r="K1044" s="45">
        <v>0.24740000000000001</v>
      </c>
      <c r="N1044" s="54"/>
    </row>
    <row r="1045" spans="2:14" x14ac:dyDescent="0.2">
      <c r="B1045">
        <v>1036</v>
      </c>
      <c r="C1045" s="52">
        <f t="shared" ca="1" si="51"/>
        <v>5.6469832155856103E-2</v>
      </c>
      <c r="D1045" s="52">
        <f ca="1">S0*EXP((μ-0.5*σ*σ)*T+σ*SQRT(T)*$C1045)</f>
        <v>0.65396593183819562</v>
      </c>
      <c r="E1045" s="52">
        <f t="shared" ca="1" si="49"/>
        <v>0</v>
      </c>
      <c r="F1045" s="17">
        <f t="shared" ca="1" si="50"/>
        <v>0</v>
      </c>
      <c r="H1045" s="17">
        <v>1036</v>
      </c>
      <c r="I1045" s="45">
        <v>0.67147050462482205</v>
      </c>
      <c r="J1045" s="45">
        <v>1.9529575600492295E-2</v>
      </c>
      <c r="K1045" s="45">
        <v>0.24640000000000001</v>
      </c>
      <c r="N1045" s="54"/>
    </row>
    <row r="1046" spans="2:14" x14ac:dyDescent="0.2">
      <c r="B1046">
        <v>1037</v>
      </c>
      <c r="C1046" s="52">
        <f t="shared" ca="1" si="51"/>
        <v>1.2082161161783553</v>
      </c>
      <c r="D1046" s="52">
        <f ca="1">S0*EXP((μ-0.5*σ*σ)*T+σ*SQRT(T)*$C1046)</f>
        <v>0.89913696703434942</v>
      </c>
      <c r="E1046" s="52">
        <f t="shared" ca="1" si="49"/>
        <v>0</v>
      </c>
      <c r="F1046" s="17">
        <f t="shared" ca="1" si="50"/>
        <v>0</v>
      </c>
      <c r="H1046" s="17">
        <v>1037</v>
      </c>
      <c r="I1046" s="45">
        <v>0.67119193073257488</v>
      </c>
      <c r="J1046" s="45">
        <v>1.9146517593849156E-2</v>
      </c>
      <c r="K1046" s="45">
        <v>0.2462</v>
      </c>
      <c r="N1046" s="54"/>
    </row>
    <row r="1047" spans="2:14" x14ac:dyDescent="0.2">
      <c r="B1047">
        <v>1038</v>
      </c>
      <c r="C1047" s="52">
        <f t="shared" ca="1" si="51"/>
        <v>-2.1721623011885862</v>
      </c>
      <c r="D1047" s="52">
        <f ca="1">S0*EXP((μ-0.5*σ*σ)*T+σ*SQRT(T)*$C1047)</f>
        <v>0.35318389734368172</v>
      </c>
      <c r="E1047" s="52">
        <f t="shared" ca="1" si="49"/>
        <v>0.18121610265631827</v>
      </c>
      <c r="F1047" s="17">
        <f t="shared" ca="1" si="50"/>
        <v>1</v>
      </c>
      <c r="H1047" s="17">
        <v>1038</v>
      </c>
      <c r="I1047" s="45">
        <v>0.67101150988175806</v>
      </c>
      <c r="J1047" s="45">
        <v>1.8964323589230194E-2</v>
      </c>
      <c r="K1047" s="45">
        <v>0.2442</v>
      </c>
      <c r="N1047" s="54"/>
    </row>
    <row r="1048" spans="2:14" x14ac:dyDescent="0.2">
      <c r="B1048">
        <v>1039</v>
      </c>
      <c r="C1048" s="52">
        <f t="shared" ca="1" si="51"/>
        <v>0.94788442494171754</v>
      </c>
      <c r="D1048" s="52">
        <f ca="1">S0*EXP((μ-0.5*σ*σ)*T+σ*SQRT(T)*$C1048)</f>
        <v>0.83670472805392548</v>
      </c>
      <c r="E1048" s="52">
        <f t="shared" ca="1" si="49"/>
        <v>0</v>
      </c>
      <c r="F1048" s="17">
        <f t="shared" ca="1" si="50"/>
        <v>0</v>
      </c>
      <c r="H1048" s="17">
        <v>1039</v>
      </c>
      <c r="I1048" s="45">
        <v>0.67108599942747205</v>
      </c>
      <c r="J1048" s="45">
        <v>1.9475061665698196E-2</v>
      </c>
      <c r="K1048" s="45">
        <v>0.25</v>
      </c>
      <c r="N1048" s="54"/>
    </row>
    <row r="1049" spans="2:14" x14ac:dyDescent="0.2">
      <c r="B1049">
        <v>1040</v>
      </c>
      <c r="C1049" s="52">
        <f t="shared" ca="1" si="51"/>
        <v>-1.3100161835480824E-2</v>
      </c>
      <c r="D1049" s="52">
        <f ca="1">S0*EXP((μ-0.5*σ*σ)*T+σ*SQRT(T)*$C1049)</f>
        <v>0.64150940817041113</v>
      </c>
      <c r="E1049" s="52">
        <f t="shared" ca="1" si="49"/>
        <v>0</v>
      </c>
      <c r="F1049" s="17">
        <f t="shared" ca="1" si="50"/>
        <v>0</v>
      </c>
      <c r="H1049" s="17">
        <v>1040</v>
      </c>
      <c r="I1049" s="45">
        <v>0.66983632749134625</v>
      </c>
      <c r="J1049" s="45">
        <v>1.8303436532657983E-2</v>
      </c>
      <c r="K1049" s="45">
        <v>0.24540000000000001</v>
      </c>
      <c r="N1049" s="54"/>
    </row>
    <row r="1050" spans="2:14" x14ac:dyDescent="0.2">
      <c r="B1050">
        <v>1041</v>
      </c>
      <c r="C1050" s="52">
        <f t="shared" ca="1" si="51"/>
        <v>-0.41714059365180889</v>
      </c>
      <c r="D1050" s="52">
        <f ca="1">S0*EXP((μ-0.5*σ*σ)*T+σ*SQRT(T)*$C1050)</f>
        <v>0.57371567731923112</v>
      </c>
      <c r="E1050" s="52">
        <f t="shared" ca="1" si="49"/>
        <v>0</v>
      </c>
      <c r="F1050" s="17">
        <f t="shared" ca="1" si="50"/>
        <v>0</v>
      </c>
      <c r="H1050" s="17">
        <v>1041</v>
      </c>
      <c r="I1050" s="45">
        <v>0.67195004081725596</v>
      </c>
      <c r="J1050" s="45">
        <v>1.9795599904189068E-2</v>
      </c>
      <c r="K1050" s="45">
        <v>0.2472</v>
      </c>
      <c r="N1050" s="54"/>
    </row>
    <row r="1051" spans="2:14" x14ac:dyDescent="0.2">
      <c r="B1051">
        <v>1042</v>
      </c>
      <c r="C1051" s="52">
        <f t="shared" ca="1" si="51"/>
        <v>-0.78134787823050322</v>
      </c>
      <c r="D1051" s="52">
        <f ca="1">S0*EXP((μ-0.5*σ*σ)*T+σ*SQRT(T)*$C1051)</f>
        <v>0.51876718722162884</v>
      </c>
      <c r="E1051" s="52">
        <f t="shared" ca="1" si="49"/>
        <v>1.5632812778371141E-2</v>
      </c>
      <c r="F1051" s="17">
        <f t="shared" ca="1" si="50"/>
        <v>1</v>
      </c>
      <c r="H1051" s="17">
        <v>1042</v>
      </c>
      <c r="I1051" s="45">
        <v>0.67088721528007544</v>
      </c>
      <c r="J1051" s="45">
        <v>1.8807714816326874E-2</v>
      </c>
      <c r="K1051" s="45">
        <v>0.24060000000000001</v>
      </c>
      <c r="N1051" s="54"/>
    </row>
    <row r="1052" spans="2:14" x14ac:dyDescent="0.2">
      <c r="B1052">
        <v>1043</v>
      </c>
      <c r="C1052" s="52">
        <f t="shared" ca="1" si="51"/>
        <v>-1.0662534281159373</v>
      </c>
      <c r="D1052" s="52">
        <f ca="1">S0*EXP((μ-0.5*σ*σ)*T+σ*SQRT(T)*$C1052)</f>
        <v>0.47947801616874547</v>
      </c>
      <c r="E1052" s="52">
        <f t="shared" ca="1" si="49"/>
        <v>5.4921983831254517E-2</v>
      </c>
      <c r="F1052" s="17">
        <f t="shared" ca="1" si="50"/>
        <v>1</v>
      </c>
      <c r="H1052" s="17">
        <v>1043</v>
      </c>
      <c r="I1052" s="45">
        <v>0.66901157071825834</v>
      </c>
      <c r="J1052" s="45">
        <v>1.7609239562249364E-2</v>
      </c>
      <c r="K1052" s="45">
        <v>0.2414</v>
      </c>
      <c r="N1052" s="54"/>
    </row>
    <row r="1053" spans="2:14" x14ac:dyDescent="0.2">
      <c r="B1053">
        <v>1044</v>
      </c>
      <c r="C1053" s="52">
        <f t="shared" ca="1" si="51"/>
        <v>1.0179316314824027</v>
      </c>
      <c r="D1053" s="52">
        <f ca="1">S0*EXP((μ-0.5*σ*σ)*T+σ*SQRT(T)*$C1053)</f>
        <v>0.85306398760356372</v>
      </c>
      <c r="E1053" s="52">
        <f t="shared" ca="1" si="49"/>
        <v>0</v>
      </c>
      <c r="F1053" s="17">
        <f t="shared" ca="1" si="50"/>
        <v>0</v>
      </c>
      <c r="H1053" s="17">
        <v>1044</v>
      </c>
      <c r="I1053" s="45">
        <v>0.67141913754252724</v>
      </c>
      <c r="J1053" s="45">
        <v>1.951086049142545E-2</v>
      </c>
      <c r="K1053" s="45">
        <v>0.24679999999999999</v>
      </c>
      <c r="N1053" s="54"/>
    </row>
    <row r="1054" spans="2:14" x14ac:dyDescent="0.2">
      <c r="B1054">
        <v>1045</v>
      </c>
      <c r="C1054" s="52">
        <f t="shared" ca="1" si="51"/>
        <v>-0.8546761910075632</v>
      </c>
      <c r="D1054" s="52">
        <f ca="1">S0*EXP((μ-0.5*σ*σ)*T+σ*SQRT(T)*$C1054)</f>
        <v>0.50835746593362985</v>
      </c>
      <c r="E1054" s="52">
        <f t="shared" ca="1" si="49"/>
        <v>2.6042534066370138E-2</v>
      </c>
      <c r="F1054" s="17">
        <f t="shared" ca="1" si="50"/>
        <v>1</v>
      </c>
      <c r="H1054" s="17">
        <v>1045</v>
      </c>
      <c r="I1054" s="45">
        <v>0.67101871923003953</v>
      </c>
      <c r="J1054" s="45">
        <v>1.8736016830782604E-2</v>
      </c>
      <c r="K1054" s="45">
        <v>0.2404</v>
      </c>
      <c r="N1054" s="54"/>
    </row>
    <row r="1055" spans="2:14" x14ac:dyDescent="0.2">
      <c r="B1055">
        <v>1046</v>
      </c>
      <c r="C1055" s="52">
        <f t="shared" ca="1" si="51"/>
        <v>1.5006650114806521</v>
      </c>
      <c r="D1055" s="52">
        <f ca="1">S0*EXP((μ-0.5*σ*σ)*T+σ*SQRT(T)*$C1055)</f>
        <v>0.97484429498833847</v>
      </c>
      <c r="E1055" s="52">
        <f t="shared" ca="1" si="49"/>
        <v>0</v>
      </c>
      <c r="F1055" s="17">
        <f t="shared" ca="1" si="50"/>
        <v>0</v>
      </c>
      <c r="H1055" s="17">
        <v>1046</v>
      </c>
      <c r="I1055" s="45">
        <v>0.67054981366330157</v>
      </c>
      <c r="J1055" s="45">
        <v>1.9042598358834501E-2</v>
      </c>
      <c r="K1055" s="45">
        <v>0.24679999999999999</v>
      </c>
      <c r="N1055" s="54"/>
    </row>
    <row r="1056" spans="2:14" x14ac:dyDescent="0.2">
      <c r="B1056">
        <v>1047</v>
      </c>
      <c r="C1056" s="52">
        <f t="shared" ca="1" si="51"/>
        <v>-0.26557527917549301</v>
      </c>
      <c r="D1056" s="52">
        <f ca="1">S0*EXP((μ-0.5*σ*σ)*T+σ*SQRT(T)*$C1056)</f>
        <v>0.59826363540704497</v>
      </c>
      <c r="E1056" s="52">
        <f t="shared" ca="1" si="49"/>
        <v>0</v>
      </c>
      <c r="F1056" s="17">
        <f t="shared" ca="1" si="50"/>
        <v>0</v>
      </c>
      <c r="H1056" s="17">
        <v>1047</v>
      </c>
      <c r="I1056" s="45">
        <v>0.67075534391025371</v>
      </c>
      <c r="J1056" s="45">
        <v>1.8501874499651457E-2</v>
      </c>
      <c r="K1056" s="45">
        <v>0.24079999999999999</v>
      </c>
      <c r="N1056" s="54"/>
    </row>
    <row r="1057" spans="2:14" x14ac:dyDescent="0.2">
      <c r="B1057">
        <v>1048</v>
      </c>
      <c r="C1057" s="52">
        <f t="shared" ca="1" si="51"/>
        <v>-0.18970167563194631</v>
      </c>
      <c r="D1057" s="52">
        <f ca="1">S0*EXP((μ-0.5*σ*σ)*T+σ*SQRT(T)*$C1057)</f>
        <v>0.61094409019917495</v>
      </c>
      <c r="E1057" s="52">
        <f t="shared" ca="1" si="49"/>
        <v>0</v>
      </c>
      <c r="F1057" s="17">
        <f t="shared" ca="1" si="50"/>
        <v>0</v>
      </c>
      <c r="H1057" s="17">
        <v>1048</v>
      </c>
      <c r="I1057" s="45">
        <v>0.6707510352018925</v>
      </c>
      <c r="J1057" s="45">
        <v>1.8546262819481296E-2</v>
      </c>
      <c r="K1057" s="45">
        <v>0.24340000000000001</v>
      </c>
      <c r="N1057" s="54"/>
    </row>
    <row r="1058" spans="2:14" x14ac:dyDescent="0.2">
      <c r="B1058">
        <v>1049</v>
      </c>
      <c r="C1058" s="52">
        <f t="shared" ca="1" si="51"/>
        <v>-0.68784342702608203</v>
      </c>
      <c r="D1058" s="52">
        <f ca="1">S0*EXP((μ-0.5*σ*σ)*T+σ*SQRT(T)*$C1058)</f>
        <v>0.53235090800478668</v>
      </c>
      <c r="E1058" s="52">
        <f t="shared" ca="1" si="49"/>
        <v>2.0490919952133035E-3</v>
      </c>
      <c r="F1058" s="17">
        <f t="shared" ca="1" si="50"/>
        <v>1</v>
      </c>
      <c r="H1058" s="17">
        <v>1049</v>
      </c>
      <c r="I1058" s="45">
        <v>0.67195511671274555</v>
      </c>
      <c r="J1058" s="45">
        <v>1.9507021049657288E-2</v>
      </c>
      <c r="K1058" s="45">
        <v>0.249</v>
      </c>
      <c r="N1058" s="54"/>
    </row>
    <row r="1059" spans="2:14" x14ac:dyDescent="0.2">
      <c r="B1059">
        <v>1050</v>
      </c>
      <c r="C1059" s="52">
        <f t="shared" ca="1" si="51"/>
        <v>0.518696425505623</v>
      </c>
      <c r="D1059" s="52">
        <f ca="1">S0*EXP((μ-0.5*σ*σ)*T+σ*SQRT(T)*$C1059)</f>
        <v>0.74309932505949894</v>
      </c>
      <c r="E1059" s="52">
        <f t="shared" ca="1" si="49"/>
        <v>0</v>
      </c>
      <c r="F1059" s="17">
        <f t="shared" ca="1" si="50"/>
        <v>0</v>
      </c>
      <c r="H1059" s="17">
        <v>1050</v>
      </c>
      <c r="I1059" s="45">
        <v>0.67105082836869523</v>
      </c>
      <c r="J1059" s="45">
        <v>1.9083141750513569E-2</v>
      </c>
      <c r="K1059" s="45">
        <v>0.2424</v>
      </c>
      <c r="N1059" s="54"/>
    </row>
    <row r="1060" spans="2:14" x14ac:dyDescent="0.2">
      <c r="B1060">
        <v>1051</v>
      </c>
      <c r="C1060" s="52">
        <f t="shared" ca="1" si="51"/>
        <v>2.2835682458003523</v>
      </c>
      <c r="D1060" s="52">
        <f ca="1">S0*EXP((μ-0.5*σ*σ)*T+σ*SQRT(T)*$C1060)</f>
        <v>1.2103897199031759</v>
      </c>
      <c r="E1060" s="52">
        <f t="shared" ca="1" si="49"/>
        <v>0</v>
      </c>
      <c r="F1060" s="17">
        <f t="shared" ca="1" si="50"/>
        <v>0</v>
      </c>
      <c r="H1060" s="17">
        <v>1051</v>
      </c>
      <c r="I1060" s="45">
        <v>0.67146174568752004</v>
      </c>
      <c r="J1060" s="45">
        <v>1.9285211079413184E-2</v>
      </c>
      <c r="K1060" s="45">
        <v>0.25159999999999999</v>
      </c>
      <c r="N1060" s="54"/>
    </row>
    <row r="1061" spans="2:14" x14ac:dyDescent="0.2">
      <c r="B1061">
        <v>1052</v>
      </c>
      <c r="C1061" s="52">
        <f t="shared" ca="1" si="51"/>
        <v>-9.2323044456650807E-2</v>
      </c>
      <c r="D1061" s="52">
        <f ca="1">S0*EXP((μ-0.5*σ*σ)*T+σ*SQRT(T)*$C1061)</f>
        <v>0.62761321014754012</v>
      </c>
      <c r="E1061" s="52">
        <f t="shared" ca="1" si="49"/>
        <v>0</v>
      </c>
      <c r="F1061" s="17">
        <f t="shared" ca="1" si="50"/>
        <v>0</v>
      </c>
      <c r="H1061" s="17">
        <v>1052</v>
      </c>
      <c r="I1061" s="45">
        <v>0.66962345599088535</v>
      </c>
      <c r="J1061" s="45">
        <v>1.8066042925881681E-2</v>
      </c>
      <c r="K1061" s="45">
        <v>0.2404</v>
      </c>
      <c r="N1061" s="54"/>
    </row>
    <row r="1062" spans="2:14" x14ac:dyDescent="0.2">
      <c r="B1062">
        <v>1053</v>
      </c>
      <c r="C1062" s="52">
        <f t="shared" ca="1" si="51"/>
        <v>1.4803833283556174</v>
      </c>
      <c r="D1062" s="52">
        <f ca="1">S0*EXP((μ-0.5*σ*σ)*T+σ*SQRT(T)*$C1062)</f>
        <v>0.96939410679445626</v>
      </c>
      <c r="E1062" s="52">
        <f t="shared" ca="1" si="49"/>
        <v>0</v>
      </c>
      <c r="F1062" s="17">
        <f t="shared" ca="1" si="50"/>
        <v>0</v>
      </c>
      <c r="H1062" s="17">
        <v>1053</v>
      </c>
      <c r="I1062" s="45">
        <v>0.67090710180295388</v>
      </c>
      <c r="J1062" s="45">
        <v>1.9276192766041974E-2</v>
      </c>
      <c r="K1062" s="45">
        <v>0.25119999999999998</v>
      </c>
      <c r="N1062" s="54"/>
    </row>
    <row r="1063" spans="2:14" x14ac:dyDescent="0.2">
      <c r="B1063">
        <v>1054</v>
      </c>
      <c r="C1063" s="52">
        <f t="shared" ca="1" si="51"/>
        <v>0.78136514600411333</v>
      </c>
      <c r="D1063" s="52">
        <f ca="1">S0*EXP((μ-0.5*σ*σ)*T+σ*SQRT(T)*$C1063)</f>
        <v>0.79906308003592008</v>
      </c>
      <c r="E1063" s="52">
        <f t="shared" ca="1" si="49"/>
        <v>0</v>
      </c>
      <c r="F1063" s="17">
        <f t="shared" ca="1" si="50"/>
        <v>0</v>
      </c>
      <c r="H1063" s="17">
        <v>1054</v>
      </c>
      <c r="I1063" s="45">
        <v>0.67171133491957202</v>
      </c>
      <c r="J1063" s="45">
        <v>1.969567108809914E-2</v>
      </c>
      <c r="K1063" s="45">
        <v>0.25219999999999998</v>
      </c>
      <c r="N1063" s="54"/>
    </row>
    <row r="1064" spans="2:14" x14ac:dyDescent="0.2">
      <c r="B1064">
        <v>1055</v>
      </c>
      <c r="C1064" s="52">
        <f t="shared" ca="1" si="51"/>
        <v>-0.33739219782690533</v>
      </c>
      <c r="D1064" s="52">
        <f ca="1">S0*EXP((μ-0.5*σ*σ)*T+σ*SQRT(T)*$C1064)</f>
        <v>0.5865037062763645</v>
      </c>
      <c r="E1064" s="52">
        <f t="shared" ca="1" si="49"/>
        <v>0</v>
      </c>
      <c r="F1064" s="17">
        <f t="shared" ca="1" si="50"/>
        <v>0</v>
      </c>
      <c r="H1064" s="17">
        <v>1055</v>
      </c>
      <c r="I1064" s="45">
        <v>0.67169744116079333</v>
      </c>
      <c r="J1064" s="45">
        <v>1.9400773101226274E-2</v>
      </c>
      <c r="K1064" s="45">
        <v>0.2452</v>
      </c>
      <c r="N1064" s="54"/>
    </row>
    <row r="1065" spans="2:14" x14ac:dyDescent="0.2">
      <c r="B1065">
        <v>1056</v>
      </c>
      <c r="C1065" s="52">
        <f t="shared" ca="1" si="51"/>
        <v>1.2916732842681158</v>
      </c>
      <c r="D1065" s="52">
        <f ca="1">S0*EXP((μ-0.5*σ*σ)*T+σ*SQRT(T)*$C1065)</f>
        <v>0.92012143182472339</v>
      </c>
      <c r="E1065" s="52">
        <f t="shared" ca="1" si="49"/>
        <v>0</v>
      </c>
      <c r="F1065" s="17">
        <f t="shared" ca="1" si="50"/>
        <v>0</v>
      </c>
      <c r="H1065" s="17">
        <v>1056</v>
      </c>
      <c r="I1065" s="45">
        <v>0.6714984440681615</v>
      </c>
      <c r="J1065" s="45">
        <v>1.9432589827576403E-2</v>
      </c>
      <c r="K1065" s="45">
        <v>0.25040000000000001</v>
      </c>
      <c r="N1065" s="54"/>
    </row>
    <row r="1066" spans="2:14" x14ac:dyDescent="0.2">
      <c r="B1066">
        <v>1057</v>
      </c>
      <c r="C1066" s="52">
        <f t="shared" ca="1" si="51"/>
        <v>0.98796456094597829</v>
      </c>
      <c r="D1066" s="52">
        <f ca="1">S0*EXP((μ-0.5*σ*σ)*T+σ*SQRT(T)*$C1066)</f>
        <v>0.84602650325327788</v>
      </c>
      <c r="E1066" s="52">
        <f t="shared" ca="1" si="49"/>
        <v>0</v>
      </c>
      <c r="F1066" s="17">
        <f t="shared" ca="1" si="50"/>
        <v>0</v>
      </c>
      <c r="H1066" s="17">
        <v>1057</v>
      </c>
      <c r="I1066" s="45">
        <v>0.67158003080068995</v>
      </c>
      <c r="J1066" s="45">
        <v>1.9569592197827793E-2</v>
      </c>
      <c r="K1066" s="45">
        <v>0.25080000000000002</v>
      </c>
      <c r="N1066" s="54"/>
    </row>
    <row r="1067" spans="2:14" x14ac:dyDescent="0.2">
      <c r="B1067">
        <v>1058</v>
      </c>
      <c r="C1067" s="52">
        <f t="shared" ca="1" si="51"/>
        <v>-0.87880001775934524</v>
      </c>
      <c r="D1067" s="52">
        <f ca="1">S0*EXP((μ-0.5*σ*σ)*T+σ*SQRT(T)*$C1067)</f>
        <v>0.50497870656174193</v>
      </c>
      <c r="E1067" s="52">
        <f t="shared" ca="1" si="49"/>
        <v>2.9421293438258056E-2</v>
      </c>
      <c r="F1067" s="17">
        <f t="shared" ca="1" si="50"/>
        <v>1</v>
      </c>
      <c r="H1067" s="17">
        <v>1058</v>
      </c>
      <c r="I1067" s="45">
        <v>0.67285312128741048</v>
      </c>
      <c r="J1067" s="45">
        <v>2.0173977230584519E-2</v>
      </c>
      <c r="K1067" s="45">
        <v>0.25700000000000001</v>
      </c>
      <c r="N1067" s="54"/>
    </row>
    <row r="1068" spans="2:14" x14ac:dyDescent="0.2">
      <c r="B1068">
        <v>1059</v>
      </c>
      <c r="C1068" s="52">
        <f t="shared" ca="1" si="51"/>
        <v>-0.49154949294688632</v>
      </c>
      <c r="D1068" s="52">
        <f ca="1">S0*EXP((μ-0.5*σ*σ)*T+σ*SQRT(T)*$C1068)</f>
        <v>0.56203543465726502</v>
      </c>
      <c r="E1068" s="52">
        <f t="shared" ca="1" si="49"/>
        <v>0</v>
      </c>
      <c r="F1068" s="17">
        <f t="shared" ca="1" si="50"/>
        <v>0</v>
      </c>
      <c r="H1068" s="17">
        <v>1059</v>
      </c>
      <c r="I1068" s="45">
        <v>0.67164758954646764</v>
      </c>
      <c r="J1068" s="45">
        <v>1.9395026300677905E-2</v>
      </c>
      <c r="K1068" s="45">
        <v>0.25259999999999999</v>
      </c>
      <c r="N1068" s="54"/>
    </row>
    <row r="1069" spans="2:14" x14ac:dyDescent="0.2">
      <c r="B1069">
        <v>1060</v>
      </c>
      <c r="C1069" s="52">
        <f t="shared" ca="1" si="51"/>
        <v>0.86379165640982802</v>
      </c>
      <c r="D1069" s="52">
        <f ca="1">S0*EXP((μ-0.5*σ*σ)*T+σ*SQRT(T)*$C1069)</f>
        <v>0.81747903631423879</v>
      </c>
      <c r="E1069" s="52">
        <f t="shared" ca="1" si="49"/>
        <v>0</v>
      </c>
      <c r="F1069" s="17">
        <f t="shared" ca="1" si="50"/>
        <v>0</v>
      </c>
      <c r="H1069" s="17">
        <v>1060</v>
      </c>
      <c r="I1069" s="45">
        <v>0.67246544487913162</v>
      </c>
      <c r="J1069" s="45">
        <v>2.0559775064297892E-2</v>
      </c>
      <c r="K1069" s="45">
        <v>0.25659999999999999</v>
      </c>
      <c r="N1069" s="54"/>
    </row>
    <row r="1070" spans="2:14" x14ac:dyDescent="0.2">
      <c r="B1070">
        <v>1061</v>
      </c>
      <c r="C1070" s="52">
        <f t="shared" ca="1" si="51"/>
        <v>0.19204960946242247</v>
      </c>
      <c r="D1070" s="52">
        <f ca="1">S0*EXP((μ-0.5*σ*σ)*T+σ*SQRT(T)*$C1070)</f>
        <v>0.67894078638392297</v>
      </c>
      <c r="E1070" s="52">
        <f t="shared" ca="1" si="49"/>
        <v>0</v>
      </c>
      <c r="F1070" s="17">
        <f t="shared" ca="1" si="50"/>
        <v>0</v>
      </c>
      <c r="H1070" s="17">
        <v>1061</v>
      </c>
      <c r="I1070" s="45">
        <v>0.67160174959739238</v>
      </c>
      <c r="J1070" s="45">
        <v>1.9443385222741732E-2</v>
      </c>
      <c r="K1070" s="45">
        <v>0.24540000000000001</v>
      </c>
      <c r="N1070" s="54"/>
    </row>
    <row r="1071" spans="2:14" x14ac:dyDescent="0.2">
      <c r="B1071">
        <v>1062</v>
      </c>
      <c r="C1071" s="52">
        <f t="shared" ca="1" si="51"/>
        <v>0.43516127286872203</v>
      </c>
      <c r="D1071" s="52">
        <f ca="1">S0*EXP((μ-0.5*σ*σ)*T+σ*SQRT(T)*$C1071)</f>
        <v>0.72613640635590604</v>
      </c>
      <c r="E1071" s="52">
        <f t="shared" ca="1" si="49"/>
        <v>0</v>
      </c>
      <c r="F1071" s="17">
        <f t="shared" ca="1" si="50"/>
        <v>0</v>
      </c>
      <c r="H1071" s="17">
        <v>1062</v>
      </c>
      <c r="I1071" s="45">
        <v>0.67058428547016558</v>
      </c>
      <c r="J1071" s="45">
        <v>1.8431175057664492E-2</v>
      </c>
      <c r="K1071" s="45">
        <v>0.245</v>
      </c>
      <c r="N1071" s="54"/>
    </row>
    <row r="1072" spans="2:14" x14ac:dyDescent="0.2">
      <c r="B1072">
        <v>1063</v>
      </c>
      <c r="C1072" s="52">
        <f t="shared" ca="1" si="51"/>
        <v>-0.75677607209837461</v>
      </c>
      <c r="D1072" s="52">
        <f ca="1">S0*EXP((μ-0.5*σ*σ)*T+σ*SQRT(T)*$C1072)</f>
        <v>0.52230287979538992</v>
      </c>
      <c r="E1072" s="52">
        <f t="shared" ca="1" si="49"/>
        <v>1.2097120204610068E-2</v>
      </c>
      <c r="F1072" s="17">
        <f t="shared" ca="1" si="50"/>
        <v>1</v>
      </c>
      <c r="H1072" s="17">
        <v>1063</v>
      </c>
      <c r="I1072" s="45">
        <v>0.66986536423291898</v>
      </c>
      <c r="J1072" s="45">
        <v>1.8258187979582566E-2</v>
      </c>
      <c r="K1072" s="45">
        <v>0.24060000000000001</v>
      </c>
      <c r="N1072" s="54"/>
    </row>
    <row r="1073" spans="2:14" x14ac:dyDescent="0.2">
      <c r="B1073">
        <v>1064</v>
      </c>
      <c r="C1073" s="52">
        <f t="shared" ca="1" si="51"/>
        <v>-2.333034149605075</v>
      </c>
      <c r="D1073" s="52">
        <f ca="1">S0*EXP((μ-0.5*σ*σ)*T+σ*SQRT(T)*$C1073)</f>
        <v>0.33782184394465248</v>
      </c>
      <c r="E1073" s="52">
        <f t="shared" ca="1" si="49"/>
        <v>0.19657815605534751</v>
      </c>
      <c r="F1073" s="17">
        <f t="shared" ca="1" si="50"/>
        <v>1</v>
      </c>
      <c r="H1073" s="17">
        <v>1064</v>
      </c>
      <c r="I1073" s="45">
        <v>0.67051745813508301</v>
      </c>
      <c r="J1073" s="45">
        <v>1.8546750744435875E-2</v>
      </c>
      <c r="K1073" s="45">
        <v>0.24079999999999999</v>
      </c>
      <c r="N1073" s="54"/>
    </row>
    <row r="1074" spans="2:14" x14ac:dyDescent="0.2">
      <c r="B1074">
        <v>1065</v>
      </c>
      <c r="C1074" s="52">
        <f t="shared" ca="1" si="51"/>
        <v>0.76292661856783606</v>
      </c>
      <c r="D1074" s="52">
        <f ca="1">S0*EXP((μ-0.5*σ*σ)*T+σ*SQRT(T)*$C1074)</f>
        <v>0.79500061075993045</v>
      </c>
      <c r="E1074" s="52">
        <f t="shared" ca="1" si="49"/>
        <v>0</v>
      </c>
      <c r="F1074" s="17">
        <f t="shared" ca="1" si="50"/>
        <v>0</v>
      </c>
      <c r="H1074" s="17">
        <v>1065</v>
      </c>
      <c r="I1074" s="45">
        <v>0.67109427529128185</v>
      </c>
      <c r="J1074" s="45">
        <v>1.9350986956906603E-2</v>
      </c>
      <c r="K1074" s="45">
        <v>0.25719999999999998</v>
      </c>
      <c r="N1074" s="54"/>
    </row>
    <row r="1075" spans="2:14" x14ac:dyDescent="0.2">
      <c r="B1075">
        <v>1066</v>
      </c>
      <c r="C1075" s="52">
        <f t="shared" ca="1" si="51"/>
        <v>0.87253947966035483</v>
      </c>
      <c r="D1075" s="52">
        <f ca="1">S0*EXP((μ-0.5*σ*σ)*T+σ*SQRT(T)*$C1075)</f>
        <v>0.8194582421063491</v>
      </c>
      <c r="E1075" s="52">
        <f t="shared" ca="1" si="49"/>
        <v>0</v>
      </c>
      <c r="F1075" s="17">
        <f t="shared" ca="1" si="50"/>
        <v>0</v>
      </c>
      <c r="H1075" s="17">
        <v>1066</v>
      </c>
      <c r="I1075" s="45">
        <v>0.67109287307676491</v>
      </c>
      <c r="J1075" s="45">
        <v>1.9007663161393264E-2</v>
      </c>
      <c r="K1075" s="45">
        <v>0.245</v>
      </c>
      <c r="N1075" s="54"/>
    </row>
    <row r="1076" spans="2:14" x14ac:dyDescent="0.2">
      <c r="B1076">
        <v>1067</v>
      </c>
      <c r="C1076" s="52">
        <f t="shared" ca="1" si="51"/>
        <v>-0.9392433300767794</v>
      </c>
      <c r="D1076" s="52">
        <f ca="1">S0*EXP((μ-0.5*σ*σ)*T+σ*SQRT(T)*$C1076)</f>
        <v>0.4966113689776418</v>
      </c>
      <c r="E1076" s="52">
        <f t="shared" ca="1" si="49"/>
        <v>3.7788631022358188E-2</v>
      </c>
      <c r="F1076" s="17">
        <f t="shared" ca="1" si="50"/>
        <v>1</v>
      </c>
      <c r="H1076" s="17">
        <v>1067</v>
      </c>
      <c r="I1076" s="45">
        <v>0.66966049718942733</v>
      </c>
      <c r="J1076" s="45">
        <v>1.8029817782286951E-2</v>
      </c>
      <c r="K1076" s="45">
        <v>0.2452</v>
      </c>
      <c r="N1076" s="54"/>
    </row>
    <row r="1077" spans="2:14" x14ac:dyDescent="0.2">
      <c r="B1077">
        <v>1068</v>
      </c>
      <c r="C1077" s="52">
        <f t="shared" ca="1" si="51"/>
        <v>1.9675806734701136</v>
      </c>
      <c r="D1077" s="52">
        <f ca="1">S0*EXP((μ-0.5*σ*σ)*T+σ*SQRT(T)*$C1077)</f>
        <v>1.1091491075880549</v>
      </c>
      <c r="E1077" s="52">
        <f t="shared" ca="1" si="49"/>
        <v>0</v>
      </c>
      <c r="F1077" s="17">
        <f t="shared" ca="1" si="50"/>
        <v>0</v>
      </c>
      <c r="H1077" s="17">
        <v>1068</v>
      </c>
      <c r="I1077" s="45">
        <v>0.671066939959578</v>
      </c>
      <c r="J1077" s="45">
        <v>1.8935354636526104E-2</v>
      </c>
      <c r="K1077" s="45">
        <v>0.24579999999999999</v>
      </c>
      <c r="N1077" s="54"/>
    </row>
    <row r="1078" spans="2:14" x14ac:dyDescent="0.2">
      <c r="B1078">
        <v>1069</v>
      </c>
      <c r="C1078" s="52">
        <f t="shared" ca="1" si="51"/>
        <v>-0.11935402969597689</v>
      </c>
      <c r="D1078" s="52">
        <f ca="1">S0*EXP((μ-0.5*σ*σ)*T+σ*SQRT(T)*$C1078)</f>
        <v>0.62294100926887397</v>
      </c>
      <c r="E1078" s="52">
        <f t="shared" ca="1" si="49"/>
        <v>0</v>
      </c>
      <c r="F1078" s="17">
        <f t="shared" ca="1" si="50"/>
        <v>0</v>
      </c>
      <c r="H1078" s="17">
        <v>1069</v>
      </c>
      <c r="I1078" s="45">
        <v>0.67050404574815825</v>
      </c>
      <c r="J1078" s="45">
        <v>1.8610129696249537E-2</v>
      </c>
      <c r="K1078" s="45">
        <v>0.25</v>
      </c>
      <c r="N1078" s="54"/>
    </row>
    <row r="1079" spans="2:14" x14ac:dyDescent="0.2">
      <c r="B1079">
        <v>1070</v>
      </c>
      <c r="C1079" s="52">
        <f t="shared" ca="1" si="51"/>
        <v>-4.266877464690324E-4</v>
      </c>
      <c r="D1079" s="52">
        <f ca="1">S0*EXP((μ-0.5*σ*σ)*T+σ*SQRT(T)*$C1079)</f>
        <v>0.64376078815214965</v>
      </c>
      <c r="E1079" s="52">
        <f t="shared" ca="1" si="49"/>
        <v>0</v>
      </c>
      <c r="F1079" s="17">
        <f t="shared" ca="1" si="50"/>
        <v>0</v>
      </c>
      <c r="H1079" s="17">
        <v>1070</v>
      </c>
      <c r="I1079" s="45">
        <v>0.67093958849735846</v>
      </c>
      <c r="J1079" s="45">
        <v>1.8873432963257393E-2</v>
      </c>
      <c r="K1079" s="45">
        <v>0.2472</v>
      </c>
      <c r="N1079" s="54"/>
    </row>
    <row r="1080" spans="2:14" x14ac:dyDescent="0.2">
      <c r="B1080">
        <v>1071</v>
      </c>
      <c r="C1080" s="52">
        <f t="shared" ca="1" si="51"/>
        <v>-0.18031189766997452</v>
      </c>
      <c r="D1080" s="52">
        <f ca="1">S0*EXP((μ-0.5*σ*σ)*T+σ*SQRT(T)*$C1080)</f>
        <v>0.6125319409205745</v>
      </c>
      <c r="E1080" s="52">
        <f t="shared" ca="1" si="49"/>
        <v>0</v>
      </c>
      <c r="F1080" s="17">
        <f t="shared" ca="1" si="50"/>
        <v>0</v>
      </c>
      <c r="H1080" s="17">
        <v>1071</v>
      </c>
      <c r="I1080" s="45">
        <v>0.67073868819174476</v>
      </c>
      <c r="J1080" s="45">
        <v>1.8777408875610434E-2</v>
      </c>
      <c r="K1080" s="45">
        <v>0.249</v>
      </c>
      <c r="N1080" s="54"/>
    </row>
    <row r="1081" spans="2:14" x14ac:dyDescent="0.2">
      <c r="B1081">
        <v>1072</v>
      </c>
      <c r="C1081" s="52">
        <f t="shared" ca="1" si="51"/>
        <v>1.632308382983505</v>
      </c>
      <c r="D1081" s="52">
        <f ca="1">S0*EXP((μ-0.5*σ*σ)*T+σ*SQRT(T)*$C1081)</f>
        <v>1.0109727536959476</v>
      </c>
      <c r="E1081" s="52">
        <f t="shared" ca="1" si="49"/>
        <v>0</v>
      </c>
      <c r="F1081" s="17">
        <f t="shared" ca="1" si="50"/>
        <v>0</v>
      </c>
      <c r="H1081" s="17">
        <v>1072</v>
      </c>
      <c r="I1081" s="45">
        <v>0.67022839371721998</v>
      </c>
      <c r="J1081" s="45">
        <v>1.8568870014246782E-2</v>
      </c>
      <c r="K1081" s="45">
        <v>0.25019999999999998</v>
      </c>
      <c r="N1081" s="54"/>
    </row>
    <row r="1082" spans="2:14" x14ac:dyDescent="0.2">
      <c r="B1082">
        <v>1073</v>
      </c>
      <c r="C1082" s="52">
        <f t="shared" ca="1" si="51"/>
        <v>0.5709398816807536</v>
      </c>
      <c r="D1082" s="52">
        <f ca="1">S0*EXP((μ-0.5*σ*σ)*T+σ*SQRT(T)*$C1082)</f>
        <v>0.75390887612931889</v>
      </c>
      <c r="E1082" s="52">
        <f t="shared" ca="1" si="49"/>
        <v>0</v>
      </c>
      <c r="F1082" s="17">
        <f t="shared" ca="1" si="50"/>
        <v>0</v>
      </c>
      <c r="H1082" s="17">
        <v>1073</v>
      </c>
      <c r="I1082" s="45">
        <v>0.67147377254760598</v>
      </c>
      <c r="J1082" s="45">
        <v>1.9508028377897557E-2</v>
      </c>
      <c r="K1082" s="45">
        <v>0.25059999999999999</v>
      </c>
      <c r="N1082" s="54"/>
    </row>
    <row r="1083" spans="2:14" x14ac:dyDescent="0.2">
      <c r="B1083">
        <v>1074</v>
      </c>
      <c r="C1083" s="52">
        <f t="shared" ca="1" si="51"/>
        <v>-0.49084191533346355</v>
      </c>
      <c r="D1083" s="52">
        <f ca="1">S0*EXP((μ-0.5*σ*σ)*T+σ*SQRT(T)*$C1083)</f>
        <v>0.56214537811146992</v>
      </c>
      <c r="E1083" s="52">
        <f t="shared" ca="1" si="49"/>
        <v>0</v>
      </c>
      <c r="F1083" s="17">
        <f t="shared" ca="1" si="50"/>
        <v>0</v>
      </c>
      <c r="H1083" s="17">
        <v>1074</v>
      </c>
      <c r="I1083" s="45">
        <v>0.67106755917722971</v>
      </c>
      <c r="J1083" s="45">
        <v>1.8864986532386094E-2</v>
      </c>
      <c r="K1083" s="45">
        <v>0.247</v>
      </c>
      <c r="N1083" s="54"/>
    </row>
    <row r="1084" spans="2:14" x14ac:dyDescent="0.2">
      <c r="B1084">
        <v>1075</v>
      </c>
      <c r="C1084" s="52">
        <f t="shared" ca="1" si="51"/>
        <v>-0.27811361717053013</v>
      </c>
      <c r="D1084" s="52">
        <f ca="1">S0*EXP((μ-0.5*σ*σ)*T+σ*SQRT(T)*$C1084)</f>
        <v>0.59619364046358669</v>
      </c>
      <c r="E1084" s="52">
        <f t="shared" ca="1" si="49"/>
        <v>0</v>
      </c>
      <c r="F1084" s="17">
        <f t="shared" ca="1" si="50"/>
        <v>0</v>
      </c>
      <c r="H1084" s="17">
        <v>1075</v>
      </c>
      <c r="I1084" s="45">
        <v>0.67004382017555963</v>
      </c>
      <c r="J1084" s="45">
        <v>1.8480175170939604E-2</v>
      </c>
      <c r="K1084" s="45">
        <v>0.24859999999999999</v>
      </c>
      <c r="N1084" s="54"/>
    </row>
    <row r="1085" spans="2:14" x14ac:dyDescent="0.2">
      <c r="B1085">
        <v>1076</v>
      </c>
      <c r="C1085" s="52">
        <f t="shared" ca="1" si="51"/>
        <v>0.47617938461185877</v>
      </c>
      <c r="D1085" s="52">
        <f ca="1">S0*EXP((μ-0.5*σ*σ)*T+σ*SQRT(T)*$C1085)</f>
        <v>0.73441673358292225</v>
      </c>
      <c r="E1085" s="52">
        <f t="shared" ca="1" si="49"/>
        <v>0</v>
      </c>
      <c r="F1085" s="17">
        <f t="shared" ca="1" si="50"/>
        <v>0</v>
      </c>
      <c r="H1085" s="17">
        <v>1076</v>
      </c>
      <c r="I1085" s="45">
        <v>0.67100981786290637</v>
      </c>
      <c r="J1085" s="45">
        <v>1.914619558611317E-2</v>
      </c>
      <c r="K1085" s="45">
        <v>0.25059999999999999</v>
      </c>
      <c r="N1085" s="54"/>
    </row>
    <row r="1086" spans="2:14" x14ac:dyDescent="0.2">
      <c r="B1086">
        <v>1077</v>
      </c>
      <c r="C1086" s="52">
        <f t="shared" ca="1" si="51"/>
        <v>0.21493159184014984</v>
      </c>
      <c r="D1086" s="52">
        <f ca="1">S0*EXP((μ-0.5*σ*σ)*T+σ*SQRT(T)*$C1086)</f>
        <v>0.68324891755932637</v>
      </c>
      <c r="E1086" s="52">
        <f t="shared" ca="1" si="49"/>
        <v>0</v>
      </c>
      <c r="F1086" s="17">
        <f t="shared" ca="1" si="50"/>
        <v>0</v>
      </c>
      <c r="H1086" s="17">
        <v>1077</v>
      </c>
      <c r="I1086" s="45">
        <v>0.67078268506851058</v>
      </c>
      <c r="J1086" s="45">
        <v>1.8911614031839458E-2</v>
      </c>
      <c r="K1086" s="45">
        <v>0.24560000000000001</v>
      </c>
      <c r="N1086" s="54"/>
    </row>
    <row r="1087" spans="2:14" x14ac:dyDescent="0.2">
      <c r="B1087">
        <v>1078</v>
      </c>
      <c r="C1087" s="52">
        <f t="shared" ca="1" si="51"/>
        <v>0.48205810520240372</v>
      </c>
      <c r="D1087" s="52">
        <f ca="1">S0*EXP((μ-0.5*σ*σ)*T+σ*SQRT(T)*$C1087)</f>
        <v>0.73561118208948539</v>
      </c>
      <c r="E1087" s="52">
        <f t="shared" ca="1" si="49"/>
        <v>0</v>
      </c>
      <c r="F1087" s="17">
        <f t="shared" ca="1" si="50"/>
        <v>0</v>
      </c>
      <c r="H1087" s="17">
        <v>1078</v>
      </c>
      <c r="I1087" s="45">
        <v>0.67023345898156406</v>
      </c>
      <c r="J1087" s="45">
        <v>1.8532701768720329E-2</v>
      </c>
      <c r="K1087" s="45">
        <v>0.24460000000000001</v>
      </c>
      <c r="N1087" s="54"/>
    </row>
    <row r="1088" spans="2:14" x14ac:dyDescent="0.2">
      <c r="B1088">
        <v>1079</v>
      </c>
      <c r="C1088" s="52">
        <f t="shared" ca="1" si="51"/>
        <v>-9.8917017977371055E-2</v>
      </c>
      <c r="D1088" s="52">
        <f ca="1">S0*EXP((μ-0.5*σ*σ)*T+σ*SQRT(T)*$C1088)</f>
        <v>0.62647024590590883</v>
      </c>
      <c r="E1088" s="52">
        <f t="shared" ca="1" si="49"/>
        <v>0</v>
      </c>
      <c r="F1088" s="17">
        <f t="shared" ca="1" si="50"/>
        <v>0</v>
      </c>
      <c r="H1088" s="17">
        <v>1079</v>
      </c>
      <c r="I1088" s="45">
        <v>0.67081836777213033</v>
      </c>
      <c r="J1088" s="45">
        <v>1.8894302707237381E-2</v>
      </c>
      <c r="K1088" s="45">
        <v>0.2452</v>
      </c>
      <c r="N1088" s="54"/>
    </row>
    <row r="1089" spans="2:14" x14ac:dyDescent="0.2">
      <c r="B1089">
        <v>1080</v>
      </c>
      <c r="C1089" s="52">
        <f t="shared" ca="1" si="51"/>
        <v>0.5439428958653858</v>
      </c>
      <c r="D1089" s="52">
        <f ca="1">S0*EXP((μ-0.5*σ*σ)*T+σ*SQRT(T)*$C1089)</f>
        <v>0.74830351331108047</v>
      </c>
      <c r="E1089" s="52">
        <f t="shared" ca="1" si="49"/>
        <v>0</v>
      </c>
      <c r="F1089" s="17">
        <f t="shared" ca="1" si="50"/>
        <v>0</v>
      </c>
      <c r="H1089" s="17">
        <v>1080</v>
      </c>
      <c r="I1089" s="45">
        <v>0.6701855648624746</v>
      </c>
      <c r="J1089" s="45">
        <v>1.8687654363137955E-2</v>
      </c>
      <c r="K1089" s="45">
        <v>0.24399999999999999</v>
      </c>
      <c r="N1089" s="54"/>
    </row>
    <row r="1090" spans="2:14" x14ac:dyDescent="0.2">
      <c r="B1090">
        <v>1081</v>
      </c>
      <c r="C1090" s="52">
        <f t="shared" ca="1" si="51"/>
        <v>-0.24418443777649754</v>
      </c>
      <c r="D1090" s="52">
        <f ca="1">S0*EXP((μ-0.5*σ*σ)*T+σ*SQRT(T)*$C1090)</f>
        <v>0.60181172229442048</v>
      </c>
      <c r="E1090" s="52">
        <f t="shared" ca="1" si="49"/>
        <v>0</v>
      </c>
      <c r="F1090" s="17">
        <f t="shared" ca="1" si="50"/>
        <v>0</v>
      </c>
      <c r="H1090" s="17">
        <v>1081</v>
      </c>
      <c r="I1090" s="45">
        <v>0.67129854447192816</v>
      </c>
      <c r="J1090" s="45">
        <v>1.9152271454873377E-2</v>
      </c>
      <c r="K1090" s="45">
        <v>0.24560000000000001</v>
      </c>
      <c r="N1090" s="54"/>
    </row>
    <row r="1091" spans="2:14" x14ac:dyDescent="0.2">
      <c r="B1091">
        <v>1082</v>
      </c>
      <c r="C1091" s="52">
        <f t="shared" ca="1" si="51"/>
        <v>-0.62617744868292213</v>
      </c>
      <c r="D1091" s="52">
        <f ca="1">S0*EXP((μ-0.5*σ*σ)*T+σ*SQRT(T)*$C1091)</f>
        <v>0.54150340514251682</v>
      </c>
      <c r="E1091" s="52">
        <f t="shared" ca="1" si="49"/>
        <v>0</v>
      </c>
      <c r="F1091" s="17">
        <f t="shared" ca="1" si="50"/>
        <v>0</v>
      </c>
      <c r="H1091" s="17">
        <v>1082</v>
      </c>
      <c r="I1091" s="45">
        <v>0.67051759343279049</v>
      </c>
      <c r="J1091" s="45">
        <v>1.8756334301489899E-2</v>
      </c>
      <c r="K1091" s="45">
        <v>0.25040000000000001</v>
      </c>
      <c r="N1091" s="54"/>
    </row>
    <row r="1092" spans="2:14" x14ac:dyDescent="0.2">
      <c r="B1092">
        <v>1083</v>
      </c>
      <c r="C1092" s="52">
        <f t="shared" ca="1" si="51"/>
        <v>0.40045968430643925</v>
      </c>
      <c r="D1092" s="52">
        <f ca="1">S0*EXP((μ-0.5*σ*σ)*T+σ*SQRT(T)*$C1092)</f>
        <v>0.71920413845401066</v>
      </c>
      <c r="E1092" s="52">
        <f t="shared" ca="1" si="49"/>
        <v>0</v>
      </c>
      <c r="F1092" s="17">
        <f t="shared" ca="1" si="50"/>
        <v>0</v>
      </c>
      <c r="H1092" s="17">
        <v>1083</v>
      </c>
      <c r="I1092" s="45">
        <v>0.67063848131425552</v>
      </c>
      <c r="J1092" s="45">
        <v>1.8753326532084977E-2</v>
      </c>
      <c r="K1092" s="45">
        <v>0.248</v>
      </c>
      <c r="N1092" s="54"/>
    </row>
    <row r="1093" spans="2:14" x14ac:dyDescent="0.2">
      <c r="B1093">
        <v>1084</v>
      </c>
      <c r="C1093" s="52">
        <f t="shared" ca="1" si="51"/>
        <v>2.1446659843742708</v>
      </c>
      <c r="D1093" s="52">
        <f ca="1">S0*EXP((μ-0.5*σ*σ)*T+σ*SQRT(T)*$C1093)</f>
        <v>1.1647952134596267</v>
      </c>
      <c r="E1093" s="52">
        <f t="shared" ca="1" si="49"/>
        <v>0</v>
      </c>
      <c r="F1093" s="17">
        <f t="shared" ca="1" si="50"/>
        <v>0</v>
      </c>
      <c r="H1093" s="17">
        <v>1084</v>
      </c>
      <c r="I1093" s="45">
        <v>0.67070379761418231</v>
      </c>
      <c r="J1093" s="45">
        <v>1.8902845645904096E-2</v>
      </c>
      <c r="K1093" s="45">
        <v>0.24479999999999999</v>
      </c>
      <c r="N1093" s="54"/>
    </row>
    <row r="1094" spans="2:14" x14ac:dyDescent="0.2">
      <c r="B1094">
        <v>1085</v>
      </c>
      <c r="C1094" s="52">
        <f t="shared" ca="1" si="51"/>
        <v>0.91573983718298124</v>
      </c>
      <c r="D1094" s="52">
        <f ca="1">S0*EXP((μ-0.5*σ*σ)*T+σ*SQRT(T)*$C1094)</f>
        <v>0.82930286398435249</v>
      </c>
      <c r="E1094" s="52">
        <f t="shared" ca="1" si="49"/>
        <v>0</v>
      </c>
      <c r="F1094" s="17">
        <f t="shared" ca="1" si="50"/>
        <v>0</v>
      </c>
      <c r="H1094" s="17">
        <v>1085</v>
      </c>
      <c r="I1094" s="45">
        <v>0.67072634846558632</v>
      </c>
      <c r="J1094" s="45">
        <v>1.8865477279376534E-2</v>
      </c>
      <c r="K1094" s="45">
        <v>0.24679999999999999</v>
      </c>
      <c r="N1094" s="54"/>
    </row>
    <row r="1095" spans="2:14" x14ac:dyDescent="0.2">
      <c r="B1095">
        <v>1086</v>
      </c>
      <c r="C1095" s="52">
        <f t="shared" ca="1" si="51"/>
        <v>-6.6200125821437583E-2</v>
      </c>
      <c r="D1095" s="52">
        <f ca="1">S0*EXP((μ-0.5*σ*σ)*T+σ*SQRT(T)*$C1095)</f>
        <v>0.63216174899516508</v>
      </c>
      <c r="E1095" s="52">
        <f t="shared" ca="1" si="49"/>
        <v>0</v>
      </c>
      <c r="F1095" s="17">
        <f t="shared" ca="1" si="50"/>
        <v>0</v>
      </c>
      <c r="H1095" s="17">
        <v>1086</v>
      </c>
      <c r="I1095" s="45">
        <v>0.67128884094840335</v>
      </c>
      <c r="J1095" s="45">
        <v>1.9207000835380683E-2</v>
      </c>
      <c r="K1095" s="45">
        <v>0.25019999999999998</v>
      </c>
      <c r="N1095" s="54"/>
    </row>
    <row r="1096" spans="2:14" x14ac:dyDescent="0.2">
      <c r="B1096">
        <v>1087</v>
      </c>
      <c r="C1096" s="52">
        <f t="shared" ca="1" si="51"/>
        <v>0.78364382569412339</v>
      </c>
      <c r="D1096" s="52">
        <f ca="1">S0*EXP((μ-0.5*σ*σ)*T+σ*SQRT(T)*$C1096)</f>
        <v>0.79956656934898618</v>
      </c>
      <c r="E1096" s="52">
        <f t="shared" ca="1" si="49"/>
        <v>0</v>
      </c>
      <c r="F1096" s="17">
        <f t="shared" ca="1" si="50"/>
        <v>0</v>
      </c>
      <c r="H1096" s="17">
        <v>1087</v>
      </c>
      <c r="I1096" s="45">
        <v>0.67157176252884021</v>
      </c>
      <c r="J1096" s="45">
        <v>1.9237190195441987E-2</v>
      </c>
      <c r="K1096" s="45">
        <v>0.24540000000000001</v>
      </c>
      <c r="N1096" s="54"/>
    </row>
    <row r="1097" spans="2:14" x14ac:dyDescent="0.2">
      <c r="B1097">
        <v>1088</v>
      </c>
      <c r="C1097" s="52">
        <f t="shared" ca="1" si="51"/>
        <v>-0.2932163150920834</v>
      </c>
      <c r="D1097" s="52">
        <f ca="1">S0*EXP((μ-0.5*σ*σ)*T+σ*SQRT(T)*$C1097)</f>
        <v>0.59370979398587675</v>
      </c>
      <c r="E1097" s="52">
        <f t="shared" ca="1" si="49"/>
        <v>0</v>
      </c>
      <c r="F1097" s="17">
        <f t="shared" ca="1" si="50"/>
        <v>0</v>
      </c>
      <c r="H1097" s="17">
        <v>1088</v>
      </c>
      <c r="I1097" s="45">
        <v>0.67119311437588169</v>
      </c>
      <c r="J1097" s="45">
        <v>1.9114642488322814E-2</v>
      </c>
      <c r="K1097" s="45">
        <v>0.2492</v>
      </c>
      <c r="N1097" s="54"/>
    </row>
    <row r="1098" spans="2:14" x14ac:dyDescent="0.2">
      <c r="B1098">
        <v>1089</v>
      </c>
      <c r="C1098" s="52">
        <f t="shared" ca="1" si="51"/>
        <v>-1.8466935854032895</v>
      </c>
      <c r="D1098" s="52">
        <f ca="1">S0*EXP((μ-0.5*σ*σ)*T+σ*SQRT(T)*$C1098)</f>
        <v>0.38643319689568267</v>
      </c>
      <c r="E1098" s="52">
        <f t="shared" ref="E1098:E1161" ca="1" si="52">MAX(0,CP*(D1098-K))</f>
        <v>0.14796680310431731</v>
      </c>
      <c r="F1098" s="17">
        <f t="shared" ref="F1098:F1161" ca="1" si="53">(CP*(D1098-K)&gt;0)*1</f>
        <v>1</v>
      </c>
      <c r="H1098" s="17">
        <v>1089</v>
      </c>
      <c r="I1098" s="45">
        <v>0.66946895913486237</v>
      </c>
      <c r="J1098" s="45">
        <v>1.8241326908022448E-2</v>
      </c>
      <c r="K1098" s="45">
        <v>0.24360000000000001</v>
      </c>
      <c r="N1098" s="54"/>
    </row>
    <row r="1099" spans="2:14" x14ac:dyDescent="0.2">
      <c r="B1099">
        <v>1090</v>
      </c>
      <c r="C1099" s="52">
        <f t="shared" ref="C1099:C1162" ca="1" si="54">_xlfn.NORM.S.INV(RAND())</f>
        <v>-1.8674818246509761</v>
      </c>
      <c r="D1099" s="52">
        <f ca="1">S0*EXP((μ-0.5*σ*σ)*T+σ*SQRT(T)*$C1099)</f>
        <v>0.38421890940179793</v>
      </c>
      <c r="E1099" s="52">
        <f t="shared" ca="1" si="52"/>
        <v>0.15018109059820206</v>
      </c>
      <c r="F1099" s="17">
        <f t="shared" ca="1" si="53"/>
        <v>1</v>
      </c>
      <c r="H1099" s="17">
        <v>1090</v>
      </c>
      <c r="I1099" s="45">
        <v>0.67074318265019406</v>
      </c>
      <c r="J1099" s="45">
        <v>1.8673742012233121E-2</v>
      </c>
      <c r="K1099" s="45">
        <v>0.24160000000000001</v>
      </c>
      <c r="N1099" s="54"/>
    </row>
    <row r="1100" spans="2:14" x14ac:dyDescent="0.2">
      <c r="B1100">
        <v>1091</v>
      </c>
      <c r="C1100" s="52">
        <f t="shared" ca="1" si="54"/>
        <v>0.46332678609853084</v>
      </c>
      <c r="D1100" s="52">
        <f ca="1">S0*EXP((μ-0.5*σ*σ)*T+σ*SQRT(T)*$C1100)</f>
        <v>0.731812071678975</v>
      </c>
      <c r="E1100" s="52">
        <f t="shared" ca="1" si="52"/>
        <v>0</v>
      </c>
      <c r="F1100" s="17">
        <f t="shared" ca="1" si="53"/>
        <v>0</v>
      </c>
      <c r="H1100" s="17">
        <v>1091</v>
      </c>
      <c r="I1100" s="45">
        <v>0.67171443410298171</v>
      </c>
      <c r="J1100" s="45">
        <v>1.9373935603639807E-2</v>
      </c>
      <c r="K1100" s="45">
        <v>0.24740000000000001</v>
      </c>
      <c r="N1100" s="54"/>
    </row>
    <row r="1101" spans="2:14" x14ac:dyDescent="0.2">
      <c r="B1101">
        <v>1092</v>
      </c>
      <c r="C1101" s="52">
        <f t="shared" ca="1" si="54"/>
        <v>0.24496596767938608</v>
      </c>
      <c r="D1101" s="52">
        <f ca="1">S0*EXP((μ-0.5*σ*σ)*T+σ*SQRT(T)*$C1101)</f>
        <v>0.68894519052848424</v>
      </c>
      <c r="E1101" s="52">
        <f t="shared" ca="1" si="52"/>
        <v>0</v>
      </c>
      <c r="F1101" s="17">
        <f t="shared" ca="1" si="53"/>
        <v>0</v>
      </c>
      <c r="H1101" s="17">
        <v>1092</v>
      </c>
      <c r="I1101" s="45">
        <v>0.67010144388346393</v>
      </c>
      <c r="J1101" s="45">
        <v>1.8408741993821618E-2</v>
      </c>
      <c r="K1101" s="45">
        <v>0.24340000000000001</v>
      </c>
      <c r="N1101" s="54"/>
    </row>
    <row r="1102" spans="2:14" x14ac:dyDescent="0.2">
      <c r="B1102">
        <v>1093</v>
      </c>
      <c r="C1102" s="52">
        <f t="shared" ca="1" si="54"/>
        <v>-1.5809162298792419</v>
      </c>
      <c r="D1102" s="52">
        <f ca="1">S0*EXP((μ-0.5*σ*σ)*T+σ*SQRT(T)*$C1102)</f>
        <v>0.41589320735915231</v>
      </c>
      <c r="E1102" s="52">
        <f t="shared" ca="1" si="52"/>
        <v>0.11850679264084768</v>
      </c>
      <c r="F1102" s="17">
        <f t="shared" ca="1" si="53"/>
        <v>1</v>
      </c>
      <c r="H1102" s="17">
        <v>1093</v>
      </c>
      <c r="I1102" s="45">
        <v>0.67037710980349485</v>
      </c>
      <c r="J1102" s="45">
        <v>1.8655920790841628E-2</v>
      </c>
      <c r="K1102" s="45">
        <v>0.25119999999999998</v>
      </c>
      <c r="N1102" s="54"/>
    </row>
    <row r="1103" spans="2:14" x14ac:dyDescent="0.2">
      <c r="B1103">
        <v>1094</v>
      </c>
      <c r="C1103" s="52">
        <f t="shared" ca="1" si="54"/>
        <v>-0.14180418764946623</v>
      </c>
      <c r="D1103" s="52">
        <f ca="1">S0*EXP((μ-0.5*σ*σ)*T+σ*SQRT(T)*$C1103)</f>
        <v>0.61908703743644522</v>
      </c>
      <c r="E1103" s="52">
        <f t="shared" ca="1" si="52"/>
        <v>0</v>
      </c>
      <c r="F1103" s="17">
        <f t="shared" ca="1" si="53"/>
        <v>0</v>
      </c>
      <c r="H1103" s="17">
        <v>1094</v>
      </c>
      <c r="I1103" s="45">
        <v>0.67054610210521837</v>
      </c>
      <c r="J1103" s="45">
        <v>1.8745485677188402E-2</v>
      </c>
      <c r="K1103" s="45">
        <v>0.2442</v>
      </c>
      <c r="N1103" s="54"/>
    </row>
    <row r="1104" spans="2:14" x14ac:dyDescent="0.2">
      <c r="B1104">
        <v>1095</v>
      </c>
      <c r="C1104" s="52">
        <f t="shared" ca="1" si="54"/>
        <v>-0.14690750602502209</v>
      </c>
      <c r="D1104" s="52">
        <f ca="1">S0*EXP((μ-0.5*σ*σ)*T+σ*SQRT(T)*$C1104)</f>
        <v>0.61821429278272755</v>
      </c>
      <c r="E1104" s="52">
        <f t="shared" ca="1" si="52"/>
        <v>0</v>
      </c>
      <c r="F1104" s="17">
        <f t="shared" ca="1" si="53"/>
        <v>0</v>
      </c>
      <c r="H1104" s="17">
        <v>1095</v>
      </c>
      <c r="I1104" s="45">
        <v>0.6704588884887126</v>
      </c>
      <c r="J1104" s="45">
        <v>1.8389175988861788E-2</v>
      </c>
      <c r="K1104" s="45">
        <v>0.2326</v>
      </c>
      <c r="N1104" s="54"/>
    </row>
    <row r="1105" spans="2:14" x14ac:dyDescent="0.2">
      <c r="B1105">
        <v>1096</v>
      </c>
      <c r="C1105" s="52">
        <f t="shared" ca="1" si="54"/>
        <v>-0.88016809340170321</v>
      </c>
      <c r="D1105" s="52">
        <f ca="1">S0*EXP((μ-0.5*σ*σ)*T+σ*SQRT(T)*$C1105)</f>
        <v>0.50478776952428672</v>
      </c>
      <c r="E1105" s="52">
        <f t="shared" ca="1" si="52"/>
        <v>2.9612230475713264E-2</v>
      </c>
      <c r="F1105" s="17">
        <f t="shared" ca="1" si="53"/>
        <v>1</v>
      </c>
      <c r="H1105" s="17">
        <v>1096</v>
      </c>
      <c r="I1105" s="45">
        <v>0.67077362869303347</v>
      </c>
      <c r="J1105" s="45">
        <v>1.8938099660264881E-2</v>
      </c>
      <c r="K1105" s="45">
        <v>0.24260000000000001</v>
      </c>
      <c r="N1105" s="54"/>
    </row>
    <row r="1106" spans="2:14" x14ac:dyDescent="0.2">
      <c r="B1106">
        <v>1097</v>
      </c>
      <c r="C1106" s="52">
        <f t="shared" ca="1" si="54"/>
        <v>0.15519609103079168</v>
      </c>
      <c r="D1106" s="52">
        <f ca="1">S0*EXP((μ-0.5*σ*σ)*T+σ*SQRT(T)*$C1106)</f>
        <v>0.6720591825727692</v>
      </c>
      <c r="E1106" s="52">
        <f t="shared" ca="1" si="52"/>
        <v>0</v>
      </c>
      <c r="F1106" s="17">
        <f t="shared" ca="1" si="53"/>
        <v>0</v>
      </c>
      <c r="H1106" s="17">
        <v>1097</v>
      </c>
      <c r="I1106" s="45">
        <v>0.67102116475431195</v>
      </c>
      <c r="J1106" s="45">
        <v>1.8912132420683486E-2</v>
      </c>
      <c r="K1106" s="45">
        <v>0.24560000000000001</v>
      </c>
      <c r="N1106" s="54"/>
    </row>
    <row r="1107" spans="2:14" x14ac:dyDescent="0.2">
      <c r="B1107">
        <v>1098</v>
      </c>
      <c r="C1107" s="52">
        <f t="shared" ca="1" si="54"/>
        <v>-1.0420208518066527</v>
      </c>
      <c r="D1107" s="52">
        <f ca="1">S0*EXP((μ-0.5*σ*σ)*T+σ*SQRT(T)*$C1107)</f>
        <v>0.48270066379287474</v>
      </c>
      <c r="E1107" s="52">
        <f t="shared" ca="1" si="52"/>
        <v>5.1699336207125246E-2</v>
      </c>
      <c r="F1107" s="17">
        <f t="shared" ca="1" si="53"/>
        <v>1</v>
      </c>
      <c r="H1107" s="17">
        <v>1098</v>
      </c>
      <c r="I1107" s="45">
        <v>0.6715843304150253</v>
      </c>
      <c r="J1107" s="45">
        <v>1.9230549491969343E-2</v>
      </c>
      <c r="K1107" s="45">
        <v>0.24959999999999999</v>
      </c>
      <c r="N1107" s="54"/>
    </row>
    <row r="1108" spans="2:14" x14ac:dyDescent="0.2">
      <c r="B1108">
        <v>1099</v>
      </c>
      <c r="C1108" s="52">
        <f t="shared" ca="1" si="54"/>
        <v>7.5472308242118896E-2</v>
      </c>
      <c r="D1108" s="52">
        <f ca="1">S0*EXP((μ-0.5*σ*σ)*T+σ*SQRT(T)*$C1108)</f>
        <v>0.65741018918566962</v>
      </c>
      <c r="E1108" s="52">
        <f t="shared" ca="1" si="52"/>
        <v>0</v>
      </c>
      <c r="F1108" s="17">
        <f t="shared" ca="1" si="53"/>
        <v>0</v>
      </c>
      <c r="H1108" s="17">
        <v>1099</v>
      </c>
      <c r="I1108" s="45">
        <v>0.67095230593519573</v>
      </c>
      <c r="J1108" s="45">
        <v>1.8802243150391747E-2</v>
      </c>
      <c r="K1108" s="45">
        <v>0.2452</v>
      </c>
      <c r="N1108" s="54"/>
    </row>
    <row r="1109" spans="2:14" x14ac:dyDescent="0.2">
      <c r="B1109">
        <v>1100</v>
      </c>
      <c r="C1109" s="52">
        <f t="shared" ca="1" si="54"/>
        <v>0.71375144132620016</v>
      </c>
      <c r="D1109" s="52">
        <f ca="1">S0*EXP((μ-0.5*σ*σ)*T+σ*SQRT(T)*$C1109)</f>
        <v>0.78426679725616455</v>
      </c>
      <c r="E1109" s="52">
        <f t="shared" ca="1" si="52"/>
        <v>0</v>
      </c>
      <c r="F1109" s="17">
        <f t="shared" ca="1" si="53"/>
        <v>0</v>
      </c>
      <c r="H1109" s="17">
        <v>1100</v>
      </c>
      <c r="I1109" s="45">
        <v>0.67076452947412346</v>
      </c>
      <c r="J1109" s="45">
        <v>1.8799303689593039E-2</v>
      </c>
      <c r="K1109" s="45">
        <v>0.2482</v>
      </c>
      <c r="N1109" s="54"/>
    </row>
    <row r="1110" spans="2:14" x14ac:dyDescent="0.2">
      <c r="B1110">
        <v>1101</v>
      </c>
      <c r="C1110" s="52">
        <f t="shared" ca="1" si="54"/>
        <v>1.5485232219731375</v>
      </c>
      <c r="D1110" s="52">
        <f ca="1">S0*EXP((μ-0.5*σ*σ)*T+σ*SQRT(T)*$C1110)</f>
        <v>0.98782674809422832</v>
      </c>
      <c r="E1110" s="52">
        <f t="shared" ca="1" si="52"/>
        <v>0</v>
      </c>
      <c r="F1110" s="17">
        <f t="shared" ca="1" si="53"/>
        <v>0</v>
      </c>
      <c r="H1110" s="17">
        <v>1101</v>
      </c>
      <c r="I1110" s="45">
        <v>0.67061483483727014</v>
      </c>
      <c r="J1110" s="45">
        <v>1.8879146301075428E-2</v>
      </c>
      <c r="K1110" s="45">
        <v>0.24759999999999999</v>
      </c>
      <c r="N1110" s="54"/>
    </row>
    <row r="1111" spans="2:14" x14ac:dyDescent="0.2">
      <c r="B1111">
        <v>1102</v>
      </c>
      <c r="C1111" s="52">
        <f t="shared" ca="1" si="54"/>
        <v>-0.83568697899894118</v>
      </c>
      <c r="D1111" s="52">
        <f ca="1">S0*EXP((μ-0.5*σ*σ)*T+σ*SQRT(T)*$C1111)</f>
        <v>0.51103297007131032</v>
      </c>
      <c r="E1111" s="52">
        <f t="shared" ca="1" si="52"/>
        <v>2.3367029928689664E-2</v>
      </c>
      <c r="F1111" s="17">
        <f t="shared" ca="1" si="53"/>
        <v>1</v>
      </c>
      <c r="H1111" s="17">
        <v>1102</v>
      </c>
      <c r="I1111" s="45">
        <v>0.67030610475866415</v>
      </c>
      <c r="J1111" s="45">
        <v>1.8669764338088153E-2</v>
      </c>
      <c r="K1111" s="45">
        <v>0.24060000000000001</v>
      </c>
      <c r="N1111" s="54"/>
    </row>
    <row r="1112" spans="2:14" x14ac:dyDescent="0.2">
      <c r="B1112">
        <v>1103</v>
      </c>
      <c r="C1112" s="52">
        <f t="shared" ca="1" si="54"/>
        <v>0.15997285276629389</v>
      </c>
      <c r="D1112" s="52">
        <f ca="1">S0*EXP((μ-0.5*σ*σ)*T+σ*SQRT(T)*$C1112)</f>
        <v>0.67294719079010434</v>
      </c>
      <c r="E1112" s="52">
        <f t="shared" ca="1" si="52"/>
        <v>0</v>
      </c>
      <c r="F1112" s="17">
        <f t="shared" ca="1" si="53"/>
        <v>0</v>
      </c>
      <c r="H1112" s="17">
        <v>1103</v>
      </c>
      <c r="I1112" s="45">
        <v>0.67151634283061268</v>
      </c>
      <c r="J1112" s="45">
        <v>1.9497788930735664E-2</v>
      </c>
      <c r="K1112" s="45">
        <v>0.25119999999999998</v>
      </c>
      <c r="N1112" s="54"/>
    </row>
    <row r="1113" spans="2:14" x14ac:dyDescent="0.2">
      <c r="B1113">
        <v>1104</v>
      </c>
      <c r="C1113" s="52">
        <f t="shared" ca="1" si="54"/>
        <v>0.57908071166924602</v>
      </c>
      <c r="D1113" s="52">
        <f ca="1">S0*EXP((μ-0.5*σ*σ)*T+σ*SQRT(T)*$C1113)</f>
        <v>0.75560737562057478</v>
      </c>
      <c r="E1113" s="52">
        <f t="shared" ca="1" si="52"/>
        <v>0</v>
      </c>
      <c r="F1113" s="17">
        <f t="shared" ca="1" si="53"/>
        <v>0</v>
      </c>
      <c r="H1113" s="17">
        <v>1104</v>
      </c>
      <c r="I1113" s="45">
        <v>0.67167104008684742</v>
      </c>
      <c r="J1113" s="45">
        <v>1.9258074661755067E-2</v>
      </c>
      <c r="K1113" s="45">
        <v>0.24279999999999999</v>
      </c>
      <c r="N1113" s="54"/>
    </row>
    <row r="1114" spans="2:14" x14ac:dyDescent="0.2">
      <c r="B1114">
        <v>1105</v>
      </c>
      <c r="C1114" s="52">
        <f t="shared" ca="1" si="54"/>
        <v>-0.74309683056340614</v>
      </c>
      <c r="D1114" s="52">
        <f ca="1">S0*EXP((μ-0.5*σ*σ)*T+σ*SQRT(T)*$C1114)</f>
        <v>0.52428164806094468</v>
      </c>
      <c r="E1114" s="52">
        <f t="shared" ca="1" si="52"/>
        <v>1.0118351939055303E-2</v>
      </c>
      <c r="F1114" s="17">
        <f t="shared" ca="1" si="53"/>
        <v>1</v>
      </c>
      <c r="H1114" s="17">
        <v>1105</v>
      </c>
      <c r="I1114" s="45">
        <v>0.67208493774590738</v>
      </c>
      <c r="J1114" s="45">
        <v>2.0213022109253978E-2</v>
      </c>
      <c r="K1114" s="45">
        <v>0.25280000000000002</v>
      </c>
      <c r="N1114" s="54"/>
    </row>
    <row r="1115" spans="2:14" x14ac:dyDescent="0.2">
      <c r="B1115">
        <v>1106</v>
      </c>
      <c r="C1115" s="52">
        <f t="shared" ca="1" si="54"/>
        <v>-0.13942176622341337</v>
      </c>
      <c r="D1115" s="52">
        <f ca="1">S0*EXP((μ-0.5*σ*σ)*T+σ*SQRT(T)*$C1115)</f>
        <v>0.61949488928518404</v>
      </c>
      <c r="E1115" s="52">
        <f t="shared" ca="1" si="52"/>
        <v>0</v>
      </c>
      <c r="F1115" s="17">
        <f t="shared" ca="1" si="53"/>
        <v>0</v>
      </c>
      <c r="H1115" s="17">
        <v>1106</v>
      </c>
      <c r="I1115" s="45">
        <v>0.67026114352636446</v>
      </c>
      <c r="J1115" s="45">
        <v>1.8457542240387835E-2</v>
      </c>
      <c r="K1115" s="45">
        <v>0.2442</v>
      </c>
      <c r="N1115" s="54"/>
    </row>
    <row r="1116" spans="2:14" x14ac:dyDescent="0.2">
      <c r="B1116">
        <v>1107</v>
      </c>
      <c r="C1116" s="52">
        <f t="shared" ca="1" si="54"/>
        <v>0.87075003911085591</v>
      </c>
      <c r="D1116" s="52">
        <f ca="1">S0*EXP((μ-0.5*σ*σ)*T+σ*SQRT(T)*$C1116)</f>
        <v>0.81905298950202943</v>
      </c>
      <c r="E1116" s="52">
        <f t="shared" ca="1" si="52"/>
        <v>0</v>
      </c>
      <c r="F1116" s="17">
        <f t="shared" ca="1" si="53"/>
        <v>0</v>
      </c>
      <c r="H1116" s="17">
        <v>1107</v>
      </c>
      <c r="I1116" s="45">
        <v>0.6710087910396686</v>
      </c>
      <c r="J1116" s="45">
        <v>1.9065118882824268E-2</v>
      </c>
      <c r="K1116" s="45">
        <v>0.24979999999999999</v>
      </c>
      <c r="N1116" s="54"/>
    </row>
    <row r="1117" spans="2:14" x14ac:dyDescent="0.2">
      <c r="B1117">
        <v>1108</v>
      </c>
      <c r="C1117" s="52">
        <f t="shared" ca="1" si="54"/>
        <v>-0.1653390753619404</v>
      </c>
      <c r="D1117" s="52">
        <f ca="1">S0*EXP((μ-0.5*σ*σ)*T+σ*SQRT(T)*$C1117)</f>
        <v>0.6150724491709989</v>
      </c>
      <c r="E1117" s="52">
        <f t="shared" ca="1" si="52"/>
        <v>0</v>
      </c>
      <c r="F1117" s="17">
        <f t="shared" ca="1" si="53"/>
        <v>0</v>
      </c>
      <c r="H1117" s="17">
        <v>1108</v>
      </c>
      <c r="I1117" s="45">
        <v>0.67117297636830886</v>
      </c>
      <c r="J1117" s="45">
        <v>1.9401715874925833E-2</v>
      </c>
      <c r="K1117" s="45">
        <v>0.25180000000000002</v>
      </c>
      <c r="N1117" s="54"/>
    </row>
    <row r="1118" spans="2:14" x14ac:dyDescent="0.2">
      <c r="B1118">
        <v>1109</v>
      </c>
      <c r="C1118" s="52">
        <f t="shared" ca="1" si="54"/>
        <v>-0.70022167508940292</v>
      </c>
      <c r="D1118" s="52">
        <f ca="1">S0*EXP((μ-0.5*σ*σ)*T+σ*SQRT(T)*$C1118)</f>
        <v>0.53053244909923336</v>
      </c>
      <c r="E1118" s="52">
        <f t="shared" ca="1" si="52"/>
        <v>3.8675509007666253E-3</v>
      </c>
      <c r="F1118" s="17">
        <f t="shared" ca="1" si="53"/>
        <v>1</v>
      </c>
      <c r="H1118" s="17">
        <v>1109</v>
      </c>
      <c r="I1118" s="45">
        <v>0.67140079080930959</v>
      </c>
      <c r="J1118" s="45">
        <v>1.9434945203751046E-2</v>
      </c>
      <c r="K1118" s="45">
        <v>0.2482</v>
      </c>
      <c r="N1118" s="54"/>
    </row>
    <row r="1119" spans="2:14" x14ac:dyDescent="0.2">
      <c r="B1119">
        <v>1110</v>
      </c>
      <c r="C1119" s="52">
        <f t="shared" ca="1" si="54"/>
        <v>-0.41985962402336907</v>
      </c>
      <c r="D1119" s="52">
        <f ca="1">S0*EXP((μ-0.5*σ*σ)*T+σ*SQRT(T)*$C1119)</f>
        <v>0.57328461834184796</v>
      </c>
      <c r="E1119" s="52">
        <f t="shared" ca="1" si="52"/>
        <v>0</v>
      </c>
      <c r="F1119" s="17">
        <f t="shared" ca="1" si="53"/>
        <v>0</v>
      </c>
      <c r="H1119" s="17">
        <v>1110</v>
      </c>
      <c r="I1119" s="45">
        <v>0.67129689315569563</v>
      </c>
      <c r="J1119" s="45">
        <v>1.9506273251006966E-2</v>
      </c>
      <c r="K1119" s="45">
        <v>0.25180000000000002</v>
      </c>
      <c r="N1119" s="54"/>
    </row>
    <row r="1120" spans="2:14" x14ac:dyDescent="0.2">
      <c r="B1120">
        <v>1111</v>
      </c>
      <c r="C1120" s="52">
        <f t="shared" ca="1" si="54"/>
        <v>-0.33060933169401424</v>
      </c>
      <c r="D1120" s="52">
        <f ca="1">S0*EXP((μ-0.5*σ*σ)*T+σ*SQRT(T)*$C1120)</f>
        <v>0.58760443511348193</v>
      </c>
      <c r="E1120" s="52">
        <f t="shared" ca="1" si="52"/>
        <v>0</v>
      </c>
      <c r="F1120" s="17">
        <f t="shared" ca="1" si="53"/>
        <v>0</v>
      </c>
      <c r="H1120" s="17">
        <v>1111</v>
      </c>
      <c r="I1120" s="45">
        <v>0.67109829386215247</v>
      </c>
      <c r="J1120" s="45">
        <v>1.8935950652340706E-2</v>
      </c>
      <c r="K1120" s="45">
        <v>0.25259999999999999</v>
      </c>
      <c r="N1120" s="54"/>
    </row>
    <row r="1121" spans="2:14" x14ac:dyDescent="0.2">
      <c r="B1121">
        <v>1112</v>
      </c>
      <c r="C1121" s="52">
        <f t="shared" ca="1" si="54"/>
        <v>1.8854479237744606</v>
      </c>
      <c r="D1121" s="52">
        <f ca="1">S0*EXP((μ-0.5*σ*σ)*T+σ*SQRT(T)*$C1121)</f>
        <v>1.0842505263898392</v>
      </c>
      <c r="E1121" s="52">
        <f t="shared" ca="1" si="52"/>
        <v>0</v>
      </c>
      <c r="F1121" s="17">
        <f t="shared" ca="1" si="53"/>
        <v>0</v>
      </c>
      <c r="H1121" s="17">
        <v>1112</v>
      </c>
      <c r="I1121" s="45">
        <v>0.6706529193118852</v>
      </c>
      <c r="J1121" s="45">
        <v>1.8588214909072403E-2</v>
      </c>
      <c r="K1121" s="45">
        <v>0.2414</v>
      </c>
      <c r="N1121" s="54"/>
    </row>
    <row r="1122" spans="2:14" x14ac:dyDescent="0.2">
      <c r="B1122">
        <v>1113</v>
      </c>
      <c r="C1122" s="52">
        <f t="shared" ca="1" si="54"/>
        <v>0.38421491961150483</v>
      </c>
      <c r="D1122" s="52">
        <f ca="1">S0*EXP((μ-0.5*σ*σ)*T+σ*SQRT(T)*$C1122)</f>
        <v>0.71598173457095982</v>
      </c>
      <c r="E1122" s="52">
        <f t="shared" ca="1" si="52"/>
        <v>0</v>
      </c>
      <c r="F1122" s="17">
        <f t="shared" ca="1" si="53"/>
        <v>0</v>
      </c>
      <c r="H1122" s="17">
        <v>1113</v>
      </c>
      <c r="I1122" s="45">
        <v>0.67216035377376515</v>
      </c>
      <c r="J1122" s="45">
        <v>1.993405698447712E-2</v>
      </c>
      <c r="K1122" s="45">
        <v>0.25280000000000002</v>
      </c>
      <c r="N1122" s="54"/>
    </row>
    <row r="1123" spans="2:14" x14ac:dyDescent="0.2">
      <c r="B1123">
        <v>1114</v>
      </c>
      <c r="C1123" s="52">
        <f t="shared" ca="1" si="54"/>
        <v>-0.27215593458301796</v>
      </c>
      <c r="D1123" s="52">
        <f ca="1">S0*EXP((μ-0.5*σ*σ)*T+σ*SQRT(T)*$C1123)</f>
        <v>0.59717631904562396</v>
      </c>
      <c r="E1123" s="52">
        <f t="shared" ca="1" si="52"/>
        <v>0</v>
      </c>
      <c r="F1123" s="17">
        <f t="shared" ca="1" si="53"/>
        <v>0</v>
      </c>
      <c r="H1123" s="17">
        <v>1114</v>
      </c>
      <c r="I1123" s="45">
        <v>0.67112103646769516</v>
      </c>
      <c r="J1123" s="45">
        <v>1.9145154914230675E-2</v>
      </c>
      <c r="K1123" s="45">
        <v>0.25</v>
      </c>
      <c r="N1123" s="54"/>
    </row>
    <row r="1124" spans="2:14" x14ac:dyDescent="0.2">
      <c r="B1124">
        <v>1115</v>
      </c>
      <c r="C1124" s="52">
        <f t="shared" ca="1" si="54"/>
        <v>0.61260575229916769</v>
      </c>
      <c r="D1124" s="52">
        <f ca="1">S0*EXP((μ-0.5*σ*σ)*T+σ*SQRT(T)*$C1124)</f>
        <v>0.76264244800267977</v>
      </c>
      <c r="E1124" s="52">
        <f t="shared" ca="1" si="52"/>
        <v>0</v>
      </c>
      <c r="F1124" s="17">
        <f t="shared" ca="1" si="53"/>
        <v>0</v>
      </c>
      <c r="H1124" s="17">
        <v>1115</v>
      </c>
      <c r="I1124" s="45">
        <v>0.67091082802156365</v>
      </c>
      <c r="J1124" s="45">
        <v>1.8974396407129415E-2</v>
      </c>
      <c r="K1124" s="45">
        <v>0.25259999999999999</v>
      </c>
      <c r="N1124" s="54"/>
    </row>
    <row r="1125" spans="2:14" x14ac:dyDescent="0.2">
      <c r="B1125">
        <v>1116</v>
      </c>
      <c r="C1125" s="52">
        <f t="shared" ca="1" si="54"/>
        <v>-1.0237418814867261</v>
      </c>
      <c r="D1125" s="52">
        <f ca="1">S0*EXP((μ-0.5*σ*σ)*T+σ*SQRT(T)*$C1125)</f>
        <v>0.4851458753019946</v>
      </c>
      <c r="E1125" s="52">
        <f t="shared" ca="1" si="52"/>
        <v>4.9254124698005386E-2</v>
      </c>
      <c r="F1125" s="17">
        <f t="shared" ca="1" si="53"/>
        <v>1</v>
      </c>
      <c r="H1125" s="17">
        <v>1116</v>
      </c>
      <c r="I1125" s="45">
        <v>0.6720480698359218</v>
      </c>
      <c r="J1125" s="45">
        <v>1.9598912510257655E-2</v>
      </c>
      <c r="K1125" s="45">
        <v>0.2462</v>
      </c>
      <c r="N1125" s="54"/>
    </row>
    <row r="1126" spans="2:14" x14ac:dyDescent="0.2">
      <c r="B1126">
        <v>1117</v>
      </c>
      <c r="C1126" s="52">
        <f t="shared" ca="1" si="54"/>
        <v>1.2010674711020446</v>
      </c>
      <c r="D1126" s="52">
        <f ca="1">S0*EXP((μ-0.5*σ*σ)*T+σ*SQRT(T)*$C1126)</f>
        <v>0.89736192078654087</v>
      </c>
      <c r="E1126" s="52">
        <f t="shared" ca="1" si="52"/>
        <v>0</v>
      </c>
      <c r="F1126" s="17">
        <f t="shared" ca="1" si="53"/>
        <v>0</v>
      </c>
      <c r="H1126" s="17">
        <v>1117</v>
      </c>
      <c r="I1126" s="45">
        <v>0.67030468712633418</v>
      </c>
      <c r="J1126" s="45">
        <v>1.8524085550021569E-2</v>
      </c>
      <c r="K1126" s="45">
        <v>0.24679999999999999</v>
      </c>
      <c r="N1126" s="54"/>
    </row>
    <row r="1127" spans="2:14" x14ac:dyDescent="0.2">
      <c r="B1127">
        <v>1118</v>
      </c>
      <c r="C1127" s="52">
        <f t="shared" ca="1" si="54"/>
        <v>-0.20344085171656479</v>
      </c>
      <c r="D1127" s="52">
        <f ca="1">S0*EXP((μ-0.5*σ*σ)*T+σ*SQRT(T)*$C1127)</f>
        <v>0.60862815275131532</v>
      </c>
      <c r="E1127" s="52">
        <f t="shared" ca="1" si="52"/>
        <v>0</v>
      </c>
      <c r="F1127" s="17">
        <f t="shared" ca="1" si="53"/>
        <v>0</v>
      </c>
      <c r="H1127" s="17">
        <v>1118</v>
      </c>
      <c r="I1127" s="45">
        <v>0.67147363818636241</v>
      </c>
      <c r="J1127" s="45">
        <v>1.9320106945704414E-2</v>
      </c>
      <c r="K1127" s="45">
        <v>0.255</v>
      </c>
      <c r="N1127" s="54"/>
    </row>
    <row r="1128" spans="2:14" x14ac:dyDescent="0.2">
      <c r="B1128">
        <v>1119</v>
      </c>
      <c r="C1128" s="52">
        <f t="shared" ca="1" si="54"/>
        <v>0.887156473042647</v>
      </c>
      <c r="D1128" s="52">
        <f ca="1">S0*EXP((μ-0.5*σ*σ)*T+σ*SQRT(T)*$C1128)</f>
        <v>0.82277605356834516</v>
      </c>
      <c r="E1128" s="52">
        <f t="shared" ca="1" si="52"/>
        <v>0</v>
      </c>
      <c r="F1128" s="17">
        <f t="shared" ca="1" si="53"/>
        <v>0</v>
      </c>
      <c r="H1128" s="17">
        <v>1119</v>
      </c>
      <c r="I1128" s="45">
        <v>0.67128846031311096</v>
      </c>
      <c r="J1128" s="45">
        <v>1.9368485976077199E-2</v>
      </c>
      <c r="K1128" s="45">
        <v>0.24060000000000001</v>
      </c>
      <c r="N1128" s="54"/>
    </row>
    <row r="1129" spans="2:14" x14ac:dyDescent="0.2">
      <c r="B1129">
        <v>1120</v>
      </c>
      <c r="C1129" s="52">
        <f t="shared" ca="1" si="54"/>
        <v>-0.71143690414697647</v>
      </c>
      <c r="D1129" s="52">
        <f ca="1">S0*EXP((μ-0.5*σ*σ)*T+σ*SQRT(T)*$C1129)</f>
        <v>0.52889021077040677</v>
      </c>
      <c r="E1129" s="52">
        <f t="shared" ca="1" si="52"/>
        <v>5.5097892295932205E-3</v>
      </c>
      <c r="F1129" s="17">
        <f t="shared" ca="1" si="53"/>
        <v>1</v>
      </c>
      <c r="H1129" s="17">
        <v>1120</v>
      </c>
      <c r="I1129" s="45">
        <v>0.67109404992109045</v>
      </c>
      <c r="J1129" s="45">
        <v>1.9123605238075637E-2</v>
      </c>
      <c r="K1129" s="45">
        <v>0.25140000000000001</v>
      </c>
      <c r="N1129" s="54"/>
    </row>
    <row r="1130" spans="2:14" x14ac:dyDescent="0.2">
      <c r="B1130">
        <v>1121</v>
      </c>
      <c r="C1130" s="52">
        <f t="shared" ca="1" si="54"/>
        <v>0.91742013936699052</v>
      </c>
      <c r="D1130" s="52">
        <f ca="1">S0*EXP((μ-0.5*σ*σ)*T+σ*SQRT(T)*$C1130)</f>
        <v>0.82968815647581706</v>
      </c>
      <c r="E1130" s="52">
        <f t="shared" ca="1" si="52"/>
        <v>0</v>
      </c>
      <c r="F1130" s="17">
        <f t="shared" ca="1" si="53"/>
        <v>0</v>
      </c>
      <c r="H1130" s="17">
        <v>1121</v>
      </c>
      <c r="I1130" s="45">
        <v>0.67122211946024513</v>
      </c>
      <c r="J1130" s="45">
        <v>1.943035980578214E-2</v>
      </c>
      <c r="K1130" s="45">
        <v>0.25040000000000001</v>
      </c>
      <c r="N1130" s="54"/>
    </row>
    <row r="1131" spans="2:14" x14ac:dyDescent="0.2">
      <c r="B1131">
        <v>1122</v>
      </c>
      <c r="C1131" s="52">
        <f t="shared" ca="1" si="54"/>
        <v>-0.30503336799285885</v>
      </c>
      <c r="D1131" s="52">
        <f ca="1">S0*EXP((μ-0.5*σ*σ)*T+σ*SQRT(T)*$C1131)</f>
        <v>0.5917735353360527</v>
      </c>
      <c r="E1131" s="52">
        <f t="shared" ca="1" si="52"/>
        <v>0</v>
      </c>
      <c r="F1131" s="17">
        <f t="shared" ca="1" si="53"/>
        <v>0</v>
      </c>
      <c r="H1131" s="17">
        <v>1122</v>
      </c>
      <c r="I1131" s="45">
        <v>0.67051924819387099</v>
      </c>
      <c r="J1131" s="45">
        <v>1.8921492890883514E-2</v>
      </c>
      <c r="K1131" s="45">
        <v>0.25059999999999999</v>
      </c>
      <c r="N1131" s="54"/>
    </row>
    <row r="1132" spans="2:14" x14ac:dyDescent="0.2">
      <c r="B1132">
        <v>1123</v>
      </c>
      <c r="C1132" s="52">
        <f t="shared" ca="1" si="54"/>
        <v>-0.3009267070844085</v>
      </c>
      <c r="D1132" s="52">
        <f ca="1">S0*EXP((μ-0.5*σ*σ)*T+σ*SQRT(T)*$C1132)</f>
        <v>0.59244570674749686</v>
      </c>
      <c r="E1132" s="52">
        <f t="shared" ca="1" si="52"/>
        <v>0</v>
      </c>
      <c r="F1132" s="17">
        <f t="shared" ca="1" si="53"/>
        <v>0</v>
      </c>
      <c r="H1132" s="17">
        <v>1123</v>
      </c>
      <c r="I1132" s="45">
        <v>0.67123471224614117</v>
      </c>
      <c r="J1132" s="45">
        <v>1.9289707173695089E-2</v>
      </c>
      <c r="K1132" s="45">
        <v>0.25280000000000002</v>
      </c>
      <c r="N1132" s="54"/>
    </row>
    <row r="1133" spans="2:14" x14ac:dyDescent="0.2">
      <c r="B1133">
        <v>1124</v>
      </c>
      <c r="C1133" s="52">
        <f t="shared" ca="1" si="54"/>
        <v>0.62665749305938367</v>
      </c>
      <c r="D1133" s="52">
        <f ca="1">S0*EXP((μ-0.5*σ*σ)*T+σ*SQRT(T)*$C1133)</f>
        <v>0.76561058522646208</v>
      </c>
      <c r="E1133" s="52">
        <f t="shared" ca="1" si="52"/>
        <v>0</v>
      </c>
      <c r="F1133" s="17">
        <f t="shared" ca="1" si="53"/>
        <v>0</v>
      </c>
      <c r="H1133" s="17">
        <v>1124</v>
      </c>
      <c r="I1133" s="45">
        <v>0.67143537503962758</v>
      </c>
      <c r="J1133" s="45">
        <v>1.9093638351495652E-2</v>
      </c>
      <c r="K1133" s="45">
        <v>0.2492</v>
      </c>
      <c r="N1133" s="54"/>
    </row>
    <row r="1134" spans="2:14" x14ac:dyDescent="0.2">
      <c r="B1134">
        <v>1125</v>
      </c>
      <c r="C1134" s="52">
        <f t="shared" ca="1" si="54"/>
        <v>0.52571659059400755</v>
      </c>
      <c r="D1134" s="52">
        <f ca="1">S0*EXP((μ-0.5*σ*σ)*T+σ*SQRT(T)*$C1134)</f>
        <v>0.74454278514223815</v>
      </c>
      <c r="E1134" s="52">
        <f t="shared" ca="1" si="52"/>
        <v>0</v>
      </c>
      <c r="F1134" s="17">
        <f t="shared" ca="1" si="53"/>
        <v>0</v>
      </c>
      <c r="H1134" s="17">
        <v>1125</v>
      </c>
      <c r="I1134" s="45">
        <v>0.67077560725652852</v>
      </c>
      <c r="J1134" s="45">
        <v>1.8916912207054933E-2</v>
      </c>
      <c r="K1134" s="45">
        <v>0.24560000000000001</v>
      </c>
      <c r="N1134" s="54"/>
    </row>
    <row r="1135" spans="2:14" x14ac:dyDescent="0.2">
      <c r="B1135">
        <v>1126</v>
      </c>
      <c r="C1135" s="52">
        <f t="shared" ca="1" si="54"/>
        <v>-0.57792020829327773</v>
      </c>
      <c r="D1135" s="52">
        <f ca="1">S0*EXP((μ-0.5*σ*σ)*T+σ*SQRT(T)*$C1135)</f>
        <v>0.54877538609978005</v>
      </c>
      <c r="E1135" s="52">
        <f t="shared" ca="1" si="52"/>
        <v>0</v>
      </c>
      <c r="F1135" s="17">
        <f t="shared" ca="1" si="53"/>
        <v>0</v>
      </c>
      <c r="H1135" s="17">
        <v>1126</v>
      </c>
      <c r="I1135" s="45">
        <v>0.67109482665967024</v>
      </c>
      <c r="J1135" s="45">
        <v>1.8896552519298976E-2</v>
      </c>
      <c r="K1135" s="45">
        <v>0.24560000000000001</v>
      </c>
      <c r="N1135" s="54"/>
    </row>
    <row r="1136" spans="2:14" x14ac:dyDescent="0.2">
      <c r="B1136">
        <v>1127</v>
      </c>
      <c r="C1136" s="52">
        <f t="shared" ca="1" si="54"/>
        <v>1.2953780430929855</v>
      </c>
      <c r="D1136" s="52">
        <f ca="1">S0*EXP((μ-0.5*σ*σ)*T+σ*SQRT(T)*$C1136)</f>
        <v>0.92106422539612953</v>
      </c>
      <c r="E1136" s="52">
        <f t="shared" ca="1" si="52"/>
        <v>0</v>
      </c>
      <c r="F1136" s="17">
        <f t="shared" ca="1" si="53"/>
        <v>0</v>
      </c>
      <c r="H1136" s="17">
        <v>1127</v>
      </c>
      <c r="I1136" s="45">
        <v>0.6697998033111735</v>
      </c>
      <c r="J1136" s="45">
        <v>1.7980588959953029E-2</v>
      </c>
      <c r="K1136" s="45">
        <v>0.23699999999999999</v>
      </c>
      <c r="N1136" s="54"/>
    </row>
    <row r="1137" spans="2:14" x14ac:dyDescent="0.2">
      <c r="B1137">
        <v>1128</v>
      </c>
      <c r="C1137" s="52">
        <f t="shared" ca="1" si="54"/>
        <v>-0.81862929805201579</v>
      </c>
      <c r="D1137" s="52">
        <f ca="1">S0*EXP((μ-0.5*σ*σ)*T+σ*SQRT(T)*$C1137)</f>
        <v>0.51344833271538159</v>
      </c>
      <c r="E1137" s="52">
        <f t="shared" ca="1" si="52"/>
        <v>2.0951667284618392E-2</v>
      </c>
      <c r="F1137" s="17">
        <f t="shared" ca="1" si="53"/>
        <v>1</v>
      </c>
      <c r="H1137" s="17">
        <v>1128</v>
      </c>
      <c r="I1137" s="45">
        <v>0.67149943564473291</v>
      </c>
      <c r="J1137" s="45">
        <v>1.955898774085597E-2</v>
      </c>
      <c r="K1137" s="45">
        <v>0.25319999999999998</v>
      </c>
      <c r="N1137" s="54"/>
    </row>
    <row r="1138" spans="2:14" x14ac:dyDescent="0.2">
      <c r="B1138">
        <v>1129</v>
      </c>
      <c r="C1138" s="52">
        <f t="shared" ca="1" si="54"/>
        <v>1.2785063464937312</v>
      </c>
      <c r="D1138" s="52">
        <f ca="1">S0*EXP((μ-0.5*σ*σ)*T+σ*SQRT(T)*$C1138)</f>
        <v>0.91677848918038107</v>
      </c>
      <c r="E1138" s="52">
        <f t="shared" ca="1" si="52"/>
        <v>0</v>
      </c>
      <c r="F1138" s="17">
        <f t="shared" ca="1" si="53"/>
        <v>0</v>
      </c>
      <c r="H1138" s="17">
        <v>1129</v>
      </c>
      <c r="I1138" s="45">
        <v>0.67178140847446388</v>
      </c>
      <c r="J1138" s="45">
        <v>1.9079928805715789E-2</v>
      </c>
      <c r="K1138" s="45">
        <v>0.24740000000000001</v>
      </c>
      <c r="N1138" s="54"/>
    </row>
    <row r="1139" spans="2:14" x14ac:dyDescent="0.2">
      <c r="B1139">
        <v>1130</v>
      </c>
      <c r="C1139" s="52">
        <f t="shared" ca="1" si="54"/>
        <v>-0.51160451409769436</v>
      </c>
      <c r="D1139" s="52">
        <f ca="1">S0*EXP((μ-0.5*σ*σ)*T+σ*SQRT(T)*$C1139)</f>
        <v>0.55892820991899805</v>
      </c>
      <c r="E1139" s="52">
        <f t="shared" ca="1" si="52"/>
        <v>0</v>
      </c>
      <c r="F1139" s="17">
        <f t="shared" ca="1" si="53"/>
        <v>0</v>
      </c>
      <c r="H1139" s="17">
        <v>1130</v>
      </c>
      <c r="I1139" s="45">
        <v>0.6711635890007196</v>
      </c>
      <c r="J1139" s="45">
        <v>1.9209966510755017E-2</v>
      </c>
      <c r="K1139" s="45">
        <v>0.25319999999999998</v>
      </c>
      <c r="N1139" s="54"/>
    </row>
    <row r="1140" spans="2:14" x14ac:dyDescent="0.2">
      <c r="B1140">
        <v>1131</v>
      </c>
      <c r="C1140" s="52">
        <f t="shared" ca="1" si="54"/>
        <v>0.33139660182777636</v>
      </c>
      <c r="D1140" s="52">
        <f ca="1">S0*EXP((μ-0.5*σ*σ)*T+σ*SQRT(T)*$C1140)</f>
        <v>0.70560384641204821</v>
      </c>
      <c r="E1140" s="52">
        <f t="shared" ca="1" si="52"/>
        <v>0</v>
      </c>
      <c r="F1140" s="17">
        <f t="shared" ca="1" si="53"/>
        <v>0</v>
      </c>
      <c r="H1140" s="17">
        <v>1131</v>
      </c>
      <c r="I1140" s="45">
        <v>0.67096345179812023</v>
      </c>
      <c r="J1140" s="45">
        <v>1.9109759358644639E-2</v>
      </c>
      <c r="K1140" s="45">
        <v>0.24979999999999999</v>
      </c>
      <c r="N1140" s="54"/>
    </row>
    <row r="1141" spans="2:14" x14ac:dyDescent="0.2">
      <c r="B1141">
        <v>1132</v>
      </c>
      <c r="C1141" s="52">
        <f t="shared" ca="1" si="54"/>
        <v>0.91807354261788576</v>
      </c>
      <c r="D1141" s="52">
        <f ca="1">S0*EXP((μ-0.5*σ*σ)*T+σ*SQRT(T)*$C1141)</f>
        <v>0.82983802986404609</v>
      </c>
      <c r="E1141" s="52">
        <f t="shared" ca="1" si="52"/>
        <v>0</v>
      </c>
      <c r="F1141" s="17">
        <f t="shared" ca="1" si="53"/>
        <v>0</v>
      </c>
      <c r="H1141" s="17">
        <v>1132</v>
      </c>
      <c r="I1141" s="45">
        <v>0.67097668918425124</v>
      </c>
      <c r="J1141" s="45">
        <v>1.8955582496649932E-2</v>
      </c>
      <c r="K1141" s="45">
        <v>0.24959999999999999</v>
      </c>
      <c r="N1141" s="54"/>
    </row>
    <row r="1142" spans="2:14" x14ac:dyDescent="0.2">
      <c r="B1142">
        <v>1133</v>
      </c>
      <c r="C1142" s="52">
        <f t="shared" ca="1" si="54"/>
        <v>1.6995675798857717</v>
      </c>
      <c r="D1142" s="52">
        <f ca="1">S0*EXP((μ-0.5*σ*σ)*T+σ*SQRT(T)*$C1142)</f>
        <v>1.0299452223488899</v>
      </c>
      <c r="E1142" s="52">
        <f t="shared" ca="1" si="52"/>
        <v>0</v>
      </c>
      <c r="F1142" s="17">
        <f t="shared" ca="1" si="53"/>
        <v>0</v>
      </c>
      <c r="H1142" s="17">
        <v>1133</v>
      </c>
      <c r="I1142" s="45">
        <v>0.67077998044788911</v>
      </c>
      <c r="J1142" s="45">
        <v>1.8833146480780341E-2</v>
      </c>
      <c r="K1142" s="45">
        <v>0.24560000000000001</v>
      </c>
      <c r="N1142" s="54"/>
    </row>
    <row r="1143" spans="2:14" x14ac:dyDescent="0.2">
      <c r="B1143">
        <v>1134</v>
      </c>
      <c r="C1143" s="52">
        <f t="shared" ca="1" si="54"/>
        <v>2.2722502317047404</v>
      </c>
      <c r="D1143" s="52">
        <f ca="1">S0*EXP((μ-0.5*σ*σ)*T+σ*SQRT(T)*$C1143)</f>
        <v>1.2066087312457483</v>
      </c>
      <c r="E1143" s="52">
        <f t="shared" ca="1" si="52"/>
        <v>0</v>
      </c>
      <c r="F1143" s="17">
        <f t="shared" ca="1" si="53"/>
        <v>0</v>
      </c>
      <c r="H1143" s="17">
        <v>1134</v>
      </c>
      <c r="I1143" s="45">
        <v>0.67135992431554681</v>
      </c>
      <c r="J1143" s="45">
        <v>1.9345150700271159E-2</v>
      </c>
      <c r="K1143" s="45">
        <v>0.25140000000000001</v>
      </c>
      <c r="N1143" s="54"/>
    </row>
    <row r="1144" spans="2:14" x14ac:dyDescent="0.2">
      <c r="B1144">
        <v>1135</v>
      </c>
      <c r="C1144" s="52">
        <f t="shared" ca="1" si="54"/>
        <v>-2.1329594680807543E-2</v>
      </c>
      <c r="D1144" s="52">
        <f ca="1">S0*EXP((μ-0.5*σ*σ)*T+σ*SQRT(T)*$C1144)</f>
        <v>0.64005170812745316</v>
      </c>
      <c r="E1144" s="52">
        <f t="shared" ca="1" si="52"/>
        <v>0</v>
      </c>
      <c r="F1144" s="17">
        <f t="shared" ca="1" si="53"/>
        <v>0</v>
      </c>
      <c r="H1144" s="17">
        <v>1135</v>
      </c>
      <c r="I1144" s="45">
        <v>0.67047499984019421</v>
      </c>
      <c r="J1144" s="45">
        <v>1.8590076943007214E-2</v>
      </c>
      <c r="K1144" s="45">
        <v>0.24279999999999999</v>
      </c>
      <c r="N1144" s="54"/>
    </row>
    <row r="1145" spans="2:14" x14ac:dyDescent="0.2">
      <c r="B1145">
        <v>1136</v>
      </c>
      <c r="C1145" s="52">
        <f t="shared" ca="1" si="54"/>
        <v>8.7582764281967818E-2</v>
      </c>
      <c r="D1145" s="52">
        <f ca="1">S0*EXP((μ-0.5*σ*σ)*T+σ*SQRT(T)*$C1145)</f>
        <v>0.65961470491620766</v>
      </c>
      <c r="E1145" s="52">
        <f t="shared" ca="1" si="52"/>
        <v>0</v>
      </c>
      <c r="F1145" s="17">
        <f t="shared" ca="1" si="53"/>
        <v>0</v>
      </c>
      <c r="H1145" s="17">
        <v>1136</v>
      </c>
      <c r="I1145" s="45">
        <v>0.67040667910845786</v>
      </c>
      <c r="J1145" s="45">
        <v>1.8673426769147582E-2</v>
      </c>
      <c r="K1145" s="45">
        <v>0.25259999999999999</v>
      </c>
      <c r="N1145" s="54"/>
    </row>
    <row r="1146" spans="2:14" x14ac:dyDescent="0.2">
      <c r="B1146">
        <v>1137</v>
      </c>
      <c r="C1146" s="52">
        <f t="shared" ca="1" si="54"/>
        <v>0.25773803579181187</v>
      </c>
      <c r="D1146" s="52">
        <f ca="1">S0*EXP((μ-0.5*σ*σ)*T+σ*SQRT(T)*$C1146)</f>
        <v>0.69138188966476</v>
      </c>
      <c r="E1146" s="52">
        <f t="shared" ca="1" si="52"/>
        <v>0</v>
      </c>
      <c r="F1146" s="17">
        <f t="shared" ca="1" si="53"/>
        <v>0</v>
      </c>
      <c r="H1146" s="17">
        <v>1137</v>
      </c>
      <c r="I1146" s="45">
        <v>0.67053354778404262</v>
      </c>
      <c r="J1146" s="45">
        <v>1.8915908340242E-2</v>
      </c>
      <c r="K1146" s="45">
        <v>0.24379999999999999</v>
      </c>
      <c r="N1146" s="54"/>
    </row>
    <row r="1147" spans="2:14" x14ac:dyDescent="0.2">
      <c r="B1147">
        <v>1138</v>
      </c>
      <c r="C1147" s="52">
        <f t="shared" ca="1" si="54"/>
        <v>0.96267493981804519</v>
      </c>
      <c r="D1147" s="52">
        <f ca="1">S0*EXP((μ-0.5*σ*σ)*T+σ*SQRT(T)*$C1147)</f>
        <v>0.84013266451773461</v>
      </c>
      <c r="E1147" s="52">
        <f t="shared" ca="1" si="52"/>
        <v>0</v>
      </c>
      <c r="F1147" s="17">
        <f t="shared" ca="1" si="53"/>
        <v>0</v>
      </c>
      <c r="H1147" s="17">
        <v>1138</v>
      </c>
      <c r="I1147" s="45">
        <v>0.67070054221328279</v>
      </c>
      <c r="J1147" s="45">
        <v>1.8804021426169E-2</v>
      </c>
      <c r="K1147" s="45">
        <v>0.24360000000000001</v>
      </c>
      <c r="N1147" s="54"/>
    </row>
    <row r="1148" spans="2:14" x14ac:dyDescent="0.2">
      <c r="B1148">
        <v>1139</v>
      </c>
      <c r="C1148" s="52">
        <f t="shared" ca="1" si="54"/>
        <v>1.1469432287182058</v>
      </c>
      <c r="D1148" s="52">
        <f ca="1">S0*EXP((μ-0.5*σ*σ)*T+σ*SQRT(T)*$C1148)</f>
        <v>0.88403579993721804</v>
      </c>
      <c r="E1148" s="52">
        <f t="shared" ca="1" si="52"/>
        <v>0</v>
      </c>
      <c r="F1148" s="17">
        <f t="shared" ca="1" si="53"/>
        <v>0</v>
      </c>
      <c r="H1148" s="17">
        <v>1139</v>
      </c>
      <c r="I1148" s="45">
        <v>0.66970876806026025</v>
      </c>
      <c r="J1148" s="45">
        <v>1.797543576424853E-2</v>
      </c>
      <c r="K1148" s="45">
        <v>0.24279999999999999</v>
      </c>
      <c r="N1148" s="54"/>
    </row>
    <row r="1149" spans="2:14" x14ac:dyDescent="0.2">
      <c r="B1149">
        <v>1140</v>
      </c>
      <c r="C1149" s="52">
        <f t="shared" ca="1" si="54"/>
        <v>1.1702986472701533</v>
      </c>
      <c r="D1149" s="52">
        <f ca="1">S0*EXP((μ-0.5*σ*σ)*T+σ*SQRT(T)*$C1149)</f>
        <v>0.88976177337126783</v>
      </c>
      <c r="E1149" s="52">
        <f t="shared" ca="1" si="52"/>
        <v>0</v>
      </c>
      <c r="F1149" s="17">
        <f t="shared" ca="1" si="53"/>
        <v>0</v>
      </c>
      <c r="H1149" s="17">
        <v>1140</v>
      </c>
      <c r="I1149" s="45">
        <v>0.66968394390823727</v>
      </c>
      <c r="J1149" s="45">
        <v>1.7833235539886604E-2</v>
      </c>
      <c r="K1149" s="45">
        <v>0.23899999999999999</v>
      </c>
      <c r="N1149" s="54"/>
    </row>
    <row r="1150" spans="2:14" x14ac:dyDescent="0.2">
      <c r="B1150">
        <v>1141</v>
      </c>
      <c r="C1150" s="52">
        <f t="shared" ca="1" si="54"/>
        <v>0.73698357822566785</v>
      </c>
      <c r="D1150" s="52">
        <f ca="1">S0*EXP((μ-0.5*σ*σ)*T+σ*SQRT(T)*$C1150)</f>
        <v>0.78931965883038013</v>
      </c>
      <c r="E1150" s="52">
        <f t="shared" ca="1" si="52"/>
        <v>0</v>
      </c>
      <c r="F1150" s="17">
        <f t="shared" ca="1" si="53"/>
        <v>0</v>
      </c>
      <c r="H1150" s="17">
        <v>1141</v>
      </c>
      <c r="I1150" s="45">
        <v>0.66999734162596569</v>
      </c>
      <c r="J1150" s="45">
        <v>1.826980342692016E-2</v>
      </c>
      <c r="K1150" s="45">
        <v>0.247</v>
      </c>
      <c r="N1150" s="54"/>
    </row>
    <row r="1151" spans="2:14" x14ac:dyDescent="0.2">
      <c r="B1151">
        <v>1142</v>
      </c>
      <c r="C1151" s="52">
        <f t="shared" ca="1" si="54"/>
        <v>-1.5923098539386218</v>
      </c>
      <c r="D1151" s="52">
        <f ca="1">S0*EXP((μ-0.5*σ*σ)*T+σ*SQRT(T)*$C1151)</f>
        <v>0.41458538398789369</v>
      </c>
      <c r="E1151" s="52">
        <f t="shared" ca="1" si="52"/>
        <v>0.1198146160121063</v>
      </c>
      <c r="F1151" s="17">
        <f t="shared" ca="1" si="53"/>
        <v>1</v>
      </c>
      <c r="H1151" s="17">
        <v>1142</v>
      </c>
      <c r="I1151" s="45">
        <v>0.67061282986301585</v>
      </c>
      <c r="J1151" s="45">
        <v>1.8773344582406717E-2</v>
      </c>
      <c r="K1151" s="45">
        <v>0.24959999999999999</v>
      </c>
      <c r="N1151" s="54"/>
    </row>
    <row r="1152" spans="2:14" x14ac:dyDescent="0.2">
      <c r="B1152">
        <v>1143</v>
      </c>
      <c r="C1152" s="52">
        <f t="shared" ca="1" si="54"/>
        <v>-1.5223670687898729</v>
      </c>
      <c r="D1152" s="52">
        <f ca="1">S0*EXP((μ-0.5*σ*σ)*T+σ*SQRT(T)*$C1152)</f>
        <v>0.4226791607219999</v>
      </c>
      <c r="E1152" s="52">
        <f t="shared" ca="1" si="52"/>
        <v>0.11172083927800008</v>
      </c>
      <c r="F1152" s="17">
        <f t="shared" ca="1" si="53"/>
        <v>1</v>
      </c>
      <c r="H1152" s="17">
        <v>1143</v>
      </c>
      <c r="I1152" s="45">
        <v>0.67244105477105864</v>
      </c>
      <c r="J1152" s="45">
        <v>1.9873602421438229E-2</v>
      </c>
      <c r="K1152" s="45">
        <v>0.25219999999999998</v>
      </c>
      <c r="N1152" s="54"/>
    </row>
    <row r="1153" spans="2:14" x14ac:dyDescent="0.2">
      <c r="B1153">
        <v>1144</v>
      </c>
      <c r="C1153" s="52">
        <f t="shared" ca="1" si="54"/>
        <v>0.2453408217076852</v>
      </c>
      <c r="D1153" s="52">
        <f ca="1">S0*EXP((μ-0.5*σ*σ)*T+σ*SQRT(T)*$C1153)</f>
        <v>0.68901658399640797</v>
      </c>
      <c r="E1153" s="52">
        <f t="shared" ca="1" si="52"/>
        <v>0</v>
      </c>
      <c r="F1153" s="17">
        <f t="shared" ca="1" si="53"/>
        <v>0</v>
      </c>
      <c r="H1153" s="17">
        <v>1144</v>
      </c>
      <c r="I1153" s="45">
        <v>0.6707924101286652</v>
      </c>
      <c r="J1153" s="45">
        <v>1.8722971962283935E-2</v>
      </c>
      <c r="K1153" s="45">
        <v>0.248</v>
      </c>
      <c r="N1153" s="54"/>
    </row>
    <row r="1154" spans="2:14" x14ac:dyDescent="0.2">
      <c r="B1154">
        <v>1145</v>
      </c>
      <c r="C1154" s="52">
        <f t="shared" ca="1" si="54"/>
        <v>-0.94777417259583241</v>
      </c>
      <c r="D1154" s="52">
        <f ca="1">S0*EXP((μ-0.5*σ*σ)*T+σ*SQRT(T)*$C1154)</f>
        <v>0.49544163870945884</v>
      </c>
      <c r="E1154" s="52">
        <f t="shared" ca="1" si="52"/>
        <v>3.8958361290541144E-2</v>
      </c>
      <c r="F1154" s="17">
        <f t="shared" ca="1" si="53"/>
        <v>1</v>
      </c>
      <c r="H1154" s="17">
        <v>1145</v>
      </c>
      <c r="I1154" s="45">
        <v>0.67023461975692611</v>
      </c>
      <c r="J1154" s="45">
        <v>1.8221550453608928E-2</v>
      </c>
      <c r="K1154" s="45">
        <v>0.246</v>
      </c>
      <c r="N1154" s="54"/>
    </row>
    <row r="1155" spans="2:14" x14ac:dyDescent="0.2">
      <c r="B1155">
        <v>1146</v>
      </c>
      <c r="C1155" s="52">
        <f t="shared" ca="1" si="54"/>
        <v>0.10030769899043575</v>
      </c>
      <c r="D1155" s="52">
        <f ca="1">S0*EXP((μ-0.5*σ*σ)*T+σ*SQRT(T)*$C1155)</f>
        <v>0.66193904178642893</v>
      </c>
      <c r="E1155" s="52">
        <f t="shared" ca="1" si="52"/>
        <v>0</v>
      </c>
      <c r="F1155" s="17">
        <f t="shared" ca="1" si="53"/>
        <v>0</v>
      </c>
      <c r="H1155" s="17">
        <v>1146</v>
      </c>
      <c r="I1155" s="45">
        <v>0.67044739310839419</v>
      </c>
      <c r="J1155" s="45">
        <v>1.8251998945218277E-2</v>
      </c>
      <c r="K1155" s="45">
        <v>0.24340000000000001</v>
      </c>
      <c r="N1155" s="54"/>
    </row>
    <row r="1156" spans="2:14" x14ac:dyDescent="0.2">
      <c r="B1156">
        <v>1147</v>
      </c>
      <c r="C1156" s="52">
        <f t="shared" ca="1" si="54"/>
        <v>0.70269168119781922</v>
      </c>
      <c r="D1156" s="52">
        <f ca="1">S0*EXP((μ-0.5*σ*σ)*T+σ*SQRT(T)*$C1156)</f>
        <v>0.78187273770784516</v>
      </c>
      <c r="E1156" s="52">
        <f t="shared" ca="1" si="52"/>
        <v>0</v>
      </c>
      <c r="F1156" s="17">
        <f t="shared" ca="1" si="53"/>
        <v>0</v>
      </c>
      <c r="H1156" s="17">
        <v>1147</v>
      </c>
      <c r="I1156" s="45">
        <v>0.67035897079874918</v>
      </c>
      <c r="J1156" s="45">
        <v>1.8304592278968641E-2</v>
      </c>
      <c r="K1156" s="45">
        <v>0.24360000000000001</v>
      </c>
      <c r="N1156" s="54"/>
    </row>
    <row r="1157" spans="2:14" x14ac:dyDescent="0.2">
      <c r="B1157">
        <v>1148</v>
      </c>
      <c r="C1157" s="52">
        <f t="shared" ca="1" si="54"/>
        <v>1.1377391323246129</v>
      </c>
      <c r="D1157" s="52">
        <f ca="1">S0*EXP((μ-0.5*σ*σ)*T+σ*SQRT(T)*$C1157)</f>
        <v>0.88178939647548316</v>
      </c>
      <c r="E1157" s="52">
        <f t="shared" ca="1" si="52"/>
        <v>0</v>
      </c>
      <c r="F1157" s="17">
        <f t="shared" ca="1" si="53"/>
        <v>0</v>
      </c>
      <c r="H1157" s="17">
        <v>1148</v>
      </c>
      <c r="I1157" s="45">
        <v>0.67037887118077899</v>
      </c>
      <c r="J1157" s="45">
        <v>1.8661156398264621E-2</v>
      </c>
      <c r="K1157" s="45">
        <v>0.24660000000000001</v>
      </c>
      <c r="N1157" s="54"/>
    </row>
    <row r="1158" spans="2:14" x14ac:dyDescent="0.2">
      <c r="B1158">
        <v>1149</v>
      </c>
      <c r="C1158" s="52">
        <f t="shared" ca="1" si="54"/>
        <v>5.3440219397754875E-2</v>
      </c>
      <c r="D1158" s="52">
        <f ca="1">S0*EXP((μ-0.5*σ*σ)*T+σ*SQRT(T)*$C1158)</f>
        <v>0.65341847545638232</v>
      </c>
      <c r="E1158" s="52">
        <f t="shared" ca="1" si="52"/>
        <v>0</v>
      </c>
      <c r="F1158" s="17">
        <f t="shared" ca="1" si="53"/>
        <v>0</v>
      </c>
      <c r="H1158" s="17">
        <v>1149</v>
      </c>
      <c r="I1158" s="45">
        <v>0.67166005114002814</v>
      </c>
      <c r="J1158" s="45">
        <v>1.9757965052304944E-2</v>
      </c>
      <c r="K1158" s="45">
        <v>0.25540000000000002</v>
      </c>
      <c r="N1158" s="54"/>
    </row>
    <row r="1159" spans="2:14" x14ac:dyDescent="0.2">
      <c r="B1159">
        <v>1150</v>
      </c>
      <c r="C1159" s="52">
        <f t="shared" ca="1" si="54"/>
        <v>1.6722737322775705</v>
      </c>
      <c r="D1159" s="52">
        <f ca="1">S0*EXP((μ-0.5*σ*σ)*T+σ*SQRT(T)*$C1159)</f>
        <v>1.0222036230981193</v>
      </c>
      <c r="E1159" s="52">
        <f t="shared" ca="1" si="52"/>
        <v>0</v>
      </c>
      <c r="F1159" s="17">
        <f t="shared" ca="1" si="53"/>
        <v>0</v>
      </c>
      <c r="H1159" s="17">
        <v>1150</v>
      </c>
      <c r="I1159" s="45">
        <v>0.67130895428457193</v>
      </c>
      <c r="J1159" s="45">
        <v>1.94930807743528E-2</v>
      </c>
      <c r="K1159" s="45">
        <v>0.24979999999999999</v>
      </c>
      <c r="N1159" s="54"/>
    </row>
    <row r="1160" spans="2:14" x14ac:dyDescent="0.2">
      <c r="B1160">
        <v>1151</v>
      </c>
      <c r="C1160" s="52">
        <f t="shared" ca="1" si="54"/>
        <v>-0.20388340292285473</v>
      </c>
      <c r="D1160" s="52">
        <f ca="1">S0*EXP((μ-0.5*σ*σ)*T+σ*SQRT(T)*$C1160)</f>
        <v>0.60855370045049317</v>
      </c>
      <c r="E1160" s="52">
        <f t="shared" ca="1" si="52"/>
        <v>0</v>
      </c>
      <c r="F1160" s="17">
        <f t="shared" ca="1" si="53"/>
        <v>0</v>
      </c>
      <c r="H1160" s="17">
        <v>1151</v>
      </c>
      <c r="I1160" s="45">
        <v>0.67146854944296375</v>
      </c>
      <c r="J1160" s="45">
        <v>1.9407057098477263E-2</v>
      </c>
      <c r="K1160" s="45">
        <v>0.24979999999999999</v>
      </c>
      <c r="N1160" s="54"/>
    </row>
    <row r="1161" spans="2:14" x14ac:dyDescent="0.2">
      <c r="B1161">
        <v>1152</v>
      </c>
      <c r="C1161" s="52">
        <f t="shared" ca="1" si="54"/>
        <v>-0.70000508257961702</v>
      </c>
      <c r="D1161" s="52">
        <f ca="1">S0*EXP((μ-0.5*σ*σ)*T+σ*SQRT(T)*$C1161)</f>
        <v>0.530564214731859</v>
      </c>
      <c r="E1161" s="52">
        <f t="shared" ca="1" si="52"/>
        <v>3.8357852681409899E-3</v>
      </c>
      <c r="F1161" s="17">
        <f t="shared" ca="1" si="53"/>
        <v>1</v>
      </c>
      <c r="H1161" s="17">
        <v>1152</v>
      </c>
      <c r="I1161" s="45">
        <v>0.67047297095232283</v>
      </c>
      <c r="J1161" s="45">
        <v>1.8691071699489147E-2</v>
      </c>
      <c r="K1161" s="45">
        <v>0.24660000000000001</v>
      </c>
      <c r="N1161" s="54"/>
    </row>
    <row r="1162" spans="2:14" x14ac:dyDescent="0.2">
      <c r="B1162">
        <v>1153</v>
      </c>
      <c r="C1162" s="52">
        <f t="shared" ca="1" si="54"/>
        <v>-1.0405147241781203</v>
      </c>
      <c r="D1162" s="52">
        <f ca="1">S0*EXP((μ-0.5*σ*σ)*T+σ*SQRT(T)*$C1162)</f>
        <v>0.48290167450586841</v>
      </c>
      <c r="E1162" s="52">
        <f t="shared" ref="E1162:E1225" ca="1" si="55">MAX(0,CP*(D1162-K))</f>
        <v>5.149832549413158E-2</v>
      </c>
      <c r="F1162" s="17">
        <f t="shared" ref="F1162:F1225" ca="1" si="56">(CP*(D1162-K)&gt;0)*1</f>
        <v>1</v>
      </c>
      <c r="H1162" s="17">
        <v>1153</v>
      </c>
      <c r="I1162" s="45">
        <v>0.67086246320578302</v>
      </c>
      <c r="J1162" s="45">
        <v>1.8621272295686334E-2</v>
      </c>
      <c r="K1162" s="45">
        <v>0.24160000000000001</v>
      </c>
      <c r="N1162" s="54"/>
    </row>
    <row r="1163" spans="2:14" x14ac:dyDescent="0.2">
      <c r="B1163">
        <v>1154</v>
      </c>
      <c r="C1163" s="52">
        <f t="shared" ref="C1163:C1226" ca="1" si="57">_xlfn.NORM.S.INV(RAND())</f>
        <v>1.3817259777029478</v>
      </c>
      <c r="D1163" s="52">
        <f ca="1">S0*EXP((μ-0.5*σ*σ)*T+σ*SQRT(T)*$C1163)</f>
        <v>0.94331394126568835</v>
      </c>
      <c r="E1163" s="52">
        <f t="shared" ca="1" si="55"/>
        <v>0</v>
      </c>
      <c r="F1163" s="17">
        <f t="shared" ca="1" si="56"/>
        <v>0</v>
      </c>
      <c r="H1163" s="17">
        <v>1154</v>
      </c>
      <c r="I1163" s="45">
        <v>0.67165110286024843</v>
      </c>
      <c r="J1163" s="45">
        <v>1.9462639970392832E-2</v>
      </c>
      <c r="K1163" s="45">
        <v>0.247</v>
      </c>
      <c r="N1163" s="54"/>
    </row>
    <row r="1164" spans="2:14" x14ac:dyDescent="0.2">
      <c r="B1164">
        <v>1155</v>
      </c>
      <c r="C1164" s="52">
        <f t="shared" ca="1" si="57"/>
        <v>0.98635484297987919</v>
      </c>
      <c r="D1164" s="52">
        <f ca="1">S0*EXP((μ-0.5*σ*σ)*T+σ*SQRT(T)*$C1164)</f>
        <v>0.84565012349486668</v>
      </c>
      <c r="E1164" s="52">
        <f t="shared" ca="1" si="55"/>
        <v>0</v>
      </c>
      <c r="F1164" s="17">
        <f t="shared" ca="1" si="56"/>
        <v>0</v>
      </c>
      <c r="H1164" s="17">
        <v>1155</v>
      </c>
      <c r="I1164" s="45">
        <v>0.66960826904574988</v>
      </c>
      <c r="J1164" s="45">
        <v>1.8146300907691898E-2</v>
      </c>
      <c r="K1164" s="45">
        <v>0.24279999999999999</v>
      </c>
      <c r="N1164" s="54"/>
    </row>
    <row r="1165" spans="2:14" x14ac:dyDescent="0.2">
      <c r="B1165">
        <v>1156</v>
      </c>
      <c r="C1165" s="52">
        <f t="shared" ca="1" si="57"/>
        <v>-9.2515212776310488E-2</v>
      </c>
      <c r="D1165" s="52">
        <f ca="1">S0*EXP((μ-0.5*σ*σ)*T+σ*SQRT(T)*$C1165)</f>
        <v>0.62757987123302417</v>
      </c>
      <c r="E1165" s="52">
        <f t="shared" ca="1" si="55"/>
        <v>0</v>
      </c>
      <c r="F1165" s="17">
        <f t="shared" ca="1" si="56"/>
        <v>0</v>
      </c>
      <c r="H1165" s="17">
        <v>1156</v>
      </c>
      <c r="I1165" s="45">
        <v>0.67272210108188191</v>
      </c>
      <c r="J1165" s="45">
        <v>2.0131760302870172E-2</v>
      </c>
      <c r="K1165" s="45">
        <v>0.24740000000000001</v>
      </c>
      <c r="N1165" s="54"/>
    </row>
    <row r="1166" spans="2:14" x14ac:dyDescent="0.2">
      <c r="B1166">
        <v>1157</v>
      </c>
      <c r="C1166" s="52">
        <f t="shared" ca="1" si="57"/>
        <v>-8.7750636361690532E-2</v>
      </c>
      <c r="D1166" s="52">
        <f ca="1">S0*EXP((μ-0.5*σ*σ)*T+σ*SQRT(T)*$C1166)</f>
        <v>0.62840699110805665</v>
      </c>
      <c r="E1166" s="52">
        <f t="shared" ca="1" si="55"/>
        <v>0</v>
      </c>
      <c r="F1166" s="17">
        <f t="shared" ca="1" si="56"/>
        <v>0</v>
      </c>
      <c r="H1166" s="17">
        <v>1157</v>
      </c>
      <c r="I1166" s="45">
        <v>0.67127272084541512</v>
      </c>
      <c r="J1166" s="45">
        <v>1.9391092856011632E-2</v>
      </c>
      <c r="K1166" s="45">
        <v>0.2482</v>
      </c>
      <c r="N1166" s="54"/>
    </row>
    <row r="1167" spans="2:14" x14ac:dyDescent="0.2">
      <c r="B1167">
        <v>1158</v>
      </c>
      <c r="C1167" s="52">
        <f t="shared" ca="1" si="57"/>
        <v>-0.21669797025009879</v>
      </c>
      <c r="D1167" s="52">
        <f ca="1">S0*EXP((μ-0.5*σ*σ)*T+σ*SQRT(T)*$C1167)</f>
        <v>0.60640179597218435</v>
      </c>
      <c r="E1167" s="52">
        <f t="shared" ca="1" si="55"/>
        <v>0</v>
      </c>
      <c r="F1167" s="17">
        <f t="shared" ca="1" si="56"/>
        <v>0</v>
      </c>
      <c r="H1167" s="17">
        <v>1158</v>
      </c>
      <c r="I1167" s="45">
        <v>0.67114850486873667</v>
      </c>
      <c r="J1167" s="45">
        <v>1.9099170721982018E-2</v>
      </c>
      <c r="K1167" s="45">
        <v>0.245</v>
      </c>
      <c r="N1167" s="54"/>
    </row>
    <row r="1168" spans="2:14" x14ac:dyDescent="0.2">
      <c r="B1168">
        <v>1159</v>
      </c>
      <c r="C1168" s="52">
        <f t="shared" ca="1" si="57"/>
        <v>-0.14671441618070122</v>
      </c>
      <c r="D1168" s="52">
        <f ca="1">S0*EXP((μ-0.5*σ*σ)*T+σ*SQRT(T)*$C1168)</f>
        <v>0.6182472916616939</v>
      </c>
      <c r="E1168" s="52">
        <f t="shared" ca="1" si="55"/>
        <v>0</v>
      </c>
      <c r="F1168" s="17">
        <f t="shared" ca="1" si="56"/>
        <v>0</v>
      </c>
      <c r="H1168" s="17">
        <v>1159</v>
      </c>
      <c r="I1168" s="45">
        <v>0.67170084150830822</v>
      </c>
      <c r="J1168" s="45">
        <v>1.9443814518882409E-2</v>
      </c>
      <c r="K1168" s="45">
        <v>0.2422</v>
      </c>
      <c r="N1168" s="54"/>
    </row>
    <row r="1169" spans="2:14" x14ac:dyDescent="0.2">
      <c r="B1169">
        <v>1160</v>
      </c>
      <c r="C1169" s="52">
        <f t="shared" ca="1" si="57"/>
        <v>0.40634711313711924</v>
      </c>
      <c r="D1169" s="52">
        <f ca="1">S0*EXP((μ-0.5*σ*σ)*T+σ*SQRT(T)*$C1169)</f>
        <v>0.72037557945346831</v>
      </c>
      <c r="E1169" s="52">
        <f t="shared" ca="1" si="55"/>
        <v>0</v>
      </c>
      <c r="F1169" s="17">
        <f t="shared" ca="1" si="56"/>
        <v>0</v>
      </c>
      <c r="H1169" s="17">
        <v>1160</v>
      </c>
      <c r="I1169" s="45">
        <v>0.67017932558776772</v>
      </c>
      <c r="J1169" s="45">
        <v>1.8620713326597552E-2</v>
      </c>
      <c r="K1169" s="45">
        <v>0.24440000000000001</v>
      </c>
      <c r="N1169" s="54"/>
    </row>
    <row r="1170" spans="2:14" x14ac:dyDescent="0.2">
      <c r="B1170">
        <v>1161</v>
      </c>
      <c r="C1170" s="52">
        <f t="shared" ca="1" si="57"/>
        <v>0.56165429497598462</v>
      </c>
      <c r="D1170" s="52">
        <f ca="1">S0*EXP((μ-0.5*σ*σ)*T+σ*SQRT(T)*$C1170)</f>
        <v>0.75197619562673157</v>
      </c>
      <c r="E1170" s="52">
        <f t="shared" ca="1" si="55"/>
        <v>0</v>
      </c>
      <c r="F1170" s="17">
        <f t="shared" ca="1" si="56"/>
        <v>0</v>
      </c>
      <c r="H1170" s="17">
        <v>1161</v>
      </c>
      <c r="I1170" s="45">
        <v>0.67133317983840612</v>
      </c>
      <c r="J1170" s="45">
        <v>1.9194964766720338E-2</v>
      </c>
      <c r="K1170" s="45">
        <v>0.245</v>
      </c>
      <c r="N1170" s="54"/>
    </row>
    <row r="1171" spans="2:14" x14ac:dyDescent="0.2">
      <c r="B1171">
        <v>1162</v>
      </c>
      <c r="C1171" s="52">
        <f t="shared" ca="1" si="57"/>
        <v>6.4010018195247306E-2</v>
      </c>
      <c r="D1171" s="52">
        <f ca="1">S0*EXP((μ-0.5*σ*σ)*T+σ*SQRT(T)*$C1171)</f>
        <v>0.6553304489858317</v>
      </c>
      <c r="E1171" s="52">
        <f t="shared" ca="1" si="55"/>
        <v>0</v>
      </c>
      <c r="F1171" s="17">
        <f t="shared" ca="1" si="56"/>
        <v>0</v>
      </c>
      <c r="H1171" s="17">
        <v>1162</v>
      </c>
      <c r="I1171" s="45">
        <v>0.67085831955970066</v>
      </c>
      <c r="J1171" s="45">
        <v>1.89877829220165E-2</v>
      </c>
      <c r="K1171" s="45">
        <v>0.24940000000000001</v>
      </c>
      <c r="N1171" s="54"/>
    </row>
    <row r="1172" spans="2:14" x14ac:dyDescent="0.2">
      <c r="B1172">
        <v>1163</v>
      </c>
      <c r="C1172" s="52">
        <f t="shared" ca="1" si="57"/>
        <v>-1.1871527386472378E-2</v>
      </c>
      <c r="D1172" s="52">
        <f ca="1">S0*EXP((μ-0.5*σ*σ)*T+σ*SQRT(T)*$C1172)</f>
        <v>0.64172732390658282</v>
      </c>
      <c r="E1172" s="52">
        <f t="shared" ca="1" si="55"/>
        <v>0</v>
      </c>
      <c r="F1172" s="17">
        <f t="shared" ca="1" si="56"/>
        <v>0</v>
      </c>
      <c r="H1172" s="17">
        <v>1163</v>
      </c>
      <c r="I1172" s="45">
        <v>0.67112717585748127</v>
      </c>
      <c r="J1172" s="45">
        <v>1.8970889003177241E-2</v>
      </c>
      <c r="K1172" s="45">
        <v>0.24440000000000001</v>
      </c>
      <c r="N1172" s="54"/>
    </row>
    <row r="1173" spans="2:14" x14ac:dyDescent="0.2">
      <c r="B1173">
        <v>1164</v>
      </c>
      <c r="C1173" s="52">
        <f t="shared" ca="1" si="57"/>
        <v>-1.3367720634761173</v>
      </c>
      <c r="D1173" s="52">
        <f ca="1">S0*EXP((μ-0.5*σ*σ)*T+σ*SQRT(T)*$C1173)</f>
        <v>0.44493041523451865</v>
      </c>
      <c r="E1173" s="52">
        <f t="shared" ca="1" si="55"/>
        <v>8.9469584765481336E-2</v>
      </c>
      <c r="F1173" s="17">
        <f t="shared" ca="1" si="56"/>
        <v>1</v>
      </c>
      <c r="H1173" s="17">
        <v>1164</v>
      </c>
      <c r="I1173" s="45">
        <v>0.670431305132421</v>
      </c>
      <c r="J1173" s="45">
        <v>1.861280335937663E-2</v>
      </c>
      <c r="K1173" s="45">
        <v>0.245</v>
      </c>
      <c r="N1173" s="54"/>
    </row>
    <row r="1174" spans="2:14" x14ac:dyDescent="0.2">
      <c r="B1174">
        <v>1165</v>
      </c>
      <c r="C1174" s="52">
        <f t="shared" ca="1" si="57"/>
        <v>0.20478345482252999</v>
      </c>
      <c r="D1174" s="52">
        <f ca="1">S0*EXP((μ-0.5*σ*σ)*T+σ*SQRT(T)*$C1174)</f>
        <v>0.68133490236448047</v>
      </c>
      <c r="E1174" s="52">
        <f t="shared" ca="1" si="55"/>
        <v>0</v>
      </c>
      <c r="F1174" s="17">
        <f t="shared" ca="1" si="56"/>
        <v>0</v>
      </c>
      <c r="H1174" s="17">
        <v>1165</v>
      </c>
      <c r="I1174" s="45">
        <v>0.67060392461597329</v>
      </c>
      <c r="J1174" s="45">
        <v>1.8753713568672656E-2</v>
      </c>
      <c r="K1174" s="45">
        <v>0.24660000000000001</v>
      </c>
      <c r="N1174" s="54"/>
    </row>
    <row r="1175" spans="2:14" x14ac:dyDescent="0.2">
      <c r="B1175">
        <v>1166</v>
      </c>
      <c r="C1175" s="52">
        <f t="shared" ca="1" si="57"/>
        <v>-0.60340219071111145</v>
      </c>
      <c r="D1175" s="52">
        <f ca="1">S0*EXP((μ-0.5*σ*σ)*T+σ*SQRT(T)*$C1175)</f>
        <v>0.54492336852639733</v>
      </c>
      <c r="E1175" s="52">
        <f t="shared" ca="1" si="55"/>
        <v>0</v>
      </c>
      <c r="F1175" s="17">
        <f t="shared" ca="1" si="56"/>
        <v>0</v>
      </c>
      <c r="H1175" s="17">
        <v>1166</v>
      </c>
      <c r="I1175" s="45">
        <v>0.6699454960947625</v>
      </c>
      <c r="J1175" s="45">
        <v>1.8217627216297348E-2</v>
      </c>
      <c r="K1175" s="45">
        <v>0.2382</v>
      </c>
      <c r="N1175" s="54"/>
    </row>
    <row r="1176" spans="2:14" x14ac:dyDescent="0.2">
      <c r="B1176">
        <v>1167</v>
      </c>
      <c r="C1176" s="52">
        <f t="shared" ca="1" si="57"/>
        <v>7.9727510837608179E-2</v>
      </c>
      <c r="D1176" s="52">
        <f ca="1">S0*EXP((μ-0.5*σ*σ)*T+σ*SQRT(T)*$C1176)</f>
        <v>0.65818394022466609</v>
      </c>
      <c r="E1176" s="52">
        <f t="shared" ca="1" si="55"/>
        <v>0</v>
      </c>
      <c r="F1176" s="17">
        <f t="shared" ca="1" si="56"/>
        <v>0</v>
      </c>
      <c r="H1176" s="17">
        <v>1167</v>
      </c>
      <c r="I1176" s="45">
        <v>0.67097656880354706</v>
      </c>
      <c r="J1176" s="45">
        <v>1.8827731485613827E-2</v>
      </c>
      <c r="K1176" s="45">
        <v>0.2482</v>
      </c>
      <c r="N1176" s="54"/>
    </row>
    <row r="1177" spans="2:14" x14ac:dyDescent="0.2">
      <c r="B1177">
        <v>1168</v>
      </c>
      <c r="C1177" s="52">
        <f t="shared" ca="1" si="57"/>
        <v>0.61351889438525786</v>
      </c>
      <c r="D1177" s="52">
        <f ca="1">S0*EXP((μ-0.5*σ*σ)*T+σ*SQRT(T)*$C1177)</f>
        <v>0.76283498015659112</v>
      </c>
      <c r="E1177" s="52">
        <f t="shared" ca="1" si="55"/>
        <v>0</v>
      </c>
      <c r="F1177" s="17">
        <f t="shared" ca="1" si="56"/>
        <v>0</v>
      </c>
      <c r="H1177" s="17">
        <v>1168</v>
      </c>
      <c r="I1177" s="45">
        <v>0.67009450074904009</v>
      </c>
      <c r="J1177" s="45">
        <v>1.821131044151084E-2</v>
      </c>
      <c r="K1177" s="45">
        <v>0.23880000000000001</v>
      </c>
      <c r="N1177" s="54"/>
    </row>
    <row r="1178" spans="2:14" x14ac:dyDescent="0.2">
      <c r="B1178">
        <v>1169</v>
      </c>
      <c r="C1178" s="52">
        <f t="shared" ca="1" si="57"/>
        <v>-0.32383425143490807</v>
      </c>
      <c r="D1178" s="52">
        <f ca="1">S0*EXP((μ-0.5*σ*σ)*T+σ*SQRT(T)*$C1178)</f>
        <v>0.58870596270371567</v>
      </c>
      <c r="E1178" s="52">
        <f t="shared" ca="1" si="55"/>
        <v>0</v>
      </c>
      <c r="F1178" s="17">
        <f t="shared" ca="1" si="56"/>
        <v>0</v>
      </c>
      <c r="H1178" s="17">
        <v>1169</v>
      </c>
      <c r="I1178" s="45">
        <v>0.6706026552737685</v>
      </c>
      <c r="J1178" s="45">
        <v>1.8864453431668517E-2</v>
      </c>
      <c r="K1178" s="45">
        <v>0.25640000000000002</v>
      </c>
      <c r="N1178" s="54"/>
    </row>
    <row r="1179" spans="2:14" x14ac:dyDescent="0.2">
      <c r="B1179">
        <v>1170</v>
      </c>
      <c r="C1179" s="52">
        <f t="shared" ca="1" si="57"/>
        <v>1.4810165956786845</v>
      </c>
      <c r="D1179" s="52">
        <f ca="1">S0*EXP((μ-0.5*σ*σ)*T+σ*SQRT(T)*$C1179)</f>
        <v>0.96956381959076399</v>
      </c>
      <c r="E1179" s="52">
        <f t="shared" ca="1" si="55"/>
        <v>0</v>
      </c>
      <c r="F1179" s="17">
        <f t="shared" ca="1" si="56"/>
        <v>0</v>
      </c>
      <c r="H1179" s="17">
        <v>1170</v>
      </c>
      <c r="I1179" s="45">
        <v>0.66985052169059978</v>
      </c>
      <c r="J1179" s="45">
        <v>1.8157382365931181E-2</v>
      </c>
      <c r="K1179" s="45">
        <v>0.24399999999999999</v>
      </c>
      <c r="N1179" s="54"/>
    </row>
    <row r="1180" spans="2:14" x14ac:dyDescent="0.2">
      <c r="B1180">
        <v>1171</v>
      </c>
      <c r="C1180" s="52">
        <f t="shared" ca="1" si="57"/>
        <v>-0.37123608773386191</v>
      </c>
      <c r="D1180" s="52">
        <f ca="1">S0*EXP((μ-0.5*σ*σ)*T+σ*SQRT(T)*$C1180)</f>
        <v>0.58104222803159478</v>
      </c>
      <c r="E1180" s="52">
        <f t="shared" ca="1" si="55"/>
        <v>0</v>
      </c>
      <c r="F1180" s="17">
        <f t="shared" ca="1" si="56"/>
        <v>0</v>
      </c>
      <c r="H1180" s="17">
        <v>1171</v>
      </c>
      <c r="I1180" s="45">
        <v>0.67121208250824016</v>
      </c>
      <c r="J1180" s="45">
        <v>1.9204504285095233E-2</v>
      </c>
      <c r="K1180" s="45">
        <v>0.2462</v>
      </c>
      <c r="N1180" s="54"/>
    </row>
    <row r="1181" spans="2:14" x14ac:dyDescent="0.2">
      <c r="B1181">
        <v>1172</v>
      </c>
      <c r="C1181" s="52">
        <f t="shared" ca="1" si="57"/>
        <v>0.48855556549926032</v>
      </c>
      <c r="D1181" s="52">
        <f ca="1">S0*EXP((μ-0.5*σ*σ)*T+σ*SQRT(T)*$C1181)</f>
        <v>0.73693360741331737</v>
      </c>
      <c r="E1181" s="52">
        <f t="shared" ca="1" si="55"/>
        <v>0</v>
      </c>
      <c r="F1181" s="17">
        <f t="shared" ca="1" si="56"/>
        <v>0</v>
      </c>
      <c r="H1181" s="17">
        <v>1172</v>
      </c>
      <c r="I1181" s="45">
        <v>0.66996632811110202</v>
      </c>
      <c r="J1181" s="45">
        <v>1.8148819595483444E-2</v>
      </c>
      <c r="K1181" s="45">
        <v>0.2442</v>
      </c>
      <c r="N1181" s="54"/>
    </row>
    <row r="1182" spans="2:14" x14ac:dyDescent="0.2">
      <c r="B1182">
        <v>1173</v>
      </c>
      <c r="C1182" s="52">
        <f t="shared" ca="1" si="57"/>
        <v>-0.87425461347013178</v>
      </c>
      <c r="D1182" s="52">
        <f ca="1">S0*EXP((μ-0.5*σ*σ)*T+σ*SQRT(T)*$C1182)</f>
        <v>0.50561360985305837</v>
      </c>
      <c r="E1182" s="52">
        <f t="shared" ca="1" si="55"/>
        <v>2.8786390146941621E-2</v>
      </c>
      <c r="F1182" s="17">
        <f t="shared" ca="1" si="56"/>
        <v>1</v>
      </c>
      <c r="H1182" s="17">
        <v>1173</v>
      </c>
      <c r="I1182" s="45">
        <v>0.67151734666816854</v>
      </c>
      <c r="J1182" s="45">
        <v>1.9445043949035092E-2</v>
      </c>
      <c r="K1182" s="45">
        <v>0.25080000000000002</v>
      </c>
      <c r="N1182" s="54"/>
    </row>
    <row r="1183" spans="2:14" x14ac:dyDescent="0.2">
      <c r="B1183">
        <v>1174</v>
      </c>
      <c r="C1183" s="52">
        <f t="shared" ca="1" si="57"/>
        <v>-2.3261425928108422E-2</v>
      </c>
      <c r="D1183" s="52">
        <f ca="1">S0*EXP((μ-0.5*σ*σ)*T+σ*SQRT(T)*$C1183)</f>
        <v>0.63970999834395537</v>
      </c>
      <c r="E1183" s="52">
        <f t="shared" ca="1" si="55"/>
        <v>0</v>
      </c>
      <c r="F1183" s="17">
        <f t="shared" ca="1" si="56"/>
        <v>0</v>
      </c>
      <c r="H1183" s="17">
        <v>1174</v>
      </c>
      <c r="I1183" s="45">
        <v>0.67008878440587183</v>
      </c>
      <c r="J1183" s="45">
        <v>1.8518319781442329E-2</v>
      </c>
      <c r="K1183" s="45">
        <v>0.24279999999999999</v>
      </c>
      <c r="N1183" s="54"/>
    </row>
    <row r="1184" spans="2:14" x14ac:dyDescent="0.2">
      <c r="B1184">
        <v>1175</v>
      </c>
      <c r="C1184" s="52">
        <f t="shared" ca="1" si="57"/>
        <v>1.2442646525073839</v>
      </c>
      <c r="D1184" s="52">
        <f ca="1">S0*EXP((μ-0.5*σ*σ)*T+σ*SQRT(T)*$C1184)</f>
        <v>0.90814164690719434</v>
      </c>
      <c r="E1184" s="52">
        <f t="shared" ca="1" si="55"/>
        <v>0</v>
      </c>
      <c r="F1184" s="17">
        <f t="shared" ca="1" si="56"/>
        <v>0</v>
      </c>
      <c r="H1184" s="17">
        <v>1175</v>
      </c>
      <c r="I1184" s="45">
        <v>0.67070755259049752</v>
      </c>
      <c r="J1184" s="45">
        <v>1.861758913307188E-2</v>
      </c>
      <c r="K1184" s="45">
        <v>0.25180000000000002</v>
      </c>
      <c r="N1184" s="54"/>
    </row>
    <row r="1185" spans="2:14" x14ac:dyDescent="0.2">
      <c r="B1185">
        <v>1176</v>
      </c>
      <c r="C1185" s="52">
        <f t="shared" ca="1" si="57"/>
        <v>0.77866798295762785</v>
      </c>
      <c r="D1185" s="52">
        <f ca="1">S0*EXP((μ-0.5*σ*σ)*T+σ*SQRT(T)*$C1185)</f>
        <v>0.79846753378324253</v>
      </c>
      <c r="E1185" s="52">
        <f t="shared" ca="1" si="55"/>
        <v>0</v>
      </c>
      <c r="F1185" s="17">
        <f t="shared" ca="1" si="56"/>
        <v>0</v>
      </c>
      <c r="H1185" s="17">
        <v>1176</v>
      </c>
      <c r="I1185" s="45">
        <v>0.66971379866340774</v>
      </c>
      <c r="J1185" s="45">
        <v>1.8131517146959208E-2</v>
      </c>
      <c r="K1185" s="45">
        <v>0.2394</v>
      </c>
      <c r="N1185" s="54"/>
    </row>
    <row r="1186" spans="2:14" x14ac:dyDescent="0.2">
      <c r="B1186">
        <v>1177</v>
      </c>
      <c r="C1186" s="52">
        <f t="shared" ca="1" si="57"/>
        <v>-1.1976333354338347</v>
      </c>
      <c r="D1186" s="52">
        <f ca="1">S0*EXP((μ-0.5*σ*σ)*T+σ*SQRT(T)*$C1186)</f>
        <v>0.46237690396047726</v>
      </c>
      <c r="E1186" s="52">
        <f t="shared" ca="1" si="55"/>
        <v>7.2023096039522727E-2</v>
      </c>
      <c r="F1186" s="17">
        <f t="shared" ca="1" si="56"/>
        <v>1</v>
      </c>
      <c r="H1186" s="17">
        <v>1177</v>
      </c>
      <c r="I1186" s="45">
        <v>0.67010805590497013</v>
      </c>
      <c r="J1186" s="45">
        <v>1.8356503484758757E-2</v>
      </c>
      <c r="K1186" s="45">
        <v>0.2392</v>
      </c>
      <c r="N1186" s="54"/>
    </row>
    <row r="1187" spans="2:14" x14ac:dyDescent="0.2">
      <c r="B1187">
        <v>1178</v>
      </c>
      <c r="C1187" s="52">
        <f t="shared" ca="1" si="57"/>
        <v>-0.7242831349257155</v>
      </c>
      <c r="D1187" s="52">
        <f ca="1">S0*EXP((μ-0.5*σ*σ)*T+σ*SQRT(T)*$C1187)</f>
        <v>0.52701539117742568</v>
      </c>
      <c r="E1187" s="52">
        <f t="shared" ca="1" si="55"/>
        <v>7.3846088225743012E-3</v>
      </c>
      <c r="F1187" s="17">
        <f t="shared" ca="1" si="56"/>
        <v>1</v>
      </c>
      <c r="H1187" s="17">
        <v>1178</v>
      </c>
      <c r="I1187" s="45">
        <v>0.6697506215986917</v>
      </c>
      <c r="J1187" s="45">
        <v>1.8189796688121009E-2</v>
      </c>
      <c r="K1187" s="45">
        <v>0.2442</v>
      </c>
      <c r="N1187" s="54"/>
    </row>
    <row r="1188" spans="2:14" x14ac:dyDescent="0.2">
      <c r="B1188">
        <v>1179</v>
      </c>
      <c r="C1188" s="52">
        <f t="shared" ca="1" si="57"/>
        <v>-0.51974462894226114</v>
      </c>
      <c r="D1188" s="52">
        <f ca="1">S0*EXP((μ-0.5*σ*σ)*T+σ*SQRT(T)*$C1188)</f>
        <v>0.55767192787567088</v>
      </c>
      <c r="E1188" s="52">
        <f t="shared" ca="1" si="55"/>
        <v>0</v>
      </c>
      <c r="F1188" s="17">
        <f t="shared" ca="1" si="56"/>
        <v>0</v>
      </c>
      <c r="H1188" s="17">
        <v>1179</v>
      </c>
      <c r="I1188" s="45">
        <v>0.67150104342102923</v>
      </c>
      <c r="J1188" s="45">
        <v>1.943867453982643E-2</v>
      </c>
      <c r="K1188" s="45">
        <v>0.247</v>
      </c>
      <c r="N1188" s="54"/>
    </row>
    <row r="1189" spans="2:14" x14ac:dyDescent="0.2">
      <c r="B1189">
        <v>1180</v>
      </c>
      <c r="C1189" s="52">
        <f t="shared" ca="1" si="57"/>
        <v>1.2611781751345328</v>
      </c>
      <c r="D1189" s="52">
        <f ca="1">S0*EXP((μ-0.5*σ*σ)*T+σ*SQRT(T)*$C1189)</f>
        <v>0.91239755694691949</v>
      </c>
      <c r="E1189" s="52">
        <f t="shared" ca="1" si="55"/>
        <v>0</v>
      </c>
      <c r="F1189" s="17">
        <f t="shared" ca="1" si="56"/>
        <v>0</v>
      </c>
      <c r="H1189" s="17">
        <v>1180</v>
      </c>
      <c r="I1189" s="45">
        <v>0.67007831576506938</v>
      </c>
      <c r="J1189" s="45">
        <v>1.8488620045801481E-2</v>
      </c>
      <c r="K1189" s="45">
        <v>0.24840000000000001</v>
      </c>
      <c r="N1189" s="54"/>
    </row>
    <row r="1190" spans="2:14" x14ac:dyDescent="0.2">
      <c r="B1190">
        <v>1181</v>
      </c>
      <c r="C1190" s="52">
        <f t="shared" ca="1" si="57"/>
        <v>-0.25346661944676402</v>
      </c>
      <c r="D1190" s="52">
        <f ca="1">S0*EXP((μ-0.5*σ*σ)*T+σ*SQRT(T)*$C1190)</f>
        <v>0.60026951493741809</v>
      </c>
      <c r="E1190" s="52">
        <f t="shared" ca="1" si="55"/>
        <v>0</v>
      </c>
      <c r="F1190" s="17">
        <f t="shared" ca="1" si="56"/>
        <v>0</v>
      </c>
      <c r="H1190" s="17">
        <v>1181</v>
      </c>
      <c r="I1190" s="45">
        <v>0.67032234601838148</v>
      </c>
      <c r="J1190" s="45">
        <v>1.8732853279435618E-2</v>
      </c>
      <c r="K1190" s="45">
        <v>0.245</v>
      </c>
      <c r="N1190" s="54"/>
    </row>
    <row r="1191" spans="2:14" x14ac:dyDescent="0.2">
      <c r="B1191">
        <v>1182</v>
      </c>
      <c r="C1191" s="52">
        <f t="shared" ca="1" si="57"/>
        <v>-0.70126413567937484</v>
      </c>
      <c r="D1191" s="52">
        <f ca="1">S0*EXP((μ-0.5*σ*σ)*T+σ*SQRT(T)*$C1191)</f>
        <v>0.53037958758917081</v>
      </c>
      <c r="E1191" s="52">
        <f t="shared" ca="1" si="55"/>
        <v>4.0204124108291772E-3</v>
      </c>
      <c r="F1191" s="17">
        <f t="shared" ca="1" si="56"/>
        <v>1</v>
      </c>
      <c r="H1191" s="17">
        <v>1182</v>
      </c>
      <c r="I1191" s="45">
        <v>0.67074007375599587</v>
      </c>
      <c r="J1191" s="45">
        <v>1.8949966553708709E-2</v>
      </c>
      <c r="K1191" s="45">
        <v>0.24399999999999999</v>
      </c>
      <c r="N1191" s="54"/>
    </row>
    <row r="1192" spans="2:14" x14ac:dyDescent="0.2">
      <c r="B1192">
        <v>1183</v>
      </c>
      <c r="C1192" s="52">
        <f t="shared" ca="1" si="57"/>
        <v>0.73340082092815173</v>
      </c>
      <c r="D1192" s="52">
        <f ca="1">S0*EXP((μ-0.5*σ*σ)*T+σ*SQRT(T)*$C1192)</f>
        <v>0.78853831104095007</v>
      </c>
      <c r="E1192" s="52">
        <f t="shared" ca="1" si="55"/>
        <v>0</v>
      </c>
      <c r="F1192" s="17">
        <f t="shared" ca="1" si="56"/>
        <v>0</v>
      </c>
      <c r="H1192" s="17">
        <v>1183</v>
      </c>
      <c r="I1192" s="45">
        <v>0.67044284754950534</v>
      </c>
      <c r="J1192" s="45">
        <v>1.8793002601239825E-2</v>
      </c>
      <c r="K1192" s="45">
        <v>0.24460000000000001</v>
      </c>
      <c r="N1192" s="54"/>
    </row>
    <row r="1193" spans="2:14" x14ac:dyDescent="0.2">
      <c r="B1193">
        <v>1184</v>
      </c>
      <c r="C1193" s="52">
        <f t="shared" ca="1" si="57"/>
        <v>-0.92343247438740217</v>
      </c>
      <c r="D1193" s="52">
        <f ca="1">S0*EXP((μ-0.5*σ*σ)*T+σ*SQRT(T)*$C1193)</f>
        <v>0.49878662595917189</v>
      </c>
      <c r="E1193" s="52">
        <f t="shared" ca="1" si="55"/>
        <v>3.5613374040828094E-2</v>
      </c>
      <c r="F1193" s="17">
        <f t="shared" ca="1" si="56"/>
        <v>1</v>
      </c>
      <c r="H1193" s="17">
        <v>1184</v>
      </c>
      <c r="I1193" s="45">
        <v>0.66955271126140492</v>
      </c>
      <c r="J1193" s="45">
        <v>1.8021657347018757E-2</v>
      </c>
      <c r="K1193" s="45">
        <v>0.24340000000000001</v>
      </c>
      <c r="N1193" s="54"/>
    </row>
    <row r="1194" spans="2:14" x14ac:dyDescent="0.2">
      <c r="B1194">
        <v>1185</v>
      </c>
      <c r="C1194" s="52">
        <f t="shared" ca="1" si="57"/>
        <v>1.4734561064960425</v>
      </c>
      <c r="D1194" s="52">
        <f ca="1">S0*EXP((μ-0.5*σ*σ)*T+σ*SQRT(T)*$C1194)</f>
        <v>0.96753958114959104</v>
      </c>
      <c r="E1194" s="52">
        <f t="shared" ca="1" si="55"/>
        <v>0</v>
      </c>
      <c r="F1194" s="17">
        <f t="shared" ca="1" si="56"/>
        <v>0</v>
      </c>
      <c r="H1194" s="17">
        <v>1185</v>
      </c>
      <c r="I1194" s="45">
        <v>0.66994217737933792</v>
      </c>
      <c r="J1194" s="45">
        <v>1.8183218241709199E-2</v>
      </c>
      <c r="K1194" s="45">
        <v>0.24160000000000001</v>
      </c>
      <c r="N1194" s="54"/>
    </row>
    <row r="1195" spans="2:14" x14ac:dyDescent="0.2">
      <c r="B1195">
        <v>1186</v>
      </c>
      <c r="C1195" s="52">
        <f t="shared" ca="1" si="57"/>
        <v>-0.45393434487634238</v>
      </c>
      <c r="D1195" s="52">
        <f ca="1">S0*EXP((μ-0.5*σ*σ)*T+σ*SQRT(T)*$C1195)</f>
        <v>0.56790999621968341</v>
      </c>
      <c r="E1195" s="52">
        <f t="shared" ca="1" si="55"/>
        <v>0</v>
      </c>
      <c r="F1195" s="17">
        <f t="shared" ca="1" si="56"/>
        <v>0</v>
      </c>
      <c r="H1195" s="17">
        <v>1186</v>
      </c>
      <c r="I1195" s="45">
        <v>0.669722160358039</v>
      </c>
      <c r="J1195" s="45">
        <v>1.8005760521109353E-2</v>
      </c>
      <c r="K1195" s="45">
        <v>0.2414</v>
      </c>
      <c r="N1195" s="54"/>
    </row>
    <row r="1196" spans="2:14" x14ac:dyDescent="0.2">
      <c r="B1196">
        <v>1187</v>
      </c>
      <c r="C1196" s="52">
        <f t="shared" ca="1" si="57"/>
        <v>-1.0696127711231984E-2</v>
      </c>
      <c r="D1196" s="52">
        <f ca="1">S0*EXP((μ-0.5*σ*σ)*T+σ*SQRT(T)*$C1196)</f>
        <v>0.64193586698337934</v>
      </c>
      <c r="E1196" s="52">
        <f t="shared" ca="1" si="55"/>
        <v>0</v>
      </c>
      <c r="F1196" s="17">
        <f t="shared" ca="1" si="56"/>
        <v>0</v>
      </c>
      <c r="H1196" s="17">
        <v>1187</v>
      </c>
      <c r="I1196" s="45">
        <v>0.67096356624564413</v>
      </c>
      <c r="J1196" s="45">
        <v>1.8940938200317791E-2</v>
      </c>
      <c r="K1196" s="45">
        <v>0.24640000000000001</v>
      </c>
      <c r="N1196" s="54"/>
    </row>
    <row r="1197" spans="2:14" x14ac:dyDescent="0.2">
      <c r="B1197">
        <v>1188</v>
      </c>
      <c r="C1197" s="52">
        <f t="shared" ca="1" si="57"/>
        <v>0.51154166836390691</v>
      </c>
      <c r="D1197" s="52">
        <f ca="1">S0*EXP((μ-0.5*σ*σ)*T+σ*SQRT(T)*$C1197)</f>
        <v>0.74163107008513618</v>
      </c>
      <c r="E1197" s="52">
        <f t="shared" ca="1" si="55"/>
        <v>0</v>
      </c>
      <c r="F1197" s="17">
        <f t="shared" ca="1" si="56"/>
        <v>0</v>
      </c>
      <c r="H1197" s="17">
        <v>1188</v>
      </c>
      <c r="I1197" s="45">
        <v>0.67203345937630876</v>
      </c>
      <c r="J1197" s="45">
        <v>1.9561995676348708E-2</v>
      </c>
      <c r="K1197" s="45">
        <v>0.24360000000000001</v>
      </c>
      <c r="N1197" s="54"/>
    </row>
    <row r="1198" spans="2:14" x14ac:dyDescent="0.2">
      <c r="B1198">
        <v>1189</v>
      </c>
      <c r="C1198" s="52">
        <f t="shared" ca="1" si="57"/>
        <v>0.3911928705807684</v>
      </c>
      <c r="D1198" s="52">
        <f ca="1">S0*EXP((μ-0.5*σ*σ)*T+σ*SQRT(T)*$C1198)</f>
        <v>0.71736414788632619</v>
      </c>
      <c r="E1198" s="52">
        <f t="shared" ca="1" si="55"/>
        <v>0</v>
      </c>
      <c r="F1198" s="17">
        <f t="shared" ca="1" si="56"/>
        <v>0</v>
      </c>
      <c r="H1198" s="17">
        <v>1189</v>
      </c>
      <c r="I1198" s="45">
        <v>0.67001492618096492</v>
      </c>
      <c r="J1198" s="45">
        <v>1.8194857073839461E-2</v>
      </c>
      <c r="K1198" s="45">
        <v>0.24079999999999999</v>
      </c>
      <c r="N1198" s="54"/>
    </row>
    <row r="1199" spans="2:14" x14ac:dyDescent="0.2">
      <c r="B1199">
        <v>1190</v>
      </c>
      <c r="C1199" s="52">
        <f t="shared" ca="1" si="57"/>
        <v>-0.65614261356111392</v>
      </c>
      <c r="D1199" s="52">
        <f ca="1">S0*EXP((μ-0.5*σ*σ)*T+σ*SQRT(T)*$C1199)</f>
        <v>0.53703647128973375</v>
      </c>
      <c r="E1199" s="52">
        <f t="shared" ca="1" si="55"/>
        <v>0</v>
      </c>
      <c r="F1199" s="17">
        <f t="shared" ca="1" si="56"/>
        <v>0</v>
      </c>
      <c r="H1199" s="17">
        <v>1190</v>
      </c>
      <c r="I1199" s="45">
        <v>0.67099943516708394</v>
      </c>
      <c r="J1199" s="45">
        <v>1.9115290037952697E-2</v>
      </c>
      <c r="K1199" s="45">
        <v>0.2452</v>
      </c>
      <c r="N1199" s="54"/>
    </row>
    <row r="1200" spans="2:14" x14ac:dyDescent="0.2">
      <c r="B1200">
        <v>1191</v>
      </c>
      <c r="C1200" s="52">
        <f t="shared" ca="1" si="57"/>
        <v>1.5167401514610778E-2</v>
      </c>
      <c r="D1200" s="52">
        <f ca="1">S0*EXP((μ-0.5*σ*σ)*T+σ*SQRT(T)*$C1200)</f>
        <v>0.64654184619774746</v>
      </c>
      <c r="E1200" s="52">
        <f t="shared" ca="1" si="55"/>
        <v>0</v>
      </c>
      <c r="F1200" s="17">
        <f t="shared" ca="1" si="56"/>
        <v>0</v>
      </c>
      <c r="H1200" s="17">
        <v>1191</v>
      </c>
      <c r="I1200" s="45">
        <v>0.66923270968728543</v>
      </c>
      <c r="J1200" s="45">
        <v>1.7515417848376732E-2</v>
      </c>
      <c r="K1200" s="45">
        <v>0.23400000000000001</v>
      </c>
      <c r="N1200" s="54"/>
    </row>
    <row r="1201" spans="2:14" x14ac:dyDescent="0.2">
      <c r="B1201">
        <v>1192</v>
      </c>
      <c r="C1201" s="52">
        <f t="shared" ca="1" si="57"/>
        <v>1.5410719775550816</v>
      </c>
      <c r="D1201" s="52">
        <f ca="1">S0*EXP((μ-0.5*σ*σ)*T+σ*SQRT(T)*$C1201)</f>
        <v>0.98579414998489734</v>
      </c>
      <c r="E1201" s="52">
        <f t="shared" ca="1" si="55"/>
        <v>0</v>
      </c>
      <c r="F1201" s="17">
        <f t="shared" ca="1" si="56"/>
        <v>0</v>
      </c>
      <c r="H1201" s="17">
        <v>1192</v>
      </c>
      <c r="I1201" s="45">
        <v>0.67265355924933978</v>
      </c>
      <c r="J1201" s="45">
        <v>1.9909007242303069E-2</v>
      </c>
      <c r="K1201" s="45">
        <v>0.245</v>
      </c>
      <c r="N1201" s="54"/>
    </row>
    <row r="1202" spans="2:14" x14ac:dyDescent="0.2">
      <c r="B1202">
        <v>1193</v>
      </c>
      <c r="C1202" s="52">
        <f t="shared" ca="1" si="57"/>
        <v>1.5057148444938191</v>
      </c>
      <c r="D1202" s="52">
        <f ca="1">S0*EXP((μ-0.5*σ*σ)*T+σ*SQRT(T)*$C1202)</f>
        <v>0.97620606746697458</v>
      </c>
      <c r="E1202" s="52">
        <f t="shared" ca="1" si="55"/>
        <v>0</v>
      </c>
      <c r="F1202" s="17">
        <f t="shared" ca="1" si="56"/>
        <v>0</v>
      </c>
      <c r="H1202" s="17">
        <v>1193</v>
      </c>
      <c r="I1202" s="45">
        <v>0.67185708633661689</v>
      </c>
      <c r="J1202" s="45">
        <v>1.9676606679152074E-2</v>
      </c>
      <c r="K1202" s="45">
        <v>0.25359999999999999</v>
      </c>
      <c r="N1202" s="54"/>
    </row>
    <row r="1203" spans="2:14" x14ac:dyDescent="0.2">
      <c r="B1203">
        <v>1194</v>
      </c>
      <c r="C1203" s="52">
        <f t="shared" ca="1" si="57"/>
        <v>-0.61246558949622898</v>
      </c>
      <c r="D1203" s="52">
        <f ca="1">S0*EXP((μ-0.5*σ*σ)*T+σ*SQRT(T)*$C1203)</f>
        <v>0.54355981650163565</v>
      </c>
      <c r="E1203" s="52">
        <f t="shared" ca="1" si="55"/>
        <v>0</v>
      </c>
      <c r="F1203" s="17">
        <f t="shared" ca="1" si="56"/>
        <v>0</v>
      </c>
      <c r="H1203" s="17">
        <v>1194</v>
      </c>
      <c r="I1203" s="45">
        <v>0.67086996217415307</v>
      </c>
      <c r="J1203" s="45">
        <v>1.8798126911392113E-2</v>
      </c>
      <c r="K1203" s="45">
        <v>0.24299999999999999</v>
      </c>
      <c r="N1203" s="54"/>
    </row>
    <row r="1204" spans="2:14" x14ac:dyDescent="0.2">
      <c r="B1204">
        <v>1195</v>
      </c>
      <c r="C1204" s="52">
        <f t="shared" ca="1" si="57"/>
        <v>0.27463484986795494</v>
      </c>
      <c r="D1204" s="52">
        <f ca="1">S0*EXP((μ-0.5*σ*σ)*T+σ*SQRT(T)*$C1204)</f>
        <v>0.69461876966207048</v>
      </c>
      <c r="E1204" s="52">
        <f t="shared" ca="1" si="55"/>
        <v>0</v>
      </c>
      <c r="F1204" s="17">
        <f t="shared" ca="1" si="56"/>
        <v>0</v>
      </c>
      <c r="H1204" s="17">
        <v>1195</v>
      </c>
      <c r="I1204" s="45">
        <v>0.67000507597314274</v>
      </c>
      <c r="J1204" s="45">
        <v>1.8453695220178524E-2</v>
      </c>
      <c r="K1204" s="45">
        <v>0.24340000000000001</v>
      </c>
      <c r="N1204" s="54"/>
    </row>
    <row r="1205" spans="2:14" x14ac:dyDescent="0.2">
      <c r="B1205">
        <v>1196</v>
      </c>
      <c r="C1205" s="52">
        <f t="shared" ca="1" si="57"/>
        <v>-0.21129244800947308</v>
      </c>
      <c r="D1205" s="52">
        <f ca="1">S0*EXP((μ-0.5*σ*σ)*T+σ*SQRT(T)*$C1205)</f>
        <v>0.60730859652161817</v>
      </c>
      <c r="E1205" s="52">
        <f t="shared" ca="1" si="55"/>
        <v>0</v>
      </c>
      <c r="F1205" s="17">
        <f t="shared" ca="1" si="56"/>
        <v>0</v>
      </c>
      <c r="H1205" s="17">
        <v>1196</v>
      </c>
      <c r="I1205" s="45">
        <v>0.66958143416387061</v>
      </c>
      <c r="J1205" s="45">
        <v>1.8126069159619129E-2</v>
      </c>
      <c r="K1205" s="45">
        <v>0.2412</v>
      </c>
      <c r="N1205" s="54"/>
    </row>
    <row r="1206" spans="2:14" x14ac:dyDescent="0.2">
      <c r="B1206">
        <v>1197</v>
      </c>
      <c r="C1206" s="52">
        <f t="shared" ca="1" si="57"/>
        <v>1.6725340150476846</v>
      </c>
      <c r="D1206" s="52">
        <f ca="1">S0*EXP((μ-0.5*σ*σ)*T+σ*SQRT(T)*$C1206)</f>
        <v>1.0222771739287888</v>
      </c>
      <c r="E1206" s="52">
        <f t="shared" ca="1" si="55"/>
        <v>0</v>
      </c>
      <c r="F1206" s="17">
        <f t="shared" ca="1" si="56"/>
        <v>0</v>
      </c>
      <c r="H1206" s="17">
        <v>1197</v>
      </c>
      <c r="I1206" s="45">
        <v>0.67251882945748653</v>
      </c>
      <c r="J1206" s="45">
        <v>2.0399588608946955E-2</v>
      </c>
      <c r="K1206" s="45">
        <v>0.25600000000000001</v>
      </c>
      <c r="N1206" s="54"/>
    </row>
    <row r="1207" spans="2:14" x14ac:dyDescent="0.2">
      <c r="B1207">
        <v>1198</v>
      </c>
      <c r="C1207" s="52">
        <f t="shared" ca="1" si="57"/>
        <v>1.4946208400242083</v>
      </c>
      <c r="D1207" s="52">
        <f ca="1">S0*EXP((μ-0.5*σ*σ)*T+σ*SQRT(T)*$C1207)</f>
        <v>0.97321687969982407</v>
      </c>
      <c r="E1207" s="52">
        <f t="shared" ca="1" si="55"/>
        <v>0</v>
      </c>
      <c r="F1207" s="17">
        <f t="shared" ca="1" si="56"/>
        <v>0</v>
      </c>
      <c r="H1207" s="17">
        <v>1198</v>
      </c>
      <c r="I1207" s="45">
        <v>0.6721749468149012</v>
      </c>
      <c r="J1207" s="45">
        <v>1.9677562043912997E-2</v>
      </c>
      <c r="K1207" s="45">
        <v>0.25559999999999999</v>
      </c>
      <c r="N1207" s="54"/>
    </row>
    <row r="1208" spans="2:14" x14ac:dyDescent="0.2">
      <c r="B1208">
        <v>1199</v>
      </c>
      <c r="C1208" s="52">
        <f t="shared" ca="1" si="57"/>
        <v>0.17083686967321379</v>
      </c>
      <c r="D1208" s="52">
        <f ca="1">S0*EXP((μ-0.5*σ*σ)*T+σ*SQRT(T)*$C1208)</f>
        <v>0.67497120161981006</v>
      </c>
      <c r="E1208" s="52">
        <f t="shared" ca="1" si="55"/>
        <v>0</v>
      </c>
      <c r="F1208" s="17">
        <f t="shared" ca="1" si="56"/>
        <v>0</v>
      </c>
      <c r="H1208" s="17">
        <v>1199</v>
      </c>
      <c r="I1208" s="45">
        <v>0.67060058673366374</v>
      </c>
      <c r="J1208" s="45">
        <v>1.9065745393038871E-2</v>
      </c>
      <c r="K1208" s="45">
        <v>0.25580000000000003</v>
      </c>
      <c r="N1208" s="54"/>
    </row>
    <row r="1209" spans="2:14" x14ac:dyDescent="0.2">
      <c r="B1209">
        <v>1200</v>
      </c>
      <c r="C1209" s="52">
        <f t="shared" ca="1" si="57"/>
        <v>-0.11942899008594465</v>
      </c>
      <c r="D1209" s="52">
        <f ca="1">S0*EXP((μ-0.5*σ*σ)*T+σ*SQRT(T)*$C1209)</f>
        <v>0.62292810113735697</v>
      </c>
      <c r="E1209" s="52">
        <f t="shared" ca="1" si="55"/>
        <v>0</v>
      </c>
      <c r="F1209" s="17">
        <f t="shared" ca="1" si="56"/>
        <v>0</v>
      </c>
      <c r="H1209" s="17">
        <v>1200</v>
      </c>
      <c r="I1209" s="45">
        <v>0.67200389176886088</v>
      </c>
      <c r="J1209" s="45">
        <v>1.99871672171479E-2</v>
      </c>
      <c r="K1209" s="45">
        <v>0.25019999999999998</v>
      </c>
      <c r="N1209" s="54"/>
    </row>
    <row r="1210" spans="2:14" x14ac:dyDescent="0.2">
      <c r="B1210">
        <v>1201</v>
      </c>
      <c r="C1210" s="52">
        <f t="shared" ca="1" si="57"/>
        <v>-3.6270320504569985E-2</v>
      </c>
      <c r="D1210" s="52">
        <f ca="1">S0*EXP((μ-0.5*σ*σ)*T+σ*SQRT(T)*$C1210)</f>
        <v>0.63741368045293756</v>
      </c>
      <c r="E1210" s="52">
        <f t="shared" ca="1" si="55"/>
        <v>0</v>
      </c>
      <c r="F1210" s="17">
        <f t="shared" ca="1" si="56"/>
        <v>0</v>
      </c>
      <c r="H1210" s="17">
        <v>1201</v>
      </c>
      <c r="I1210" s="45">
        <v>0.67158470298242978</v>
      </c>
      <c r="J1210" s="45">
        <v>1.9549416817811156E-2</v>
      </c>
      <c r="K1210" s="45">
        <v>0.24679999999999999</v>
      </c>
      <c r="N1210" s="54"/>
    </row>
    <row r="1211" spans="2:14" x14ac:dyDescent="0.2">
      <c r="B1211">
        <v>1202</v>
      </c>
      <c r="C1211" s="52">
        <f t="shared" ca="1" si="57"/>
        <v>-0.70968319297233007</v>
      </c>
      <c r="D1211" s="52">
        <f ca="1">S0*EXP((μ-0.5*σ*σ)*T+σ*SQRT(T)*$C1211)</f>
        <v>0.5291466697992866</v>
      </c>
      <c r="E1211" s="52">
        <f t="shared" ca="1" si="55"/>
        <v>5.2533302007133909E-3</v>
      </c>
      <c r="F1211" s="17">
        <f t="shared" ca="1" si="56"/>
        <v>1</v>
      </c>
      <c r="H1211" s="17">
        <v>1202</v>
      </c>
      <c r="I1211" s="45">
        <v>0.67129262444493609</v>
      </c>
      <c r="J1211" s="45">
        <v>1.9312456738408867E-2</v>
      </c>
      <c r="K1211" s="45">
        <v>0.25359999999999999</v>
      </c>
      <c r="N1211" s="54"/>
    </row>
    <row r="1212" spans="2:14" x14ac:dyDescent="0.2">
      <c r="B1212">
        <v>1203</v>
      </c>
      <c r="C1212" s="52">
        <f t="shared" ca="1" si="57"/>
        <v>0.49448371811891395</v>
      </c>
      <c r="D1212" s="52">
        <f ca="1">S0*EXP((μ-0.5*σ*σ)*T+σ*SQRT(T)*$C1212)</f>
        <v>0.73814223570420345</v>
      </c>
      <c r="E1212" s="52">
        <f t="shared" ca="1" si="55"/>
        <v>0</v>
      </c>
      <c r="F1212" s="17">
        <f t="shared" ca="1" si="56"/>
        <v>0</v>
      </c>
      <c r="H1212" s="17">
        <v>1203</v>
      </c>
      <c r="I1212" s="45">
        <v>0.66992578581897189</v>
      </c>
      <c r="J1212" s="45">
        <v>1.815785662826289E-2</v>
      </c>
      <c r="K1212" s="45">
        <v>0.2394</v>
      </c>
      <c r="N1212" s="54"/>
    </row>
    <row r="1213" spans="2:14" x14ac:dyDescent="0.2">
      <c r="B1213">
        <v>1204</v>
      </c>
      <c r="C1213" s="52">
        <f t="shared" ca="1" si="57"/>
        <v>1.250361552463809</v>
      </c>
      <c r="D1213" s="52">
        <f ca="1">S0*EXP((μ-0.5*σ*σ)*T+σ*SQRT(T)*$C1213)</f>
        <v>0.90967350244389045</v>
      </c>
      <c r="E1213" s="52">
        <f t="shared" ca="1" si="55"/>
        <v>0</v>
      </c>
      <c r="F1213" s="17">
        <f t="shared" ca="1" si="56"/>
        <v>0</v>
      </c>
      <c r="H1213" s="17">
        <v>1204</v>
      </c>
      <c r="I1213" s="45">
        <v>0.67012627922021406</v>
      </c>
      <c r="J1213" s="45">
        <v>1.8492655734728081E-2</v>
      </c>
      <c r="K1213" s="45">
        <v>0.24759999999999999</v>
      </c>
      <c r="N1213" s="54"/>
    </row>
    <row r="1214" spans="2:14" x14ac:dyDescent="0.2">
      <c r="B1214">
        <v>1205</v>
      </c>
      <c r="C1214" s="52">
        <f t="shared" ca="1" si="57"/>
        <v>0.6996683204581764</v>
      </c>
      <c r="D1214" s="52">
        <f ca="1">S0*EXP((μ-0.5*σ*σ)*T+σ*SQRT(T)*$C1214)</f>
        <v>0.78121955648393981</v>
      </c>
      <c r="E1214" s="52">
        <f t="shared" ca="1" si="55"/>
        <v>0</v>
      </c>
      <c r="F1214" s="17">
        <f t="shared" ca="1" si="56"/>
        <v>0</v>
      </c>
      <c r="H1214" s="17">
        <v>1205</v>
      </c>
      <c r="I1214" s="45">
        <v>0.67147666369497017</v>
      </c>
      <c r="J1214" s="45">
        <v>1.9533893965081438E-2</v>
      </c>
      <c r="K1214" s="45">
        <v>0.24940000000000001</v>
      </c>
      <c r="N1214" s="54"/>
    </row>
    <row r="1215" spans="2:14" x14ac:dyDescent="0.2">
      <c r="B1215">
        <v>1206</v>
      </c>
      <c r="C1215" s="52">
        <f t="shared" ca="1" si="57"/>
        <v>0.20288577276568104</v>
      </c>
      <c r="D1215" s="52">
        <f ca="1">S0*EXP((μ-0.5*σ*σ)*T+σ*SQRT(T)*$C1215)</f>
        <v>0.68097758073680137</v>
      </c>
      <c r="E1215" s="52">
        <f t="shared" ca="1" si="55"/>
        <v>0</v>
      </c>
      <c r="F1215" s="17">
        <f t="shared" ca="1" si="56"/>
        <v>0</v>
      </c>
      <c r="H1215" s="17">
        <v>1206</v>
      </c>
      <c r="I1215" s="45">
        <v>0.67164625078469875</v>
      </c>
      <c r="J1215" s="45">
        <v>1.9606310007625201E-2</v>
      </c>
      <c r="K1215" s="45">
        <v>0.25059999999999999</v>
      </c>
      <c r="N1215" s="54"/>
    </row>
    <row r="1216" spans="2:14" x14ac:dyDescent="0.2">
      <c r="B1216">
        <v>1207</v>
      </c>
      <c r="C1216" s="52">
        <f t="shared" ca="1" si="57"/>
        <v>0.97904028235239149</v>
      </c>
      <c r="D1216" s="52">
        <f ca="1">S0*EXP((μ-0.5*σ*σ)*T+σ*SQRT(T)*$C1216)</f>
        <v>0.84394196136792521</v>
      </c>
      <c r="E1216" s="52">
        <f t="shared" ca="1" si="55"/>
        <v>0</v>
      </c>
      <c r="F1216" s="17">
        <f t="shared" ca="1" si="56"/>
        <v>0</v>
      </c>
      <c r="H1216" s="17">
        <v>1207</v>
      </c>
      <c r="I1216" s="45">
        <v>0.67109851901770168</v>
      </c>
      <c r="J1216" s="45">
        <v>1.9332455260299867E-2</v>
      </c>
      <c r="K1216" s="45">
        <v>0.2452</v>
      </c>
      <c r="N1216" s="54"/>
    </row>
    <row r="1217" spans="2:14" x14ac:dyDescent="0.2">
      <c r="B1217">
        <v>1208</v>
      </c>
      <c r="C1217" s="52">
        <f t="shared" ca="1" si="57"/>
        <v>1.7573287158978226</v>
      </c>
      <c r="D1217" s="52">
        <f ca="1">S0*EXP((μ-0.5*σ*σ)*T+σ*SQRT(T)*$C1217)</f>
        <v>1.0465224076044148</v>
      </c>
      <c r="E1217" s="52">
        <f t="shared" ca="1" si="55"/>
        <v>0</v>
      </c>
      <c r="F1217" s="17">
        <f t="shared" ca="1" si="56"/>
        <v>0</v>
      </c>
      <c r="H1217" s="17">
        <v>1208</v>
      </c>
      <c r="I1217" s="45">
        <v>0.67101198191433675</v>
      </c>
      <c r="J1217" s="45">
        <v>1.9036259972655272E-2</v>
      </c>
      <c r="K1217" s="45">
        <v>0.24759999999999999</v>
      </c>
      <c r="N1217" s="54"/>
    </row>
    <row r="1218" spans="2:14" x14ac:dyDescent="0.2">
      <c r="B1218">
        <v>1209</v>
      </c>
      <c r="C1218" s="52">
        <f t="shared" ca="1" si="57"/>
        <v>-1.4545621324379494</v>
      </c>
      <c r="D1218" s="52">
        <f ca="1">S0*EXP((μ-0.5*σ*σ)*T+σ*SQRT(T)*$C1218)</f>
        <v>0.43067635644634533</v>
      </c>
      <c r="E1218" s="52">
        <f t="shared" ca="1" si="55"/>
        <v>0.10372364355365465</v>
      </c>
      <c r="F1218" s="17">
        <f t="shared" ca="1" si="56"/>
        <v>1</v>
      </c>
      <c r="H1218" s="17">
        <v>1209</v>
      </c>
      <c r="I1218" s="45">
        <v>0.67105949356211347</v>
      </c>
      <c r="J1218" s="45">
        <v>1.9109423463594174E-2</v>
      </c>
      <c r="K1218" s="45">
        <v>0.25319999999999998</v>
      </c>
      <c r="N1218" s="54"/>
    </row>
    <row r="1219" spans="2:14" x14ac:dyDescent="0.2">
      <c r="B1219">
        <v>1210</v>
      </c>
      <c r="C1219" s="52">
        <f t="shared" ca="1" si="57"/>
        <v>2.1152947112596516</v>
      </c>
      <c r="D1219" s="52">
        <f ca="1">S0*EXP((μ-0.5*σ*σ)*T+σ*SQRT(T)*$C1219)</f>
        <v>1.1553763260108578</v>
      </c>
      <c r="E1219" s="52">
        <f t="shared" ca="1" si="55"/>
        <v>0</v>
      </c>
      <c r="F1219" s="17">
        <f t="shared" ca="1" si="56"/>
        <v>0</v>
      </c>
      <c r="H1219" s="17">
        <v>1210</v>
      </c>
      <c r="I1219" s="45">
        <v>0.67293324862475978</v>
      </c>
      <c r="J1219" s="45">
        <v>2.0361936519163966E-2</v>
      </c>
      <c r="K1219" s="45">
        <v>0.25440000000000002</v>
      </c>
      <c r="N1219" s="54"/>
    </row>
    <row r="1220" spans="2:14" x14ac:dyDescent="0.2">
      <c r="B1220">
        <v>1211</v>
      </c>
      <c r="C1220" s="52">
        <f t="shared" ca="1" si="57"/>
        <v>-1.131286036160992</v>
      </c>
      <c r="D1220" s="52">
        <f ca="1">S0*EXP((μ-0.5*σ*σ)*T+σ*SQRT(T)*$C1220)</f>
        <v>0.47093539480881513</v>
      </c>
      <c r="E1220" s="52">
        <f t="shared" ca="1" si="55"/>
        <v>6.3464605191184853E-2</v>
      </c>
      <c r="F1220" s="17">
        <f t="shared" ca="1" si="56"/>
        <v>1</v>
      </c>
      <c r="H1220" s="17">
        <v>1211</v>
      </c>
      <c r="I1220" s="45">
        <v>0.67122323386774863</v>
      </c>
      <c r="J1220" s="45">
        <v>1.9356380260158151E-2</v>
      </c>
      <c r="K1220" s="45">
        <v>0.25</v>
      </c>
      <c r="N1220" s="54"/>
    </row>
    <row r="1221" spans="2:14" x14ac:dyDescent="0.2">
      <c r="B1221">
        <v>1212</v>
      </c>
      <c r="C1221" s="52">
        <f t="shared" ca="1" si="57"/>
        <v>-1.8204705230703166</v>
      </c>
      <c r="D1221" s="52">
        <f ca="1">S0*EXP((μ-0.5*σ*σ)*T+σ*SQRT(T)*$C1221)</f>
        <v>0.38924459267167377</v>
      </c>
      <c r="E1221" s="52">
        <f t="shared" ca="1" si="55"/>
        <v>0.14515540732832621</v>
      </c>
      <c r="F1221" s="17">
        <f t="shared" ca="1" si="56"/>
        <v>1</v>
      </c>
      <c r="H1221" s="17">
        <v>1212</v>
      </c>
      <c r="I1221" s="45">
        <v>0.67043951982684435</v>
      </c>
      <c r="J1221" s="45">
        <v>1.8764219034639089E-2</v>
      </c>
      <c r="K1221" s="45">
        <v>0.24560000000000001</v>
      </c>
      <c r="N1221" s="54"/>
    </row>
    <row r="1222" spans="2:14" x14ac:dyDescent="0.2">
      <c r="B1222">
        <v>1213</v>
      </c>
      <c r="C1222" s="52">
        <f t="shared" ca="1" si="57"/>
        <v>-0.3292342305749455</v>
      </c>
      <c r="D1222" s="52">
        <f ca="1">S0*EXP((μ-0.5*σ*σ)*T+σ*SQRT(T)*$C1222)</f>
        <v>0.58782783933100879</v>
      </c>
      <c r="E1222" s="52">
        <f t="shared" ca="1" si="55"/>
        <v>0</v>
      </c>
      <c r="F1222" s="17">
        <f t="shared" ca="1" si="56"/>
        <v>0</v>
      </c>
      <c r="H1222" s="17">
        <v>1213</v>
      </c>
      <c r="I1222" s="45">
        <v>0.67098556540278043</v>
      </c>
      <c r="J1222" s="45">
        <v>1.9232494534128727E-2</v>
      </c>
      <c r="K1222" s="45">
        <v>0.25080000000000002</v>
      </c>
      <c r="N1222" s="54"/>
    </row>
    <row r="1223" spans="2:14" x14ac:dyDescent="0.2">
      <c r="B1223">
        <v>1214</v>
      </c>
      <c r="C1223" s="52">
        <f t="shared" ca="1" si="57"/>
        <v>-0.30704916232144203</v>
      </c>
      <c r="D1223" s="52">
        <f ca="1">S0*EXP((μ-0.5*σ*σ)*T+σ*SQRT(T)*$C1223)</f>
        <v>0.59144387258047093</v>
      </c>
      <c r="E1223" s="52">
        <f t="shared" ca="1" si="55"/>
        <v>0</v>
      </c>
      <c r="F1223" s="17">
        <f t="shared" ca="1" si="56"/>
        <v>0</v>
      </c>
      <c r="H1223" s="17">
        <v>1214</v>
      </c>
      <c r="I1223" s="45">
        <v>0.67135137902272524</v>
      </c>
      <c r="J1223" s="45">
        <v>1.9271978567731617E-2</v>
      </c>
      <c r="K1223" s="45">
        <v>0.2482</v>
      </c>
      <c r="N1223" s="54"/>
    </row>
    <row r="1224" spans="2:14" x14ac:dyDescent="0.2">
      <c r="B1224">
        <v>1215</v>
      </c>
      <c r="C1224" s="52">
        <f t="shared" ca="1" si="57"/>
        <v>0.39259840466242801</v>
      </c>
      <c r="D1224" s="52">
        <f ca="1">S0*EXP((μ-0.5*σ*σ)*T+σ*SQRT(T)*$C1224)</f>
        <v>0.71764292334741442</v>
      </c>
      <c r="E1224" s="52">
        <f t="shared" ca="1" si="55"/>
        <v>0</v>
      </c>
      <c r="F1224" s="17">
        <f t="shared" ca="1" si="56"/>
        <v>0</v>
      </c>
      <c r="H1224" s="17">
        <v>1215</v>
      </c>
      <c r="I1224" s="45">
        <v>0.66980341543868827</v>
      </c>
      <c r="J1224" s="45">
        <v>1.8259047917914911E-2</v>
      </c>
      <c r="K1224" s="45">
        <v>0.23580000000000001</v>
      </c>
      <c r="N1224" s="54"/>
    </row>
    <row r="1225" spans="2:14" x14ac:dyDescent="0.2">
      <c r="B1225">
        <v>1216</v>
      </c>
      <c r="C1225" s="52">
        <f t="shared" ca="1" si="57"/>
        <v>-1.5066102932739429</v>
      </c>
      <c r="D1225" s="52">
        <f ca="1">S0*EXP((μ-0.5*σ*σ)*T+σ*SQRT(T)*$C1225)</f>
        <v>0.42452423338509165</v>
      </c>
      <c r="E1225" s="52">
        <f t="shared" ca="1" si="55"/>
        <v>0.10987576661490833</v>
      </c>
      <c r="F1225" s="17">
        <f t="shared" ca="1" si="56"/>
        <v>1</v>
      </c>
      <c r="H1225" s="17">
        <v>1216</v>
      </c>
      <c r="I1225" s="45">
        <v>0.67085074137300982</v>
      </c>
      <c r="J1225" s="45">
        <v>1.9028246818655701E-2</v>
      </c>
      <c r="K1225" s="45">
        <v>0.25480000000000003</v>
      </c>
      <c r="N1225" s="54"/>
    </row>
    <row r="1226" spans="2:14" x14ac:dyDescent="0.2">
      <c r="B1226">
        <v>1217</v>
      </c>
      <c r="C1226" s="52">
        <f t="shared" ca="1" si="57"/>
        <v>1.392336071847921</v>
      </c>
      <c r="D1226" s="52">
        <f ca="1">S0*EXP((μ-0.5*σ*σ)*T+σ*SQRT(T)*$C1226)</f>
        <v>0.94608471878527645</v>
      </c>
      <c r="E1226" s="52">
        <f t="shared" ref="E1226:E1289" ca="1" si="58">MAX(0,CP*(D1226-K))</f>
        <v>0</v>
      </c>
      <c r="F1226" s="17">
        <f t="shared" ref="F1226:F1289" ca="1" si="59">(CP*(D1226-K)&gt;0)*1</f>
        <v>0</v>
      </c>
      <c r="H1226" s="17">
        <v>1217</v>
      </c>
      <c r="I1226" s="45">
        <v>0.67049970712287199</v>
      </c>
      <c r="J1226" s="45">
        <v>1.8814763978034527E-2</v>
      </c>
      <c r="K1226" s="45">
        <v>0.2462</v>
      </c>
      <c r="N1226" s="54"/>
    </row>
    <row r="1227" spans="2:14" x14ac:dyDescent="0.2">
      <c r="B1227">
        <v>1218</v>
      </c>
      <c r="C1227" s="52">
        <f t="shared" ref="C1227:C1290" ca="1" si="60">_xlfn.NORM.S.INV(RAND())</f>
        <v>-0.56825955867426992</v>
      </c>
      <c r="D1227" s="52">
        <f ca="1">S0*EXP((μ-0.5*σ*σ)*T+σ*SQRT(T)*$C1227)</f>
        <v>0.55024285903909165</v>
      </c>
      <c r="E1227" s="52">
        <f t="shared" ca="1" si="58"/>
        <v>0</v>
      </c>
      <c r="F1227" s="17">
        <f t="shared" ca="1" si="59"/>
        <v>0</v>
      </c>
      <c r="H1227" s="17">
        <v>1218</v>
      </c>
      <c r="I1227" s="45">
        <v>0.67209295292111604</v>
      </c>
      <c r="J1227" s="45">
        <v>1.9507674964186102E-2</v>
      </c>
      <c r="K1227" s="45">
        <v>0.251</v>
      </c>
      <c r="N1227" s="54"/>
    </row>
    <row r="1228" spans="2:14" x14ac:dyDescent="0.2">
      <c r="B1228">
        <v>1219</v>
      </c>
      <c r="C1228" s="52">
        <f t="shared" ca="1" si="60"/>
        <v>1.4968270051342878</v>
      </c>
      <c r="D1228" s="52">
        <f ca="1">S0*EXP((μ-0.5*σ*σ)*T+σ*SQRT(T)*$C1228)</f>
        <v>0.97381058264315024</v>
      </c>
      <c r="E1228" s="52">
        <f t="shared" ca="1" si="58"/>
        <v>0</v>
      </c>
      <c r="F1228" s="17">
        <f t="shared" ca="1" si="59"/>
        <v>0</v>
      </c>
      <c r="H1228" s="17">
        <v>1219</v>
      </c>
      <c r="I1228" s="45">
        <v>0.67184757785026183</v>
      </c>
      <c r="J1228" s="45">
        <v>1.9811423071113533E-2</v>
      </c>
      <c r="K1228" s="45">
        <v>0.25359999999999999</v>
      </c>
      <c r="N1228" s="54"/>
    </row>
    <row r="1229" spans="2:14" x14ac:dyDescent="0.2">
      <c r="B1229">
        <v>1220</v>
      </c>
      <c r="C1229" s="52">
        <f t="shared" ca="1" si="60"/>
        <v>0.49816537515918352</v>
      </c>
      <c r="D1229" s="52">
        <f ca="1">S0*EXP((μ-0.5*σ*σ)*T+σ*SQRT(T)*$C1229)</f>
        <v>0.73889384738985064</v>
      </c>
      <c r="E1229" s="52">
        <f t="shared" ca="1" si="58"/>
        <v>0</v>
      </c>
      <c r="F1229" s="17">
        <f t="shared" ca="1" si="59"/>
        <v>0</v>
      </c>
      <c r="H1229" s="17">
        <v>1220</v>
      </c>
      <c r="I1229" s="45">
        <v>0.67209332520237186</v>
      </c>
      <c r="J1229" s="45">
        <v>1.9790159661089043E-2</v>
      </c>
      <c r="K1229" s="45">
        <v>0.252</v>
      </c>
      <c r="N1229" s="54"/>
    </row>
    <row r="1230" spans="2:14" x14ac:dyDescent="0.2">
      <c r="B1230">
        <v>1221</v>
      </c>
      <c r="C1230" s="52">
        <f t="shared" ca="1" si="60"/>
        <v>-0.53389746906604452</v>
      </c>
      <c r="D1230" s="52">
        <f ca="1">S0*EXP((μ-0.5*σ*σ)*T+σ*SQRT(T)*$C1230)</f>
        <v>0.55549440745343936</v>
      </c>
      <c r="E1230" s="52">
        <f t="shared" ca="1" si="58"/>
        <v>0</v>
      </c>
      <c r="F1230" s="17">
        <f t="shared" ca="1" si="59"/>
        <v>0</v>
      </c>
      <c r="H1230" s="17">
        <v>1221</v>
      </c>
      <c r="I1230" s="45">
        <v>0.67011355649698812</v>
      </c>
      <c r="J1230" s="45">
        <v>1.8596855315209045E-2</v>
      </c>
      <c r="K1230" s="45">
        <v>0.24540000000000001</v>
      </c>
      <c r="N1230" s="54"/>
    </row>
    <row r="1231" spans="2:14" x14ac:dyDescent="0.2">
      <c r="B1231">
        <v>1222</v>
      </c>
      <c r="C1231" s="52">
        <f t="shared" ca="1" si="60"/>
        <v>0.63643030975524872</v>
      </c>
      <c r="D1231" s="52">
        <f ca="1">S0*EXP((μ-0.5*σ*σ)*T+σ*SQRT(T)*$C1231)</f>
        <v>0.76768169713013934</v>
      </c>
      <c r="E1231" s="52">
        <f t="shared" ca="1" si="58"/>
        <v>0</v>
      </c>
      <c r="F1231" s="17">
        <f t="shared" ca="1" si="59"/>
        <v>0</v>
      </c>
      <c r="H1231" s="17">
        <v>1222</v>
      </c>
      <c r="I1231" s="45">
        <v>0.67043519252259631</v>
      </c>
      <c r="J1231" s="45">
        <v>1.8543763245070975E-2</v>
      </c>
      <c r="K1231" s="45">
        <v>0.24160000000000001</v>
      </c>
      <c r="N1231" s="54"/>
    </row>
    <row r="1232" spans="2:14" x14ac:dyDescent="0.2">
      <c r="B1232">
        <v>1223</v>
      </c>
      <c r="C1232" s="52">
        <f t="shared" ca="1" si="60"/>
        <v>-0.83687225039370838</v>
      </c>
      <c r="D1232" s="52">
        <f ca="1">S0*EXP((μ-0.5*σ*σ)*T+σ*SQRT(T)*$C1232)</f>
        <v>0.5108655587980161</v>
      </c>
      <c r="E1232" s="52">
        <f t="shared" ca="1" si="58"/>
        <v>2.3534441201983891E-2</v>
      </c>
      <c r="F1232" s="17">
        <f t="shared" ca="1" si="59"/>
        <v>1</v>
      </c>
      <c r="H1232" s="17">
        <v>1223</v>
      </c>
      <c r="I1232" s="45">
        <v>0.67169944477973387</v>
      </c>
      <c r="J1232" s="45">
        <v>1.9347209165656205E-2</v>
      </c>
      <c r="K1232" s="45">
        <v>0.249</v>
      </c>
      <c r="N1232" s="54"/>
    </row>
    <row r="1233" spans="2:14" x14ac:dyDescent="0.2">
      <c r="B1233">
        <v>1224</v>
      </c>
      <c r="C1233" s="52">
        <f t="shared" ca="1" si="60"/>
        <v>-2.2999490070338476E-2</v>
      </c>
      <c r="D1233" s="52">
        <f ca="1">S0*EXP((μ-0.5*σ*σ)*T+σ*SQRT(T)*$C1233)</f>
        <v>0.63975631987857173</v>
      </c>
      <c r="E1233" s="52">
        <f t="shared" ca="1" si="58"/>
        <v>0</v>
      </c>
      <c r="F1233" s="17">
        <f t="shared" ca="1" si="59"/>
        <v>0</v>
      </c>
      <c r="H1233" s="17">
        <v>1224</v>
      </c>
      <c r="I1233" s="45">
        <v>0.67080713273848891</v>
      </c>
      <c r="J1233" s="45">
        <v>1.877969455751758E-2</v>
      </c>
      <c r="K1233" s="45">
        <v>0.25119999999999998</v>
      </c>
      <c r="N1233" s="54"/>
    </row>
    <row r="1234" spans="2:14" x14ac:dyDescent="0.2">
      <c r="B1234">
        <v>1225</v>
      </c>
      <c r="C1234" s="52">
        <f t="shared" ca="1" si="60"/>
        <v>5.9864651765404654E-2</v>
      </c>
      <c r="D1234" s="52">
        <f ca="1">S0*EXP((μ-0.5*σ*σ)*T+σ*SQRT(T)*$C1234)</f>
        <v>0.65457992670984944</v>
      </c>
      <c r="E1234" s="52">
        <f t="shared" ca="1" si="58"/>
        <v>0</v>
      </c>
      <c r="F1234" s="17">
        <f t="shared" ca="1" si="59"/>
        <v>0</v>
      </c>
      <c r="H1234" s="17">
        <v>1225</v>
      </c>
      <c r="I1234" s="45">
        <v>0.67087844026634258</v>
      </c>
      <c r="J1234" s="45">
        <v>1.8932750271070803E-2</v>
      </c>
      <c r="K1234" s="45">
        <v>0.24460000000000001</v>
      </c>
      <c r="N1234" s="54"/>
    </row>
    <row r="1235" spans="2:14" x14ac:dyDescent="0.2">
      <c r="B1235">
        <v>1226</v>
      </c>
      <c r="C1235" s="52">
        <f t="shared" ca="1" si="60"/>
        <v>-1.8617070699400688</v>
      </c>
      <c r="D1235" s="52">
        <f ca="1">S0*EXP((μ-0.5*σ*σ)*T+σ*SQRT(T)*$C1235)</f>
        <v>0.38483273936403878</v>
      </c>
      <c r="E1235" s="52">
        <f t="shared" ca="1" si="58"/>
        <v>0.14956726063596121</v>
      </c>
      <c r="F1235" s="17">
        <f t="shared" ca="1" si="59"/>
        <v>1</v>
      </c>
      <c r="H1235" s="17">
        <v>1226</v>
      </c>
      <c r="I1235" s="45">
        <v>0.67066290132026218</v>
      </c>
      <c r="J1235" s="45">
        <v>1.8775523858431967E-2</v>
      </c>
      <c r="K1235" s="45">
        <v>0.25159999999999999</v>
      </c>
      <c r="N1235" s="54"/>
    </row>
    <row r="1236" spans="2:14" x14ac:dyDescent="0.2">
      <c r="B1236">
        <v>1227</v>
      </c>
      <c r="C1236" s="52">
        <f t="shared" ca="1" si="60"/>
        <v>0.14346890036969259</v>
      </c>
      <c r="D1236" s="52">
        <f ca="1">S0*EXP((μ-0.5*σ*σ)*T+σ*SQRT(T)*$C1236)</f>
        <v>0.6698840442779318</v>
      </c>
      <c r="E1236" s="52">
        <f t="shared" ca="1" si="58"/>
        <v>0</v>
      </c>
      <c r="F1236" s="17">
        <f t="shared" ca="1" si="59"/>
        <v>0</v>
      </c>
      <c r="H1236" s="17">
        <v>1227</v>
      </c>
      <c r="I1236" s="45">
        <v>0.6704270309838416</v>
      </c>
      <c r="J1236" s="45">
        <v>1.8507221665251761E-2</v>
      </c>
      <c r="K1236" s="45">
        <v>0.24579999999999999</v>
      </c>
      <c r="N1236" s="54"/>
    </row>
    <row r="1237" spans="2:14" x14ac:dyDescent="0.2">
      <c r="B1237">
        <v>1228</v>
      </c>
      <c r="C1237" s="52">
        <f t="shared" ca="1" si="60"/>
        <v>-0.15897505053028613</v>
      </c>
      <c r="D1237" s="52">
        <f ca="1">S0*EXP((μ-0.5*σ*σ)*T+σ*SQRT(T)*$C1237)</f>
        <v>0.61615545134420302</v>
      </c>
      <c r="E1237" s="52">
        <f t="shared" ca="1" si="58"/>
        <v>0</v>
      </c>
      <c r="F1237" s="17">
        <f t="shared" ca="1" si="59"/>
        <v>0</v>
      </c>
      <c r="H1237" s="17">
        <v>1228</v>
      </c>
      <c r="I1237" s="45">
        <v>0.67190558336424955</v>
      </c>
      <c r="J1237" s="45">
        <v>1.9736436924797405E-2</v>
      </c>
      <c r="K1237" s="45">
        <v>0.249</v>
      </c>
      <c r="N1237" s="54"/>
    </row>
    <row r="1238" spans="2:14" x14ac:dyDescent="0.2">
      <c r="B1238">
        <v>1229</v>
      </c>
      <c r="C1238" s="52">
        <f t="shared" ca="1" si="60"/>
        <v>-0.17806934917354147</v>
      </c>
      <c r="D1238" s="52">
        <f ca="1">S0*EXP((μ-0.5*σ*σ)*T+σ*SQRT(T)*$C1238)</f>
        <v>0.61291177534751684</v>
      </c>
      <c r="E1238" s="52">
        <f t="shared" ca="1" si="58"/>
        <v>0</v>
      </c>
      <c r="F1238" s="17">
        <f t="shared" ca="1" si="59"/>
        <v>0</v>
      </c>
      <c r="H1238" s="17">
        <v>1229</v>
      </c>
      <c r="I1238" s="45">
        <v>0.67123496340692368</v>
      </c>
      <c r="J1238" s="45">
        <v>1.918855314370084E-2</v>
      </c>
      <c r="K1238" s="45">
        <v>0.24160000000000001</v>
      </c>
      <c r="N1238" s="54"/>
    </row>
    <row r="1239" spans="2:14" x14ac:dyDescent="0.2">
      <c r="B1239">
        <v>1230</v>
      </c>
      <c r="C1239" s="52">
        <f t="shared" ca="1" si="60"/>
        <v>0.4897888427556441</v>
      </c>
      <c r="D1239" s="52">
        <f ca="1">S0*EXP((μ-0.5*σ*σ)*T+σ*SQRT(T)*$C1239)</f>
        <v>0.7371848841241313</v>
      </c>
      <c r="E1239" s="52">
        <f t="shared" ca="1" si="58"/>
        <v>0</v>
      </c>
      <c r="F1239" s="17">
        <f t="shared" ca="1" si="59"/>
        <v>0</v>
      </c>
      <c r="H1239" s="17">
        <v>1230</v>
      </c>
      <c r="I1239" s="45">
        <v>0.67171276452075424</v>
      </c>
      <c r="J1239" s="45">
        <v>1.9551088798460698E-2</v>
      </c>
      <c r="K1239" s="45">
        <v>0.2482</v>
      </c>
      <c r="N1239" s="54"/>
    </row>
    <row r="1240" spans="2:14" x14ac:dyDescent="0.2">
      <c r="B1240">
        <v>1231</v>
      </c>
      <c r="C1240" s="52">
        <f t="shared" ca="1" si="60"/>
        <v>1.2273098645345224</v>
      </c>
      <c r="D1240" s="52">
        <f ca="1">S0*EXP((μ-0.5*σ*σ)*T+σ*SQRT(T)*$C1240)</f>
        <v>0.90389527783995294</v>
      </c>
      <c r="E1240" s="52">
        <f t="shared" ca="1" si="58"/>
        <v>0</v>
      </c>
      <c r="F1240" s="17">
        <f t="shared" ca="1" si="59"/>
        <v>0</v>
      </c>
      <c r="H1240" s="17">
        <v>1231</v>
      </c>
      <c r="I1240" s="45">
        <v>0.6719970703344319</v>
      </c>
      <c r="J1240" s="45">
        <v>1.9816598051469628E-2</v>
      </c>
      <c r="K1240" s="45">
        <v>0.248</v>
      </c>
      <c r="N1240" s="54"/>
    </row>
    <row r="1241" spans="2:14" x14ac:dyDescent="0.2">
      <c r="B1241">
        <v>1232</v>
      </c>
      <c r="C1241" s="52">
        <f t="shared" ca="1" si="60"/>
        <v>-1.9871970268301791</v>
      </c>
      <c r="D1241" s="52">
        <f ca="1">S0*EXP((μ-0.5*σ*σ)*T+σ*SQRT(T)*$C1241)</f>
        <v>0.37171197459638522</v>
      </c>
      <c r="E1241" s="52">
        <f t="shared" ca="1" si="58"/>
        <v>0.16268802540361477</v>
      </c>
      <c r="F1241" s="17">
        <f t="shared" ca="1" si="59"/>
        <v>1</v>
      </c>
      <c r="H1241" s="17">
        <v>1232</v>
      </c>
      <c r="I1241" s="45">
        <v>0.67023176169846232</v>
      </c>
      <c r="J1241" s="45">
        <v>1.8408062162416548E-2</v>
      </c>
      <c r="K1241" s="45">
        <v>0.2336</v>
      </c>
      <c r="N1241" s="54"/>
    </row>
    <row r="1242" spans="2:14" x14ac:dyDescent="0.2">
      <c r="B1242">
        <v>1233</v>
      </c>
      <c r="C1242" s="52">
        <f t="shared" ca="1" si="60"/>
        <v>0.80405243225310774</v>
      </c>
      <c r="D1242" s="52">
        <f ca="1">S0*EXP((μ-0.5*σ*σ)*T+σ*SQRT(T)*$C1242)</f>
        <v>0.80409015415950347</v>
      </c>
      <c r="E1242" s="52">
        <f t="shared" ca="1" si="58"/>
        <v>0</v>
      </c>
      <c r="F1242" s="17">
        <f t="shared" ca="1" si="59"/>
        <v>0</v>
      </c>
      <c r="H1242" s="17">
        <v>1233</v>
      </c>
      <c r="I1242" s="45">
        <v>0.67089834475583243</v>
      </c>
      <c r="J1242" s="45">
        <v>1.9069612088811302E-2</v>
      </c>
      <c r="K1242" s="45">
        <v>0.249</v>
      </c>
      <c r="N1242" s="54"/>
    </row>
    <row r="1243" spans="2:14" x14ac:dyDescent="0.2">
      <c r="B1243">
        <v>1234</v>
      </c>
      <c r="C1243" s="52">
        <f t="shared" ca="1" si="60"/>
        <v>-1.4188539665856792</v>
      </c>
      <c r="D1243" s="52">
        <f ca="1">S0*EXP((μ-0.5*σ*σ)*T+σ*SQRT(T)*$C1243)</f>
        <v>0.43494856944199733</v>
      </c>
      <c r="E1243" s="52">
        <f t="shared" ca="1" si="58"/>
        <v>9.9451430558002651E-2</v>
      </c>
      <c r="F1243" s="17">
        <f t="shared" ca="1" si="59"/>
        <v>1</v>
      </c>
      <c r="H1243" s="17">
        <v>1234</v>
      </c>
      <c r="I1243" s="45">
        <v>0.67185130091551437</v>
      </c>
      <c r="J1243" s="45">
        <v>1.9643287025513659E-2</v>
      </c>
      <c r="K1243" s="45">
        <v>0.2492</v>
      </c>
      <c r="N1243" s="54"/>
    </row>
    <row r="1244" spans="2:14" x14ac:dyDescent="0.2">
      <c r="B1244">
        <v>1235</v>
      </c>
      <c r="C1244" s="52">
        <f t="shared" ca="1" si="60"/>
        <v>1.5245765237185593</v>
      </c>
      <c r="D1244" s="52">
        <f ca="1">S0*EXP((μ-0.5*σ*σ)*T+σ*SQRT(T)*$C1244)</f>
        <v>0.98130928020010666</v>
      </c>
      <c r="E1244" s="52">
        <f t="shared" ca="1" si="58"/>
        <v>0</v>
      </c>
      <c r="F1244" s="17">
        <f t="shared" ca="1" si="59"/>
        <v>0</v>
      </c>
      <c r="H1244" s="17">
        <v>1235</v>
      </c>
      <c r="I1244" s="45">
        <v>0.67048547174905049</v>
      </c>
      <c r="J1244" s="45">
        <v>1.8752257016596975E-2</v>
      </c>
      <c r="K1244" s="45">
        <v>0.24440000000000001</v>
      </c>
      <c r="N1244" s="54"/>
    </row>
    <row r="1245" spans="2:14" x14ac:dyDescent="0.2">
      <c r="B1245">
        <v>1236</v>
      </c>
      <c r="C1245" s="52">
        <f t="shared" ca="1" si="60"/>
        <v>0.15373997812923687</v>
      </c>
      <c r="D1245" s="52">
        <f ca="1">S0*EXP((μ-0.5*σ*σ)*T+σ*SQRT(T)*$C1245)</f>
        <v>0.67178872179750115</v>
      </c>
      <c r="E1245" s="52">
        <f t="shared" ca="1" si="58"/>
        <v>0</v>
      </c>
      <c r="F1245" s="17">
        <f t="shared" ca="1" si="59"/>
        <v>0</v>
      </c>
      <c r="H1245" s="17">
        <v>1236</v>
      </c>
      <c r="I1245" s="45">
        <v>0.67013769282318836</v>
      </c>
      <c r="J1245" s="45">
        <v>1.7997119608030521E-2</v>
      </c>
      <c r="K1245" s="45">
        <v>0.24</v>
      </c>
      <c r="N1245" s="54"/>
    </row>
    <row r="1246" spans="2:14" x14ac:dyDescent="0.2">
      <c r="B1246">
        <v>1237</v>
      </c>
      <c r="C1246" s="52">
        <f t="shared" ca="1" si="60"/>
        <v>-1.4794304678928492</v>
      </c>
      <c r="D1246" s="52">
        <f ca="1">S0*EXP((μ-0.5*σ*σ)*T+σ*SQRT(T)*$C1246)</f>
        <v>0.42772586089796177</v>
      </c>
      <c r="E1246" s="52">
        <f t="shared" ca="1" si="58"/>
        <v>0.10667413910203821</v>
      </c>
      <c r="F1246" s="17">
        <f t="shared" ca="1" si="59"/>
        <v>1</v>
      </c>
      <c r="H1246" s="17">
        <v>1237</v>
      </c>
      <c r="I1246" s="45">
        <v>0.67069260741569159</v>
      </c>
      <c r="J1246" s="45">
        <v>1.8953386831762644E-2</v>
      </c>
      <c r="K1246" s="45">
        <v>0.24759999999999999</v>
      </c>
      <c r="N1246" s="54"/>
    </row>
    <row r="1247" spans="2:14" x14ac:dyDescent="0.2">
      <c r="B1247">
        <v>1238</v>
      </c>
      <c r="C1247" s="52">
        <f t="shared" ca="1" si="60"/>
        <v>-0.90330325219399343</v>
      </c>
      <c r="D1247" s="52">
        <f ca="1">S0*EXP((μ-0.5*σ*σ)*T+σ*SQRT(T)*$C1247)</f>
        <v>0.50156979614844077</v>
      </c>
      <c r="E1247" s="52">
        <f t="shared" ca="1" si="58"/>
        <v>3.2830203851559214E-2</v>
      </c>
      <c r="F1247" s="17">
        <f t="shared" ca="1" si="59"/>
        <v>1</v>
      </c>
      <c r="H1247" s="17">
        <v>1238</v>
      </c>
      <c r="I1247" s="45">
        <v>0.67092649378030267</v>
      </c>
      <c r="J1247" s="45">
        <v>1.9097990965602229E-2</v>
      </c>
      <c r="K1247" s="45">
        <v>0.24199999999999999</v>
      </c>
      <c r="N1247" s="54"/>
    </row>
    <row r="1248" spans="2:14" x14ac:dyDescent="0.2">
      <c r="B1248">
        <v>1239</v>
      </c>
      <c r="C1248" s="52">
        <f t="shared" ca="1" si="60"/>
        <v>2.6242192093974817</v>
      </c>
      <c r="D1248" s="52">
        <f ca="1">S0*EXP((μ-0.5*σ*σ)*T+σ*SQRT(T)*$C1248)</f>
        <v>1.3299075017247652</v>
      </c>
      <c r="E1248" s="52">
        <f t="shared" ca="1" si="58"/>
        <v>0</v>
      </c>
      <c r="F1248" s="17">
        <f t="shared" ca="1" si="59"/>
        <v>0</v>
      </c>
      <c r="H1248" s="17">
        <v>1239</v>
      </c>
      <c r="I1248" s="45">
        <v>0.67343838385392152</v>
      </c>
      <c r="J1248" s="45">
        <v>2.0770436860998404E-2</v>
      </c>
      <c r="K1248" s="45">
        <v>0.2576</v>
      </c>
      <c r="N1248" s="54"/>
    </row>
    <row r="1249" spans="2:14" x14ac:dyDescent="0.2">
      <c r="B1249">
        <v>1240</v>
      </c>
      <c r="C1249" s="52">
        <f t="shared" ca="1" si="60"/>
        <v>0.96342649395524693</v>
      </c>
      <c r="D1249" s="52">
        <f ca="1">S0*EXP((μ-0.5*σ*σ)*T+σ*SQRT(T)*$C1249)</f>
        <v>0.84030722357035692</v>
      </c>
      <c r="E1249" s="52">
        <f t="shared" ca="1" si="58"/>
        <v>0</v>
      </c>
      <c r="F1249" s="17">
        <f t="shared" ca="1" si="59"/>
        <v>0</v>
      </c>
      <c r="H1249" s="17">
        <v>1240</v>
      </c>
      <c r="I1249" s="45">
        <v>0.67160754420159963</v>
      </c>
      <c r="J1249" s="45">
        <v>1.93390268223207E-2</v>
      </c>
      <c r="K1249" s="45">
        <v>0.25059999999999999</v>
      </c>
      <c r="N1249" s="54"/>
    </row>
    <row r="1250" spans="2:14" x14ac:dyDescent="0.2">
      <c r="B1250">
        <v>1241</v>
      </c>
      <c r="C1250" s="52">
        <f t="shared" ca="1" si="60"/>
        <v>1.5536203495726762E-2</v>
      </c>
      <c r="D1250" s="52">
        <f ca="1">S0*EXP((μ-0.5*σ*σ)*T+σ*SQRT(T)*$C1250)</f>
        <v>0.6466077637609543</v>
      </c>
      <c r="E1250" s="52">
        <f t="shared" ca="1" si="58"/>
        <v>0</v>
      </c>
      <c r="F1250" s="17">
        <f t="shared" ca="1" si="59"/>
        <v>0</v>
      </c>
      <c r="H1250" s="17">
        <v>1241</v>
      </c>
      <c r="I1250" s="45">
        <v>0.67106197349552132</v>
      </c>
      <c r="J1250" s="45">
        <v>1.9040071895510418E-2</v>
      </c>
      <c r="K1250" s="45">
        <v>0.25219999999999998</v>
      </c>
      <c r="N1250" s="54"/>
    </row>
    <row r="1251" spans="2:14" x14ac:dyDescent="0.2">
      <c r="B1251">
        <v>1242</v>
      </c>
      <c r="C1251" s="52">
        <f t="shared" ca="1" si="60"/>
        <v>0.36122492126217443</v>
      </c>
      <c r="D1251" s="52">
        <f ca="1">S0*EXP((μ-0.5*σ*σ)*T+σ*SQRT(T)*$C1251)</f>
        <v>0.71144596769080493</v>
      </c>
      <c r="E1251" s="52">
        <f t="shared" ca="1" si="58"/>
        <v>0</v>
      </c>
      <c r="F1251" s="17">
        <f t="shared" ca="1" si="59"/>
        <v>0</v>
      </c>
      <c r="H1251" s="17">
        <v>1242</v>
      </c>
      <c r="I1251" s="45">
        <v>0.67090499736049936</v>
      </c>
      <c r="J1251" s="45">
        <v>1.8877756033288191E-2</v>
      </c>
      <c r="K1251" s="45">
        <v>0.24060000000000001</v>
      </c>
      <c r="N1251" s="54"/>
    </row>
    <row r="1252" spans="2:14" x14ac:dyDescent="0.2">
      <c r="B1252">
        <v>1243</v>
      </c>
      <c r="C1252" s="52">
        <f t="shared" ca="1" si="60"/>
        <v>-1.0302930896721079</v>
      </c>
      <c r="D1252" s="52">
        <f ca="1">S0*EXP((μ-0.5*σ*σ)*T+σ*SQRT(T)*$C1252)</f>
        <v>0.48426808722232562</v>
      </c>
      <c r="E1252" s="52">
        <f t="shared" ca="1" si="58"/>
        <v>5.013191277767437E-2</v>
      </c>
      <c r="F1252" s="17">
        <f t="shared" ca="1" si="59"/>
        <v>1</v>
      </c>
      <c r="H1252" s="17">
        <v>1243</v>
      </c>
      <c r="I1252" s="45">
        <v>0.67072429852019011</v>
      </c>
      <c r="J1252" s="45">
        <v>1.8752878341660211E-2</v>
      </c>
      <c r="K1252" s="45">
        <v>0.24679999999999999</v>
      </c>
      <c r="N1252" s="54"/>
    </row>
    <row r="1253" spans="2:14" x14ac:dyDescent="0.2">
      <c r="B1253">
        <v>1244</v>
      </c>
      <c r="C1253" s="52">
        <f t="shared" ca="1" si="60"/>
        <v>-1.1658847894601372</v>
      </c>
      <c r="D1253" s="52">
        <f ca="1">S0*EXP((μ-0.5*σ*σ)*T+σ*SQRT(T)*$C1253)</f>
        <v>0.46645273567620371</v>
      </c>
      <c r="E1253" s="52">
        <f t="shared" ca="1" si="58"/>
        <v>6.7947264323796275E-2</v>
      </c>
      <c r="F1253" s="17">
        <f t="shared" ca="1" si="59"/>
        <v>1</v>
      </c>
      <c r="H1253" s="17">
        <v>1244</v>
      </c>
      <c r="I1253" s="45">
        <v>0.67078691420655856</v>
      </c>
      <c r="J1253" s="45">
        <v>1.9036428306678128E-2</v>
      </c>
      <c r="K1253" s="45">
        <v>0.24759999999999999</v>
      </c>
      <c r="N1253" s="54"/>
    </row>
    <row r="1254" spans="2:14" x14ac:dyDescent="0.2">
      <c r="B1254">
        <v>1245</v>
      </c>
      <c r="C1254" s="52">
        <f t="shared" ca="1" si="60"/>
        <v>-1.3282566274889323</v>
      </c>
      <c r="D1254" s="52">
        <f ca="1">S0*EXP((μ-0.5*σ*σ)*T+σ*SQRT(T)*$C1254)</f>
        <v>0.44597898989373763</v>
      </c>
      <c r="E1254" s="52">
        <f t="shared" ca="1" si="58"/>
        <v>8.8421010106262354E-2</v>
      </c>
      <c r="F1254" s="17">
        <f t="shared" ca="1" si="59"/>
        <v>1</v>
      </c>
      <c r="H1254" s="17">
        <v>1245</v>
      </c>
      <c r="I1254" s="45">
        <v>0.67125261270579495</v>
      </c>
      <c r="J1254" s="45">
        <v>1.9220095191668132E-2</v>
      </c>
      <c r="K1254" s="45">
        <v>0.24660000000000001</v>
      </c>
      <c r="N1254" s="54"/>
    </row>
    <row r="1255" spans="2:14" x14ac:dyDescent="0.2">
      <c r="B1255">
        <v>1246</v>
      </c>
      <c r="C1255" s="52">
        <f t="shared" ca="1" si="60"/>
        <v>-0.66080883249808198</v>
      </c>
      <c r="D1255" s="52">
        <f ca="1">S0*EXP((μ-0.5*σ*σ)*T+σ*SQRT(T)*$C1255)</f>
        <v>0.53634419740709804</v>
      </c>
      <c r="E1255" s="52">
        <f t="shared" ca="1" si="58"/>
        <v>0</v>
      </c>
      <c r="F1255" s="17">
        <f t="shared" ca="1" si="59"/>
        <v>0</v>
      </c>
      <c r="H1255" s="17">
        <v>1246</v>
      </c>
      <c r="I1255" s="45">
        <v>0.6710981865676241</v>
      </c>
      <c r="J1255" s="45">
        <v>1.9064201427655962E-2</v>
      </c>
      <c r="K1255" s="45">
        <v>0.24179999999999999</v>
      </c>
      <c r="N1255" s="54"/>
    </row>
    <row r="1256" spans="2:14" x14ac:dyDescent="0.2">
      <c r="B1256">
        <v>1247</v>
      </c>
      <c r="C1256" s="52">
        <f t="shared" ca="1" si="60"/>
        <v>-0.55621279435829996</v>
      </c>
      <c r="D1256" s="52">
        <f ca="1">S0*EXP((μ-0.5*σ*σ)*T+σ*SQRT(T)*$C1256)</f>
        <v>0.55207828672014103</v>
      </c>
      <c r="E1256" s="52">
        <f t="shared" ca="1" si="58"/>
        <v>0</v>
      </c>
      <c r="F1256" s="17">
        <f t="shared" ca="1" si="59"/>
        <v>0</v>
      </c>
      <c r="H1256" s="17">
        <v>1247</v>
      </c>
      <c r="I1256" s="45">
        <v>0.67081198462141634</v>
      </c>
      <c r="J1256" s="45">
        <v>1.881076804738285E-2</v>
      </c>
      <c r="K1256" s="45">
        <v>0.24260000000000001</v>
      </c>
      <c r="N1256" s="54"/>
    </row>
    <row r="1257" spans="2:14" x14ac:dyDescent="0.2">
      <c r="B1257">
        <v>1248</v>
      </c>
      <c r="C1257" s="52">
        <f t="shared" ca="1" si="60"/>
        <v>1.5385893668794084</v>
      </c>
      <c r="D1257" s="52">
        <f ca="1">S0*EXP((μ-0.5*σ*σ)*T+σ*SQRT(T)*$C1257)</f>
        <v>0.98511785687473663</v>
      </c>
      <c r="E1257" s="52">
        <f t="shared" ca="1" si="58"/>
        <v>0</v>
      </c>
      <c r="F1257" s="17">
        <f t="shared" ca="1" si="59"/>
        <v>0</v>
      </c>
      <c r="H1257" s="17">
        <v>1248</v>
      </c>
      <c r="I1257" s="45">
        <v>0.67039453521748271</v>
      </c>
      <c r="J1257" s="45">
        <v>1.853442319412904E-2</v>
      </c>
      <c r="K1257" s="45">
        <v>0.24279999999999999</v>
      </c>
      <c r="N1257" s="54"/>
    </row>
    <row r="1258" spans="2:14" x14ac:dyDescent="0.2">
      <c r="B1258">
        <v>1249</v>
      </c>
      <c r="C1258" s="52">
        <f t="shared" ca="1" si="60"/>
        <v>1.200884003690591E-2</v>
      </c>
      <c r="D1258" s="52">
        <f ca="1">S0*EXP((μ-0.5*σ*σ)*T+σ*SQRT(T)*$C1258)</f>
        <v>0.64597757808132794</v>
      </c>
      <c r="E1258" s="52">
        <f t="shared" ca="1" si="58"/>
        <v>0</v>
      </c>
      <c r="F1258" s="17">
        <f t="shared" ca="1" si="59"/>
        <v>0</v>
      </c>
      <c r="H1258" s="17">
        <v>1249</v>
      </c>
      <c r="I1258" s="45">
        <v>0.67135366224044768</v>
      </c>
      <c r="J1258" s="45">
        <v>1.9260621019619218E-2</v>
      </c>
      <c r="K1258" s="45">
        <v>0.253</v>
      </c>
      <c r="N1258" s="54"/>
    </row>
    <row r="1259" spans="2:14" x14ac:dyDescent="0.2">
      <c r="B1259">
        <v>1250</v>
      </c>
      <c r="C1259" s="52">
        <f t="shared" ca="1" si="60"/>
        <v>-0.82775309673184305</v>
      </c>
      <c r="D1259" s="52">
        <f ca="1">S0*EXP((μ-0.5*σ*σ)*T+σ*SQRT(T)*$C1259)</f>
        <v>0.51215498884684607</v>
      </c>
      <c r="E1259" s="52">
        <f t="shared" ca="1" si="58"/>
        <v>2.2245011153153915E-2</v>
      </c>
      <c r="F1259" s="17">
        <f t="shared" ca="1" si="59"/>
        <v>1</v>
      </c>
      <c r="H1259" s="17">
        <v>1250</v>
      </c>
      <c r="I1259" s="45">
        <v>0.67049026756458729</v>
      </c>
      <c r="J1259" s="45">
        <v>1.8722191340337913E-2</v>
      </c>
      <c r="K1259" s="45">
        <v>0.24759999999999999</v>
      </c>
      <c r="N1259" s="54"/>
    </row>
    <row r="1260" spans="2:14" x14ac:dyDescent="0.2">
      <c r="B1260">
        <v>1251</v>
      </c>
      <c r="C1260" s="52">
        <f t="shared" ca="1" si="60"/>
        <v>-0.15529895790594642</v>
      </c>
      <c r="D1260" s="52">
        <f ca="1">S0*EXP((μ-0.5*σ*σ)*T+σ*SQRT(T)*$C1260)</f>
        <v>0.61678190153297929</v>
      </c>
      <c r="E1260" s="52">
        <f t="shared" ca="1" si="58"/>
        <v>0</v>
      </c>
      <c r="F1260" s="17">
        <f t="shared" ca="1" si="59"/>
        <v>0</v>
      </c>
      <c r="H1260" s="17">
        <v>1251</v>
      </c>
      <c r="I1260" s="45">
        <v>0.67000304689936552</v>
      </c>
      <c r="J1260" s="45">
        <v>1.8411212805474381E-2</v>
      </c>
      <c r="K1260" s="45">
        <v>0.24260000000000001</v>
      </c>
      <c r="N1260" s="54"/>
    </row>
    <row r="1261" spans="2:14" x14ac:dyDescent="0.2">
      <c r="B1261">
        <v>1252</v>
      </c>
      <c r="C1261" s="52">
        <f t="shared" ca="1" si="60"/>
        <v>0.50984606802939925</v>
      </c>
      <c r="D1261" s="52">
        <f ca="1">S0*EXP((μ-0.5*σ*σ)*T+σ*SQRT(T)*$C1261)</f>
        <v>0.74128353492051535</v>
      </c>
      <c r="E1261" s="52">
        <f t="shared" ca="1" si="58"/>
        <v>0</v>
      </c>
      <c r="F1261" s="17">
        <f t="shared" ca="1" si="59"/>
        <v>0</v>
      </c>
      <c r="H1261" s="17">
        <v>1252</v>
      </c>
      <c r="I1261" s="45">
        <v>0.670657957611418</v>
      </c>
      <c r="J1261" s="45">
        <v>1.8854815447483662E-2</v>
      </c>
      <c r="K1261" s="45">
        <v>0.2424</v>
      </c>
      <c r="N1261" s="54"/>
    </row>
    <row r="1262" spans="2:14" x14ac:dyDescent="0.2">
      <c r="B1262">
        <v>1253</v>
      </c>
      <c r="C1262" s="52">
        <f t="shared" ca="1" si="60"/>
        <v>1.6321347852273953</v>
      </c>
      <c r="D1262" s="52">
        <f ca="1">S0*EXP((μ-0.5*σ*σ)*T+σ*SQRT(T)*$C1262)</f>
        <v>1.0109242402348111</v>
      </c>
      <c r="E1262" s="52">
        <f t="shared" ca="1" si="58"/>
        <v>0</v>
      </c>
      <c r="F1262" s="17">
        <f t="shared" ca="1" si="59"/>
        <v>0</v>
      </c>
      <c r="H1262" s="17">
        <v>1253</v>
      </c>
      <c r="I1262" s="45">
        <v>0.67107895157925046</v>
      </c>
      <c r="J1262" s="45">
        <v>1.9129658086407091E-2</v>
      </c>
      <c r="K1262" s="45">
        <v>0.24959999999999999</v>
      </c>
      <c r="N1262" s="54"/>
    </row>
    <row r="1263" spans="2:14" x14ac:dyDescent="0.2">
      <c r="B1263">
        <v>1254</v>
      </c>
      <c r="C1263" s="52">
        <f t="shared" ca="1" si="60"/>
        <v>1.5733698362404607</v>
      </c>
      <c r="D1263" s="52">
        <f ca="1">S0*EXP((μ-0.5*σ*σ)*T+σ*SQRT(T)*$C1263)</f>
        <v>0.99463490304810198</v>
      </c>
      <c r="E1263" s="52">
        <f t="shared" ca="1" si="58"/>
        <v>0</v>
      </c>
      <c r="F1263" s="17">
        <f t="shared" ca="1" si="59"/>
        <v>0</v>
      </c>
      <c r="H1263" s="17">
        <v>1254</v>
      </c>
      <c r="I1263" s="45">
        <v>0.67150898671608261</v>
      </c>
      <c r="J1263" s="45">
        <v>1.9321498678942142E-2</v>
      </c>
      <c r="K1263" s="45">
        <v>0.24160000000000001</v>
      </c>
      <c r="N1263" s="54"/>
    </row>
    <row r="1264" spans="2:14" x14ac:dyDescent="0.2">
      <c r="B1264">
        <v>1255</v>
      </c>
      <c r="C1264" s="52">
        <f t="shared" ca="1" si="60"/>
        <v>-1.364099076262572</v>
      </c>
      <c r="D1264" s="52">
        <f ca="1">S0*EXP((μ-0.5*σ*σ)*T+σ*SQRT(T)*$C1264)</f>
        <v>0.44158204044875288</v>
      </c>
      <c r="E1264" s="52">
        <f t="shared" ca="1" si="58"/>
        <v>9.2817959551247109E-2</v>
      </c>
      <c r="F1264" s="17">
        <f t="shared" ca="1" si="59"/>
        <v>1</v>
      </c>
      <c r="H1264" s="17">
        <v>1255</v>
      </c>
      <c r="I1264" s="45">
        <v>0.67122881450727978</v>
      </c>
      <c r="J1264" s="45">
        <v>1.9066703835666346E-2</v>
      </c>
      <c r="K1264" s="45">
        <v>0.2472</v>
      </c>
      <c r="N1264" s="54"/>
    </row>
    <row r="1265" spans="2:14" x14ac:dyDescent="0.2">
      <c r="B1265">
        <v>1256</v>
      </c>
      <c r="C1265" s="52">
        <f t="shared" ca="1" si="60"/>
        <v>-0.12035306290162816</v>
      </c>
      <c r="D1265" s="52">
        <f ca="1">S0*EXP((μ-0.5*σ*σ)*T+σ*SQRT(T)*$C1265)</f>
        <v>0.62276899835613908</v>
      </c>
      <c r="E1265" s="52">
        <f t="shared" ca="1" si="58"/>
        <v>0</v>
      </c>
      <c r="F1265" s="17">
        <f t="shared" ca="1" si="59"/>
        <v>0</v>
      </c>
      <c r="H1265" s="17">
        <v>1256</v>
      </c>
      <c r="I1265" s="45">
        <v>0.67128138691592532</v>
      </c>
      <c r="J1265" s="45">
        <v>1.926989653000476E-2</v>
      </c>
      <c r="K1265" s="45">
        <v>0.24859999999999999</v>
      </c>
      <c r="N1265" s="54"/>
    </row>
    <row r="1266" spans="2:14" x14ac:dyDescent="0.2">
      <c r="B1266">
        <v>1257</v>
      </c>
      <c r="C1266" s="52">
        <f t="shared" ca="1" si="60"/>
        <v>1.2227134381579252</v>
      </c>
      <c r="D1266" s="52">
        <f ca="1">S0*EXP((μ-0.5*σ*σ)*T+σ*SQRT(T)*$C1266)</f>
        <v>0.90274751629692263</v>
      </c>
      <c r="E1266" s="52">
        <f t="shared" ca="1" si="58"/>
        <v>0</v>
      </c>
      <c r="F1266" s="17">
        <f t="shared" ca="1" si="59"/>
        <v>0</v>
      </c>
      <c r="H1266" s="17">
        <v>1257</v>
      </c>
      <c r="I1266" s="45">
        <v>0.67019192556233931</v>
      </c>
      <c r="J1266" s="45">
        <v>1.8445326264144152E-2</v>
      </c>
      <c r="K1266" s="45">
        <v>0.24579999999999999</v>
      </c>
      <c r="N1266" s="54"/>
    </row>
    <row r="1267" spans="2:14" x14ac:dyDescent="0.2">
      <c r="B1267">
        <v>1258</v>
      </c>
      <c r="C1267" s="52">
        <f t="shared" ca="1" si="60"/>
        <v>-0.85906949378747988</v>
      </c>
      <c r="D1267" s="52">
        <f ca="1">S0*EXP((μ-0.5*σ*σ)*T+σ*SQRT(T)*$C1267)</f>
        <v>0.50774046506548864</v>
      </c>
      <c r="E1267" s="52">
        <f t="shared" ca="1" si="58"/>
        <v>2.6659534934511342E-2</v>
      </c>
      <c r="F1267" s="17">
        <f t="shared" ca="1" si="59"/>
        <v>1</v>
      </c>
      <c r="H1267" s="17">
        <v>1258</v>
      </c>
      <c r="I1267" s="45">
        <v>0.67119962399272604</v>
      </c>
      <c r="J1267" s="45">
        <v>1.9032224205439836E-2</v>
      </c>
      <c r="K1267" s="45">
        <v>0.245</v>
      </c>
      <c r="N1267" s="54"/>
    </row>
    <row r="1268" spans="2:14" x14ac:dyDescent="0.2">
      <c r="B1268">
        <v>1259</v>
      </c>
      <c r="C1268" s="52">
        <f t="shared" ca="1" si="60"/>
        <v>1.7532341654962267</v>
      </c>
      <c r="D1268" s="52">
        <f ca="1">S0*EXP((μ-0.5*σ*σ)*T+σ*SQRT(T)*$C1268)</f>
        <v>1.0453385536849003</v>
      </c>
      <c r="E1268" s="52">
        <f t="shared" ca="1" si="58"/>
        <v>0</v>
      </c>
      <c r="F1268" s="17">
        <f t="shared" ca="1" si="59"/>
        <v>0</v>
      </c>
      <c r="H1268" s="17">
        <v>1259</v>
      </c>
      <c r="I1268" s="45">
        <v>0.67093826788466959</v>
      </c>
      <c r="J1268" s="45">
        <v>1.9010362760035943E-2</v>
      </c>
      <c r="K1268" s="45">
        <v>0.25</v>
      </c>
      <c r="N1268" s="54"/>
    </row>
    <row r="1269" spans="2:14" x14ac:dyDescent="0.2">
      <c r="B1269">
        <v>1260</v>
      </c>
      <c r="C1269" s="52">
        <f t="shared" ca="1" si="60"/>
        <v>-0.59367624667207586</v>
      </c>
      <c r="D1269" s="52">
        <f ca="1">S0*EXP((μ-0.5*σ*σ)*T+σ*SQRT(T)*$C1269)</f>
        <v>0.54639040282181051</v>
      </c>
      <c r="E1269" s="52">
        <f t="shared" ca="1" si="58"/>
        <v>0</v>
      </c>
      <c r="F1269" s="17">
        <f t="shared" ca="1" si="59"/>
        <v>0</v>
      </c>
      <c r="H1269" s="17">
        <v>1260</v>
      </c>
      <c r="I1269" s="45">
        <v>0.66956323103235449</v>
      </c>
      <c r="J1269" s="45">
        <v>1.8156939424199766E-2</v>
      </c>
      <c r="K1269" s="45">
        <v>0.245</v>
      </c>
      <c r="N1269" s="54"/>
    </row>
    <row r="1270" spans="2:14" x14ac:dyDescent="0.2">
      <c r="B1270">
        <v>1261</v>
      </c>
      <c r="C1270" s="52">
        <f t="shared" ca="1" si="60"/>
        <v>-1.1833940037189965</v>
      </c>
      <c r="D1270" s="52">
        <f ca="1">S0*EXP((μ-0.5*σ*σ)*T+σ*SQRT(T)*$C1270)</f>
        <v>0.46420050520651096</v>
      </c>
      <c r="E1270" s="52">
        <f t="shared" ca="1" si="58"/>
        <v>7.0199494793489026E-2</v>
      </c>
      <c r="F1270" s="17">
        <f t="shared" ca="1" si="59"/>
        <v>1</v>
      </c>
      <c r="H1270" s="17">
        <v>1261</v>
      </c>
      <c r="I1270" s="45">
        <v>0.67059395310678105</v>
      </c>
      <c r="J1270" s="45">
        <v>1.8745045409763704E-2</v>
      </c>
      <c r="K1270" s="45">
        <v>0.246</v>
      </c>
      <c r="N1270" s="54"/>
    </row>
    <row r="1271" spans="2:14" x14ac:dyDescent="0.2">
      <c r="B1271">
        <v>1262</v>
      </c>
      <c r="C1271" s="52">
        <f t="shared" ca="1" si="60"/>
        <v>-0.70206002096322717</v>
      </c>
      <c r="D1271" s="52">
        <f ca="1">S0*EXP((μ-0.5*σ*σ)*T+σ*SQRT(T)*$C1271)</f>
        <v>0.53026291237028222</v>
      </c>
      <c r="E1271" s="52">
        <f t="shared" ca="1" si="58"/>
        <v>4.1370876297177617E-3</v>
      </c>
      <c r="F1271" s="17">
        <f t="shared" ca="1" si="59"/>
        <v>1</v>
      </c>
      <c r="H1271" s="17">
        <v>1262</v>
      </c>
      <c r="I1271" s="45">
        <v>0.6703403556505495</v>
      </c>
      <c r="J1271" s="45">
        <v>1.8421767988175658E-2</v>
      </c>
      <c r="K1271" s="45">
        <v>0.24740000000000001</v>
      </c>
      <c r="N1271" s="54"/>
    </row>
    <row r="1272" spans="2:14" x14ac:dyDescent="0.2">
      <c r="B1272">
        <v>1263</v>
      </c>
      <c r="C1272" s="52">
        <f t="shared" ca="1" si="60"/>
        <v>0.29651773634533152</v>
      </c>
      <c r="D1272" s="52">
        <f ca="1">S0*EXP((μ-0.5*σ*σ)*T+σ*SQRT(T)*$C1272)</f>
        <v>0.69883335119779222</v>
      </c>
      <c r="E1272" s="52">
        <f t="shared" ca="1" si="58"/>
        <v>0</v>
      </c>
      <c r="F1272" s="17">
        <f t="shared" ca="1" si="59"/>
        <v>0</v>
      </c>
      <c r="H1272" s="17">
        <v>1263</v>
      </c>
      <c r="I1272" s="45">
        <v>0.67129748650361964</v>
      </c>
      <c r="J1272" s="45">
        <v>1.9605024380452318E-2</v>
      </c>
      <c r="K1272" s="45">
        <v>0.25580000000000003</v>
      </c>
      <c r="N1272" s="54"/>
    </row>
    <row r="1273" spans="2:14" x14ac:dyDescent="0.2">
      <c r="B1273">
        <v>1264</v>
      </c>
      <c r="C1273" s="52">
        <f t="shared" ca="1" si="60"/>
        <v>1.365007033206552</v>
      </c>
      <c r="D1273" s="52">
        <f ca="1">S0*EXP((μ-0.5*σ*σ)*T+σ*SQRT(T)*$C1273)</f>
        <v>0.93896432407281971</v>
      </c>
      <c r="E1273" s="52">
        <f t="shared" ca="1" si="58"/>
        <v>0</v>
      </c>
      <c r="F1273" s="17">
        <f t="shared" ca="1" si="59"/>
        <v>0</v>
      </c>
      <c r="H1273" s="17">
        <v>1264</v>
      </c>
      <c r="I1273" s="45">
        <v>0.67081826495512964</v>
      </c>
      <c r="J1273" s="45">
        <v>1.8817487567182972E-2</v>
      </c>
      <c r="K1273" s="45">
        <v>0.24759999999999999</v>
      </c>
      <c r="N1273" s="54"/>
    </row>
    <row r="1274" spans="2:14" x14ac:dyDescent="0.2">
      <c r="B1274">
        <v>1265</v>
      </c>
      <c r="C1274" s="52">
        <f t="shared" ca="1" si="60"/>
        <v>-3.6026398465949516E-2</v>
      </c>
      <c r="D1274" s="52">
        <f ca="1">S0*EXP((μ-0.5*σ*σ)*T+σ*SQRT(T)*$C1274)</f>
        <v>0.63745666142022517</v>
      </c>
      <c r="E1274" s="52">
        <f t="shared" ca="1" si="58"/>
        <v>0</v>
      </c>
      <c r="F1274" s="17">
        <f t="shared" ca="1" si="59"/>
        <v>0</v>
      </c>
      <c r="H1274" s="17">
        <v>1265</v>
      </c>
      <c r="I1274" s="45">
        <v>0.6706839439960659</v>
      </c>
      <c r="J1274" s="45">
        <v>1.895985649251181E-2</v>
      </c>
      <c r="K1274" s="45">
        <v>0.245</v>
      </c>
      <c r="N1274" s="54"/>
    </row>
    <row r="1275" spans="2:14" x14ac:dyDescent="0.2">
      <c r="B1275">
        <v>1266</v>
      </c>
      <c r="C1275" s="52">
        <f t="shared" ca="1" si="60"/>
        <v>0.41036937108801785</v>
      </c>
      <c r="D1275" s="52">
        <f ca="1">S0*EXP((μ-0.5*σ*σ)*T+σ*SQRT(T)*$C1275)</f>
        <v>0.72117699818192904</v>
      </c>
      <c r="E1275" s="52">
        <f t="shared" ca="1" si="58"/>
        <v>0</v>
      </c>
      <c r="F1275" s="17">
        <f t="shared" ca="1" si="59"/>
        <v>0</v>
      </c>
      <c r="H1275" s="17">
        <v>1266</v>
      </c>
      <c r="I1275" s="45">
        <v>0.67070295879463515</v>
      </c>
      <c r="J1275" s="45">
        <v>1.8818207243392105E-2</v>
      </c>
      <c r="K1275" s="45">
        <v>0.2472</v>
      </c>
      <c r="N1275" s="54"/>
    </row>
    <row r="1276" spans="2:14" x14ac:dyDescent="0.2">
      <c r="B1276">
        <v>1267</v>
      </c>
      <c r="C1276" s="52">
        <f t="shared" ca="1" si="60"/>
        <v>-5.908896418298383E-2</v>
      </c>
      <c r="D1276" s="52">
        <f ca="1">S0*EXP((μ-0.5*σ*σ)*T+σ*SQRT(T)*$C1276)</f>
        <v>0.63340564712427205</v>
      </c>
      <c r="E1276" s="52">
        <f t="shared" ca="1" si="58"/>
        <v>0</v>
      </c>
      <c r="F1276" s="17">
        <f t="shared" ca="1" si="59"/>
        <v>0</v>
      </c>
      <c r="H1276" s="17">
        <v>1267</v>
      </c>
      <c r="I1276" s="45">
        <v>0.67188103161567048</v>
      </c>
      <c r="J1276" s="45">
        <v>1.9727330313348265E-2</v>
      </c>
      <c r="K1276" s="45">
        <v>0.25219999999999998</v>
      </c>
      <c r="N1276" s="54"/>
    </row>
    <row r="1277" spans="2:14" x14ac:dyDescent="0.2">
      <c r="B1277">
        <v>1268</v>
      </c>
      <c r="C1277" s="52">
        <f t="shared" ca="1" si="60"/>
        <v>0.11313220869336389</v>
      </c>
      <c r="D1277" s="52">
        <f ca="1">S0*EXP((μ-0.5*σ*σ)*T+σ*SQRT(T)*$C1277)</f>
        <v>0.66428985394298978</v>
      </c>
      <c r="E1277" s="52">
        <f t="shared" ca="1" si="58"/>
        <v>0</v>
      </c>
      <c r="F1277" s="17">
        <f t="shared" ca="1" si="59"/>
        <v>0</v>
      </c>
      <c r="H1277" s="17">
        <v>1268</v>
      </c>
      <c r="I1277" s="45">
        <v>0.67134514184979266</v>
      </c>
      <c r="J1277" s="45">
        <v>1.9392933312295222E-2</v>
      </c>
      <c r="K1277" s="45">
        <v>0.25459999999999999</v>
      </c>
      <c r="N1277" s="54"/>
    </row>
    <row r="1278" spans="2:14" x14ac:dyDescent="0.2">
      <c r="B1278">
        <v>1269</v>
      </c>
      <c r="C1278" s="52">
        <f t="shared" ca="1" si="60"/>
        <v>-3.5348241648038403E-2</v>
      </c>
      <c r="D1278" s="52">
        <f ca="1">S0*EXP((μ-0.5*σ*σ)*T+σ*SQRT(T)*$C1278)</f>
        <v>0.63757617317582027</v>
      </c>
      <c r="E1278" s="52">
        <f t="shared" ca="1" si="58"/>
        <v>0</v>
      </c>
      <c r="F1278" s="17">
        <f t="shared" ca="1" si="59"/>
        <v>0</v>
      </c>
      <c r="H1278" s="17">
        <v>1269</v>
      </c>
      <c r="I1278" s="45">
        <v>0.67131434411611923</v>
      </c>
      <c r="J1278" s="45">
        <v>1.9376386146676205E-2</v>
      </c>
      <c r="K1278" s="45">
        <v>0.24660000000000001</v>
      </c>
      <c r="N1278" s="54"/>
    </row>
    <row r="1279" spans="2:14" x14ac:dyDescent="0.2">
      <c r="B1279">
        <v>1270</v>
      </c>
      <c r="C1279" s="52">
        <f t="shared" ca="1" si="60"/>
        <v>-1.1481473159022226</v>
      </c>
      <c r="D1279" s="52">
        <f ca="1">S0*EXP((μ-0.5*σ*σ)*T+σ*SQRT(T)*$C1279)</f>
        <v>0.46874546973190478</v>
      </c>
      <c r="E1279" s="52">
        <f t="shared" ca="1" si="58"/>
        <v>6.5654530268095201E-2</v>
      </c>
      <c r="F1279" s="17">
        <f t="shared" ca="1" si="59"/>
        <v>1</v>
      </c>
      <c r="H1279" s="17">
        <v>1270</v>
      </c>
      <c r="I1279" s="45">
        <v>0.67142369140754832</v>
      </c>
      <c r="J1279" s="45">
        <v>1.8984506484931895E-2</v>
      </c>
      <c r="K1279" s="45">
        <v>0.24460000000000001</v>
      </c>
      <c r="N1279" s="54"/>
    </row>
    <row r="1280" spans="2:14" x14ac:dyDescent="0.2">
      <c r="B1280">
        <v>1271</v>
      </c>
      <c r="C1280" s="52">
        <f t="shared" ca="1" si="60"/>
        <v>0.1727001896413424</v>
      </c>
      <c r="D1280" s="52">
        <f ca="1">S0*EXP((μ-0.5*σ*σ)*T+σ*SQRT(T)*$C1280)</f>
        <v>0.67531895683924292</v>
      </c>
      <c r="E1280" s="52">
        <f t="shared" ca="1" si="58"/>
        <v>0</v>
      </c>
      <c r="F1280" s="17">
        <f t="shared" ca="1" si="59"/>
        <v>0</v>
      </c>
      <c r="H1280" s="17">
        <v>1271</v>
      </c>
      <c r="I1280" s="45">
        <v>0.67240241872468565</v>
      </c>
      <c r="J1280" s="45">
        <v>2.0230874789777316E-2</v>
      </c>
      <c r="K1280" s="45">
        <v>0.25519999999999998</v>
      </c>
      <c r="N1280" s="54"/>
    </row>
    <row r="1281" spans="2:14" x14ac:dyDescent="0.2">
      <c r="B1281">
        <v>1272</v>
      </c>
      <c r="C1281" s="52">
        <f t="shared" ca="1" si="60"/>
        <v>1.6261014573120389</v>
      </c>
      <c r="D1281" s="52">
        <f ca="1">S0*EXP((μ-0.5*σ*σ)*T+σ*SQRT(T)*$C1281)</f>
        <v>1.00923961790596</v>
      </c>
      <c r="E1281" s="52">
        <f t="shared" ca="1" si="58"/>
        <v>0</v>
      </c>
      <c r="F1281" s="17">
        <f t="shared" ca="1" si="59"/>
        <v>0</v>
      </c>
      <c r="H1281" s="17">
        <v>1272</v>
      </c>
      <c r="I1281" s="45">
        <v>0.67086972622178376</v>
      </c>
      <c r="J1281" s="45">
        <v>1.8994412953670745E-2</v>
      </c>
      <c r="K1281" s="45">
        <v>0.24060000000000001</v>
      </c>
      <c r="N1281" s="54"/>
    </row>
    <row r="1282" spans="2:14" x14ac:dyDescent="0.2">
      <c r="B1282">
        <v>1273</v>
      </c>
      <c r="C1282" s="52">
        <f t="shared" ca="1" si="60"/>
        <v>-0.36695790396352351</v>
      </c>
      <c r="D1282" s="52">
        <f ca="1">S0*EXP((μ-0.5*σ*σ)*T+σ*SQRT(T)*$C1282)</f>
        <v>0.58172979195981822</v>
      </c>
      <c r="E1282" s="52">
        <f t="shared" ca="1" si="58"/>
        <v>0</v>
      </c>
      <c r="F1282" s="17">
        <f t="shared" ca="1" si="59"/>
        <v>0</v>
      </c>
      <c r="H1282" s="17">
        <v>1273</v>
      </c>
      <c r="I1282" s="45">
        <v>0.67112986400659758</v>
      </c>
      <c r="J1282" s="45">
        <v>1.9176719069239588E-2</v>
      </c>
      <c r="K1282" s="45">
        <v>0.2432</v>
      </c>
      <c r="N1282" s="54"/>
    </row>
    <row r="1283" spans="2:14" x14ac:dyDescent="0.2">
      <c r="B1283">
        <v>1274</v>
      </c>
      <c r="C1283" s="52">
        <f t="shared" ca="1" si="60"/>
        <v>-0.33052295442005053</v>
      </c>
      <c r="D1283" s="52">
        <f ca="1">S0*EXP((μ-0.5*σ*σ)*T+σ*SQRT(T)*$C1283)</f>
        <v>0.58761846579819665</v>
      </c>
      <c r="E1283" s="52">
        <f t="shared" ca="1" si="58"/>
        <v>0</v>
      </c>
      <c r="F1283" s="17">
        <f t="shared" ca="1" si="59"/>
        <v>0</v>
      </c>
      <c r="H1283" s="17">
        <v>1274</v>
      </c>
      <c r="I1283" s="45">
        <v>0.67213529400400174</v>
      </c>
      <c r="J1283" s="45">
        <v>1.9890882124063449E-2</v>
      </c>
      <c r="K1283" s="45">
        <v>0.24399999999999999</v>
      </c>
      <c r="N1283" s="54"/>
    </row>
    <row r="1284" spans="2:14" x14ac:dyDescent="0.2">
      <c r="B1284">
        <v>1275</v>
      </c>
      <c r="C1284" s="52">
        <f t="shared" ca="1" si="60"/>
        <v>-1.1674869054594692</v>
      </c>
      <c r="D1284" s="52">
        <f ca="1">S0*EXP((μ-0.5*σ*σ)*T+σ*SQRT(T)*$C1284)</f>
        <v>0.46624620024872676</v>
      </c>
      <c r="E1284" s="52">
        <f t="shared" ca="1" si="58"/>
        <v>6.8153799751273225E-2</v>
      </c>
      <c r="F1284" s="17">
        <f t="shared" ca="1" si="59"/>
        <v>1</v>
      </c>
      <c r="H1284" s="17">
        <v>1275</v>
      </c>
      <c r="I1284" s="45">
        <v>0.67127818857730726</v>
      </c>
      <c r="J1284" s="45">
        <v>1.9341611254039499E-2</v>
      </c>
      <c r="K1284" s="45">
        <v>0.24740000000000001</v>
      </c>
      <c r="N1284" s="54"/>
    </row>
    <row r="1285" spans="2:14" x14ac:dyDescent="0.2">
      <c r="B1285">
        <v>1276</v>
      </c>
      <c r="C1285" s="52">
        <f t="shared" ca="1" si="60"/>
        <v>0.41434671947564755</v>
      </c>
      <c r="D1285" s="52">
        <f ca="1">S0*EXP((μ-0.5*σ*σ)*T+σ*SQRT(T)*$C1285)</f>
        <v>0.72197034555963346</v>
      </c>
      <c r="E1285" s="52">
        <f t="shared" ca="1" si="58"/>
        <v>0</v>
      </c>
      <c r="F1285" s="17">
        <f t="shared" ca="1" si="59"/>
        <v>0</v>
      </c>
      <c r="H1285" s="17">
        <v>1276</v>
      </c>
      <c r="I1285" s="45">
        <v>0.67004657082053287</v>
      </c>
      <c r="J1285" s="45">
        <v>1.8488774917575133E-2</v>
      </c>
      <c r="K1285" s="45">
        <v>0.2462</v>
      </c>
      <c r="N1285" s="54"/>
    </row>
    <row r="1286" spans="2:14" x14ac:dyDescent="0.2">
      <c r="B1286">
        <v>1277</v>
      </c>
      <c r="C1286" s="52">
        <f t="shared" ca="1" si="60"/>
        <v>-0.41056808693479047</v>
      </c>
      <c r="D1286" s="52">
        <f ca="1">S0*EXP((μ-0.5*σ*σ)*T+σ*SQRT(T)*$C1286)</f>
        <v>0.57475898273722614</v>
      </c>
      <c r="E1286" s="52">
        <f t="shared" ca="1" si="58"/>
        <v>0</v>
      </c>
      <c r="F1286" s="17">
        <f t="shared" ca="1" si="59"/>
        <v>0</v>
      </c>
      <c r="H1286" s="17">
        <v>1277</v>
      </c>
      <c r="I1286" s="45">
        <v>0.67069667572190406</v>
      </c>
      <c r="J1286" s="45">
        <v>1.8589185350559558E-2</v>
      </c>
      <c r="K1286" s="45">
        <v>0.2392</v>
      </c>
      <c r="N1286" s="54"/>
    </row>
    <row r="1287" spans="2:14" x14ac:dyDescent="0.2">
      <c r="B1287">
        <v>1278</v>
      </c>
      <c r="C1287" s="52">
        <f t="shared" ca="1" si="60"/>
        <v>-0.86406824409573346</v>
      </c>
      <c r="D1287" s="52">
        <f ca="1">S0*EXP((μ-0.5*σ*σ)*T+σ*SQRT(T)*$C1287)</f>
        <v>0.50703934512495907</v>
      </c>
      <c r="E1287" s="52">
        <f t="shared" ca="1" si="58"/>
        <v>2.7360654875040913E-2</v>
      </c>
      <c r="F1287" s="17">
        <f t="shared" ca="1" si="59"/>
        <v>1</v>
      </c>
      <c r="H1287" s="17">
        <v>1278</v>
      </c>
      <c r="I1287" s="45">
        <v>0.67056630448389765</v>
      </c>
      <c r="J1287" s="45">
        <v>1.8838152721898788E-2</v>
      </c>
      <c r="K1287" s="45">
        <v>0.24340000000000001</v>
      </c>
      <c r="N1287" s="54"/>
    </row>
    <row r="1288" spans="2:14" x14ac:dyDescent="0.2">
      <c r="B1288">
        <v>1279</v>
      </c>
      <c r="C1288" s="52">
        <f t="shared" ca="1" si="60"/>
        <v>-1.5604029784622813</v>
      </c>
      <c r="D1288" s="52">
        <f ca="1">S0*EXP((μ-0.5*σ*σ)*T+σ*SQRT(T)*$C1288)</f>
        <v>0.4182582412783451</v>
      </c>
      <c r="E1288" s="52">
        <f t="shared" ca="1" si="58"/>
        <v>0.11614175872165489</v>
      </c>
      <c r="F1288" s="17">
        <f t="shared" ca="1" si="59"/>
        <v>1</v>
      </c>
      <c r="H1288" s="17">
        <v>1279</v>
      </c>
      <c r="I1288" s="45">
        <v>0.67093293933689846</v>
      </c>
      <c r="J1288" s="45">
        <v>1.9050861304436981E-2</v>
      </c>
      <c r="K1288" s="45">
        <v>0.247</v>
      </c>
      <c r="N1288" s="54"/>
    </row>
    <row r="1289" spans="2:14" x14ac:dyDescent="0.2">
      <c r="B1289">
        <v>1280</v>
      </c>
      <c r="C1289" s="52">
        <f t="shared" ca="1" si="60"/>
        <v>-0.22727384212912094</v>
      </c>
      <c r="D1289" s="52">
        <f ca="1">S0*EXP((μ-0.5*σ*σ)*T+σ*SQRT(T)*$C1289)</f>
        <v>0.60463156023828579</v>
      </c>
      <c r="E1289" s="52">
        <f t="shared" ca="1" si="58"/>
        <v>0</v>
      </c>
      <c r="F1289" s="17">
        <f t="shared" ca="1" si="59"/>
        <v>0</v>
      </c>
      <c r="H1289" s="17">
        <v>1280</v>
      </c>
      <c r="I1289" s="45">
        <v>0.67122771826218863</v>
      </c>
      <c r="J1289" s="45">
        <v>1.9221300644071682E-2</v>
      </c>
      <c r="K1289" s="45">
        <v>0.24660000000000001</v>
      </c>
      <c r="N1289" s="54"/>
    </row>
    <row r="1290" spans="2:14" x14ac:dyDescent="0.2">
      <c r="B1290">
        <v>1281</v>
      </c>
      <c r="C1290" s="52">
        <f t="shared" ca="1" si="60"/>
        <v>-1.6442917531539769</v>
      </c>
      <c r="D1290" s="52">
        <f ca="1">S0*EXP((μ-0.5*σ*σ)*T+σ*SQRT(T)*$C1290)</f>
        <v>0.40867060265078009</v>
      </c>
      <c r="E1290" s="52">
        <f t="shared" ref="E1290:E1353" ca="1" si="61">MAX(0,CP*(D1290-K))</f>
        <v>0.1257293973492199</v>
      </c>
      <c r="F1290" s="17">
        <f t="shared" ref="F1290:F1353" ca="1" si="62">(CP*(D1290-K)&gt;0)*1</f>
        <v>1</v>
      </c>
      <c r="H1290" s="17">
        <v>1281</v>
      </c>
      <c r="I1290" s="45">
        <v>0.67113054789323723</v>
      </c>
      <c r="J1290" s="45">
        <v>1.9323290950020972E-2</v>
      </c>
      <c r="K1290" s="45">
        <v>0.24859999999999999</v>
      </c>
      <c r="N1290" s="54"/>
    </row>
    <row r="1291" spans="2:14" x14ac:dyDescent="0.2">
      <c r="B1291">
        <v>1282</v>
      </c>
      <c r="C1291" s="52">
        <f t="shared" ref="C1291:C1354" ca="1" si="63">_xlfn.NORM.S.INV(RAND())</f>
        <v>-0.30047918509010368</v>
      </c>
      <c r="D1291" s="52">
        <f ca="1">S0*EXP((μ-0.5*σ*σ)*T+σ*SQRT(T)*$C1291)</f>
        <v>0.59251900251998624</v>
      </c>
      <c r="E1291" s="52">
        <f t="shared" ca="1" si="61"/>
        <v>0</v>
      </c>
      <c r="F1291" s="17">
        <f t="shared" ca="1" si="62"/>
        <v>0</v>
      </c>
      <c r="H1291" s="17">
        <v>1282</v>
      </c>
      <c r="I1291" s="45">
        <v>0.67163440127176044</v>
      </c>
      <c r="J1291" s="45">
        <v>1.9288761519754997E-2</v>
      </c>
      <c r="K1291" s="45">
        <v>0.24379999999999999</v>
      </c>
      <c r="N1291" s="54"/>
    </row>
    <row r="1292" spans="2:14" x14ac:dyDescent="0.2">
      <c r="B1292">
        <v>1283</v>
      </c>
      <c r="C1292" s="52">
        <f t="shared" ca="1" si="63"/>
        <v>-0.19393644582168512</v>
      </c>
      <c r="D1292" s="52">
        <f ca="1">S0*EXP((μ-0.5*σ*σ)*T+σ*SQRT(T)*$C1292)</f>
        <v>0.61022932028613952</v>
      </c>
      <c r="E1292" s="52">
        <f t="shared" ca="1" si="61"/>
        <v>0</v>
      </c>
      <c r="F1292" s="17">
        <f t="shared" ca="1" si="62"/>
        <v>0</v>
      </c>
      <c r="H1292" s="17">
        <v>1283</v>
      </c>
      <c r="I1292" s="45">
        <v>0.67185600905767484</v>
      </c>
      <c r="J1292" s="45">
        <v>1.9654868093851457E-2</v>
      </c>
      <c r="K1292" s="45">
        <v>0.25359999999999999</v>
      </c>
      <c r="N1292" s="54"/>
    </row>
    <row r="1293" spans="2:14" x14ac:dyDescent="0.2">
      <c r="B1293">
        <v>1284</v>
      </c>
      <c r="C1293" s="52">
        <f t="shared" ca="1" si="63"/>
        <v>-0.96018320284254066</v>
      </c>
      <c r="D1293" s="52">
        <f ca="1">S0*EXP((μ-0.5*σ*σ)*T+σ*SQRT(T)*$C1293)</f>
        <v>0.49374505688516296</v>
      </c>
      <c r="E1293" s="52">
        <f t="shared" ca="1" si="61"/>
        <v>4.0654943114837028E-2</v>
      </c>
      <c r="F1293" s="17">
        <f t="shared" ca="1" si="62"/>
        <v>1</v>
      </c>
      <c r="H1293" s="17">
        <v>1284</v>
      </c>
      <c r="I1293" s="45">
        <v>0.67227946661982962</v>
      </c>
      <c r="J1293" s="45">
        <v>2.0074241107361591E-2</v>
      </c>
      <c r="K1293" s="45">
        <v>0.24979999999999999</v>
      </c>
      <c r="N1293" s="54"/>
    </row>
    <row r="1294" spans="2:14" x14ac:dyDescent="0.2">
      <c r="B1294">
        <v>1285</v>
      </c>
      <c r="C1294" s="52">
        <f t="shared" ca="1" si="63"/>
        <v>2.7076710258096006</v>
      </c>
      <c r="D1294" s="52">
        <f ca="1">S0*EXP((μ-0.5*σ*σ)*T+σ*SQRT(T)*$C1294)</f>
        <v>1.3609434705362904</v>
      </c>
      <c r="E1294" s="52">
        <f t="shared" ca="1" si="61"/>
        <v>0</v>
      </c>
      <c r="F1294" s="17">
        <f t="shared" ca="1" si="62"/>
        <v>0</v>
      </c>
      <c r="H1294" s="17">
        <v>1285</v>
      </c>
      <c r="I1294" s="45">
        <v>0.67078940728576952</v>
      </c>
      <c r="J1294" s="45">
        <v>1.8855542392525734E-2</v>
      </c>
      <c r="K1294" s="45">
        <v>0.24379999999999999</v>
      </c>
      <c r="N1294" s="54"/>
    </row>
    <row r="1295" spans="2:14" x14ac:dyDescent="0.2">
      <c r="B1295">
        <v>1286</v>
      </c>
      <c r="C1295" s="52">
        <f t="shared" ca="1" si="63"/>
        <v>-0.13462454092666201</v>
      </c>
      <c r="D1295" s="52">
        <f ca="1">S0*EXP((μ-0.5*σ*σ)*T+σ*SQRT(T)*$C1295)</f>
        <v>0.62031695201265191</v>
      </c>
      <c r="E1295" s="52">
        <f t="shared" ca="1" si="61"/>
        <v>0</v>
      </c>
      <c r="F1295" s="17">
        <f t="shared" ca="1" si="62"/>
        <v>0</v>
      </c>
      <c r="H1295" s="17">
        <v>1286</v>
      </c>
      <c r="I1295" s="45">
        <v>0.67012885323290461</v>
      </c>
      <c r="J1295" s="45">
        <v>1.834410179292888E-2</v>
      </c>
      <c r="K1295" s="45">
        <v>0.24560000000000001</v>
      </c>
      <c r="N1295" s="54"/>
    </row>
    <row r="1296" spans="2:14" x14ac:dyDescent="0.2">
      <c r="B1296">
        <v>1287</v>
      </c>
      <c r="C1296" s="52">
        <f t="shared" ca="1" si="63"/>
        <v>-1.0551531733482156</v>
      </c>
      <c r="D1296" s="52">
        <f ca="1">S0*EXP((μ-0.5*σ*σ)*T+σ*SQRT(T)*$C1296)</f>
        <v>0.48095154028721021</v>
      </c>
      <c r="E1296" s="52">
        <f t="shared" ca="1" si="61"/>
        <v>5.3448459712789775E-2</v>
      </c>
      <c r="F1296" s="17">
        <f t="shared" ca="1" si="62"/>
        <v>1</v>
      </c>
      <c r="H1296" s="17">
        <v>1287</v>
      </c>
      <c r="I1296" s="45">
        <v>0.6708821394137886</v>
      </c>
      <c r="J1296" s="45">
        <v>1.9161371577729836E-2</v>
      </c>
      <c r="K1296" s="45">
        <v>0.253</v>
      </c>
      <c r="N1296" s="54"/>
    </row>
    <row r="1297" spans="2:14" x14ac:dyDescent="0.2">
      <c r="B1297">
        <v>1288</v>
      </c>
      <c r="C1297" s="52">
        <f t="shared" ca="1" si="63"/>
        <v>-0.67855490003742058</v>
      </c>
      <c r="D1297" s="52">
        <f ca="1">S0*EXP((μ-0.5*σ*σ)*T+σ*SQRT(T)*$C1297)</f>
        <v>0.53371955562292972</v>
      </c>
      <c r="E1297" s="52">
        <f t="shared" ca="1" si="61"/>
        <v>6.8044437707026617E-4</v>
      </c>
      <c r="F1297" s="17">
        <f t="shared" ca="1" si="62"/>
        <v>1</v>
      </c>
      <c r="H1297" s="17">
        <v>1288</v>
      </c>
      <c r="I1297" s="45">
        <v>0.67035890018881017</v>
      </c>
      <c r="J1297" s="45">
        <v>1.8271067803159572E-2</v>
      </c>
      <c r="K1297" s="45">
        <v>0.23699999999999999</v>
      </c>
      <c r="N1297" s="54"/>
    </row>
    <row r="1298" spans="2:14" x14ac:dyDescent="0.2">
      <c r="B1298">
        <v>1289</v>
      </c>
      <c r="C1298" s="52">
        <f t="shared" ca="1" si="63"/>
        <v>0.29693505873555365</v>
      </c>
      <c r="D1298" s="52">
        <f ca="1">S0*EXP((μ-0.5*σ*σ)*T+σ*SQRT(T)*$C1298)</f>
        <v>0.69891397429571667</v>
      </c>
      <c r="E1298" s="52">
        <f t="shared" ca="1" si="61"/>
        <v>0</v>
      </c>
      <c r="F1298" s="17">
        <f t="shared" ca="1" si="62"/>
        <v>0</v>
      </c>
      <c r="H1298" s="17">
        <v>1289</v>
      </c>
      <c r="I1298" s="45">
        <v>0.67186729690496272</v>
      </c>
      <c r="J1298" s="45">
        <v>1.955069613637642E-2</v>
      </c>
      <c r="K1298" s="45">
        <v>0.24379999999999999</v>
      </c>
      <c r="N1298" s="54"/>
    </row>
    <row r="1299" spans="2:14" x14ac:dyDescent="0.2">
      <c r="B1299">
        <v>1290</v>
      </c>
      <c r="C1299" s="52">
        <f t="shared" ca="1" si="63"/>
        <v>-0.54238966188828153</v>
      </c>
      <c r="D1299" s="52">
        <f ca="1">S0*EXP((μ-0.5*σ*σ)*T+σ*SQRT(T)*$C1299)</f>
        <v>0.55419190364427229</v>
      </c>
      <c r="E1299" s="52">
        <f t="shared" ca="1" si="61"/>
        <v>0</v>
      </c>
      <c r="F1299" s="17">
        <f t="shared" ca="1" si="62"/>
        <v>0</v>
      </c>
      <c r="H1299" s="17">
        <v>1290</v>
      </c>
      <c r="I1299" s="45">
        <v>0.67221582512740408</v>
      </c>
      <c r="J1299" s="45">
        <v>1.96986560875962E-2</v>
      </c>
      <c r="K1299" s="45">
        <v>0.24940000000000001</v>
      </c>
      <c r="N1299" s="54"/>
    </row>
    <row r="1300" spans="2:14" x14ac:dyDescent="0.2">
      <c r="B1300">
        <v>1291</v>
      </c>
      <c r="C1300" s="52">
        <f t="shared" ca="1" si="63"/>
        <v>0.78885708644928276</v>
      </c>
      <c r="D1300" s="52">
        <f ca="1">S0*EXP((μ-0.5*σ*σ)*T+σ*SQRT(T)*$C1300)</f>
        <v>0.80071966721648324</v>
      </c>
      <c r="E1300" s="52">
        <f t="shared" ca="1" si="61"/>
        <v>0</v>
      </c>
      <c r="F1300" s="17">
        <f t="shared" ca="1" si="62"/>
        <v>0</v>
      </c>
      <c r="H1300" s="17">
        <v>1291</v>
      </c>
      <c r="I1300" s="45">
        <v>0.67018170175204328</v>
      </c>
      <c r="J1300" s="45">
        <v>1.8346873458935258E-2</v>
      </c>
      <c r="K1300" s="45">
        <v>0.2462</v>
      </c>
      <c r="N1300" s="54"/>
    </row>
    <row r="1301" spans="2:14" x14ac:dyDescent="0.2">
      <c r="B1301">
        <v>1292</v>
      </c>
      <c r="C1301" s="52">
        <f t="shared" ca="1" si="63"/>
        <v>0.99985973749567747</v>
      </c>
      <c r="D1301" s="52">
        <f ca="1">S0*EXP((μ-0.5*σ*σ)*T+σ*SQRT(T)*$C1301)</f>
        <v>0.84881299784567754</v>
      </c>
      <c r="E1301" s="52">
        <f t="shared" ca="1" si="61"/>
        <v>0</v>
      </c>
      <c r="F1301" s="17">
        <f t="shared" ca="1" si="62"/>
        <v>0</v>
      </c>
      <c r="H1301" s="17">
        <v>1292</v>
      </c>
      <c r="I1301" s="45">
        <v>0.67246406236059153</v>
      </c>
      <c r="J1301" s="45">
        <v>2.0170308841925957E-2</v>
      </c>
      <c r="K1301" s="45">
        <v>0.251</v>
      </c>
      <c r="N1301" s="54"/>
    </row>
    <row r="1302" spans="2:14" x14ac:dyDescent="0.2">
      <c r="B1302">
        <v>1293</v>
      </c>
      <c r="C1302" s="52">
        <f t="shared" ca="1" si="63"/>
        <v>0.64004069813249276</v>
      </c>
      <c r="D1302" s="52">
        <f ca="1">S0*EXP((μ-0.5*σ*σ)*T+σ*SQRT(T)*$C1302)</f>
        <v>0.7684482479771918</v>
      </c>
      <c r="E1302" s="52">
        <f t="shared" ca="1" si="61"/>
        <v>0</v>
      </c>
      <c r="F1302" s="17">
        <f t="shared" ca="1" si="62"/>
        <v>0</v>
      </c>
      <c r="H1302" s="17">
        <v>1293</v>
      </c>
      <c r="I1302" s="45">
        <v>0.67065399361695754</v>
      </c>
      <c r="J1302" s="45">
        <v>1.8543502804732638E-2</v>
      </c>
      <c r="K1302" s="45">
        <v>0.2402</v>
      </c>
      <c r="N1302" s="54"/>
    </row>
    <row r="1303" spans="2:14" x14ac:dyDescent="0.2">
      <c r="B1303">
        <v>1294</v>
      </c>
      <c r="C1303" s="52">
        <f t="shared" ca="1" si="63"/>
        <v>-0.42240025862788921</v>
      </c>
      <c r="D1303" s="52">
        <f ca="1">S0*EXP((μ-0.5*σ*σ)*T+σ*SQRT(T)*$C1303)</f>
        <v>0.57288213387539844</v>
      </c>
      <c r="E1303" s="52">
        <f t="shared" ca="1" si="61"/>
        <v>0</v>
      </c>
      <c r="F1303" s="17">
        <f t="shared" ca="1" si="62"/>
        <v>0</v>
      </c>
      <c r="H1303" s="17">
        <v>1294</v>
      </c>
      <c r="I1303" s="45">
        <v>0.67154955047534659</v>
      </c>
      <c r="J1303" s="45">
        <v>1.9224530796189798E-2</v>
      </c>
      <c r="K1303" s="45">
        <v>0.25159999999999999</v>
      </c>
      <c r="N1303" s="54"/>
    </row>
    <row r="1304" spans="2:14" x14ac:dyDescent="0.2">
      <c r="B1304">
        <v>1295</v>
      </c>
      <c r="C1304" s="52">
        <f t="shared" ca="1" si="63"/>
        <v>0.86159606612843409</v>
      </c>
      <c r="D1304" s="52">
        <f ca="1">S0*EXP((μ-0.5*σ*σ)*T+σ*SQRT(T)*$C1304)</f>
        <v>0.81698303222287838</v>
      </c>
      <c r="E1304" s="52">
        <f t="shared" ca="1" si="61"/>
        <v>0</v>
      </c>
      <c r="F1304" s="17">
        <f t="shared" ca="1" si="62"/>
        <v>0</v>
      </c>
      <c r="H1304" s="17">
        <v>1295</v>
      </c>
      <c r="I1304" s="45">
        <v>0.67069738452242489</v>
      </c>
      <c r="J1304" s="45">
        <v>1.8784653511301295E-2</v>
      </c>
      <c r="K1304" s="45">
        <v>0.24540000000000001</v>
      </c>
      <c r="N1304" s="54"/>
    </row>
    <row r="1305" spans="2:14" x14ac:dyDescent="0.2">
      <c r="B1305">
        <v>1296</v>
      </c>
      <c r="C1305" s="52">
        <f t="shared" ca="1" si="63"/>
        <v>0.49891659105427211</v>
      </c>
      <c r="D1305" s="52">
        <f ca="1">S0*EXP((μ-0.5*σ*σ)*T+σ*SQRT(T)*$C1305)</f>
        <v>0.7390473023866565</v>
      </c>
      <c r="E1305" s="52">
        <f t="shared" ca="1" si="61"/>
        <v>0</v>
      </c>
      <c r="F1305" s="17">
        <f t="shared" ca="1" si="62"/>
        <v>0</v>
      </c>
      <c r="H1305" s="17">
        <v>1296</v>
      </c>
      <c r="I1305" s="45">
        <v>0.67031948140495179</v>
      </c>
      <c r="J1305" s="45">
        <v>1.8398618091785408E-2</v>
      </c>
      <c r="K1305" s="45">
        <v>0.23980000000000001</v>
      </c>
      <c r="N1305" s="54"/>
    </row>
    <row r="1306" spans="2:14" x14ac:dyDescent="0.2">
      <c r="B1306">
        <v>1297</v>
      </c>
      <c r="C1306" s="52">
        <f t="shared" ca="1" si="63"/>
        <v>-0.50099341688882459</v>
      </c>
      <c r="D1306" s="52">
        <f ca="1">S0*EXP((μ-0.5*σ*σ)*T+σ*SQRT(T)*$C1306)</f>
        <v>0.56057009421110937</v>
      </c>
      <c r="E1306" s="52">
        <f t="shared" ca="1" si="61"/>
        <v>0</v>
      </c>
      <c r="F1306" s="17">
        <f t="shared" ca="1" si="62"/>
        <v>0</v>
      </c>
      <c r="H1306" s="17">
        <v>1297</v>
      </c>
      <c r="I1306" s="45">
        <v>0.67140723765293198</v>
      </c>
      <c r="J1306" s="45">
        <v>1.9433639597078792E-2</v>
      </c>
      <c r="K1306" s="45">
        <v>0.25059999999999999</v>
      </c>
      <c r="N1306" s="54"/>
    </row>
    <row r="1307" spans="2:14" x14ac:dyDescent="0.2">
      <c r="B1307">
        <v>1298</v>
      </c>
      <c r="C1307" s="52">
        <f t="shared" ca="1" si="63"/>
        <v>-1.2362623604359668</v>
      </c>
      <c r="D1307" s="52">
        <f ca="1">S0*EXP((μ-0.5*σ*σ)*T+σ*SQRT(T)*$C1307)</f>
        <v>0.45746576415718287</v>
      </c>
      <c r="E1307" s="52">
        <f t="shared" ca="1" si="61"/>
        <v>7.6934235842817111E-2</v>
      </c>
      <c r="F1307" s="17">
        <f t="shared" ca="1" si="62"/>
        <v>1</v>
      </c>
      <c r="H1307" s="17">
        <v>1298</v>
      </c>
      <c r="I1307" s="45">
        <v>0.67083206707481102</v>
      </c>
      <c r="J1307" s="45">
        <v>1.875547948009949E-2</v>
      </c>
      <c r="K1307" s="45">
        <v>0.2402</v>
      </c>
      <c r="N1307" s="54"/>
    </row>
    <row r="1308" spans="2:14" x14ac:dyDescent="0.2">
      <c r="B1308">
        <v>1299</v>
      </c>
      <c r="C1308" s="52">
        <f t="shared" ca="1" si="63"/>
        <v>0.51719003283832654</v>
      </c>
      <c r="D1308" s="52">
        <f ca="1">S0*EXP((μ-0.5*σ*σ)*T+σ*SQRT(T)*$C1308)</f>
        <v>0.74278995109598667</v>
      </c>
      <c r="E1308" s="52">
        <f t="shared" ca="1" si="61"/>
        <v>0</v>
      </c>
      <c r="F1308" s="17">
        <f t="shared" ca="1" si="62"/>
        <v>0</v>
      </c>
      <c r="H1308" s="17">
        <v>1299</v>
      </c>
      <c r="I1308" s="45">
        <v>0.67092568041875755</v>
      </c>
      <c r="J1308" s="45">
        <v>1.922349270141992E-2</v>
      </c>
      <c r="K1308" s="45">
        <v>0.245</v>
      </c>
      <c r="N1308" s="54"/>
    </row>
    <row r="1309" spans="2:14" x14ac:dyDescent="0.2">
      <c r="B1309">
        <v>1300</v>
      </c>
      <c r="C1309" s="52">
        <f t="shared" ca="1" si="63"/>
        <v>0.84165528227888498</v>
      </c>
      <c r="D1309" s="52">
        <f ca="1">S0*EXP((μ-0.5*σ*σ)*T+σ*SQRT(T)*$C1309)</f>
        <v>0.81249198152307056</v>
      </c>
      <c r="E1309" s="52">
        <f t="shared" ca="1" si="61"/>
        <v>0</v>
      </c>
      <c r="F1309" s="17">
        <f t="shared" ca="1" si="62"/>
        <v>0</v>
      </c>
      <c r="H1309" s="17">
        <v>1300</v>
      </c>
      <c r="I1309" s="45">
        <v>0.67125175400784076</v>
      </c>
      <c r="J1309" s="45">
        <v>1.9255070979587726E-2</v>
      </c>
      <c r="K1309" s="45">
        <v>0.25040000000000001</v>
      </c>
      <c r="N1309" s="54"/>
    </row>
    <row r="1310" spans="2:14" x14ac:dyDescent="0.2">
      <c r="B1310">
        <v>1301</v>
      </c>
      <c r="C1310" s="52">
        <f t="shared" ca="1" si="63"/>
        <v>-1.2734747643468749</v>
      </c>
      <c r="D1310" s="52">
        <f ca="1">S0*EXP((μ-0.5*σ*σ)*T+σ*SQRT(T)*$C1310)</f>
        <v>0.45278406364721818</v>
      </c>
      <c r="E1310" s="52">
        <f t="shared" ca="1" si="61"/>
        <v>8.1615936352781804E-2</v>
      </c>
      <c r="F1310" s="17">
        <f t="shared" ca="1" si="62"/>
        <v>1</v>
      </c>
      <c r="H1310" s="17">
        <v>1301</v>
      </c>
      <c r="I1310" s="45">
        <v>0.67117875275947603</v>
      </c>
      <c r="J1310" s="45">
        <v>1.9039621278426823E-2</v>
      </c>
      <c r="K1310" s="45">
        <v>0.25140000000000001</v>
      </c>
      <c r="N1310" s="54"/>
    </row>
    <row r="1311" spans="2:14" x14ac:dyDescent="0.2">
      <c r="B1311">
        <v>1302</v>
      </c>
      <c r="C1311" s="52">
        <f t="shared" ca="1" si="63"/>
        <v>-1.211427615938846</v>
      </c>
      <c r="D1311" s="52">
        <f ca="1">S0*EXP((μ-0.5*σ*σ)*T+σ*SQRT(T)*$C1311)</f>
        <v>0.46061713137601645</v>
      </c>
      <c r="E1311" s="52">
        <f t="shared" ca="1" si="61"/>
        <v>7.3782868623983533E-2</v>
      </c>
      <c r="F1311" s="17">
        <f t="shared" ca="1" si="62"/>
        <v>1</v>
      </c>
      <c r="H1311" s="17">
        <v>1302</v>
      </c>
      <c r="I1311" s="45">
        <v>0.67016204240359389</v>
      </c>
      <c r="J1311" s="45">
        <v>1.8517021157958394E-2</v>
      </c>
      <c r="K1311" s="45">
        <v>0.24340000000000001</v>
      </c>
      <c r="N1311" s="54"/>
    </row>
    <row r="1312" spans="2:14" x14ac:dyDescent="0.2">
      <c r="B1312">
        <v>1303</v>
      </c>
      <c r="C1312" s="52">
        <f t="shared" ca="1" si="63"/>
        <v>5.3997318113285696E-2</v>
      </c>
      <c r="D1312" s="52">
        <f ca="1">S0*EXP((μ-0.5*σ*σ)*T+σ*SQRT(T)*$C1312)</f>
        <v>0.65351910977958427</v>
      </c>
      <c r="E1312" s="52">
        <f t="shared" ca="1" si="61"/>
        <v>0</v>
      </c>
      <c r="F1312" s="17">
        <f t="shared" ca="1" si="62"/>
        <v>0</v>
      </c>
      <c r="H1312" s="17">
        <v>1303</v>
      </c>
      <c r="I1312" s="45">
        <v>0.67115104545828608</v>
      </c>
      <c r="J1312" s="45">
        <v>1.9209138373904706E-2</v>
      </c>
      <c r="K1312" s="45">
        <v>0.24940000000000001</v>
      </c>
      <c r="N1312" s="54"/>
    </row>
    <row r="1313" spans="2:14" x14ac:dyDescent="0.2">
      <c r="B1313">
        <v>1304</v>
      </c>
      <c r="C1313" s="52">
        <f t="shared" ca="1" si="63"/>
        <v>1.5901508330095262</v>
      </c>
      <c r="D1313" s="52">
        <f ca="1">S0*EXP((μ-0.5*σ*σ)*T+σ*SQRT(T)*$C1313)</f>
        <v>0.99925954660920602</v>
      </c>
      <c r="E1313" s="52">
        <f t="shared" ca="1" si="61"/>
        <v>0</v>
      </c>
      <c r="F1313" s="17">
        <f t="shared" ca="1" si="62"/>
        <v>0</v>
      </c>
      <c r="H1313" s="17">
        <v>1304</v>
      </c>
      <c r="I1313" s="45">
        <v>0.67130202772014302</v>
      </c>
      <c r="J1313" s="45">
        <v>1.9152537266324602E-2</v>
      </c>
      <c r="K1313" s="45">
        <v>0.24660000000000001</v>
      </c>
      <c r="N1313" s="54"/>
    </row>
    <row r="1314" spans="2:14" x14ac:dyDescent="0.2">
      <c r="B1314">
        <v>1305</v>
      </c>
      <c r="C1314" s="52">
        <f t="shared" ca="1" si="63"/>
        <v>1.3963853028904842</v>
      </c>
      <c r="D1314" s="52">
        <f ca="1">S0*EXP((μ-0.5*σ*σ)*T+σ*SQRT(T)*$C1314)</f>
        <v>0.94714430132051475</v>
      </c>
      <c r="E1314" s="52">
        <f t="shared" ca="1" si="61"/>
        <v>0</v>
      </c>
      <c r="F1314" s="17">
        <f t="shared" ca="1" si="62"/>
        <v>0</v>
      </c>
      <c r="H1314" s="17">
        <v>1305</v>
      </c>
      <c r="I1314" s="45">
        <v>0.67131318446359178</v>
      </c>
      <c r="J1314" s="45">
        <v>1.9116041281994751E-2</v>
      </c>
      <c r="K1314" s="45">
        <v>0.245</v>
      </c>
      <c r="N1314" s="54"/>
    </row>
    <row r="1315" spans="2:14" x14ac:dyDescent="0.2">
      <c r="B1315">
        <v>1306</v>
      </c>
      <c r="C1315" s="52">
        <f t="shared" ca="1" si="63"/>
        <v>-0.2524504845052733</v>
      </c>
      <c r="D1315" s="52">
        <f ca="1">S0*EXP((μ-0.5*σ*σ)*T+σ*SQRT(T)*$C1315)</f>
        <v>0.60043814996653022</v>
      </c>
      <c r="E1315" s="52">
        <f t="shared" ca="1" si="61"/>
        <v>0</v>
      </c>
      <c r="F1315" s="17">
        <f t="shared" ca="1" si="62"/>
        <v>0</v>
      </c>
      <c r="H1315" s="17">
        <v>1306</v>
      </c>
      <c r="I1315" s="45">
        <v>0.66954535606897758</v>
      </c>
      <c r="J1315" s="45">
        <v>1.7981100110124649E-2</v>
      </c>
      <c r="K1315" s="45">
        <v>0.2422</v>
      </c>
      <c r="N1315" s="54"/>
    </row>
    <row r="1316" spans="2:14" x14ac:dyDescent="0.2">
      <c r="B1316">
        <v>1307</v>
      </c>
      <c r="C1316" s="52">
        <f t="shared" ca="1" si="63"/>
        <v>-0.60889619830815744</v>
      </c>
      <c r="D1316" s="52">
        <f ca="1">S0*EXP((μ-0.5*σ*σ)*T+σ*SQRT(T)*$C1316)</f>
        <v>0.54409640936000492</v>
      </c>
      <c r="E1316" s="52">
        <f t="shared" ca="1" si="61"/>
        <v>0</v>
      </c>
      <c r="F1316" s="17">
        <f t="shared" ca="1" si="62"/>
        <v>0</v>
      </c>
      <c r="H1316" s="17">
        <v>1307</v>
      </c>
      <c r="I1316" s="45">
        <v>0.67099147763030309</v>
      </c>
      <c r="J1316" s="45">
        <v>1.8891878719427456E-2</v>
      </c>
      <c r="K1316" s="45">
        <v>0.24740000000000001</v>
      </c>
      <c r="N1316" s="54"/>
    </row>
    <row r="1317" spans="2:14" x14ac:dyDescent="0.2">
      <c r="B1317">
        <v>1308</v>
      </c>
      <c r="C1317" s="52">
        <f t="shared" ca="1" si="63"/>
        <v>0.70069093604896515</v>
      </c>
      <c r="D1317" s="52">
        <f ca="1">S0*EXP((μ-0.5*σ*σ)*T+σ*SQRT(T)*$C1317)</f>
        <v>0.78144042612411957</v>
      </c>
      <c r="E1317" s="52">
        <f t="shared" ca="1" si="61"/>
        <v>0</v>
      </c>
      <c r="F1317" s="17">
        <f t="shared" ca="1" si="62"/>
        <v>0</v>
      </c>
      <c r="H1317" s="17">
        <v>1308</v>
      </c>
      <c r="I1317" s="45">
        <v>0.67129937827796127</v>
      </c>
      <c r="J1317" s="45">
        <v>1.8767085080426234E-2</v>
      </c>
      <c r="K1317" s="45">
        <v>0.24060000000000001</v>
      </c>
      <c r="N1317" s="54"/>
    </row>
    <row r="1318" spans="2:14" x14ac:dyDescent="0.2">
      <c r="B1318">
        <v>1309</v>
      </c>
      <c r="C1318" s="52">
        <f t="shared" ca="1" si="63"/>
        <v>1.1735980689387659</v>
      </c>
      <c r="D1318" s="52">
        <f ca="1">S0*EXP((μ-0.5*σ*σ)*T+σ*SQRT(T)*$C1318)</f>
        <v>0.89057366629352708</v>
      </c>
      <c r="E1318" s="52">
        <f t="shared" ca="1" si="61"/>
        <v>0</v>
      </c>
      <c r="F1318" s="17">
        <f t="shared" ca="1" si="62"/>
        <v>0</v>
      </c>
      <c r="H1318" s="17">
        <v>1309</v>
      </c>
      <c r="I1318" s="45">
        <v>0.67094363069099672</v>
      </c>
      <c r="J1318" s="45">
        <v>1.9242278902009382E-2</v>
      </c>
      <c r="K1318" s="45">
        <v>0.24740000000000001</v>
      </c>
      <c r="N1318" s="54"/>
    </row>
    <row r="1319" spans="2:14" x14ac:dyDescent="0.2">
      <c r="B1319">
        <v>1310</v>
      </c>
      <c r="C1319" s="52">
        <f t="shared" ca="1" si="63"/>
        <v>-2.2837623175254751</v>
      </c>
      <c r="D1319" s="52">
        <f ca="1">S0*EXP((μ-0.5*σ*σ)*T+σ*SQRT(T)*$C1319)</f>
        <v>0.34245456910788724</v>
      </c>
      <c r="E1319" s="52">
        <f t="shared" ca="1" si="61"/>
        <v>0.19194543089211275</v>
      </c>
      <c r="F1319" s="17">
        <f t="shared" ca="1" si="62"/>
        <v>1</v>
      </c>
      <c r="H1319" s="17">
        <v>1310</v>
      </c>
      <c r="I1319" s="45">
        <v>0.6713995242690256</v>
      </c>
      <c r="J1319" s="45">
        <v>1.9662260099988667E-2</v>
      </c>
      <c r="K1319" s="45">
        <v>0.247</v>
      </c>
      <c r="N1319" s="54"/>
    </row>
    <row r="1320" spans="2:14" x14ac:dyDescent="0.2">
      <c r="B1320">
        <v>1311</v>
      </c>
      <c r="C1320" s="52">
        <f t="shared" ca="1" si="63"/>
        <v>2.9235903138102235</v>
      </c>
      <c r="D1320" s="52">
        <f ca="1">S0*EXP((μ-0.5*σ*σ)*T+σ*SQRT(T)*$C1320)</f>
        <v>1.4446474303457166</v>
      </c>
      <c r="E1320" s="52">
        <f t="shared" ca="1" si="61"/>
        <v>0</v>
      </c>
      <c r="F1320" s="17">
        <f t="shared" ca="1" si="62"/>
        <v>0</v>
      </c>
      <c r="H1320" s="17">
        <v>1311</v>
      </c>
      <c r="I1320" s="45">
        <v>0.67075418179152579</v>
      </c>
      <c r="J1320" s="45">
        <v>1.8717816608218203E-2</v>
      </c>
      <c r="K1320" s="45">
        <v>0.23799999999999999</v>
      </c>
      <c r="N1320" s="54"/>
    </row>
    <row r="1321" spans="2:14" x14ac:dyDescent="0.2">
      <c r="B1321">
        <v>1312</v>
      </c>
      <c r="C1321" s="52">
        <f t="shared" ca="1" si="63"/>
        <v>-1.8833592485767185</v>
      </c>
      <c r="D1321" s="52">
        <f ca="1">S0*EXP((μ-0.5*σ*σ)*T+σ*SQRT(T)*$C1321)</f>
        <v>0.38253625402018038</v>
      </c>
      <c r="E1321" s="52">
        <f t="shared" ca="1" si="61"/>
        <v>0.15186374597981961</v>
      </c>
      <c r="F1321" s="17">
        <f t="shared" ca="1" si="62"/>
        <v>1</v>
      </c>
      <c r="H1321" s="17">
        <v>1312</v>
      </c>
      <c r="I1321" s="45">
        <v>0.67179034925641057</v>
      </c>
      <c r="J1321" s="45">
        <v>1.9581362278138319E-2</v>
      </c>
      <c r="K1321" s="45">
        <v>0.24879999999999999</v>
      </c>
      <c r="N1321" s="54"/>
    </row>
    <row r="1322" spans="2:14" x14ac:dyDescent="0.2">
      <c r="B1322">
        <v>1313</v>
      </c>
      <c r="C1322" s="52">
        <f t="shared" ca="1" si="63"/>
        <v>0.87148299801036788</v>
      </c>
      <c r="D1322" s="52">
        <f ca="1">S0*EXP((μ-0.5*σ*σ)*T+σ*SQRT(T)*$C1322)</f>
        <v>0.81921895764772246</v>
      </c>
      <c r="E1322" s="52">
        <f t="shared" ca="1" si="61"/>
        <v>0</v>
      </c>
      <c r="F1322" s="17">
        <f t="shared" ca="1" si="62"/>
        <v>0</v>
      </c>
      <c r="H1322" s="17">
        <v>1313</v>
      </c>
      <c r="I1322" s="45">
        <v>0.67191805431687557</v>
      </c>
      <c r="J1322" s="45">
        <v>1.9373561348524238E-2</v>
      </c>
      <c r="K1322" s="45">
        <v>0.24279999999999999</v>
      </c>
      <c r="N1322" s="54"/>
    </row>
    <row r="1323" spans="2:14" x14ac:dyDescent="0.2">
      <c r="B1323">
        <v>1314</v>
      </c>
      <c r="C1323" s="52">
        <f t="shared" ca="1" si="63"/>
        <v>-3.7698508278619022E-2</v>
      </c>
      <c r="D1323" s="52">
        <f ca="1">S0*EXP((μ-0.5*σ*σ)*T+σ*SQRT(T)*$C1323)</f>
        <v>0.63716208077158665</v>
      </c>
      <c r="E1323" s="52">
        <f t="shared" ca="1" si="61"/>
        <v>0</v>
      </c>
      <c r="F1323" s="17">
        <f t="shared" ca="1" si="62"/>
        <v>0</v>
      </c>
      <c r="H1323" s="17">
        <v>1314</v>
      </c>
      <c r="I1323" s="45">
        <v>0.67229043935659449</v>
      </c>
      <c r="J1323" s="45">
        <v>2.0095504217349625E-2</v>
      </c>
      <c r="K1323" s="45">
        <v>0.25559999999999999</v>
      </c>
      <c r="N1323" s="54"/>
    </row>
    <row r="1324" spans="2:14" x14ac:dyDescent="0.2">
      <c r="B1324">
        <v>1315</v>
      </c>
      <c r="C1324" s="52">
        <f t="shared" ca="1" si="63"/>
        <v>-1.5878298184339861</v>
      </c>
      <c r="D1324" s="52">
        <f ca="1">S0*EXP((μ-0.5*σ*σ)*T+σ*SQRT(T)*$C1324)</f>
        <v>0.41509913597390702</v>
      </c>
      <c r="E1324" s="52">
        <f t="shared" ca="1" si="61"/>
        <v>0.11930086402609297</v>
      </c>
      <c r="F1324" s="17">
        <f t="shared" ca="1" si="62"/>
        <v>1</v>
      </c>
      <c r="H1324" s="17">
        <v>1315</v>
      </c>
      <c r="I1324" s="45">
        <v>0.6712109862663046</v>
      </c>
      <c r="J1324" s="45">
        <v>1.9408055618545434E-2</v>
      </c>
      <c r="K1324" s="45">
        <v>0.25700000000000001</v>
      </c>
      <c r="N1324" s="54"/>
    </row>
    <row r="1325" spans="2:14" x14ac:dyDescent="0.2">
      <c r="B1325">
        <v>1316</v>
      </c>
      <c r="C1325" s="52">
        <f t="shared" ca="1" si="63"/>
        <v>-1.9162302824082902</v>
      </c>
      <c r="D1325" s="52">
        <f ca="1">S0*EXP((μ-0.5*σ*σ)*T+σ*SQRT(T)*$C1325)</f>
        <v>0.37907603614725316</v>
      </c>
      <c r="E1325" s="52">
        <f t="shared" ca="1" si="61"/>
        <v>0.15532396385274683</v>
      </c>
      <c r="F1325" s="17">
        <f t="shared" ca="1" si="62"/>
        <v>1</v>
      </c>
      <c r="H1325" s="17">
        <v>1316</v>
      </c>
      <c r="I1325" s="45">
        <v>0.67132114946970156</v>
      </c>
      <c r="J1325" s="45">
        <v>1.9232778398116629E-2</v>
      </c>
      <c r="K1325" s="45">
        <v>0.24579999999999999</v>
      </c>
      <c r="N1325" s="54"/>
    </row>
    <row r="1326" spans="2:14" x14ac:dyDescent="0.2">
      <c r="B1326">
        <v>1317</v>
      </c>
      <c r="C1326" s="52">
        <f t="shared" ca="1" si="63"/>
        <v>0.83602692351564323</v>
      </c>
      <c r="D1326" s="52">
        <f ca="1">S0*EXP((μ-0.5*σ*σ)*T+σ*SQRT(T)*$C1326)</f>
        <v>0.81122883953785274</v>
      </c>
      <c r="E1326" s="52">
        <f t="shared" ca="1" si="61"/>
        <v>0</v>
      </c>
      <c r="F1326" s="17">
        <f t="shared" ca="1" si="62"/>
        <v>0</v>
      </c>
      <c r="H1326" s="17">
        <v>1317</v>
      </c>
      <c r="I1326" s="45">
        <v>0.67109837332038513</v>
      </c>
      <c r="J1326" s="45">
        <v>1.9419818408314204E-2</v>
      </c>
      <c r="K1326" s="45">
        <v>0.25640000000000002</v>
      </c>
      <c r="N1326" s="54"/>
    </row>
    <row r="1327" spans="2:14" x14ac:dyDescent="0.2">
      <c r="B1327">
        <v>1318</v>
      </c>
      <c r="C1327" s="52">
        <f t="shared" ca="1" si="63"/>
        <v>0.93873723543726173</v>
      </c>
      <c r="D1327" s="52">
        <f ca="1">S0*EXP((μ-0.5*σ*σ)*T+σ*SQRT(T)*$C1327)</f>
        <v>0.83459172530070547</v>
      </c>
      <c r="E1327" s="52">
        <f t="shared" ca="1" si="61"/>
        <v>0</v>
      </c>
      <c r="F1327" s="17">
        <f t="shared" ca="1" si="62"/>
        <v>0</v>
      </c>
      <c r="H1327" s="17">
        <v>1318</v>
      </c>
      <c r="I1327" s="45">
        <v>0.67064625542708167</v>
      </c>
      <c r="J1327" s="45">
        <v>1.8642475148034517E-2</v>
      </c>
      <c r="K1327" s="45">
        <v>0.2472</v>
      </c>
      <c r="N1327" s="54"/>
    </row>
    <row r="1328" spans="2:14" x14ac:dyDescent="0.2">
      <c r="B1328">
        <v>1319</v>
      </c>
      <c r="C1328" s="52">
        <f t="shared" ca="1" si="63"/>
        <v>-0.80061699074736659</v>
      </c>
      <c r="D1328" s="52">
        <f ca="1">S0*EXP((μ-0.5*σ*σ)*T+σ*SQRT(T)*$C1328)</f>
        <v>0.51601126353173032</v>
      </c>
      <c r="E1328" s="52">
        <f t="shared" ca="1" si="61"/>
        <v>1.8388736468269662E-2</v>
      </c>
      <c r="F1328" s="17">
        <f t="shared" ca="1" si="62"/>
        <v>1</v>
      </c>
      <c r="H1328" s="17">
        <v>1319</v>
      </c>
      <c r="I1328" s="45">
        <v>0.67142131810465533</v>
      </c>
      <c r="J1328" s="45">
        <v>1.9227307917952904E-2</v>
      </c>
      <c r="K1328" s="45">
        <v>0.25440000000000002</v>
      </c>
      <c r="N1328" s="54"/>
    </row>
    <row r="1329" spans="2:14" x14ac:dyDescent="0.2">
      <c r="B1329">
        <v>1320</v>
      </c>
      <c r="C1329" s="52">
        <f t="shared" ca="1" si="63"/>
        <v>0.94047846371546184</v>
      </c>
      <c r="D1329" s="52">
        <f ca="1">S0*EXP((μ-0.5*σ*σ)*T+σ*SQRT(T)*$C1329)</f>
        <v>0.83499353779057861</v>
      </c>
      <c r="E1329" s="52">
        <f t="shared" ca="1" si="61"/>
        <v>0</v>
      </c>
      <c r="F1329" s="17">
        <f t="shared" ca="1" si="62"/>
        <v>0</v>
      </c>
      <c r="H1329" s="17">
        <v>1320</v>
      </c>
      <c r="I1329" s="45">
        <v>0.67070975160865642</v>
      </c>
      <c r="J1329" s="45">
        <v>1.8914206912997146E-2</v>
      </c>
      <c r="K1329" s="45">
        <v>0.2432</v>
      </c>
      <c r="N1329" s="54"/>
    </row>
    <row r="1330" spans="2:14" x14ac:dyDescent="0.2">
      <c r="B1330">
        <v>1321</v>
      </c>
      <c r="C1330" s="52">
        <f t="shared" ca="1" si="63"/>
        <v>1.1682005960370963</v>
      </c>
      <c r="D1330" s="52">
        <f ca="1">S0*EXP((μ-0.5*σ*σ)*T+σ*SQRT(T)*$C1330)</f>
        <v>0.88924588822723016</v>
      </c>
      <c r="E1330" s="52">
        <f t="shared" ca="1" si="61"/>
        <v>0</v>
      </c>
      <c r="F1330" s="17">
        <f t="shared" ca="1" si="62"/>
        <v>0</v>
      </c>
      <c r="H1330" s="17">
        <v>1321</v>
      </c>
      <c r="I1330" s="45">
        <v>0.67156211621999917</v>
      </c>
      <c r="J1330" s="45">
        <v>1.9391374490245424E-2</v>
      </c>
      <c r="K1330" s="45">
        <v>0.25019999999999998</v>
      </c>
      <c r="N1330" s="54"/>
    </row>
    <row r="1331" spans="2:14" x14ac:dyDescent="0.2">
      <c r="B1331">
        <v>1322</v>
      </c>
      <c r="C1331" s="52">
        <f t="shared" ca="1" si="63"/>
        <v>-0.59590051836691726</v>
      </c>
      <c r="D1331" s="52">
        <f ca="1">S0*EXP((μ-0.5*σ*σ)*T+σ*SQRT(T)*$C1331)</f>
        <v>0.54605455192597119</v>
      </c>
      <c r="E1331" s="52">
        <f t="shared" ca="1" si="61"/>
        <v>0</v>
      </c>
      <c r="F1331" s="17">
        <f t="shared" ca="1" si="62"/>
        <v>0</v>
      </c>
      <c r="H1331" s="17">
        <v>1322</v>
      </c>
      <c r="I1331" s="45">
        <v>0.67156380845888097</v>
      </c>
      <c r="J1331" s="45">
        <v>1.9470107750563691E-2</v>
      </c>
      <c r="K1331" s="45">
        <v>0.251</v>
      </c>
      <c r="N1331" s="54"/>
    </row>
    <row r="1332" spans="2:14" x14ac:dyDescent="0.2">
      <c r="B1332">
        <v>1323</v>
      </c>
      <c r="C1332" s="52">
        <f t="shared" ca="1" si="63"/>
        <v>-0.65776177919015022</v>
      </c>
      <c r="D1332" s="52">
        <f ca="1">S0*EXP((μ-0.5*σ*σ)*T+σ*SQRT(T)*$C1332)</f>
        <v>0.53679615290883365</v>
      </c>
      <c r="E1332" s="52">
        <f t="shared" ca="1" si="61"/>
        <v>0</v>
      </c>
      <c r="F1332" s="17">
        <f t="shared" ca="1" si="62"/>
        <v>0</v>
      </c>
      <c r="H1332" s="17">
        <v>1323</v>
      </c>
      <c r="I1332" s="45">
        <v>0.67243478889030639</v>
      </c>
      <c r="J1332" s="45">
        <v>1.9991337282767831E-2</v>
      </c>
      <c r="K1332" s="45">
        <v>0.25140000000000001</v>
      </c>
      <c r="N1332" s="54"/>
    </row>
    <row r="1333" spans="2:14" x14ac:dyDescent="0.2">
      <c r="B1333">
        <v>1324</v>
      </c>
      <c r="C1333" s="52">
        <f t="shared" ca="1" si="63"/>
        <v>-2.7650654275350286</v>
      </c>
      <c r="D1333" s="52">
        <f ca="1">S0*EXP((μ-0.5*σ*σ)*T+σ*SQRT(T)*$C1333)</f>
        <v>0.29979268199506864</v>
      </c>
      <c r="E1333" s="52">
        <f t="shared" ca="1" si="61"/>
        <v>0.23460731800493134</v>
      </c>
      <c r="F1333" s="17">
        <f t="shared" ca="1" si="62"/>
        <v>1</v>
      </c>
      <c r="H1333" s="17">
        <v>1324</v>
      </c>
      <c r="I1333" s="45">
        <v>0.67132340994610418</v>
      </c>
      <c r="J1333" s="45">
        <v>1.940363203654303E-2</v>
      </c>
      <c r="K1333" s="45">
        <v>0.25140000000000001</v>
      </c>
      <c r="N1333" s="54"/>
    </row>
    <row r="1334" spans="2:14" x14ac:dyDescent="0.2">
      <c r="B1334">
        <v>1325</v>
      </c>
      <c r="C1334" s="52">
        <f t="shared" ca="1" si="63"/>
        <v>1.0730516223694493</v>
      </c>
      <c r="D1334" s="52">
        <f ca="1">S0*EXP((μ-0.5*σ*σ)*T+σ*SQRT(T)*$C1334)</f>
        <v>0.86616161803060321</v>
      </c>
      <c r="E1334" s="52">
        <f t="shared" ca="1" si="61"/>
        <v>0</v>
      </c>
      <c r="F1334" s="17">
        <f t="shared" ca="1" si="62"/>
        <v>0</v>
      </c>
      <c r="H1334" s="17">
        <v>1325</v>
      </c>
      <c r="I1334" s="45">
        <v>0.6702571973537842</v>
      </c>
      <c r="J1334" s="45">
        <v>1.8370490780727285E-2</v>
      </c>
      <c r="K1334" s="45">
        <v>0.24</v>
      </c>
      <c r="N1334" s="54"/>
    </row>
    <row r="1335" spans="2:14" x14ac:dyDescent="0.2">
      <c r="B1335">
        <v>1326</v>
      </c>
      <c r="C1335" s="52">
        <f t="shared" ca="1" si="63"/>
        <v>0.78218352820328374</v>
      </c>
      <c r="D1335" s="52">
        <f ca="1">S0*EXP((μ-0.5*σ*σ)*T+σ*SQRT(T)*$C1335)</f>
        <v>0.79924387048634837</v>
      </c>
      <c r="E1335" s="52">
        <f t="shared" ca="1" si="61"/>
        <v>0</v>
      </c>
      <c r="F1335" s="17">
        <f t="shared" ca="1" si="62"/>
        <v>0</v>
      </c>
      <c r="H1335" s="17">
        <v>1326</v>
      </c>
      <c r="I1335" s="45">
        <v>0.67195787031841991</v>
      </c>
      <c r="J1335" s="45">
        <v>1.9878730582680568E-2</v>
      </c>
      <c r="K1335" s="45">
        <v>0.24879999999999999</v>
      </c>
      <c r="N1335" s="54"/>
    </row>
    <row r="1336" spans="2:14" x14ac:dyDescent="0.2">
      <c r="B1336">
        <v>1327</v>
      </c>
      <c r="C1336" s="52">
        <f t="shared" ca="1" si="63"/>
        <v>-0.2406941632832548</v>
      </c>
      <c r="D1336" s="52">
        <f ca="1">S0*EXP((μ-0.5*σ*σ)*T+σ*SQRT(T)*$C1336)</f>
        <v>0.60239264569930662</v>
      </c>
      <c r="E1336" s="52">
        <f t="shared" ca="1" si="61"/>
        <v>0</v>
      </c>
      <c r="F1336" s="17">
        <f t="shared" ca="1" si="62"/>
        <v>0</v>
      </c>
      <c r="H1336" s="17">
        <v>1327</v>
      </c>
      <c r="I1336" s="45">
        <v>0.67192262901994126</v>
      </c>
      <c r="J1336" s="45">
        <v>1.9605308933502052E-2</v>
      </c>
      <c r="K1336" s="45">
        <v>0.2452</v>
      </c>
      <c r="N1336" s="54"/>
    </row>
    <row r="1337" spans="2:14" x14ac:dyDescent="0.2">
      <c r="B1337">
        <v>1328</v>
      </c>
      <c r="C1337" s="52">
        <f t="shared" ca="1" si="63"/>
        <v>1.5454465442654015</v>
      </c>
      <c r="D1337" s="52">
        <f ca="1">S0*EXP((μ-0.5*σ*σ)*T+σ*SQRT(T)*$C1337)</f>
        <v>0.98698696478429704</v>
      </c>
      <c r="E1337" s="52">
        <f t="shared" ca="1" si="61"/>
        <v>0</v>
      </c>
      <c r="F1337" s="17">
        <f t="shared" ca="1" si="62"/>
        <v>0</v>
      </c>
      <c r="H1337" s="17">
        <v>1328</v>
      </c>
      <c r="I1337" s="45">
        <v>0.67080736652729067</v>
      </c>
      <c r="J1337" s="45">
        <v>1.8778332964804214E-2</v>
      </c>
      <c r="K1337" s="45">
        <v>0.24360000000000001</v>
      </c>
      <c r="N1337" s="54"/>
    </row>
    <row r="1338" spans="2:14" x14ac:dyDescent="0.2">
      <c r="B1338">
        <v>1329</v>
      </c>
      <c r="C1338" s="52">
        <f t="shared" ca="1" si="63"/>
        <v>1.5614331203814216</v>
      </c>
      <c r="D1338" s="52">
        <f ca="1">S0*EXP((μ-0.5*σ*σ)*T+σ*SQRT(T)*$C1338)</f>
        <v>0.99135831871673352</v>
      </c>
      <c r="E1338" s="52">
        <f t="shared" ca="1" si="61"/>
        <v>0</v>
      </c>
      <c r="F1338" s="17">
        <f t="shared" ca="1" si="62"/>
        <v>0</v>
      </c>
      <c r="H1338" s="17">
        <v>1329</v>
      </c>
      <c r="I1338" s="45">
        <v>0.67126534615658051</v>
      </c>
      <c r="J1338" s="45">
        <v>1.925168227279021E-2</v>
      </c>
      <c r="K1338" s="45">
        <v>0.255</v>
      </c>
      <c r="N1338" s="54"/>
    </row>
    <row r="1339" spans="2:14" x14ac:dyDescent="0.2">
      <c r="B1339">
        <v>1330</v>
      </c>
      <c r="C1339" s="52">
        <f t="shared" ca="1" si="63"/>
        <v>0.49142343762363044</v>
      </c>
      <c r="D1339" s="52">
        <f ca="1">S0*EXP((μ-0.5*σ*σ)*T+σ*SQRT(T)*$C1339)</f>
        <v>0.73751806019112487</v>
      </c>
      <c r="E1339" s="52">
        <f t="shared" ca="1" si="61"/>
        <v>0</v>
      </c>
      <c r="F1339" s="17">
        <f t="shared" ca="1" si="62"/>
        <v>0</v>
      </c>
      <c r="H1339" s="17">
        <v>1330</v>
      </c>
      <c r="I1339" s="45">
        <v>0.67103319973774711</v>
      </c>
      <c r="J1339" s="45">
        <v>1.9236522628238047E-2</v>
      </c>
      <c r="K1339" s="45">
        <v>0.25080000000000002</v>
      </c>
      <c r="N1339" s="54"/>
    </row>
    <row r="1340" spans="2:14" x14ac:dyDescent="0.2">
      <c r="B1340">
        <v>1331</v>
      </c>
      <c r="C1340" s="52">
        <f t="shared" ca="1" si="63"/>
        <v>-0.54422050166647284</v>
      </c>
      <c r="D1340" s="52">
        <f ca="1">S0*EXP((μ-0.5*σ*σ)*T+σ*SQRT(T)*$C1340)</f>
        <v>0.55391149606777412</v>
      </c>
      <c r="E1340" s="52">
        <f t="shared" ca="1" si="61"/>
        <v>0</v>
      </c>
      <c r="F1340" s="17">
        <f t="shared" ca="1" si="62"/>
        <v>0</v>
      </c>
      <c r="H1340" s="17">
        <v>1331</v>
      </c>
      <c r="I1340" s="45">
        <v>0.67018045650173153</v>
      </c>
      <c r="J1340" s="45">
        <v>1.8429047472344938E-2</v>
      </c>
      <c r="K1340" s="45">
        <v>0.246</v>
      </c>
      <c r="N1340" s="54"/>
    </row>
    <row r="1341" spans="2:14" x14ac:dyDescent="0.2">
      <c r="B1341">
        <v>1332</v>
      </c>
      <c r="C1341" s="52">
        <f t="shared" ca="1" si="63"/>
        <v>0.61810335938363148</v>
      </c>
      <c r="D1341" s="52">
        <f ca="1">S0*EXP((μ-0.5*σ*σ)*T+σ*SQRT(T)*$C1341)</f>
        <v>0.76380233007976839</v>
      </c>
      <c r="E1341" s="52">
        <f t="shared" ca="1" si="61"/>
        <v>0</v>
      </c>
      <c r="F1341" s="17">
        <f t="shared" ca="1" si="62"/>
        <v>0</v>
      </c>
      <c r="H1341" s="17">
        <v>1332</v>
      </c>
      <c r="I1341" s="45">
        <v>0.67186717073990632</v>
      </c>
      <c r="J1341" s="45">
        <v>1.9822063271226802E-2</v>
      </c>
      <c r="K1341" s="45">
        <v>0.25440000000000002</v>
      </c>
      <c r="N1341" s="54"/>
    </row>
    <row r="1342" spans="2:14" x14ac:dyDescent="0.2">
      <c r="B1342">
        <v>1333</v>
      </c>
      <c r="C1342" s="52">
        <f t="shared" ca="1" si="63"/>
        <v>-0.26997287179693341</v>
      </c>
      <c r="D1342" s="52">
        <f ca="1">S0*EXP((μ-0.5*σ*σ)*T+σ*SQRT(T)*$C1342)</f>
        <v>0.59753680551976174</v>
      </c>
      <c r="E1342" s="52">
        <f t="shared" ca="1" si="61"/>
        <v>0</v>
      </c>
      <c r="F1342" s="17">
        <f t="shared" ca="1" si="62"/>
        <v>0</v>
      </c>
      <c r="H1342" s="17">
        <v>1333</v>
      </c>
      <c r="I1342" s="45">
        <v>0.67156735747262741</v>
      </c>
      <c r="J1342" s="45">
        <v>1.9522983658033812E-2</v>
      </c>
      <c r="K1342" s="45">
        <v>0.24399999999999999</v>
      </c>
      <c r="N1342" s="54"/>
    </row>
    <row r="1343" spans="2:14" x14ac:dyDescent="0.2">
      <c r="B1343">
        <v>1334</v>
      </c>
      <c r="C1343" s="52">
        <f t="shared" ca="1" si="63"/>
        <v>-0.4742851960890852</v>
      </c>
      <c r="D1343" s="52">
        <f ca="1">S0*EXP((μ-0.5*σ*σ)*T+σ*SQRT(T)*$C1343)</f>
        <v>0.56472411048536819</v>
      </c>
      <c r="E1343" s="52">
        <f t="shared" ca="1" si="61"/>
        <v>0</v>
      </c>
      <c r="F1343" s="17">
        <f t="shared" ca="1" si="62"/>
        <v>0</v>
      </c>
      <c r="H1343" s="17">
        <v>1334</v>
      </c>
      <c r="I1343" s="45">
        <v>0.67152229400940566</v>
      </c>
      <c r="J1343" s="45">
        <v>1.9734351593714318E-2</v>
      </c>
      <c r="K1343" s="45">
        <v>0.24940000000000001</v>
      </c>
      <c r="N1343" s="54"/>
    </row>
    <row r="1344" spans="2:14" x14ac:dyDescent="0.2">
      <c r="B1344">
        <v>1335</v>
      </c>
      <c r="C1344" s="52">
        <f t="shared" ca="1" si="63"/>
        <v>0.76878780037719074</v>
      </c>
      <c r="D1344" s="52">
        <f ca="1">S0*EXP((μ-0.5*σ*σ)*T+σ*SQRT(T)*$C1344)</f>
        <v>0.79628973166530681</v>
      </c>
      <c r="E1344" s="52">
        <f t="shared" ca="1" si="61"/>
        <v>0</v>
      </c>
      <c r="F1344" s="17">
        <f t="shared" ca="1" si="62"/>
        <v>0</v>
      </c>
      <c r="H1344" s="17">
        <v>1335</v>
      </c>
      <c r="I1344" s="45">
        <v>0.67090761322027836</v>
      </c>
      <c r="J1344" s="45">
        <v>1.8778715936091074E-2</v>
      </c>
      <c r="K1344" s="45">
        <v>0.24759999999999999</v>
      </c>
      <c r="N1344" s="54"/>
    </row>
    <row r="1345" spans="2:14" x14ac:dyDescent="0.2">
      <c r="B1345">
        <v>1336</v>
      </c>
      <c r="C1345" s="52">
        <f t="shared" ca="1" si="63"/>
        <v>-0.28795606688797831</v>
      </c>
      <c r="D1345" s="52">
        <f ca="1">S0*EXP((μ-0.5*σ*σ)*T+σ*SQRT(T)*$C1345)</f>
        <v>0.59457373753202014</v>
      </c>
      <c r="E1345" s="52">
        <f t="shared" ca="1" si="61"/>
        <v>0</v>
      </c>
      <c r="F1345" s="17">
        <f t="shared" ca="1" si="62"/>
        <v>0</v>
      </c>
      <c r="H1345" s="17">
        <v>1336</v>
      </c>
      <c r="I1345" s="45">
        <v>0.67207313725762319</v>
      </c>
      <c r="J1345" s="45">
        <v>1.9560144281808904E-2</v>
      </c>
      <c r="K1345" s="45">
        <v>0.248</v>
      </c>
      <c r="N1345" s="54"/>
    </row>
    <row r="1346" spans="2:14" x14ac:dyDescent="0.2">
      <c r="B1346">
        <v>1337</v>
      </c>
      <c r="C1346" s="52">
        <f t="shared" ca="1" si="63"/>
        <v>-1.0029822179587988</v>
      </c>
      <c r="D1346" s="52">
        <f ca="1">S0*EXP((μ-0.5*σ*σ)*T+σ*SQRT(T)*$C1346)</f>
        <v>0.48793795944717144</v>
      </c>
      <c r="E1346" s="52">
        <f t="shared" ca="1" si="61"/>
        <v>4.6462040552828543E-2</v>
      </c>
      <c r="F1346" s="17">
        <f t="shared" ca="1" si="62"/>
        <v>1</v>
      </c>
      <c r="H1346" s="17">
        <v>1337</v>
      </c>
      <c r="I1346" s="45">
        <v>0.67066656263868651</v>
      </c>
      <c r="J1346" s="45">
        <v>1.8705479514669856E-2</v>
      </c>
      <c r="K1346" s="45">
        <v>0.24060000000000001</v>
      </c>
      <c r="N1346" s="54"/>
    </row>
    <row r="1347" spans="2:14" x14ac:dyDescent="0.2">
      <c r="B1347">
        <v>1338</v>
      </c>
      <c r="C1347" s="52">
        <f t="shared" ca="1" si="63"/>
        <v>-0.47375742742862731</v>
      </c>
      <c r="D1347" s="52">
        <f ca="1">S0*EXP((μ-0.5*σ*σ)*T+σ*SQRT(T)*$C1347)</f>
        <v>0.56480650546109323</v>
      </c>
      <c r="E1347" s="52">
        <f t="shared" ca="1" si="61"/>
        <v>0</v>
      </c>
      <c r="F1347" s="17">
        <f t="shared" ca="1" si="62"/>
        <v>0</v>
      </c>
      <c r="H1347" s="17">
        <v>1338</v>
      </c>
      <c r="I1347" s="45">
        <v>0.67157275897585944</v>
      </c>
      <c r="J1347" s="45">
        <v>1.9810085865378482E-2</v>
      </c>
      <c r="K1347" s="45">
        <v>0.25119999999999998</v>
      </c>
      <c r="N1347" s="54"/>
    </row>
    <row r="1348" spans="2:14" x14ac:dyDescent="0.2">
      <c r="B1348">
        <v>1339</v>
      </c>
      <c r="C1348" s="52">
        <f t="shared" ca="1" si="63"/>
        <v>0.23568238879535489</v>
      </c>
      <c r="D1348" s="52">
        <f ca="1">S0*EXP((μ-0.5*σ*σ)*T+σ*SQRT(T)*$C1348)</f>
        <v>0.68717942886133809</v>
      </c>
      <c r="E1348" s="52">
        <f t="shared" ca="1" si="61"/>
        <v>0</v>
      </c>
      <c r="F1348" s="17">
        <f t="shared" ca="1" si="62"/>
        <v>0</v>
      </c>
      <c r="H1348" s="17">
        <v>1339</v>
      </c>
      <c r="I1348" s="45">
        <v>0.66986721682002948</v>
      </c>
      <c r="J1348" s="45">
        <v>1.8124852278364141E-2</v>
      </c>
      <c r="K1348" s="45">
        <v>0.24759999999999999</v>
      </c>
      <c r="N1348" s="54"/>
    </row>
    <row r="1349" spans="2:14" x14ac:dyDescent="0.2">
      <c r="B1349">
        <v>1340</v>
      </c>
      <c r="C1349" s="52">
        <f t="shared" ca="1" si="63"/>
        <v>1.5494879110377302</v>
      </c>
      <c r="D1349" s="52">
        <f ca="1">S0*EXP((μ-0.5*σ*σ)*T+σ*SQRT(T)*$C1349)</f>
        <v>0.98809020838532302</v>
      </c>
      <c r="E1349" s="52">
        <f t="shared" ca="1" si="61"/>
        <v>0</v>
      </c>
      <c r="F1349" s="17">
        <f t="shared" ca="1" si="62"/>
        <v>0</v>
      </c>
      <c r="H1349" s="17">
        <v>1340</v>
      </c>
      <c r="I1349" s="45">
        <v>0.67252375389332997</v>
      </c>
      <c r="J1349" s="45">
        <v>2.0186418301450272E-2</v>
      </c>
      <c r="K1349" s="45">
        <v>0.25440000000000002</v>
      </c>
      <c r="N1349" s="54"/>
    </row>
    <row r="1350" spans="2:14" x14ac:dyDescent="0.2">
      <c r="B1350">
        <v>1341</v>
      </c>
      <c r="C1350" s="52">
        <f t="shared" ca="1" si="63"/>
        <v>-0.67517824714752661</v>
      </c>
      <c r="D1350" s="52">
        <f ca="1">S0*EXP((μ-0.5*σ*σ)*T+σ*SQRT(T)*$C1350)</f>
        <v>0.53421797091769652</v>
      </c>
      <c r="E1350" s="52">
        <f t="shared" ca="1" si="61"/>
        <v>1.8202908230346981E-4</v>
      </c>
      <c r="F1350" s="17">
        <f t="shared" ca="1" si="62"/>
        <v>1</v>
      </c>
      <c r="H1350" s="17">
        <v>1341</v>
      </c>
      <c r="I1350" s="45">
        <v>0.67171935380635361</v>
      </c>
      <c r="J1350" s="45">
        <v>1.9415985651331461E-2</v>
      </c>
      <c r="K1350" s="45">
        <v>0.24859999999999999</v>
      </c>
      <c r="N1350" s="54"/>
    </row>
    <row r="1351" spans="2:14" x14ac:dyDescent="0.2">
      <c r="B1351">
        <v>1342</v>
      </c>
      <c r="C1351" s="52">
        <f t="shared" ca="1" si="63"/>
        <v>-0.71228656195615991</v>
      </c>
      <c r="D1351" s="52">
        <f ca="1">S0*EXP((μ-0.5*σ*σ)*T+σ*SQRT(T)*$C1351)</f>
        <v>0.52876600330405032</v>
      </c>
      <c r="E1351" s="52">
        <f t="shared" ca="1" si="61"/>
        <v>5.6339966959496612E-3</v>
      </c>
      <c r="F1351" s="17">
        <f t="shared" ca="1" si="62"/>
        <v>1</v>
      </c>
      <c r="H1351" s="17">
        <v>1342</v>
      </c>
      <c r="I1351" s="45">
        <v>0.67018848386774488</v>
      </c>
      <c r="J1351" s="45">
        <v>1.8418868436451984E-2</v>
      </c>
      <c r="K1351" s="45">
        <v>0.2424</v>
      </c>
      <c r="N1351" s="54"/>
    </row>
    <row r="1352" spans="2:14" x14ac:dyDescent="0.2">
      <c r="B1352">
        <v>1343</v>
      </c>
      <c r="C1352" s="52">
        <f t="shared" ca="1" si="63"/>
        <v>-0.13945684318155352</v>
      </c>
      <c r="D1352" s="52">
        <f ca="1">S0*EXP((μ-0.5*σ*σ)*T+σ*SQRT(T)*$C1352)</f>
        <v>0.61948888243682187</v>
      </c>
      <c r="E1352" s="52">
        <f t="shared" ca="1" si="61"/>
        <v>0</v>
      </c>
      <c r="F1352" s="17">
        <f t="shared" ca="1" si="62"/>
        <v>0</v>
      </c>
      <c r="H1352" s="17">
        <v>1343</v>
      </c>
      <c r="I1352" s="45">
        <v>0.66974692528640423</v>
      </c>
      <c r="J1352" s="45">
        <v>1.8003962674885455E-2</v>
      </c>
      <c r="K1352" s="45">
        <v>0.24840000000000001</v>
      </c>
      <c r="N1352" s="54"/>
    </row>
    <row r="1353" spans="2:14" x14ac:dyDescent="0.2">
      <c r="B1353">
        <v>1344</v>
      </c>
      <c r="C1353" s="52">
        <f t="shared" ca="1" si="63"/>
        <v>-2.0114171323809282</v>
      </c>
      <c r="D1353" s="52">
        <f ca="1">S0*EXP((μ-0.5*σ*σ)*T+σ*SQRT(T)*$C1353)</f>
        <v>0.36923159204877054</v>
      </c>
      <c r="E1353" s="52">
        <f t="shared" ca="1" si="61"/>
        <v>0.16516840795122945</v>
      </c>
      <c r="F1353" s="17">
        <f t="shared" ca="1" si="62"/>
        <v>1</v>
      </c>
      <c r="H1353" s="17">
        <v>1344</v>
      </c>
      <c r="I1353" s="45">
        <v>0.66970197583497981</v>
      </c>
      <c r="J1353" s="45">
        <v>1.7865177083712831E-2</v>
      </c>
      <c r="K1353" s="45">
        <v>0.24079999999999999</v>
      </c>
      <c r="N1353" s="54"/>
    </row>
    <row r="1354" spans="2:14" x14ac:dyDescent="0.2">
      <c r="B1354">
        <v>1345</v>
      </c>
      <c r="C1354" s="52">
        <f t="shared" ca="1" si="63"/>
        <v>1.7160719323833424</v>
      </c>
      <c r="D1354" s="52">
        <f ca="1">S0*EXP((μ-0.5*σ*σ)*T+σ*SQRT(T)*$C1354)</f>
        <v>1.0346549177056856</v>
      </c>
      <c r="E1354" s="52">
        <f t="shared" ref="E1354:E1417" ca="1" si="64">MAX(0,CP*(D1354-K))</f>
        <v>0</v>
      </c>
      <c r="F1354" s="17">
        <f t="shared" ref="F1354:F1417" ca="1" si="65">(CP*(D1354-K)&gt;0)*1</f>
        <v>0</v>
      </c>
      <c r="H1354" s="17">
        <v>1345</v>
      </c>
      <c r="I1354" s="45">
        <v>0.67149006841539793</v>
      </c>
      <c r="J1354" s="45">
        <v>1.9378318066157071E-2</v>
      </c>
      <c r="K1354" s="45">
        <v>0.245</v>
      </c>
      <c r="N1354" s="54"/>
    </row>
    <row r="1355" spans="2:14" x14ac:dyDescent="0.2">
      <c r="B1355">
        <v>1346</v>
      </c>
      <c r="C1355" s="52">
        <f t="shared" ref="C1355:C1418" ca="1" si="66">_xlfn.NORM.S.INV(RAND())</f>
        <v>-1.164010898208387</v>
      </c>
      <c r="D1355" s="52">
        <f ca="1">S0*EXP((μ-0.5*σ*σ)*T+σ*SQRT(T)*$C1355)</f>
        <v>0.46669442286942719</v>
      </c>
      <c r="E1355" s="52">
        <f t="shared" ca="1" si="64"/>
        <v>6.7705577130572792E-2</v>
      </c>
      <c r="F1355" s="17">
        <f t="shared" ca="1" si="65"/>
        <v>1</v>
      </c>
      <c r="H1355" s="17">
        <v>1346</v>
      </c>
      <c r="I1355" s="45">
        <v>0.67116481689043606</v>
      </c>
      <c r="J1355" s="45">
        <v>1.903407182047067E-2</v>
      </c>
      <c r="K1355" s="45">
        <v>0.2482</v>
      </c>
      <c r="N1355" s="54"/>
    </row>
    <row r="1356" spans="2:14" x14ac:dyDescent="0.2">
      <c r="B1356">
        <v>1347</v>
      </c>
      <c r="C1356" s="52">
        <f t="shared" ca="1" si="66"/>
        <v>-0.99627441204210887</v>
      </c>
      <c r="D1356" s="52">
        <f ca="1">S0*EXP((μ-0.5*σ*σ)*T+σ*SQRT(T)*$C1356)</f>
        <v>0.48884356051198236</v>
      </c>
      <c r="E1356" s="52">
        <f t="shared" ca="1" si="64"/>
        <v>4.555643948801763E-2</v>
      </c>
      <c r="F1356" s="17">
        <f t="shared" ca="1" si="65"/>
        <v>1</v>
      </c>
      <c r="H1356" s="17">
        <v>1347</v>
      </c>
      <c r="I1356" s="45">
        <v>0.66991602063464051</v>
      </c>
      <c r="J1356" s="45">
        <v>1.8010030961222511E-2</v>
      </c>
      <c r="K1356" s="45">
        <v>0.24360000000000001</v>
      </c>
      <c r="N1356" s="54"/>
    </row>
    <row r="1357" spans="2:14" x14ac:dyDescent="0.2">
      <c r="B1357">
        <v>1348</v>
      </c>
      <c r="C1357" s="52">
        <f t="shared" ca="1" si="66"/>
        <v>-0.34147003129930664</v>
      </c>
      <c r="D1357" s="52">
        <f ca="1">S0*EXP((μ-0.5*σ*σ)*T+σ*SQRT(T)*$C1357)</f>
        <v>0.58584294495370093</v>
      </c>
      <c r="E1357" s="52">
        <f t="shared" ca="1" si="64"/>
        <v>0</v>
      </c>
      <c r="F1357" s="17">
        <f t="shared" ca="1" si="65"/>
        <v>0</v>
      </c>
      <c r="H1357" s="17">
        <v>1348</v>
      </c>
      <c r="I1357" s="45">
        <v>0.67120286573486809</v>
      </c>
      <c r="J1357" s="45">
        <v>1.9174566698220812E-2</v>
      </c>
      <c r="K1357" s="45">
        <v>0.24540000000000001</v>
      </c>
      <c r="N1357" s="54"/>
    </row>
    <row r="1358" spans="2:14" x14ac:dyDescent="0.2">
      <c r="B1358">
        <v>1349</v>
      </c>
      <c r="C1358" s="52">
        <f t="shared" ca="1" si="66"/>
        <v>0.53976571392193762</v>
      </c>
      <c r="D1358" s="52">
        <f ca="1">S0*EXP((μ-0.5*σ*σ)*T+σ*SQRT(T)*$C1358)</f>
        <v>0.74743993926721142</v>
      </c>
      <c r="E1358" s="52">
        <f t="shared" ca="1" si="64"/>
        <v>0</v>
      </c>
      <c r="F1358" s="17">
        <f t="shared" ca="1" si="65"/>
        <v>0</v>
      </c>
      <c r="H1358" s="17">
        <v>1349</v>
      </c>
      <c r="I1358" s="45">
        <v>0.67149750679880871</v>
      </c>
      <c r="J1358" s="45">
        <v>1.9365441520192171E-2</v>
      </c>
      <c r="K1358" s="45">
        <v>0.25080000000000002</v>
      </c>
      <c r="N1358" s="54"/>
    </row>
    <row r="1359" spans="2:14" x14ac:dyDescent="0.2">
      <c r="B1359">
        <v>1350</v>
      </c>
      <c r="C1359" s="52">
        <f t="shared" ca="1" si="66"/>
        <v>0.81320906478578436</v>
      </c>
      <c r="D1359" s="52">
        <f ca="1">S0*EXP((μ-0.5*σ*σ)*T+σ*SQRT(T)*$C1359)</f>
        <v>0.80612803792239474</v>
      </c>
      <c r="E1359" s="52">
        <f t="shared" ca="1" si="64"/>
        <v>0</v>
      </c>
      <c r="F1359" s="17">
        <f t="shared" ca="1" si="65"/>
        <v>0</v>
      </c>
      <c r="H1359" s="17">
        <v>1350</v>
      </c>
      <c r="I1359" s="45">
        <v>0.6725895417475154</v>
      </c>
      <c r="J1359" s="45">
        <v>2.001626340186189E-2</v>
      </c>
      <c r="K1359" s="45">
        <v>0.253</v>
      </c>
      <c r="N1359" s="54"/>
    </row>
    <row r="1360" spans="2:14" x14ac:dyDescent="0.2">
      <c r="B1360">
        <v>1351</v>
      </c>
      <c r="C1360" s="52">
        <f t="shared" ca="1" si="66"/>
        <v>0.68107301137133047</v>
      </c>
      <c r="D1360" s="52">
        <f ca="1">S0*EXP((μ-0.5*σ*σ)*T+σ*SQRT(T)*$C1360)</f>
        <v>0.77721411957239306</v>
      </c>
      <c r="E1360" s="52">
        <f t="shared" ca="1" si="64"/>
        <v>0</v>
      </c>
      <c r="F1360" s="17">
        <f t="shared" ca="1" si="65"/>
        <v>0</v>
      </c>
      <c r="H1360" s="17">
        <v>1351</v>
      </c>
      <c r="I1360" s="45">
        <v>0.67054455562951443</v>
      </c>
      <c r="J1360" s="45">
        <v>1.8751155601630716E-2</v>
      </c>
      <c r="K1360" s="45">
        <v>0.24779999999999999</v>
      </c>
      <c r="N1360" s="54"/>
    </row>
    <row r="1361" spans="2:14" x14ac:dyDescent="0.2">
      <c r="B1361">
        <v>1352</v>
      </c>
      <c r="C1361" s="52">
        <f t="shared" ca="1" si="66"/>
        <v>-0.64348185659153667</v>
      </c>
      <c r="D1361" s="52">
        <f ca="1">S0*EXP((μ-0.5*σ*σ)*T+σ*SQRT(T)*$C1361)</f>
        <v>0.53891930852364689</v>
      </c>
      <c r="E1361" s="52">
        <f t="shared" ca="1" si="64"/>
        <v>0</v>
      </c>
      <c r="F1361" s="17">
        <f t="shared" ca="1" si="65"/>
        <v>0</v>
      </c>
      <c r="H1361" s="17">
        <v>1352</v>
      </c>
      <c r="I1361" s="45">
        <v>0.6722553929744286</v>
      </c>
      <c r="J1361" s="45">
        <v>1.9936654917779732E-2</v>
      </c>
      <c r="K1361" s="45">
        <v>0.25679999999999997</v>
      </c>
      <c r="N1361" s="54"/>
    </row>
    <row r="1362" spans="2:14" x14ac:dyDescent="0.2">
      <c r="B1362">
        <v>1353</v>
      </c>
      <c r="C1362" s="52">
        <f t="shared" ca="1" si="66"/>
        <v>0.37710316595772192</v>
      </c>
      <c r="D1362" s="52">
        <f ca="1">S0*EXP((μ-0.5*σ*σ)*T+σ*SQRT(T)*$C1362)</f>
        <v>0.71457555447794763</v>
      </c>
      <c r="E1362" s="52">
        <f t="shared" ca="1" si="64"/>
        <v>0</v>
      </c>
      <c r="F1362" s="17">
        <f t="shared" ca="1" si="65"/>
        <v>0</v>
      </c>
      <c r="H1362" s="17">
        <v>1353</v>
      </c>
      <c r="I1362" s="45">
        <v>0.67008080808956139</v>
      </c>
      <c r="J1362" s="45">
        <v>1.8443736432398234E-2</v>
      </c>
      <c r="K1362" s="45">
        <v>0.24279999999999999</v>
      </c>
      <c r="N1362" s="54"/>
    </row>
    <row r="1363" spans="2:14" x14ac:dyDescent="0.2">
      <c r="B1363">
        <v>1354</v>
      </c>
      <c r="C1363" s="52">
        <f t="shared" ca="1" si="66"/>
        <v>-1.3970971379644106</v>
      </c>
      <c r="D1363" s="52">
        <f ca="1">S0*EXP((μ-0.5*σ*σ)*T+σ*SQRT(T)*$C1363)</f>
        <v>0.43757236058393878</v>
      </c>
      <c r="E1363" s="52">
        <f t="shared" ca="1" si="64"/>
        <v>9.6827639416061206E-2</v>
      </c>
      <c r="F1363" s="17">
        <f t="shared" ca="1" si="65"/>
        <v>1</v>
      </c>
      <c r="H1363" s="17">
        <v>1354</v>
      </c>
      <c r="I1363" s="45">
        <v>0.67051175150947151</v>
      </c>
      <c r="J1363" s="45">
        <v>1.8886893624277284E-2</v>
      </c>
      <c r="K1363" s="45">
        <v>0.24299999999999999</v>
      </c>
      <c r="N1363" s="54"/>
    </row>
    <row r="1364" spans="2:14" x14ac:dyDescent="0.2">
      <c r="B1364">
        <v>1355</v>
      </c>
      <c r="C1364" s="52">
        <f t="shared" ca="1" si="66"/>
        <v>-0.67187098002889223</v>
      </c>
      <c r="D1364" s="52">
        <f ca="1">S0*EXP((μ-0.5*σ*σ)*T+σ*SQRT(T)*$C1364)</f>
        <v>0.53470659562960199</v>
      </c>
      <c r="E1364" s="52">
        <f t="shared" ca="1" si="64"/>
        <v>0</v>
      </c>
      <c r="F1364" s="17">
        <f t="shared" ca="1" si="65"/>
        <v>0</v>
      </c>
      <c r="H1364" s="17">
        <v>1355</v>
      </c>
      <c r="I1364" s="45">
        <v>0.67179997892296284</v>
      </c>
      <c r="J1364" s="45">
        <v>1.9506361647992777E-2</v>
      </c>
      <c r="K1364" s="45">
        <v>0.25259999999999999</v>
      </c>
      <c r="N1364" s="54"/>
    </row>
    <row r="1365" spans="2:14" x14ac:dyDescent="0.2">
      <c r="B1365">
        <v>1356</v>
      </c>
      <c r="C1365" s="52">
        <f t="shared" ca="1" si="66"/>
        <v>1.0506382294336112</v>
      </c>
      <c r="D1365" s="52">
        <f ca="1">S0*EXP((μ-0.5*σ*σ)*T+σ*SQRT(T)*$C1365)</f>
        <v>0.86081165282289063</v>
      </c>
      <c r="E1365" s="52">
        <f t="shared" ca="1" si="64"/>
        <v>0</v>
      </c>
      <c r="F1365" s="17">
        <f t="shared" ca="1" si="65"/>
        <v>0</v>
      </c>
      <c r="H1365" s="17">
        <v>1356</v>
      </c>
      <c r="I1365" s="45">
        <v>0.67021179582121271</v>
      </c>
      <c r="J1365" s="45">
        <v>1.857721566701459E-2</v>
      </c>
      <c r="K1365" s="45">
        <v>0.2492</v>
      </c>
      <c r="N1365" s="54"/>
    </row>
    <row r="1366" spans="2:14" x14ac:dyDescent="0.2">
      <c r="B1366">
        <v>1357</v>
      </c>
      <c r="C1366" s="52">
        <f t="shared" ca="1" si="66"/>
        <v>0.10043231418420591</v>
      </c>
      <c r="D1366" s="52">
        <f ca="1">S0*EXP((μ-0.5*σ*σ)*T+σ*SQRT(T)*$C1366)</f>
        <v>0.66196184445086248</v>
      </c>
      <c r="E1366" s="52">
        <f t="shared" ca="1" si="64"/>
        <v>0</v>
      </c>
      <c r="F1366" s="17">
        <f t="shared" ca="1" si="65"/>
        <v>0</v>
      </c>
      <c r="H1366" s="17">
        <v>1357</v>
      </c>
      <c r="I1366" s="45">
        <v>0.67148376911256902</v>
      </c>
      <c r="J1366" s="45">
        <v>1.9675964478930184E-2</v>
      </c>
      <c r="K1366" s="45">
        <v>0.25440000000000002</v>
      </c>
      <c r="N1366" s="54"/>
    </row>
    <row r="1367" spans="2:14" x14ac:dyDescent="0.2">
      <c r="B1367">
        <v>1358</v>
      </c>
      <c r="C1367" s="52">
        <f t="shared" ca="1" si="66"/>
        <v>-0.68335387001057324</v>
      </c>
      <c r="D1367" s="52">
        <f ca="1">S0*EXP((μ-0.5*σ*σ)*T+σ*SQRT(T)*$C1367)</f>
        <v>0.53301199731218019</v>
      </c>
      <c r="E1367" s="52">
        <f t="shared" ca="1" si="64"/>
        <v>1.3880026878198004E-3</v>
      </c>
      <c r="F1367" s="17">
        <f t="shared" ca="1" si="65"/>
        <v>1</v>
      </c>
      <c r="H1367" s="17">
        <v>1358</v>
      </c>
      <c r="I1367" s="45">
        <v>0.67117100899120474</v>
      </c>
      <c r="J1367" s="45">
        <v>1.9228864393756675E-2</v>
      </c>
      <c r="K1367" s="45">
        <v>0.25440000000000002</v>
      </c>
      <c r="N1367" s="54"/>
    </row>
    <row r="1368" spans="2:14" x14ac:dyDescent="0.2">
      <c r="B1368">
        <v>1359</v>
      </c>
      <c r="C1368" s="52">
        <f t="shared" ca="1" si="66"/>
        <v>1.9387029956022155</v>
      </c>
      <c r="D1368" s="52">
        <f ca="1">S0*EXP((μ-0.5*σ*σ)*T+σ*SQRT(T)*$C1368)</f>
        <v>1.1003303166121907</v>
      </c>
      <c r="E1368" s="52">
        <f t="shared" ca="1" si="64"/>
        <v>0</v>
      </c>
      <c r="F1368" s="17">
        <f t="shared" ca="1" si="65"/>
        <v>0</v>
      </c>
      <c r="H1368" s="17">
        <v>1359</v>
      </c>
      <c r="I1368" s="45">
        <v>0.67156625940839154</v>
      </c>
      <c r="J1368" s="45">
        <v>1.9445581963633041E-2</v>
      </c>
      <c r="K1368" s="45">
        <v>0.25180000000000002</v>
      </c>
      <c r="N1368" s="54"/>
    </row>
    <row r="1369" spans="2:14" x14ac:dyDescent="0.2">
      <c r="B1369">
        <v>1360</v>
      </c>
      <c r="C1369" s="52">
        <f t="shared" ca="1" si="66"/>
        <v>-0.32306792930714229</v>
      </c>
      <c r="D1369" s="52">
        <f ca="1">S0*EXP((μ-0.5*σ*σ)*T+σ*SQRT(T)*$C1369)</f>
        <v>0.58883068523690607</v>
      </c>
      <c r="E1369" s="52">
        <f t="shared" ca="1" si="64"/>
        <v>0</v>
      </c>
      <c r="F1369" s="17">
        <f t="shared" ca="1" si="65"/>
        <v>0</v>
      </c>
      <c r="H1369" s="17">
        <v>1360</v>
      </c>
      <c r="I1369" s="45">
        <v>0.67066540014066822</v>
      </c>
      <c r="J1369" s="45">
        <v>1.8848691985675826E-2</v>
      </c>
      <c r="K1369" s="45">
        <v>0.24579999999999999</v>
      </c>
      <c r="N1369" s="54"/>
    </row>
    <row r="1370" spans="2:14" x14ac:dyDescent="0.2">
      <c r="B1370">
        <v>1361</v>
      </c>
      <c r="C1370" s="52">
        <f t="shared" ca="1" si="66"/>
        <v>0.1990598557250344</v>
      </c>
      <c r="D1370" s="52">
        <f ca="1">S0*EXP((μ-0.5*σ*σ)*T+σ*SQRT(T)*$C1370)</f>
        <v>0.68025775420770407</v>
      </c>
      <c r="E1370" s="52">
        <f t="shared" ca="1" si="64"/>
        <v>0</v>
      </c>
      <c r="F1370" s="17">
        <f t="shared" ca="1" si="65"/>
        <v>0</v>
      </c>
      <c r="H1370" s="17">
        <v>1361</v>
      </c>
      <c r="I1370" s="45">
        <v>0.66979239078997554</v>
      </c>
      <c r="J1370" s="45">
        <v>1.7994404194824214E-2</v>
      </c>
      <c r="K1370" s="45">
        <v>0.2392</v>
      </c>
      <c r="N1370" s="54"/>
    </row>
    <row r="1371" spans="2:14" x14ac:dyDescent="0.2">
      <c r="B1371">
        <v>1362</v>
      </c>
      <c r="C1371" s="52">
        <f t="shared" ca="1" si="66"/>
        <v>-0.27819172184681068</v>
      </c>
      <c r="D1371" s="52">
        <f ca="1">S0*EXP((μ-0.5*σ*σ)*T+σ*SQRT(T)*$C1371)</f>
        <v>0.59618076838124079</v>
      </c>
      <c r="E1371" s="52">
        <f t="shared" ca="1" si="64"/>
        <v>0</v>
      </c>
      <c r="F1371" s="17">
        <f t="shared" ca="1" si="65"/>
        <v>0</v>
      </c>
      <c r="H1371" s="17">
        <v>1362</v>
      </c>
      <c r="I1371" s="45">
        <v>0.67190983247012037</v>
      </c>
      <c r="J1371" s="45">
        <v>1.9746711425301995E-2</v>
      </c>
      <c r="K1371" s="45">
        <v>0.25119999999999998</v>
      </c>
      <c r="N1371" s="54"/>
    </row>
    <row r="1372" spans="2:14" x14ac:dyDescent="0.2">
      <c r="B1372">
        <v>1363</v>
      </c>
      <c r="C1372" s="52">
        <f t="shared" ca="1" si="66"/>
        <v>1.2468456554358034</v>
      </c>
      <c r="D1372" s="52">
        <f ca="1">S0*EXP((μ-0.5*σ*σ)*T+σ*SQRT(T)*$C1372)</f>
        <v>0.90878981276343795</v>
      </c>
      <c r="E1372" s="52">
        <f t="shared" ca="1" si="64"/>
        <v>0</v>
      </c>
      <c r="F1372" s="17">
        <f t="shared" ca="1" si="65"/>
        <v>0</v>
      </c>
      <c r="H1372" s="17">
        <v>1363</v>
      </c>
      <c r="I1372" s="45">
        <v>0.66973187449072225</v>
      </c>
      <c r="J1372" s="45">
        <v>1.8326049791008291E-2</v>
      </c>
      <c r="K1372" s="45">
        <v>0.24640000000000001</v>
      </c>
      <c r="N1372" s="54"/>
    </row>
    <row r="1373" spans="2:14" x14ac:dyDescent="0.2">
      <c r="B1373">
        <v>1364</v>
      </c>
      <c r="C1373" s="52">
        <f t="shared" ca="1" si="66"/>
        <v>-0.1091868370729923</v>
      </c>
      <c r="D1373" s="52">
        <f ca="1">S0*EXP((μ-0.5*σ*σ)*T+σ*SQRT(T)*$C1373)</f>
        <v>0.62469427417579593</v>
      </c>
      <c r="E1373" s="52">
        <f t="shared" ca="1" si="64"/>
        <v>0</v>
      </c>
      <c r="F1373" s="17">
        <f t="shared" ca="1" si="65"/>
        <v>0</v>
      </c>
      <c r="H1373" s="17">
        <v>1364</v>
      </c>
      <c r="I1373" s="45">
        <v>0.67056853908448488</v>
      </c>
      <c r="J1373" s="45">
        <v>1.8580317795271511E-2</v>
      </c>
      <c r="K1373" s="45">
        <v>0.24079999999999999</v>
      </c>
      <c r="N1373" s="54"/>
    </row>
    <row r="1374" spans="2:14" x14ac:dyDescent="0.2">
      <c r="B1374">
        <v>1365</v>
      </c>
      <c r="C1374" s="52">
        <f t="shared" ca="1" si="66"/>
        <v>-5.1479467815183311E-2</v>
      </c>
      <c r="D1374" s="52">
        <f ca="1">S0*EXP((μ-0.5*σ*σ)*T+σ*SQRT(T)*$C1374)</f>
        <v>0.63473942595106503</v>
      </c>
      <c r="E1374" s="52">
        <f t="shared" ca="1" si="64"/>
        <v>0</v>
      </c>
      <c r="F1374" s="17">
        <f t="shared" ca="1" si="65"/>
        <v>0</v>
      </c>
      <c r="H1374" s="17">
        <v>1365</v>
      </c>
      <c r="I1374" s="45">
        <v>0.67056201583624964</v>
      </c>
      <c r="J1374" s="45">
        <v>1.8709634453729574E-2</v>
      </c>
      <c r="K1374" s="45">
        <v>0.2404</v>
      </c>
      <c r="N1374" s="54"/>
    </row>
    <row r="1375" spans="2:14" x14ac:dyDescent="0.2">
      <c r="B1375">
        <v>1366</v>
      </c>
      <c r="C1375" s="52">
        <f t="shared" ca="1" si="66"/>
        <v>-1.0499310197453269</v>
      </c>
      <c r="D1375" s="52">
        <f ca="1">S0*EXP((μ-0.5*σ*σ)*T+σ*SQRT(T)*$C1375)</f>
        <v>0.48164633033554666</v>
      </c>
      <c r="E1375" s="52">
        <f t="shared" ca="1" si="64"/>
        <v>5.2753669664453329E-2</v>
      </c>
      <c r="F1375" s="17">
        <f t="shared" ca="1" si="65"/>
        <v>1</v>
      </c>
      <c r="H1375" s="17">
        <v>1366</v>
      </c>
      <c r="I1375" s="45">
        <v>0.67047859953032607</v>
      </c>
      <c r="J1375" s="45">
        <v>1.8406632758761188E-2</v>
      </c>
      <c r="K1375" s="45">
        <v>0.24</v>
      </c>
      <c r="N1375" s="54"/>
    </row>
    <row r="1376" spans="2:14" x14ac:dyDescent="0.2">
      <c r="B1376">
        <v>1367</v>
      </c>
      <c r="C1376" s="52">
        <f t="shared" ca="1" si="66"/>
        <v>-1.0815347754072246</v>
      </c>
      <c r="D1376" s="52">
        <f ca="1">S0*EXP((μ-0.5*σ*σ)*T+σ*SQRT(T)*$C1376)</f>
        <v>0.47745684774982616</v>
      </c>
      <c r="E1376" s="52">
        <f t="shared" ca="1" si="64"/>
        <v>5.6943152250173823E-2</v>
      </c>
      <c r="F1376" s="17">
        <f t="shared" ca="1" si="65"/>
        <v>1</v>
      </c>
      <c r="H1376" s="17">
        <v>1367</v>
      </c>
      <c r="I1376" s="45">
        <v>0.67044441732693338</v>
      </c>
      <c r="J1376" s="45">
        <v>1.8518627775834042E-2</v>
      </c>
      <c r="K1376" s="45">
        <v>0.24859999999999999</v>
      </c>
      <c r="N1376" s="54"/>
    </row>
    <row r="1377" spans="2:14" x14ac:dyDescent="0.2">
      <c r="B1377">
        <v>1368</v>
      </c>
      <c r="C1377" s="52">
        <f t="shared" ca="1" si="66"/>
        <v>-1.1125234980664562</v>
      </c>
      <c r="D1377" s="52">
        <f ca="1">S0*EXP((μ-0.5*σ*σ)*T+σ*SQRT(T)*$C1377)</f>
        <v>0.47338428199539145</v>
      </c>
      <c r="E1377" s="52">
        <f t="shared" ca="1" si="64"/>
        <v>6.1015718004608532E-2</v>
      </c>
      <c r="F1377" s="17">
        <f t="shared" ca="1" si="65"/>
        <v>1</v>
      </c>
      <c r="H1377" s="17">
        <v>1368</v>
      </c>
      <c r="I1377" s="45">
        <v>0.67148545814364091</v>
      </c>
      <c r="J1377" s="45">
        <v>1.9258418838706243E-2</v>
      </c>
      <c r="K1377" s="45">
        <v>0.2402</v>
      </c>
      <c r="N1377" s="54"/>
    </row>
    <row r="1378" spans="2:14" x14ac:dyDescent="0.2">
      <c r="B1378">
        <v>1369</v>
      </c>
      <c r="C1378" s="52">
        <f t="shared" ca="1" si="66"/>
        <v>1.4060709549787014</v>
      </c>
      <c r="D1378" s="52">
        <f ca="1">S0*EXP((μ-0.5*σ*σ)*T+σ*SQRT(T)*$C1378)</f>
        <v>0.94968361097300213</v>
      </c>
      <c r="E1378" s="52">
        <f t="shared" ca="1" si="64"/>
        <v>0</v>
      </c>
      <c r="F1378" s="17">
        <f t="shared" ca="1" si="65"/>
        <v>0</v>
      </c>
      <c r="H1378" s="17">
        <v>1369</v>
      </c>
      <c r="I1378" s="45">
        <v>0.66999038675157019</v>
      </c>
      <c r="J1378" s="45">
        <v>1.8497442207892185E-2</v>
      </c>
      <c r="K1378" s="45">
        <v>0.25319999999999998</v>
      </c>
      <c r="N1378" s="54"/>
    </row>
    <row r="1379" spans="2:14" x14ac:dyDescent="0.2">
      <c r="B1379">
        <v>1370</v>
      </c>
      <c r="C1379" s="52">
        <f t="shared" ca="1" si="66"/>
        <v>0.39790019731986398</v>
      </c>
      <c r="D1379" s="52">
        <f ca="1">S0*EXP((μ-0.5*σ*σ)*T+σ*SQRT(T)*$C1379)</f>
        <v>0.71869546321565403</v>
      </c>
      <c r="E1379" s="52">
        <f t="shared" ca="1" si="64"/>
        <v>0</v>
      </c>
      <c r="F1379" s="17">
        <f t="shared" ca="1" si="65"/>
        <v>0</v>
      </c>
      <c r="H1379" s="17">
        <v>1370</v>
      </c>
      <c r="I1379" s="45">
        <v>0.66973923468148566</v>
      </c>
      <c r="J1379" s="45">
        <v>1.8320644277565887E-2</v>
      </c>
      <c r="K1379" s="45">
        <v>0.24479999999999999</v>
      </c>
      <c r="N1379" s="54"/>
    </row>
    <row r="1380" spans="2:14" x14ac:dyDescent="0.2">
      <c r="B1380">
        <v>1371</v>
      </c>
      <c r="C1380" s="52">
        <f t="shared" ca="1" si="66"/>
        <v>-0.46454402879667267</v>
      </c>
      <c r="D1380" s="52">
        <f ca="1">S0*EXP((μ-0.5*σ*σ)*T+σ*SQRT(T)*$C1380)</f>
        <v>0.56624683490930672</v>
      </c>
      <c r="E1380" s="52">
        <f t="shared" ca="1" si="64"/>
        <v>0</v>
      </c>
      <c r="F1380" s="17">
        <f t="shared" ca="1" si="65"/>
        <v>0</v>
      </c>
      <c r="H1380" s="17">
        <v>1371</v>
      </c>
      <c r="I1380" s="45">
        <v>0.67023442879176343</v>
      </c>
      <c r="J1380" s="45">
        <v>1.8507002114343345E-2</v>
      </c>
      <c r="K1380" s="45">
        <v>0.24379999999999999</v>
      </c>
      <c r="N1380" s="54"/>
    </row>
    <row r="1381" spans="2:14" x14ac:dyDescent="0.2">
      <c r="B1381">
        <v>1372</v>
      </c>
      <c r="C1381" s="52">
        <f t="shared" ca="1" si="66"/>
        <v>4.8656148338144578E-2</v>
      </c>
      <c r="D1381" s="52">
        <f ca="1">S0*EXP((μ-0.5*σ*σ)*T+σ*SQRT(T)*$C1381)</f>
        <v>0.65255491844630009</v>
      </c>
      <c r="E1381" s="52">
        <f t="shared" ca="1" si="64"/>
        <v>0</v>
      </c>
      <c r="F1381" s="17">
        <f t="shared" ca="1" si="65"/>
        <v>0</v>
      </c>
      <c r="H1381" s="17">
        <v>1372</v>
      </c>
      <c r="I1381" s="45">
        <v>0.67089781222841061</v>
      </c>
      <c r="J1381" s="45">
        <v>1.8903553089082689E-2</v>
      </c>
      <c r="K1381" s="45">
        <v>0.25159999999999999</v>
      </c>
      <c r="N1381" s="54"/>
    </row>
    <row r="1382" spans="2:14" x14ac:dyDescent="0.2">
      <c r="B1382">
        <v>1373</v>
      </c>
      <c r="C1382" s="52">
        <f t="shared" ca="1" si="66"/>
        <v>-9.6203199895633223E-2</v>
      </c>
      <c r="D1382" s="52">
        <f ca="1">S0*EXP((μ-0.5*σ*σ)*T+σ*SQRT(T)*$C1382)</f>
        <v>0.62694039241317001</v>
      </c>
      <c r="E1382" s="52">
        <f t="shared" ca="1" si="64"/>
        <v>0</v>
      </c>
      <c r="F1382" s="17">
        <f t="shared" ca="1" si="65"/>
        <v>0</v>
      </c>
      <c r="H1382" s="17">
        <v>1373</v>
      </c>
      <c r="I1382" s="45">
        <v>0.67252315211233438</v>
      </c>
      <c r="J1382" s="45">
        <v>2.0223481775200856E-2</v>
      </c>
      <c r="K1382" s="45">
        <v>0.25319999999999998</v>
      </c>
      <c r="N1382" s="54"/>
    </row>
    <row r="1383" spans="2:14" x14ac:dyDescent="0.2">
      <c r="B1383">
        <v>1374</v>
      </c>
      <c r="C1383" s="52">
        <f t="shared" ca="1" si="66"/>
        <v>1.6866017632925638</v>
      </c>
      <c r="D1383" s="52">
        <f ca="1">S0*EXP((μ-0.5*σ*σ)*T+σ*SQRT(T)*$C1383)</f>
        <v>1.0262603278145754</v>
      </c>
      <c r="E1383" s="52">
        <f t="shared" ca="1" si="64"/>
        <v>0</v>
      </c>
      <c r="F1383" s="17">
        <f t="shared" ca="1" si="65"/>
        <v>0</v>
      </c>
      <c r="H1383" s="17">
        <v>1374</v>
      </c>
      <c r="I1383" s="45">
        <v>0.67067174360671167</v>
      </c>
      <c r="J1383" s="45">
        <v>1.8773561404159686E-2</v>
      </c>
      <c r="K1383" s="45">
        <v>0.24759999999999999</v>
      </c>
      <c r="N1383" s="54"/>
    </row>
    <row r="1384" spans="2:14" x14ac:dyDescent="0.2">
      <c r="B1384">
        <v>1375</v>
      </c>
      <c r="C1384" s="52">
        <f t="shared" ca="1" si="66"/>
        <v>-2.1357081869178165</v>
      </c>
      <c r="D1384" s="52">
        <f ca="1">S0*EXP((μ-0.5*σ*σ)*T+σ*SQRT(T)*$C1384)</f>
        <v>0.35676096059542656</v>
      </c>
      <c r="E1384" s="52">
        <f t="shared" ca="1" si="64"/>
        <v>0.17763903940457343</v>
      </c>
      <c r="F1384" s="17">
        <f t="shared" ca="1" si="65"/>
        <v>1</v>
      </c>
      <c r="H1384" s="17">
        <v>1375</v>
      </c>
      <c r="I1384" s="45">
        <v>0.67035029754797704</v>
      </c>
      <c r="J1384" s="45">
        <v>1.8405513500569678E-2</v>
      </c>
      <c r="K1384" s="45">
        <v>0.24440000000000001</v>
      </c>
      <c r="N1384" s="54"/>
    </row>
    <row r="1385" spans="2:14" x14ac:dyDescent="0.2">
      <c r="B1385">
        <v>1376</v>
      </c>
      <c r="C1385" s="52">
        <f t="shared" ca="1" si="66"/>
        <v>0.37789775574281248</v>
      </c>
      <c r="D1385" s="52">
        <f ca="1">S0*EXP((μ-0.5*σ*σ)*T+σ*SQRT(T)*$C1385)</f>
        <v>0.71473252855991576</v>
      </c>
      <c r="E1385" s="52">
        <f t="shared" ca="1" si="64"/>
        <v>0</v>
      </c>
      <c r="F1385" s="17">
        <f t="shared" ca="1" si="65"/>
        <v>0</v>
      </c>
      <c r="H1385" s="17">
        <v>1376</v>
      </c>
      <c r="I1385" s="45">
        <v>0.6713929150683855</v>
      </c>
      <c r="J1385" s="45">
        <v>1.9228725474395164E-2</v>
      </c>
      <c r="K1385" s="45">
        <v>0.24640000000000001</v>
      </c>
      <c r="N1385" s="54"/>
    </row>
    <row r="1386" spans="2:14" x14ac:dyDescent="0.2">
      <c r="B1386">
        <v>1377</v>
      </c>
      <c r="C1386" s="52">
        <f t="shared" ca="1" si="66"/>
        <v>-0.58075058112235045</v>
      </c>
      <c r="D1386" s="52">
        <f ca="1">S0*EXP((μ-0.5*σ*σ)*T+σ*SQRT(T)*$C1386)</f>
        <v>0.54834618828132653</v>
      </c>
      <c r="E1386" s="52">
        <f t="shared" ca="1" si="64"/>
        <v>0</v>
      </c>
      <c r="F1386" s="17">
        <f t="shared" ca="1" si="65"/>
        <v>0</v>
      </c>
      <c r="H1386" s="17">
        <v>1377</v>
      </c>
      <c r="I1386" s="45">
        <v>0.67120341394361827</v>
      </c>
      <c r="J1386" s="45">
        <v>1.9264401303227378E-2</v>
      </c>
      <c r="K1386" s="45">
        <v>0.2422</v>
      </c>
      <c r="N1386" s="54"/>
    </row>
    <row r="1387" spans="2:14" x14ac:dyDescent="0.2">
      <c r="B1387">
        <v>1378</v>
      </c>
      <c r="C1387" s="52">
        <f t="shared" ca="1" si="66"/>
        <v>0.14629557293340176</v>
      </c>
      <c r="D1387" s="52">
        <f ca="1">S0*EXP((μ-0.5*σ*σ)*T+σ*SQRT(T)*$C1387)</f>
        <v>0.6704076856420127</v>
      </c>
      <c r="E1387" s="52">
        <f t="shared" ca="1" si="64"/>
        <v>0</v>
      </c>
      <c r="F1387" s="17">
        <f t="shared" ca="1" si="65"/>
        <v>0</v>
      </c>
      <c r="H1387" s="17">
        <v>1378</v>
      </c>
      <c r="I1387" s="45">
        <v>0.67118281609214492</v>
      </c>
      <c r="J1387" s="45">
        <v>1.9339769071241436E-2</v>
      </c>
      <c r="K1387" s="45">
        <v>0.25219999999999998</v>
      </c>
      <c r="N1387" s="54"/>
    </row>
    <row r="1388" spans="2:14" x14ac:dyDescent="0.2">
      <c r="B1388">
        <v>1379</v>
      </c>
      <c r="C1388" s="52">
        <f t="shared" ca="1" si="66"/>
        <v>1.4730437527839508</v>
      </c>
      <c r="D1388" s="52">
        <f ca="1">S0*EXP((μ-0.5*σ*σ)*T+σ*SQRT(T)*$C1388)</f>
        <v>0.96742929955956181</v>
      </c>
      <c r="E1388" s="52">
        <f t="shared" ca="1" si="64"/>
        <v>0</v>
      </c>
      <c r="F1388" s="17">
        <f t="shared" ca="1" si="65"/>
        <v>0</v>
      </c>
      <c r="H1388" s="17">
        <v>1379</v>
      </c>
      <c r="I1388" s="45">
        <v>0.67082518594250118</v>
      </c>
      <c r="J1388" s="45">
        <v>1.8755598012478999E-2</v>
      </c>
      <c r="K1388" s="45">
        <v>0.2414</v>
      </c>
      <c r="N1388" s="54"/>
    </row>
    <row r="1389" spans="2:14" x14ac:dyDescent="0.2">
      <c r="B1389">
        <v>1380</v>
      </c>
      <c r="C1389" s="52">
        <f t="shared" ca="1" si="66"/>
        <v>1.6464635887763293</v>
      </c>
      <c r="D1389" s="52">
        <f ca="1">S0*EXP((μ-0.5*σ*σ)*T+σ*SQRT(T)*$C1389)</f>
        <v>1.0149363984744679</v>
      </c>
      <c r="E1389" s="52">
        <f t="shared" ca="1" si="64"/>
        <v>0</v>
      </c>
      <c r="F1389" s="17">
        <f t="shared" ca="1" si="65"/>
        <v>0</v>
      </c>
      <c r="H1389" s="17">
        <v>1380</v>
      </c>
      <c r="I1389" s="45">
        <v>0.67099404572579313</v>
      </c>
      <c r="J1389" s="45">
        <v>1.9321911170051304E-2</v>
      </c>
      <c r="K1389" s="45">
        <v>0.25540000000000002</v>
      </c>
      <c r="N1389" s="54"/>
    </row>
    <row r="1390" spans="2:14" x14ac:dyDescent="0.2">
      <c r="B1390">
        <v>1381</v>
      </c>
      <c r="C1390" s="52">
        <f t="shared" ca="1" si="66"/>
        <v>1.6354067060040556</v>
      </c>
      <c r="D1390" s="52">
        <f ca="1">S0*EXP((μ-0.5*σ*σ)*T+σ*SQRT(T)*$C1390)</f>
        <v>1.0118389997352253</v>
      </c>
      <c r="E1390" s="52">
        <f t="shared" ca="1" si="64"/>
        <v>0</v>
      </c>
      <c r="F1390" s="17">
        <f t="shared" ca="1" si="65"/>
        <v>0</v>
      </c>
      <c r="H1390" s="17">
        <v>1381</v>
      </c>
      <c r="I1390" s="45">
        <v>0.67107841929582501</v>
      </c>
      <c r="J1390" s="45">
        <v>1.9174324337947815E-2</v>
      </c>
      <c r="K1390" s="45">
        <v>0.2472</v>
      </c>
      <c r="N1390" s="54"/>
    </row>
    <row r="1391" spans="2:14" x14ac:dyDescent="0.2">
      <c r="B1391">
        <v>1382</v>
      </c>
      <c r="C1391" s="52">
        <f t="shared" ca="1" si="66"/>
        <v>0.38625723043093341</v>
      </c>
      <c r="D1391" s="52">
        <f ca="1">S0*EXP((μ-0.5*σ*σ)*T+σ*SQRT(T)*$C1391)</f>
        <v>0.71638606413894246</v>
      </c>
      <c r="E1391" s="52">
        <f t="shared" ca="1" si="64"/>
        <v>0</v>
      </c>
      <c r="F1391" s="17">
        <f t="shared" ca="1" si="65"/>
        <v>0</v>
      </c>
      <c r="H1391" s="17">
        <v>1382</v>
      </c>
      <c r="I1391" s="45">
        <v>0.67136320636830593</v>
      </c>
      <c r="J1391" s="45">
        <v>1.9096764417630099E-2</v>
      </c>
      <c r="K1391" s="45">
        <v>0.2404</v>
      </c>
      <c r="N1391" s="54"/>
    </row>
    <row r="1392" spans="2:14" x14ac:dyDescent="0.2">
      <c r="B1392">
        <v>1383</v>
      </c>
      <c r="C1392" s="52">
        <f t="shared" ca="1" si="66"/>
        <v>-2.0744453443736592</v>
      </c>
      <c r="D1392" s="52">
        <f ca="1">S0*EXP((μ-0.5*σ*σ)*T+σ*SQRT(T)*$C1392)</f>
        <v>0.36285417103625472</v>
      </c>
      <c r="E1392" s="52">
        <f t="shared" ca="1" si="64"/>
        <v>0.17154582896374526</v>
      </c>
      <c r="F1392" s="17">
        <f t="shared" ca="1" si="65"/>
        <v>1</v>
      </c>
      <c r="H1392" s="17">
        <v>1383</v>
      </c>
      <c r="I1392" s="45">
        <v>0.67168844441843722</v>
      </c>
      <c r="J1392" s="45">
        <v>1.9420483502889642E-2</v>
      </c>
      <c r="K1392" s="45">
        <v>0.24679999999999999</v>
      </c>
      <c r="N1392" s="54"/>
    </row>
    <row r="1393" spans="2:14" x14ac:dyDescent="0.2">
      <c r="B1393">
        <v>1384</v>
      </c>
      <c r="C1393" s="52">
        <f t="shared" ca="1" si="66"/>
        <v>-8.1760014327064007E-2</v>
      </c>
      <c r="D1393" s="52">
        <f ca="1">S0*EXP((μ-0.5*σ*σ)*T+σ*SQRT(T)*$C1393)</f>
        <v>0.62944849691441962</v>
      </c>
      <c r="E1393" s="52">
        <f t="shared" ca="1" si="64"/>
        <v>0</v>
      </c>
      <c r="F1393" s="17">
        <f t="shared" ca="1" si="65"/>
        <v>0</v>
      </c>
      <c r="H1393" s="17">
        <v>1384</v>
      </c>
      <c r="I1393" s="45">
        <v>0.66975463113869305</v>
      </c>
      <c r="J1393" s="45">
        <v>1.8157646791848291E-2</v>
      </c>
      <c r="K1393" s="45">
        <v>0.2452</v>
      </c>
      <c r="N1393" s="54"/>
    </row>
    <row r="1394" spans="2:14" x14ac:dyDescent="0.2">
      <c r="B1394">
        <v>1385</v>
      </c>
      <c r="C1394" s="52">
        <f t="shared" ca="1" si="66"/>
        <v>1.3761023905959187</v>
      </c>
      <c r="D1394" s="52">
        <f ca="1">S0*EXP((μ-0.5*σ*σ)*T+σ*SQRT(T)*$C1394)</f>
        <v>0.9418486590433307</v>
      </c>
      <c r="E1394" s="52">
        <f t="shared" ca="1" si="64"/>
        <v>0</v>
      </c>
      <c r="F1394" s="17">
        <f t="shared" ca="1" si="65"/>
        <v>0</v>
      </c>
      <c r="H1394" s="17">
        <v>1385</v>
      </c>
      <c r="I1394" s="45">
        <v>0.67136852605036823</v>
      </c>
      <c r="J1394" s="45">
        <v>1.9345436179575716E-2</v>
      </c>
      <c r="K1394" s="45">
        <v>0.25180000000000002</v>
      </c>
      <c r="N1394" s="54"/>
    </row>
    <row r="1395" spans="2:14" x14ac:dyDescent="0.2">
      <c r="B1395">
        <v>1386</v>
      </c>
      <c r="C1395" s="52">
        <f t="shared" ca="1" si="66"/>
        <v>0.34586002191576476</v>
      </c>
      <c r="D1395" s="52">
        <f ca="1">S0*EXP((μ-0.5*σ*σ)*T+σ*SQRT(T)*$C1395)</f>
        <v>0.70843061033829757</v>
      </c>
      <c r="E1395" s="52">
        <f t="shared" ca="1" si="64"/>
        <v>0</v>
      </c>
      <c r="F1395" s="17">
        <f t="shared" ca="1" si="65"/>
        <v>0</v>
      </c>
      <c r="H1395" s="17">
        <v>1386</v>
      </c>
      <c r="I1395" s="45">
        <v>0.66981587523601904</v>
      </c>
      <c r="J1395" s="45">
        <v>1.801437006577674E-2</v>
      </c>
      <c r="K1395" s="45">
        <v>0.24399999999999999</v>
      </c>
      <c r="N1395" s="54"/>
    </row>
    <row r="1396" spans="2:14" x14ac:dyDescent="0.2">
      <c r="B1396">
        <v>1387</v>
      </c>
      <c r="C1396" s="52">
        <f t="shared" ca="1" si="66"/>
        <v>1.0238141198387656E-2</v>
      </c>
      <c r="D1396" s="52">
        <f ca="1">S0*EXP((μ-0.5*σ*σ)*T+σ*SQRT(T)*$C1396)</f>
        <v>0.64566146316906659</v>
      </c>
      <c r="E1396" s="52">
        <f t="shared" ca="1" si="64"/>
        <v>0</v>
      </c>
      <c r="F1396" s="17">
        <f t="shared" ca="1" si="65"/>
        <v>0</v>
      </c>
      <c r="H1396" s="17">
        <v>1387</v>
      </c>
      <c r="I1396" s="45">
        <v>0.67067183135895903</v>
      </c>
      <c r="J1396" s="45">
        <v>1.8834462469253358E-2</v>
      </c>
      <c r="K1396" s="45">
        <v>0.24759999999999999</v>
      </c>
      <c r="N1396" s="54"/>
    </row>
    <row r="1397" spans="2:14" x14ac:dyDescent="0.2">
      <c r="B1397">
        <v>1388</v>
      </c>
      <c r="C1397" s="52">
        <f t="shared" ca="1" si="66"/>
        <v>-3.7312507490850758E-2</v>
      </c>
      <c r="D1397" s="52">
        <f ca="1">S0*EXP((μ-0.5*σ*σ)*T+σ*SQRT(T)*$C1397)</f>
        <v>0.63723007161135126</v>
      </c>
      <c r="E1397" s="52">
        <f t="shared" ca="1" si="64"/>
        <v>0</v>
      </c>
      <c r="F1397" s="17">
        <f t="shared" ca="1" si="65"/>
        <v>0</v>
      </c>
      <c r="H1397" s="17">
        <v>1388</v>
      </c>
      <c r="I1397" s="45">
        <v>0.67130372987258591</v>
      </c>
      <c r="J1397" s="45">
        <v>1.9161756007198195E-2</v>
      </c>
      <c r="K1397" s="45">
        <v>0.246</v>
      </c>
      <c r="N1397" s="54"/>
    </row>
    <row r="1398" spans="2:14" x14ac:dyDescent="0.2">
      <c r="B1398">
        <v>1389</v>
      </c>
      <c r="C1398" s="52">
        <f t="shared" ca="1" si="66"/>
        <v>1.20678415294643</v>
      </c>
      <c r="D1398" s="52">
        <f ca="1">S0*EXP((μ-0.5*σ*σ)*T+σ*SQRT(T)*$C1398)</f>
        <v>0.89878112201679872</v>
      </c>
      <c r="E1398" s="52">
        <f t="shared" ca="1" si="64"/>
        <v>0</v>
      </c>
      <c r="F1398" s="17">
        <f t="shared" ca="1" si="65"/>
        <v>0</v>
      </c>
      <c r="H1398" s="17">
        <v>1389</v>
      </c>
      <c r="I1398" s="45">
        <v>0.67068395383243828</v>
      </c>
      <c r="J1398" s="45">
        <v>1.88952946005169E-2</v>
      </c>
      <c r="K1398" s="45">
        <v>0.24959999999999999</v>
      </c>
      <c r="N1398" s="54"/>
    </row>
    <row r="1399" spans="2:14" x14ac:dyDescent="0.2">
      <c r="B1399">
        <v>1390</v>
      </c>
      <c r="C1399" s="52">
        <f t="shared" ca="1" si="66"/>
        <v>-1.7359364003776945</v>
      </c>
      <c r="D1399" s="52">
        <f ca="1">S0*EXP((μ-0.5*σ*σ)*T+σ*SQRT(T)*$C1399)</f>
        <v>0.39844756112892465</v>
      </c>
      <c r="E1399" s="52">
        <f t="shared" ca="1" si="64"/>
        <v>0.13595243887107533</v>
      </c>
      <c r="F1399" s="17">
        <f t="shared" ca="1" si="65"/>
        <v>1</v>
      </c>
      <c r="H1399" s="17">
        <v>1390</v>
      </c>
      <c r="I1399" s="45">
        <v>0.67150367707604552</v>
      </c>
      <c r="J1399" s="45">
        <v>1.9333390608612156E-2</v>
      </c>
      <c r="K1399" s="45">
        <v>0.25140000000000001</v>
      </c>
      <c r="N1399" s="54"/>
    </row>
    <row r="1400" spans="2:14" x14ac:dyDescent="0.2">
      <c r="B1400">
        <v>1391</v>
      </c>
      <c r="C1400" s="52">
        <f t="shared" ca="1" si="66"/>
        <v>-0.20416876062363393</v>
      </c>
      <c r="D1400" s="52">
        <f ca="1">S0*EXP((μ-0.5*σ*σ)*T+σ*SQRT(T)*$C1400)</f>
        <v>0.6085056983217243</v>
      </c>
      <c r="E1400" s="52">
        <f t="shared" ca="1" si="64"/>
        <v>0</v>
      </c>
      <c r="F1400" s="17">
        <f t="shared" ca="1" si="65"/>
        <v>0</v>
      </c>
      <c r="H1400" s="17">
        <v>1391</v>
      </c>
      <c r="I1400" s="45">
        <v>0.66970599203671421</v>
      </c>
      <c r="J1400" s="45">
        <v>1.8145283085900073E-2</v>
      </c>
      <c r="K1400" s="45">
        <v>0.23619999999999999</v>
      </c>
      <c r="N1400" s="54"/>
    </row>
    <row r="1401" spans="2:14" x14ac:dyDescent="0.2">
      <c r="B1401">
        <v>1392</v>
      </c>
      <c r="C1401" s="52">
        <f t="shared" ca="1" si="66"/>
        <v>-1.3942947140238946</v>
      </c>
      <c r="D1401" s="52">
        <f ca="1">S0*EXP((μ-0.5*σ*σ)*T+σ*SQRT(T)*$C1401)</f>
        <v>0.43791147095246558</v>
      </c>
      <c r="E1401" s="52">
        <f t="shared" ca="1" si="64"/>
        <v>9.648852904753441E-2</v>
      </c>
      <c r="F1401" s="17">
        <f t="shared" ca="1" si="65"/>
        <v>1</v>
      </c>
      <c r="H1401" s="17">
        <v>1392</v>
      </c>
      <c r="I1401" s="45">
        <v>0.67148068869067423</v>
      </c>
      <c r="J1401" s="45">
        <v>1.9268877841193792E-2</v>
      </c>
      <c r="K1401" s="45">
        <v>0.24560000000000001</v>
      </c>
      <c r="N1401" s="54"/>
    </row>
    <row r="1402" spans="2:14" x14ac:dyDescent="0.2">
      <c r="B1402">
        <v>1393</v>
      </c>
      <c r="C1402" s="52">
        <f t="shared" ca="1" si="66"/>
        <v>0.38236648814162116</v>
      </c>
      <c r="D1402" s="52">
        <f ca="1">S0*EXP((μ-0.5*σ*σ)*T+σ*SQRT(T)*$C1402)</f>
        <v>0.71561598530042902</v>
      </c>
      <c r="E1402" s="52">
        <f t="shared" ca="1" si="64"/>
        <v>0</v>
      </c>
      <c r="F1402" s="17">
        <f t="shared" ca="1" si="65"/>
        <v>0</v>
      </c>
      <c r="H1402" s="17">
        <v>1393</v>
      </c>
      <c r="I1402" s="45">
        <v>0.67095795007767112</v>
      </c>
      <c r="J1402" s="45">
        <v>1.8943618492675795E-2</v>
      </c>
      <c r="K1402" s="45">
        <v>0.2414</v>
      </c>
      <c r="N1402" s="54"/>
    </row>
    <row r="1403" spans="2:14" x14ac:dyDescent="0.2">
      <c r="B1403">
        <v>1394</v>
      </c>
      <c r="C1403" s="52">
        <f t="shared" ca="1" si="66"/>
        <v>-0.56099195466217389</v>
      </c>
      <c r="D1403" s="52">
        <f ca="1">S0*EXP((μ-0.5*σ*σ)*T+σ*SQRT(T)*$C1403)</f>
        <v>0.55134940922432374</v>
      </c>
      <c r="E1403" s="52">
        <f t="shared" ca="1" si="64"/>
        <v>0</v>
      </c>
      <c r="F1403" s="17">
        <f t="shared" ca="1" si="65"/>
        <v>0</v>
      </c>
      <c r="H1403" s="17">
        <v>1394</v>
      </c>
      <c r="I1403" s="45">
        <v>0.67214132858094733</v>
      </c>
      <c r="J1403" s="45">
        <v>1.9633782711434532E-2</v>
      </c>
      <c r="K1403" s="45">
        <v>0.2482</v>
      </c>
      <c r="N1403" s="54"/>
    </row>
    <row r="1404" spans="2:14" x14ac:dyDescent="0.2">
      <c r="B1404">
        <v>1395</v>
      </c>
      <c r="C1404" s="52">
        <f t="shared" ca="1" si="66"/>
        <v>-1.063506889533796</v>
      </c>
      <c r="D1404" s="52">
        <f ca="1">S0*EXP((μ-0.5*σ*σ)*T+σ*SQRT(T)*$C1404)</f>
        <v>0.47984218972025333</v>
      </c>
      <c r="E1404" s="52">
        <f t="shared" ca="1" si="64"/>
        <v>5.4557810279746655E-2</v>
      </c>
      <c r="F1404" s="17">
        <f t="shared" ca="1" si="65"/>
        <v>1</v>
      </c>
      <c r="H1404" s="17">
        <v>1395</v>
      </c>
      <c r="I1404" s="45">
        <v>0.67131399734659603</v>
      </c>
      <c r="J1404" s="45">
        <v>1.9318350762681298E-2</v>
      </c>
      <c r="K1404" s="45">
        <v>0.24859999999999999</v>
      </c>
      <c r="N1404" s="54"/>
    </row>
    <row r="1405" spans="2:14" x14ac:dyDescent="0.2">
      <c r="B1405">
        <v>1396</v>
      </c>
      <c r="C1405" s="52">
        <f t="shared" ca="1" si="66"/>
        <v>-0.34239280076800516</v>
      </c>
      <c r="D1405" s="52">
        <f ca="1">S0*EXP((μ-0.5*σ*σ)*T+σ*SQRT(T)*$C1405)</f>
        <v>0.58569352515279249</v>
      </c>
      <c r="E1405" s="52">
        <f t="shared" ca="1" si="64"/>
        <v>0</v>
      </c>
      <c r="F1405" s="17">
        <f t="shared" ca="1" si="65"/>
        <v>0</v>
      </c>
      <c r="H1405" s="17">
        <v>1396</v>
      </c>
      <c r="I1405" s="45">
        <v>0.67196754265477598</v>
      </c>
      <c r="J1405" s="45">
        <v>1.9933449672125788E-2</v>
      </c>
      <c r="K1405" s="45">
        <v>0.25080000000000002</v>
      </c>
      <c r="N1405" s="54"/>
    </row>
    <row r="1406" spans="2:14" x14ac:dyDescent="0.2">
      <c r="B1406">
        <v>1397</v>
      </c>
      <c r="C1406" s="52">
        <f t="shared" ca="1" si="66"/>
        <v>-1.2518586495868123</v>
      </c>
      <c r="D1406" s="52">
        <f ca="1">S0*EXP((μ-0.5*σ*σ)*T+σ*SQRT(T)*$C1406)</f>
        <v>0.4554977276840993</v>
      </c>
      <c r="E1406" s="52">
        <f t="shared" ca="1" si="64"/>
        <v>7.890227231590069E-2</v>
      </c>
      <c r="F1406" s="17">
        <f t="shared" ca="1" si="65"/>
        <v>1</v>
      </c>
      <c r="H1406" s="17">
        <v>1397</v>
      </c>
      <c r="I1406" s="45">
        <v>0.67102298871499788</v>
      </c>
      <c r="J1406" s="45">
        <v>1.9063651614144996E-2</v>
      </c>
      <c r="K1406" s="45">
        <v>0.2472</v>
      </c>
      <c r="N1406" s="54"/>
    </row>
    <row r="1407" spans="2:14" x14ac:dyDescent="0.2">
      <c r="B1407">
        <v>1398</v>
      </c>
      <c r="C1407" s="52">
        <f t="shared" ca="1" si="66"/>
        <v>-0.78251234927048363</v>
      </c>
      <c r="D1407" s="52">
        <f ca="1">S0*EXP((μ-0.5*σ*σ)*T+σ*SQRT(T)*$C1407)</f>
        <v>0.51860022415405582</v>
      </c>
      <c r="E1407" s="52">
        <f t="shared" ca="1" si="64"/>
        <v>1.5799775845944164E-2</v>
      </c>
      <c r="F1407" s="17">
        <f t="shared" ca="1" si="65"/>
        <v>1</v>
      </c>
      <c r="H1407" s="17">
        <v>1398</v>
      </c>
      <c r="I1407" s="45">
        <v>0.67069183463537663</v>
      </c>
      <c r="J1407" s="45">
        <v>1.8575410048400898E-2</v>
      </c>
      <c r="K1407" s="45">
        <v>0.23400000000000001</v>
      </c>
      <c r="N1407" s="54"/>
    </row>
    <row r="1408" spans="2:14" x14ac:dyDescent="0.2">
      <c r="B1408">
        <v>1399</v>
      </c>
      <c r="C1408" s="52">
        <f t="shared" ca="1" si="66"/>
        <v>-0.91454951495355874</v>
      </c>
      <c r="D1408" s="52">
        <f ca="1">S0*EXP((μ-0.5*σ*σ)*T+σ*SQRT(T)*$C1408)</f>
        <v>0.50001292086291416</v>
      </c>
      <c r="E1408" s="52">
        <f t="shared" ca="1" si="64"/>
        <v>3.438707913708583E-2</v>
      </c>
      <c r="F1408" s="17">
        <f t="shared" ca="1" si="65"/>
        <v>1</v>
      </c>
      <c r="H1408" s="17">
        <v>1399</v>
      </c>
      <c r="I1408" s="45">
        <v>0.67034814876632154</v>
      </c>
      <c r="J1408" s="45">
        <v>1.8750758614669343E-2</v>
      </c>
      <c r="K1408" s="45">
        <v>0.24460000000000001</v>
      </c>
      <c r="N1408" s="54"/>
    </row>
    <row r="1409" spans="2:14" x14ac:dyDescent="0.2">
      <c r="B1409">
        <v>1400</v>
      </c>
      <c r="C1409" s="52">
        <f t="shared" ca="1" si="66"/>
        <v>1.0808910105767864</v>
      </c>
      <c r="D1409" s="52">
        <f ca="1">S0*EXP((μ-0.5*σ*σ)*T+σ*SQRT(T)*$C1409)</f>
        <v>0.86804067905585958</v>
      </c>
      <c r="E1409" s="52">
        <f t="shared" ca="1" si="64"/>
        <v>0</v>
      </c>
      <c r="F1409" s="17">
        <f t="shared" ca="1" si="65"/>
        <v>0</v>
      </c>
      <c r="H1409" s="17">
        <v>1400</v>
      </c>
      <c r="I1409" s="45">
        <v>0.67140833792318944</v>
      </c>
      <c r="J1409" s="45">
        <v>1.9411445172694445E-2</v>
      </c>
      <c r="K1409" s="45">
        <v>0.24560000000000001</v>
      </c>
      <c r="N1409" s="54"/>
    </row>
    <row r="1410" spans="2:14" x14ac:dyDescent="0.2">
      <c r="B1410">
        <v>1401</v>
      </c>
      <c r="C1410" s="52">
        <f t="shared" ca="1" si="66"/>
        <v>-2.0666541121419866</v>
      </c>
      <c r="D1410" s="52">
        <f ca="1">S0*EXP((μ-0.5*σ*σ)*T+σ*SQRT(T)*$C1410)</f>
        <v>0.36363651035191913</v>
      </c>
      <c r="E1410" s="52">
        <f t="shared" ca="1" si="64"/>
        <v>0.17076348964808086</v>
      </c>
      <c r="F1410" s="17">
        <f t="shared" ca="1" si="65"/>
        <v>1</v>
      </c>
      <c r="H1410" s="17">
        <v>1401</v>
      </c>
      <c r="I1410" s="45">
        <v>0.67158981548520924</v>
      </c>
      <c r="J1410" s="45">
        <v>1.9591880506540812E-2</v>
      </c>
      <c r="K1410" s="45">
        <v>0.2492</v>
      </c>
      <c r="N1410" s="54"/>
    </row>
    <row r="1411" spans="2:14" x14ac:dyDescent="0.2">
      <c r="B1411">
        <v>1402</v>
      </c>
      <c r="C1411" s="52">
        <f t="shared" ca="1" si="66"/>
        <v>1.2239607882562247</v>
      </c>
      <c r="D1411" s="52">
        <f ca="1">S0*EXP((μ-0.5*σ*σ)*T+σ*SQRT(T)*$C1411)</f>
        <v>0.90305884464408515</v>
      </c>
      <c r="E1411" s="52">
        <f t="shared" ca="1" si="64"/>
        <v>0</v>
      </c>
      <c r="F1411" s="17">
        <f t="shared" ca="1" si="65"/>
        <v>0</v>
      </c>
      <c r="H1411" s="17">
        <v>1402</v>
      </c>
      <c r="I1411" s="45">
        <v>0.67040488920498864</v>
      </c>
      <c r="J1411" s="45">
        <v>1.8806367127882057E-2</v>
      </c>
      <c r="K1411" s="45">
        <v>0.24440000000000001</v>
      </c>
      <c r="N1411" s="54"/>
    </row>
    <row r="1412" spans="2:14" x14ac:dyDescent="0.2">
      <c r="B1412">
        <v>1403</v>
      </c>
      <c r="C1412" s="52">
        <f t="shared" ca="1" si="66"/>
        <v>-0.34582999585930391</v>
      </c>
      <c r="D1412" s="52">
        <f ca="1">S0*EXP((μ-0.5*σ*σ)*T+σ*SQRT(T)*$C1412)</f>
        <v>0.58513729129457714</v>
      </c>
      <c r="E1412" s="52">
        <f t="shared" ca="1" si="64"/>
        <v>0</v>
      </c>
      <c r="F1412" s="17">
        <f t="shared" ca="1" si="65"/>
        <v>0</v>
      </c>
      <c r="H1412" s="17">
        <v>1403</v>
      </c>
      <c r="I1412" s="45">
        <v>0.67083543365694309</v>
      </c>
      <c r="J1412" s="45">
        <v>1.8708503920398391E-2</v>
      </c>
      <c r="K1412" s="45">
        <v>0.25059999999999999</v>
      </c>
      <c r="N1412" s="54"/>
    </row>
    <row r="1413" spans="2:14" x14ac:dyDescent="0.2">
      <c r="B1413">
        <v>1404</v>
      </c>
      <c r="C1413" s="52">
        <f t="shared" ca="1" si="66"/>
        <v>0.89277980605690466</v>
      </c>
      <c r="D1413" s="52">
        <f ca="1">S0*EXP((μ-0.5*σ*σ)*T+σ*SQRT(T)*$C1413)</f>
        <v>0.82405603055539745</v>
      </c>
      <c r="E1413" s="52">
        <f t="shared" ca="1" si="64"/>
        <v>0</v>
      </c>
      <c r="F1413" s="17">
        <f t="shared" ca="1" si="65"/>
        <v>0</v>
      </c>
      <c r="H1413" s="17">
        <v>1404</v>
      </c>
      <c r="I1413" s="45">
        <v>0.67246496458334382</v>
      </c>
      <c r="J1413" s="45">
        <v>2.0149700479247433E-2</v>
      </c>
      <c r="K1413" s="45">
        <v>0.25319999999999998</v>
      </c>
      <c r="N1413" s="54"/>
    </row>
    <row r="1414" spans="2:14" x14ac:dyDescent="0.2">
      <c r="B1414">
        <v>1405</v>
      </c>
      <c r="C1414" s="52">
        <f t="shared" ca="1" si="66"/>
        <v>-1.2024886675916764</v>
      </c>
      <c r="D1414" s="52">
        <f ca="1">S0*EXP((μ-0.5*σ*σ)*T+σ*SQRT(T)*$C1414)</f>
        <v>0.46175673106153348</v>
      </c>
      <c r="E1414" s="52">
        <f t="shared" ca="1" si="64"/>
        <v>7.264326893846651E-2</v>
      </c>
      <c r="F1414" s="17">
        <f t="shared" ca="1" si="65"/>
        <v>1</v>
      </c>
      <c r="H1414" s="17">
        <v>1405</v>
      </c>
      <c r="I1414" s="45">
        <v>0.67112622438796965</v>
      </c>
      <c r="J1414" s="45">
        <v>1.905392641139414E-2</v>
      </c>
      <c r="K1414" s="45">
        <v>0.24260000000000001</v>
      </c>
      <c r="N1414" s="54"/>
    </row>
    <row r="1415" spans="2:14" x14ac:dyDescent="0.2">
      <c r="B1415">
        <v>1406</v>
      </c>
      <c r="C1415" s="52">
        <f t="shared" ca="1" si="66"/>
        <v>1.3767943546121262</v>
      </c>
      <c r="D1415" s="52">
        <f ca="1">S0*EXP((μ-0.5*σ*σ)*T+σ*SQRT(T)*$C1415)</f>
        <v>0.94202883435966467</v>
      </c>
      <c r="E1415" s="52">
        <f t="shared" ca="1" si="64"/>
        <v>0</v>
      </c>
      <c r="F1415" s="17">
        <f t="shared" ca="1" si="65"/>
        <v>0</v>
      </c>
      <c r="H1415" s="17">
        <v>1406</v>
      </c>
      <c r="I1415" s="45">
        <v>0.66946677765447116</v>
      </c>
      <c r="J1415" s="45">
        <v>1.7924986953603266E-2</v>
      </c>
      <c r="K1415" s="45">
        <v>0.23760000000000001</v>
      </c>
      <c r="N1415" s="54"/>
    </row>
    <row r="1416" spans="2:14" x14ac:dyDescent="0.2">
      <c r="B1416">
        <v>1407</v>
      </c>
      <c r="C1416" s="52">
        <f t="shared" ca="1" si="66"/>
        <v>-0.96324709170775036</v>
      </c>
      <c r="D1416" s="52">
        <f ca="1">S0*EXP((μ-0.5*σ*σ)*T+σ*SQRT(T)*$C1416)</f>
        <v>0.49332705235433921</v>
      </c>
      <c r="E1416" s="52">
        <f t="shared" ca="1" si="64"/>
        <v>4.1072947645660773E-2</v>
      </c>
      <c r="F1416" s="17">
        <f t="shared" ca="1" si="65"/>
        <v>1</v>
      </c>
      <c r="H1416" s="17">
        <v>1407</v>
      </c>
      <c r="I1416" s="45">
        <v>0.67037345852587427</v>
      </c>
      <c r="J1416" s="45">
        <v>1.8546154310094293E-2</v>
      </c>
      <c r="K1416" s="45">
        <v>0.24299999999999999</v>
      </c>
      <c r="N1416" s="54"/>
    </row>
    <row r="1417" spans="2:14" x14ac:dyDescent="0.2">
      <c r="B1417">
        <v>1408</v>
      </c>
      <c r="C1417" s="52">
        <f t="shared" ca="1" si="66"/>
        <v>0.24773933778274165</v>
      </c>
      <c r="D1417" s="52">
        <f ca="1">S0*EXP((μ-0.5*σ*σ)*T+σ*SQRT(T)*$C1417)</f>
        <v>0.68947357264559983</v>
      </c>
      <c r="E1417" s="52">
        <f t="shared" ca="1" si="64"/>
        <v>0</v>
      </c>
      <c r="F1417" s="17">
        <f t="shared" ca="1" si="65"/>
        <v>0</v>
      </c>
      <c r="H1417" s="17">
        <v>1408</v>
      </c>
      <c r="I1417" s="45">
        <v>0.67128919837831347</v>
      </c>
      <c r="J1417" s="45">
        <v>1.9212677323064569E-2</v>
      </c>
      <c r="K1417" s="45">
        <v>0.25040000000000001</v>
      </c>
      <c r="N1417" s="54"/>
    </row>
    <row r="1418" spans="2:14" x14ac:dyDescent="0.2">
      <c r="B1418">
        <v>1409</v>
      </c>
      <c r="C1418" s="52">
        <f t="shared" ca="1" si="66"/>
        <v>1.8117180010350551</v>
      </c>
      <c r="D1418" s="52">
        <f ca="1">S0*EXP((μ-0.5*σ*σ)*T+σ*SQRT(T)*$C1418)</f>
        <v>1.0623757155711384</v>
      </c>
      <c r="E1418" s="52">
        <f t="shared" ref="E1418:E1481" ca="1" si="67">MAX(0,CP*(D1418-K))</f>
        <v>0</v>
      </c>
      <c r="F1418" s="17">
        <f t="shared" ref="F1418:F1481" ca="1" si="68">(CP*(D1418-K)&gt;0)*1</f>
        <v>0</v>
      </c>
      <c r="H1418" s="17">
        <v>1409</v>
      </c>
      <c r="I1418" s="45">
        <v>0.67104604279260271</v>
      </c>
      <c r="J1418" s="45">
        <v>1.8934760020943745E-2</v>
      </c>
      <c r="K1418" s="45">
        <v>0.2392</v>
      </c>
      <c r="N1418" s="54"/>
    </row>
    <row r="1419" spans="2:14" x14ac:dyDescent="0.2">
      <c r="B1419">
        <v>1410</v>
      </c>
      <c r="C1419" s="52">
        <f t="shared" ref="C1419:C1482" ca="1" si="69">_xlfn.NORM.S.INV(RAND())</f>
        <v>0.64893031923424327</v>
      </c>
      <c r="D1419" s="52">
        <f ca="1">S0*EXP((μ-0.5*σ*σ)*T+σ*SQRT(T)*$C1419)</f>
        <v>0.77033893968678924</v>
      </c>
      <c r="E1419" s="52">
        <f t="shared" ca="1" si="67"/>
        <v>0</v>
      </c>
      <c r="F1419" s="17">
        <f t="shared" ca="1" si="68"/>
        <v>0</v>
      </c>
      <c r="H1419" s="17">
        <v>1410</v>
      </c>
      <c r="I1419" s="45">
        <v>0.67092873129296882</v>
      </c>
      <c r="J1419" s="45">
        <v>1.8914725662551212E-2</v>
      </c>
      <c r="K1419" s="45">
        <v>0.24440000000000001</v>
      </c>
      <c r="N1419" s="54"/>
    </row>
    <row r="1420" spans="2:14" x14ac:dyDescent="0.2">
      <c r="B1420">
        <v>1411</v>
      </c>
      <c r="C1420" s="52">
        <f t="shared" ca="1" si="69"/>
        <v>-0.80400251534851486</v>
      </c>
      <c r="D1420" s="52">
        <f ca="1">S0*EXP((μ-0.5*σ*σ)*T+σ*SQRT(T)*$C1420)</f>
        <v>0.51552857045269507</v>
      </c>
      <c r="E1420" s="52">
        <f t="shared" ca="1" si="67"/>
        <v>1.8871429547304919E-2</v>
      </c>
      <c r="F1420" s="17">
        <f t="shared" ca="1" si="68"/>
        <v>1</v>
      </c>
      <c r="H1420" s="17">
        <v>1411</v>
      </c>
      <c r="I1420" s="45">
        <v>0.67114710770129593</v>
      </c>
      <c r="J1420" s="45">
        <v>1.9147226070863034E-2</v>
      </c>
      <c r="K1420" s="45">
        <v>0.25180000000000002</v>
      </c>
      <c r="N1420" s="54"/>
    </row>
    <row r="1421" spans="2:14" x14ac:dyDescent="0.2">
      <c r="B1421">
        <v>1412</v>
      </c>
      <c r="C1421" s="52">
        <f t="shared" ca="1" si="69"/>
        <v>-1.5707902546732186</v>
      </c>
      <c r="D1421" s="52">
        <f ca="1">S0*EXP((μ-0.5*σ*σ)*T+σ*SQRT(T)*$C1421)</f>
        <v>0.41705898515170953</v>
      </c>
      <c r="E1421" s="52">
        <f t="shared" ca="1" si="67"/>
        <v>0.11734101484829046</v>
      </c>
      <c r="F1421" s="17">
        <f t="shared" ca="1" si="68"/>
        <v>1</v>
      </c>
      <c r="H1421" s="17">
        <v>1412</v>
      </c>
      <c r="I1421" s="45">
        <v>0.67048277725649275</v>
      </c>
      <c r="J1421" s="45">
        <v>1.8862010538773222E-2</v>
      </c>
      <c r="K1421" s="45">
        <v>0.25</v>
      </c>
      <c r="N1421" s="54"/>
    </row>
    <row r="1422" spans="2:14" x14ac:dyDescent="0.2">
      <c r="B1422">
        <v>1413</v>
      </c>
      <c r="C1422" s="52">
        <f t="shared" ca="1" si="69"/>
        <v>0.31377080864552603</v>
      </c>
      <c r="D1422" s="52">
        <f ca="1">S0*EXP((μ-0.5*σ*σ)*T+σ*SQRT(T)*$C1422)</f>
        <v>0.70217426477460998</v>
      </c>
      <c r="E1422" s="52">
        <f t="shared" ca="1" si="67"/>
        <v>0</v>
      </c>
      <c r="F1422" s="17">
        <f t="shared" ca="1" si="68"/>
        <v>0</v>
      </c>
      <c r="H1422" s="17">
        <v>1413</v>
      </c>
      <c r="I1422" s="45">
        <v>0.6727813749430448</v>
      </c>
      <c r="J1422" s="45">
        <v>2.0188358738761174E-2</v>
      </c>
      <c r="K1422" s="45">
        <v>0.25080000000000002</v>
      </c>
      <c r="N1422" s="54"/>
    </row>
    <row r="1423" spans="2:14" x14ac:dyDescent="0.2">
      <c r="B1423">
        <v>1414</v>
      </c>
      <c r="C1423" s="52">
        <f t="shared" ca="1" si="69"/>
        <v>0.68087410906419343</v>
      </c>
      <c r="D1423" s="52">
        <f ca="1">S0*EXP((μ-0.5*σ*σ)*T+σ*SQRT(T)*$C1423)</f>
        <v>0.77717138713303646</v>
      </c>
      <c r="E1423" s="52">
        <f t="shared" ca="1" si="67"/>
        <v>0</v>
      </c>
      <c r="F1423" s="17">
        <f t="shared" ca="1" si="68"/>
        <v>0</v>
      </c>
      <c r="H1423" s="17">
        <v>1414</v>
      </c>
      <c r="I1423" s="45">
        <v>0.67041586588437285</v>
      </c>
      <c r="J1423" s="45">
        <v>1.872084745724361E-2</v>
      </c>
      <c r="K1423" s="45">
        <v>0.24460000000000001</v>
      </c>
      <c r="N1423" s="54"/>
    </row>
    <row r="1424" spans="2:14" x14ac:dyDescent="0.2">
      <c r="B1424">
        <v>1415</v>
      </c>
      <c r="C1424" s="52">
        <f t="shared" ca="1" si="69"/>
        <v>0.66226765735409943</v>
      </c>
      <c r="D1424" s="52">
        <f ca="1">S0*EXP((μ-0.5*σ*σ)*T+σ*SQRT(T)*$C1424)</f>
        <v>0.77318432427642747</v>
      </c>
      <c r="E1424" s="52">
        <f t="shared" ca="1" si="67"/>
        <v>0</v>
      </c>
      <c r="F1424" s="17">
        <f t="shared" ca="1" si="68"/>
        <v>0</v>
      </c>
      <c r="H1424" s="17">
        <v>1415</v>
      </c>
      <c r="I1424" s="45">
        <v>0.67167900129733915</v>
      </c>
      <c r="J1424" s="45">
        <v>1.9411117687756288E-2</v>
      </c>
      <c r="K1424" s="45">
        <v>0.25</v>
      </c>
      <c r="N1424" s="54"/>
    </row>
    <row r="1425" spans="2:14" x14ac:dyDescent="0.2">
      <c r="B1425">
        <v>1416</v>
      </c>
      <c r="C1425" s="52">
        <f t="shared" ca="1" si="69"/>
        <v>-0.6290349745171756</v>
      </c>
      <c r="D1425" s="52">
        <f ca="1">S0*EXP((μ-0.5*σ*σ)*T+σ*SQRT(T)*$C1425)</f>
        <v>0.54107583343208832</v>
      </c>
      <c r="E1425" s="52">
        <f t="shared" ca="1" si="67"/>
        <v>0</v>
      </c>
      <c r="F1425" s="17">
        <f t="shared" ca="1" si="68"/>
        <v>0</v>
      </c>
      <c r="H1425" s="17">
        <v>1416</v>
      </c>
      <c r="I1425" s="45">
        <v>0.67089160983921747</v>
      </c>
      <c r="J1425" s="45">
        <v>1.9108126699602077E-2</v>
      </c>
      <c r="K1425" s="45">
        <v>0.25419999999999998</v>
      </c>
      <c r="N1425" s="54"/>
    </row>
    <row r="1426" spans="2:14" x14ac:dyDescent="0.2">
      <c r="B1426">
        <v>1417</v>
      </c>
      <c r="C1426" s="52">
        <f t="shared" ca="1" si="69"/>
        <v>0.92416352176512617</v>
      </c>
      <c r="D1426" s="52">
        <f ca="1">S0*EXP((μ-0.5*σ*σ)*T+σ*SQRT(T)*$C1426)</f>
        <v>0.83123621239923928</v>
      </c>
      <c r="E1426" s="52">
        <f t="shared" ca="1" si="67"/>
        <v>0</v>
      </c>
      <c r="F1426" s="17">
        <f t="shared" ca="1" si="68"/>
        <v>0</v>
      </c>
      <c r="H1426" s="17">
        <v>1417</v>
      </c>
      <c r="I1426" s="45">
        <v>0.67127493669519267</v>
      </c>
      <c r="J1426" s="45">
        <v>1.9226710281355513E-2</v>
      </c>
      <c r="K1426" s="45">
        <v>0.2462</v>
      </c>
      <c r="N1426" s="54"/>
    </row>
    <row r="1427" spans="2:14" x14ac:dyDescent="0.2">
      <c r="B1427">
        <v>1418</v>
      </c>
      <c r="C1427" s="52">
        <f t="shared" ca="1" si="69"/>
        <v>0.40461764287568397</v>
      </c>
      <c r="D1427" s="52">
        <f ca="1">S0*EXP((μ-0.5*σ*σ)*T+σ*SQRT(T)*$C1427)</f>
        <v>0.72003126330438227</v>
      </c>
      <c r="E1427" s="52">
        <f t="shared" ca="1" si="67"/>
        <v>0</v>
      </c>
      <c r="F1427" s="17">
        <f t="shared" ca="1" si="68"/>
        <v>0</v>
      </c>
      <c r="H1427" s="17">
        <v>1418</v>
      </c>
      <c r="I1427" s="45">
        <v>0.67100102218416413</v>
      </c>
      <c r="J1427" s="45">
        <v>1.8849436758994573E-2</v>
      </c>
      <c r="K1427" s="45">
        <v>0.2432</v>
      </c>
      <c r="N1427" s="54"/>
    </row>
    <row r="1428" spans="2:14" x14ac:dyDescent="0.2">
      <c r="B1428">
        <v>1419</v>
      </c>
      <c r="C1428" s="52">
        <f t="shared" ca="1" si="69"/>
        <v>0.48159275096628096</v>
      </c>
      <c r="D1428" s="52">
        <f ca="1">S0*EXP((μ-0.5*σ*σ)*T+σ*SQRT(T)*$C1428)</f>
        <v>0.73551655985871256</v>
      </c>
      <c r="E1428" s="52">
        <f t="shared" ca="1" si="67"/>
        <v>0</v>
      </c>
      <c r="F1428" s="17">
        <f t="shared" ca="1" si="68"/>
        <v>0</v>
      </c>
      <c r="H1428" s="17">
        <v>1419</v>
      </c>
      <c r="I1428" s="45">
        <v>0.67069094173670285</v>
      </c>
      <c r="J1428" s="45">
        <v>1.8674456639608646E-2</v>
      </c>
      <c r="K1428" s="45">
        <v>0.24260000000000001</v>
      </c>
      <c r="N1428" s="54"/>
    </row>
    <row r="1429" spans="2:14" x14ac:dyDescent="0.2">
      <c r="B1429">
        <v>1420</v>
      </c>
      <c r="C1429" s="52">
        <f t="shared" ca="1" si="69"/>
        <v>1.138074356301515</v>
      </c>
      <c r="D1429" s="52">
        <f ca="1">S0*EXP((μ-0.5*σ*σ)*T+σ*SQRT(T)*$C1429)</f>
        <v>0.88187111286887132</v>
      </c>
      <c r="E1429" s="52">
        <f t="shared" ca="1" si="67"/>
        <v>0</v>
      </c>
      <c r="F1429" s="17">
        <f t="shared" ca="1" si="68"/>
        <v>0</v>
      </c>
      <c r="H1429" s="17">
        <v>1420</v>
      </c>
      <c r="I1429" s="45">
        <v>0.67096284969046349</v>
      </c>
      <c r="J1429" s="45">
        <v>1.8830248515576641E-2</v>
      </c>
      <c r="K1429" s="45">
        <v>0.2452</v>
      </c>
      <c r="N1429" s="54"/>
    </row>
    <row r="1430" spans="2:14" x14ac:dyDescent="0.2">
      <c r="B1430">
        <v>1421</v>
      </c>
      <c r="C1430" s="52">
        <f t="shared" ca="1" si="69"/>
        <v>-0.23781625201205933</v>
      </c>
      <c r="D1430" s="52">
        <f ca="1">S0*EXP((μ-0.5*σ*σ)*T+σ*SQRT(T)*$C1430)</f>
        <v>0.6028720687881437</v>
      </c>
      <c r="E1430" s="52">
        <f t="shared" ca="1" si="67"/>
        <v>0</v>
      </c>
      <c r="F1430" s="17">
        <f t="shared" ca="1" si="68"/>
        <v>0</v>
      </c>
      <c r="H1430" s="17">
        <v>1421</v>
      </c>
      <c r="I1430" s="45">
        <v>0.67124217565594713</v>
      </c>
      <c r="J1430" s="45">
        <v>1.8914817385874666E-2</v>
      </c>
      <c r="K1430" s="45">
        <v>0.2424</v>
      </c>
      <c r="N1430" s="54"/>
    </row>
    <row r="1431" spans="2:14" x14ac:dyDescent="0.2">
      <c r="B1431">
        <v>1422</v>
      </c>
      <c r="C1431" s="52">
        <f t="shared" ca="1" si="69"/>
        <v>-1.0795156557376027</v>
      </c>
      <c r="D1431" s="52">
        <f ca="1">S0*EXP((μ-0.5*σ*σ)*T+σ*SQRT(T)*$C1431)</f>
        <v>0.47772341482958042</v>
      </c>
      <c r="E1431" s="52">
        <f t="shared" ca="1" si="67"/>
        <v>5.6676585170419569E-2</v>
      </c>
      <c r="F1431" s="17">
        <f t="shared" ca="1" si="68"/>
        <v>1</v>
      </c>
      <c r="H1431" s="17">
        <v>1422</v>
      </c>
      <c r="I1431" s="45">
        <v>0.67033893989534699</v>
      </c>
      <c r="J1431" s="45">
        <v>1.8569785767159359E-2</v>
      </c>
      <c r="K1431" s="45">
        <v>0.2452</v>
      </c>
      <c r="N1431" s="54"/>
    </row>
    <row r="1432" spans="2:14" x14ac:dyDescent="0.2">
      <c r="B1432">
        <v>1423</v>
      </c>
      <c r="C1432" s="52">
        <f t="shared" ca="1" si="69"/>
        <v>-0.10630618855299653</v>
      </c>
      <c r="D1432" s="52">
        <f ca="1">S0*EXP((μ-0.5*σ*σ)*T+σ*SQRT(T)*$C1432)</f>
        <v>0.62519191940560703</v>
      </c>
      <c r="E1432" s="52">
        <f t="shared" ca="1" si="67"/>
        <v>0</v>
      </c>
      <c r="F1432" s="17">
        <f t="shared" ca="1" si="68"/>
        <v>0</v>
      </c>
      <c r="H1432" s="17">
        <v>1423</v>
      </c>
      <c r="I1432" s="45">
        <v>0.67069710983145958</v>
      </c>
      <c r="J1432" s="45">
        <v>1.8784871149451203E-2</v>
      </c>
      <c r="K1432" s="45">
        <v>0.24179999999999999</v>
      </c>
      <c r="N1432" s="54"/>
    </row>
    <row r="1433" spans="2:14" x14ac:dyDescent="0.2">
      <c r="B1433">
        <v>1424</v>
      </c>
      <c r="C1433" s="52">
        <f t="shared" ca="1" si="69"/>
        <v>1.8176184263058115</v>
      </c>
      <c r="D1433" s="52">
        <f ca="1">S0*EXP((μ-0.5*σ*σ)*T+σ*SQRT(T)*$C1433)</f>
        <v>1.0641099380106664</v>
      </c>
      <c r="E1433" s="52">
        <f t="shared" ca="1" si="67"/>
        <v>0</v>
      </c>
      <c r="F1433" s="17">
        <f t="shared" ca="1" si="68"/>
        <v>0</v>
      </c>
      <c r="H1433" s="17">
        <v>1424</v>
      </c>
      <c r="I1433" s="45">
        <v>0.66972172093643767</v>
      </c>
      <c r="J1433" s="45">
        <v>1.7978840747121912E-2</v>
      </c>
      <c r="K1433" s="45">
        <v>0.2366</v>
      </c>
      <c r="N1433" s="54"/>
    </row>
    <row r="1434" spans="2:14" x14ac:dyDescent="0.2">
      <c r="B1434">
        <v>1425</v>
      </c>
      <c r="C1434" s="52">
        <f t="shared" ca="1" si="69"/>
        <v>1.2645846200134541</v>
      </c>
      <c r="D1434" s="52">
        <f ca="1">S0*EXP((μ-0.5*σ*σ)*T+σ*SQRT(T)*$C1434)</f>
        <v>0.913257122681569</v>
      </c>
      <c r="E1434" s="52">
        <f t="shared" ca="1" si="67"/>
        <v>0</v>
      </c>
      <c r="F1434" s="17">
        <f t="shared" ca="1" si="68"/>
        <v>0</v>
      </c>
      <c r="H1434" s="17">
        <v>1425</v>
      </c>
      <c r="I1434" s="45">
        <v>0.67084202636491541</v>
      </c>
      <c r="J1434" s="45">
        <v>1.8900850006105117E-2</v>
      </c>
      <c r="K1434" s="45">
        <v>0.24560000000000001</v>
      </c>
      <c r="N1434" s="54"/>
    </row>
    <row r="1435" spans="2:14" x14ac:dyDescent="0.2">
      <c r="B1435">
        <v>1426</v>
      </c>
      <c r="C1435" s="52">
        <f t="shared" ca="1" si="69"/>
        <v>-1.1499625677008174</v>
      </c>
      <c r="D1435" s="52">
        <f ca="1">S0*EXP((μ-0.5*σ*σ)*T+σ*SQRT(T)*$C1435)</f>
        <v>0.46851031478340077</v>
      </c>
      <c r="E1435" s="52">
        <f t="shared" ca="1" si="67"/>
        <v>6.5889685216599214E-2</v>
      </c>
      <c r="F1435" s="17">
        <f t="shared" ca="1" si="68"/>
        <v>1</v>
      </c>
      <c r="H1435" s="17">
        <v>1426</v>
      </c>
      <c r="I1435" s="45">
        <v>0.67082883669482218</v>
      </c>
      <c r="J1435" s="45">
        <v>1.8997407506642729E-2</v>
      </c>
      <c r="K1435" s="45">
        <v>0.24460000000000001</v>
      </c>
      <c r="N1435" s="54"/>
    </row>
    <row r="1436" spans="2:14" x14ac:dyDescent="0.2">
      <c r="B1436">
        <v>1427</v>
      </c>
      <c r="C1436" s="52">
        <f t="shared" ca="1" si="69"/>
        <v>-0.27113185393499101</v>
      </c>
      <c r="D1436" s="52">
        <f ca="1">S0*EXP((μ-0.5*σ*σ)*T+σ*SQRT(T)*$C1436)</f>
        <v>0.59734539713526924</v>
      </c>
      <c r="E1436" s="52">
        <f t="shared" ca="1" si="67"/>
        <v>0</v>
      </c>
      <c r="F1436" s="17">
        <f t="shared" ca="1" si="68"/>
        <v>0</v>
      </c>
      <c r="H1436" s="17">
        <v>1427</v>
      </c>
      <c r="I1436" s="45">
        <v>0.67112171385396135</v>
      </c>
      <c r="J1436" s="45">
        <v>1.9195418053990922E-2</v>
      </c>
      <c r="K1436" s="45">
        <v>0.2422</v>
      </c>
      <c r="N1436" s="54"/>
    </row>
    <row r="1437" spans="2:14" x14ac:dyDescent="0.2">
      <c r="B1437">
        <v>1428</v>
      </c>
      <c r="C1437" s="52">
        <f t="shared" ca="1" si="69"/>
        <v>-0.612908144659148</v>
      </c>
      <c r="D1437" s="52">
        <f ca="1">S0*EXP((μ-0.5*σ*σ)*T+σ*SQRT(T)*$C1437)</f>
        <v>0.54349332328967437</v>
      </c>
      <c r="E1437" s="52">
        <f t="shared" ca="1" si="67"/>
        <v>0</v>
      </c>
      <c r="F1437" s="17">
        <f t="shared" ca="1" si="68"/>
        <v>0</v>
      </c>
      <c r="H1437" s="17">
        <v>1428</v>
      </c>
      <c r="I1437" s="45">
        <v>0.67062329095463569</v>
      </c>
      <c r="J1437" s="45">
        <v>1.8663278185620254E-2</v>
      </c>
      <c r="K1437" s="45">
        <v>0.2432</v>
      </c>
      <c r="N1437" s="54"/>
    </row>
    <row r="1438" spans="2:14" x14ac:dyDescent="0.2">
      <c r="B1438">
        <v>1429</v>
      </c>
      <c r="C1438" s="52">
        <f t="shared" ca="1" si="69"/>
        <v>9.8742329137372409E-2</v>
      </c>
      <c r="D1438" s="52">
        <f ca="1">S0*EXP((μ-0.5*σ*σ)*T+σ*SQRT(T)*$C1438)</f>
        <v>0.66165267006900441</v>
      </c>
      <c r="E1438" s="52">
        <f t="shared" ca="1" si="67"/>
        <v>0</v>
      </c>
      <c r="F1438" s="17">
        <f t="shared" ca="1" si="68"/>
        <v>0</v>
      </c>
      <c r="H1438" s="17">
        <v>1429</v>
      </c>
      <c r="I1438" s="45">
        <v>0.67160207780238457</v>
      </c>
      <c r="J1438" s="45">
        <v>1.9192958808136429E-2</v>
      </c>
      <c r="K1438" s="45">
        <v>0.24540000000000001</v>
      </c>
      <c r="N1438" s="54"/>
    </row>
    <row r="1439" spans="2:14" x14ac:dyDescent="0.2">
      <c r="B1439">
        <v>1430</v>
      </c>
      <c r="C1439" s="52">
        <f t="shared" ca="1" si="69"/>
        <v>-0.98676239755801498</v>
      </c>
      <c r="D1439" s="52">
        <f ca="1">S0*EXP((μ-0.5*σ*σ)*T+σ*SQRT(T)*$C1439)</f>
        <v>0.490130631858816</v>
      </c>
      <c r="E1439" s="52">
        <f t="shared" ca="1" si="67"/>
        <v>4.4269368141183985E-2</v>
      </c>
      <c r="F1439" s="17">
        <f t="shared" ca="1" si="68"/>
        <v>1</v>
      </c>
      <c r="H1439" s="17">
        <v>1430</v>
      </c>
      <c r="I1439" s="45">
        <v>0.67348427134782496</v>
      </c>
      <c r="J1439" s="45">
        <v>2.0727758204385733E-2</v>
      </c>
      <c r="K1439" s="45">
        <v>0.25819999999999999</v>
      </c>
      <c r="N1439" s="54"/>
    </row>
    <row r="1440" spans="2:14" x14ac:dyDescent="0.2">
      <c r="B1440">
        <v>1431</v>
      </c>
      <c r="C1440" s="52">
        <f t="shared" ca="1" si="69"/>
        <v>0.22395441286358994</v>
      </c>
      <c r="D1440" s="52">
        <f ca="1">S0*EXP((μ-0.5*σ*σ)*T+σ*SQRT(T)*$C1440)</f>
        <v>0.68495520478131555</v>
      </c>
      <c r="E1440" s="52">
        <f t="shared" ca="1" si="67"/>
        <v>0</v>
      </c>
      <c r="F1440" s="17">
        <f t="shared" ca="1" si="68"/>
        <v>0</v>
      </c>
      <c r="H1440" s="17">
        <v>1431</v>
      </c>
      <c r="I1440" s="45">
        <v>0.6704199928657818</v>
      </c>
      <c r="J1440" s="45">
        <v>1.8545005913023455E-2</v>
      </c>
      <c r="K1440" s="45">
        <v>0.24160000000000001</v>
      </c>
      <c r="N1440" s="54"/>
    </row>
    <row r="1441" spans="2:14" x14ac:dyDescent="0.2">
      <c r="B1441">
        <v>1432</v>
      </c>
      <c r="C1441" s="52">
        <f t="shared" ca="1" si="69"/>
        <v>-3.797783301794809E-2</v>
      </c>
      <c r="D1441" s="52">
        <f ca="1">S0*EXP((μ-0.5*σ*σ)*T+σ*SQRT(T)*$C1441)</f>
        <v>0.63711288455791582</v>
      </c>
      <c r="E1441" s="52">
        <f t="shared" ca="1" si="67"/>
        <v>0</v>
      </c>
      <c r="F1441" s="17">
        <f t="shared" ca="1" si="68"/>
        <v>0</v>
      </c>
      <c r="H1441" s="17">
        <v>1432</v>
      </c>
      <c r="I1441" s="45">
        <v>0.67046865243042642</v>
      </c>
      <c r="J1441" s="45">
        <v>1.8760022751110314E-2</v>
      </c>
      <c r="K1441" s="45">
        <v>0.24679999999999999</v>
      </c>
      <c r="N1441" s="54"/>
    </row>
    <row r="1442" spans="2:14" x14ac:dyDescent="0.2">
      <c r="B1442">
        <v>1433</v>
      </c>
      <c r="C1442" s="52">
        <f t="shared" ca="1" si="69"/>
        <v>-1.3749363996374176E-2</v>
      </c>
      <c r="D1442" s="52">
        <f ca="1">S0*EXP((μ-0.5*σ*σ)*T+σ*SQRT(T)*$C1442)</f>
        <v>0.64139429284651805</v>
      </c>
      <c r="E1442" s="52">
        <f t="shared" ca="1" si="67"/>
        <v>0</v>
      </c>
      <c r="F1442" s="17">
        <f t="shared" ca="1" si="68"/>
        <v>0</v>
      </c>
      <c r="H1442" s="17">
        <v>1433</v>
      </c>
      <c r="I1442" s="45">
        <v>0.67104078229775788</v>
      </c>
      <c r="J1442" s="45">
        <v>1.9063822131928008E-2</v>
      </c>
      <c r="K1442" s="45">
        <v>0.24360000000000001</v>
      </c>
      <c r="N1442" s="54"/>
    </row>
    <row r="1443" spans="2:14" x14ac:dyDescent="0.2">
      <c r="B1443">
        <v>1434</v>
      </c>
      <c r="C1443" s="52">
        <f t="shared" ca="1" si="69"/>
        <v>1.5654543523075806</v>
      </c>
      <c r="D1443" s="52">
        <f ca="1">S0*EXP((μ-0.5*σ*σ)*T+σ*SQRT(T)*$C1443)</f>
        <v>0.99246092459143687</v>
      </c>
      <c r="E1443" s="52">
        <f t="shared" ca="1" si="67"/>
        <v>0</v>
      </c>
      <c r="F1443" s="17">
        <f t="shared" ca="1" si="68"/>
        <v>0</v>
      </c>
      <c r="H1443" s="17">
        <v>1434</v>
      </c>
      <c r="I1443" s="45">
        <v>0.67277285870849823</v>
      </c>
      <c r="J1443" s="45">
        <v>2.0256330778635173E-2</v>
      </c>
      <c r="K1443" s="45">
        <v>0.246</v>
      </c>
      <c r="N1443" s="54"/>
    </row>
    <row r="1444" spans="2:14" x14ac:dyDescent="0.2">
      <c r="B1444">
        <v>1435</v>
      </c>
      <c r="C1444" s="52">
        <f t="shared" ca="1" si="69"/>
        <v>0.32299007865277368</v>
      </c>
      <c r="D1444" s="52">
        <f ca="1">S0*EXP((μ-0.5*σ*σ)*T+σ*SQRT(T)*$C1444)</f>
        <v>0.70396604229276416</v>
      </c>
      <c r="E1444" s="52">
        <f t="shared" ca="1" si="67"/>
        <v>0</v>
      </c>
      <c r="F1444" s="17">
        <f t="shared" ca="1" si="68"/>
        <v>0</v>
      </c>
      <c r="H1444" s="17">
        <v>1435</v>
      </c>
      <c r="I1444" s="45">
        <v>0.67131898322808992</v>
      </c>
      <c r="J1444" s="45">
        <v>1.9090717285325139E-2</v>
      </c>
      <c r="K1444" s="45">
        <v>0.246</v>
      </c>
      <c r="N1444" s="54"/>
    </row>
    <row r="1445" spans="2:14" x14ac:dyDescent="0.2">
      <c r="B1445">
        <v>1436</v>
      </c>
      <c r="C1445" s="52">
        <f t="shared" ca="1" si="69"/>
        <v>-1.0113475236326632</v>
      </c>
      <c r="D1445" s="52">
        <f ca="1">S0*EXP((μ-0.5*σ*σ)*T+σ*SQRT(T)*$C1445)</f>
        <v>0.48681093457958713</v>
      </c>
      <c r="E1445" s="52">
        <f t="shared" ca="1" si="67"/>
        <v>4.7589065420412857E-2</v>
      </c>
      <c r="F1445" s="17">
        <f t="shared" ca="1" si="68"/>
        <v>1</v>
      </c>
      <c r="H1445" s="17">
        <v>1436</v>
      </c>
      <c r="I1445" s="45">
        <v>0.67118343209113873</v>
      </c>
      <c r="J1445" s="45">
        <v>1.9269017965781454E-2</v>
      </c>
      <c r="K1445" s="45">
        <v>0.25219999999999998</v>
      </c>
      <c r="N1445" s="54"/>
    </row>
    <row r="1446" spans="2:14" x14ac:dyDescent="0.2">
      <c r="B1446">
        <v>1437</v>
      </c>
      <c r="C1446" s="52">
        <f t="shared" ca="1" si="69"/>
        <v>-0.92266495155413797</v>
      </c>
      <c r="D1446" s="52">
        <f ca="1">S0*EXP((μ-0.5*σ*σ)*T+σ*SQRT(T)*$C1446)</f>
        <v>0.49889246387982628</v>
      </c>
      <c r="E1446" s="52">
        <f t="shared" ca="1" si="67"/>
        <v>3.5507536120173711E-2</v>
      </c>
      <c r="F1446" s="17">
        <f t="shared" ca="1" si="68"/>
        <v>1</v>
      </c>
      <c r="H1446" s="17">
        <v>1437</v>
      </c>
      <c r="I1446" s="45">
        <v>0.67144770039259638</v>
      </c>
      <c r="J1446" s="45">
        <v>1.9430569790113369E-2</v>
      </c>
      <c r="K1446" s="45">
        <v>0.24940000000000001</v>
      </c>
      <c r="N1446" s="54"/>
    </row>
    <row r="1447" spans="2:14" x14ac:dyDescent="0.2">
      <c r="B1447">
        <v>1438</v>
      </c>
      <c r="C1447" s="52">
        <f t="shared" ca="1" si="69"/>
        <v>1.1072765588366078</v>
      </c>
      <c r="D1447" s="52">
        <f ca="1">S0*EXP((μ-0.5*σ*σ)*T+σ*SQRT(T)*$C1447)</f>
        <v>0.87439516054518218</v>
      </c>
      <c r="E1447" s="52">
        <f t="shared" ca="1" si="67"/>
        <v>0</v>
      </c>
      <c r="F1447" s="17">
        <f t="shared" ca="1" si="68"/>
        <v>0</v>
      </c>
      <c r="H1447" s="17">
        <v>1438</v>
      </c>
      <c r="I1447" s="45">
        <v>0.67034255654782182</v>
      </c>
      <c r="J1447" s="45">
        <v>1.8525968010100279E-2</v>
      </c>
      <c r="K1447" s="45">
        <v>0.2424</v>
      </c>
      <c r="N1447" s="54"/>
    </row>
    <row r="1448" spans="2:14" x14ac:dyDescent="0.2">
      <c r="B1448">
        <v>1439</v>
      </c>
      <c r="C1448" s="52">
        <f t="shared" ca="1" si="69"/>
        <v>0.21148513745255715</v>
      </c>
      <c r="D1448" s="52">
        <f ca="1">S0*EXP((μ-0.5*σ*σ)*T+σ*SQRT(T)*$C1448)</f>
        <v>0.68259828806474654</v>
      </c>
      <c r="E1448" s="52">
        <f t="shared" ca="1" si="67"/>
        <v>0</v>
      </c>
      <c r="F1448" s="17">
        <f t="shared" ca="1" si="68"/>
        <v>0</v>
      </c>
      <c r="H1448" s="17">
        <v>1439</v>
      </c>
      <c r="I1448" s="45">
        <v>0.67036650894494909</v>
      </c>
      <c r="J1448" s="45">
        <v>1.841105738630644E-2</v>
      </c>
      <c r="K1448" s="45">
        <v>0.24540000000000001</v>
      </c>
      <c r="N1448" s="54"/>
    </row>
    <row r="1449" spans="2:14" x14ac:dyDescent="0.2">
      <c r="B1449">
        <v>1440</v>
      </c>
      <c r="C1449" s="52">
        <f t="shared" ca="1" si="69"/>
        <v>-1.0850669081011819</v>
      </c>
      <c r="D1449" s="52">
        <f ca="1">S0*EXP((μ-0.5*σ*σ)*T+σ*SQRT(T)*$C1449)</f>
        <v>0.47699088815986085</v>
      </c>
      <c r="E1449" s="52">
        <f t="shared" ca="1" si="67"/>
        <v>5.7409111840139138E-2</v>
      </c>
      <c r="F1449" s="17">
        <f t="shared" ca="1" si="68"/>
        <v>1</v>
      </c>
      <c r="H1449" s="17">
        <v>1440</v>
      </c>
      <c r="I1449" s="45">
        <v>0.6701879094973483</v>
      </c>
      <c r="J1449" s="45">
        <v>1.8394648216500054E-2</v>
      </c>
      <c r="K1449" s="45">
        <v>0.2452</v>
      </c>
      <c r="N1449" s="54"/>
    </row>
    <row r="1450" spans="2:14" x14ac:dyDescent="0.2">
      <c r="B1450">
        <v>1441</v>
      </c>
      <c r="C1450" s="52">
        <f t="shared" ca="1" si="69"/>
        <v>0.21017540535937893</v>
      </c>
      <c r="D1450" s="52">
        <f ca="1">S0*EXP((μ-0.5*σ*σ)*T+σ*SQRT(T)*$C1450)</f>
        <v>0.68235119635772057</v>
      </c>
      <c r="E1450" s="52">
        <f t="shared" ca="1" si="67"/>
        <v>0</v>
      </c>
      <c r="F1450" s="17">
        <f t="shared" ca="1" si="68"/>
        <v>0</v>
      </c>
      <c r="H1450" s="17">
        <v>1441</v>
      </c>
      <c r="I1450" s="45">
        <v>0.67154682912246433</v>
      </c>
      <c r="J1450" s="45">
        <v>1.9264594303409766E-2</v>
      </c>
      <c r="K1450" s="45">
        <v>0.24179999999999999</v>
      </c>
      <c r="N1450" s="54"/>
    </row>
    <row r="1451" spans="2:14" x14ac:dyDescent="0.2">
      <c r="B1451">
        <v>1442</v>
      </c>
      <c r="C1451" s="52">
        <f t="shared" ca="1" si="69"/>
        <v>0.1600285816999614</v>
      </c>
      <c r="D1451" s="52">
        <f ca="1">S0*EXP((μ-0.5*σ*σ)*T+σ*SQRT(T)*$C1451)</f>
        <v>0.67295755781603517</v>
      </c>
      <c r="E1451" s="52">
        <f t="shared" ca="1" si="67"/>
        <v>0</v>
      </c>
      <c r="F1451" s="17">
        <f t="shared" ca="1" si="68"/>
        <v>0</v>
      </c>
      <c r="H1451" s="17">
        <v>1442</v>
      </c>
      <c r="I1451" s="45">
        <v>0.67030194987294434</v>
      </c>
      <c r="J1451" s="45">
        <v>1.8538030472440639E-2</v>
      </c>
      <c r="K1451" s="45">
        <v>0.24479999999999999</v>
      </c>
      <c r="N1451" s="54"/>
    </row>
    <row r="1452" spans="2:14" x14ac:dyDescent="0.2">
      <c r="B1452">
        <v>1443</v>
      </c>
      <c r="C1452" s="52">
        <f t="shared" ca="1" si="69"/>
        <v>2.0596711673017922</v>
      </c>
      <c r="D1452" s="52">
        <f ca="1">S0*EXP((μ-0.5*σ*σ)*T+σ*SQRT(T)*$C1452)</f>
        <v>1.1377469625959618</v>
      </c>
      <c r="E1452" s="52">
        <f t="shared" ca="1" si="67"/>
        <v>0</v>
      </c>
      <c r="F1452" s="17">
        <f t="shared" ca="1" si="68"/>
        <v>0</v>
      </c>
      <c r="H1452" s="17">
        <v>1443</v>
      </c>
      <c r="I1452" s="45">
        <v>0.66997467329813953</v>
      </c>
      <c r="J1452" s="45">
        <v>1.8344845087886957E-2</v>
      </c>
      <c r="K1452" s="45">
        <v>0.24260000000000001</v>
      </c>
      <c r="N1452" s="54"/>
    </row>
    <row r="1453" spans="2:14" x14ac:dyDescent="0.2">
      <c r="B1453">
        <v>1444</v>
      </c>
      <c r="C1453" s="52">
        <f t="shared" ca="1" si="69"/>
        <v>0.5378828471045396</v>
      </c>
      <c r="D1453" s="52">
        <f ca="1">S0*EXP((μ-0.5*σ*σ)*T+σ*SQRT(T)*$C1453)</f>
        <v>0.7470510087626312</v>
      </c>
      <c r="E1453" s="52">
        <f t="shared" ca="1" si="67"/>
        <v>0</v>
      </c>
      <c r="F1453" s="17">
        <f t="shared" ca="1" si="68"/>
        <v>0</v>
      </c>
      <c r="H1453" s="17">
        <v>1444</v>
      </c>
      <c r="I1453" s="45">
        <v>0.67057200226843139</v>
      </c>
      <c r="J1453" s="45">
        <v>1.8923553196954494E-2</v>
      </c>
      <c r="K1453" s="45">
        <v>0.245</v>
      </c>
      <c r="N1453" s="54"/>
    </row>
    <row r="1454" spans="2:14" x14ac:dyDescent="0.2">
      <c r="B1454">
        <v>1445</v>
      </c>
      <c r="C1454" s="52">
        <f t="shared" ca="1" si="69"/>
        <v>0.57604695955597363</v>
      </c>
      <c r="D1454" s="52">
        <f ca="1">S0*EXP((μ-0.5*σ*σ)*T+σ*SQRT(T)*$C1454)</f>
        <v>0.75497396796329841</v>
      </c>
      <c r="E1454" s="52">
        <f t="shared" ca="1" si="67"/>
        <v>0</v>
      </c>
      <c r="F1454" s="17">
        <f t="shared" ca="1" si="68"/>
        <v>0</v>
      </c>
      <c r="H1454" s="17">
        <v>1445</v>
      </c>
      <c r="I1454" s="45">
        <v>0.67050522046550909</v>
      </c>
      <c r="J1454" s="45">
        <v>1.8634238825130756E-2</v>
      </c>
      <c r="K1454" s="45">
        <v>0.2382</v>
      </c>
      <c r="N1454" s="54"/>
    </row>
    <row r="1455" spans="2:14" x14ac:dyDescent="0.2">
      <c r="B1455">
        <v>1446</v>
      </c>
      <c r="C1455" s="52">
        <f t="shared" ca="1" si="69"/>
        <v>0.98301689743569964</v>
      </c>
      <c r="D1455" s="52">
        <f ca="1">S0*EXP((μ-0.5*σ*σ)*T+σ*SQRT(T)*$C1455)</f>
        <v>0.84487018790978696</v>
      </c>
      <c r="E1455" s="52">
        <f t="shared" ca="1" si="67"/>
        <v>0</v>
      </c>
      <c r="F1455" s="17">
        <f t="shared" ca="1" si="68"/>
        <v>0</v>
      </c>
      <c r="H1455" s="17">
        <v>1446</v>
      </c>
      <c r="I1455" s="45">
        <v>0.67023246164333594</v>
      </c>
      <c r="J1455" s="45">
        <v>1.8310033424662062E-2</v>
      </c>
      <c r="K1455" s="45">
        <v>0.23760000000000001</v>
      </c>
      <c r="N1455" s="54"/>
    </row>
    <row r="1456" spans="2:14" x14ac:dyDescent="0.2">
      <c r="B1456">
        <v>1447</v>
      </c>
      <c r="C1456" s="52">
        <f t="shared" ca="1" si="69"/>
        <v>1.834590865499083E-2</v>
      </c>
      <c r="D1456" s="52">
        <f ca="1">S0*EXP((μ-0.5*σ*σ)*T+σ*SQRT(T)*$C1456)</f>
        <v>0.64711017512423774</v>
      </c>
      <c r="E1456" s="52">
        <f t="shared" ca="1" si="67"/>
        <v>0</v>
      </c>
      <c r="F1456" s="17">
        <f t="shared" ca="1" si="68"/>
        <v>0</v>
      </c>
      <c r="H1456" s="17">
        <v>1447</v>
      </c>
      <c r="I1456" s="45">
        <v>0.67068487637137819</v>
      </c>
      <c r="J1456" s="45">
        <v>1.8710875305996744E-2</v>
      </c>
      <c r="K1456" s="45">
        <v>0.24279999999999999</v>
      </c>
      <c r="N1456" s="54"/>
    </row>
    <row r="1457" spans="2:14" x14ac:dyDescent="0.2">
      <c r="B1457">
        <v>1448</v>
      </c>
      <c r="C1457" s="52">
        <f t="shared" ca="1" si="69"/>
        <v>-0.33983398177501128</v>
      </c>
      <c r="D1457" s="52">
        <f ca="1">S0*EXP((μ-0.5*σ*σ)*T+σ*SQRT(T)*$C1457)</f>
        <v>0.58610795661352111</v>
      </c>
      <c r="E1457" s="52">
        <f t="shared" ca="1" si="67"/>
        <v>0</v>
      </c>
      <c r="F1457" s="17">
        <f t="shared" ca="1" si="68"/>
        <v>0</v>
      </c>
      <c r="H1457" s="17">
        <v>1448</v>
      </c>
      <c r="I1457" s="45">
        <v>0.67083485744722615</v>
      </c>
      <c r="J1457" s="45">
        <v>1.8990681435608753E-2</v>
      </c>
      <c r="K1457" s="45">
        <v>0.251</v>
      </c>
      <c r="N1457" s="54"/>
    </row>
    <row r="1458" spans="2:14" x14ac:dyDescent="0.2">
      <c r="B1458">
        <v>1449</v>
      </c>
      <c r="C1458" s="52">
        <f t="shared" ca="1" si="69"/>
        <v>1.3069821643034529</v>
      </c>
      <c r="D1458" s="52">
        <f ca="1">S0*EXP((μ-0.5*σ*σ)*T+σ*SQRT(T)*$C1458)</f>
        <v>0.92402351885707812</v>
      </c>
      <c r="E1458" s="52">
        <f t="shared" ca="1" si="67"/>
        <v>0</v>
      </c>
      <c r="F1458" s="17">
        <f t="shared" ca="1" si="68"/>
        <v>0</v>
      </c>
      <c r="H1458" s="17">
        <v>1449</v>
      </c>
      <c r="I1458" s="45">
        <v>0.67154610024031602</v>
      </c>
      <c r="J1458" s="45">
        <v>1.9315534979768938E-2</v>
      </c>
      <c r="K1458" s="45">
        <v>0.24840000000000001</v>
      </c>
      <c r="N1458" s="54"/>
    </row>
    <row r="1459" spans="2:14" x14ac:dyDescent="0.2">
      <c r="B1459">
        <v>1450</v>
      </c>
      <c r="C1459" s="52">
        <f t="shared" ca="1" si="69"/>
        <v>-2.3063694235522898</v>
      </c>
      <c r="D1459" s="52">
        <f ca="1">S0*EXP((μ-0.5*σ*σ)*T+σ*SQRT(T)*$C1459)</f>
        <v>0.34032112761170646</v>
      </c>
      <c r="E1459" s="52">
        <f t="shared" ca="1" si="67"/>
        <v>0.19407887238829352</v>
      </c>
      <c r="F1459" s="17">
        <f t="shared" ca="1" si="68"/>
        <v>1</v>
      </c>
      <c r="H1459" s="17">
        <v>1450</v>
      </c>
      <c r="I1459" s="45">
        <v>0.67097524343484838</v>
      </c>
      <c r="J1459" s="45">
        <v>1.9079707847049404E-2</v>
      </c>
      <c r="K1459" s="45">
        <v>0.2452</v>
      </c>
      <c r="N1459" s="54"/>
    </row>
    <row r="1460" spans="2:14" x14ac:dyDescent="0.2">
      <c r="B1460">
        <v>1451</v>
      </c>
      <c r="C1460" s="52">
        <f t="shared" ca="1" si="69"/>
        <v>-4.5856511413560064E-2</v>
      </c>
      <c r="D1460" s="52">
        <f ca="1">S0*EXP((μ-0.5*σ*σ)*T+σ*SQRT(T)*$C1460)</f>
        <v>0.63572681176481649</v>
      </c>
      <c r="E1460" s="52">
        <f t="shared" ca="1" si="67"/>
        <v>0</v>
      </c>
      <c r="F1460" s="17">
        <f t="shared" ca="1" si="68"/>
        <v>0</v>
      </c>
      <c r="H1460" s="17">
        <v>1451</v>
      </c>
      <c r="I1460" s="45">
        <v>0.6711916213170217</v>
      </c>
      <c r="J1460" s="45">
        <v>1.9252932888183038E-2</v>
      </c>
      <c r="K1460" s="45">
        <v>0.24840000000000001</v>
      </c>
      <c r="N1460" s="54"/>
    </row>
    <row r="1461" spans="2:14" x14ac:dyDescent="0.2">
      <c r="B1461">
        <v>1452</v>
      </c>
      <c r="C1461" s="52">
        <f t="shared" ca="1" si="69"/>
        <v>1.4102650831127213</v>
      </c>
      <c r="D1461" s="52">
        <f ca="1">S0*EXP((μ-0.5*σ*σ)*T+σ*SQRT(T)*$C1461)</f>
        <v>0.95078530639038339</v>
      </c>
      <c r="E1461" s="52">
        <f t="shared" ca="1" si="67"/>
        <v>0</v>
      </c>
      <c r="F1461" s="17">
        <f t="shared" ca="1" si="68"/>
        <v>0</v>
      </c>
      <c r="H1461" s="17">
        <v>1452</v>
      </c>
      <c r="I1461" s="45">
        <v>0.67103073889607134</v>
      </c>
      <c r="J1461" s="45">
        <v>1.9119625157232447E-2</v>
      </c>
      <c r="K1461" s="45">
        <v>0.25080000000000002</v>
      </c>
      <c r="N1461" s="54"/>
    </row>
    <row r="1462" spans="2:14" x14ac:dyDescent="0.2">
      <c r="B1462">
        <v>1453</v>
      </c>
      <c r="C1462" s="52">
        <f t="shared" ca="1" si="69"/>
        <v>2.1861135278182142</v>
      </c>
      <c r="D1462" s="52">
        <f ca="1">S0*EXP((μ-0.5*σ*σ)*T+σ*SQRT(T)*$C1462)</f>
        <v>1.1782175407180677</v>
      </c>
      <c r="E1462" s="52">
        <f t="shared" ca="1" si="67"/>
        <v>0</v>
      </c>
      <c r="F1462" s="17">
        <f t="shared" ca="1" si="68"/>
        <v>0</v>
      </c>
      <c r="H1462" s="17">
        <v>1453</v>
      </c>
      <c r="I1462" s="45">
        <v>0.6709055394382869</v>
      </c>
      <c r="J1462" s="45">
        <v>1.9043224744732166E-2</v>
      </c>
      <c r="K1462" s="45">
        <v>0.24279999999999999</v>
      </c>
      <c r="N1462" s="54"/>
    </row>
    <row r="1463" spans="2:14" x14ac:dyDescent="0.2">
      <c r="B1463">
        <v>1454</v>
      </c>
      <c r="C1463" s="52">
        <f t="shared" ca="1" si="69"/>
        <v>-0.14100233033166745</v>
      </c>
      <c r="D1463" s="52">
        <f ca="1">S0*EXP((μ-0.5*σ*σ)*T+σ*SQRT(T)*$C1463)</f>
        <v>0.61922427912830236</v>
      </c>
      <c r="E1463" s="52">
        <f t="shared" ca="1" si="67"/>
        <v>0</v>
      </c>
      <c r="F1463" s="17">
        <f t="shared" ca="1" si="68"/>
        <v>0</v>
      </c>
      <c r="H1463" s="17">
        <v>1454</v>
      </c>
      <c r="I1463" s="45">
        <v>0.67048535602528592</v>
      </c>
      <c r="J1463" s="45">
        <v>1.8653253630958294E-2</v>
      </c>
      <c r="K1463" s="45">
        <v>0.2402</v>
      </c>
      <c r="N1463" s="54"/>
    </row>
    <row r="1464" spans="2:14" x14ac:dyDescent="0.2">
      <c r="B1464">
        <v>1455</v>
      </c>
      <c r="C1464" s="52">
        <f t="shared" ca="1" si="69"/>
        <v>-0.24170213120986464</v>
      </c>
      <c r="D1464" s="52">
        <f ca="1">S0*EXP((μ-0.5*σ*σ)*T+σ*SQRT(T)*$C1464)</f>
        <v>0.60222482134199362</v>
      </c>
      <c r="E1464" s="52">
        <f t="shared" ca="1" si="67"/>
        <v>0</v>
      </c>
      <c r="F1464" s="17">
        <f t="shared" ca="1" si="68"/>
        <v>0</v>
      </c>
      <c r="H1464" s="17">
        <v>1455</v>
      </c>
      <c r="I1464" s="45">
        <v>0.67005401968267264</v>
      </c>
      <c r="J1464" s="45">
        <v>1.8424964582951751E-2</v>
      </c>
      <c r="K1464" s="45">
        <v>0.24479999999999999</v>
      </c>
      <c r="N1464" s="54"/>
    </row>
    <row r="1465" spans="2:14" x14ac:dyDescent="0.2">
      <c r="B1465">
        <v>1456</v>
      </c>
      <c r="C1465" s="52">
        <f t="shared" ca="1" si="69"/>
        <v>-1.2952054131095774</v>
      </c>
      <c r="D1465" s="52">
        <f ca="1">S0*EXP((μ-0.5*σ*σ)*T+σ*SQRT(T)*$C1465)</f>
        <v>0.4500723165500724</v>
      </c>
      <c r="E1465" s="52">
        <f t="shared" ca="1" si="67"/>
        <v>8.4327683449927582E-2</v>
      </c>
      <c r="F1465" s="17">
        <f t="shared" ca="1" si="68"/>
        <v>1</v>
      </c>
      <c r="H1465" s="17">
        <v>1456</v>
      </c>
      <c r="I1465" s="45">
        <v>0.67141086576844633</v>
      </c>
      <c r="J1465" s="45">
        <v>1.9495311213323721E-2</v>
      </c>
      <c r="K1465" s="45">
        <v>0.2424</v>
      </c>
      <c r="N1465" s="54"/>
    </row>
    <row r="1466" spans="2:14" x14ac:dyDescent="0.2">
      <c r="B1466">
        <v>1457</v>
      </c>
      <c r="C1466" s="52">
        <f t="shared" ca="1" si="69"/>
        <v>-0.39014697200824483</v>
      </c>
      <c r="D1466" s="52">
        <f ca="1">S0*EXP((μ-0.5*σ*σ)*T+σ*SQRT(T)*$C1466)</f>
        <v>0.57801270684146566</v>
      </c>
      <c r="E1466" s="52">
        <f t="shared" ca="1" si="67"/>
        <v>0</v>
      </c>
      <c r="F1466" s="17">
        <f t="shared" ca="1" si="68"/>
        <v>0</v>
      </c>
      <c r="H1466" s="17">
        <v>1457</v>
      </c>
      <c r="I1466" s="45">
        <v>0.67064492850591662</v>
      </c>
      <c r="J1466" s="45">
        <v>1.8712143837986073E-2</v>
      </c>
      <c r="K1466" s="45">
        <v>0.25019999999999998</v>
      </c>
      <c r="N1466" s="54"/>
    </row>
    <row r="1467" spans="2:14" x14ac:dyDescent="0.2">
      <c r="B1467">
        <v>1458</v>
      </c>
      <c r="C1467" s="52">
        <f t="shared" ca="1" si="69"/>
        <v>-1.3655673887016531</v>
      </c>
      <c r="D1467" s="52">
        <f ca="1">S0*EXP((μ-0.5*σ*σ)*T+σ*SQRT(T)*$C1467)</f>
        <v>0.44140284339415048</v>
      </c>
      <c r="E1467" s="52">
        <f t="shared" ca="1" si="67"/>
        <v>9.2997156605849507E-2</v>
      </c>
      <c r="F1467" s="17">
        <f t="shared" ca="1" si="68"/>
        <v>1</v>
      </c>
      <c r="H1467" s="17">
        <v>1458</v>
      </c>
      <c r="I1467" s="45">
        <v>0.67100094867134719</v>
      </c>
      <c r="J1467" s="45">
        <v>1.8904295991676701E-2</v>
      </c>
      <c r="K1467" s="45">
        <v>0.248</v>
      </c>
      <c r="N1467" s="54"/>
    </row>
    <row r="1468" spans="2:14" x14ac:dyDescent="0.2">
      <c r="B1468">
        <v>1459</v>
      </c>
      <c r="C1468" s="52">
        <f t="shared" ca="1" si="69"/>
        <v>0.62671591879150268</v>
      </c>
      <c r="D1468" s="52">
        <f ca="1">S0*EXP((μ-0.5*σ*σ)*T+σ*SQRT(T)*$C1468)</f>
        <v>0.76562295052828366</v>
      </c>
      <c r="E1468" s="52">
        <f t="shared" ca="1" si="67"/>
        <v>0</v>
      </c>
      <c r="F1468" s="17">
        <f t="shared" ca="1" si="68"/>
        <v>0</v>
      </c>
      <c r="H1468" s="17">
        <v>1459</v>
      </c>
      <c r="I1468" s="45">
        <v>0.67097343770265505</v>
      </c>
      <c r="J1468" s="45">
        <v>1.8803918420213301E-2</v>
      </c>
      <c r="K1468" s="45">
        <v>0.245</v>
      </c>
      <c r="N1468" s="54"/>
    </row>
    <row r="1469" spans="2:14" x14ac:dyDescent="0.2">
      <c r="B1469">
        <v>1460</v>
      </c>
      <c r="C1469" s="52">
        <f t="shared" ca="1" si="69"/>
        <v>0.35750622926532422</v>
      </c>
      <c r="D1469" s="52">
        <f ca="1">S0*EXP((μ-0.5*σ*σ)*T+σ*SQRT(T)*$C1469)</f>
        <v>0.71071500021754253</v>
      </c>
      <c r="E1469" s="52">
        <f t="shared" ca="1" si="67"/>
        <v>0</v>
      </c>
      <c r="F1469" s="17">
        <f t="shared" ca="1" si="68"/>
        <v>0</v>
      </c>
      <c r="H1469" s="17">
        <v>1460</v>
      </c>
      <c r="I1469" s="45">
        <v>0.67099964248863975</v>
      </c>
      <c r="J1469" s="45">
        <v>1.9070814802652582E-2</v>
      </c>
      <c r="K1469" s="45">
        <v>0.23899999999999999</v>
      </c>
      <c r="N1469" s="54"/>
    </row>
    <row r="1470" spans="2:14" x14ac:dyDescent="0.2">
      <c r="B1470">
        <v>1461</v>
      </c>
      <c r="C1470" s="52">
        <f t="shared" ca="1" si="69"/>
        <v>-0.10114779051173797</v>
      </c>
      <c r="D1470" s="52">
        <f ca="1">S0*EXP((μ-0.5*σ*σ)*T+σ*SQRT(T)*$C1470)</f>
        <v>0.62608404706946685</v>
      </c>
      <c r="E1470" s="52">
        <f t="shared" ca="1" si="67"/>
        <v>0</v>
      </c>
      <c r="F1470" s="17">
        <f t="shared" ca="1" si="68"/>
        <v>0</v>
      </c>
      <c r="H1470" s="17">
        <v>1461</v>
      </c>
      <c r="I1470" s="45">
        <v>0.67017183385317536</v>
      </c>
      <c r="J1470" s="45">
        <v>1.8592779790226336E-2</v>
      </c>
      <c r="K1470" s="45">
        <v>0.25040000000000001</v>
      </c>
      <c r="N1470" s="54"/>
    </row>
    <row r="1471" spans="2:14" x14ac:dyDescent="0.2">
      <c r="B1471">
        <v>1462</v>
      </c>
      <c r="C1471" s="52">
        <f t="shared" ca="1" si="69"/>
        <v>-0.48569443662511691</v>
      </c>
      <c r="D1471" s="52">
        <f ca="1">S0*EXP((μ-0.5*σ*σ)*T+σ*SQRT(T)*$C1471)</f>
        <v>0.56294584126800129</v>
      </c>
      <c r="E1471" s="52">
        <f t="shared" ca="1" si="67"/>
        <v>0</v>
      </c>
      <c r="F1471" s="17">
        <f t="shared" ca="1" si="68"/>
        <v>0</v>
      </c>
      <c r="H1471" s="17">
        <v>1462</v>
      </c>
      <c r="I1471" s="45">
        <v>0.67092733071908695</v>
      </c>
      <c r="J1471" s="45">
        <v>1.9145277941170095E-2</v>
      </c>
      <c r="K1471" s="45">
        <v>0.25019999999999998</v>
      </c>
      <c r="N1471" s="54"/>
    </row>
    <row r="1472" spans="2:14" x14ac:dyDescent="0.2">
      <c r="B1472">
        <v>1463</v>
      </c>
      <c r="C1472" s="52">
        <f t="shared" ca="1" si="69"/>
        <v>4.4436957430642604E-3</v>
      </c>
      <c r="D1472" s="52">
        <f ca="1">S0*EXP((μ-0.5*σ*σ)*T+σ*SQRT(T)*$C1472)</f>
        <v>0.64462808783096115</v>
      </c>
      <c r="E1472" s="52">
        <f t="shared" ca="1" si="67"/>
        <v>0</v>
      </c>
      <c r="F1472" s="17">
        <f t="shared" ca="1" si="68"/>
        <v>0</v>
      </c>
      <c r="H1472" s="17">
        <v>1463</v>
      </c>
      <c r="I1472" s="45">
        <v>0.67170526934639396</v>
      </c>
      <c r="J1472" s="45">
        <v>1.9633666674268597E-2</v>
      </c>
      <c r="K1472" s="45">
        <v>0.24959999999999999</v>
      </c>
      <c r="N1472" s="54"/>
    </row>
    <row r="1473" spans="2:14" x14ac:dyDescent="0.2">
      <c r="B1473">
        <v>1464</v>
      </c>
      <c r="C1473" s="52">
        <f t="shared" ca="1" si="69"/>
        <v>0.7247657070392437</v>
      </c>
      <c r="D1473" s="52">
        <f ca="1">S0*EXP((μ-0.5*σ*σ)*T+σ*SQRT(T)*$C1473)</f>
        <v>0.78665829412478827</v>
      </c>
      <c r="E1473" s="52">
        <f t="shared" ca="1" si="67"/>
        <v>0</v>
      </c>
      <c r="F1473" s="17">
        <f t="shared" ca="1" si="68"/>
        <v>0</v>
      </c>
      <c r="H1473" s="17">
        <v>1464</v>
      </c>
      <c r="I1473" s="45">
        <v>0.66963577882089453</v>
      </c>
      <c r="J1473" s="45">
        <v>1.8235435982003546E-2</v>
      </c>
      <c r="K1473" s="45">
        <v>0.2462</v>
      </c>
      <c r="N1473" s="54"/>
    </row>
    <row r="1474" spans="2:14" x14ac:dyDescent="0.2">
      <c r="B1474">
        <v>1465</v>
      </c>
      <c r="C1474" s="52">
        <f t="shared" ca="1" si="69"/>
        <v>0.10878393102428562</v>
      </c>
      <c r="D1474" s="52">
        <f ca="1">S0*EXP((μ-0.5*σ*σ)*T+σ*SQRT(T)*$C1474)</f>
        <v>0.66349185369868924</v>
      </c>
      <c r="E1474" s="52">
        <f t="shared" ca="1" si="67"/>
        <v>0</v>
      </c>
      <c r="F1474" s="17">
        <f t="shared" ca="1" si="68"/>
        <v>0</v>
      </c>
      <c r="H1474" s="17">
        <v>1465</v>
      </c>
      <c r="I1474" s="45">
        <v>0.67130301777059975</v>
      </c>
      <c r="J1474" s="45">
        <v>1.9231475510869667E-2</v>
      </c>
      <c r="K1474" s="45">
        <v>0.24640000000000001</v>
      </c>
      <c r="N1474" s="54"/>
    </row>
    <row r="1475" spans="2:14" x14ac:dyDescent="0.2">
      <c r="B1475">
        <v>1466</v>
      </c>
      <c r="C1475" s="52">
        <f t="shared" ca="1" si="69"/>
        <v>-0.63442773310638467</v>
      </c>
      <c r="D1475" s="52">
        <f ca="1">S0*EXP((μ-0.5*σ*σ)*T+σ*SQRT(T)*$C1475)</f>
        <v>0.54026983430838449</v>
      </c>
      <c r="E1475" s="52">
        <f t="shared" ca="1" si="67"/>
        <v>0</v>
      </c>
      <c r="F1475" s="17">
        <f t="shared" ca="1" si="68"/>
        <v>0</v>
      </c>
      <c r="H1475" s="17">
        <v>1466</v>
      </c>
      <c r="I1475" s="45">
        <v>0.67058009118547235</v>
      </c>
      <c r="J1475" s="45">
        <v>1.8634617893035558E-2</v>
      </c>
      <c r="K1475" s="45">
        <v>0.2482</v>
      </c>
      <c r="N1475" s="54"/>
    </row>
    <row r="1476" spans="2:14" x14ac:dyDescent="0.2">
      <c r="B1476">
        <v>1467</v>
      </c>
      <c r="C1476" s="52">
        <f t="shared" ca="1" si="69"/>
        <v>0.70901689600036699</v>
      </c>
      <c r="D1476" s="52">
        <f ca="1">S0*EXP((μ-0.5*σ*σ)*T+σ*SQRT(T)*$C1476)</f>
        <v>0.78324103417964952</v>
      </c>
      <c r="E1476" s="52">
        <f t="shared" ca="1" si="67"/>
        <v>0</v>
      </c>
      <c r="F1476" s="17">
        <f t="shared" ca="1" si="68"/>
        <v>0</v>
      </c>
      <c r="H1476" s="17">
        <v>1467</v>
      </c>
      <c r="I1476" s="45">
        <v>0.67075721093726948</v>
      </c>
      <c r="J1476" s="45">
        <v>1.8695968030578346E-2</v>
      </c>
      <c r="K1476" s="45">
        <v>0.24279999999999999</v>
      </c>
      <c r="N1476" s="54"/>
    </row>
    <row r="1477" spans="2:14" x14ac:dyDescent="0.2">
      <c r="B1477">
        <v>1468</v>
      </c>
      <c r="C1477" s="52">
        <f t="shared" ca="1" si="69"/>
        <v>0.60642539228015746</v>
      </c>
      <c r="D1477" s="52">
        <f ca="1">S0*EXP((μ-0.5*σ*σ)*T+σ*SQRT(T)*$C1477)</f>
        <v>0.7613406220134612</v>
      </c>
      <c r="E1477" s="52">
        <f t="shared" ca="1" si="67"/>
        <v>0</v>
      </c>
      <c r="F1477" s="17">
        <f t="shared" ca="1" si="68"/>
        <v>0</v>
      </c>
      <c r="H1477" s="17">
        <v>1468</v>
      </c>
      <c r="I1477" s="45">
        <v>0.67161131716327183</v>
      </c>
      <c r="J1477" s="45">
        <v>1.9459167680499025E-2</v>
      </c>
      <c r="K1477" s="45">
        <v>0.24779999999999999</v>
      </c>
      <c r="N1477" s="54"/>
    </row>
    <row r="1478" spans="2:14" x14ac:dyDescent="0.2">
      <c r="B1478">
        <v>1469</v>
      </c>
      <c r="C1478" s="52">
        <f t="shared" ca="1" si="69"/>
        <v>-0.21889250930006132</v>
      </c>
      <c r="D1478" s="52">
        <f ca="1">S0*EXP((μ-0.5*σ*σ)*T+σ*SQRT(T)*$C1478)</f>
        <v>0.60603403876730066</v>
      </c>
      <c r="E1478" s="52">
        <f t="shared" ca="1" si="67"/>
        <v>0</v>
      </c>
      <c r="F1478" s="17">
        <f t="shared" ca="1" si="68"/>
        <v>0</v>
      </c>
      <c r="H1478" s="17">
        <v>1469</v>
      </c>
      <c r="I1478" s="45">
        <v>0.67080301956107491</v>
      </c>
      <c r="J1478" s="45">
        <v>1.8945704853200813E-2</v>
      </c>
      <c r="K1478" s="45">
        <v>0.2412</v>
      </c>
      <c r="N1478" s="54"/>
    </row>
    <row r="1479" spans="2:14" x14ac:dyDescent="0.2">
      <c r="B1479">
        <v>1470</v>
      </c>
      <c r="C1479" s="52">
        <f t="shared" ca="1" si="69"/>
        <v>1.2465349743561576</v>
      </c>
      <c r="D1479" s="52">
        <f ca="1">S0*EXP((μ-0.5*σ*σ)*T+σ*SQRT(T)*$C1479)</f>
        <v>0.90871176710863799</v>
      </c>
      <c r="E1479" s="52">
        <f t="shared" ca="1" si="67"/>
        <v>0</v>
      </c>
      <c r="F1479" s="17">
        <f t="shared" ca="1" si="68"/>
        <v>0</v>
      </c>
      <c r="H1479" s="17">
        <v>1470</v>
      </c>
      <c r="I1479" s="45">
        <v>0.67095082880712653</v>
      </c>
      <c r="J1479" s="45">
        <v>1.8932019184734541E-2</v>
      </c>
      <c r="K1479" s="45">
        <v>0.245</v>
      </c>
      <c r="N1479" s="54"/>
    </row>
    <row r="1480" spans="2:14" x14ac:dyDescent="0.2">
      <c r="B1480">
        <v>1471</v>
      </c>
      <c r="C1480" s="52">
        <f t="shared" ca="1" si="69"/>
        <v>1.3747546055229556</v>
      </c>
      <c r="D1480" s="52">
        <f ca="1">S0*EXP((μ-0.5*σ*σ)*T+σ*SQRT(T)*$C1480)</f>
        <v>0.94149781832832569</v>
      </c>
      <c r="E1480" s="52">
        <f t="shared" ca="1" si="67"/>
        <v>0</v>
      </c>
      <c r="F1480" s="17">
        <f t="shared" ca="1" si="68"/>
        <v>0</v>
      </c>
      <c r="H1480" s="17">
        <v>1471</v>
      </c>
      <c r="I1480" s="45">
        <v>0.66950205635558968</v>
      </c>
      <c r="J1480" s="45">
        <v>1.7947183222536359E-2</v>
      </c>
      <c r="K1480" s="45">
        <v>0.24099999999999999</v>
      </c>
      <c r="N1480" s="54"/>
    </row>
    <row r="1481" spans="2:14" x14ac:dyDescent="0.2">
      <c r="B1481">
        <v>1472</v>
      </c>
      <c r="C1481" s="52">
        <f t="shared" ca="1" si="69"/>
        <v>1.829755818075125</v>
      </c>
      <c r="D1481" s="52">
        <f ca="1">S0*EXP((μ-0.5*σ*σ)*T+σ*SQRT(T)*$C1481)</f>
        <v>1.0676862035748182</v>
      </c>
      <c r="E1481" s="52">
        <f t="shared" ca="1" si="67"/>
        <v>0</v>
      </c>
      <c r="F1481" s="17">
        <f t="shared" ca="1" si="68"/>
        <v>0</v>
      </c>
      <c r="H1481" s="17">
        <v>1472</v>
      </c>
      <c r="I1481" s="45">
        <v>0.67065111393002286</v>
      </c>
      <c r="J1481" s="45">
        <v>1.8715996436336684E-2</v>
      </c>
      <c r="K1481" s="45">
        <v>0.2424</v>
      </c>
      <c r="N1481" s="54"/>
    </row>
    <row r="1482" spans="2:14" x14ac:dyDescent="0.2">
      <c r="B1482">
        <v>1473</v>
      </c>
      <c r="C1482" s="52">
        <f t="shared" ca="1" si="69"/>
        <v>2.0563661808945337</v>
      </c>
      <c r="D1482" s="52">
        <f ca="1">S0*EXP((μ-0.5*σ*σ)*T+σ*SQRT(T)*$C1482)</f>
        <v>1.1367079851681705</v>
      </c>
      <c r="E1482" s="52">
        <f t="shared" ref="E1482:E1545" ca="1" si="70">MAX(0,CP*(D1482-K))</f>
        <v>0</v>
      </c>
      <c r="F1482" s="17">
        <f t="shared" ref="F1482:F1545" ca="1" si="71">(CP*(D1482-K)&gt;0)*1</f>
        <v>0</v>
      </c>
      <c r="H1482" s="17">
        <v>1473</v>
      </c>
      <c r="I1482" s="45">
        <v>0.67107236470546805</v>
      </c>
      <c r="J1482" s="45">
        <v>1.9132816259568385E-2</v>
      </c>
      <c r="K1482" s="45">
        <v>0.2492</v>
      </c>
      <c r="N1482" s="54"/>
    </row>
    <row r="1483" spans="2:14" x14ac:dyDescent="0.2">
      <c r="B1483">
        <v>1474</v>
      </c>
      <c r="C1483" s="52">
        <f t="shared" ref="C1483:C1546" ca="1" si="72">_xlfn.NORM.S.INV(RAND())</f>
        <v>-1.2223825921321552</v>
      </c>
      <c r="D1483" s="52">
        <f ca="1">S0*EXP((μ-0.5*σ*σ)*T+σ*SQRT(T)*$C1483)</f>
        <v>0.45922434912808535</v>
      </c>
      <c r="E1483" s="52">
        <f t="shared" ca="1" si="70"/>
        <v>7.5175650871914634E-2</v>
      </c>
      <c r="F1483" s="17">
        <f t="shared" ca="1" si="71"/>
        <v>1</v>
      </c>
      <c r="H1483" s="17">
        <v>1474</v>
      </c>
      <c r="I1483" s="45">
        <v>0.66987807124790155</v>
      </c>
      <c r="J1483" s="45">
        <v>1.8025648640639248E-2</v>
      </c>
      <c r="K1483" s="45">
        <v>0.2402</v>
      </c>
      <c r="N1483" s="54"/>
    </row>
    <row r="1484" spans="2:14" x14ac:dyDescent="0.2">
      <c r="B1484">
        <v>1475</v>
      </c>
      <c r="C1484" s="52">
        <f t="shared" ca="1" si="72"/>
        <v>-1.1108716870694615</v>
      </c>
      <c r="D1484" s="52">
        <f ca="1">S0*EXP((μ-0.5*σ*σ)*T+σ*SQRT(T)*$C1484)</f>
        <v>0.47360048536834787</v>
      </c>
      <c r="E1484" s="52">
        <f t="shared" ca="1" si="70"/>
        <v>6.0799514631652118E-2</v>
      </c>
      <c r="F1484" s="17">
        <f t="shared" ca="1" si="71"/>
        <v>1</v>
      </c>
      <c r="H1484" s="17">
        <v>1475</v>
      </c>
      <c r="I1484" s="45">
        <v>0.67136528009711105</v>
      </c>
      <c r="J1484" s="45">
        <v>1.9255260317909671E-2</v>
      </c>
      <c r="K1484" s="45">
        <v>0.25080000000000002</v>
      </c>
      <c r="N1484" s="54"/>
    </row>
    <row r="1485" spans="2:14" x14ac:dyDescent="0.2">
      <c r="B1485">
        <v>1476</v>
      </c>
      <c r="C1485" s="52">
        <f t="shared" ca="1" si="72"/>
        <v>-2.1444196852253574</v>
      </c>
      <c r="D1485" s="52">
        <f ca="1">S0*EXP((μ-0.5*σ*σ)*T+σ*SQRT(T)*$C1485)</f>
        <v>0.35590286339168437</v>
      </c>
      <c r="E1485" s="52">
        <f t="shared" ca="1" si="70"/>
        <v>0.17849713660831562</v>
      </c>
      <c r="F1485" s="17">
        <f t="shared" ca="1" si="71"/>
        <v>1</v>
      </c>
      <c r="H1485" s="17">
        <v>1476</v>
      </c>
      <c r="I1485" s="45">
        <v>0.67066376420210772</v>
      </c>
      <c r="J1485" s="45">
        <v>1.8593301777122984E-2</v>
      </c>
      <c r="K1485" s="45">
        <v>0.23780000000000001</v>
      </c>
      <c r="N1485" s="54"/>
    </row>
    <row r="1486" spans="2:14" x14ac:dyDescent="0.2">
      <c r="B1486">
        <v>1477</v>
      </c>
      <c r="C1486" s="52">
        <f t="shared" ca="1" si="72"/>
        <v>0.75479795088211921</v>
      </c>
      <c r="D1486" s="52">
        <f ca="1">S0*EXP((μ-0.5*σ*σ)*T+σ*SQRT(T)*$C1486)</f>
        <v>0.79321622762939259</v>
      </c>
      <c r="E1486" s="52">
        <f t="shared" ca="1" si="70"/>
        <v>0</v>
      </c>
      <c r="F1486" s="17">
        <f t="shared" ca="1" si="71"/>
        <v>0</v>
      </c>
      <c r="H1486" s="17">
        <v>1477</v>
      </c>
      <c r="I1486" s="45">
        <v>0.67078681835610299</v>
      </c>
      <c r="J1486" s="45">
        <v>1.8993636199291869E-2</v>
      </c>
      <c r="K1486" s="45">
        <v>0.24299999999999999</v>
      </c>
      <c r="N1486" s="54"/>
    </row>
    <row r="1487" spans="2:14" x14ac:dyDescent="0.2">
      <c r="B1487">
        <v>1478</v>
      </c>
      <c r="C1487" s="52">
        <f t="shared" ca="1" si="72"/>
        <v>0.18994457653208346</v>
      </c>
      <c r="D1487" s="52">
        <f ca="1">S0*EXP((μ-0.5*σ*σ)*T+σ*SQRT(T)*$C1487)</f>
        <v>0.67854582597546409</v>
      </c>
      <c r="E1487" s="52">
        <f t="shared" ca="1" si="70"/>
        <v>0</v>
      </c>
      <c r="F1487" s="17">
        <f t="shared" ca="1" si="71"/>
        <v>0</v>
      </c>
      <c r="H1487" s="17">
        <v>1478</v>
      </c>
      <c r="I1487" s="45">
        <v>0.67053347270530939</v>
      </c>
      <c r="J1487" s="45">
        <v>1.8706535435965371E-2</v>
      </c>
      <c r="K1487" s="45">
        <v>0.25019999999999998</v>
      </c>
      <c r="N1487" s="54"/>
    </row>
    <row r="1488" spans="2:14" x14ac:dyDescent="0.2">
      <c r="B1488">
        <v>1479</v>
      </c>
      <c r="C1488" s="52">
        <f t="shared" ca="1" si="72"/>
        <v>-8.3367831483768987E-2</v>
      </c>
      <c r="D1488" s="52">
        <f ca="1">S0*EXP((μ-0.5*σ*σ)*T+σ*SQRT(T)*$C1488)</f>
        <v>0.62916879884214649</v>
      </c>
      <c r="E1488" s="52">
        <f t="shared" ca="1" si="70"/>
        <v>0</v>
      </c>
      <c r="F1488" s="17">
        <f t="shared" ca="1" si="71"/>
        <v>0</v>
      </c>
      <c r="H1488" s="17">
        <v>1479</v>
      </c>
      <c r="I1488" s="45">
        <v>0.67122941217842524</v>
      </c>
      <c r="J1488" s="45">
        <v>1.9303250677717276E-2</v>
      </c>
      <c r="K1488" s="45">
        <v>0.25019999999999998</v>
      </c>
      <c r="N1488" s="54"/>
    </row>
    <row r="1489" spans="2:14" x14ac:dyDescent="0.2">
      <c r="B1489">
        <v>1480</v>
      </c>
      <c r="C1489" s="52">
        <f t="shared" ca="1" si="72"/>
        <v>-0.85368410092820957</v>
      </c>
      <c r="D1489" s="52">
        <f ca="1">S0*EXP((μ-0.5*σ*σ)*T+σ*SQRT(T)*$C1489)</f>
        <v>0.50849690003047077</v>
      </c>
      <c r="E1489" s="52">
        <f t="shared" ca="1" si="70"/>
        <v>2.590309996952922E-2</v>
      </c>
      <c r="F1489" s="17">
        <f t="shared" ca="1" si="71"/>
        <v>1</v>
      </c>
      <c r="H1489" s="17">
        <v>1480</v>
      </c>
      <c r="I1489" s="45">
        <v>0.67067057154012244</v>
      </c>
      <c r="J1489" s="45">
        <v>1.8798734081393764E-2</v>
      </c>
      <c r="K1489" s="45">
        <v>0.246</v>
      </c>
      <c r="N1489" s="54"/>
    </row>
    <row r="1490" spans="2:14" x14ac:dyDescent="0.2">
      <c r="B1490">
        <v>1481</v>
      </c>
      <c r="C1490" s="52">
        <f t="shared" ca="1" si="72"/>
        <v>2.3729965786751803</v>
      </c>
      <c r="D1490" s="52">
        <f ca="1">S0*EXP((μ-0.5*σ*σ)*T+σ*SQRT(T)*$C1490)</f>
        <v>1.2406845566557514</v>
      </c>
      <c r="E1490" s="52">
        <f t="shared" ca="1" si="70"/>
        <v>0</v>
      </c>
      <c r="F1490" s="17">
        <f t="shared" ca="1" si="71"/>
        <v>0</v>
      </c>
      <c r="H1490" s="17">
        <v>1481</v>
      </c>
      <c r="I1490" s="45">
        <v>0.67146025637905127</v>
      </c>
      <c r="J1490" s="45">
        <v>1.9538011316302749E-2</v>
      </c>
      <c r="K1490" s="45">
        <v>0.24779999999999999</v>
      </c>
      <c r="N1490" s="54"/>
    </row>
    <row r="1491" spans="2:14" x14ac:dyDescent="0.2">
      <c r="B1491">
        <v>1482</v>
      </c>
      <c r="C1491" s="52">
        <f t="shared" ca="1" si="72"/>
        <v>1.0076791112788337</v>
      </c>
      <c r="D1491" s="52">
        <f ca="1">S0*EXP((μ-0.5*σ*σ)*T+σ*SQRT(T)*$C1491)</f>
        <v>0.85064971622418895</v>
      </c>
      <c r="E1491" s="52">
        <f t="shared" ca="1" si="70"/>
        <v>0</v>
      </c>
      <c r="F1491" s="17">
        <f t="shared" ca="1" si="71"/>
        <v>0</v>
      </c>
      <c r="H1491" s="17">
        <v>1482</v>
      </c>
      <c r="I1491" s="45">
        <v>0.67074137991415117</v>
      </c>
      <c r="J1491" s="45">
        <v>1.8994017139504767E-2</v>
      </c>
      <c r="K1491" s="45">
        <v>0.24</v>
      </c>
      <c r="N1491" s="54"/>
    </row>
    <row r="1492" spans="2:14" x14ac:dyDescent="0.2">
      <c r="B1492">
        <v>1483</v>
      </c>
      <c r="C1492" s="52">
        <f t="shared" ca="1" si="72"/>
        <v>-0.11719969236998748</v>
      </c>
      <c r="D1492" s="52">
        <f ca="1">S0*EXP((μ-0.5*σ*σ)*T+σ*SQRT(T)*$C1492)</f>
        <v>0.62331209911737107</v>
      </c>
      <c r="E1492" s="52">
        <f t="shared" ca="1" si="70"/>
        <v>0</v>
      </c>
      <c r="F1492" s="17">
        <f t="shared" ca="1" si="71"/>
        <v>0</v>
      </c>
      <c r="H1492" s="17">
        <v>1483</v>
      </c>
      <c r="I1492" s="45">
        <v>0.67134599955997698</v>
      </c>
      <c r="J1492" s="45">
        <v>1.9272562062110636E-2</v>
      </c>
      <c r="K1492" s="45">
        <v>0.24379999999999999</v>
      </c>
      <c r="N1492" s="54"/>
    </row>
    <row r="1493" spans="2:14" x14ac:dyDescent="0.2">
      <c r="B1493">
        <v>1484</v>
      </c>
      <c r="C1493" s="52">
        <f t="shared" ca="1" si="72"/>
        <v>1.0608153291134961</v>
      </c>
      <c r="D1493" s="52">
        <f ca="1">S0*EXP((μ-0.5*σ*σ)*T+σ*SQRT(T)*$C1493)</f>
        <v>0.8632367677623044</v>
      </c>
      <c r="E1493" s="52">
        <f t="shared" ca="1" si="70"/>
        <v>0</v>
      </c>
      <c r="F1493" s="17">
        <f t="shared" ca="1" si="71"/>
        <v>0</v>
      </c>
      <c r="H1493" s="17">
        <v>1484</v>
      </c>
      <c r="I1493" s="45">
        <v>0.67191201862439764</v>
      </c>
      <c r="J1493" s="45">
        <v>1.9982239786595021E-2</v>
      </c>
      <c r="K1493" s="45">
        <v>0.25259999999999999</v>
      </c>
      <c r="N1493" s="54"/>
    </row>
    <row r="1494" spans="2:14" x14ac:dyDescent="0.2">
      <c r="B1494">
        <v>1485</v>
      </c>
      <c r="C1494" s="52">
        <f t="shared" ca="1" si="72"/>
        <v>0.63217785590535025</v>
      </c>
      <c r="D1494" s="52">
        <f ca="1">S0*EXP((μ-0.5*σ*σ)*T+σ*SQRT(T)*$C1494)</f>
        <v>0.76677980482372621</v>
      </c>
      <c r="E1494" s="52">
        <f t="shared" ca="1" si="70"/>
        <v>0</v>
      </c>
      <c r="F1494" s="17">
        <f t="shared" ca="1" si="71"/>
        <v>0</v>
      </c>
      <c r="H1494" s="17">
        <v>1485</v>
      </c>
      <c r="I1494" s="45">
        <v>0.67051142321892243</v>
      </c>
      <c r="J1494" s="45">
        <v>1.882954568484901E-2</v>
      </c>
      <c r="K1494" s="45">
        <v>0.25319999999999998</v>
      </c>
      <c r="N1494" s="54"/>
    </row>
    <row r="1495" spans="2:14" x14ac:dyDescent="0.2">
      <c r="B1495">
        <v>1486</v>
      </c>
      <c r="C1495" s="52">
        <f t="shared" ca="1" si="72"/>
        <v>-1.3470344029412948</v>
      </c>
      <c r="D1495" s="52">
        <f ca="1">S0*EXP((μ-0.5*σ*σ)*T+σ*SQRT(T)*$C1495)</f>
        <v>0.44367000556592651</v>
      </c>
      <c r="E1495" s="52">
        <f t="shared" ca="1" si="70"/>
        <v>9.072999443407348E-2</v>
      </c>
      <c r="F1495" s="17">
        <f t="shared" ca="1" si="71"/>
        <v>1</v>
      </c>
      <c r="H1495" s="17">
        <v>1486</v>
      </c>
      <c r="I1495" s="45">
        <v>0.6718717033411773</v>
      </c>
      <c r="J1495" s="45">
        <v>1.9811911749260454E-2</v>
      </c>
      <c r="K1495" s="45">
        <v>0.25540000000000002</v>
      </c>
      <c r="N1495" s="54"/>
    </row>
    <row r="1496" spans="2:14" x14ac:dyDescent="0.2">
      <c r="B1496">
        <v>1487</v>
      </c>
      <c r="C1496" s="52">
        <f t="shared" ca="1" si="72"/>
        <v>1.6065265194886413</v>
      </c>
      <c r="D1496" s="52">
        <f ca="1">S0*EXP((μ-0.5*σ*σ)*T+σ*SQRT(T)*$C1496)</f>
        <v>1.0037932206237663</v>
      </c>
      <c r="E1496" s="52">
        <f t="shared" ca="1" si="70"/>
        <v>0</v>
      </c>
      <c r="F1496" s="17">
        <f t="shared" ca="1" si="71"/>
        <v>0</v>
      </c>
      <c r="H1496" s="17">
        <v>1487</v>
      </c>
      <c r="I1496" s="45">
        <v>0.67143085019347859</v>
      </c>
      <c r="J1496" s="45">
        <v>1.9518786752271852E-2</v>
      </c>
      <c r="K1496" s="45">
        <v>0.25</v>
      </c>
      <c r="N1496" s="54"/>
    </row>
    <row r="1497" spans="2:14" x14ac:dyDescent="0.2">
      <c r="B1497">
        <v>1488</v>
      </c>
      <c r="C1497" s="52">
        <f t="shared" ca="1" si="72"/>
        <v>-7.3806341208077969E-2</v>
      </c>
      <c r="D1497" s="52">
        <f ca="1">S0*EXP((μ-0.5*σ*σ)*T+σ*SQRT(T)*$C1497)</f>
        <v>0.63083395879162929</v>
      </c>
      <c r="E1497" s="52">
        <f t="shared" ca="1" si="70"/>
        <v>0</v>
      </c>
      <c r="F1497" s="17">
        <f t="shared" ca="1" si="71"/>
        <v>0</v>
      </c>
      <c r="H1497" s="17">
        <v>1488</v>
      </c>
      <c r="I1497" s="45">
        <v>0.67133109583029904</v>
      </c>
      <c r="J1497" s="45">
        <v>1.9222357603178804E-2</v>
      </c>
      <c r="K1497" s="45">
        <v>0.2492</v>
      </c>
      <c r="N1497" s="54"/>
    </row>
    <row r="1498" spans="2:14" x14ac:dyDescent="0.2">
      <c r="B1498">
        <v>1489</v>
      </c>
      <c r="C1498" s="52">
        <f t="shared" ca="1" si="72"/>
        <v>7.6987147453485644E-2</v>
      </c>
      <c r="D1498" s="52">
        <f ca="1">S0*EXP((μ-0.5*σ*σ)*T+σ*SQRT(T)*$C1498)</f>
        <v>0.65768553788211015</v>
      </c>
      <c r="E1498" s="52">
        <f t="shared" ca="1" si="70"/>
        <v>0</v>
      </c>
      <c r="F1498" s="17">
        <f t="shared" ca="1" si="71"/>
        <v>0</v>
      </c>
      <c r="H1498" s="17">
        <v>1489</v>
      </c>
      <c r="I1498" s="45">
        <v>0.67050193418033355</v>
      </c>
      <c r="J1498" s="45">
        <v>1.8583993254648924E-2</v>
      </c>
      <c r="K1498" s="45">
        <v>0.24379999999999999</v>
      </c>
      <c r="N1498" s="54"/>
    </row>
    <row r="1499" spans="2:14" x14ac:dyDescent="0.2">
      <c r="B1499">
        <v>1490</v>
      </c>
      <c r="C1499" s="52">
        <f t="shared" ca="1" si="72"/>
        <v>-1.6867884093553056</v>
      </c>
      <c r="D1499" s="52">
        <f ca="1">S0*EXP((μ-0.5*σ*σ)*T+σ*SQRT(T)*$C1499)</f>
        <v>0.40389785086466246</v>
      </c>
      <c r="E1499" s="52">
        <f t="shared" ca="1" si="70"/>
        <v>0.13050214913533753</v>
      </c>
      <c r="F1499" s="17">
        <f t="shared" ca="1" si="71"/>
        <v>1</v>
      </c>
      <c r="H1499" s="17">
        <v>1490</v>
      </c>
      <c r="I1499" s="45">
        <v>0.67101864918805443</v>
      </c>
      <c r="J1499" s="45">
        <v>1.8951082398957181E-2</v>
      </c>
      <c r="K1499" s="45">
        <v>0.24279999999999999</v>
      </c>
      <c r="N1499" s="54"/>
    </row>
    <row r="1500" spans="2:14" x14ac:dyDescent="0.2">
      <c r="B1500">
        <v>1491</v>
      </c>
      <c r="C1500" s="52">
        <f t="shared" ca="1" si="72"/>
        <v>2.3620282530504664E-2</v>
      </c>
      <c r="D1500" s="52">
        <f ca="1">S0*EXP((μ-0.5*σ*σ)*T+σ*SQRT(T)*$C1500)</f>
        <v>0.64805435535552824</v>
      </c>
      <c r="E1500" s="52">
        <f t="shared" ca="1" si="70"/>
        <v>0</v>
      </c>
      <c r="F1500" s="17">
        <f t="shared" ca="1" si="71"/>
        <v>0</v>
      </c>
      <c r="H1500" s="17">
        <v>1491</v>
      </c>
      <c r="I1500" s="45">
        <v>0.67053233520113287</v>
      </c>
      <c r="J1500" s="45">
        <v>1.8770120569616012E-2</v>
      </c>
      <c r="K1500" s="45">
        <v>0.24540000000000001</v>
      </c>
      <c r="N1500" s="54"/>
    </row>
    <row r="1501" spans="2:14" x14ac:dyDescent="0.2">
      <c r="B1501">
        <v>1492</v>
      </c>
      <c r="C1501" s="52">
        <f t="shared" ca="1" si="72"/>
        <v>1.2389513626127879</v>
      </c>
      <c r="D1501" s="52">
        <f ca="1">S0*EXP((μ-0.5*σ*σ)*T+σ*SQRT(T)*$C1501)</f>
        <v>0.90680877833799511</v>
      </c>
      <c r="E1501" s="52">
        <f t="shared" ca="1" si="70"/>
        <v>0</v>
      </c>
      <c r="F1501" s="17">
        <f t="shared" ca="1" si="71"/>
        <v>0</v>
      </c>
      <c r="H1501" s="17">
        <v>1492</v>
      </c>
      <c r="I1501" s="45">
        <v>0.67146704182190708</v>
      </c>
      <c r="J1501" s="45">
        <v>1.9715236553390088E-2</v>
      </c>
      <c r="K1501" s="45">
        <v>0.25259999999999999</v>
      </c>
      <c r="N1501" s="54"/>
    </row>
    <row r="1502" spans="2:14" x14ac:dyDescent="0.2">
      <c r="B1502">
        <v>1493</v>
      </c>
      <c r="C1502" s="52">
        <f t="shared" ca="1" si="72"/>
        <v>-0.95383805956612711</v>
      </c>
      <c r="D1502" s="52">
        <f ca="1">S0*EXP((μ-0.5*σ*σ)*T+σ*SQRT(T)*$C1502)</f>
        <v>0.49461184759608673</v>
      </c>
      <c r="E1502" s="52">
        <f t="shared" ca="1" si="70"/>
        <v>3.9788152403913257E-2</v>
      </c>
      <c r="F1502" s="17">
        <f t="shared" ca="1" si="71"/>
        <v>1</v>
      </c>
      <c r="H1502" s="17">
        <v>1493</v>
      </c>
      <c r="I1502" s="45">
        <v>0.67055770528790748</v>
      </c>
      <c r="J1502" s="45">
        <v>1.8609218706846922E-2</v>
      </c>
      <c r="K1502" s="45">
        <v>0.24560000000000001</v>
      </c>
      <c r="N1502" s="54"/>
    </row>
    <row r="1503" spans="2:14" x14ac:dyDescent="0.2">
      <c r="B1503">
        <v>1494</v>
      </c>
      <c r="C1503" s="52">
        <f t="shared" ca="1" si="72"/>
        <v>-0.14704753834179102</v>
      </c>
      <c r="D1503" s="52">
        <f ca="1">S0*EXP((μ-0.5*σ*σ)*T+σ*SQRT(T)*$C1503)</f>
        <v>0.61819036248886228</v>
      </c>
      <c r="E1503" s="52">
        <f t="shared" ca="1" si="70"/>
        <v>0</v>
      </c>
      <c r="F1503" s="17">
        <f t="shared" ca="1" si="71"/>
        <v>0</v>
      </c>
      <c r="H1503" s="17">
        <v>1494</v>
      </c>
      <c r="I1503" s="45">
        <v>0.67130547129132112</v>
      </c>
      <c r="J1503" s="45">
        <v>1.918457144058516E-2</v>
      </c>
      <c r="K1503" s="45">
        <v>0.247</v>
      </c>
      <c r="N1503" s="54"/>
    </row>
    <row r="1504" spans="2:14" x14ac:dyDescent="0.2">
      <c r="B1504">
        <v>1495</v>
      </c>
      <c r="C1504" s="52">
        <f t="shared" ca="1" si="72"/>
        <v>8.8315101205091798E-2</v>
      </c>
      <c r="D1504" s="52">
        <f ca="1">S0*EXP((μ-0.5*σ*σ)*T+σ*SQRT(T)*$C1504)</f>
        <v>0.65974825197947129</v>
      </c>
      <c r="E1504" s="52">
        <f t="shared" ca="1" si="70"/>
        <v>0</v>
      </c>
      <c r="F1504" s="17">
        <f t="shared" ca="1" si="71"/>
        <v>0</v>
      </c>
      <c r="H1504" s="17">
        <v>1495</v>
      </c>
      <c r="I1504" s="45">
        <v>0.66949677286510645</v>
      </c>
      <c r="J1504" s="45">
        <v>1.7967340674690815E-2</v>
      </c>
      <c r="K1504" s="45">
        <v>0.23899999999999999</v>
      </c>
      <c r="N1504" s="54"/>
    </row>
    <row r="1505" spans="2:14" x14ac:dyDescent="0.2">
      <c r="B1505">
        <v>1496</v>
      </c>
      <c r="C1505" s="52">
        <f t="shared" ca="1" si="72"/>
        <v>0.78630084323225657</v>
      </c>
      <c r="D1505" s="52">
        <f ca="1">S0*EXP((μ-0.5*σ*σ)*T+σ*SQRT(T)*$C1505)</f>
        <v>0.80015405555214769</v>
      </c>
      <c r="E1505" s="52">
        <f t="shared" ca="1" si="70"/>
        <v>0</v>
      </c>
      <c r="F1505" s="17">
        <f t="shared" ca="1" si="71"/>
        <v>0</v>
      </c>
      <c r="H1505" s="17">
        <v>1496</v>
      </c>
      <c r="I1505" s="45">
        <v>0.67190911723649482</v>
      </c>
      <c r="J1505" s="45">
        <v>1.9557043463706642E-2</v>
      </c>
      <c r="K1505" s="45">
        <v>0.25340000000000001</v>
      </c>
      <c r="N1505" s="54"/>
    </row>
    <row r="1506" spans="2:14" x14ac:dyDescent="0.2">
      <c r="B1506">
        <v>1497</v>
      </c>
      <c r="C1506" s="52">
        <f t="shared" ca="1" si="72"/>
        <v>1.1085915210032002</v>
      </c>
      <c r="D1506" s="52">
        <f ca="1">S0*EXP((μ-0.5*σ*σ)*T+σ*SQRT(T)*$C1506)</f>
        <v>0.87471305947061728</v>
      </c>
      <c r="E1506" s="52">
        <f t="shared" ca="1" si="70"/>
        <v>0</v>
      </c>
      <c r="F1506" s="17">
        <f t="shared" ca="1" si="71"/>
        <v>0</v>
      </c>
      <c r="H1506" s="17">
        <v>1497</v>
      </c>
      <c r="I1506" s="45">
        <v>0.67125506002884094</v>
      </c>
      <c r="J1506" s="45">
        <v>1.9088497769459953E-2</v>
      </c>
      <c r="K1506" s="45">
        <v>0.24440000000000001</v>
      </c>
      <c r="N1506" s="54"/>
    </row>
    <row r="1507" spans="2:14" x14ac:dyDescent="0.2">
      <c r="B1507">
        <v>1498</v>
      </c>
      <c r="C1507" s="52">
        <f t="shared" ca="1" si="72"/>
        <v>1.0327959694539253</v>
      </c>
      <c r="D1507" s="52">
        <f ca="1">S0*EXP((μ-0.5*σ*σ)*T+σ*SQRT(T)*$C1507)</f>
        <v>0.85657642718242044</v>
      </c>
      <c r="E1507" s="52">
        <f t="shared" ca="1" si="70"/>
        <v>0</v>
      </c>
      <c r="F1507" s="17">
        <f t="shared" ca="1" si="71"/>
        <v>0</v>
      </c>
      <c r="H1507" s="17">
        <v>1498</v>
      </c>
      <c r="I1507" s="45">
        <v>0.67127424839294125</v>
      </c>
      <c r="J1507" s="45">
        <v>1.9591477338929481E-2</v>
      </c>
      <c r="K1507" s="45">
        <v>0.25080000000000002</v>
      </c>
      <c r="N1507" s="54"/>
    </row>
    <row r="1508" spans="2:14" x14ac:dyDescent="0.2">
      <c r="B1508">
        <v>1499</v>
      </c>
      <c r="C1508" s="52">
        <f t="shared" ca="1" si="72"/>
        <v>0.38998225482205184</v>
      </c>
      <c r="D1508" s="52">
        <f ca="1">S0*EXP((μ-0.5*σ*σ)*T+σ*SQRT(T)*$C1508)</f>
        <v>0.71712411958835909</v>
      </c>
      <c r="E1508" s="52">
        <f t="shared" ca="1" si="70"/>
        <v>0</v>
      </c>
      <c r="F1508" s="17">
        <f t="shared" ca="1" si="71"/>
        <v>0</v>
      </c>
      <c r="H1508" s="17">
        <v>1499</v>
      </c>
      <c r="I1508" s="45">
        <v>0.67123020983102455</v>
      </c>
      <c r="J1508" s="45">
        <v>1.940649535646622E-2</v>
      </c>
      <c r="K1508" s="45">
        <v>0.25040000000000001</v>
      </c>
      <c r="N1508" s="54"/>
    </row>
    <row r="1509" spans="2:14" x14ac:dyDescent="0.2">
      <c r="B1509">
        <v>1500</v>
      </c>
      <c r="C1509" s="52">
        <f t="shared" ca="1" si="72"/>
        <v>0.69263439377754954</v>
      </c>
      <c r="D1509" s="52">
        <f ca="1">S0*EXP((μ-0.5*σ*σ)*T+σ*SQRT(T)*$C1509)</f>
        <v>0.77970202429613045</v>
      </c>
      <c r="E1509" s="52">
        <f t="shared" ca="1" si="70"/>
        <v>0</v>
      </c>
      <c r="F1509" s="17">
        <f t="shared" ca="1" si="71"/>
        <v>0</v>
      </c>
      <c r="H1509" s="17">
        <v>1500</v>
      </c>
      <c r="I1509" s="45">
        <v>0.67033072973468555</v>
      </c>
      <c r="J1509" s="45">
        <v>1.8518957176943129E-2</v>
      </c>
      <c r="K1509" s="45">
        <v>0.2404</v>
      </c>
      <c r="N1509" s="54"/>
    </row>
    <row r="1510" spans="2:14" x14ac:dyDescent="0.2">
      <c r="B1510">
        <v>1501</v>
      </c>
      <c r="C1510" s="52">
        <f t="shared" ca="1" si="72"/>
        <v>6.1827075539039641E-2</v>
      </c>
      <c r="D1510" s="52">
        <f ca="1">S0*EXP((μ-0.5*σ*σ)*T+σ*SQRT(T)*$C1510)</f>
        <v>0.65493511807907268</v>
      </c>
      <c r="E1510" s="52">
        <f t="shared" ca="1" si="70"/>
        <v>0</v>
      </c>
      <c r="F1510" s="17">
        <f t="shared" ca="1" si="71"/>
        <v>0</v>
      </c>
      <c r="H1510" s="17">
        <v>1501</v>
      </c>
      <c r="I1510" s="45">
        <v>0.67076262684366517</v>
      </c>
      <c r="J1510" s="45">
        <v>1.8928048346771666E-2</v>
      </c>
      <c r="K1510" s="45">
        <v>0.2462</v>
      </c>
      <c r="N1510" s="54"/>
    </row>
    <row r="1511" spans="2:14" x14ac:dyDescent="0.2">
      <c r="B1511">
        <v>1502</v>
      </c>
      <c r="C1511" s="52">
        <f t="shared" ca="1" si="72"/>
        <v>-0.1451030264401732</v>
      </c>
      <c r="D1511" s="52">
        <f ca="1">S0*EXP((μ-0.5*σ*σ)*T+σ*SQRT(T)*$C1511)</f>
        <v>0.6185227453985096</v>
      </c>
      <c r="E1511" s="52">
        <f t="shared" ca="1" si="70"/>
        <v>0</v>
      </c>
      <c r="F1511" s="17">
        <f t="shared" ca="1" si="71"/>
        <v>0</v>
      </c>
      <c r="H1511" s="17">
        <v>1502</v>
      </c>
      <c r="I1511" s="45">
        <v>0.67069160625091551</v>
      </c>
      <c r="J1511" s="45">
        <v>1.8792028399541034E-2</v>
      </c>
      <c r="K1511" s="45">
        <v>0.23960000000000001</v>
      </c>
      <c r="N1511" s="54"/>
    </row>
    <row r="1512" spans="2:14" x14ac:dyDescent="0.2">
      <c r="B1512">
        <v>1503</v>
      </c>
      <c r="C1512" s="52">
        <f t="shared" ca="1" si="72"/>
        <v>0.98661248420763581</v>
      </c>
      <c r="D1512" s="52">
        <f ca="1">S0*EXP((μ-0.5*σ*σ)*T+σ*SQRT(T)*$C1512)</f>
        <v>0.84571035318987164</v>
      </c>
      <c r="E1512" s="52">
        <f t="shared" ca="1" si="70"/>
        <v>0</v>
      </c>
      <c r="F1512" s="17">
        <f t="shared" ca="1" si="71"/>
        <v>0</v>
      </c>
      <c r="H1512" s="17">
        <v>1503</v>
      </c>
      <c r="I1512" s="45">
        <v>0.66948283869830838</v>
      </c>
      <c r="J1512" s="45">
        <v>1.7909061819274822E-2</v>
      </c>
      <c r="K1512" s="45">
        <v>0.2402</v>
      </c>
      <c r="N1512" s="54"/>
    </row>
    <row r="1513" spans="2:14" x14ac:dyDescent="0.2">
      <c r="B1513">
        <v>1504</v>
      </c>
      <c r="C1513" s="52">
        <f t="shared" ca="1" si="72"/>
        <v>-0.26598615667457404</v>
      </c>
      <c r="D1513" s="52">
        <f ca="1">S0*EXP((μ-0.5*σ*σ)*T+σ*SQRT(T)*$C1513)</f>
        <v>0.59819568854216887</v>
      </c>
      <c r="E1513" s="52">
        <f t="shared" ca="1" si="70"/>
        <v>0</v>
      </c>
      <c r="F1513" s="17">
        <f t="shared" ca="1" si="71"/>
        <v>0</v>
      </c>
      <c r="H1513" s="17">
        <v>1504</v>
      </c>
      <c r="I1513" s="45">
        <v>0.67083565185271898</v>
      </c>
      <c r="J1513" s="45">
        <v>1.8855130560655547E-2</v>
      </c>
      <c r="K1513" s="45">
        <v>0.24879999999999999</v>
      </c>
      <c r="N1513" s="54"/>
    </row>
    <row r="1514" spans="2:14" x14ac:dyDescent="0.2">
      <c r="B1514">
        <v>1505</v>
      </c>
      <c r="C1514" s="52">
        <f t="shared" ca="1" si="72"/>
        <v>0.67821063371964052</v>
      </c>
      <c r="D1514" s="52">
        <f ca="1">S0*EXP((μ-0.5*σ*σ)*T+σ*SQRT(T)*$C1514)</f>
        <v>0.77659938883535307</v>
      </c>
      <c r="E1514" s="52">
        <f t="shared" ca="1" si="70"/>
        <v>0</v>
      </c>
      <c r="F1514" s="17">
        <f t="shared" ca="1" si="71"/>
        <v>0</v>
      </c>
      <c r="H1514" s="17">
        <v>1505</v>
      </c>
      <c r="I1514" s="45">
        <v>0.67085557329416912</v>
      </c>
      <c r="J1514" s="45">
        <v>1.8922693426005843E-2</v>
      </c>
      <c r="K1514" s="45">
        <v>0.2392</v>
      </c>
      <c r="N1514" s="54"/>
    </row>
    <row r="1515" spans="2:14" x14ac:dyDescent="0.2">
      <c r="B1515">
        <v>1506</v>
      </c>
      <c r="C1515" s="52">
        <f t="shared" ca="1" si="72"/>
        <v>0.29606279548256176</v>
      </c>
      <c r="D1515" s="52">
        <f ca="1">S0*EXP((μ-0.5*σ*σ)*T+σ*SQRT(T)*$C1515)</f>
        <v>0.69874547112992591</v>
      </c>
      <c r="E1515" s="52">
        <f t="shared" ca="1" si="70"/>
        <v>0</v>
      </c>
      <c r="F1515" s="17">
        <f t="shared" ca="1" si="71"/>
        <v>0</v>
      </c>
      <c r="H1515" s="17">
        <v>1506</v>
      </c>
      <c r="I1515" s="45">
        <v>0.66901409303649684</v>
      </c>
      <c r="J1515" s="45">
        <v>1.7724180928601119E-2</v>
      </c>
      <c r="K1515" s="45">
        <v>0.23880000000000001</v>
      </c>
      <c r="N1515" s="54"/>
    </row>
    <row r="1516" spans="2:14" x14ac:dyDescent="0.2">
      <c r="B1516">
        <v>1507</v>
      </c>
      <c r="C1516" s="52">
        <f t="shared" ca="1" si="72"/>
        <v>0.24535670564695769</v>
      </c>
      <c r="D1516" s="52">
        <f ca="1">S0*EXP((μ-0.5*σ*σ)*T+σ*SQRT(T)*$C1516)</f>
        <v>0.68901960936273243</v>
      </c>
      <c r="E1516" s="52">
        <f t="shared" ca="1" si="70"/>
        <v>0</v>
      </c>
      <c r="F1516" s="17">
        <f t="shared" ca="1" si="71"/>
        <v>0</v>
      </c>
      <c r="H1516" s="17">
        <v>1507</v>
      </c>
      <c r="I1516" s="45">
        <v>0.67104066827920272</v>
      </c>
      <c r="J1516" s="45">
        <v>1.9007819114467785E-2</v>
      </c>
      <c r="K1516" s="45">
        <v>0.24540000000000001</v>
      </c>
      <c r="N1516" s="54"/>
    </row>
    <row r="1517" spans="2:14" x14ac:dyDescent="0.2">
      <c r="B1517">
        <v>1508</v>
      </c>
      <c r="C1517" s="52">
        <f t="shared" ca="1" si="72"/>
        <v>-0.14677431691764525</v>
      </c>
      <c r="D1517" s="52">
        <f ca="1">S0*EXP((μ-0.5*σ*σ)*T+σ*SQRT(T)*$C1517)</f>
        <v>0.61823705449171962</v>
      </c>
      <c r="E1517" s="52">
        <f t="shared" ca="1" si="70"/>
        <v>0</v>
      </c>
      <c r="F1517" s="17">
        <f t="shared" ca="1" si="71"/>
        <v>0</v>
      </c>
      <c r="H1517" s="17">
        <v>1508</v>
      </c>
      <c r="I1517" s="45">
        <v>0.67023993402995241</v>
      </c>
      <c r="J1517" s="45">
        <v>1.8323108627003488E-2</v>
      </c>
      <c r="K1517" s="45">
        <v>0.2424</v>
      </c>
      <c r="N1517" s="54"/>
    </row>
    <row r="1518" spans="2:14" x14ac:dyDescent="0.2">
      <c r="B1518">
        <v>1509</v>
      </c>
      <c r="C1518" s="52">
        <f t="shared" ca="1" si="72"/>
        <v>-1.1740232555906271</v>
      </c>
      <c r="D1518" s="52">
        <f ca="1">S0*EXP((μ-0.5*σ*σ)*T+σ*SQRT(T)*$C1518)</f>
        <v>0.46540451941123823</v>
      </c>
      <c r="E1518" s="52">
        <f t="shared" ca="1" si="70"/>
        <v>6.8995480588761759E-2</v>
      </c>
      <c r="F1518" s="17">
        <f t="shared" ca="1" si="71"/>
        <v>1</v>
      </c>
      <c r="H1518" s="17">
        <v>1509</v>
      </c>
      <c r="I1518" s="45">
        <v>0.67107548269786699</v>
      </c>
      <c r="J1518" s="45">
        <v>1.8893961966745528E-2</v>
      </c>
      <c r="K1518" s="45">
        <v>0.24460000000000001</v>
      </c>
      <c r="N1518" s="54"/>
    </row>
    <row r="1519" spans="2:14" x14ac:dyDescent="0.2">
      <c r="B1519">
        <v>1510</v>
      </c>
      <c r="C1519" s="52">
        <f t="shared" ca="1" si="72"/>
        <v>-0.98951603569248592</v>
      </c>
      <c r="D1519" s="52">
        <f ca="1">S0*EXP((μ-0.5*σ*σ)*T+σ*SQRT(T)*$C1519)</f>
        <v>0.48975768877810416</v>
      </c>
      <c r="E1519" s="52">
        <f t="shared" ca="1" si="70"/>
        <v>4.4642311221895825E-2</v>
      </c>
      <c r="F1519" s="17">
        <f t="shared" ca="1" si="71"/>
        <v>1</v>
      </c>
      <c r="H1519" s="17">
        <v>1510</v>
      </c>
      <c r="I1519" s="45">
        <v>0.67038948540390653</v>
      </c>
      <c r="J1519" s="45">
        <v>1.8470337778259214E-2</v>
      </c>
      <c r="K1519" s="45">
        <v>0.24579999999999999</v>
      </c>
      <c r="N1519" s="54"/>
    </row>
    <row r="1520" spans="2:14" x14ac:dyDescent="0.2">
      <c r="B1520">
        <v>1511</v>
      </c>
      <c r="C1520" s="52">
        <f t="shared" ca="1" si="72"/>
        <v>1.4338945663681668</v>
      </c>
      <c r="D1520" s="52">
        <f ca="1">S0*EXP((μ-0.5*σ*σ)*T+σ*SQRT(T)*$C1520)</f>
        <v>0.95701612310458817</v>
      </c>
      <c r="E1520" s="52">
        <f t="shared" ca="1" si="70"/>
        <v>0</v>
      </c>
      <c r="F1520" s="17">
        <f t="shared" ca="1" si="71"/>
        <v>0</v>
      </c>
      <c r="H1520" s="17">
        <v>1511</v>
      </c>
      <c r="I1520" s="45">
        <v>0.67196978751031833</v>
      </c>
      <c r="J1520" s="45">
        <v>1.9921203328953863E-2</v>
      </c>
      <c r="K1520" s="45">
        <v>0.25280000000000002</v>
      </c>
      <c r="N1520" s="54"/>
    </row>
    <row r="1521" spans="2:14" x14ac:dyDescent="0.2">
      <c r="B1521">
        <v>1512</v>
      </c>
      <c r="C1521" s="52">
        <f t="shared" ca="1" si="72"/>
        <v>1.0212172180811556</v>
      </c>
      <c r="D1521" s="52">
        <f ca="1">S0*EXP((μ-0.5*σ*σ)*T+σ*SQRT(T)*$C1521)</f>
        <v>0.85383912891992586</v>
      </c>
      <c r="E1521" s="52">
        <f t="shared" ca="1" si="70"/>
        <v>0</v>
      </c>
      <c r="F1521" s="17">
        <f t="shared" ca="1" si="71"/>
        <v>0</v>
      </c>
      <c r="H1521" s="17">
        <v>1512</v>
      </c>
      <c r="I1521" s="45">
        <v>0.6726360002256212</v>
      </c>
      <c r="J1521" s="45">
        <v>2.0402468028630081E-2</v>
      </c>
      <c r="K1521" s="45">
        <v>0.25819999999999999</v>
      </c>
      <c r="N1521" s="54"/>
    </row>
    <row r="1522" spans="2:14" x14ac:dyDescent="0.2">
      <c r="B1522">
        <v>1513</v>
      </c>
      <c r="C1522" s="52">
        <f t="shared" ca="1" si="72"/>
        <v>-1.3095192664660176</v>
      </c>
      <c r="D1522" s="52">
        <f ca="1">S0*EXP((μ-0.5*σ*σ)*T+σ*SQRT(T)*$C1522)</f>
        <v>0.44829498251195904</v>
      </c>
      <c r="E1522" s="52">
        <f t="shared" ca="1" si="70"/>
        <v>8.6105017488040947E-2</v>
      </c>
      <c r="F1522" s="17">
        <f t="shared" ca="1" si="71"/>
        <v>1</v>
      </c>
      <c r="H1522" s="17">
        <v>1513</v>
      </c>
      <c r="I1522" s="45">
        <v>0.67035198711958988</v>
      </c>
      <c r="J1522" s="45">
        <v>1.8455734358863621E-2</v>
      </c>
      <c r="K1522" s="45">
        <v>0.24379999999999999</v>
      </c>
      <c r="N1522" s="54"/>
    </row>
    <row r="1523" spans="2:14" x14ac:dyDescent="0.2">
      <c r="B1523">
        <v>1514</v>
      </c>
      <c r="C1523" s="52">
        <f t="shared" ca="1" si="72"/>
        <v>2.6114936169448884</v>
      </c>
      <c r="D1523" s="52">
        <f ca="1">S0*EXP((μ-0.5*σ*σ)*T+σ*SQRT(T)*$C1523)</f>
        <v>1.3252374152907509</v>
      </c>
      <c r="E1523" s="52">
        <f t="shared" ca="1" si="70"/>
        <v>0</v>
      </c>
      <c r="F1523" s="17">
        <f t="shared" ca="1" si="71"/>
        <v>0</v>
      </c>
      <c r="H1523" s="17">
        <v>1514</v>
      </c>
      <c r="I1523" s="45">
        <v>0.67095266164213196</v>
      </c>
      <c r="J1523" s="45">
        <v>1.9044129358084187E-2</v>
      </c>
      <c r="K1523" s="45">
        <v>0.24540000000000001</v>
      </c>
      <c r="N1523" s="54"/>
    </row>
    <row r="1524" spans="2:14" x14ac:dyDescent="0.2">
      <c r="B1524">
        <v>1515</v>
      </c>
      <c r="C1524" s="52">
        <f t="shared" ca="1" si="72"/>
        <v>-0.76794678269686689</v>
      </c>
      <c r="D1524" s="52">
        <f ca="1">S0*EXP((μ-0.5*σ*σ)*T+σ*SQRT(T)*$C1524)</f>
        <v>0.52069252349736095</v>
      </c>
      <c r="E1524" s="52">
        <f t="shared" ca="1" si="70"/>
        <v>1.3707476502639038E-2</v>
      </c>
      <c r="F1524" s="17">
        <f t="shared" ca="1" si="71"/>
        <v>1</v>
      </c>
      <c r="H1524" s="17">
        <v>1515</v>
      </c>
      <c r="I1524" s="45">
        <v>0.67046763211527804</v>
      </c>
      <c r="J1524" s="45">
        <v>1.8483973785970654E-2</v>
      </c>
      <c r="K1524" s="45">
        <v>0.2432</v>
      </c>
      <c r="N1524" s="54"/>
    </row>
    <row r="1525" spans="2:14" x14ac:dyDescent="0.2">
      <c r="B1525">
        <v>1516</v>
      </c>
      <c r="C1525" s="52">
        <f t="shared" ca="1" si="72"/>
        <v>0.49263522166522944</v>
      </c>
      <c r="D1525" s="52">
        <f ca="1">S0*EXP((μ-0.5*σ*σ)*T+σ*SQRT(T)*$C1525)</f>
        <v>0.73776515279819233</v>
      </c>
      <c r="E1525" s="52">
        <f t="shared" ca="1" si="70"/>
        <v>0</v>
      </c>
      <c r="F1525" s="17">
        <f t="shared" ca="1" si="71"/>
        <v>0</v>
      </c>
      <c r="H1525" s="17">
        <v>1516</v>
      </c>
      <c r="I1525" s="45">
        <v>0.67047380898360776</v>
      </c>
      <c r="J1525" s="45">
        <v>1.8531827166965033E-2</v>
      </c>
      <c r="K1525" s="45">
        <v>0.248</v>
      </c>
      <c r="N1525" s="54"/>
    </row>
    <row r="1526" spans="2:14" x14ac:dyDescent="0.2">
      <c r="B1526">
        <v>1517</v>
      </c>
      <c r="C1526" s="52">
        <f t="shared" ca="1" si="72"/>
        <v>-0.27649348255075662</v>
      </c>
      <c r="D1526" s="52">
        <f ca="1">S0*EXP((μ-0.5*σ*σ)*T+σ*SQRT(T)*$C1526)</f>
        <v>0.59646071028626457</v>
      </c>
      <c r="E1526" s="52">
        <f t="shared" ca="1" si="70"/>
        <v>0</v>
      </c>
      <c r="F1526" s="17">
        <f t="shared" ca="1" si="71"/>
        <v>0</v>
      </c>
      <c r="H1526" s="17">
        <v>1517</v>
      </c>
      <c r="I1526" s="45">
        <v>0.67125938989194578</v>
      </c>
      <c r="J1526" s="45">
        <v>1.9373613887365828E-2</v>
      </c>
      <c r="K1526" s="45">
        <v>0.24340000000000001</v>
      </c>
      <c r="N1526" s="54"/>
    </row>
    <row r="1527" spans="2:14" x14ac:dyDescent="0.2">
      <c r="B1527">
        <v>1518</v>
      </c>
      <c r="C1527" s="52">
        <f t="shared" ca="1" si="72"/>
        <v>1.3680066170538674</v>
      </c>
      <c r="D1527" s="52">
        <f ca="1">S0*EXP((μ-0.5*σ*σ)*T+σ*SQRT(T)*$C1527)</f>
        <v>0.93974321973798836</v>
      </c>
      <c r="E1527" s="52">
        <f t="shared" ca="1" si="70"/>
        <v>0</v>
      </c>
      <c r="F1527" s="17">
        <f t="shared" ca="1" si="71"/>
        <v>0</v>
      </c>
      <c r="H1527" s="17">
        <v>1518</v>
      </c>
      <c r="I1527" s="45">
        <v>0.67089476586970753</v>
      </c>
      <c r="J1527" s="45">
        <v>1.9078876952918711E-2</v>
      </c>
      <c r="K1527" s="45">
        <v>0.25280000000000002</v>
      </c>
      <c r="N1527" s="54"/>
    </row>
    <row r="1528" spans="2:14" x14ac:dyDescent="0.2">
      <c r="B1528">
        <v>1519</v>
      </c>
      <c r="C1528" s="52">
        <f t="shared" ca="1" si="72"/>
        <v>-0.92077868734441304</v>
      </c>
      <c r="D1528" s="52">
        <f ca="1">S0*EXP((μ-0.5*σ*σ)*T+σ*SQRT(T)*$C1528)</f>
        <v>0.49915266659308871</v>
      </c>
      <c r="E1528" s="52">
        <f t="shared" ca="1" si="70"/>
        <v>3.5247333406911274E-2</v>
      </c>
      <c r="F1528" s="17">
        <f t="shared" ca="1" si="71"/>
        <v>1</v>
      </c>
      <c r="H1528" s="17">
        <v>1519</v>
      </c>
      <c r="I1528" s="45">
        <v>0.67033006582156696</v>
      </c>
      <c r="J1528" s="45">
        <v>1.8246591159054058E-2</v>
      </c>
      <c r="K1528" s="45">
        <v>0.2392</v>
      </c>
      <c r="N1528" s="54"/>
    </row>
    <row r="1529" spans="2:14" x14ac:dyDescent="0.2">
      <c r="B1529">
        <v>1520</v>
      </c>
      <c r="C1529" s="52">
        <f t="shared" ca="1" si="72"/>
        <v>0.79951441554980807</v>
      </c>
      <c r="D1529" s="52">
        <f ca="1">S0*EXP((μ-0.5*σ*σ)*T+σ*SQRT(T)*$C1529)</f>
        <v>0.80308209137169595</v>
      </c>
      <c r="E1529" s="52">
        <f t="shared" ca="1" si="70"/>
        <v>0</v>
      </c>
      <c r="F1529" s="17">
        <f t="shared" ca="1" si="71"/>
        <v>0</v>
      </c>
      <c r="H1529" s="17">
        <v>1520</v>
      </c>
      <c r="I1529" s="45">
        <v>0.67109987602532151</v>
      </c>
      <c r="J1529" s="45">
        <v>1.9052717633963365E-2</v>
      </c>
      <c r="K1529" s="45">
        <v>0.24479999999999999</v>
      </c>
      <c r="N1529" s="54"/>
    </row>
    <row r="1530" spans="2:14" x14ac:dyDescent="0.2">
      <c r="B1530">
        <v>1521</v>
      </c>
      <c r="C1530" s="52">
        <f t="shared" ca="1" si="72"/>
        <v>-0.24711079696508878</v>
      </c>
      <c r="D1530" s="52">
        <f ca="1">S0*EXP((μ-0.5*σ*σ)*T+σ*SQRT(T)*$C1530)</f>
        <v>0.60132508907889792</v>
      </c>
      <c r="E1530" s="52">
        <f t="shared" ca="1" si="70"/>
        <v>0</v>
      </c>
      <c r="F1530" s="17">
        <f t="shared" ca="1" si="71"/>
        <v>0</v>
      </c>
      <c r="H1530" s="17">
        <v>1521</v>
      </c>
      <c r="I1530" s="45">
        <v>0.6705116170114892</v>
      </c>
      <c r="J1530" s="45">
        <v>1.8540424820813129E-2</v>
      </c>
      <c r="K1530" s="45">
        <v>0.24279999999999999</v>
      </c>
      <c r="N1530" s="54"/>
    </row>
    <row r="1531" spans="2:14" x14ac:dyDescent="0.2">
      <c r="B1531">
        <v>1522</v>
      </c>
      <c r="C1531" s="52">
        <f t="shared" ca="1" si="72"/>
        <v>4.5140442580867551E-2</v>
      </c>
      <c r="D1531" s="52">
        <f ca="1">S0*EXP((μ-0.5*σ*σ)*T+σ*SQRT(T)*$C1531)</f>
        <v>0.65192103750990893</v>
      </c>
      <c r="E1531" s="52">
        <f t="shared" ca="1" si="70"/>
        <v>0</v>
      </c>
      <c r="F1531" s="17">
        <f t="shared" ca="1" si="71"/>
        <v>0</v>
      </c>
      <c r="H1531" s="17">
        <v>1522</v>
      </c>
      <c r="I1531" s="45">
        <v>0.67010286599505919</v>
      </c>
      <c r="J1531" s="45">
        <v>1.8385619387916899E-2</v>
      </c>
      <c r="K1531" s="45">
        <v>0.24579999999999999</v>
      </c>
      <c r="N1531" s="54"/>
    </row>
    <row r="1532" spans="2:14" x14ac:dyDescent="0.2">
      <c r="B1532">
        <v>1523</v>
      </c>
      <c r="C1532" s="52">
        <f t="shared" ca="1" si="72"/>
        <v>-1.6895732348982513</v>
      </c>
      <c r="D1532" s="52">
        <f ca="1">S0*EXP((μ-0.5*σ*σ)*T+σ*SQRT(T)*$C1532)</f>
        <v>0.40358704335389428</v>
      </c>
      <c r="E1532" s="52">
        <f t="shared" ca="1" si="70"/>
        <v>0.1308129566461057</v>
      </c>
      <c r="F1532" s="17">
        <f t="shared" ca="1" si="71"/>
        <v>1</v>
      </c>
      <c r="H1532" s="17">
        <v>1523</v>
      </c>
      <c r="I1532" s="45">
        <v>0.67177460390458454</v>
      </c>
      <c r="J1532" s="45">
        <v>1.9571565913949374E-2</v>
      </c>
      <c r="K1532" s="45">
        <v>0.24679999999999999</v>
      </c>
      <c r="N1532" s="54"/>
    </row>
    <row r="1533" spans="2:14" x14ac:dyDescent="0.2">
      <c r="B1533">
        <v>1524</v>
      </c>
      <c r="C1533" s="52">
        <f t="shared" ca="1" si="72"/>
        <v>3.8093545077462543E-2</v>
      </c>
      <c r="D1533" s="52">
        <f ca="1">S0*EXP((μ-0.5*σ*σ)*T+σ*SQRT(T)*$C1533)</f>
        <v>0.65065233692449786</v>
      </c>
      <c r="E1533" s="52">
        <f t="shared" ca="1" si="70"/>
        <v>0</v>
      </c>
      <c r="F1533" s="17">
        <f t="shared" ca="1" si="71"/>
        <v>0</v>
      </c>
      <c r="H1533" s="17">
        <v>1524</v>
      </c>
      <c r="I1533" s="45">
        <v>0.6708302596361666</v>
      </c>
      <c r="J1533" s="45">
        <v>1.8848092231757603E-2</v>
      </c>
      <c r="K1533" s="45">
        <v>0.245</v>
      </c>
      <c r="N1533" s="54"/>
    </row>
    <row r="1534" spans="2:14" x14ac:dyDescent="0.2">
      <c r="B1534">
        <v>1525</v>
      </c>
      <c r="C1534" s="52">
        <f t="shared" ca="1" si="72"/>
        <v>0.2879243621599093</v>
      </c>
      <c r="D1534" s="52">
        <f ca="1">S0*EXP((μ-0.5*σ*σ)*T+σ*SQRT(T)*$C1534)</f>
        <v>0.69717525112132117</v>
      </c>
      <c r="E1534" s="52">
        <f t="shared" ca="1" si="70"/>
        <v>0</v>
      </c>
      <c r="F1534" s="17">
        <f t="shared" ca="1" si="71"/>
        <v>0</v>
      </c>
      <c r="H1534" s="17">
        <v>1525</v>
      </c>
      <c r="I1534" s="45">
        <v>0.66985876864818539</v>
      </c>
      <c r="J1534" s="45">
        <v>1.8370632060287304E-2</v>
      </c>
      <c r="K1534" s="45">
        <v>0.2452</v>
      </c>
      <c r="N1534" s="54"/>
    </row>
    <row r="1535" spans="2:14" x14ac:dyDescent="0.2">
      <c r="B1535">
        <v>1526</v>
      </c>
      <c r="C1535" s="52">
        <f t="shared" ca="1" si="72"/>
        <v>-1.8423675257049617</v>
      </c>
      <c r="D1535" s="52">
        <f ca="1">S0*EXP((μ-0.5*σ*σ)*T+σ*SQRT(T)*$C1535)</f>
        <v>0.38689559469906637</v>
      </c>
      <c r="E1535" s="52">
        <f t="shared" ca="1" si="70"/>
        <v>0.14750440530093362</v>
      </c>
      <c r="F1535" s="17">
        <f t="shared" ca="1" si="71"/>
        <v>1</v>
      </c>
      <c r="H1535" s="17">
        <v>1526</v>
      </c>
      <c r="I1535" s="45">
        <v>0.67123416851887052</v>
      </c>
      <c r="J1535" s="45">
        <v>1.9495540968946866E-2</v>
      </c>
      <c r="K1535" s="45">
        <v>0.24360000000000001</v>
      </c>
      <c r="N1535" s="54"/>
    </row>
    <row r="1536" spans="2:14" x14ac:dyDescent="0.2">
      <c r="B1536">
        <v>1527</v>
      </c>
      <c r="C1536" s="52">
        <f t="shared" ca="1" si="72"/>
        <v>-0.5104868272369415</v>
      </c>
      <c r="D1536" s="52">
        <f ca="1">S0*EXP((μ-0.5*σ*σ)*T+σ*SQRT(T)*$C1536)</f>
        <v>0.55910092584669635</v>
      </c>
      <c r="E1536" s="52">
        <f t="shared" ca="1" si="70"/>
        <v>0</v>
      </c>
      <c r="F1536" s="17">
        <f t="shared" ca="1" si="71"/>
        <v>0</v>
      </c>
      <c r="H1536" s="17">
        <v>1527</v>
      </c>
      <c r="I1536" s="45">
        <v>0.67081050692023014</v>
      </c>
      <c r="J1536" s="45">
        <v>1.8611493544470902E-2</v>
      </c>
      <c r="K1536" s="45">
        <v>0.24099999999999999</v>
      </c>
      <c r="N1536" s="54"/>
    </row>
    <row r="1537" spans="2:14" x14ac:dyDescent="0.2">
      <c r="B1537">
        <v>1528</v>
      </c>
      <c r="C1537" s="52">
        <f t="shared" ca="1" si="72"/>
        <v>0.84057550830165206</v>
      </c>
      <c r="D1537" s="52">
        <f ca="1">S0*EXP((μ-0.5*σ*σ)*T+σ*SQRT(T)*$C1537)</f>
        <v>0.81224950134144103</v>
      </c>
      <c r="E1537" s="52">
        <f t="shared" ca="1" si="70"/>
        <v>0</v>
      </c>
      <c r="F1537" s="17">
        <f t="shared" ca="1" si="71"/>
        <v>0</v>
      </c>
      <c r="H1537" s="17">
        <v>1528</v>
      </c>
      <c r="I1537" s="45">
        <v>0.67159113517716673</v>
      </c>
      <c r="J1537" s="45">
        <v>1.9368114834350976E-2</v>
      </c>
      <c r="K1537" s="45">
        <v>0.24879999999999999</v>
      </c>
      <c r="N1537" s="54"/>
    </row>
    <row r="1538" spans="2:14" x14ac:dyDescent="0.2">
      <c r="B1538">
        <v>1529</v>
      </c>
      <c r="C1538" s="52">
        <f t="shared" ca="1" si="72"/>
        <v>-3.5989628048575031</v>
      </c>
      <c r="D1538" s="52">
        <f ca="1">S0*EXP((μ-0.5*σ*σ)*T+σ*SQRT(T)*$C1538)</f>
        <v>0.23807239977523698</v>
      </c>
      <c r="E1538" s="52">
        <f t="shared" ca="1" si="70"/>
        <v>0.29632760022476301</v>
      </c>
      <c r="F1538" s="17">
        <f t="shared" ca="1" si="71"/>
        <v>1</v>
      </c>
      <c r="H1538" s="17">
        <v>1529</v>
      </c>
      <c r="I1538" s="45">
        <v>0.67057274470823791</v>
      </c>
      <c r="J1538" s="45">
        <v>1.875550154814749E-2</v>
      </c>
      <c r="K1538" s="45">
        <v>0.2424</v>
      </c>
      <c r="N1538" s="54"/>
    </row>
    <row r="1539" spans="2:14" x14ac:dyDescent="0.2">
      <c r="B1539">
        <v>1530</v>
      </c>
      <c r="C1539" s="52">
        <f t="shared" ca="1" si="72"/>
        <v>0.70260550086008045</v>
      </c>
      <c r="D1539" s="52">
        <f ca="1">S0*EXP((μ-0.5*σ*σ)*T+σ*SQRT(T)*$C1539)</f>
        <v>0.78185411133847604</v>
      </c>
      <c r="E1539" s="52">
        <f t="shared" ca="1" si="70"/>
        <v>0</v>
      </c>
      <c r="F1539" s="17">
        <f t="shared" ca="1" si="71"/>
        <v>0</v>
      </c>
      <c r="H1539" s="17">
        <v>1530</v>
      </c>
      <c r="I1539" s="45">
        <v>0.67075758569382271</v>
      </c>
      <c r="J1539" s="45">
        <v>1.8960330682689035E-2</v>
      </c>
      <c r="K1539" s="45">
        <v>0.24379999999999999</v>
      </c>
      <c r="N1539" s="54"/>
    </row>
    <row r="1540" spans="2:14" x14ac:dyDescent="0.2">
      <c r="B1540">
        <v>1531</v>
      </c>
      <c r="C1540" s="52">
        <f t="shared" ca="1" si="72"/>
        <v>1.4680864486257343</v>
      </c>
      <c r="D1540" s="52">
        <f ca="1">S0*EXP((μ-0.5*σ*σ)*T+σ*SQRT(T)*$C1540)</f>
        <v>0.96610448104644775</v>
      </c>
      <c r="E1540" s="52">
        <f t="shared" ca="1" si="70"/>
        <v>0</v>
      </c>
      <c r="F1540" s="17">
        <f t="shared" ca="1" si="71"/>
        <v>0</v>
      </c>
      <c r="H1540" s="17">
        <v>1531</v>
      </c>
      <c r="I1540" s="45">
        <v>0.6701830001253648</v>
      </c>
      <c r="J1540" s="45">
        <v>1.8229877364582332E-2</v>
      </c>
      <c r="K1540" s="45">
        <v>0.2424</v>
      </c>
      <c r="N1540" s="54"/>
    </row>
    <row r="1541" spans="2:14" x14ac:dyDescent="0.2">
      <c r="B1541">
        <v>1532</v>
      </c>
      <c r="C1541" s="52">
        <f t="shared" ca="1" si="72"/>
        <v>0.22792455156483693</v>
      </c>
      <c r="D1541" s="52">
        <f ca="1">S0*EXP((μ-0.5*σ*σ)*T+σ*SQRT(T)*$C1541)</f>
        <v>0.68570733892997759</v>
      </c>
      <c r="E1541" s="52">
        <f t="shared" ca="1" si="70"/>
        <v>0</v>
      </c>
      <c r="F1541" s="17">
        <f t="shared" ca="1" si="71"/>
        <v>0</v>
      </c>
      <c r="H1541" s="17">
        <v>1532</v>
      </c>
      <c r="I1541" s="45">
        <v>0.67111696919348052</v>
      </c>
      <c r="J1541" s="45">
        <v>1.9121164078942262E-2</v>
      </c>
      <c r="K1541" s="45">
        <v>0.24859999999999999</v>
      </c>
      <c r="N1541" s="54"/>
    </row>
    <row r="1542" spans="2:14" x14ac:dyDescent="0.2">
      <c r="B1542">
        <v>1533</v>
      </c>
      <c r="C1542" s="52">
        <f t="shared" ca="1" si="72"/>
        <v>-0.39459393991931441</v>
      </c>
      <c r="D1542" s="52">
        <f ca="1">S0*EXP((μ-0.5*σ*σ)*T+σ*SQRT(T)*$C1542)</f>
        <v>0.57730260016720736</v>
      </c>
      <c r="E1542" s="52">
        <f t="shared" ca="1" si="70"/>
        <v>0</v>
      </c>
      <c r="F1542" s="17">
        <f t="shared" ca="1" si="71"/>
        <v>0</v>
      </c>
      <c r="H1542" s="17">
        <v>1533</v>
      </c>
      <c r="I1542" s="45">
        <v>0.67107244139887545</v>
      </c>
      <c r="J1542" s="45">
        <v>1.9115047404284401E-2</v>
      </c>
      <c r="K1542" s="45">
        <v>0.24579999999999999</v>
      </c>
      <c r="N1542" s="54"/>
    </row>
    <row r="1543" spans="2:14" x14ac:dyDescent="0.2">
      <c r="B1543">
        <v>1534</v>
      </c>
      <c r="C1543" s="52">
        <f t="shared" ca="1" si="72"/>
        <v>0.51236074902100448</v>
      </c>
      <c r="D1543" s="52">
        <f ca="1">S0*EXP((μ-0.5*σ*σ)*T+σ*SQRT(T)*$C1543)</f>
        <v>0.74179900959268952</v>
      </c>
      <c r="E1543" s="52">
        <f t="shared" ca="1" si="70"/>
        <v>0</v>
      </c>
      <c r="F1543" s="17">
        <f t="shared" ca="1" si="71"/>
        <v>0</v>
      </c>
      <c r="H1543" s="17">
        <v>1534</v>
      </c>
      <c r="I1543" s="45">
        <v>0.67047417762866501</v>
      </c>
      <c r="J1543" s="45">
        <v>1.8782782463466235E-2</v>
      </c>
      <c r="K1543" s="45">
        <v>0.2472</v>
      </c>
      <c r="N1543" s="54"/>
    </row>
    <row r="1544" spans="2:14" x14ac:dyDescent="0.2">
      <c r="B1544">
        <v>1535</v>
      </c>
      <c r="C1544" s="52">
        <f t="shared" ca="1" si="72"/>
        <v>0.74934376736534036</v>
      </c>
      <c r="D1544" s="52">
        <f ca="1">S0*EXP((μ-0.5*σ*σ)*T+σ*SQRT(T)*$C1544)</f>
        <v>0.7920211858077153</v>
      </c>
      <c r="E1544" s="52">
        <f t="shared" ca="1" si="70"/>
        <v>0</v>
      </c>
      <c r="F1544" s="17">
        <f t="shared" ca="1" si="71"/>
        <v>0</v>
      </c>
      <c r="H1544" s="17">
        <v>1535</v>
      </c>
      <c r="I1544" s="45">
        <v>0.66920800256287272</v>
      </c>
      <c r="J1544" s="45">
        <v>1.7735903531864525E-2</v>
      </c>
      <c r="K1544" s="45">
        <v>0.24340000000000001</v>
      </c>
      <c r="N1544" s="54"/>
    </row>
    <row r="1545" spans="2:14" x14ac:dyDescent="0.2">
      <c r="B1545">
        <v>1536</v>
      </c>
      <c r="C1545" s="52">
        <f t="shared" ca="1" si="72"/>
        <v>0.10479397375682584</v>
      </c>
      <c r="D1545" s="52">
        <f ca="1">S0*EXP((μ-0.5*σ*σ)*T+σ*SQRT(T)*$C1545)</f>
        <v>0.66276045618462243</v>
      </c>
      <c r="E1545" s="52">
        <f t="shared" ca="1" si="70"/>
        <v>0</v>
      </c>
      <c r="F1545" s="17">
        <f t="shared" ca="1" si="71"/>
        <v>0</v>
      </c>
      <c r="H1545" s="17">
        <v>1536</v>
      </c>
      <c r="I1545" s="45">
        <v>0.67099067081325003</v>
      </c>
      <c r="J1545" s="45">
        <v>1.8987558393935542E-2</v>
      </c>
      <c r="K1545" s="45">
        <v>0.24340000000000001</v>
      </c>
      <c r="N1545" s="54"/>
    </row>
    <row r="1546" spans="2:14" x14ac:dyDescent="0.2">
      <c r="B1546">
        <v>1537</v>
      </c>
      <c r="C1546" s="52">
        <f t="shared" ca="1" si="72"/>
        <v>-0.49851613510062187</v>
      </c>
      <c r="D1546" s="52">
        <f ca="1">S0*EXP((μ-0.5*σ*σ)*T+σ*SQRT(T)*$C1546)</f>
        <v>0.56095410477164376</v>
      </c>
      <c r="E1546" s="52">
        <f t="shared" ref="E1546:E1609" ca="1" si="73">MAX(0,CP*(D1546-K))</f>
        <v>0</v>
      </c>
      <c r="F1546" s="17">
        <f t="shared" ref="F1546:F1609" ca="1" si="74">(CP*(D1546-K)&gt;0)*1</f>
        <v>0</v>
      </c>
      <c r="H1546" s="17">
        <v>1537</v>
      </c>
      <c r="I1546" s="45">
        <v>0.67061091640239334</v>
      </c>
      <c r="J1546" s="45">
        <v>1.8691184911588384E-2</v>
      </c>
      <c r="K1546" s="45">
        <v>0.24579999999999999</v>
      </c>
      <c r="N1546" s="54"/>
    </row>
    <row r="1547" spans="2:14" x14ac:dyDescent="0.2">
      <c r="B1547">
        <v>1538</v>
      </c>
      <c r="C1547" s="52">
        <f t="shared" ref="C1547:C1610" ca="1" si="75">_xlfn.NORM.S.INV(RAND())</f>
        <v>-0.66139704725547677</v>
      </c>
      <c r="D1547" s="52">
        <f ca="1">S0*EXP((μ-0.5*σ*σ)*T+σ*SQRT(T)*$C1547)</f>
        <v>0.53625699402752591</v>
      </c>
      <c r="E1547" s="52">
        <f t="shared" ca="1" si="73"/>
        <v>0</v>
      </c>
      <c r="F1547" s="17">
        <f t="shared" ca="1" si="74"/>
        <v>0</v>
      </c>
      <c r="H1547" s="17">
        <v>1538</v>
      </c>
      <c r="I1547" s="45">
        <v>0.67185560248535359</v>
      </c>
      <c r="J1547" s="45">
        <v>1.943329661747744E-2</v>
      </c>
      <c r="K1547" s="45">
        <v>0.24759999999999999</v>
      </c>
      <c r="N1547" s="54"/>
    </row>
    <row r="1548" spans="2:14" x14ac:dyDescent="0.2">
      <c r="B1548">
        <v>1539</v>
      </c>
      <c r="C1548" s="52">
        <f t="shared" ca="1" si="75"/>
        <v>-0.1099867904391347</v>
      </c>
      <c r="D1548" s="52">
        <f ca="1">S0*EXP((μ-0.5*σ*σ)*T+σ*SQRT(T)*$C1548)</f>
        <v>0.6245561488549507</v>
      </c>
      <c r="E1548" s="52">
        <f t="shared" ca="1" si="73"/>
        <v>0</v>
      </c>
      <c r="F1548" s="17">
        <f t="shared" ca="1" si="74"/>
        <v>0</v>
      </c>
      <c r="H1548" s="17">
        <v>1539</v>
      </c>
      <c r="I1548" s="45">
        <v>0.6709634328823757</v>
      </c>
      <c r="J1548" s="45">
        <v>1.8474648806423188E-2</v>
      </c>
      <c r="K1548" s="45">
        <v>0.23899999999999999</v>
      </c>
      <c r="N1548" s="54"/>
    </row>
    <row r="1549" spans="2:14" x14ac:dyDescent="0.2">
      <c r="B1549">
        <v>1540</v>
      </c>
      <c r="C1549" s="52">
        <f t="shared" ca="1" si="75"/>
        <v>-7.259724828417527E-2</v>
      </c>
      <c r="D1549" s="52">
        <f ca="1">S0*EXP((μ-0.5*σ*σ)*T+σ*SQRT(T)*$C1549)</f>
        <v>0.63104483930255506</v>
      </c>
      <c r="E1549" s="52">
        <f t="shared" ca="1" si="73"/>
        <v>0</v>
      </c>
      <c r="F1549" s="17">
        <f t="shared" ca="1" si="74"/>
        <v>0</v>
      </c>
      <c r="H1549" s="17">
        <v>1540</v>
      </c>
      <c r="I1549" s="45">
        <v>0.67157206338597364</v>
      </c>
      <c r="J1549" s="45">
        <v>1.9273700371932063E-2</v>
      </c>
      <c r="K1549" s="45">
        <v>0.25</v>
      </c>
      <c r="N1549" s="54"/>
    </row>
    <row r="1550" spans="2:14" x14ac:dyDescent="0.2">
      <c r="B1550">
        <v>1541</v>
      </c>
      <c r="C1550" s="52">
        <f t="shared" ca="1" si="75"/>
        <v>1.0508439481618363</v>
      </c>
      <c r="D1550" s="52">
        <f ca="1">S0*EXP((μ-0.5*σ*σ)*T+σ*SQRT(T)*$C1550)</f>
        <v>0.86086060628805827</v>
      </c>
      <c r="E1550" s="52">
        <f t="shared" ca="1" si="73"/>
        <v>0</v>
      </c>
      <c r="F1550" s="17">
        <f t="shared" ca="1" si="74"/>
        <v>0</v>
      </c>
      <c r="H1550" s="17">
        <v>1541</v>
      </c>
      <c r="I1550" s="45">
        <v>0.67071328759707016</v>
      </c>
      <c r="J1550" s="45">
        <v>1.8826882793034527E-2</v>
      </c>
      <c r="K1550" s="45">
        <v>0.25059999999999999</v>
      </c>
      <c r="N1550" s="54"/>
    </row>
    <row r="1551" spans="2:14" x14ac:dyDescent="0.2">
      <c r="B1551">
        <v>1542</v>
      </c>
      <c r="C1551" s="52">
        <f t="shared" ca="1" si="75"/>
        <v>-2.1171645145620395</v>
      </c>
      <c r="D1551" s="52">
        <f ca="1">S0*EXP((μ-0.5*σ*σ)*T+σ*SQRT(T)*$C1551)</f>
        <v>0.35859443891970744</v>
      </c>
      <c r="E1551" s="52">
        <f t="shared" ca="1" si="73"/>
        <v>0.17580556108029255</v>
      </c>
      <c r="F1551" s="17">
        <f t="shared" ca="1" si="74"/>
        <v>1</v>
      </c>
      <c r="H1551" s="17">
        <v>1542</v>
      </c>
      <c r="I1551" s="45">
        <v>0.66999189443858154</v>
      </c>
      <c r="J1551" s="45">
        <v>1.8005240710110313E-2</v>
      </c>
      <c r="K1551" s="45">
        <v>0.24079999999999999</v>
      </c>
      <c r="N1551" s="54"/>
    </row>
    <row r="1552" spans="2:14" x14ac:dyDescent="0.2">
      <c r="B1552">
        <v>1543</v>
      </c>
      <c r="C1552" s="52">
        <f t="shared" ca="1" si="75"/>
        <v>0.22005540845300678</v>
      </c>
      <c r="D1552" s="52">
        <f ca="1">S0*EXP((μ-0.5*σ*σ)*T+σ*SQRT(T)*$C1552)</f>
        <v>0.68421734983047156</v>
      </c>
      <c r="E1552" s="52">
        <f t="shared" ca="1" si="73"/>
        <v>0</v>
      </c>
      <c r="F1552" s="17">
        <f t="shared" ca="1" si="74"/>
        <v>0</v>
      </c>
      <c r="H1552" s="17">
        <v>1543</v>
      </c>
      <c r="I1552" s="45">
        <v>0.66920956865800663</v>
      </c>
      <c r="J1552" s="45">
        <v>1.7687524210067584E-2</v>
      </c>
      <c r="K1552" s="45">
        <v>0.23960000000000001</v>
      </c>
      <c r="N1552" s="54"/>
    </row>
    <row r="1553" spans="2:14" x14ac:dyDescent="0.2">
      <c r="B1553">
        <v>1544</v>
      </c>
      <c r="C1553" s="52">
        <f t="shared" ca="1" si="75"/>
        <v>-0.79282057767618941</v>
      </c>
      <c r="D1553" s="52">
        <f ca="1">S0*EXP((μ-0.5*σ*σ)*T+σ*SQRT(T)*$C1553)</f>
        <v>0.51712456099689064</v>
      </c>
      <c r="E1553" s="52">
        <f t="shared" ca="1" si="73"/>
        <v>1.727543900310935E-2</v>
      </c>
      <c r="F1553" s="17">
        <f t="shared" ca="1" si="74"/>
        <v>1</v>
      </c>
      <c r="H1553" s="17">
        <v>1544</v>
      </c>
      <c r="I1553" s="45">
        <v>0.67056140965930822</v>
      </c>
      <c r="J1553" s="45">
        <v>1.8602298274328265E-2</v>
      </c>
      <c r="K1553" s="45">
        <v>0.25040000000000001</v>
      </c>
      <c r="N1553" s="54"/>
    </row>
    <row r="1554" spans="2:14" x14ac:dyDescent="0.2">
      <c r="B1554">
        <v>1545</v>
      </c>
      <c r="C1554" s="52">
        <f t="shared" ca="1" si="75"/>
        <v>0.21863657115425295</v>
      </c>
      <c r="D1554" s="52">
        <f ca="1">S0*EXP((μ-0.5*σ*σ)*T+σ*SQRT(T)*$C1554)</f>
        <v>0.68394904367521792</v>
      </c>
      <c r="E1554" s="52">
        <f t="shared" ca="1" si="73"/>
        <v>0</v>
      </c>
      <c r="F1554" s="17">
        <f t="shared" ca="1" si="74"/>
        <v>0</v>
      </c>
      <c r="H1554" s="17">
        <v>1545</v>
      </c>
      <c r="I1554" s="45">
        <v>0.67120219537717329</v>
      </c>
      <c r="J1554" s="45">
        <v>1.9139486316159467E-2</v>
      </c>
      <c r="K1554" s="45">
        <v>0.24440000000000001</v>
      </c>
      <c r="N1554" s="54"/>
    </row>
    <row r="1555" spans="2:14" x14ac:dyDescent="0.2">
      <c r="B1555">
        <v>1546</v>
      </c>
      <c r="C1555" s="52">
        <f t="shared" ca="1" si="75"/>
        <v>1.2001293595189653</v>
      </c>
      <c r="D1555" s="52">
        <f ca="1">S0*EXP((μ-0.5*σ*σ)*T+σ*SQRT(T)*$C1555)</f>
        <v>0.89712924298791263</v>
      </c>
      <c r="E1555" s="52">
        <f t="shared" ca="1" si="73"/>
        <v>0</v>
      </c>
      <c r="F1555" s="17">
        <f t="shared" ca="1" si="74"/>
        <v>0</v>
      </c>
      <c r="H1555" s="17">
        <v>1546</v>
      </c>
      <c r="I1555" s="45">
        <v>0.66937495988497997</v>
      </c>
      <c r="J1555" s="45">
        <v>1.764617364950238E-2</v>
      </c>
      <c r="K1555" s="45">
        <v>0.2336</v>
      </c>
      <c r="N1555" s="54"/>
    </row>
    <row r="1556" spans="2:14" x14ac:dyDescent="0.2">
      <c r="B1556">
        <v>1547</v>
      </c>
      <c r="C1556" s="52">
        <f t="shared" ca="1" si="75"/>
        <v>-0.41367801797993509</v>
      </c>
      <c r="D1556" s="52">
        <f ca="1">S0*EXP((μ-0.5*σ*σ)*T+σ*SQRT(T)*$C1556)</f>
        <v>0.57426508278518196</v>
      </c>
      <c r="E1556" s="52">
        <f t="shared" ca="1" si="73"/>
        <v>0</v>
      </c>
      <c r="F1556" s="17">
        <f t="shared" ca="1" si="74"/>
        <v>0</v>
      </c>
      <c r="H1556" s="17">
        <v>1547</v>
      </c>
      <c r="I1556" s="45">
        <v>0.67090593529644404</v>
      </c>
      <c r="J1556" s="45">
        <v>1.8748617657306857E-2</v>
      </c>
      <c r="K1556" s="45">
        <v>0.24379999999999999</v>
      </c>
      <c r="N1556" s="54"/>
    </row>
    <row r="1557" spans="2:14" x14ac:dyDescent="0.2">
      <c r="B1557">
        <v>1548</v>
      </c>
      <c r="C1557" s="52">
        <f t="shared" ca="1" si="75"/>
        <v>-1.2643671829181247</v>
      </c>
      <c r="D1557" s="52">
        <f ca="1">S0*EXP((μ-0.5*σ*σ)*T+σ*SQRT(T)*$C1557)</f>
        <v>0.45392544330754953</v>
      </c>
      <c r="E1557" s="52">
        <f t="shared" ca="1" si="73"/>
        <v>8.0474556692450461E-2</v>
      </c>
      <c r="F1557" s="17">
        <f t="shared" ca="1" si="74"/>
        <v>1</v>
      </c>
      <c r="H1557" s="17">
        <v>1548</v>
      </c>
      <c r="I1557" s="45">
        <v>0.67157370812390604</v>
      </c>
      <c r="J1557" s="45">
        <v>1.9413924253476458E-2</v>
      </c>
      <c r="K1557" s="45">
        <v>0.25040000000000001</v>
      </c>
      <c r="N1557" s="54"/>
    </row>
    <row r="1558" spans="2:14" x14ac:dyDescent="0.2">
      <c r="B1558">
        <v>1549</v>
      </c>
      <c r="C1558" s="52">
        <f t="shared" ca="1" si="75"/>
        <v>-0.7593650992229084</v>
      </c>
      <c r="D1558" s="52">
        <f ca="1">S0*EXP((μ-0.5*σ*σ)*T+σ*SQRT(T)*$C1558)</f>
        <v>0.52192920591531367</v>
      </c>
      <c r="E1558" s="52">
        <f t="shared" ca="1" si="73"/>
        <v>1.2470794084686321E-2</v>
      </c>
      <c r="F1558" s="17">
        <f t="shared" ca="1" si="74"/>
        <v>1</v>
      </c>
      <c r="H1558" s="17">
        <v>1549</v>
      </c>
      <c r="I1558" s="45">
        <v>0.67090018291257436</v>
      </c>
      <c r="J1558" s="45">
        <v>1.9074293451574655E-2</v>
      </c>
      <c r="K1558" s="45">
        <v>0.25240000000000001</v>
      </c>
      <c r="N1558" s="54"/>
    </row>
    <row r="1559" spans="2:14" x14ac:dyDescent="0.2">
      <c r="B1559">
        <v>1550</v>
      </c>
      <c r="C1559" s="52">
        <f t="shared" ca="1" si="75"/>
        <v>0.70237417396999868</v>
      </c>
      <c r="D1559" s="52">
        <f ca="1">S0*EXP((μ-0.5*σ*σ)*T+σ*SQRT(T)*$C1559)</f>
        <v>0.7818041162801117</v>
      </c>
      <c r="E1559" s="52">
        <f t="shared" ca="1" si="73"/>
        <v>0</v>
      </c>
      <c r="F1559" s="17">
        <f t="shared" ca="1" si="74"/>
        <v>0</v>
      </c>
      <c r="H1559" s="17">
        <v>1550</v>
      </c>
      <c r="I1559" s="45">
        <v>0.67116269326302758</v>
      </c>
      <c r="J1559" s="45">
        <v>1.9276420011845433E-2</v>
      </c>
      <c r="K1559" s="45">
        <v>0.24440000000000001</v>
      </c>
      <c r="N1559" s="54"/>
    </row>
    <row r="1560" spans="2:14" x14ac:dyDescent="0.2">
      <c r="B1560">
        <v>1551</v>
      </c>
      <c r="C1560" s="52">
        <f t="shared" ca="1" si="75"/>
        <v>1.4580219784783113</v>
      </c>
      <c r="D1560" s="52">
        <f ca="1">S0*EXP((μ-0.5*σ*σ)*T+σ*SQRT(T)*$C1560)</f>
        <v>0.96342037210413978</v>
      </c>
      <c r="E1560" s="52">
        <f t="shared" ca="1" si="73"/>
        <v>0</v>
      </c>
      <c r="F1560" s="17">
        <f t="shared" ca="1" si="74"/>
        <v>0</v>
      </c>
      <c r="H1560" s="17">
        <v>1551</v>
      </c>
      <c r="I1560" s="45">
        <v>0.6707734201269977</v>
      </c>
      <c r="J1560" s="45">
        <v>1.8866652504412149E-2</v>
      </c>
      <c r="K1560" s="45">
        <v>0.24740000000000001</v>
      </c>
      <c r="N1560" s="54"/>
    </row>
    <row r="1561" spans="2:14" x14ac:dyDescent="0.2">
      <c r="B1561">
        <v>1552</v>
      </c>
      <c r="C1561" s="52">
        <f t="shared" ca="1" si="75"/>
        <v>-1.2509141850958456</v>
      </c>
      <c r="D1561" s="52">
        <f ca="1">S0*EXP((μ-0.5*σ*σ)*T+σ*SQRT(T)*$C1561)</f>
        <v>0.45561666487178315</v>
      </c>
      <c r="E1561" s="52">
        <f t="shared" ca="1" si="73"/>
        <v>7.8783335128216836E-2</v>
      </c>
      <c r="F1561" s="17">
        <f t="shared" ca="1" si="74"/>
        <v>1</v>
      </c>
      <c r="H1561" s="17">
        <v>1552</v>
      </c>
      <c r="I1561" s="45">
        <v>0.67093320286352365</v>
      </c>
      <c r="J1561" s="45">
        <v>1.9164561603122392E-2</v>
      </c>
      <c r="K1561" s="45">
        <v>0.24579999999999999</v>
      </c>
      <c r="N1561" s="54"/>
    </row>
    <row r="1562" spans="2:14" x14ac:dyDescent="0.2">
      <c r="B1562">
        <v>1553</v>
      </c>
      <c r="C1562" s="52">
        <f t="shared" ca="1" si="75"/>
        <v>0.200584323511596</v>
      </c>
      <c r="D1562" s="52">
        <f ca="1">S0*EXP((μ-0.5*σ*σ)*T+σ*SQRT(T)*$C1562)</f>
        <v>0.6805444837136263</v>
      </c>
      <c r="E1562" s="52">
        <f t="shared" ca="1" si="73"/>
        <v>0</v>
      </c>
      <c r="F1562" s="17">
        <f t="shared" ca="1" si="74"/>
        <v>0</v>
      </c>
      <c r="H1562" s="17">
        <v>1553</v>
      </c>
      <c r="I1562" s="45">
        <v>0.67186445996753963</v>
      </c>
      <c r="J1562" s="45">
        <v>1.9601486583657939E-2</v>
      </c>
      <c r="K1562" s="45">
        <v>0.24579999999999999</v>
      </c>
      <c r="N1562" s="54"/>
    </row>
    <row r="1563" spans="2:14" x14ac:dyDescent="0.2">
      <c r="B1563">
        <v>1554</v>
      </c>
      <c r="C1563" s="52">
        <f t="shared" ca="1" si="75"/>
        <v>0.3539843188533453</v>
      </c>
      <c r="D1563" s="52">
        <f ca="1">S0*EXP((μ-0.5*σ*σ)*T+σ*SQRT(T)*$C1563)</f>
        <v>0.71002340573953882</v>
      </c>
      <c r="E1563" s="52">
        <f t="shared" ca="1" si="73"/>
        <v>0</v>
      </c>
      <c r="F1563" s="17">
        <f t="shared" ca="1" si="74"/>
        <v>0</v>
      </c>
      <c r="H1563" s="17">
        <v>1554</v>
      </c>
      <c r="I1563" s="45">
        <v>0.67066587597611971</v>
      </c>
      <c r="J1563" s="45">
        <v>1.8559510895248103E-2</v>
      </c>
      <c r="K1563" s="45">
        <v>0.2462</v>
      </c>
      <c r="N1563" s="54"/>
    </row>
    <row r="1564" spans="2:14" x14ac:dyDescent="0.2">
      <c r="B1564">
        <v>1555</v>
      </c>
      <c r="C1564" s="52">
        <f t="shared" ca="1" si="75"/>
        <v>5.9429944835445454E-2</v>
      </c>
      <c r="D1564" s="52">
        <f ca="1">S0*EXP((μ-0.5*σ*σ)*T+σ*SQRT(T)*$C1564)</f>
        <v>0.65450127244523426</v>
      </c>
      <c r="E1564" s="52">
        <f t="shared" ca="1" si="73"/>
        <v>0</v>
      </c>
      <c r="F1564" s="17">
        <f t="shared" ca="1" si="74"/>
        <v>0</v>
      </c>
      <c r="H1564" s="17">
        <v>1555</v>
      </c>
      <c r="I1564" s="45">
        <v>0.67089158085658329</v>
      </c>
      <c r="J1564" s="45">
        <v>1.9207207030173274E-2</v>
      </c>
      <c r="K1564" s="45">
        <v>0.2492</v>
      </c>
      <c r="N1564" s="54"/>
    </row>
    <row r="1565" spans="2:14" x14ac:dyDescent="0.2">
      <c r="B1565">
        <v>1556</v>
      </c>
      <c r="C1565" s="52">
        <f t="shared" ca="1" si="75"/>
        <v>0.16574424047947406</v>
      </c>
      <c r="D1565" s="52">
        <f ca="1">S0*EXP((μ-0.5*σ*σ)*T+σ*SQRT(T)*$C1565)</f>
        <v>0.67402166708744726</v>
      </c>
      <c r="E1565" s="52">
        <f t="shared" ca="1" si="73"/>
        <v>0</v>
      </c>
      <c r="F1565" s="17">
        <f t="shared" ca="1" si="74"/>
        <v>0</v>
      </c>
      <c r="H1565" s="17">
        <v>1556</v>
      </c>
      <c r="I1565" s="45">
        <v>0.6709624295478841</v>
      </c>
      <c r="J1565" s="45">
        <v>1.9122481851284692E-2</v>
      </c>
      <c r="K1565" s="45">
        <v>0.2492</v>
      </c>
      <c r="N1565" s="54"/>
    </row>
    <row r="1566" spans="2:14" x14ac:dyDescent="0.2">
      <c r="B1566">
        <v>1557</v>
      </c>
      <c r="C1566" s="52">
        <f t="shared" ca="1" si="75"/>
        <v>-0.11908165149037404</v>
      </c>
      <c r="D1566" s="52">
        <f ca="1">S0*EXP((μ-0.5*σ*σ)*T+σ*SQRT(T)*$C1566)</f>
        <v>0.62298791487458227</v>
      </c>
      <c r="E1566" s="52">
        <f t="shared" ca="1" si="73"/>
        <v>0</v>
      </c>
      <c r="F1566" s="17">
        <f t="shared" ca="1" si="74"/>
        <v>0</v>
      </c>
      <c r="H1566" s="17">
        <v>1557</v>
      </c>
      <c r="I1566" s="45">
        <v>0.67144105111433638</v>
      </c>
      <c r="J1566" s="45">
        <v>1.9584669348862091E-2</v>
      </c>
      <c r="K1566" s="45">
        <v>0.25380000000000003</v>
      </c>
      <c r="N1566" s="54"/>
    </row>
    <row r="1567" spans="2:14" x14ac:dyDescent="0.2">
      <c r="B1567">
        <v>1558</v>
      </c>
      <c r="C1567" s="52">
        <f t="shared" ca="1" si="75"/>
        <v>-0.3221324159290781</v>
      </c>
      <c r="D1567" s="52">
        <f ca="1">S0*EXP((μ-0.5*σ*σ)*T+σ*SQRT(T)*$C1567)</f>
        <v>0.58898298026139106</v>
      </c>
      <c r="E1567" s="52">
        <f t="shared" ca="1" si="73"/>
        <v>0</v>
      </c>
      <c r="F1567" s="17">
        <f t="shared" ca="1" si="74"/>
        <v>0</v>
      </c>
      <c r="H1567" s="17">
        <v>1558</v>
      </c>
      <c r="I1567" s="45">
        <v>0.67132888801305035</v>
      </c>
      <c r="J1567" s="45">
        <v>1.8891206097726571E-2</v>
      </c>
      <c r="K1567" s="45">
        <v>0.24399999999999999</v>
      </c>
      <c r="N1567" s="54"/>
    </row>
    <row r="1568" spans="2:14" x14ac:dyDescent="0.2">
      <c r="B1568">
        <v>1559</v>
      </c>
      <c r="C1568" s="52">
        <f t="shared" ca="1" si="75"/>
        <v>1.1135869831725793</v>
      </c>
      <c r="D1568" s="52">
        <f ca="1">S0*EXP((μ-0.5*σ*σ)*T+σ*SQRT(T)*$C1568)</f>
        <v>0.87592179225545863</v>
      </c>
      <c r="E1568" s="52">
        <f t="shared" ca="1" si="73"/>
        <v>0</v>
      </c>
      <c r="F1568" s="17">
        <f t="shared" ca="1" si="74"/>
        <v>0</v>
      </c>
      <c r="H1568" s="17">
        <v>1559</v>
      </c>
      <c r="I1568" s="45">
        <v>0.67090736350090274</v>
      </c>
      <c r="J1568" s="45">
        <v>1.9041143609383165E-2</v>
      </c>
      <c r="K1568" s="45">
        <v>0.2492</v>
      </c>
      <c r="N1568" s="54"/>
    </row>
    <row r="1569" spans="2:14" x14ac:dyDescent="0.2">
      <c r="B1569">
        <v>1560</v>
      </c>
      <c r="C1569" s="52">
        <f t="shared" ca="1" si="75"/>
        <v>-0.93361820044630039</v>
      </c>
      <c r="D1569" s="52">
        <f ca="1">S0*EXP((μ-0.5*σ*σ)*T+σ*SQRT(T)*$C1569)</f>
        <v>0.49738418481877084</v>
      </c>
      <c r="E1569" s="52">
        <f t="shared" ca="1" si="73"/>
        <v>3.701581518122915E-2</v>
      </c>
      <c r="F1569" s="17">
        <f t="shared" ca="1" si="74"/>
        <v>1</v>
      </c>
      <c r="H1569" s="17">
        <v>1560</v>
      </c>
      <c r="I1569" s="45">
        <v>0.67142853612240294</v>
      </c>
      <c r="J1569" s="45">
        <v>1.912156738074464E-2</v>
      </c>
      <c r="K1569" s="45">
        <v>0.24959999999999999</v>
      </c>
      <c r="N1569" s="54"/>
    </row>
    <row r="1570" spans="2:14" x14ac:dyDescent="0.2">
      <c r="B1570">
        <v>1561</v>
      </c>
      <c r="C1570" s="52">
        <f t="shared" ca="1" si="75"/>
        <v>-0.81553099077633628</v>
      </c>
      <c r="D1570" s="52">
        <f ca="1">S0*EXP((μ-0.5*σ*σ)*T+σ*SQRT(T)*$C1570)</f>
        <v>0.51388827565328554</v>
      </c>
      <c r="E1570" s="52">
        <f t="shared" ca="1" si="73"/>
        <v>2.0511724346714444E-2</v>
      </c>
      <c r="F1570" s="17">
        <f t="shared" ca="1" si="74"/>
        <v>1</v>
      </c>
      <c r="H1570" s="17">
        <v>1561</v>
      </c>
      <c r="I1570" s="45">
        <v>0.67015481211760419</v>
      </c>
      <c r="J1570" s="45">
        <v>1.8487387828906025E-2</v>
      </c>
      <c r="K1570" s="45">
        <v>0.25140000000000001</v>
      </c>
      <c r="N1570" s="54"/>
    </row>
    <row r="1571" spans="2:14" x14ac:dyDescent="0.2">
      <c r="B1571">
        <v>1562</v>
      </c>
      <c r="C1571" s="52">
        <f t="shared" ca="1" si="75"/>
        <v>0.42316873276881017</v>
      </c>
      <c r="D1571" s="52">
        <f ca="1">S0*EXP((μ-0.5*σ*σ)*T+σ*SQRT(T)*$C1571)</f>
        <v>0.72373315696613705</v>
      </c>
      <c r="E1571" s="52">
        <f t="shared" ca="1" si="73"/>
        <v>0</v>
      </c>
      <c r="F1571" s="17">
        <f t="shared" ca="1" si="74"/>
        <v>0</v>
      </c>
      <c r="H1571" s="17">
        <v>1562</v>
      </c>
      <c r="I1571" s="45">
        <v>0.66982098028512416</v>
      </c>
      <c r="J1571" s="45">
        <v>1.8088331459812899E-2</v>
      </c>
      <c r="K1571" s="45">
        <v>0.24079999999999999</v>
      </c>
      <c r="N1571" s="54"/>
    </row>
    <row r="1572" spans="2:14" x14ac:dyDescent="0.2">
      <c r="B1572">
        <v>1563</v>
      </c>
      <c r="C1572" s="52">
        <f t="shared" ca="1" si="75"/>
        <v>-0.45728245090855529</v>
      </c>
      <c r="D1572" s="52">
        <f ca="1">S0*EXP((μ-0.5*σ*σ)*T+σ*SQRT(T)*$C1572)</f>
        <v>0.56738462427358516</v>
      </c>
      <c r="E1572" s="52">
        <f t="shared" ca="1" si="73"/>
        <v>0</v>
      </c>
      <c r="F1572" s="17">
        <f t="shared" ca="1" si="74"/>
        <v>0</v>
      </c>
      <c r="H1572" s="17">
        <v>1563</v>
      </c>
      <c r="I1572" s="45">
        <v>0.67056842120005589</v>
      </c>
      <c r="J1572" s="45">
        <v>1.8901171738517721E-2</v>
      </c>
      <c r="K1572" s="45">
        <v>0.25</v>
      </c>
      <c r="N1572" s="54"/>
    </row>
    <row r="1573" spans="2:14" x14ac:dyDescent="0.2">
      <c r="B1573">
        <v>1564</v>
      </c>
      <c r="C1573" s="52">
        <f t="shared" ca="1" si="75"/>
        <v>-0.38465057778873235</v>
      </c>
      <c r="D1573" s="52">
        <f ca="1">S0*EXP((μ-0.5*σ*σ)*T+σ*SQRT(T)*$C1573)</f>
        <v>0.57889159649799393</v>
      </c>
      <c r="E1573" s="52">
        <f t="shared" ca="1" si="73"/>
        <v>0</v>
      </c>
      <c r="F1573" s="17">
        <f t="shared" ca="1" si="74"/>
        <v>0</v>
      </c>
      <c r="H1573" s="17">
        <v>1564</v>
      </c>
      <c r="I1573" s="45">
        <v>0.67162097984205615</v>
      </c>
      <c r="J1573" s="45">
        <v>1.9489145039943919E-2</v>
      </c>
      <c r="K1573" s="45">
        <v>0.25459999999999999</v>
      </c>
      <c r="N1573" s="54"/>
    </row>
    <row r="1574" spans="2:14" x14ac:dyDescent="0.2">
      <c r="B1574">
        <v>1565</v>
      </c>
      <c r="C1574" s="52">
        <f t="shared" ca="1" si="75"/>
        <v>0.71581103263373813</v>
      </c>
      <c r="D1574" s="52">
        <f ca="1">S0*EXP((μ-0.5*σ*σ)*T+σ*SQRT(T)*$C1574)</f>
        <v>0.78471343727919196</v>
      </c>
      <c r="E1574" s="52">
        <f t="shared" ca="1" si="73"/>
        <v>0</v>
      </c>
      <c r="F1574" s="17">
        <f t="shared" ca="1" si="74"/>
        <v>0</v>
      </c>
      <c r="H1574" s="17">
        <v>1565</v>
      </c>
      <c r="I1574" s="45">
        <v>0.67123071857698879</v>
      </c>
      <c r="J1574" s="45">
        <v>1.955933876248012E-2</v>
      </c>
      <c r="K1574" s="45">
        <v>0.255</v>
      </c>
      <c r="N1574" s="54"/>
    </row>
    <row r="1575" spans="2:14" x14ac:dyDescent="0.2">
      <c r="B1575">
        <v>1566</v>
      </c>
      <c r="C1575" s="52">
        <f t="shared" ca="1" si="75"/>
        <v>-1.0129999343757448</v>
      </c>
      <c r="D1575" s="52">
        <f ca="1">S0*EXP((μ-0.5*σ*σ)*T+σ*SQRT(T)*$C1575)</f>
        <v>0.48658861983283014</v>
      </c>
      <c r="E1575" s="52">
        <f t="shared" ca="1" si="73"/>
        <v>4.7811380167169848E-2</v>
      </c>
      <c r="F1575" s="17">
        <f t="shared" ca="1" si="74"/>
        <v>1</v>
      </c>
      <c r="H1575" s="17">
        <v>1566</v>
      </c>
      <c r="I1575" s="45">
        <v>0.67054818766400515</v>
      </c>
      <c r="J1575" s="45">
        <v>1.8689622593292113E-2</v>
      </c>
      <c r="K1575" s="45">
        <v>0.24859999999999999</v>
      </c>
      <c r="N1575" s="54"/>
    </row>
    <row r="1576" spans="2:14" x14ac:dyDescent="0.2">
      <c r="B1576">
        <v>1567</v>
      </c>
      <c r="C1576" s="52">
        <f t="shared" ca="1" si="75"/>
        <v>0.41234784302706351</v>
      </c>
      <c r="D1576" s="52">
        <f ca="1">S0*EXP((μ-0.5*σ*σ)*T+σ*SQRT(T)*$C1576)</f>
        <v>0.72157152783414391</v>
      </c>
      <c r="E1576" s="52">
        <f t="shared" ca="1" si="73"/>
        <v>0</v>
      </c>
      <c r="F1576" s="17">
        <f t="shared" ca="1" si="74"/>
        <v>0</v>
      </c>
      <c r="H1576" s="17">
        <v>1567</v>
      </c>
      <c r="I1576" s="45">
        <v>0.67065133112015762</v>
      </c>
      <c r="J1576" s="45">
        <v>1.8661354865204236E-2</v>
      </c>
      <c r="K1576" s="45">
        <v>0.2394</v>
      </c>
      <c r="N1576" s="54"/>
    </row>
    <row r="1577" spans="2:14" x14ac:dyDescent="0.2">
      <c r="B1577">
        <v>1568</v>
      </c>
      <c r="C1577" s="52">
        <f t="shared" ca="1" si="75"/>
        <v>-0.97561736885744077</v>
      </c>
      <c r="D1577" s="52">
        <f ca="1">S0*EXP((μ-0.5*σ*σ)*T+σ*SQRT(T)*$C1577)</f>
        <v>0.49164297843740401</v>
      </c>
      <c r="E1577" s="52">
        <f t="shared" ca="1" si="73"/>
        <v>4.2757021562595976E-2</v>
      </c>
      <c r="F1577" s="17">
        <f t="shared" ca="1" si="74"/>
        <v>1</v>
      </c>
      <c r="H1577" s="17">
        <v>1568</v>
      </c>
      <c r="I1577" s="45">
        <v>0.67035722854776836</v>
      </c>
      <c r="J1577" s="45">
        <v>1.8959646431116244E-2</v>
      </c>
      <c r="K1577" s="45">
        <v>0.24360000000000001</v>
      </c>
      <c r="N1577" s="54"/>
    </row>
    <row r="1578" spans="2:14" x14ac:dyDescent="0.2">
      <c r="B1578">
        <v>1569</v>
      </c>
      <c r="C1578" s="52">
        <f t="shared" ca="1" si="75"/>
        <v>1.5715455376807395</v>
      </c>
      <c r="D1578" s="52">
        <f ca="1">S0*EXP((μ-0.5*σ*σ)*T+σ*SQRT(T)*$C1578)</f>
        <v>0.99413343966015022</v>
      </c>
      <c r="E1578" s="52">
        <f t="shared" ca="1" si="73"/>
        <v>0</v>
      </c>
      <c r="F1578" s="17">
        <f t="shared" ca="1" si="74"/>
        <v>0</v>
      </c>
      <c r="H1578" s="17">
        <v>1569</v>
      </c>
      <c r="I1578" s="45">
        <v>0.67099592874361602</v>
      </c>
      <c r="J1578" s="45">
        <v>1.9148486167034358E-2</v>
      </c>
      <c r="K1578" s="45">
        <v>0.2462</v>
      </c>
      <c r="N1578" s="54"/>
    </row>
    <row r="1579" spans="2:14" x14ac:dyDescent="0.2">
      <c r="B1579">
        <v>1570</v>
      </c>
      <c r="C1579" s="52">
        <f t="shared" ca="1" si="75"/>
        <v>-2.6123656026598714</v>
      </c>
      <c r="D1579" s="52">
        <f ca="1">S0*EXP((μ-0.5*σ*σ)*T+σ*SQRT(T)*$C1579)</f>
        <v>0.31271817077733538</v>
      </c>
      <c r="E1579" s="52">
        <f t="shared" ca="1" si="73"/>
        <v>0.22168182922266461</v>
      </c>
      <c r="F1579" s="17">
        <f t="shared" ca="1" si="74"/>
        <v>1</v>
      </c>
      <c r="H1579" s="17">
        <v>1570</v>
      </c>
      <c r="I1579" s="45">
        <v>0.67157060724887574</v>
      </c>
      <c r="J1579" s="45">
        <v>1.9485914437416218E-2</v>
      </c>
      <c r="K1579" s="45">
        <v>0.25119999999999998</v>
      </c>
      <c r="N1579" s="54"/>
    </row>
    <row r="1580" spans="2:14" x14ac:dyDescent="0.2">
      <c r="B1580">
        <v>1571</v>
      </c>
      <c r="C1580" s="52">
        <f t="shared" ca="1" si="75"/>
        <v>1.0710391872531102</v>
      </c>
      <c r="D1580" s="52">
        <f ca="1">S0*EXP((μ-0.5*σ*σ)*T+σ*SQRT(T)*$C1580)</f>
        <v>0.86567990416188789</v>
      </c>
      <c r="E1580" s="52">
        <f t="shared" ca="1" si="73"/>
        <v>0</v>
      </c>
      <c r="F1580" s="17">
        <f t="shared" ca="1" si="74"/>
        <v>0</v>
      </c>
      <c r="H1580" s="17">
        <v>1571</v>
      </c>
      <c r="I1580" s="45">
        <v>0.67124698503435187</v>
      </c>
      <c r="J1580" s="45">
        <v>1.9146673355878253E-2</v>
      </c>
      <c r="K1580" s="45">
        <v>0.2462</v>
      </c>
      <c r="N1580" s="54"/>
    </row>
    <row r="1581" spans="2:14" x14ac:dyDescent="0.2">
      <c r="B1581">
        <v>1572</v>
      </c>
      <c r="C1581" s="52">
        <f t="shared" ca="1" si="75"/>
        <v>0.79182158666130076</v>
      </c>
      <c r="D1581" s="52">
        <f ca="1">S0*EXP((μ-0.5*σ*σ)*T+σ*SQRT(T)*$C1581)</f>
        <v>0.80137611330402803</v>
      </c>
      <c r="E1581" s="52">
        <f t="shared" ca="1" si="73"/>
        <v>0</v>
      </c>
      <c r="F1581" s="17">
        <f t="shared" ca="1" si="74"/>
        <v>0</v>
      </c>
      <c r="H1581" s="17">
        <v>1572</v>
      </c>
      <c r="I1581" s="45">
        <v>0.67069995296204055</v>
      </c>
      <c r="J1581" s="45">
        <v>1.9126111856864775E-2</v>
      </c>
      <c r="K1581" s="45">
        <v>0.24879999999999999</v>
      </c>
      <c r="N1581" s="54"/>
    </row>
    <row r="1582" spans="2:14" x14ac:dyDescent="0.2">
      <c r="B1582">
        <v>1573</v>
      </c>
      <c r="C1582" s="52">
        <f t="shared" ca="1" si="75"/>
        <v>0.78676188335844022</v>
      </c>
      <c r="D1582" s="52">
        <f ca="1">S0*EXP((μ-0.5*σ*σ)*T+σ*SQRT(T)*$C1582)</f>
        <v>0.80025603886909591</v>
      </c>
      <c r="E1582" s="52">
        <f t="shared" ca="1" si="73"/>
        <v>0</v>
      </c>
      <c r="F1582" s="17">
        <f t="shared" ca="1" si="74"/>
        <v>0</v>
      </c>
      <c r="H1582" s="17">
        <v>1573</v>
      </c>
      <c r="I1582" s="45">
        <v>0.67056824536955861</v>
      </c>
      <c r="J1582" s="45">
        <v>1.8688167410894085E-2</v>
      </c>
      <c r="K1582" s="45">
        <v>0.25080000000000002</v>
      </c>
      <c r="N1582" s="54"/>
    </row>
    <row r="1583" spans="2:14" x14ac:dyDescent="0.2">
      <c r="B1583">
        <v>1574</v>
      </c>
      <c r="C1583" s="52">
        <f t="shared" ca="1" si="75"/>
        <v>-0.6307522052499811</v>
      </c>
      <c r="D1583" s="52">
        <f ca="1">S0*EXP((μ-0.5*σ*σ)*T+σ*SQRT(T)*$C1583)</f>
        <v>0.54081904654894375</v>
      </c>
      <c r="E1583" s="52">
        <f t="shared" ca="1" si="73"/>
        <v>0</v>
      </c>
      <c r="F1583" s="17">
        <f t="shared" ca="1" si="74"/>
        <v>0</v>
      </c>
      <c r="H1583" s="17">
        <v>1574</v>
      </c>
      <c r="I1583" s="45">
        <v>0.67141060768508665</v>
      </c>
      <c r="J1583" s="45">
        <v>1.9309770235726144E-2</v>
      </c>
      <c r="K1583" s="45">
        <v>0.24360000000000001</v>
      </c>
      <c r="N1583" s="54"/>
    </row>
    <row r="1584" spans="2:14" x14ac:dyDescent="0.2">
      <c r="B1584">
        <v>1575</v>
      </c>
      <c r="C1584" s="52">
        <f t="shared" ca="1" si="75"/>
        <v>-9.9982508724402563E-2</v>
      </c>
      <c r="D1584" s="52">
        <f ca="1">S0*EXP((μ-0.5*σ*σ)*T+σ*SQRT(T)*$C1584)</f>
        <v>0.6262857548581402</v>
      </c>
      <c r="E1584" s="52">
        <f t="shared" ca="1" si="73"/>
        <v>0</v>
      </c>
      <c r="F1584" s="17">
        <f t="shared" ca="1" si="74"/>
        <v>0</v>
      </c>
      <c r="H1584" s="17">
        <v>1575</v>
      </c>
      <c r="I1584" s="45">
        <v>0.67149337001370046</v>
      </c>
      <c r="J1584" s="45">
        <v>1.921731487400213E-2</v>
      </c>
      <c r="K1584" s="45">
        <v>0.24679999999999999</v>
      </c>
      <c r="N1584" s="54"/>
    </row>
    <row r="1585" spans="2:14" x14ac:dyDescent="0.2">
      <c r="B1585">
        <v>1576</v>
      </c>
      <c r="C1585" s="52">
        <f t="shared" ca="1" si="75"/>
        <v>1.4183505705578567</v>
      </c>
      <c r="D1585" s="52">
        <f ca="1">S0*EXP((μ-0.5*σ*σ)*T+σ*SQRT(T)*$C1585)</f>
        <v>0.95291277531305751</v>
      </c>
      <c r="E1585" s="52">
        <f t="shared" ca="1" si="73"/>
        <v>0</v>
      </c>
      <c r="F1585" s="17">
        <f t="shared" ca="1" si="74"/>
        <v>0</v>
      </c>
      <c r="H1585" s="17">
        <v>1576</v>
      </c>
      <c r="I1585" s="45">
        <v>0.67047666844086617</v>
      </c>
      <c r="J1585" s="45">
        <v>1.8766736132549471E-2</v>
      </c>
      <c r="K1585" s="45">
        <v>0.24940000000000001</v>
      </c>
      <c r="N1585" s="54"/>
    </row>
    <row r="1586" spans="2:14" x14ac:dyDescent="0.2">
      <c r="B1586">
        <v>1577</v>
      </c>
      <c r="C1586" s="52">
        <f t="shared" ca="1" si="75"/>
        <v>0.30054127623455246</v>
      </c>
      <c r="D1586" s="52">
        <f ca="1">S0*EXP((μ-0.5*σ*σ)*T+σ*SQRT(T)*$C1586)</f>
        <v>0.69961105209124219</v>
      </c>
      <c r="E1586" s="52">
        <f t="shared" ca="1" si="73"/>
        <v>0</v>
      </c>
      <c r="F1586" s="17">
        <f t="shared" ca="1" si="74"/>
        <v>0</v>
      </c>
      <c r="H1586" s="17">
        <v>1577</v>
      </c>
      <c r="I1586" s="45">
        <v>0.6724769564815829</v>
      </c>
      <c r="J1586" s="45">
        <v>2.0080006348290075E-2</v>
      </c>
      <c r="K1586" s="45">
        <v>0.24979999999999999</v>
      </c>
      <c r="N1586" s="54"/>
    </row>
    <row r="1587" spans="2:14" x14ac:dyDescent="0.2">
      <c r="B1587">
        <v>1578</v>
      </c>
      <c r="C1587" s="52">
        <f t="shared" ca="1" si="75"/>
        <v>1.4815166017995727</v>
      </c>
      <c r="D1587" s="52">
        <f ca="1">S0*EXP((μ-0.5*σ*σ)*T+σ*SQRT(T)*$C1587)</f>
        <v>0.96969783997465886</v>
      </c>
      <c r="E1587" s="52">
        <f t="shared" ca="1" si="73"/>
        <v>0</v>
      </c>
      <c r="F1587" s="17">
        <f t="shared" ca="1" si="74"/>
        <v>0</v>
      </c>
      <c r="H1587" s="17">
        <v>1578</v>
      </c>
      <c r="I1587" s="45">
        <v>0.67135130243168328</v>
      </c>
      <c r="J1587" s="45">
        <v>1.9354019270472297E-2</v>
      </c>
      <c r="K1587" s="45">
        <v>0.24840000000000001</v>
      </c>
      <c r="N1587" s="54"/>
    </row>
    <row r="1588" spans="2:14" x14ac:dyDescent="0.2">
      <c r="B1588">
        <v>1579</v>
      </c>
      <c r="C1588" s="52">
        <f t="shared" ca="1" si="75"/>
        <v>0.17672434979944601</v>
      </c>
      <c r="D1588" s="52">
        <f ca="1">S0*EXP((μ-0.5*σ*σ)*T+σ*SQRT(T)*$C1588)</f>
        <v>0.67607060551839382</v>
      </c>
      <c r="E1588" s="52">
        <f t="shared" ca="1" si="73"/>
        <v>0</v>
      </c>
      <c r="F1588" s="17">
        <f t="shared" ca="1" si="74"/>
        <v>0</v>
      </c>
      <c r="H1588" s="17">
        <v>1579</v>
      </c>
      <c r="I1588" s="45">
        <v>0.67046742205096399</v>
      </c>
      <c r="J1588" s="45">
        <v>1.8810710186090426E-2</v>
      </c>
      <c r="K1588" s="45">
        <v>0.24279999999999999</v>
      </c>
      <c r="N1588" s="54"/>
    </row>
    <row r="1589" spans="2:14" x14ac:dyDescent="0.2">
      <c r="B1589">
        <v>1580</v>
      </c>
      <c r="C1589" s="52">
        <f t="shared" ca="1" si="75"/>
        <v>0.44318172177803922</v>
      </c>
      <c r="D1589" s="52">
        <f ca="1">S0*EXP((μ-0.5*σ*σ)*T+σ*SQRT(T)*$C1589)</f>
        <v>0.7277481187253021</v>
      </c>
      <c r="E1589" s="52">
        <f t="shared" ca="1" si="73"/>
        <v>0</v>
      </c>
      <c r="F1589" s="17">
        <f t="shared" ca="1" si="74"/>
        <v>0</v>
      </c>
      <c r="H1589" s="17">
        <v>1580</v>
      </c>
      <c r="I1589" s="45">
        <v>0.67288876402197328</v>
      </c>
      <c r="J1589" s="45">
        <v>2.0294837846909469E-2</v>
      </c>
      <c r="K1589" s="45">
        <v>0.25559999999999999</v>
      </c>
      <c r="N1589" s="54"/>
    </row>
    <row r="1590" spans="2:14" x14ac:dyDescent="0.2">
      <c r="B1590">
        <v>1581</v>
      </c>
      <c r="C1590" s="52">
        <f t="shared" ca="1" si="75"/>
        <v>0.76036325678964112</v>
      </c>
      <c r="D1590" s="52">
        <f ca="1">S0*EXP((μ-0.5*σ*σ)*T+σ*SQRT(T)*$C1590)</f>
        <v>0.79443747562074107</v>
      </c>
      <c r="E1590" s="52">
        <f t="shared" ca="1" si="73"/>
        <v>0</v>
      </c>
      <c r="F1590" s="17">
        <f t="shared" ca="1" si="74"/>
        <v>0</v>
      </c>
      <c r="H1590" s="17">
        <v>1581</v>
      </c>
      <c r="I1590" s="45">
        <v>0.67006321350089981</v>
      </c>
      <c r="J1590" s="45">
        <v>1.8423765000278026E-2</v>
      </c>
      <c r="K1590" s="45">
        <v>0.23899999999999999</v>
      </c>
      <c r="N1590" s="54"/>
    </row>
    <row r="1591" spans="2:14" x14ac:dyDescent="0.2">
      <c r="B1591">
        <v>1582</v>
      </c>
      <c r="C1591" s="52">
        <f t="shared" ca="1" si="75"/>
        <v>0.75095173939621973</v>
      </c>
      <c r="D1591" s="52">
        <f ca="1">S0*EXP((μ-0.5*σ*σ)*T+σ*SQRT(T)*$C1591)</f>
        <v>0.79237331411215894</v>
      </c>
      <c r="E1591" s="52">
        <f t="shared" ca="1" si="73"/>
        <v>0</v>
      </c>
      <c r="F1591" s="17">
        <f t="shared" ca="1" si="74"/>
        <v>0</v>
      </c>
      <c r="H1591" s="17">
        <v>1582</v>
      </c>
      <c r="I1591" s="45">
        <v>0.67128222373668922</v>
      </c>
      <c r="J1591" s="45">
        <v>1.8884724323650612E-2</v>
      </c>
      <c r="K1591" s="45">
        <v>0.25180000000000002</v>
      </c>
      <c r="N1591" s="54"/>
    </row>
    <row r="1592" spans="2:14" x14ac:dyDescent="0.2">
      <c r="B1592">
        <v>1583</v>
      </c>
      <c r="C1592" s="52">
        <f t="shared" ca="1" si="75"/>
        <v>1.5632639777308301</v>
      </c>
      <c r="D1592" s="52">
        <f ca="1">S0*EXP((μ-0.5*σ*σ)*T+σ*SQRT(T)*$C1592)</f>
        <v>0.99186018057400804</v>
      </c>
      <c r="E1592" s="52">
        <f t="shared" ca="1" si="73"/>
        <v>0</v>
      </c>
      <c r="F1592" s="17">
        <f t="shared" ca="1" si="74"/>
        <v>0</v>
      </c>
      <c r="H1592" s="17">
        <v>1583</v>
      </c>
      <c r="I1592" s="45">
        <v>0.66953979568666233</v>
      </c>
      <c r="J1592" s="45">
        <v>1.7969046586335916E-2</v>
      </c>
      <c r="K1592" s="45">
        <v>0.246</v>
      </c>
      <c r="N1592" s="54"/>
    </row>
    <row r="1593" spans="2:14" x14ac:dyDescent="0.2">
      <c r="B1593">
        <v>1584</v>
      </c>
      <c r="C1593" s="52">
        <f t="shared" ca="1" si="75"/>
        <v>0.21796033742710991</v>
      </c>
      <c r="D1593" s="52">
        <f ca="1">S0*EXP((μ-0.5*σ*σ)*T+σ*SQRT(T)*$C1593)</f>
        <v>0.68382120298564653</v>
      </c>
      <c r="E1593" s="52">
        <f t="shared" ca="1" si="73"/>
        <v>0</v>
      </c>
      <c r="F1593" s="17">
        <f t="shared" ca="1" si="74"/>
        <v>0</v>
      </c>
      <c r="H1593" s="17">
        <v>1584</v>
      </c>
      <c r="I1593" s="45">
        <v>0.67084103205791912</v>
      </c>
      <c r="J1593" s="45">
        <v>1.8958384010099666E-2</v>
      </c>
      <c r="K1593" s="45">
        <v>0.24360000000000001</v>
      </c>
      <c r="N1593" s="54"/>
    </row>
    <row r="1594" spans="2:14" x14ac:dyDescent="0.2">
      <c r="B1594">
        <v>1585</v>
      </c>
      <c r="C1594" s="52">
        <f t="shared" ca="1" si="75"/>
        <v>0.25333463871395756</v>
      </c>
      <c r="D1594" s="52">
        <f ca="1">S0*EXP((μ-0.5*σ*σ)*T+σ*SQRT(T)*$C1594)</f>
        <v>0.69054082250270554</v>
      </c>
      <c r="E1594" s="52">
        <f t="shared" ca="1" si="73"/>
        <v>0</v>
      </c>
      <c r="F1594" s="17">
        <f t="shared" ca="1" si="74"/>
        <v>0</v>
      </c>
      <c r="H1594" s="17">
        <v>1585</v>
      </c>
      <c r="I1594" s="45">
        <v>0.67175663392351104</v>
      </c>
      <c r="J1594" s="45">
        <v>1.9575078451396277E-2</v>
      </c>
      <c r="K1594" s="45">
        <v>0.25359999999999999</v>
      </c>
      <c r="N1594" s="54"/>
    </row>
    <row r="1595" spans="2:14" x14ac:dyDescent="0.2">
      <c r="B1595">
        <v>1586</v>
      </c>
      <c r="C1595" s="52">
        <f t="shared" ca="1" si="75"/>
        <v>-0.25720696284257216</v>
      </c>
      <c r="D1595" s="52">
        <f ca="1">S0*EXP((μ-0.5*σ*σ)*T+σ*SQRT(T)*$C1595)</f>
        <v>0.59964918550798407</v>
      </c>
      <c r="E1595" s="52">
        <f t="shared" ca="1" si="73"/>
        <v>0</v>
      </c>
      <c r="F1595" s="17">
        <f t="shared" ca="1" si="74"/>
        <v>0</v>
      </c>
      <c r="H1595" s="17">
        <v>1586</v>
      </c>
      <c r="I1595" s="45">
        <v>0.67047296382782096</v>
      </c>
      <c r="J1595" s="45">
        <v>1.8582046816647123E-2</v>
      </c>
      <c r="K1595" s="45">
        <v>0.24640000000000001</v>
      </c>
      <c r="N1595" s="54"/>
    </row>
    <row r="1596" spans="2:14" x14ac:dyDescent="0.2">
      <c r="B1596">
        <v>1587</v>
      </c>
      <c r="C1596" s="52">
        <f t="shared" ca="1" si="75"/>
        <v>1.4613327962024507</v>
      </c>
      <c r="D1596" s="52">
        <f ca="1">S0*EXP((μ-0.5*σ*σ)*T+σ*SQRT(T)*$C1596)</f>
        <v>0.96430251506097275</v>
      </c>
      <c r="E1596" s="52">
        <f t="shared" ca="1" si="73"/>
        <v>0</v>
      </c>
      <c r="F1596" s="17">
        <f t="shared" ca="1" si="74"/>
        <v>0</v>
      </c>
      <c r="H1596" s="17">
        <v>1587</v>
      </c>
      <c r="I1596" s="45">
        <v>0.67159018046126007</v>
      </c>
      <c r="J1596" s="45">
        <v>1.9560305729242937E-2</v>
      </c>
      <c r="K1596" s="45">
        <v>0.249</v>
      </c>
      <c r="N1596" s="54"/>
    </row>
    <row r="1597" spans="2:14" x14ac:dyDescent="0.2">
      <c r="B1597">
        <v>1588</v>
      </c>
      <c r="C1597" s="52">
        <f t="shared" ca="1" si="75"/>
        <v>-0.30158892332057968</v>
      </c>
      <c r="D1597" s="52">
        <f ca="1">S0*EXP((μ-0.5*σ*σ)*T+σ*SQRT(T)*$C1597)</f>
        <v>0.59233726468896564</v>
      </c>
      <c r="E1597" s="52">
        <f t="shared" ca="1" si="73"/>
        <v>0</v>
      </c>
      <c r="F1597" s="17">
        <f t="shared" ca="1" si="74"/>
        <v>0</v>
      </c>
      <c r="H1597" s="17">
        <v>1588</v>
      </c>
      <c r="I1597" s="45">
        <v>0.67156802544777361</v>
      </c>
      <c r="J1597" s="45">
        <v>1.937089265029206E-2</v>
      </c>
      <c r="K1597" s="45">
        <v>0.24279999999999999</v>
      </c>
      <c r="N1597" s="54"/>
    </row>
    <row r="1598" spans="2:14" x14ac:dyDescent="0.2">
      <c r="B1598">
        <v>1589</v>
      </c>
      <c r="C1598" s="52">
        <f t="shared" ca="1" si="75"/>
        <v>0.22173193509157477</v>
      </c>
      <c r="D1598" s="52">
        <f ca="1">S0*EXP((μ-0.5*σ*σ)*T+σ*SQRT(T)*$C1598)</f>
        <v>0.68453452143755955</v>
      </c>
      <c r="E1598" s="52">
        <f t="shared" ca="1" si="73"/>
        <v>0</v>
      </c>
      <c r="F1598" s="17">
        <f t="shared" ca="1" si="74"/>
        <v>0</v>
      </c>
      <c r="H1598" s="17">
        <v>1589</v>
      </c>
      <c r="I1598" s="45">
        <v>0.6705804094525134</v>
      </c>
      <c r="J1598" s="45">
        <v>1.8515005438536316E-2</v>
      </c>
      <c r="K1598" s="45">
        <v>0.24279999999999999</v>
      </c>
      <c r="N1598" s="54"/>
    </row>
    <row r="1599" spans="2:14" x14ac:dyDescent="0.2">
      <c r="B1599">
        <v>1590</v>
      </c>
      <c r="C1599" s="52">
        <f t="shared" ca="1" si="75"/>
        <v>0.4723982503125595</v>
      </c>
      <c r="D1599" s="52">
        <f ca="1">S0*EXP((μ-0.5*σ*σ)*T+σ*SQRT(T)*$C1599)</f>
        <v>0.73364950135048856</v>
      </c>
      <c r="E1599" s="52">
        <f t="shared" ca="1" si="73"/>
        <v>0</v>
      </c>
      <c r="F1599" s="17">
        <f t="shared" ca="1" si="74"/>
        <v>0</v>
      </c>
      <c r="H1599" s="17">
        <v>1590</v>
      </c>
      <c r="I1599" s="45">
        <v>0.67217896194267635</v>
      </c>
      <c r="J1599" s="45">
        <v>1.994677523569131E-2</v>
      </c>
      <c r="K1599" s="45">
        <v>0.25240000000000001</v>
      </c>
      <c r="N1599" s="54"/>
    </row>
    <row r="1600" spans="2:14" x14ac:dyDescent="0.2">
      <c r="B1600">
        <v>1591</v>
      </c>
      <c r="C1600" s="52">
        <f t="shared" ca="1" si="75"/>
        <v>0.40317058132038697</v>
      </c>
      <c r="D1600" s="52">
        <f ca="1">S0*EXP((μ-0.5*σ*σ)*T+σ*SQRT(T)*$C1600)</f>
        <v>0.71974329769691292</v>
      </c>
      <c r="E1600" s="52">
        <f t="shared" ca="1" si="73"/>
        <v>0</v>
      </c>
      <c r="F1600" s="17">
        <f t="shared" ca="1" si="74"/>
        <v>0</v>
      </c>
      <c r="H1600" s="17">
        <v>1591</v>
      </c>
      <c r="I1600" s="45">
        <v>0.67153794884442164</v>
      </c>
      <c r="J1600" s="45">
        <v>1.9542651975935632E-2</v>
      </c>
      <c r="K1600" s="45">
        <v>0.25019999999999998</v>
      </c>
      <c r="N1600" s="54"/>
    </row>
    <row r="1601" spans="2:14" x14ac:dyDescent="0.2">
      <c r="B1601">
        <v>1592</v>
      </c>
      <c r="C1601" s="52">
        <f t="shared" ca="1" si="75"/>
        <v>-1.311222107984831</v>
      </c>
      <c r="D1601" s="52">
        <f ca="1">S0*EXP((μ-0.5*σ*σ)*T+σ*SQRT(T)*$C1601)</f>
        <v>0.44808401041532481</v>
      </c>
      <c r="E1601" s="52">
        <f t="shared" ca="1" si="73"/>
        <v>8.6315989584675179E-2</v>
      </c>
      <c r="F1601" s="17">
        <f t="shared" ca="1" si="74"/>
        <v>1</v>
      </c>
      <c r="H1601" s="17">
        <v>1592</v>
      </c>
      <c r="I1601" s="45">
        <v>0.67075405680911504</v>
      </c>
      <c r="J1601" s="45">
        <v>1.8844677478929286E-2</v>
      </c>
      <c r="K1601" s="45">
        <v>0.248</v>
      </c>
      <c r="N1601" s="54"/>
    </row>
    <row r="1602" spans="2:14" x14ac:dyDescent="0.2">
      <c r="B1602">
        <v>1593</v>
      </c>
      <c r="C1602" s="52">
        <f t="shared" ca="1" si="75"/>
        <v>-1.2968722988368084</v>
      </c>
      <c r="D1602" s="52">
        <f ca="1">S0*EXP((μ-0.5*σ*σ)*T+σ*SQRT(T)*$C1602)</f>
        <v>0.44986497936546904</v>
      </c>
      <c r="E1602" s="52">
        <f t="shared" ca="1" si="73"/>
        <v>8.4535020634530944E-2</v>
      </c>
      <c r="F1602" s="17">
        <f t="shared" ca="1" si="74"/>
        <v>1</v>
      </c>
      <c r="H1602" s="17">
        <v>1593</v>
      </c>
      <c r="I1602" s="45">
        <v>0.67162091100380839</v>
      </c>
      <c r="J1602" s="45">
        <v>1.9380150823449085E-2</v>
      </c>
      <c r="K1602" s="45">
        <v>0.24759999999999999</v>
      </c>
      <c r="N1602" s="54"/>
    </row>
    <row r="1603" spans="2:14" x14ac:dyDescent="0.2">
      <c r="B1603">
        <v>1594</v>
      </c>
      <c r="C1603" s="52">
        <f t="shared" ca="1" si="75"/>
        <v>-0.33280284906442215</v>
      </c>
      <c r="D1603" s="52">
        <f ca="1">S0*EXP((μ-0.5*σ*σ)*T+σ*SQRT(T)*$C1603)</f>
        <v>0.58724824357181371</v>
      </c>
      <c r="E1603" s="52">
        <f t="shared" ca="1" si="73"/>
        <v>0</v>
      </c>
      <c r="F1603" s="17">
        <f t="shared" ca="1" si="74"/>
        <v>0</v>
      </c>
      <c r="H1603" s="17">
        <v>1594</v>
      </c>
      <c r="I1603" s="45">
        <v>0.67006214255990593</v>
      </c>
      <c r="J1603" s="45">
        <v>1.8457526079047704E-2</v>
      </c>
      <c r="K1603" s="45">
        <v>0.247</v>
      </c>
      <c r="N1603" s="54"/>
    </row>
    <row r="1604" spans="2:14" x14ac:dyDescent="0.2">
      <c r="B1604">
        <v>1595</v>
      </c>
      <c r="C1604" s="52">
        <f t="shared" ca="1" si="75"/>
        <v>-1.1208248054947132</v>
      </c>
      <c r="D1604" s="52">
        <f ca="1">S0*EXP((μ-0.5*σ*σ)*T+σ*SQRT(T)*$C1604)</f>
        <v>0.47229922825175702</v>
      </c>
      <c r="E1604" s="52">
        <f t="shared" ca="1" si="73"/>
        <v>6.2100771748242967E-2</v>
      </c>
      <c r="F1604" s="17">
        <f t="shared" ca="1" si="74"/>
        <v>1</v>
      </c>
      <c r="H1604" s="17">
        <v>1595</v>
      </c>
      <c r="I1604" s="45">
        <v>0.67204698557005305</v>
      </c>
      <c r="J1604" s="45">
        <v>2.0032703884763085E-2</v>
      </c>
      <c r="K1604" s="45">
        <v>0.25019999999999998</v>
      </c>
      <c r="N1604" s="54"/>
    </row>
    <row r="1605" spans="2:14" x14ac:dyDescent="0.2">
      <c r="B1605">
        <v>1596</v>
      </c>
      <c r="C1605" s="52">
        <f t="shared" ca="1" si="75"/>
        <v>-0.3907874587833145</v>
      </c>
      <c r="D1605" s="52">
        <f ca="1">S0*EXP((μ-0.5*σ*σ)*T+σ*SQRT(T)*$C1605)</f>
        <v>0.57791037795955036</v>
      </c>
      <c r="E1605" s="52">
        <f t="shared" ca="1" si="73"/>
        <v>0</v>
      </c>
      <c r="F1605" s="17">
        <f t="shared" ca="1" si="74"/>
        <v>0</v>
      </c>
      <c r="H1605" s="17">
        <v>1596</v>
      </c>
      <c r="I1605" s="45">
        <v>0.67072679702372706</v>
      </c>
      <c r="J1605" s="45">
        <v>1.8718638191580924E-2</v>
      </c>
      <c r="K1605" s="45">
        <v>0.24560000000000001</v>
      </c>
      <c r="N1605" s="54"/>
    </row>
    <row r="1606" spans="2:14" x14ac:dyDescent="0.2">
      <c r="B1606">
        <v>1597</v>
      </c>
      <c r="C1606" s="52">
        <f t="shared" ca="1" si="75"/>
        <v>0.99318084180177191</v>
      </c>
      <c r="D1606" s="52">
        <f ca="1">S0*EXP((μ-0.5*σ*σ)*T+σ*SQRT(T)*$C1606)</f>
        <v>0.84724731081277715</v>
      </c>
      <c r="E1606" s="52">
        <f t="shared" ca="1" si="73"/>
        <v>0</v>
      </c>
      <c r="F1606" s="17">
        <f t="shared" ca="1" si="74"/>
        <v>0</v>
      </c>
      <c r="H1606" s="17">
        <v>1597</v>
      </c>
      <c r="I1606" s="45">
        <v>0.67026927803667657</v>
      </c>
      <c r="J1606" s="45">
        <v>1.8673003439383964E-2</v>
      </c>
      <c r="K1606" s="45">
        <v>0.24759999999999999</v>
      </c>
      <c r="N1606" s="54"/>
    </row>
    <row r="1607" spans="2:14" x14ac:dyDescent="0.2">
      <c r="B1607">
        <v>1598</v>
      </c>
      <c r="C1607" s="52">
        <f t="shared" ca="1" si="75"/>
        <v>1.3818857329845939</v>
      </c>
      <c r="D1607" s="52">
        <f ca="1">S0*EXP((μ-0.5*σ*σ)*T+σ*SQRT(T)*$C1607)</f>
        <v>0.94335560039507627</v>
      </c>
      <c r="E1607" s="52">
        <f t="shared" ca="1" si="73"/>
        <v>0</v>
      </c>
      <c r="F1607" s="17">
        <f t="shared" ca="1" si="74"/>
        <v>0</v>
      </c>
      <c r="H1607" s="17">
        <v>1598</v>
      </c>
      <c r="I1607" s="45">
        <v>0.67044830987606352</v>
      </c>
      <c r="J1607" s="45">
        <v>1.8622298785670996E-2</v>
      </c>
      <c r="K1607" s="45">
        <v>0.245</v>
      </c>
      <c r="N1607" s="54"/>
    </row>
    <row r="1608" spans="2:14" x14ac:dyDescent="0.2">
      <c r="B1608">
        <v>1599</v>
      </c>
      <c r="C1608" s="52">
        <f t="shared" ca="1" si="75"/>
        <v>-1.1457866302597681</v>
      </c>
      <c r="D1608" s="52">
        <f ca="1">S0*EXP((μ-0.5*σ*σ)*T+σ*SQRT(T)*$C1608)</f>
        <v>0.46905145891595845</v>
      </c>
      <c r="E1608" s="52">
        <f t="shared" ca="1" si="73"/>
        <v>6.5348541084041534E-2</v>
      </c>
      <c r="F1608" s="17">
        <f t="shared" ca="1" si="74"/>
        <v>1</v>
      </c>
      <c r="H1608" s="17">
        <v>1599</v>
      </c>
      <c r="I1608" s="45">
        <v>0.67121218495752344</v>
      </c>
      <c r="J1608" s="45">
        <v>1.9469917521710695E-2</v>
      </c>
      <c r="K1608" s="45">
        <v>0.247</v>
      </c>
      <c r="N1608" s="54"/>
    </row>
    <row r="1609" spans="2:14" x14ac:dyDescent="0.2">
      <c r="B1609">
        <v>1600</v>
      </c>
      <c r="C1609" s="52">
        <f t="shared" ca="1" si="75"/>
        <v>1.8478893982344113</v>
      </c>
      <c r="D1609" s="52">
        <f ca="1">S0*EXP((μ-0.5*σ*σ)*T+σ*SQRT(T)*$C1609)</f>
        <v>1.0730516425571686</v>
      </c>
      <c r="E1609" s="52">
        <f t="shared" ca="1" si="73"/>
        <v>0</v>
      </c>
      <c r="F1609" s="17">
        <f t="shared" ca="1" si="74"/>
        <v>0</v>
      </c>
      <c r="H1609" s="17">
        <v>1600</v>
      </c>
      <c r="I1609" s="45">
        <v>0.67077669435376019</v>
      </c>
      <c r="J1609" s="45">
        <v>1.9020167137343547E-2</v>
      </c>
      <c r="K1609" s="45">
        <v>0.2432</v>
      </c>
      <c r="N1609" s="54"/>
    </row>
    <row r="1610" spans="2:14" x14ac:dyDescent="0.2">
      <c r="B1610">
        <v>1601</v>
      </c>
      <c r="C1610" s="52">
        <f t="shared" ca="1" si="75"/>
        <v>1.5455834934924639</v>
      </c>
      <c r="D1610" s="52">
        <f ca="1">S0*EXP((μ-0.5*σ*σ)*T+σ*SQRT(T)*$C1610)</f>
        <v>0.98702433007323231</v>
      </c>
      <c r="E1610" s="52">
        <f t="shared" ref="E1610:E1673" ca="1" si="76">MAX(0,CP*(D1610-K))</f>
        <v>0</v>
      </c>
      <c r="F1610" s="17">
        <f t="shared" ref="F1610:F1673" ca="1" si="77">(CP*(D1610-K)&gt;0)*1</f>
        <v>0</v>
      </c>
      <c r="H1610" s="17">
        <v>1601</v>
      </c>
      <c r="I1610" s="45">
        <v>0.67086867847288278</v>
      </c>
      <c r="J1610" s="45">
        <v>1.8922052280782135E-2</v>
      </c>
      <c r="K1610" s="45">
        <v>0.2462</v>
      </c>
      <c r="N1610" s="54"/>
    </row>
    <row r="1611" spans="2:14" x14ac:dyDescent="0.2">
      <c r="B1611">
        <v>1602</v>
      </c>
      <c r="C1611" s="52">
        <f t="shared" ref="C1611:C1674" ca="1" si="78">_xlfn.NORM.S.INV(RAND())</f>
        <v>-1.086934497255732</v>
      </c>
      <c r="D1611" s="52">
        <f ca="1">S0*EXP((μ-0.5*σ*σ)*T+σ*SQRT(T)*$C1611)</f>
        <v>0.47674469927118801</v>
      </c>
      <c r="E1611" s="52">
        <f t="shared" ca="1" si="76"/>
        <v>5.7655300728811976E-2</v>
      </c>
      <c r="F1611" s="17">
        <f t="shared" ca="1" si="77"/>
        <v>1</v>
      </c>
      <c r="H1611" s="17">
        <v>1602</v>
      </c>
      <c r="I1611" s="45">
        <v>0.66898595837988817</v>
      </c>
      <c r="J1611" s="45">
        <v>1.753320356911638E-2</v>
      </c>
      <c r="K1611" s="45">
        <v>0.2364</v>
      </c>
      <c r="N1611" s="54"/>
    </row>
    <row r="1612" spans="2:14" x14ac:dyDescent="0.2">
      <c r="B1612">
        <v>1603</v>
      </c>
      <c r="C1612" s="52">
        <f t="shared" ca="1" si="78"/>
        <v>0.20789313376495996</v>
      </c>
      <c r="D1612" s="52">
        <f ca="1">S0*EXP((μ-0.5*σ*σ)*T+σ*SQRT(T)*$C1612)</f>
        <v>0.68192084080143922</v>
      </c>
      <c r="E1612" s="52">
        <f t="shared" ca="1" si="76"/>
        <v>0</v>
      </c>
      <c r="F1612" s="17">
        <f t="shared" ca="1" si="77"/>
        <v>0</v>
      </c>
      <c r="H1612" s="17">
        <v>1603</v>
      </c>
      <c r="I1612" s="45">
        <v>0.67134324104640286</v>
      </c>
      <c r="J1612" s="45">
        <v>1.9286168446012029E-2</v>
      </c>
      <c r="K1612" s="45">
        <v>0.24779999999999999</v>
      </c>
      <c r="N1612" s="54"/>
    </row>
    <row r="1613" spans="2:14" x14ac:dyDescent="0.2">
      <c r="B1613">
        <v>1604</v>
      </c>
      <c r="C1613" s="52">
        <f t="shared" ca="1" si="78"/>
        <v>-9.5212646127317502E-2</v>
      </c>
      <c r="D1613" s="52">
        <f ca="1">S0*EXP((μ-0.5*σ*σ)*T+σ*SQRT(T)*$C1613)</f>
        <v>0.62711208553157072</v>
      </c>
      <c r="E1613" s="52">
        <f t="shared" ca="1" si="76"/>
        <v>0</v>
      </c>
      <c r="F1613" s="17">
        <f t="shared" ca="1" si="77"/>
        <v>0</v>
      </c>
      <c r="H1613" s="17">
        <v>1604</v>
      </c>
      <c r="I1613" s="45">
        <v>0.67049183364541787</v>
      </c>
      <c r="J1613" s="45">
        <v>1.8624523718373396E-2</v>
      </c>
      <c r="K1613" s="45">
        <v>0.2452</v>
      </c>
      <c r="N1613" s="54"/>
    </row>
    <row r="1614" spans="2:14" x14ac:dyDescent="0.2">
      <c r="B1614">
        <v>1605</v>
      </c>
      <c r="C1614" s="52">
        <f t="shared" ca="1" si="78"/>
        <v>-0.61683004542078845</v>
      </c>
      <c r="D1614" s="52">
        <f ca="1">S0*EXP((μ-0.5*σ*σ)*T+σ*SQRT(T)*$C1614)</f>
        <v>0.54290441924325994</v>
      </c>
      <c r="E1614" s="52">
        <f t="shared" ca="1" si="76"/>
        <v>0</v>
      </c>
      <c r="F1614" s="17">
        <f t="shared" ca="1" si="77"/>
        <v>0</v>
      </c>
      <c r="H1614" s="17">
        <v>1605</v>
      </c>
      <c r="I1614" s="45">
        <v>0.67191318556445834</v>
      </c>
      <c r="J1614" s="45">
        <v>1.9765702586568935E-2</v>
      </c>
      <c r="K1614" s="45">
        <v>0.25219999999999998</v>
      </c>
      <c r="N1614" s="54"/>
    </row>
    <row r="1615" spans="2:14" x14ac:dyDescent="0.2">
      <c r="B1615">
        <v>1606</v>
      </c>
      <c r="C1615" s="52">
        <f t="shared" ca="1" si="78"/>
        <v>-1.6099023991709542</v>
      </c>
      <c r="D1615" s="52">
        <f ca="1">S0*EXP((μ-0.5*σ*σ)*T+σ*SQRT(T)*$C1615)</f>
        <v>0.41257408704539505</v>
      </c>
      <c r="E1615" s="52">
        <f t="shared" ca="1" si="76"/>
        <v>0.12182591295460493</v>
      </c>
      <c r="F1615" s="17">
        <f t="shared" ca="1" si="77"/>
        <v>1</v>
      </c>
      <c r="H1615" s="17">
        <v>1606</v>
      </c>
      <c r="I1615" s="45">
        <v>0.67094753837796128</v>
      </c>
      <c r="J1615" s="45">
        <v>1.9054708403198919E-2</v>
      </c>
      <c r="K1615" s="45">
        <v>0.24440000000000001</v>
      </c>
      <c r="N1615" s="54"/>
    </row>
    <row r="1616" spans="2:14" x14ac:dyDescent="0.2">
      <c r="B1616">
        <v>1607</v>
      </c>
      <c r="C1616" s="52">
        <f t="shared" ca="1" si="78"/>
        <v>1.4005374462395985</v>
      </c>
      <c r="D1616" s="52">
        <f ca="1">S0*EXP((μ-0.5*σ*σ)*T+σ*SQRT(T)*$C1616)</f>
        <v>0.94823204576509756</v>
      </c>
      <c r="E1616" s="52">
        <f t="shared" ca="1" si="76"/>
        <v>0</v>
      </c>
      <c r="F1616" s="17">
        <f t="shared" ca="1" si="77"/>
        <v>0</v>
      </c>
      <c r="H1616" s="17">
        <v>1607</v>
      </c>
      <c r="I1616" s="45">
        <v>0.67153071884241922</v>
      </c>
      <c r="J1616" s="45">
        <v>1.934874752724201E-2</v>
      </c>
      <c r="K1616" s="45">
        <v>0.24340000000000001</v>
      </c>
      <c r="N1616" s="54"/>
    </row>
    <row r="1617" spans="2:14" x14ac:dyDescent="0.2">
      <c r="B1617">
        <v>1608</v>
      </c>
      <c r="C1617" s="52">
        <f t="shared" ca="1" si="78"/>
        <v>1.7555720567629638</v>
      </c>
      <c r="D1617" s="52">
        <f ca="1">S0*EXP((μ-0.5*σ*σ)*T+σ*SQRT(T)*$C1617)</f>
        <v>1.0460143420988894</v>
      </c>
      <c r="E1617" s="52">
        <f t="shared" ca="1" si="76"/>
        <v>0</v>
      </c>
      <c r="F1617" s="17">
        <f t="shared" ca="1" si="77"/>
        <v>0</v>
      </c>
      <c r="H1617" s="17">
        <v>1608</v>
      </c>
      <c r="I1617" s="45">
        <v>0.67079099412151511</v>
      </c>
      <c r="J1617" s="45">
        <v>1.8974598524093035E-2</v>
      </c>
      <c r="K1617" s="45">
        <v>0.25059999999999999</v>
      </c>
      <c r="N1617" s="54"/>
    </row>
    <row r="1618" spans="2:14" x14ac:dyDescent="0.2">
      <c r="B1618">
        <v>1609</v>
      </c>
      <c r="C1618" s="52">
        <f t="shared" ca="1" si="78"/>
        <v>-0.52238068470360366</v>
      </c>
      <c r="D1618" s="52">
        <f ca="1">S0*EXP((μ-0.5*σ*σ)*T+σ*SQRT(T)*$C1618)</f>
        <v>0.55726570509523177</v>
      </c>
      <c r="E1618" s="52">
        <f t="shared" ca="1" si="76"/>
        <v>0</v>
      </c>
      <c r="F1618" s="17">
        <f t="shared" ca="1" si="77"/>
        <v>0</v>
      </c>
      <c r="H1618" s="17">
        <v>1609</v>
      </c>
      <c r="I1618" s="45">
        <v>0.67051984856527691</v>
      </c>
      <c r="J1618" s="45">
        <v>1.880520783655986E-2</v>
      </c>
      <c r="K1618" s="45">
        <v>0.24340000000000001</v>
      </c>
      <c r="N1618" s="54"/>
    </row>
    <row r="1619" spans="2:14" x14ac:dyDescent="0.2">
      <c r="B1619">
        <v>1610</v>
      </c>
      <c r="C1619" s="52">
        <f t="shared" ca="1" si="78"/>
        <v>0.90759022152621893</v>
      </c>
      <c r="D1619" s="52">
        <f ca="1">S0*EXP((μ-0.5*σ*σ)*T+σ*SQRT(T)*$C1619)</f>
        <v>0.82743669781086859</v>
      </c>
      <c r="E1619" s="52">
        <f t="shared" ca="1" si="76"/>
        <v>0</v>
      </c>
      <c r="F1619" s="17">
        <f t="shared" ca="1" si="77"/>
        <v>0</v>
      </c>
      <c r="H1619" s="17">
        <v>1610</v>
      </c>
      <c r="I1619" s="45">
        <v>0.67069668051552278</v>
      </c>
      <c r="J1619" s="45">
        <v>1.9020889928099218E-2</v>
      </c>
      <c r="K1619" s="45">
        <v>0.25080000000000002</v>
      </c>
      <c r="N1619" s="54"/>
    </row>
    <row r="1620" spans="2:14" x14ac:dyDescent="0.2">
      <c r="B1620">
        <v>1611</v>
      </c>
      <c r="C1620" s="52">
        <f t="shared" ca="1" si="78"/>
        <v>-0.32735432898534084</v>
      </c>
      <c r="D1620" s="52">
        <f ca="1">S0*EXP((μ-0.5*σ*σ)*T+σ*SQRT(T)*$C1620)</f>
        <v>0.58813339281228549</v>
      </c>
      <c r="E1620" s="52">
        <f t="shared" ca="1" si="76"/>
        <v>0</v>
      </c>
      <c r="F1620" s="17">
        <f t="shared" ca="1" si="77"/>
        <v>0</v>
      </c>
      <c r="H1620" s="17">
        <v>1611</v>
      </c>
      <c r="I1620" s="45">
        <v>0.67141553031974122</v>
      </c>
      <c r="J1620" s="45">
        <v>1.9168071323906299E-2</v>
      </c>
      <c r="K1620" s="45">
        <v>0.25059999999999999</v>
      </c>
      <c r="N1620" s="54"/>
    </row>
    <row r="1621" spans="2:14" x14ac:dyDescent="0.2">
      <c r="B1621">
        <v>1612</v>
      </c>
      <c r="C1621" s="52">
        <f t="shared" ca="1" si="78"/>
        <v>-0.74481364314437248</v>
      </c>
      <c r="D1621" s="52">
        <f ca="1">S0*EXP((μ-0.5*σ*σ)*T+σ*SQRT(T)*$C1621)</f>
        <v>0.52403289203230963</v>
      </c>
      <c r="E1621" s="52">
        <f t="shared" ca="1" si="76"/>
        <v>1.0367107967690359E-2</v>
      </c>
      <c r="F1621" s="17">
        <f t="shared" ca="1" si="77"/>
        <v>1</v>
      </c>
      <c r="H1621" s="17">
        <v>1612</v>
      </c>
      <c r="I1621" s="45">
        <v>0.67141613263883981</v>
      </c>
      <c r="J1621" s="45">
        <v>1.9391428607577654E-2</v>
      </c>
      <c r="K1621" s="45">
        <v>0.25219999999999998</v>
      </c>
      <c r="N1621" s="54"/>
    </row>
    <row r="1622" spans="2:14" x14ac:dyDescent="0.2">
      <c r="B1622">
        <v>1613</v>
      </c>
      <c r="C1622" s="52">
        <f t="shared" ca="1" si="78"/>
        <v>-0.62010297238575929</v>
      </c>
      <c r="D1622" s="52">
        <f ca="1">S0*EXP((μ-0.5*σ*σ)*T+σ*SQRT(T)*$C1622)</f>
        <v>0.5424134521722167</v>
      </c>
      <c r="E1622" s="52">
        <f t="shared" ca="1" si="76"/>
        <v>0</v>
      </c>
      <c r="F1622" s="17">
        <f t="shared" ca="1" si="77"/>
        <v>0</v>
      </c>
      <c r="H1622" s="17">
        <v>1613</v>
      </c>
      <c r="I1622" s="45">
        <v>0.67030780873104789</v>
      </c>
      <c r="J1622" s="45">
        <v>1.819660342762993E-2</v>
      </c>
      <c r="K1622" s="45">
        <v>0.2334</v>
      </c>
      <c r="N1622" s="54"/>
    </row>
    <row r="1623" spans="2:14" x14ac:dyDescent="0.2">
      <c r="B1623">
        <v>1614</v>
      </c>
      <c r="C1623" s="52">
        <f t="shared" ca="1" si="78"/>
        <v>-0.88156899634376962</v>
      </c>
      <c r="D1623" s="52">
        <f ca="1">S0*EXP((μ-0.5*σ*σ)*T+σ*SQRT(T)*$C1623)</f>
        <v>0.50459232572139656</v>
      </c>
      <c r="E1623" s="52">
        <f t="shared" ca="1" si="76"/>
        <v>2.9807674278603424E-2</v>
      </c>
      <c r="F1623" s="17">
        <f t="shared" ca="1" si="77"/>
        <v>1</v>
      </c>
      <c r="H1623" s="17">
        <v>1614</v>
      </c>
      <c r="I1623" s="45">
        <v>0.67007668243052254</v>
      </c>
      <c r="J1623" s="45">
        <v>1.8297671780593636E-2</v>
      </c>
      <c r="K1623" s="45">
        <v>0.25080000000000002</v>
      </c>
      <c r="N1623" s="54"/>
    </row>
    <row r="1624" spans="2:14" x14ac:dyDescent="0.2">
      <c r="B1624">
        <v>1615</v>
      </c>
      <c r="C1624" s="52">
        <f t="shared" ca="1" si="78"/>
        <v>-0.81027901301001737</v>
      </c>
      <c r="D1624" s="52">
        <f ca="1">S0*EXP((μ-0.5*σ*σ)*T+σ*SQRT(T)*$C1624)</f>
        <v>0.51463488944210134</v>
      </c>
      <c r="E1624" s="52">
        <f t="shared" ca="1" si="76"/>
        <v>1.9765110557898646E-2</v>
      </c>
      <c r="F1624" s="17">
        <f t="shared" ca="1" si="77"/>
        <v>1</v>
      </c>
      <c r="H1624" s="17">
        <v>1615</v>
      </c>
      <c r="I1624" s="45">
        <v>0.67175994728273414</v>
      </c>
      <c r="J1624" s="45">
        <v>1.9243453980737485E-2</v>
      </c>
      <c r="K1624" s="45">
        <v>0.2346</v>
      </c>
      <c r="N1624" s="54"/>
    </row>
    <row r="1625" spans="2:14" x14ac:dyDescent="0.2">
      <c r="B1625">
        <v>1616</v>
      </c>
      <c r="C1625" s="52">
        <f t="shared" ca="1" si="78"/>
        <v>0.62369260932316428</v>
      </c>
      <c r="D1625" s="52">
        <f ca="1">S0*EXP((μ-0.5*σ*σ)*T+σ*SQRT(T)*$C1625)</f>
        <v>0.76498335531722728</v>
      </c>
      <c r="E1625" s="52">
        <f t="shared" ca="1" si="76"/>
        <v>0</v>
      </c>
      <c r="F1625" s="17">
        <f t="shared" ca="1" si="77"/>
        <v>0</v>
      </c>
      <c r="H1625" s="17">
        <v>1616</v>
      </c>
      <c r="I1625" s="45">
        <v>0.6717955788908031</v>
      </c>
      <c r="J1625" s="45">
        <v>1.9582426994604673E-2</v>
      </c>
      <c r="K1625" s="45">
        <v>0.25280000000000002</v>
      </c>
      <c r="N1625" s="54"/>
    </row>
    <row r="1626" spans="2:14" x14ac:dyDescent="0.2">
      <c r="B1626">
        <v>1617</v>
      </c>
      <c r="C1626" s="52">
        <f t="shared" ca="1" si="78"/>
        <v>2.2434970246749417</v>
      </c>
      <c r="D1626" s="52">
        <f ca="1">S0*EXP((μ-0.5*σ*σ)*T+σ*SQRT(T)*$C1626)</f>
        <v>1.1970562308567863</v>
      </c>
      <c r="E1626" s="52">
        <f t="shared" ca="1" si="76"/>
        <v>0</v>
      </c>
      <c r="F1626" s="17">
        <f t="shared" ca="1" si="77"/>
        <v>0</v>
      </c>
      <c r="H1626" s="17">
        <v>1617</v>
      </c>
      <c r="I1626" s="45">
        <v>0.67121642222153055</v>
      </c>
      <c r="J1626" s="45">
        <v>1.9075392478247171E-2</v>
      </c>
      <c r="K1626" s="45">
        <v>0.24779999999999999</v>
      </c>
      <c r="N1626" s="54"/>
    </row>
    <row r="1627" spans="2:14" x14ac:dyDescent="0.2">
      <c r="B1627">
        <v>1618</v>
      </c>
      <c r="C1627" s="52">
        <f t="shared" ca="1" si="78"/>
        <v>1.4366117801966465</v>
      </c>
      <c r="D1627" s="52">
        <f ca="1">S0*EXP((μ-0.5*σ*σ)*T+σ*SQRT(T)*$C1627)</f>
        <v>0.95773523307080322</v>
      </c>
      <c r="E1627" s="52">
        <f t="shared" ca="1" si="76"/>
        <v>0</v>
      </c>
      <c r="F1627" s="17">
        <f t="shared" ca="1" si="77"/>
        <v>0</v>
      </c>
      <c r="H1627" s="17">
        <v>1618</v>
      </c>
      <c r="I1627" s="45">
        <v>0.67046195727557911</v>
      </c>
      <c r="J1627" s="45">
        <v>1.8450641850629876E-2</v>
      </c>
      <c r="K1627" s="45">
        <v>0.24260000000000001</v>
      </c>
      <c r="N1627" s="54"/>
    </row>
    <row r="1628" spans="2:14" x14ac:dyDescent="0.2">
      <c r="B1628">
        <v>1619</v>
      </c>
      <c r="C1628" s="52">
        <f t="shared" ca="1" si="78"/>
        <v>0.24722931750072499</v>
      </c>
      <c r="D1628" s="52">
        <f ca="1">S0*EXP((μ-0.5*σ*σ)*T+σ*SQRT(T)*$C1628)</f>
        <v>0.68937637324674739</v>
      </c>
      <c r="E1628" s="52">
        <f t="shared" ca="1" si="76"/>
        <v>0</v>
      </c>
      <c r="F1628" s="17">
        <f t="shared" ca="1" si="77"/>
        <v>0</v>
      </c>
      <c r="H1628" s="17">
        <v>1619</v>
      </c>
      <c r="I1628" s="45">
        <v>0.67059482419089855</v>
      </c>
      <c r="J1628" s="45">
        <v>1.8893475611425212E-2</v>
      </c>
      <c r="K1628" s="45">
        <v>0.24859999999999999</v>
      </c>
      <c r="N1628" s="54"/>
    </row>
    <row r="1629" spans="2:14" x14ac:dyDescent="0.2">
      <c r="B1629">
        <v>1620</v>
      </c>
      <c r="C1629" s="52">
        <f t="shared" ca="1" si="78"/>
        <v>0.24225628786891445</v>
      </c>
      <c r="D1629" s="52">
        <f ca="1">S0*EXP((μ-0.5*σ*σ)*T+σ*SQRT(T)*$C1629)</f>
        <v>0.68842933376687487</v>
      </c>
      <c r="E1629" s="52">
        <f t="shared" ca="1" si="76"/>
        <v>0</v>
      </c>
      <c r="F1629" s="17">
        <f t="shared" ca="1" si="77"/>
        <v>0</v>
      </c>
      <c r="H1629" s="17">
        <v>1620</v>
      </c>
      <c r="I1629" s="45">
        <v>0.67136261248401274</v>
      </c>
      <c r="J1629" s="45">
        <v>1.935817618472916E-2</v>
      </c>
      <c r="K1629" s="45">
        <v>0.253</v>
      </c>
      <c r="N1629" s="54"/>
    </row>
    <row r="1630" spans="2:14" x14ac:dyDescent="0.2">
      <c r="B1630">
        <v>1621</v>
      </c>
      <c r="C1630" s="52">
        <f t="shared" ca="1" si="78"/>
        <v>-0.41551208281551988</v>
      </c>
      <c r="D1630" s="52">
        <f ca="1">S0*EXP((μ-0.5*σ*σ)*T+σ*SQRT(T)*$C1630)</f>
        <v>0.57397400696577749</v>
      </c>
      <c r="E1630" s="52">
        <f t="shared" ca="1" si="76"/>
        <v>0</v>
      </c>
      <c r="F1630" s="17">
        <f t="shared" ca="1" si="77"/>
        <v>0</v>
      </c>
      <c r="H1630" s="17">
        <v>1621</v>
      </c>
      <c r="I1630" s="45">
        <v>0.67149190746377185</v>
      </c>
      <c r="J1630" s="45">
        <v>1.9205898670767448E-2</v>
      </c>
      <c r="K1630" s="45">
        <v>0.24660000000000001</v>
      </c>
      <c r="N1630" s="54"/>
    </row>
    <row r="1631" spans="2:14" x14ac:dyDescent="0.2">
      <c r="B1631">
        <v>1622</v>
      </c>
      <c r="C1631" s="52">
        <f t="shared" ca="1" si="78"/>
        <v>1.3788487359233634</v>
      </c>
      <c r="D1631" s="52">
        <f ca="1">S0*EXP((μ-0.5*σ*σ)*T+σ*SQRT(T)*$C1631)</f>
        <v>0.94256396238605944</v>
      </c>
      <c r="E1631" s="52">
        <f t="shared" ca="1" si="76"/>
        <v>0</v>
      </c>
      <c r="F1631" s="17">
        <f t="shared" ca="1" si="77"/>
        <v>0</v>
      </c>
      <c r="H1631" s="17">
        <v>1622</v>
      </c>
      <c r="I1631" s="45">
        <v>0.67019560789595867</v>
      </c>
      <c r="J1631" s="45">
        <v>1.856048339815685E-2</v>
      </c>
      <c r="K1631" s="45">
        <v>0.251</v>
      </c>
      <c r="N1631" s="54"/>
    </row>
    <row r="1632" spans="2:14" x14ac:dyDescent="0.2">
      <c r="B1632">
        <v>1623</v>
      </c>
      <c r="C1632" s="52">
        <f t="shared" ca="1" si="78"/>
        <v>8.5812615606139314E-2</v>
      </c>
      <c r="D1632" s="52">
        <f ca="1">S0*EXP((μ-0.5*σ*σ)*T+σ*SQRT(T)*$C1632)</f>
        <v>0.65929201682082006</v>
      </c>
      <c r="E1632" s="52">
        <f t="shared" ca="1" si="76"/>
        <v>0</v>
      </c>
      <c r="F1632" s="17">
        <f t="shared" ca="1" si="77"/>
        <v>0</v>
      </c>
      <c r="H1632" s="17">
        <v>1623</v>
      </c>
      <c r="I1632" s="45">
        <v>0.6705995098104468</v>
      </c>
      <c r="J1632" s="45">
        <v>1.8702177496766215E-2</v>
      </c>
      <c r="K1632" s="45">
        <v>0.2432</v>
      </c>
      <c r="N1632" s="54"/>
    </row>
    <row r="1633" spans="2:14" x14ac:dyDescent="0.2">
      <c r="B1633">
        <v>1624</v>
      </c>
      <c r="C1633" s="52">
        <f t="shared" ca="1" si="78"/>
        <v>0.18352006323220332</v>
      </c>
      <c r="D1633" s="52">
        <f ca="1">S0*EXP((μ-0.5*σ*σ)*T+σ*SQRT(T)*$C1633)</f>
        <v>0.6773418357715788</v>
      </c>
      <c r="E1633" s="52">
        <f t="shared" ca="1" si="76"/>
        <v>0</v>
      </c>
      <c r="F1633" s="17">
        <f t="shared" ca="1" si="77"/>
        <v>0</v>
      </c>
      <c r="H1633" s="17">
        <v>1624</v>
      </c>
      <c r="I1633" s="45">
        <v>0.67150151341081954</v>
      </c>
      <c r="J1633" s="45">
        <v>1.9555380638861929E-2</v>
      </c>
      <c r="K1633" s="45">
        <v>0.24740000000000001</v>
      </c>
      <c r="N1633" s="54"/>
    </row>
    <row r="1634" spans="2:14" x14ac:dyDescent="0.2">
      <c r="B1634">
        <v>1625</v>
      </c>
      <c r="C1634" s="52">
        <f t="shared" ca="1" si="78"/>
        <v>0.21732956927676692</v>
      </c>
      <c r="D1634" s="52">
        <f ca="1">S0*EXP((μ-0.5*σ*σ)*T+σ*SQRT(T)*$C1634)</f>
        <v>0.68370197901584584</v>
      </c>
      <c r="E1634" s="52">
        <f t="shared" ca="1" si="76"/>
        <v>0</v>
      </c>
      <c r="F1634" s="17">
        <f t="shared" ca="1" si="77"/>
        <v>0</v>
      </c>
      <c r="H1634" s="17">
        <v>1625</v>
      </c>
      <c r="I1634" s="45">
        <v>0.66952545124570728</v>
      </c>
      <c r="J1634" s="45">
        <v>1.8068192270908411E-2</v>
      </c>
      <c r="K1634" s="45">
        <v>0.246</v>
      </c>
      <c r="N1634" s="54"/>
    </row>
    <row r="1635" spans="2:14" x14ac:dyDescent="0.2">
      <c r="B1635">
        <v>1626</v>
      </c>
      <c r="C1635" s="52">
        <f t="shared" ca="1" si="78"/>
        <v>-0.16612038591300932</v>
      </c>
      <c r="D1635" s="52">
        <f ca="1">S0*EXP((μ-0.5*σ*σ)*T+σ*SQRT(T)*$C1635)</f>
        <v>0.61493962039009908</v>
      </c>
      <c r="E1635" s="52">
        <f t="shared" ca="1" si="76"/>
        <v>0</v>
      </c>
      <c r="F1635" s="17">
        <f t="shared" ca="1" si="77"/>
        <v>0</v>
      </c>
      <c r="H1635" s="17">
        <v>1626</v>
      </c>
      <c r="I1635" s="45">
        <v>0.67095672065872936</v>
      </c>
      <c r="J1635" s="45">
        <v>1.867337252780522E-2</v>
      </c>
      <c r="K1635" s="45">
        <v>0.24260000000000001</v>
      </c>
      <c r="N1635" s="54"/>
    </row>
    <row r="1636" spans="2:14" x14ac:dyDescent="0.2">
      <c r="B1636">
        <v>1627</v>
      </c>
      <c r="C1636" s="52">
        <f t="shared" ca="1" si="78"/>
        <v>-0.5593847882442986</v>
      </c>
      <c r="D1636" s="52">
        <f ca="1">S0*EXP((μ-0.5*σ*σ)*T+σ*SQRT(T)*$C1636)</f>
        <v>0.5515944133292473</v>
      </c>
      <c r="E1636" s="52">
        <f t="shared" ca="1" si="76"/>
        <v>0</v>
      </c>
      <c r="F1636" s="17">
        <f t="shared" ca="1" si="77"/>
        <v>0</v>
      </c>
      <c r="H1636" s="17">
        <v>1627</v>
      </c>
      <c r="I1636" s="45">
        <v>0.67123342829960786</v>
      </c>
      <c r="J1636" s="45">
        <v>1.9191142809955965E-2</v>
      </c>
      <c r="K1636" s="45">
        <v>0.24340000000000001</v>
      </c>
      <c r="N1636" s="54"/>
    </row>
    <row r="1637" spans="2:14" x14ac:dyDescent="0.2">
      <c r="B1637">
        <v>1628</v>
      </c>
      <c r="C1637" s="52">
        <f t="shared" ca="1" si="78"/>
        <v>3.1220467152726901</v>
      </c>
      <c r="D1637" s="52">
        <f ca="1">S0*EXP((μ-0.5*σ*σ)*T+σ*SQRT(T)*$C1637)</f>
        <v>1.5261147104784636</v>
      </c>
      <c r="E1637" s="52">
        <f t="shared" ca="1" si="76"/>
        <v>0</v>
      </c>
      <c r="F1637" s="17">
        <f t="shared" ca="1" si="77"/>
        <v>0</v>
      </c>
      <c r="H1637" s="17">
        <v>1628</v>
      </c>
      <c r="I1637" s="45">
        <v>0.67022591835103984</v>
      </c>
      <c r="J1637" s="45">
        <v>1.8248470470378971E-2</v>
      </c>
      <c r="K1637" s="45">
        <v>0.2432</v>
      </c>
      <c r="N1637" s="54"/>
    </row>
    <row r="1638" spans="2:14" x14ac:dyDescent="0.2">
      <c r="B1638">
        <v>1629</v>
      </c>
      <c r="C1638" s="52">
        <f t="shared" ca="1" si="78"/>
        <v>1.1317025147964455</v>
      </c>
      <c r="D1638" s="52">
        <f ca="1">S0*EXP((μ-0.5*σ*σ)*T+σ*SQRT(T)*$C1638)</f>
        <v>0.88031916624810269</v>
      </c>
      <c r="E1638" s="52">
        <f t="shared" ca="1" si="76"/>
        <v>0</v>
      </c>
      <c r="F1638" s="17">
        <f t="shared" ca="1" si="77"/>
        <v>0</v>
      </c>
      <c r="H1638" s="17">
        <v>1629</v>
      </c>
      <c r="I1638" s="45">
        <v>0.67092856722241734</v>
      </c>
      <c r="J1638" s="45">
        <v>1.9000199945295195E-2</v>
      </c>
      <c r="K1638" s="45">
        <v>0.24679999999999999</v>
      </c>
      <c r="N1638" s="54"/>
    </row>
    <row r="1639" spans="2:14" x14ac:dyDescent="0.2">
      <c r="B1639">
        <v>1630</v>
      </c>
      <c r="C1639" s="52">
        <f t="shared" ca="1" si="78"/>
        <v>0.27979235826367266</v>
      </c>
      <c r="D1639" s="52">
        <f ca="1">S0*EXP((μ-0.5*σ*σ)*T+σ*SQRT(T)*$C1639)</f>
        <v>0.69560979601722217</v>
      </c>
      <c r="E1639" s="52">
        <f t="shared" ca="1" si="76"/>
        <v>0</v>
      </c>
      <c r="F1639" s="17">
        <f t="shared" ca="1" si="77"/>
        <v>0</v>
      </c>
      <c r="H1639" s="17">
        <v>1630</v>
      </c>
      <c r="I1639" s="45">
        <v>0.67120727205414299</v>
      </c>
      <c r="J1639" s="45">
        <v>1.920429732132763E-2</v>
      </c>
      <c r="K1639" s="45">
        <v>0.246</v>
      </c>
      <c r="N1639" s="54"/>
    </row>
    <row r="1640" spans="2:14" x14ac:dyDescent="0.2">
      <c r="B1640">
        <v>1631</v>
      </c>
      <c r="C1640" s="52">
        <f t="shared" ca="1" si="78"/>
        <v>0.9898699744251872</v>
      </c>
      <c r="D1640" s="52">
        <f ca="1">S0*EXP((μ-0.5*σ*σ)*T+σ*SQRT(T)*$C1640)</f>
        <v>0.8464722382190536</v>
      </c>
      <c r="E1640" s="52">
        <f t="shared" ca="1" si="76"/>
        <v>0</v>
      </c>
      <c r="F1640" s="17">
        <f t="shared" ca="1" si="77"/>
        <v>0</v>
      </c>
      <c r="H1640" s="17">
        <v>1631</v>
      </c>
      <c r="I1640" s="45">
        <v>0.66991385468763687</v>
      </c>
      <c r="J1640" s="45">
        <v>1.8537999765325032E-2</v>
      </c>
      <c r="K1640" s="45">
        <v>0.24660000000000001</v>
      </c>
      <c r="N1640" s="54"/>
    </row>
    <row r="1641" spans="2:14" x14ac:dyDescent="0.2">
      <c r="B1641">
        <v>1632</v>
      </c>
      <c r="C1641" s="52">
        <f t="shared" ca="1" si="78"/>
        <v>-0.85237764677862005</v>
      </c>
      <c r="D1641" s="52">
        <f ca="1">S0*EXP((μ-0.5*σ*σ)*T+σ*SQRT(T)*$C1641)</f>
        <v>0.50868057502199115</v>
      </c>
      <c r="E1641" s="52">
        <f t="shared" ca="1" si="76"/>
        <v>2.5719424978008831E-2</v>
      </c>
      <c r="F1641" s="17">
        <f t="shared" ca="1" si="77"/>
        <v>1</v>
      </c>
      <c r="H1641" s="17">
        <v>1632</v>
      </c>
      <c r="I1641" s="45">
        <v>0.67014942874867833</v>
      </c>
      <c r="J1641" s="45">
        <v>1.8304487183236722E-2</v>
      </c>
      <c r="K1641" s="45">
        <v>0.24399999999999999</v>
      </c>
      <c r="N1641" s="54"/>
    </row>
    <row r="1642" spans="2:14" x14ac:dyDescent="0.2">
      <c r="B1642">
        <v>1633</v>
      </c>
      <c r="C1642" s="52">
        <f t="shared" ca="1" si="78"/>
        <v>-0.59635582064060444</v>
      </c>
      <c r="D1642" s="52">
        <f ca="1">S0*EXP((μ-0.5*σ*σ)*T+σ*SQRT(T)*$C1642)</f>
        <v>0.54598582963281994</v>
      </c>
      <c r="E1642" s="52">
        <f t="shared" ca="1" si="76"/>
        <v>0</v>
      </c>
      <c r="F1642" s="17">
        <f t="shared" ca="1" si="77"/>
        <v>0</v>
      </c>
      <c r="H1642" s="17">
        <v>1633</v>
      </c>
      <c r="I1642" s="45">
        <v>0.67140674665265998</v>
      </c>
      <c r="J1642" s="45">
        <v>1.9607369038759002E-2</v>
      </c>
      <c r="K1642" s="45">
        <v>0.25679999999999997</v>
      </c>
      <c r="N1642" s="54"/>
    </row>
    <row r="1643" spans="2:14" x14ac:dyDescent="0.2">
      <c r="B1643">
        <v>1634</v>
      </c>
      <c r="C1643" s="52">
        <f t="shared" ca="1" si="78"/>
        <v>-0.29352119290428769</v>
      </c>
      <c r="D1643" s="52">
        <f ca="1">S0*EXP((μ-0.5*σ*σ)*T+σ*SQRT(T)*$C1643)</f>
        <v>0.59365975933730986</v>
      </c>
      <c r="E1643" s="52">
        <f t="shared" ca="1" si="76"/>
        <v>0</v>
      </c>
      <c r="F1643" s="17">
        <f t="shared" ca="1" si="77"/>
        <v>0</v>
      </c>
      <c r="H1643" s="17">
        <v>1634</v>
      </c>
      <c r="I1643" s="45">
        <v>0.67025899792389043</v>
      </c>
      <c r="J1643" s="45">
        <v>1.8643492254423962E-2</v>
      </c>
      <c r="K1643" s="45">
        <v>0.24660000000000001</v>
      </c>
      <c r="N1643" s="54"/>
    </row>
    <row r="1644" spans="2:14" x14ac:dyDescent="0.2">
      <c r="B1644">
        <v>1635</v>
      </c>
      <c r="C1644" s="52">
        <f t="shared" ca="1" si="78"/>
        <v>0.71790288800978164</v>
      </c>
      <c r="D1644" s="52">
        <f ca="1">S0*EXP((μ-0.5*σ*σ)*T+σ*SQRT(T)*$C1644)</f>
        <v>0.78516733441242548</v>
      </c>
      <c r="E1644" s="52">
        <f t="shared" ca="1" si="76"/>
        <v>0</v>
      </c>
      <c r="F1644" s="17">
        <f t="shared" ca="1" si="77"/>
        <v>0</v>
      </c>
      <c r="H1644" s="17">
        <v>1635</v>
      </c>
      <c r="I1644" s="45">
        <v>0.67159956181953973</v>
      </c>
      <c r="J1644" s="45">
        <v>1.9779172027727974E-2</v>
      </c>
      <c r="K1644" s="45">
        <v>0.25679999999999997</v>
      </c>
      <c r="N1644" s="54"/>
    </row>
    <row r="1645" spans="2:14" x14ac:dyDescent="0.2">
      <c r="B1645">
        <v>1636</v>
      </c>
      <c r="C1645" s="52">
        <f t="shared" ca="1" si="78"/>
        <v>0.88581757157393837</v>
      </c>
      <c r="D1645" s="52">
        <f ca="1">S0*EXP((μ-0.5*σ*σ)*T+σ*SQRT(T)*$C1645)</f>
        <v>0.82247158741806403</v>
      </c>
      <c r="E1645" s="52">
        <f t="shared" ca="1" si="76"/>
        <v>0</v>
      </c>
      <c r="F1645" s="17">
        <f t="shared" ca="1" si="77"/>
        <v>0</v>
      </c>
      <c r="H1645" s="17">
        <v>1636</v>
      </c>
      <c r="I1645" s="45">
        <v>0.67208989028334221</v>
      </c>
      <c r="J1645" s="45">
        <v>1.98353878345181E-2</v>
      </c>
      <c r="K1645" s="45">
        <v>0.25240000000000001</v>
      </c>
      <c r="N1645" s="54"/>
    </row>
    <row r="1646" spans="2:14" x14ac:dyDescent="0.2">
      <c r="B1646">
        <v>1637</v>
      </c>
      <c r="C1646" s="52">
        <f t="shared" ca="1" si="78"/>
        <v>0.78459961964356673</v>
      </c>
      <c r="D1646" s="52">
        <f ca="1">S0*EXP((μ-0.5*σ*σ)*T+σ*SQRT(T)*$C1646)</f>
        <v>0.79977785276049862</v>
      </c>
      <c r="E1646" s="52">
        <f t="shared" ca="1" si="76"/>
        <v>0</v>
      </c>
      <c r="F1646" s="17">
        <f t="shared" ca="1" si="77"/>
        <v>0</v>
      </c>
      <c r="H1646" s="17">
        <v>1637</v>
      </c>
      <c r="I1646" s="45">
        <v>0.6707600697784547</v>
      </c>
      <c r="J1646" s="45">
        <v>1.8787199172958194E-2</v>
      </c>
      <c r="K1646" s="45">
        <v>0.2432</v>
      </c>
      <c r="N1646" s="54"/>
    </row>
    <row r="1647" spans="2:14" x14ac:dyDescent="0.2">
      <c r="B1647">
        <v>1638</v>
      </c>
      <c r="C1647" s="52">
        <f t="shared" ca="1" si="78"/>
        <v>0.35150991763188755</v>
      </c>
      <c r="D1647" s="52">
        <f ca="1">S0*EXP((μ-0.5*σ*σ)*T+σ*SQRT(T)*$C1647)</f>
        <v>0.70953791227583607</v>
      </c>
      <c r="E1647" s="52">
        <f t="shared" ca="1" si="76"/>
        <v>0</v>
      </c>
      <c r="F1647" s="17">
        <f t="shared" ca="1" si="77"/>
        <v>0</v>
      </c>
      <c r="H1647" s="17">
        <v>1638</v>
      </c>
      <c r="I1647" s="45">
        <v>0.67106797101015825</v>
      </c>
      <c r="J1647" s="45">
        <v>1.8988360617067011E-2</v>
      </c>
      <c r="K1647" s="45">
        <v>0.245</v>
      </c>
      <c r="N1647" s="54"/>
    </row>
    <row r="1648" spans="2:14" x14ac:dyDescent="0.2">
      <c r="B1648">
        <v>1639</v>
      </c>
      <c r="C1648" s="52">
        <f t="shared" ca="1" si="78"/>
        <v>0.48343044470004681</v>
      </c>
      <c r="D1648" s="52">
        <f ca="1">S0*EXP((μ-0.5*σ*σ)*T+σ*SQRT(T)*$C1648)</f>
        <v>0.73589029593911148</v>
      </c>
      <c r="E1648" s="52">
        <f t="shared" ca="1" si="76"/>
        <v>0</v>
      </c>
      <c r="F1648" s="17">
        <f t="shared" ca="1" si="77"/>
        <v>0</v>
      </c>
      <c r="H1648" s="17">
        <v>1639</v>
      </c>
      <c r="I1648" s="45">
        <v>0.67176909422686215</v>
      </c>
      <c r="J1648" s="45">
        <v>1.9442388390675337E-2</v>
      </c>
      <c r="K1648" s="45">
        <v>0.24640000000000001</v>
      </c>
      <c r="N1648" s="54"/>
    </row>
    <row r="1649" spans="2:14" x14ac:dyDescent="0.2">
      <c r="B1649">
        <v>1640</v>
      </c>
      <c r="C1649" s="52">
        <f t="shared" ca="1" si="78"/>
        <v>-1.7622423280354391</v>
      </c>
      <c r="D1649" s="52">
        <f ca="1">S0*EXP((μ-0.5*σ*σ)*T+σ*SQRT(T)*$C1649)</f>
        <v>0.39556063401901859</v>
      </c>
      <c r="E1649" s="52">
        <f t="shared" ca="1" si="76"/>
        <v>0.1388393659809814</v>
      </c>
      <c r="F1649" s="17">
        <f t="shared" ca="1" si="77"/>
        <v>1</v>
      </c>
      <c r="H1649" s="17">
        <v>1640</v>
      </c>
      <c r="I1649" s="45">
        <v>0.67008911189194209</v>
      </c>
      <c r="J1649" s="45">
        <v>1.8442462597124974E-2</v>
      </c>
      <c r="K1649" s="45">
        <v>0.24360000000000001</v>
      </c>
      <c r="N1649" s="54"/>
    </row>
    <row r="1650" spans="2:14" x14ac:dyDescent="0.2">
      <c r="B1650">
        <v>1641</v>
      </c>
      <c r="C1650" s="52">
        <f t="shared" ca="1" si="78"/>
        <v>0.11516479194276501</v>
      </c>
      <c r="D1650" s="52">
        <f ca="1">S0*EXP((μ-0.5*σ*σ)*T+σ*SQRT(T)*$C1650)</f>
        <v>0.66466320475313556</v>
      </c>
      <c r="E1650" s="52">
        <f t="shared" ca="1" si="76"/>
        <v>0</v>
      </c>
      <c r="F1650" s="17">
        <f t="shared" ca="1" si="77"/>
        <v>0</v>
      </c>
      <c r="H1650" s="17">
        <v>1641</v>
      </c>
      <c r="I1650" s="45">
        <v>0.66940594105726181</v>
      </c>
      <c r="J1650" s="45">
        <v>1.7732459177110832E-2</v>
      </c>
      <c r="K1650" s="45">
        <v>0.2414</v>
      </c>
      <c r="N1650" s="54"/>
    </row>
    <row r="1651" spans="2:14" x14ac:dyDescent="0.2">
      <c r="B1651">
        <v>1642</v>
      </c>
      <c r="C1651" s="52">
        <f t="shared" ca="1" si="78"/>
        <v>1.1861657022285854</v>
      </c>
      <c r="D1651" s="52">
        <f ca="1">S0*EXP((μ-0.5*σ*σ)*T+σ*SQRT(T)*$C1651)</f>
        <v>0.8936729910205703</v>
      </c>
      <c r="E1651" s="52">
        <f t="shared" ca="1" si="76"/>
        <v>0</v>
      </c>
      <c r="F1651" s="17">
        <f t="shared" ca="1" si="77"/>
        <v>0</v>
      </c>
      <c r="H1651" s="17">
        <v>1642</v>
      </c>
      <c r="I1651" s="45">
        <v>0.67099288365019172</v>
      </c>
      <c r="J1651" s="45">
        <v>1.903127284568757E-2</v>
      </c>
      <c r="K1651" s="45">
        <v>0.24859999999999999</v>
      </c>
      <c r="N1651" s="54"/>
    </row>
    <row r="1652" spans="2:14" x14ac:dyDescent="0.2">
      <c r="B1652">
        <v>1643</v>
      </c>
      <c r="C1652" s="52">
        <f t="shared" ca="1" si="78"/>
        <v>0.69446933949561784</v>
      </c>
      <c r="D1652" s="52">
        <f ca="1">S0*EXP((μ-0.5*σ*σ)*T+σ*SQRT(T)*$C1652)</f>
        <v>0.78009761962520852</v>
      </c>
      <c r="E1652" s="52">
        <f t="shared" ca="1" si="76"/>
        <v>0</v>
      </c>
      <c r="F1652" s="17">
        <f t="shared" ca="1" si="77"/>
        <v>0</v>
      </c>
      <c r="H1652" s="17">
        <v>1643</v>
      </c>
      <c r="I1652" s="45">
        <v>0.67119730394126742</v>
      </c>
      <c r="J1652" s="45">
        <v>1.8707470563567391E-2</v>
      </c>
      <c r="K1652" s="45">
        <v>0.24379999999999999</v>
      </c>
      <c r="N1652" s="54"/>
    </row>
    <row r="1653" spans="2:14" x14ac:dyDescent="0.2">
      <c r="B1653">
        <v>1644</v>
      </c>
      <c r="C1653" s="52">
        <f t="shared" ca="1" si="78"/>
        <v>1.7203681285902559</v>
      </c>
      <c r="D1653" s="52">
        <f ca="1">S0*EXP((μ-0.5*σ*σ)*T+σ*SQRT(T)*$C1653)</f>
        <v>1.0358844124224635</v>
      </c>
      <c r="E1653" s="52">
        <f t="shared" ca="1" si="76"/>
        <v>0</v>
      </c>
      <c r="F1653" s="17">
        <f t="shared" ca="1" si="77"/>
        <v>0</v>
      </c>
      <c r="H1653" s="17">
        <v>1644</v>
      </c>
      <c r="I1653" s="45">
        <v>0.67038210856744829</v>
      </c>
      <c r="J1653" s="45">
        <v>1.8404260054076502E-2</v>
      </c>
      <c r="K1653" s="45">
        <v>0.23960000000000001</v>
      </c>
      <c r="N1653" s="54"/>
    </row>
    <row r="1654" spans="2:14" x14ac:dyDescent="0.2">
      <c r="B1654">
        <v>1645</v>
      </c>
      <c r="C1654" s="52">
        <f t="shared" ca="1" si="78"/>
        <v>-0.73794003097067706</v>
      </c>
      <c r="D1654" s="52">
        <f ca="1">S0*EXP((μ-0.5*σ*σ)*T+σ*SQRT(T)*$C1654)</f>
        <v>0.5250295481989915</v>
      </c>
      <c r="E1654" s="52">
        <f t="shared" ca="1" si="76"/>
        <v>9.3704518010084836E-3</v>
      </c>
      <c r="F1654" s="17">
        <f t="shared" ca="1" si="77"/>
        <v>1</v>
      </c>
      <c r="H1654" s="17">
        <v>1645</v>
      </c>
      <c r="I1654" s="45">
        <v>0.67006255626143119</v>
      </c>
      <c r="J1654" s="45">
        <v>1.8278534847929042E-2</v>
      </c>
      <c r="K1654" s="45">
        <v>0.24060000000000001</v>
      </c>
      <c r="N1654" s="54"/>
    </row>
    <row r="1655" spans="2:14" x14ac:dyDescent="0.2">
      <c r="B1655">
        <v>1646</v>
      </c>
      <c r="C1655" s="52">
        <f t="shared" ca="1" si="78"/>
        <v>-0.87056514770835847</v>
      </c>
      <c r="D1655" s="52">
        <f ca="1">S0*EXP((μ-0.5*σ*σ)*T+σ*SQRT(T)*$C1655)</f>
        <v>0.50612954230611928</v>
      </c>
      <c r="E1655" s="52">
        <f t="shared" ca="1" si="76"/>
        <v>2.8270457693880702E-2</v>
      </c>
      <c r="F1655" s="17">
        <f t="shared" ca="1" si="77"/>
        <v>1</v>
      </c>
      <c r="H1655" s="17">
        <v>1646</v>
      </c>
      <c r="I1655" s="45">
        <v>0.6714243331343035</v>
      </c>
      <c r="J1655" s="45">
        <v>1.9483899134620765E-2</v>
      </c>
      <c r="K1655" s="45">
        <v>0.25440000000000002</v>
      </c>
      <c r="N1655" s="54"/>
    </row>
    <row r="1656" spans="2:14" x14ac:dyDescent="0.2">
      <c r="B1656">
        <v>1647</v>
      </c>
      <c r="C1656" s="52">
        <f t="shared" ca="1" si="78"/>
        <v>-0.38159884734326377</v>
      </c>
      <c r="D1656" s="52">
        <f ca="1">S0*EXP((μ-0.5*σ*σ)*T+σ*SQRT(T)*$C1656)</f>
        <v>0.57938015405485754</v>
      </c>
      <c r="E1656" s="52">
        <f t="shared" ca="1" si="76"/>
        <v>0</v>
      </c>
      <c r="F1656" s="17">
        <f t="shared" ca="1" si="77"/>
        <v>0</v>
      </c>
      <c r="H1656" s="17">
        <v>1647</v>
      </c>
      <c r="I1656" s="45">
        <v>0.66965592625949177</v>
      </c>
      <c r="J1656" s="45">
        <v>1.7983458086730134E-2</v>
      </c>
      <c r="K1656" s="45">
        <v>0.23860000000000001</v>
      </c>
      <c r="N1656" s="54"/>
    </row>
    <row r="1657" spans="2:14" x14ac:dyDescent="0.2">
      <c r="B1657">
        <v>1648</v>
      </c>
      <c r="C1657" s="52">
        <f t="shared" ca="1" si="78"/>
        <v>-0.47291085039697206</v>
      </c>
      <c r="D1657" s="52">
        <f ca="1">S0*EXP((μ-0.5*σ*σ)*T+σ*SQRT(T)*$C1657)</f>
        <v>0.56493869774675254</v>
      </c>
      <c r="E1657" s="52">
        <f t="shared" ca="1" si="76"/>
        <v>0</v>
      </c>
      <c r="F1657" s="17">
        <f t="shared" ca="1" si="77"/>
        <v>0</v>
      </c>
      <c r="H1657" s="17">
        <v>1648</v>
      </c>
      <c r="I1657" s="45">
        <v>0.67002571764160446</v>
      </c>
      <c r="J1657" s="45">
        <v>1.827036301260046E-2</v>
      </c>
      <c r="K1657" s="45">
        <v>0.23960000000000001</v>
      </c>
      <c r="N1657" s="54"/>
    </row>
    <row r="1658" spans="2:14" x14ac:dyDescent="0.2">
      <c r="B1658">
        <v>1649</v>
      </c>
      <c r="C1658" s="52">
        <f t="shared" ca="1" si="78"/>
        <v>2.627174790477043E-2</v>
      </c>
      <c r="D1658" s="52">
        <f ca="1">S0*EXP((μ-0.5*σ*σ)*T+σ*SQRT(T)*$C1658)</f>
        <v>0.64852952171224842</v>
      </c>
      <c r="E1658" s="52">
        <f t="shared" ca="1" si="76"/>
        <v>0</v>
      </c>
      <c r="F1658" s="17">
        <f t="shared" ca="1" si="77"/>
        <v>0</v>
      </c>
      <c r="H1658" s="17">
        <v>1649</v>
      </c>
      <c r="I1658" s="45">
        <v>0.67135705513330646</v>
      </c>
      <c r="J1658" s="45">
        <v>1.9447974515141086E-2</v>
      </c>
      <c r="K1658" s="45">
        <v>0.25900000000000001</v>
      </c>
      <c r="N1658" s="54"/>
    </row>
    <row r="1659" spans="2:14" x14ac:dyDescent="0.2">
      <c r="B1659">
        <v>1650</v>
      </c>
      <c r="C1659" s="52">
        <f t="shared" ca="1" si="78"/>
        <v>-0.81091327300838678</v>
      </c>
      <c r="D1659" s="52">
        <f ca="1">S0*EXP((μ-0.5*σ*σ)*T+σ*SQRT(T)*$C1659)</f>
        <v>0.51454466637270513</v>
      </c>
      <c r="E1659" s="52">
        <f t="shared" ca="1" si="76"/>
        <v>1.9855333627294858E-2</v>
      </c>
      <c r="F1659" s="17">
        <f t="shared" ca="1" si="77"/>
        <v>1</v>
      </c>
      <c r="H1659" s="17">
        <v>1650</v>
      </c>
      <c r="I1659" s="45">
        <v>0.67162419184298494</v>
      </c>
      <c r="J1659" s="45">
        <v>1.9257203902196332E-2</v>
      </c>
      <c r="K1659" s="45">
        <v>0.25180000000000002</v>
      </c>
      <c r="N1659" s="54"/>
    </row>
    <row r="1660" spans="2:14" x14ac:dyDescent="0.2">
      <c r="B1660">
        <v>1651</v>
      </c>
      <c r="C1660" s="52">
        <f t="shared" ca="1" si="78"/>
        <v>-0.81789760251423715</v>
      </c>
      <c r="D1660" s="52">
        <f ca="1">S0*EXP((μ-0.5*σ*σ)*T+σ*SQRT(T)*$C1660)</f>
        <v>0.5135521955564728</v>
      </c>
      <c r="E1660" s="52">
        <f t="shared" ca="1" si="76"/>
        <v>2.0847804443527185E-2</v>
      </c>
      <c r="F1660" s="17">
        <f t="shared" ca="1" si="77"/>
        <v>1</v>
      </c>
      <c r="H1660" s="17">
        <v>1651</v>
      </c>
      <c r="I1660" s="45">
        <v>0.67073095150598494</v>
      </c>
      <c r="J1660" s="45">
        <v>1.8815237307795604E-2</v>
      </c>
      <c r="K1660" s="45">
        <v>0.2412</v>
      </c>
      <c r="N1660" s="54"/>
    </row>
    <row r="1661" spans="2:14" x14ac:dyDescent="0.2">
      <c r="B1661">
        <v>1652</v>
      </c>
      <c r="C1661" s="52">
        <f t="shared" ca="1" si="78"/>
        <v>0.21049244363689318</v>
      </c>
      <c r="D1661" s="52">
        <f ca="1">S0*EXP((μ-0.5*σ*σ)*T+σ*SQRT(T)*$C1661)</f>
        <v>0.68241100002406885</v>
      </c>
      <c r="E1661" s="52">
        <f t="shared" ca="1" si="76"/>
        <v>0</v>
      </c>
      <c r="F1661" s="17">
        <f t="shared" ca="1" si="77"/>
        <v>0</v>
      </c>
      <c r="H1661" s="17">
        <v>1652</v>
      </c>
      <c r="I1661" s="45">
        <v>0.67152608169369499</v>
      </c>
      <c r="J1661" s="45">
        <v>1.9235165721305646E-2</v>
      </c>
      <c r="K1661" s="45">
        <v>0.24460000000000001</v>
      </c>
      <c r="N1661" s="54"/>
    </row>
    <row r="1662" spans="2:14" x14ac:dyDescent="0.2">
      <c r="B1662">
        <v>1653</v>
      </c>
      <c r="C1662" s="52">
        <f t="shared" ca="1" si="78"/>
        <v>-1.0417665950818731</v>
      </c>
      <c r="D1662" s="52">
        <f ca="1">S0*EXP((μ-0.5*σ*σ)*T+σ*SQRT(T)*$C1662)</f>
        <v>0.48273459151702763</v>
      </c>
      <c r="E1662" s="52">
        <f t="shared" ca="1" si="76"/>
        <v>5.1665408482972353E-2</v>
      </c>
      <c r="F1662" s="17">
        <f t="shared" ca="1" si="77"/>
        <v>1</v>
      </c>
      <c r="H1662" s="17">
        <v>1653</v>
      </c>
      <c r="I1662" s="45">
        <v>0.67139089356820103</v>
      </c>
      <c r="J1662" s="45">
        <v>1.9047609543702135E-2</v>
      </c>
      <c r="K1662" s="45">
        <v>0.2422</v>
      </c>
      <c r="N1662" s="54"/>
    </row>
    <row r="1663" spans="2:14" x14ac:dyDescent="0.2">
      <c r="B1663">
        <v>1654</v>
      </c>
      <c r="C1663" s="52">
        <f t="shared" ca="1" si="78"/>
        <v>-1.3641230445183194</v>
      </c>
      <c r="D1663" s="52">
        <f ca="1">S0*EXP((μ-0.5*σ*σ)*T+σ*SQRT(T)*$C1663)</f>
        <v>0.44157911471019579</v>
      </c>
      <c r="E1663" s="52">
        <f t="shared" ca="1" si="76"/>
        <v>9.28208852898042E-2</v>
      </c>
      <c r="F1663" s="17">
        <f t="shared" ca="1" si="77"/>
        <v>1</v>
      </c>
      <c r="H1663" s="17">
        <v>1654</v>
      </c>
      <c r="I1663" s="45">
        <v>0.6711303837342526</v>
      </c>
      <c r="J1663" s="45">
        <v>1.9103211262477719E-2</v>
      </c>
      <c r="K1663" s="45">
        <v>0.24299999999999999</v>
      </c>
      <c r="N1663" s="54"/>
    </row>
    <row r="1664" spans="2:14" x14ac:dyDescent="0.2">
      <c r="B1664">
        <v>1655</v>
      </c>
      <c r="C1664" s="52">
        <f t="shared" ca="1" si="78"/>
        <v>0.78452134108373817</v>
      </c>
      <c r="D1664" s="52">
        <f ca="1">S0*EXP((μ-0.5*σ*σ)*T+σ*SQRT(T)*$C1664)</f>
        <v>0.79976054676351938</v>
      </c>
      <c r="E1664" s="52">
        <f t="shared" ca="1" si="76"/>
        <v>0</v>
      </c>
      <c r="F1664" s="17">
        <f t="shared" ca="1" si="77"/>
        <v>0</v>
      </c>
      <c r="H1664" s="17">
        <v>1655</v>
      </c>
      <c r="I1664" s="45">
        <v>0.67117552938414093</v>
      </c>
      <c r="J1664" s="45">
        <v>1.9106591786764899E-2</v>
      </c>
      <c r="K1664" s="45">
        <v>0.24779999999999999</v>
      </c>
      <c r="N1664" s="54"/>
    </row>
    <row r="1665" spans="2:14" x14ac:dyDescent="0.2">
      <c r="B1665">
        <v>1656</v>
      </c>
      <c r="C1665" s="52">
        <f t="shared" ca="1" si="78"/>
        <v>0.46298116456957156</v>
      </c>
      <c r="D1665" s="52">
        <f ca="1">S0*EXP((μ-0.5*σ*σ)*T+σ*SQRT(T)*$C1665)</f>
        <v>0.73174215694140787</v>
      </c>
      <c r="E1665" s="52">
        <f t="shared" ca="1" si="76"/>
        <v>0</v>
      </c>
      <c r="F1665" s="17">
        <f t="shared" ca="1" si="77"/>
        <v>0</v>
      </c>
      <c r="H1665" s="17">
        <v>1656</v>
      </c>
      <c r="I1665" s="45">
        <v>0.67114281338258974</v>
      </c>
      <c r="J1665" s="45">
        <v>1.9142835654053423E-2</v>
      </c>
      <c r="K1665" s="45">
        <v>0.24299999999999999</v>
      </c>
      <c r="N1665" s="54"/>
    </row>
    <row r="1666" spans="2:14" x14ac:dyDescent="0.2">
      <c r="B1666">
        <v>1657</v>
      </c>
      <c r="C1666" s="52">
        <f t="shared" ca="1" si="78"/>
        <v>0.8585541413925255</v>
      </c>
      <c r="D1666" s="52">
        <f ca="1">S0*EXP((μ-0.5*σ*σ)*T+σ*SQRT(T)*$C1666)</f>
        <v>0.81629633065392482</v>
      </c>
      <c r="E1666" s="52">
        <f t="shared" ca="1" si="76"/>
        <v>0</v>
      </c>
      <c r="F1666" s="17">
        <f t="shared" ca="1" si="77"/>
        <v>0</v>
      </c>
      <c r="H1666" s="17">
        <v>1657</v>
      </c>
      <c r="I1666" s="45">
        <v>0.67115772239954397</v>
      </c>
      <c r="J1666" s="45">
        <v>1.893043418851148E-2</v>
      </c>
      <c r="K1666" s="45">
        <v>0.2442</v>
      </c>
      <c r="N1666" s="54"/>
    </row>
    <row r="1667" spans="2:14" x14ac:dyDescent="0.2">
      <c r="B1667">
        <v>1658</v>
      </c>
      <c r="C1667" s="52">
        <f t="shared" ca="1" si="78"/>
        <v>0.62298246301223004</v>
      </c>
      <c r="D1667" s="52">
        <f ca="1">S0*EXP((μ-0.5*σ*σ)*T+σ*SQRT(T)*$C1667)</f>
        <v>0.76483319806374739</v>
      </c>
      <c r="E1667" s="52">
        <f t="shared" ca="1" si="76"/>
        <v>0</v>
      </c>
      <c r="F1667" s="17">
        <f t="shared" ca="1" si="77"/>
        <v>0</v>
      </c>
      <c r="H1667" s="17">
        <v>1658</v>
      </c>
      <c r="I1667" s="45">
        <v>0.67033573638795718</v>
      </c>
      <c r="J1667" s="45">
        <v>1.8602940543535118E-2</v>
      </c>
      <c r="K1667" s="45">
        <v>0.24479999999999999</v>
      </c>
      <c r="N1667" s="54"/>
    </row>
    <row r="1668" spans="2:14" x14ac:dyDescent="0.2">
      <c r="B1668">
        <v>1659</v>
      </c>
      <c r="C1668" s="52">
        <f t="shared" ca="1" si="78"/>
        <v>-0.83122575244179608</v>
      </c>
      <c r="D1668" s="52">
        <f ca="1">S0*EXP((μ-0.5*σ*σ)*T+σ*SQRT(T)*$C1668)</f>
        <v>0.51166357903622761</v>
      </c>
      <c r="E1668" s="52">
        <f t="shared" ca="1" si="76"/>
        <v>2.2736420963772375E-2</v>
      </c>
      <c r="F1668" s="17">
        <f t="shared" ca="1" si="77"/>
        <v>1</v>
      </c>
      <c r="H1668" s="17">
        <v>1659</v>
      </c>
      <c r="I1668" s="45">
        <v>0.67031963437807984</v>
      </c>
      <c r="J1668" s="45">
        <v>1.8581193745461168E-2</v>
      </c>
      <c r="K1668" s="45">
        <v>0.24840000000000001</v>
      </c>
      <c r="N1668" s="54"/>
    </row>
    <row r="1669" spans="2:14" x14ac:dyDescent="0.2">
      <c r="B1669">
        <v>1660</v>
      </c>
      <c r="C1669" s="52">
        <f t="shared" ca="1" si="78"/>
        <v>-0.29195440294884428</v>
      </c>
      <c r="D1669" s="52">
        <f ca="1">S0*EXP((μ-0.5*σ*σ)*T+σ*SQRT(T)*$C1669)</f>
        <v>0.5939169360049229</v>
      </c>
      <c r="E1669" s="52">
        <f t="shared" ca="1" si="76"/>
        <v>0</v>
      </c>
      <c r="F1669" s="17">
        <f t="shared" ca="1" si="77"/>
        <v>0</v>
      </c>
      <c r="H1669" s="17">
        <v>1660</v>
      </c>
      <c r="I1669" s="45">
        <v>0.67031757188801344</v>
      </c>
      <c r="J1669" s="45">
        <v>1.8310313199604987E-2</v>
      </c>
      <c r="K1669" s="45">
        <v>0.24199999999999999</v>
      </c>
      <c r="N1669" s="54"/>
    </row>
    <row r="1670" spans="2:14" x14ac:dyDescent="0.2">
      <c r="B1670">
        <v>1661</v>
      </c>
      <c r="C1670" s="52">
        <f t="shared" ca="1" si="78"/>
        <v>-0.15544927693783106</v>
      </c>
      <c r="D1670" s="52">
        <f ca="1">S0*EXP((μ-0.5*σ*σ)*T+σ*SQRT(T)*$C1670)</f>
        <v>0.61675627288532464</v>
      </c>
      <c r="E1670" s="52">
        <f t="shared" ca="1" si="76"/>
        <v>0</v>
      </c>
      <c r="F1670" s="17">
        <f t="shared" ca="1" si="77"/>
        <v>0</v>
      </c>
      <c r="H1670" s="17">
        <v>1661</v>
      </c>
      <c r="I1670" s="45">
        <v>0.67113793844757852</v>
      </c>
      <c r="J1670" s="45">
        <v>1.9158673309950063E-2</v>
      </c>
      <c r="K1670" s="45">
        <v>0.24679999999999999</v>
      </c>
      <c r="N1670" s="54"/>
    </row>
    <row r="1671" spans="2:14" x14ac:dyDescent="0.2">
      <c r="B1671">
        <v>1662</v>
      </c>
      <c r="C1671" s="52">
        <f t="shared" ca="1" si="78"/>
        <v>-0.16219495068861065</v>
      </c>
      <c r="D1671" s="52">
        <f ca="1">S0*EXP((μ-0.5*σ*σ)*T+σ*SQRT(T)*$C1671)</f>
        <v>0.6156072645650027</v>
      </c>
      <c r="E1671" s="52">
        <f t="shared" ca="1" si="76"/>
        <v>0</v>
      </c>
      <c r="F1671" s="17">
        <f t="shared" ca="1" si="77"/>
        <v>0</v>
      </c>
      <c r="H1671" s="17">
        <v>1662</v>
      </c>
      <c r="I1671" s="45">
        <v>0.67255788036139252</v>
      </c>
      <c r="J1671" s="45">
        <v>2.012924811097027E-2</v>
      </c>
      <c r="K1671" s="45">
        <v>0.25040000000000001</v>
      </c>
      <c r="N1671" s="54"/>
    </row>
    <row r="1672" spans="2:14" x14ac:dyDescent="0.2">
      <c r="B1672">
        <v>1663</v>
      </c>
      <c r="C1672" s="52">
        <f t="shared" ca="1" si="78"/>
        <v>1.5029446015195957</v>
      </c>
      <c r="D1672" s="52">
        <f ca="1">S0*EXP((μ-0.5*σ*σ)*T+σ*SQRT(T)*$C1672)</f>
        <v>0.97545878944576103</v>
      </c>
      <c r="E1672" s="52">
        <f t="shared" ca="1" si="76"/>
        <v>0</v>
      </c>
      <c r="F1672" s="17">
        <f t="shared" ca="1" si="77"/>
        <v>0</v>
      </c>
      <c r="H1672" s="17">
        <v>1663</v>
      </c>
      <c r="I1672" s="45">
        <v>0.67197334303620504</v>
      </c>
      <c r="J1672" s="45">
        <v>1.9384511577028345E-2</v>
      </c>
      <c r="K1672" s="45">
        <v>0.24840000000000001</v>
      </c>
      <c r="N1672" s="54"/>
    </row>
    <row r="1673" spans="2:14" x14ac:dyDescent="0.2">
      <c r="B1673">
        <v>1664</v>
      </c>
      <c r="C1673" s="52">
        <f t="shared" ca="1" si="78"/>
        <v>-0.50967772893338137</v>
      </c>
      <c r="D1673" s="52">
        <f ca="1">S0*EXP((μ-0.5*σ*σ)*T+σ*SQRT(T)*$C1673)</f>
        <v>0.55922598894745401</v>
      </c>
      <c r="E1673" s="52">
        <f t="shared" ca="1" si="76"/>
        <v>0</v>
      </c>
      <c r="F1673" s="17">
        <f t="shared" ca="1" si="77"/>
        <v>0</v>
      </c>
      <c r="H1673" s="17">
        <v>1664</v>
      </c>
      <c r="I1673" s="45">
        <v>0.67116323738971029</v>
      </c>
      <c r="J1673" s="45">
        <v>1.9014085615414157E-2</v>
      </c>
      <c r="K1673" s="45">
        <v>0.24579999999999999</v>
      </c>
      <c r="N1673" s="54"/>
    </row>
    <row r="1674" spans="2:14" x14ac:dyDescent="0.2">
      <c r="B1674">
        <v>1665</v>
      </c>
      <c r="C1674" s="52">
        <f t="shared" ca="1" si="78"/>
        <v>-1.6985621676396931</v>
      </c>
      <c r="D1674" s="52">
        <f ca="1">S0*EXP((μ-0.5*σ*σ)*T+σ*SQRT(T)*$C1674)</f>
        <v>0.40258544176429906</v>
      </c>
      <c r="E1674" s="52">
        <f t="shared" ref="E1674:E1737" ca="1" si="79">MAX(0,CP*(D1674-K))</f>
        <v>0.13181455823570093</v>
      </c>
      <c r="F1674" s="17">
        <f t="shared" ref="F1674:F1737" ca="1" si="80">(CP*(D1674-K)&gt;0)*1</f>
        <v>1</v>
      </c>
      <c r="H1674" s="17">
        <v>1665</v>
      </c>
      <c r="I1674" s="45">
        <v>0.67195582252070607</v>
      </c>
      <c r="J1674" s="45">
        <v>2.000376988807687E-2</v>
      </c>
      <c r="K1674" s="45">
        <v>0.25340000000000001</v>
      </c>
      <c r="N1674" s="54"/>
    </row>
    <row r="1675" spans="2:14" x14ac:dyDescent="0.2">
      <c r="B1675">
        <v>1666</v>
      </c>
      <c r="C1675" s="52">
        <f t="shared" ref="C1675:C1738" ca="1" si="81">_xlfn.NORM.S.INV(RAND())</f>
        <v>0.50130195898128538</v>
      </c>
      <c r="D1675" s="52">
        <f ca="1">S0*EXP((μ-0.5*σ*σ)*T+σ*SQRT(T)*$C1675)</f>
        <v>0.73953478589365473</v>
      </c>
      <c r="E1675" s="52">
        <f t="shared" ca="1" si="79"/>
        <v>0</v>
      </c>
      <c r="F1675" s="17">
        <f t="shared" ca="1" si="80"/>
        <v>0</v>
      </c>
      <c r="H1675" s="17">
        <v>1666</v>
      </c>
      <c r="I1675" s="45">
        <v>0.67110439768901153</v>
      </c>
      <c r="J1675" s="45">
        <v>1.8950527658961248E-2</v>
      </c>
      <c r="K1675" s="45">
        <v>0.24299999999999999</v>
      </c>
      <c r="N1675" s="54"/>
    </row>
    <row r="1676" spans="2:14" x14ac:dyDescent="0.2">
      <c r="B1676">
        <v>1667</v>
      </c>
      <c r="C1676" s="52">
        <f t="shared" ca="1" si="81"/>
        <v>0.76615601893702046</v>
      </c>
      <c r="D1676" s="52">
        <f ca="1">S0*EXP((μ-0.5*σ*σ)*T+σ*SQRT(T)*$C1676)</f>
        <v>0.79571063363205408</v>
      </c>
      <c r="E1676" s="52">
        <f t="shared" ca="1" si="79"/>
        <v>0</v>
      </c>
      <c r="F1676" s="17">
        <f t="shared" ca="1" si="80"/>
        <v>0</v>
      </c>
      <c r="H1676" s="17">
        <v>1667</v>
      </c>
      <c r="I1676" s="45">
        <v>0.66995122158673526</v>
      </c>
      <c r="J1676" s="45">
        <v>1.8049954663519073E-2</v>
      </c>
      <c r="K1676" s="45">
        <v>0.2366</v>
      </c>
      <c r="N1676" s="54"/>
    </row>
    <row r="1677" spans="2:14" x14ac:dyDescent="0.2">
      <c r="B1677">
        <v>1668</v>
      </c>
      <c r="C1677" s="52">
        <f t="shared" ca="1" si="81"/>
        <v>-0.74396177101704486</v>
      </c>
      <c r="D1677" s="52">
        <f ca="1">S0*EXP((μ-0.5*σ*σ)*T+σ*SQRT(T)*$C1677)</f>
        <v>0.52415630852882789</v>
      </c>
      <c r="E1677" s="52">
        <f t="shared" ca="1" si="79"/>
        <v>1.0243691471172101E-2</v>
      </c>
      <c r="F1677" s="17">
        <f t="shared" ca="1" si="80"/>
        <v>1</v>
      </c>
      <c r="H1677" s="17">
        <v>1668</v>
      </c>
      <c r="I1677" s="45">
        <v>0.67134902822878229</v>
      </c>
      <c r="J1677" s="45">
        <v>1.935074176618785E-2</v>
      </c>
      <c r="K1677" s="45">
        <v>0.24840000000000001</v>
      </c>
      <c r="N1677" s="54"/>
    </row>
    <row r="1678" spans="2:14" x14ac:dyDescent="0.2">
      <c r="B1678">
        <v>1669</v>
      </c>
      <c r="C1678" s="52">
        <f t="shared" ca="1" si="81"/>
        <v>1.5471944598635821</v>
      </c>
      <c r="D1678" s="52">
        <f ca="1">S0*EXP((μ-0.5*σ*σ)*T+σ*SQRT(T)*$C1678)</f>
        <v>0.98746397306945555</v>
      </c>
      <c r="E1678" s="52">
        <f t="shared" ca="1" si="79"/>
        <v>0</v>
      </c>
      <c r="F1678" s="17">
        <f t="shared" ca="1" si="80"/>
        <v>0</v>
      </c>
      <c r="H1678" s="17">
        <v>1669</v>
      </c>
      <c r="I1678" s="45">
        <v>0.67059592948880153</v>
      </c>
      <c r="J1678" s="45">
        <v>1.8889498145018165E-2</v>
      </c>
      <c r="K1678" s="45">
        <v>0.24959999999999999</v>
      </c>
      <c r="N1678" s="54"/>
    </row>
    <row r="1679" spans="2:14" x14ac:dyDescent="0.2">
      <c r="B1679">
        <v>1670</v>
      </c>
      <c r="C1679" s="52">
        <f t="shared" ca="1" si="81"/>
        <v>-0.53722922007994889</v>
      </c>
      <c r="D1679" s="52">
        <f ca="1">S0*EXP((μ-0.5*σ*σ)*T+σ*SQRT(T)*$C1679)</f>
        <v>0.55498303023896467</v>
      </c>
      <c r="E1679" s="52">
        <f t="shared" ca="1" si="79"/>
        <v>0</v>
      </c>
      <c r="F1679" s="17">
        <f t="shared" ca="1" si="80"/>
        <v>0</v>
      </c>
      <c r="H1679" s="17">
        <v>1670</v>
      </c>
      <c r="I1679" s="45">
        <v>0.67007076691170753</v>
      </c>
      <c r="J1679" s="45">
        <v>1.8207080722654534E-2</v>
      </c>
      <c r="K1679" s="45">
        <v>0.2424</v>
      </c>
      <c r="N1679" s="54"/>
    </row>
    <row r="1680" spans="2:14" x14ac:dyDescent="0.2">
      <c r="B1680">
        <v>1671</v>
      </c>
      <c r="C1680" s="52">
        <f t="shared" ca="1" si="81"/>
        <v>-1.0638164388978233</v>
      </c>
      <c r="D1680" s="52">
        <f ca="1">S0*EXP((μ-0.5*σ*σ)*T+σ*SQRT(T)*$C1680)</f>
        <v>0.47980113161656102</v>
      </c>
      <c r="E1680" s="52">
        <f t="shared" ca="1" si="79"/>
        <v>5.459886838343897E-2</v>
      </c>
      <c r="F1680" s="17">
        <f t="shared" ca="1" si="80"/>
        <v>1</v>
      </c>
      <c r="H1680" s="17">
        <v>1671</v>
      </c>
      <c r="I1680" s="45">
        <v>0.67119886870911816</v>
      </c>
      <c r="J1680" s="45">
        <v>1.9164343245520719E-2</v>
      </c>
      <c r="K1680" s="45">
        <v>0.24540000000000001</v>
      </c>
      <c r="N1680" s="54"/>
    </row>
    <row r="1681" spans="2:14" x14ac:dyDescent="0.2">
      <c r="B1681">
        <v>1672</v>
      </c>
      <c r="C1681" s="52">
        <f t="shared" ca="1" si="81"/>
        <v>-0.19613368989276483</v>
      </c>
      <c r="D1681" s="52">
        <f ca="1">S0*EXP((μ-0.5*σ*σ)*T+σ*SQRT(T)*$C1681)</f>
        <v>0.60985878582300757</v>
      </c>
      <c r="E1681" s="52">
        <f t="shared" ca="1" si="79"/>
        <v>0</v>
      </c>
      <c r="F1681" s="17">
        <f t="shared" ca="1" si="80"/>
        <v>0</v>
      </c>
      <c r="H1681" s="17">
        <v>1672</v>
      </c>
      <c r="I1681" s="45">
        <v>0.67184792828701012</v>
      </c>
      <c r="J1681" s="45">
        <v>1.9594346767292926E-2</v>
      </c>
      <c r="K1681" s="45">
        <v>0.24679999999999999</v>
      </c>
      <c r="N1681" s="54"/>
    </row>
    <row r="1682" spans="2:14" x14ac:dyDescent="0.2">
      <c r="B1682">
        <v>1673</v>
      </c>
      <c r="C1682" s="52">
        <f t="shared" ca="1" si="81"/>
        <v>0.12531204269748702</v>
      </c>
      <c r="D1682" s="52">
        <f ca="1">S0*EXP((μ-0.5*σ*σ)*T+σ*SQRT(T)*$C1682)</f>
        <v>0.66653022229573822</v>
      </c>
      <c r="E1682" s="52">
        <f t="shared" ca="1" si="79"/>
        <v>0</v>
      </c>
      <c r="F1682" s="17">
        <f t="shared" ca="1" si="80"/>
        <v>0</v>
      </c>
      <c r="H1682" s="17">
        <v>1673</v>
      </c>
      <c r="I1682" s="45">
        <v>0.67138621333969839</v>
      </c>
      <c r="J1682" s="45">
        <v>1.9167315125187569E-2</v>
      </c>
      <c r="K1682" s="45">
        <v>0.246</v>
      </c>
      <c r="N1682" s="54"/>
    </row>
    <row r="1683" spans="2:14" x14ac:dyDescent="0.2">
      <c r="B1683">
        <v>1674</v>
      </c>
      <c r="C1683" s="52">
        <f t="shared" ca="1" si="81"/>
        <v>-0.95680090837571663</v>
      </c>
      <c r="D1683" s="52">
        <f ca="1">S0*EXP((μ-0.5*σ*σ)*T+σ*SQRT(T)*$C1683)</f>
        <v>0.49420691262046856</v>
      </c>
      <c r="E1683" s="52">
        <f t="shared" ca="1" si="79"/>
        <v>4.0193087379531423E-2</v>
      </c>
      <c r="F1683" s="17">
        <f t="shared" ca="1" si="80"/>
        <v>1</v>
      </c>
      <c r="H1683" s="17">
        <v>1674</v>
      </c>
      <c r="I1683" s="45">
        <v>0.67012376208639901</v>
      </c>
      <c r="J1683" s="45">
        <v>1.8531323257798188E-2</v>
      </c>
      <c r="K1683" s="45">
        <v>0.24779999999999999</v>
      </c>
      <c r="N1683" s="54"/>
    </row>
    <row r="1684" spans="2:14" x14ac:dyDescent="0.2">
      <c r="B1684">
        <v>1675</v>
      </c>
      <c r="C1684" s="52">
        <f t="shared" ca="1" si="81"/>
        <v>-0.9421721652878029</v>
      </c>
      <c r="D1684" s="52">
        <f ca="1">S0*EXP((μ-0.5*σ*σ)*T+σ*SQRT(T)*$C1684)</f>
        <v>0.49620946257894055</v>
      </c>
      <c r="E1684" s="52">
        <f t="shared" ca="1" si="79"/>
        <v>3.8190537421059434E-2</v>
      </c>
      <c r="F1684" s="17">
        <f t="shared" ca="1" si="80"/>
        <v>1</v>
      </c>
      <c r="H1684" s="17">
        <v>1675</v>
      </c>
      <c r="I1684" s="45">
        <v>0.67032464397465341</v>
      </c>
      <c r="J1684" s="45">
        <v>1.8681847824137864E-2</v>
      </c>
      <c r="K1684" s="45">
        <v>0.24679999999999999</v>
      </c>
      <c r="N1684" s="54"/>
    </row>
    <row r="1685" spans="2:14" x14ac:dyDescent="0.2">
      <c r="B1685">
        <v>1676</v>
      </c>
      <c r="C1685" s="52">
        <f t="shared" ca="1" si="81"/>
        <v>0.38082451352371788</v>
      </c>
      <c r="D1685" s="52">
        <f ca="1">S0*EXP((μ-0.5*σ*σ)*T+σ*SQRT(T)*$C1685)</f>
        <v>0.71531101761485227</v>
      </c>
      <c r="E1685" s="52">
        <f t="shared" ca="1" si="79"/>
        <v>0</v>
      </c>
      <c r="F1685" s="17">
        <f t="shared" ca="1" si="80"/>
        <v>0</v>
      </c>
      <c r="H1685" s="17">
        <v>1676</v>
      </c>
      <c r="I1685" s="45">
        <v>0.67035635883551847</v>
      </c>
      <c r="J1685" s="45">
        <v>1.8362515409513704E-2</v>
      </c>
      <c r="K1685" s="45">
        <v>0.24360000000000001</v>
      </c>
      <c r="N1685" s="54"/>
    </row>
    <row r="1686" spans="2:14" x14ac:dyDescent="0.2">
      <c r="B1686">
        <v>1677</v>
      </c>
      <c r="C1686" s="52">
        <f t="shared" ca="1" si="81"/>
        <v>1.2092954219788452</v>
      </c>
      <c r="D1686" s="52">
        <f ca="1">S0*EXP((μ-0.5*σ*σ)*T+σ*SQRT(T)*$C1686)</f>
        <v>0.89940526925991249</v>
      </c>
      <c r="E1686" s="52">
        <f t="shared" ca="1" si="79"/>
        <v>0</v>
      </c>
      <c r="F1686" s="17">
        <f t="shared" ca="1" si="80"/>
        <v>0</v>
      </c>
      <c r="H1686" s="17">
        <v>1677</v>
      </c>
      <c r="I1686" s="45">
        <v>0.6710288530007501</v>
      </c>
      <c r="J1686" s="45">
        <v>1.9163497797333798E-2</v>
      </c>
      <c r="K1686" s="45">
        <v>0.25419999999999998</v>
      </c>
      <c r="N1686" s="54"/>
    </row>
    <row r="1687" spans="2:14" x14ac:dyDescent="0.2">
      <c r="B1687">
        <v>1678</v>
      </c>
      <c r="C1687" s="52">
        <f t="shared" ca="1" si="81"/>
        <v>-1.0866108326559143</v>
      </c>
      <c r="D1687" s="52">
        <f ca="1">S0*EXP((μ-0.5*σ*σ)*T+σ*SQRT(T)*$C1687)</f>
        <v>0.47678735620404805</v>
      </c>
      <c r="E1687" s="52">
        <f t="shared" ca="1" si="79"/>
        <v>5.7612643795951934E-2</v>
      </c>
      <c r="F1687" s="17">
        <f t="shared" ca="1" si="80"/>
        <v>1</v>
      </c>
      <c r="H1687" s="17">
        <v>1678</v>
      </c>
      <c r="I1687" s="45">
        <v>0.66888646853007971</v>
      </c>
      <c r="J1687" s="45">
        <v>1.7374278691559761E-2</v>
      </c>
      <c r="K1687" s="45">
        <v>0.23419999999999999</v>
      </c>
      <c r="N1687" s="54"/>
    </row>
    <row r="1688" spans="2:14" x14ac:dyDescent="0.2">
      <c r="B1688">
        <v>1679</v>
      </c>
      <c r="C1688" s="52">
        <f t="shared" ca="1" si="81"/>
        <v>2.26640771154681</v>
      </c>
      <c r="D1688" s="52">
        <f ca="1">S0*EXP((μ-0.5*σ*σ)*T+σ*SQRT(T)*$C1688)</f>
        <v>1.2046615555246432</v>
      </c>
      <c r="E1688" s="52">
        <f t="shared" ca="1" si="79"/>
        <v>0</v>
      </c>
      <c r="F1688" s="17">
        <f t="shared" ca="1" si="80"/>
        <v>0</v>
      </c>
      <c r="H1688" s="17">
        <v>1679</v>
      </c>
      <c r="I1688" s="45">
        <v>0.67095900044322243</v>
      </c>
      <c r="J1688" s="45">
        <v>1.9097771848732622E-2</v>
      </c>
      <c r="K1688" s="45">
        <v>0.24840000000000001</v>
      </c>
      <c r="N1688" s="54"/>
    </row>
    <row r="1689" spans="2:14" x14ac:dyDescent="0.2">
      <c r="B1689">
        <v>1680</v>
      </c>
      <c r="C1689" s="52">
        <f t="shared" ca="1" si="81"/>
        <v>0.24620499039381907</v>
      </c>
      <c r="D1689" s="52">
        <f ca="1">S0*EXP((μ-0.5*σ*σ)*T+σ*SQRT(T)*$C1689)</f>
        <v>0.68918119891680285</v>
      </c>
      <c r="E1689" s="52">
        <f t="shared" ca="1" si="79"/>
        <v>0</v>
      </c>
      <c r="F1689" s="17">
        <f t="shared" ca="1" si="80"/>
        <v>0</v>
      </c>
      <c r="H1689" s="17">
        <v>1680</v>
      </c>
      <c r="I1689" s="45">
        <v>0.67131170337593327</v>
      </c>
      <c r="J1689" s="45">
        <v>1.9306006370938419E-2</v>
      </c>
      <c r="K1689" s="45">
        <v>0.2422</v>
      </c>
      <c r="N1689" s="54"/>
    </row>
    <row r="1690" spans="2:14" x14ac:dyDescent="0.2">
      <c r="B1690">
        <v>1681</v>
      </c>
      <c r="C1690" s="52">
        <f t="shared" ca="1" si="81"/>
        <v>1.0984363038607032</v>
      </c>
      <c r="D1690" s="52">
        <f ca="1">S0*EXP((μ-0.5*σ*σ)*T+σ*SQRT(T)*$C1690)</f>
        <v>0.87226098019712095</v>
      </c>
      <c r="E1690" s="52">
        <f t="shared" ca="1" si="79"/>
        <v>0</v>
      </c>
      <c r="F1690" s="17">
        <f t="shared" ca="1" si="80"/>
        <v>0</v>
      </c>
      <c r="H1690" s="17">
        <v>1681</v>
      </c>
      <c r="I1690" s="45">
        <v>0.67178773934750347</v>
      </c>
      <c r="J1690" s="45">
        <v>1.9601251622046685E-2</v>
      </c>
      <c r="K1690" s="45">
        <v>0.25319999999999998</v>
      </c>
      <c r="N1690" s="54"/>
    </row>
    <row r="1691" spans="2:14" x14ac:dyDescent="0.2">
      <c r="B1691">
        <v>1682</v>
      </c>
      <c r="C1691" s="52">
        <f t="shared" ca="1" si="81"/>
        <v>1.4977371737043943</v>
      </c>
      <c r="D1691" s="52">
        <f ca="1">S0*EXP((μ-0.5*σ*σ)*T+σ*SQRT(T)*$C1691)</f>
        <v>0.97405562439096827</v>
      </c>
      <c r="E1691" s="52">
        <f t="shared" ca="1" si="79"/>
        <v>0</v>
      </c>
      <c r="F1691" s="17">
        <f t="shared" ca="1" si="80"/>
        <v>0</v>
      </c>
      <c r="H1691" s="17">
        <v>1682</v>
      </c>
      <c r="I1691" s="45">
        <v>0.67089030812559503</v>
      </c>
      <c r="J1691" s="45">
        <v>1.8996260222745018E-2</v>
      </c>
      <c r="K1691" s="45">
        <v>0.25219999999999998</v>
      </c>
      <c r="N1691" s="54"/>
    </row>
    <row r="1692" spans="2:14" x14ac:dyDescent="0.2">
      <c r="B1692">
        <v>1683</v>
      </c>
      <c r="C1692" s="52">
        <f t="shared" ca="1" si="81"/>
        <v>-0.14435023975678263</v>
      </c>
      <c r="D1692" s="52">
        <f ca="1">S0*EXP((μ-0.5*σ*σ)*T+σ*SQRT(T)*$C1692)</f>
        <v>0.61865147010571564</v>
      </c>
      <c r="E1692" s="52">
        <f t="shared" ca="1" si="79"/>
        <v>0</v>
      </c>
      <c r="F1692" s="17">
        <f t="shared" ca="1" si="80"/>
        <v>0</v>
      </c>
      <c r="H1692" s="17">
        <v>1683</v>
      </c>
      <c r="I1692" s="45">
        <v>0.67178593784311924</v>
      </c>
      <c r="J1692" s="45">
        <v>1.9524322686585802E-2</v>
      </c>
      <c r="K1692" s="45">
        <v>0.25059999999999999</v>
      </c>
      <c r="N1692" s="54"/>
    </row>
    <row r="1693" spans="2:14" x14ac:dyDescent="0.2">
      <c r="B1693">
        <v>1684</v>
      </c>
      <c r="C1693" s="52">
        <f t="shared" ca="1" si="81"/>
        <v>-1.3478533930281427</v>
      </c>
      <c r="D1693" s="52">
        <f ca="1">S0*EXP((μ-0.5*σ*σ)*T+σ*SQRT(T)*$C1693)</f>
        <v>0.44356957204785674</v>
      </c>
      <c r="E1693" s="52">
        <f t="shared" ca="1" si="79"/>
        <v>9.0830427952143244E-2</v>
      </c>
      <c r="F1693" s="17">
        <f t="shared" ca="1" si="80"/>
        <v>1</v>
      </c>
      <c r="H1693" s="17">
        <v>1684</v>
      </c>
      <c r="I1693" s="45">
        <v>0.67103374473504795</v>
      </c>
      <c r="J1693" s="45">
        <v>1.8948669029256855E-2</v>
      </c>
      <c r="K1693" s="45">
        <v>0.24859999999999999</v>
      </c>
      <c r="N1693" s="54"/>
    </row>
    <row r="1694" spans="2:14" x14ac:dyDescent="0.2">
      <c r="B1694">
        <v>1685</v>
      </c>
      <c r="C1694" s="52">
        <f t="shared" ca="1" si="81"/>
        <v>-9.7989810173459826E-2</v>
      </c>
      <c r="D1694" s="52">
        <f ca="1">S0*EXP((μ-0.5*σ*σ)*T+σ*SQRT(T)*$C1694)</f>
        <v>0.62663083731451341</v>
      </c>
      <c r="E1694" s="52">
        <f t="shared" ca="1" si="79"/>
        <v>0</v>
      </c>
      <c r="F1694" s="17">
        <f t="shared" ca="1" si="80"/>
        <v>0</v>
      </c>
      <c r="H1694" s="17">
        <v>1685</v>
      </c>
      <c r="I1694" s="45">
        <v>0.67075473765217808</v>
      </c>
      <c r="J1694" s="45">
        <v>1.8823124876172589E-2</v>
      </c>
      <c r="K1694" s="45">
        <v>0.2414</v>
      </c>
      <c r="N1694" s="54"/>
    </row>
    <row r="1695" spans="2:14" x14ac:dyDescent="0.2">
      <c r="B1695">
        <v>1686</v>
      </c>
      <c r="C1695" s="52">
        <f t="shared" ca="1" si="81"/>
        <v>-0.68752698769706355</v>
      </c>
      <c r="D1695" s="52">
        <f ca="1">S0*EXP((μ-0.5*σ*σ)*T+σ*SQRT(T)*$C1695)</f>
        <v>0.53239747696818762</v>
      </c>
      <c r="E1695" s="52">
        <f t="shared" ca="1" si="79"/>
        <v>2.0025230318123644E-3</v>
      </c>
      <c r="F1695" s="17">
        <f t="shared" ca="1" si="80"/>
        <v>1</v>
      </c>
      <c r="H1695" s="17">
        <v>1686</v>
      </c>
      <c r="I1695" s="45">
        <v>0.67114108168004127</v>
      </c>
      <c r="J1695" s="45">
        <v>1.9117231065251386E-2</v>
      </c>
      <c r="K1695" s="45">
        <v>0.24979999999999999</v>
      </c>
      <c r="N1695" s="54"/>
    </row>
    <row r="1696" spans="2:14" x14ac:dyDescent="0.2">
      <c r="B1696">
        <v>1687</v>
      </c>
      <c r="C1696" s="52">
        <f t="shared" ca="1" si="81"/>
        <v>-0.25661537821611674</v>
      </c>
      <c r="D1696" s="52">
        <f ca="1">S0*EXP((μ-0.5*σ*σ)*T+σ*SQRT(T)*$C1696)</f>
        <v>0.59974725609180668</v>
      </c>
      <c r="E1696" s="52">
        <f t="shared" ca="1" si="79"/>
        <v>0</v>
      </c>
      <c r="F1696" s="17">
        <f t="shared" ca="1" si="80"/>
        <v>0</v>
      </c>
      <c r="H1696" s="17">
        <v>1687</v>
      </c>
      <c r="I1696" s="45">
        <v>0.67006571222151101</v>
      </c>
      <c r="J1696" s="45">
        <v>1.8427723654201356E-2</v>
      </c>
      <c r="K1696" s="45">
        <v>0.24479999999999999</v>
      </c>
      <c r="N1696" s="54"/>
    </row>
    <row r="1697" spans="2:14" x14ac:dyDescent="0.2">
      <c r="B1697">
        <v>1688</v>
      </c>
      <c r="C1697" s="52">
        <f t="shared" ca="1" si="81"/>
        <v>-0.19005368783810683</v>
      </c>
      <c r="D1697" s="52">
        <f ca="1">S0*EXP((μ-0.5*σ*σ)*T+σ*SQRT(T)*$C1697)</f>
        <v>0.61088464357691574</v>
      </c>
      <c r="E1697" s="52">
        <f t="shared" ca="1" si="79"/>
        <v>0</v>
      </c>
      <c r="F1697" s="17">
        <f t="shared" ca="1" si="80"/>
        <v>0</v>
      </c>
      <c r="H1697" s="17">
        <v>1688</v>
      </c>
      <c r="I1697" s="45">
        <v>0.67208051028552329</v>
      </c>
      <c r="J1697" s="45">
        <v>1.9457815641788216E-2</v>
      </c>
      <c r="K1697" s="45">
        <v>0.246</v>
      </c>
      <c r="N1697" s="54"/>
    </row>
    <row r="1698" spans="2:14" x14ac:dyDescent="0.2">
      <c r="B1698">
        <v>1689</v>
      </c>
      <c r="C1698" s="52">
        <f t="shared" ca="1" si="81"/>
        <v>0.23517341725346158</v>
      </c>
      <c r="D1698" s="52">
        <f ca="1">S0*EXP((μ-0.5*σ*σ)*T+σ*SQRT(T)*$C1698)</f>
        <v>0.68708275207156655</v>
      </c>
      <c r="E1698" s="52">
        <f t="shared" ca="1" si="79"/>
        <v>0</v>
      </c>
      <c r="F1698" s="17">
        <f t="shared" ca="1" si="80"/>
        <v>0</v>
      </c>
      <c r="H1698" s="17">
        <v>1689</v>
      </c>
      <c r="I1698" s="45">
        <v>0.67084589833805464</v>
      </c>
      <c r="J1698" s="45">
        <v>1.8984506880417418E-2</v>
      </c>
      <c r="K1698" s="45">
        <v>0.246</v>
      </c>
      <c r="N1698" s="54"/>
    </row>
    <row r="1699" spans="2:14" x14ac:dyDescent="0.2">
      <c r="B1699">
        <v>1690</v>
      </c>
      <c r="C1699" s="52">
        <f t="shared" ca="1" si="81"/>
        <v>1.2060166679751978</v>
      </c>
      <c r="D1699" s="52">
        <f ca="1">S0*EXP((μ-0.5*σ*σ)*T+σ*SQRT(T)*$C1699)</f>
        <v>0.89859045881796618</v>
      </c>
      <c r="E1699" s="52">
        <f t="shared" ca="1" si="79"/>
        <v>0</v>
      </c>
      <c r="F1699" s="17">
        <f t="shared" ca="1" si="80"/>
        <v>0</v>
      </c>
      <c r="H1699" s="17">
        <v>1690</v>
      </c>
      <c r="I1699" s="45">
        <v>0.66986727855733219</v>
      </c>
      <c r="J1699" s="45">
        <v>1.8192302979895256E-2</v>
      </c>
      <c r="K1699" s="45">
        <v>0.24160000000000001</v>
      </c>
      <c r="N1699" s="54"/>
    </row>
    <row r="1700" spans="2:14" x14ac:dyDescent="0.2">
      <c r="B1700">
        <v>1691</v>
      </c>
      <c r="C1700" s="52">
        <f t="shared" ca="1" si="81"/>
        <v>-0.23555284064256324</v>
      </c>
      <c r="D1700" s="52">
        <f ca="1">S0*EXP((μ-0.5*σ*σ)*T+σ*SQRT(T)*$C1700)</f>
        <v>0.60324939211086748</v>
      </c>
      <c r="E1700" s="52">
        <f t="shared" ca="1" si="79"/>
        <v>0</v>
      </c>
      <c r="F1700" s="17">
        <f t="shared" ca="1" si="80"/>
        <v>0</v>
      </c>
      <c r="H1700" s="17">
        <v>1691</v>
      </c>
      <c r="I1700" s="45">
        <v>0.67052436033101925</v>
      </c>
      <c r="J1700" s="45">
        <v>1.8769801138635907E-2</v>
      </c>
      <c r="K1700" s="45">
        <v>0.24160000000000001</v>
      </c>
      <c r="N1700" s="54"/>
    </row>
    <row r="1701" spans="2:14" x14ac:dyDescent="0.2">
      <c r="B1701">
        <v>1692</v>
      </c>
      <c r="C1701" s="52">
        <f t="shared" ca="1" si="81"/>
        <v>-0.44919427570848036</v>
      </c>
      <c r="D1701" s="52">
        <f ca="1">S0*EXP((μ-0.5*σ*σ)*T+σ*SQRT(T)*$C1701)</f>
        <v>0.5686546216688686</v>
      </c>
      <c r="E1701" s="52">
        <f t="shared" ca="1" si="79"/>
        <v>0</v>
      </c>
      <c r="F1701" s="17">
        <f t="shared" ca="1" si="80"/>
        <v>0</v>
      </c>
      <c r="H1701" s="17">
        <v>1692</v>
      </c>
      <c r="I1701" s="45">
        <v>0.67108801299154808</v>
      </c>
      <c r="J1701" s="45">
        <v>1.8803586649079357E-2</v>
      </c>
      <c r="K1701" s="45">
        <v>0.24940000000000001</v>
      </c>
      <c r="N1701" s="54"/>
    </row>
    <row r="1702" spans="2:14" x14ac:dyDescent="0.2">
      <c r="B1702">
        <v>1693</v>
      </c>
      <c r="C1702" s="52">
        <f t="shared" ca="1" si="81"/>
        <v>0.9973414830331484</v>
      </c>
      <c r="D1702" s="52">
        <f ca="1">S0*EXP((μ-0.5*σ*σ)*T+σ*SQRT(T)*$C1702)</f>
        <v>0.8482223214692346</v>
      </c>
      <c r="E1702" s="52">
        <f t="shared" ca="1" si="79"/>
        <v>0</v>
      </c>
      <c r="F1702" s="17">
        <f t="shared" ca="1" si="80"/>
        <v>0</v>
      </c>
      <c r="H1702" s="17">
        <v>1693</v>
      </c>
      <c r="I1702" s="45">
        <v>0.67160700510517235</v>
      </c>
      <c r="J1702" s="45">
        <v>1.9372730158218353E-2</v>
      </c>
      <c r="K1702" s="45">
        <v>0.25280000000000002</v>
      </c>
      <c r="N1702" s="54"/>
    </row>
    <row r="1703" spans="2:14" x14ac:dyDescent="0.2">
      <c r="B1703">
        <v>1694</v>
      </c>
      <c r="C1703" s="52">
        <f t="shared" ca="1" si="81"/>
        <v>-0.99462658111042423</v>
      </c>
      <c r="D1703" s="52">
        <f ca="1">S0*EXP((μ-0.5*σ*σ)*T+σ*SQRT(T)*$C1703)</f>
        <v>0.48906628634334404</v>
      </c>
      <c r="E1703" s="52">
        <f t="shared" ca="1" si="79"/>
        <v>4.533371365665595E-2</v>
      </c>
      <c r="F1703" s="17">
        <f t="shared" ca="1" si="80"/>
        <v>1</v>
      </c>
      <c r="H1703" s="17">
        <v>1694</v>
      </c>
      <c r="I1703" s="45">
        <v>0.67265820558353695</v>
      </c>
      <c r="J1703" s="45">
        <v>2.0463505490651613E-2</v>
      </c>
      <c r="K1703" s="45">
        <v>0.25540000000000002</v>
      </c>
      <c r="N1703" s="54"/>
    </row>
    <row r="1704" spans="2:14" x14ac:dyDescent="0.2">
      <c r="B1704">
        <v>1695</v>
      </c>
      <c r="C1704" s="52">
        <f t="shared" ca="1" si="81"/>
        <v>-1.4385040221057084</v>
      </c>
      <c r="D1704" s="52">
        <f ca="1">S0*EXP((μ-0.5*σ*σ)*T+σ*SQRT(T)*$C1704)</f>
        <v>0.43259237124586591</v>
      </c>
      <c r="E1704" s="52">
        <f t="shared" ca="1" si="79"/>
        <v>0.10180762875413407</v>
      </c>
      <c r="F1704" s="17">
        <f t="shared" ca="1" si="80"/>
        <v>1</v>
      </c>
      <c r="H1704" s="17">
        <v>1695</v>
      </c>
      <c r="I1704" s="45">
        <v>0.67092803740665341</v>
      </c>
      <c r="J1704" s="45">
        <v>1.887053022669926E-2</v>
      </c>
      <c r="K1704" s="45">
        <v>0.25180000000000002</v>
      </c>
      <c r="N1704" s="54"/>
    </row>
    <row r="1705" spans="2:14" x14ac:dyDescent="0.2">
      <c r="B1705">
        <v>1696</v>
      </c>
      <c r="C1705" s="52">
        <f t="shared" ca="1" si="81"/>
        <v>6.5958895577750393E-2</v>
      </c>
      <c r="D1705" s="52">
        <f ca="1">S0*EXP((μ-0.5*σ*σ)*T+σ*SQRT(T)*$C1705)</f>
        <v>0.65568359228848483</v>
      </c>
      <c r="E1705" s="52">
        <f t="shared" ca="1" si="79"/>
        <v>0</v>
      </c>
      <c r="F1705" s="17">
        <f t="shared" ca="1" si="80"/>
        <v>0</v>
      </c>
      <c r="H1705" s="17">
        <v>1696</v>
      </c>
      <c r="I1705" s="45">
        <v>0.67020141325314297</v>
      </c>
      <c r="J1705" s="45">
        <v>1.8444682236883794E-2</v>
      </c>
      <c r="K1705" s="45">
        <v>0.24340000000000001</v>
      </c>
      <c r="N1705" s="54"/>
    </row>
    <row r="1706" spans="2:14" x14ac:dyDescent="0.2">
      <c r="B1706">
        <v>1697</v>
      </c>
      <c r="C1706" s="52">
        <f t="shared" ca="1" si="81"/>
        <v>-0.28783150103161609</v>
      </c>
      <c r="D1706" s="52">
        <f ca="1">S0*EXP((μ-0.5*σ*σ)*T+σ*SQRT(T)*$C1706)</f>
        <v>0.59459421146793578</v>
      </c>
      <c r="E1706" s="52">
        <f t="shared" ca="1" si="79"/>
        <v>0</v>
      </c>
      <c r="F1706" s="17">
        <f t="shared" ca="1" si="80"/>
        <v>0</v>
      </c>
      <c r="H1706" s="17">
        <v>1697</v>
      </c>
      <c r="I1706" s="45">
        <v>0.67092163225667978</v>
      </c>
      <c r="J1706" s="45">
        <v>1.8943257825524123E-2</v>
      </c>
      <c r="K1706" s="45">
        <v>0.2414</v>
      </c>
      <c r="N1706" s="54"/>
    </row>
    <row r="1707" spans="2:14" x14ac:dyDescent="0.2">
      <c r="B1707">
        <v>1698</v>
      </c>
      <c r="C1707" s="52">
        <f t="shared" ca="1" si="81"/>
        <v>-1.1091668941082</v>
      </c>
      <c r="D1707" s="52">
        <f ca="1">S0*EXP((μ-0.5*σ*σ)*T+σ*SQRT(T)*$C1707)</f>
        <v>0.4738237270272771</v>
      </c>
      <c r="E1707" s="52">
        <f t="shared" ca="1" si="79"/>
        <v>6.0576272972722889E-2</v>
      </c>
      <c r="F1707" s="17">
        <f t="shared" ca="1" si="80"/>
        <v>1</v>
      </c>
      <c r="H1707" s="17">
        <v>1698</v>
      </c>
      <c r="I1707" s="45">
        <v>0.67203659123019388</v>
      </c>
      <c r="J1707" s="45">
        <v>1.9427302470494089E-2</v>
      </c>
      <c r="K1707" s="45">
        <v>0.24340000000000001</v>
      </c>
      <c r="N1707" s="54"/>
    </row>
    <row r="1708" spans="2:14" x14ac:dyDescent="0.2">
      <c r="B1708">
        <v>1699</v>
      </c>
      <c r="C1708" s="52">
        <f t="shared" ca="1" si="81"/>
        <v>-0.37721392873445869</v>
      </c>
      <c r="D1708" s="52">
        <f ca="1">S0*EXP((μ-0.5*σ*σ)*T+σ*SQRT(T)*$C1708)</f>
        <v>0.58008286628394656</v>
      </c>
      <c r="E1708" s="52">
        <f t="shared" ca="1" si="79"/>
        <v>0</v>
      </c>
      <c r="F1708" s="17">
        <f t="shared" ca="1" si="80"/>
        <v>0</v>
      </c>
      <c r="H1708" s="17">
        <v>1699</v>
      </c>
      <c r="I1708" s="45">
        <v>0.67070547054708607</v>
      </c>
      <c r="J1708" s="45">
        <v>1.8703450058542383E-2</v>
      </c>
      <c r="K1708" s="45">
        <v>0.24060000000000001</v>
      </c>
      <c r="N1708" s="54"/>
    </row>
    <row r="1709" spans="2:14" x14ac:dyDescent="0.2">
      <c r="B1709">
        <v>1700</v>
      </c>
      <c r="C1709" s="52">
        <f t="shared" ca="1" si="81"/>
        <v>-1.3117362641782162</v>
      </c>
      <c r="D1709" s="52">
        <f ca="1">S0*EXP((μ-0.5*σ*σ)*T+σ*SQRT(T)*$C1709)</f>
        <v>0.44802032898968008</v>
      </c>
      <c r="E1709" s="52">
        <f t="shared" ca="1" si="79"/>
        <v>8.6379671010319903E-2</v>
      </c>
      <c r="F1709" s="17">
        <f t="shared" ca="1" si="80"/>
        <v>1</v>
      </c>
      <c r="H1709" s="17">
        <v>1700</v>
      </c>
      <c r="I1709" s="45">
        <v>0.67097319353428941</v>
      </c>
      <c r="J1709" s="45">
        <v>1.8687844333860702E-2</v>
      </c>
      <c r="K1709" s="45">
        <v>0.24179999999999999</v>
      </c>
      <c r="N1709" s="54"/>
    </row>
    <row r="1710" spans="2:14" x14ac:dyDescent="0.2">
      <c r="B1710">
        <v>1701</v>
      </c>
      <c r="C1710" s="52">
        <f t="shared" ca="1" si="81"/>
        <v>0.3267381041711423</v>
      </c>
      <c r="D1710" s="52">
        <f ca="1">S0*EXP((μ-0.5*σ*σ)*T+σ*SQRT(T)*$C1710)</f>
        <v>0.70469578266143851</v>
      </c>
      <c r="E1710" s="52">
        <f t="shared" ca="1" si="79"/>
        <v>0</v>
      </c>
      <c r="F1710" s="17">
        <f t="shared" ca="1" si="80"/>
        <v>0</v>
      </c>
      <c r="H1710" s="17">
        <v>1701</v>
      </c>
      <c r="I1710" s="45">
        <v>0.67117334842950427</v>
      </c>
      <c r="J1710" s="45">
        <v>1.9413609141543539E-2</v>
      </c>
      <c r="K1710" s="45">
        <v>0.25059999999999999</v>
      </c>
      <c r="N1710" s="54"/>
    </row>
    <row r="1711" spans="2:14" x14ac:dyDescent="0.2">
      <c r="B1711">
        <v>1702</v>
      </c>
      <c r="C1711" s="52">
        <f t="shared" ca="1" si="81"/>
        <v>8.0970592741105921E-2</v>
      </c>
      <c r="D1711" s="52">
        <f ca="1">S0*EXP((μ-0.5*σ*σ)*T+σ*SQRT(T)*$C1711)</f>
        <v>0.65841014968690925</v>
      </c>
      <c r="E1711" s="52">
        <f t="shared" ca="1" si="79"/>
        <v>0</v>
      </c>
      <c r="F1711" s="17">
        <f t="shared" ca="1" si="80"/>
        <v>0</v>
      </c>
      <c r="H1711" s="17">
        <v>1702</v>
      </c>
      <c r="I1711" s="45">
        <v>0.67140096366152457</v>
      </c>
      <c r="J1711" s="45">
        <v>1.9217795101043007E-2</v>
      </c>
      <c r="K1711" s="45">
        <v>0.25019999999999998</v>
      </c>
      <c r="N1711" s="54"/>
    </row>
    <row r="1712" spans="2:14" x14ac:dyDescent="0.2">
      <c r="B1712">
        <v>1703</v>
      </c>
      <c r="C1712" s="52">
        <f t="shared" ca="1" si="81"/>
        <v>-0.43107521384405195</v>
      </c>
      <c r="D1712" s="52">
        <f ca="1">S0*EXP((μ-0.5*σ*σ)*T+σ*SQRT(T)*$C1712)</f>
        <v>0.5715099856822492</v>
      </c>
      <c r="E1712" s="52">
        <f t="shared" ca="1" si="79"/>
        <v>0</v>
      </c>
      <c r="F1712" s="17">
        <f t="shared" ca="1" si="80"/>
        <v>0</v>
      </c>
      <c r="H1712" s="17">
        <v>1703</v>
      </c>
      <c r="I1712" s="45">
        <v>0.67006759598637977</v>
      </c>
      <c r="J1712" s="45">
        <v>1.8331060343735477E-2</v>
      </c>
      <c r="K1712" s="45">
        <v>0.24060000000000001</v>
      </c>
      <c r="N1712" s="54"/>
    </row>
    <row r="1713" spans="2:14" x14ac:dyDescent="0.2">
      <c r="B1713">
        <v>1704</v>
      </c>
      <c r="C1713" s="52">
        <f t="shared" ca="1" si="81"/>
        <v>-0.76135942920271749</v>
      </c>
      <c r="D1713" s="52">
        <f ca="1">S0*EXP((μ-0.5*σ*σ)*T+σ*SQRT(T)*$C1713)</f>
        <v>0.52164154687179343</v>
      </c>
      <c r="E1713" s="52">
        <f t="shared" ca="1" si="79"/>
        <v>1.2758453128206559E-2</v>
      </c>
      <c r="F1713" s="17">
        <f t="shared" ca="1" si="80"/>
        <v>1</v>
      </c>
      <c r="H1713" s="17">
        <v>1704</v>
      </c>
      <c r="I1713" s="45">
        <v>0.6700741897727005</v>
      </c>
      <c r="J1713" s="45">
        <v>1.8446911412381594E-2</v>
      </c>
      <c r="K1713" s="45">
        <v>0.245</v>
      </c>
      <c r="N1713" s="54"/>
    </row>
    <row r="1714" spans="2:14" x14ac:dyDescent="0.2">
      <c r="B1714">
        <v>1705</v>
      </c>
      <c r="C1714" s="52">
        <f t="shared" ca="1" si="81"/>
        <v>-1.0083116866945951</v>
      </c>
      <c r="D1714" s="52">
        <f ca="1">S0*EXP((μ-0.5*σ*σ)*T+σ*SQRT(T)*$C1714)</f>
        <v>0.48721963974913896</v>
      </c>
      <c r="E1714" s="52">
        <f t="shared" ca="1" si="79"/>
        <v>4.7180360250861031E-2</v>
      </c>
      <c r="F1714" s="17">
        <f t="shared" ca="1" si="80"/>
        <v>1</v>
      </c>
      <c r="H1714" s="17">
        <v>1705</v>
      </c>
      <c r="I1714" s="45">
        <v>0.671734005427846</v>
      </c>
      <c r="J1714" s="45">
        <v>1.9827544411053027E-2</v>
      </c>
      <c r="K1714" s="45">
        <v>0.24840000000000001</v>
      </c>
      <c r="N1714" s="54"/>
    </row>
    <row r="1715" spans="2:14" x14ac:dyDescent="0.2">
      <c r="B1715">
        <v>1706</v>
      </c>
      <c r="C1715" s="52">
        <f t="shared" ca="1" si="81"/>
        <v>1.2289090785996619</v>
      </c>
      <c r="D1715" s="52">
        <f ca="1">S0*EXP((μ-0.5*σ*σ)*T+σ*SQRT(T)*$C1715)</f>
        <v>0.90429495546773764</v>
      </c>
      <c r="E1715" s="52">
        <f t="shared" ca="1" si="79"/>
        <v>0</v>
      </c>
      <c r="F1715" s="17">
        <f t="shared" ca="1" si="80"/>
        <v>0</v>
      </c>
      <c r="H1715" s="17">
        <v>1706</v>
      </c>
      <c r="I1715" s="45">
        <v>0.67058689873100541</v>
      </c>
      <c r="J1715" s="45">
        <v>1.8511717448810954E-2</v>
      </c>
      <c r="K1715" s="45">
        <v>0.24260000000000001</v>
      </c>
      <c r="N1715" s="54"/>
    </row>
    <row r="1716" spans="2:14" x14ac:dyDescent="0.2">
      <c r="B1716">
        <v>1707</v>
      </c>
      <c r="C1716" s="52">
        <f t="shared" ca="1" si="81"/>
        <v>1.0787240866885526</v>
      </c>
      <c r="D1716" s="52">
        <f ca="1">S0*EXP((μ-0.5*σ*σ)*T+σ*SQRT(T)*$C1716)</f>
        <v>0.86752087125747468</v>
      </c>
      <c r="E1716" s="52">
        <f t="shared" ca="1" si="79"/>
        <v>0</v>
      </c>
      <c r="F1716" s="17">
        <f t="shared" ca="1" si="80"/>
        <v>0</v>
      </c>
      <c r="H1716" s="17">
        <v>1707</v>
      </c>
      <c r="I1716" s="45">
        <v>0.67149223604803032</v>
      </c>
      <c r="J1716" s="45">
        <v>1.9418715276972635E-2</v>
      </c>
      <c r="K1716" s="45">
        <v>0.25559999999999999</v>
      </c>
      <c r="N1716" s="54"/>
    </row>
    <row r="1717" spans="2:14" x14ac:dyDescent="0.2">
      <c r="B1717">
        <v>1708</v>
      </c>
      <c r="C1717" s="52">
        <f t="shared" ca="1" si="81"/>
        <v>-2.045249050358584E-2</v>
      </c>
      <c r="D1717" s="52">
        <f ca="1">S0*EXP((μ-0.5*σ*σ)*T+σ*SQRT(T)*$C1717)</f>
        <v>0.64020691395106155</v>
      </c>
      <c r="E1717" s="52">
        <f t="shared" ca="1" si="79"/>
        <v>0</v>
      </c>
      <c r="F1717" s="17">
        <f t="shared" ca="1" si="80"/>
        <v>0</v>
      </c>
      <c r="H1717" s="17">
        <v>1708</v>
      </c>
      <c r="I1717" s="45">
        <v>0.67138692057915161</v>
      </c>
      <c r="J1717" s="45">
        <v>1.9407831568723121E-2</v>
      </c>
      <c r="K1717" s="45">
        <v>0.24460000000000001</v>
      </c>
      <c r="N1717" s="54"/>
    </row>
    <row r="1718" spans="2:14" x14ac:dyDescent="0.2">
      <c r="B1718">
        <v>1709</v>
      </c>
      <c r="C1718" s="52">
        <f t="shared" ca="1" si="81"/>
        <v>0.14416132761578718</v>
      </c>
      <c r="D1718" s="52">
        <f ca="1">S0*EXP((μ-0.5*σ*σ)*T+σ*SQRT(T)*$C1718)</f>
        <v>0.67001227865564295</v>
      </c>
      <c r="E1718" s="52">
        <f t="shared" ca="1" si="79"/>
        <v>0</v>
      </c>
      <c r="F1718" s="17">
        <f t="shared" ca="1" si="80"/>
        <v>0</v>
      </c>
      <c r="H1718" s="17">
        <v>1709</v>
      </c>
      <c r="I1718" s="45">
        <v>0.6706587195374889</v>
      </c>
      <c r="J1718" s="45">
        <v>1.8912498612911912E-2</v>
      </c>
      <c r="K1718" s="45">
        <v>0.24940000000000001</v>
      </c>
      <c r="N1718" s="54"/>
    </row>
    <row r="1719" spans="2:14" x14ac:dyDescent="0.2">
      <c r="B1719">
        <v>1710</v>
      </c>
      <c r="C1719" s="52">
        <f t="shared" ca="1" si="81"/>
        <v>-6.5228725660326323E-2</v>
      </c>
      <c r="D1719" s="52">
        <f ca="1">S0*EXP((μ-0.5*σ*σ)*T+σ*SQRT(T)*$C1719)</f>
        <v>0.63233152402601123</v>
      </c>
      <c r="E1719" s="52">
        <f t="shared" ca="1" si="79"/>
        <v>0</v>
      </c>
      <c r="F1719" s="17">
        <f t="shared" ca="1" si="80"/>
        <v>0</v>
      </c>
      <c r="H1719" s="17">
        <v>1710</v>
      </c>
      <c r="I1719" s="45">
        <v>0.67136107631648878</v>
      </c>
      <c r="J1719" s="45">
        <v>1.9640453602744481E-2</v>
      </c>
      <c r="K1719" s="45">
        <v>0.254</v>
      </c>
      <c r="N1719" s="54"/>
    </row>
    <row r="1720" spans="2:14" x14ac:dyDescent="0.2">
      <c r="B1720">
        <v>1711</v>
      </c>
      <c r="C1720" s="52">
        <f t="shared" ca="1" si="81"/>
        <v>0.69435966719241926</v>
      </c>
      <c r="D1720" s="52">
        <f ca="1">S0*EXP((μ-0.5*σ*σ)*T+σ*SQRT(T)*$C1720)</f>
        <v>0.78007396977167687</v>
      </c>
      <c r="E1720" s="52">
        <f t="shared" ca="1" si="79"/>
        <v>0</v>
      </c>
      <c r="F1720" s="17">
        <f t="shared" ca="1" si="80"/>
        <v>0</v>
      </c>
      <c r="H1720" s="17">
        <v>1711</v>
      </c>
      <c r="I1720" s="45">
        <v>0.67088890623085617</v>
      </c>
      <c r="J1720" s="45">
        <v>1.9057903559003039E-2</v>
      </c>
      <c r="K1720" s="45">
        <v>0.24840000000000001</v>
      </c>
      <c r="N1720" s="54"/>
    </row>
    <row r="1721" spans="2:14" x14ac:dyDescent="0.2">
      <c r="B1721">
        <v>1712</v>
      </c>
      <c r="C1721" s="52">
        <f t="shared" ca="1" si="81"/>
        <v>0.23615460197540847</v>
      </c>
      <c r="D1721" s="52">
        <f ca="1">S0*EXP((μ-0.5*σ*σ)*T+σ*SQRT(T)*$C1721)</f>
        <v>0.6872691357351538</v>
      </c>
      <c r="E1721" s="52">
        <f t="shared" ca="1" si="79"/>
        <v>0</v>
      </c>
      <c r="F1721" s="17">
        <f t="shared" ca="1" si="80"/>
        <v>0</v>
      </c>
      <c r="H1721" s="17">
        <v>1712</v>
      </c>
      <c r="I1721" s="45">
        <v>0.67077921794669182</v>
      </c>
      <c r="J1721" s="45">
        <v>1.8949207467387812E-2</v>
      </c>
      <c r="K1721" s="45">
        <v>0.247</v>
      </c>
      <c r="N1721" s="54"/>
    </row>
    <row r="1722" spans="2:14" x14ac:dyDescent="0.2">
      <c r="B1722">
        <v>1713</v>
      </c>
      <c r="C1722" s="52">
        <f t="shared" ca="1" si="81"/>
        <v>0.6015841574450389</v>
      </c>
      <c r="D1722" s="52">
        <f ca="1">S0*EXP((μ-0.5*σ*σ)*T+σ*SQRT(T)*$C1722)</f>
        <v>0.76032242058075594</v>
      </c>
      <c r="E1722" s="52">
        <f t="shared" ca="1" si="79"/>
        <v>0</v>
      </c>
      <c r="F1722" s="17">
        <f t="shared" ca="1" si="80"/>
        <v>0</v>
      </c>
      <c r="H1722" s="17">
        <v>1713</v>
      </c>
      <c r="I1722" s="45">
        <v>0.67139636628759936</v>
      </c>
      <c r="J1722" s="45">
        <v>1.9424875063081232E-2</v>
      </c>
      <c r="K1722" s="45">
        <v>0.25059999999999999</v>
      </c>
      <c r="N1722" s="54"/>
    </row>
    <row r="1723" spans="2:14" x14ac:dyDescent="0.2">
      <c r="B1723">
        <v>1714</v>
      </c>
      <c r="C1723" s="52">
        <f t="shared" ca="1" si="81"/>
        <v>-2.0460219401487514</v>
      </c>
      <c r="D1723" s="52">
        <f ca="1">S0*EXP((μ-0.5*σ*σ)*T+σ*SQRT(T)*$C1723)</f>
        <v>0.36571640156254676</v>
      </c>
      <c r="E1723" s="52">
        <f t="shared" ca="1" si="79"/>
        <v>0.16868359843745323</v>
      </c>
      <c r="F1723" s="17">
        <f t="shared" ca="1" si="80"/>
        <v>1</v>
      </c>
      <c r="H1723" s="17">
        <v>1714</v>
      </c>
      <c r="I1723" s="45">
        <v>0.67024203316431907</v>
      </c>
      <c r="J1723" s="45">
        <v>1.8264054860766633E-2</v>
      </c>
      <c r="K1723" s="45">
        <v>0.2414</v>
      </c>
      <c r="N1723" s="54"/>
    </row>
    <row r="1724" spans="2:14" x14ac:dyDescent="0.2">
      <c r="B1724">
        <v>1715</v>
      </c>
      <c r="C1724" s="52">
        <f t="shared" ca="1" si="81"/>
        <v>-1.0964136272007128</v>
      </c>
      <c r="D1724" s="52">
        <f ca="1">S0*EXP((μ-0.5*σ*σ)*T+σ*SQRT(T)*$C1724)</f>
        <v>0.47549710148217961</v>
      </c>
      <c r="E1724" s="52">
        <f t="shared" ca="1" si="79"/>
        <v>5.8902898517820379E-2</v>
      </c>
      <c r="F1724" s="17">
        <f t="shared" ca="1" si="80"/>
        <v>1</v>
      </c>
      <c r="H1724" s="17">
        <v>1715</v>
      </c>
      <c r="I1724" s="45">
        <v>0.67064349117293154</v>
      </c>
      <c r="J1724" s="45">
        <v>1.9010622342695804E-2</v>
      </c>
      <c r="K1724" s="45">
        <v>0.2452</v>
      </c>
      <c r="N1724" s="54"/>
    </row>
    <row r="1725" spans="2:14" x14ac:dyDescent="0.2">
      <c r="B1725">
        <v>1716</v>
      </c>
      <c r="C1725" s="52">
        <f t="shared" ca="1" si="81"/>
        <v>-2.2425421258101768</v>
      </c>
      <c r="D1725" s="52">
        <f ca="1">S0*EXP((μ-0.5*σ*σ)*T+σ*SQRT(T)*$C1725)</f>
        <v>0.34637901865319692</v>
      </c>
      <c r="E1725" s="52">
        <f t="shared" ca="1" si="79"/>
        <v>0.18802098134680306</v>
      </c>
      <c r="F1725" s="17">
        <f t="shared" ca="1" si="80"/>
        <v>1</v>
      </c>
      <c r="H1725" s="17">
        <v>1716</v>
      </c>
      <c r="I1725" s="45">
        <v>0.67068601830306229</v>
      </c>
      <c r="J1725" s="45">
        <v>1.8657668397240892E-2</v>
      </c>
      <c r="K1725" s="45">
        <v>0.24959999999999999</v>
      </c>
      <c r="N1725" s="54"/>
    </row>
    <row r="1726" spans="2:14" x14ac:dyDescent="0.2">
      <c r="B1726">
        <v>1717</v>
      </c>
      <c r="C1726" s="52">
        <f t="shared" ca="1" si="81"/>
        <v>0.27315482702444849</v>
      </c>
      <c r="D1726" s="52">
        <f ca="1">S0*EXP((μ-0.5*σ*σ)*T+σ*SQRT(T)*$C1726)</f>
        <v>0.69433464088815577</v>
      </c>
      <c r="E1726" s="52">
        <f t="shared" ca="1" si="79"/>
        <v>0</v>
      </c>
      <c r="F1726" s="17">
        <f t="shared" ca="1" si="80"/>
        <v>0</v>
      </c>
      <c r="H1726" s="17">
        <v>1717</v>
      </c>
      <c r="I1726" s="45">
        <v>0.67083360721000207</v>
      </c>
      <c r="J1726" s="45">
        <v>1.8874423670404927E-2</v>
      </c>
      <c r="K1726" s="45">
        <v>0.24479999999999999</v>
      </c>
      <c r="N1726" s="54"/>
    </row>
    <row r="1727" spans="2:14" x14ac:dyDescent="0.2">
      <c r="B1727">
        <v>1718</v>
      </c>
      <c r="C1727" s="52">
        <f t="shared" ca="1" si="81"/>
        <v>1.034355343078283</v>
      </c>
      <c r="D1727" s="52">
        <f ca="1">S0*EXP((μ-0.5*σ*σ)*T+σ*SQRT(T)*$C1727)</f>
        <v>0.85694574395509759</v>
      </c>
      <c r="E1727" s="52">
        <f t="shared" ca="1" si="79"/>
        <v>0</v>
      </c>
      <c r="F1727" s="17">
        <f t="shared" ca="1" si="80"/>
        <v>0</v>
      </c>
      <c r="H1727" s="17">
        <v>1718</v>
      </c>
      <c r="I1727" s="45">
        <v>0.67129454058570004</v>
      </c>
      <c r="J1727" s="45">
        <v>1.9127533185457575E-2</v>
      </c>
      <c r="K1727" s="45">
        <v>0.2412</v>
      </c>
      <c r="N1727" s="54"/>
    </row>
    <row r="1728" spans="2:14" x14ac:dyDescent="0.2">
      <c r="B1728">
        <v>1719</v>
      </c>
      <c r="C1728" s="52">
        <f t="shared" ca="1" si="81"/>
        <v>0.95184344929000209</v>
      </c>
      <c r="D1728" s="52">
        <f ca="1">S0*EXP((μ-0.5*σ*σ)*T+σ*SQRT(T)*$C1728)</f>
        <v>0.83762092151096335</v>
      </c>
      <c r="E1728" s="52">
        <f t="shared" ca="1" si="79"/>
        <v>0</v>
      </c>
      <c r="F1728" s="17">
        <f t="shared" ca="1" si="80"/>
        <v>0</v>
      </c>
      <c r="H1728" s="17">
        <v>1719</v>
      </c>
      <c r="I1728" s="45">
        <v>0.67251705018933994</v>
      </c>
      <c r="J1728" s="45">
        <v>2.0261001137611936E-2</v>
      </c>
      <c r="K1728" s="45">
        <v>0.254</v>
      </c>
      <c r="N1728" s="54"/>
    </row>
    <row r="1729" spans="2:14" x14ac:dyDescent="0.2">
      <c r="B1729">
        <v>1720</v>
      </c>
      <c r="C1729" s="52">
        <f t="shared" ca="1" si="81"/>
        <v>1.1768677112486172</v>
      </c>
      <c r="D1729" s="52">
        <f ca="1">S0*EXP((μ-0.5*σ*σ)*T+σ*SQRT(T)*$C1729)</f>
        <v>0.8913789622080216</v>
      </c>
      <c r="E1729" s="52">
        <f t="shared" ca="1" si="79"/>
        <v>0</v>
      </c>
      <c r="F1729" s="17">
        <f t="shared" ca="1" si="80"/>
        <v>0</v>
      </c>
      <c r="H1729" s="17">
        <v>1720</v>
      </c>
      <c r="I1729" s="45">
        <v>0.67160233198267538</v>
      </c>
      <c r="J1729" s="45">
        <v>1.9450120162511412E-2</v>
      </c>
      <c r="K1729" s="45">
        <v>0.25019999999999998</v>
      </c>
      <c r="N1729" s="54"/>
    </row>
    <row r="1730" spans="2:14" x14ac:dyDescent="0.2">
      <c r="B1730">
        <v>1721</v>
      </c>
      <c r="C1730" s="52">
        <f t="shared" ca="1" si="81"/>
        <v>-1.0361825633554671</v>
      </c>
      <c r="D1730" s="52">
        <f ca="1">S0*EXP((μ-0.5*σ*σ)*T+σ*SQRT(T)*$C1730)</f>
        <v>0.48348031986513235</v>
      </c>
      <c r="E1730" s="52">
        <f t="shared" ca="1" si="79"/>
        <v>5.091968013486764E-2</v>
      </c>
      <c r="F1730" s="17">
        <f t="shared" ca="1" si="80"/>
        <v>1</v>
      </c>
      <c r="H1730" s="17">
        <v>1721</v>
      </c>
      <c r="I1730" s="45">
        <v>0.67079590640721365</v>
      </c>
      <c r="J1730" s="45">
        <v>1.8965663361430577E-2</v>
      </c>
      <c r="K1730" s="45">
        <v>0.25259999999999999</v>
      </c>
      <c r="N1730" s="54"/>
    </row>
    <row r="1731" spans="2:14" x14ac:dyDescent="0.2">
      <c r="B1731">
        <v>1722</v>
      </c>
      <c r="C1731" s="52">
        <f t="shared" ca="1" si="81"/>
        <v>-0.14545226444775211</v>
      </c>
      <c r="D1731" s="52">
        <f ca="1">S0*EXP((μ-0.5*σ*σ)*T+σ*SQRT(T)*$C1731)</f>
        <v>0.61846303563717664</v>
      </c>
      <c r="E1731" s="52">
        <f t="shared" ca="1" si="79"/>
        <v>0</v>
      </c>
      <c r="F1731" s="17">
        <f t="shared" ca="1" si="80"/>
        <v>0</v>
      </c>
      <c r="H1731" s="17">
        <v>1722</v>
      </c>
      <c r="I1731" s="45">
        <v>0.67060066757322745</v>
      </c>
      <c r="J1731" s="45">
        <v>1.8726298169552926E-2</v>
      </c>
      <c r="K1731" s="45">
        <v>0.2422</v>
      </c>
      <c r="N1731" s="54"/>
    </row>
    <row r="1732" spans="2:14" x14ac:dyDescent="0.2">
      <c r="B1732">
        <v>1723</v>
      </c>
      <c r="C1732" s="52">
        <f t="shared" ca="1" si="81"/>
        <v>0.92574423503356806</v>
      </c>
      <c r="D1732" s="52">
        <f ca="1">S0*EXP((μ-0.5*σ*σ)*T+σ*SQRT(T)*$C1732)</f>
        <v>0.8315995091918188</v>
      </c>
      <c r="E1732" s="52">
        <f t="shared" ca="1" si="79"/>
        <v>0</v>
      </c>
      <c r="F1732" s="17">
        <f t="shared" ca="1" si="80"/>
        <v>0</v>
      </c>
      <c r="H1732" s="17">
        <v>1723</v>
      </c>
      <c r="I1732" s="45">
        <v>0.67210245265975577</v>
      </c>
      <c r="J1732" s="45">
        <v>2.0066150117453101E-2</v>
      </c>
      <c r="K1732" s="45">
        <v>0.25459999999999999</v>
      </c>
      <c r="N1732" s="54"/>
    </row>
    <row r="1733" spans="2:14" x14ac:dyDescent="0.2">
      <c r="B1733">
        <v>1724</v>
      </c>
      <c r="C1733" s="52">
        <f t="shared" ca="1" si="81"/>
        <v>1.0790421489965716</v>
      </c>
      <c r="D1733" s="52">
        <f ca="1">S0*EXP((μ-0.5*σ*σ)*T+σ*SQRT(T)*$C1733)</f>
        <v>0.86759714944276534</v>
      </c>
      <c r="E1733" s="52">
        <f t="shared" ca="1" si="79"/>
        <v>0</v>
      </c>
      <c r="F1733" s="17">
        <f t="shared" ca="1" si="80"/>
        <v>0</v>
      </c>
      <c r="H1733" s="17">
        <v>1724</v>
      </c>
      <c r="I1733" s="45">
        <v>0.67085251634689025</v>
      </c>
      <c r="J1733" s="45">
        <v>1.8766553539976687E-2</v>
      </c>
      <c r="K1733" s="45">
        <v>0.23799999999999999</v>
      </c>
      <c r="N1733" s="54"/>
    </row>
    <row r="1734" spans="2:14" x14ac:dyDescent="0.2">
      <c r="B1734">
        <v>1725</v>
      </c>
      <c r="C1734" s="52">
        <f t="shared" ca="1" si="81"/>
        <v>-1.2492609034518627</v>
      </c>
      <c r="D1734" s="52">
        <f ca="1">S0*EXP((μ-0.5*σ*σ)*T+σ*SQRT(T)*$C1734)</f>
        <v>0.45582493875337277</v>
      </c>
      <c r="E1734" s="52">
        <f t="shared" ca="1" si="79"/>
        <v>7.857506124662722E-2</v>
      </c>
      <c r="F1734" s="17">
        <f t="shared" ca="1" si="80"/>
        <v>1</v>
      </c>
      <c r="H1734" s="17">
        <v>1725</v>
      </c>
      <c r="I1734" s="45">
        <v>0.67142996015600465</v>
      </c>
      <c r="J1734" s="45">
        <v>1.9384556315421818E-2</v>
      </c>
      <c r="K1734" s="45">
        <v>0.25640000000000002</v>
      </c>
      <c r="N1734" s="54"/>
    </row>
    <row r="1735" spans="2:14" x14ac:dyDescent="0.2">
      <c r="B1735">
        <v>1726</v>
      </c>
      <c r="C1735" s="52">
        <f t="shared" ca="1" si="81"/>
        <v>-0.71525237667218511</v>
      </c>
      <c r="D1735" s="52">
        <f ca="1">S0*EXP((μ-0.5*σ*σ)*T+σ*SQRT(T)*$C1735)</f>
        <v>0.52833267341383172</v>
      </c>
      <c r="E1735" s="52">
        <f t="shared" ca="1" si="79"/>
        <v>6.0673265861682646E-3</v>
      </c>
      <c r="F1735" s="17">
        <f t="shared" ca="1" si="80"/>
        <v>1</v>
      </c>
      <c r="H1735" s="17">
        <v>1726</v>
      </c>
      <c r="I1735" s="45">
        <v>0.6712434951902807</v>
      </c>
      <c r="J1735" s="45">
        <v>1.9042147422702198E-2</v>
      </c>
      <c r="K1735" s="45">
        <v>0.24779999999999999</v>
      </c>
      <c r="N1735" s="54"/>
    </row>
    <row r="1736" spans="2:14" x14ac:dyDescent="0.2">
      <c r="B1736">
        <v>1727</v>
      </c>
      <c r="C1736" s="52">
        <f t="shared" ca="1" si="81"/>
        <v>-1.819104868419426</v>
      </c>
      <c r="D1736" s="52">
        <f ca="1">S0*EXP((μ-0.5*σ*σ)*T+σ*SQRT(T)*$C1736)</f>
        <v>0.38939156466223268</v>
      </c>
      <c r="E1736" s="52">
        <f t="shared" ca="1" si="79"/>
        <v>0.14500843533776731</v>
      </c>
      <c r="F1736" s="17">
        <f t="shared" ca="1" si="80"/>
        <v>1</v>
      </c>
      <c r="H1736" s="17">
        <v>1727</v>
      </c>
      <c r="I1736" s="45">
        <v>0.67078914860123284</v>
      </c>
      <c r="J1736" s="45">
        <v>1.8803594978363002E-2</v>
      </c>
      <c r="K1736" s="45">
        <v>0.2424</v>
      </c>
      <c r="N1736" s="54"/>
    </row>
    <row r="1737" spans="2:14" x14ac:dyDescent="0.2">
      <c r="B1737">
        <v>1728</v>
      </c>
      <c r="C1737" s="52">
        <f t="shared" ca="1" si="81"/>
        <v>-1.3066223644043029</v>
      </c>
      <c r="D1737" s="52">
        <f ca="1">S0*EXP((μ-0.5*σ*σ)*T+σ*SQRT(T)*$C1737)</f>
        <v>0.44865411997916116</v>
      </c>
      <c r="E1737" s="52">
        <f t="shared" ca="1" si="79"/>
        <v>8.5745880020838827E-2</v>
      </c>
      <c r="F1737" s="17">
        <f t="shared" ca="1" si="80"/>
        <v>1</v>
      </c>
      <c r="H1737" s="17">
        <v>1728</v>
      </c>
      <c r="I1737" s="45">
        <v>0.67083484511123048</v>
      </c>
      <c r="J1737" s="45">
        <v>1.9275365494516403E-2</v>
      </c>
      <c r="K1737" s="45">
        <v>0.24859999999999999</v>
      </c>
      <c r="N1737" s="54"/>
    </row>
    <row r="1738" spans="2:14" x14ac:dyDescent="0.2">
      <c r="B1738">
        <v>1729</v>
      </c>
      <c r="C1738" s="52">
        <f t="shared" ca="1" si="81"/>
        <v>1.2381569411405585E-2</v>
      </c>
      <c r="D1738" s="52">
        <f ca="1">S0*EXP((μ-0.5*σ*σ)*T+σ*SQRT(T)*$C1738)</f>
        <v>0.64604413949850936</v>
      </c>
      <c r="E1738" s="52">
        <f t="shared" ref="E1738:E1801" ca="1" si="82">MAX(0,CP*(D1738-K))</f>
        <v>0</v>
      </c>
      <c r="F1738" s="17">
        <f t="shared" ref="F1738:F1801" ca="1" si="83">(CP*(D1738-K)&gt;0)*1</f>
        <v>0</v>
      </c>
      <c r="H1738" s="17">
        <v>1729</v>
      </c>
      <c r="I1738" s="45">
        <v>0.67079563931718311</v>
      </c>
      <c r="J1738" s="45">
        <v>1.8895626321826883E-2</v>
      </c>
      <c r="K1738" s="45">
        <v>0.24660000000000001</v>
      </c>
      <c r="N1738" s="54"/>
    </row>
    <row r="1739" spans="2:14" x14ac:dyDescent="0.2">
      <c r="B1739">
        <v>1730</v>
      </c>
      <c r="C1739" s="52">
        <f t="shared" ref="C1739:C1802" ca="1" si="84">_xlfn.NORM.S.INV(RAND())</f>
        <v>1.2844903210446279</v>
      </c>
      <c r="D1739" s="52">
        <f ca="1">S0*EXP((μ-0.5*σ*σ)*T+σ*SQRT(T)*$C1739)</f>
        <v>0.91829624714762637</v>
      </c>
      <c r="E1739" s="52">
        <f t="shared" ca="1" si="82"/>
        <v>0</v>
      </c>
      <c r="F1739" s="17">
        <f t="shared" ca="1" si="83"/>
        <v>0</v>
      </c>
      <c r="H1739" s="17">
        <v>1730</v>
      </c>
      <c r="I1739" s="45">
        <v>0.67121103736413223</v>
      </c>
      <c r="J1739" s="45">
        <v>1.8944361816644238E-2</v>
      </c>
      <c r="K1739" s="45">
        <v>0.24540000000000001</v>
      </c>
      <c r="N1739" s="54"/>
    </row>
    <row r="1740" spans="2:14" x14ac:dyDescent="0.2">
      <c r="B1740">
        <v>1731</v>
      </c>
      <c r="C1740" s="52">
        <f t="shared" ca="1" si="84"/>
        <v>1.1469043918748822</v>
      </c>
      <c r="D1740" s="52">
        <f ca="1">S0*EXP((μ-0.5*σ*σ)*T+σ*SQRT(T)*$C1740)</f>
        <v>0.88402630918650538</v>
      </c>
      <c r="E1740" s="52">
        <f t="shared" ca="1" si="82"/>
        <v>0</v>
      </c>
      <c r="F1740" s="17">
        <f t="shared" ca="1" si="83"/>
        <v>0</v>
      </c>
      <c r="H1740" s="17">
        <v>1731</v>
      </c>
      <c r="I1740" s="45">
        <v>0.6704668202619134</v>
      </c>
      <c r="J1740" s="45">
        <v>1.8511625456698173E-2</v>
      </c>
      <c r="K1740" s="45">
        <v>0.24540000000000001</v>
      </c>
      <c r="N1740" s="54"/>
    </row>
    <row r="1741" spans="2:14" x14ac:dyDescent="0.2">
      <c r="B1741">
        <v>1732</v>
      </c>
      <c r="C1741" s="52">
        <f t="shared" ca="1" si="84"/>
        <v>-1.2644257847733162</v>
      </c>
      <c r="D1741" s="52">
        <f ca="1">S0*EXP((μ-0.5*σ*σ)*T+σ*SQRT(T)*$C1741)</f>
        <v>0.45391809002091116</v>
      </c>
      <c r="E1741" s="52">
        <f t="shared" ca="1" si="82"/>
        <v>8.0481909979088828E-2</v>
      </c>
      <c r="F1741" s="17">
        <f t="shared" ca="1" si="83"/>
        <v>1</v>
      </c>
      <c r="H1741" s="17">
        <v>1732</v>
      </c>
      <c r="I1741" s="45">
        <v>0.6710096154624412</v>
      </c>
      <c r="J1741" s="45">
        <v>1.9262460491698268E-2</v>
      </c>
      <c r="K1741" s="45">
        <v>0.25140000000000001</v>
      </c>
      <c r="N1741" s="54"/>
    </row>
    <row r="1742" spans="2:14" x14ac:dyDescent="0.2">
      <c r="B1742">
        <v>1733</v>
      </c>
      <c r="C1742" s="52">
        <f t="shared" ca="1" si="84"/>
        <v>-2.0140155087331251</v>
      </c>
      <c r="D1742" s="52">
        <f ca="1">S0*EXP((μ-0.5*σ*σ)*T+σ*SQRT(T)*$C1742)</f>
        <v>0.36896647719094922</v>
      </c>
      <c r="E1742" s="52">
        <f t="shared" ca="1" si="82"/>
        <v>0.16543352280905077</v>
      </c>
      <c r="F1742" s="17">
        <f t="shared" ca="1" si="83"/>
        <v>1</v>
      </c>
      <c r="H1742" s="17">
        <v>1733</v>
      </c>
      <c r="I1742" s="45">
        <v>0.67112552229307998</v>
      </c>
      <c r="J1742" s="45">
        <v>1.920786561941001E-2</v>
      </c>
      <c r="K1742" s="45">
        <v>0.25059999999999999</v>
      </c>
      <c r="N1742" s="54"/>
    </row>
    <row r="1743" spans="2:14" x14ac:dyDescent="0.2">
      <c r="B1743">
        <v>1734</v>
      </c>
      <c r="C1743" s="52">
        <f t="shared" ca="1" si="84"/>
        <v>-0.43657561226599634</v>
      </c>
      <c r="D1743" s="52">
        <f ca="1">S0*EXP((μ-0.5*σ*σ)*T+σ*SQRT(T)*$C1743)</f>
        <v>0.57064167135792265</v>
      </c>
      <c r="E1743" s="52">
        <f t="shared" ca="1" si="82"/>
        <v>0</v>
      </c>
      <c r="F1743" s="17">
        <f t="shared" ca="1" si="83"/>
        <v>0</v>
      </c>
      <c r="H1743" s="17">
        <v>1734</v>
      </c>
      <c r="I1743" s="45">
        <v>0.67094821103008262</v>
      </c>
      <c r="J1743" s="45">
        <v>1.9065394653708885E-2</v>
      </c>
      <c r="K1743" s="45">
        <v>0.2462</v>
      </c>
      <c r="N1743" s="54"/>
    </row>
    <row r="1744" spans="2:14" x14ac:dyDescent="0.2">
      <c r="B1744">
        <v>1735</v>
      </c>
      <c r="C1744" s="52">
        <f t="shared" ca="1" si="84"/>
        <v>-1.646053390720525</v>
      </c>
      <c r="D1744" s="52">
        <f ca="1">S0*EXP((μ-0.5*σ*σ)*T+σ*SQRT(T)*$C1744)</f>
        <v>0.40847163918272755</v>
      </c>
      <c r="E1744" s="52">
        <f t="shared" ca="1" si="82"/>
        <v>0.12592836081727243</v>
      </c>
      <c r="F1744" s="17">
        <f t="shared" ca="1" si="83"/>
        <v>1</v>
      </c>
      <c r="H1744" s="17">
        <v>1735</v>
      </c>
      <c r="I1744" s="45">
        <v>0.6695780390281113</v>
      </c>
      <c r="J1744" s="45">
        <v>1.7996925294756171E-2</v>
      </c>
      <c r="K1744" s="45">
        <v>0.23719999999999999</v>
      </c>
      <c r="N1744" s="54"/>
    </row>
    <row r="1745" spans="2:14" x14ac:dyDescent="0.2">
      <c r="B1745">
        <v>1736</v>
      </c>
      <c r="C1745" s="52">
        <f t="shared" ca="1" si="84"/>
        <v>0.78339549244618822</v>
      </c>
      <c r="D1745" s="52">
        <f ca="1">S0*EXP((μ-0.5*σ*σ)*T+σ*SQRT(T)*$C1745)</f>
        <v>0.7995116830797564</v>
      </c>
      <c r="E1745" s="52">
        <f t="shared" ca="1" si="82"/>
        <v>0</v>
      </c>
      <c r="F1745" s="17">
        <f t="shared" ca="1" si="83"/>
        <v>0</v>
      </c>
      <c r="H1745" s="17">
        <v>1736</v>
      </c>
      <c r="I1745" s="45">
        <v>0.67114970116651851</v>
      </c>
      <c r="J1745" s="45">
        <v>1.9147746950342187E-2</v>
      </c>
      <c r="K1745" s="45">
        <v>0.24479999999999999</v>
      </c>
      <c r="N1745" s="54"/>
    </row>
    <row r="1746" spans="2:14" x14ac:dyDescent="0.2">
      <c r="B1746">
        <v>1737</v>
      </c>
      <c r="C1746" s="52">
        <f t="shared" ca="1" si="84"/>
        <v>-0.29650411723982739</v>
      </c>
      <c r="D1746" s="52">
        <f ca="1">S0*EXP((μ-0.5*σ*σ)*T+σ*SQRT(T)*$C1746)</f>
        <v>0.593170442760934</v>
      </c>
      <c r="E1746" s="52">
        <f t="shared" ca="1" si="82"/>
        <v>0</v>
      </c>
      <c r="F1746" s="17">
        <f t="shared" ca="1" si="83"/>
        <v>0</v>
      </c>
      <c r="H1746" s="17">
        <v>1737</v>
      </c>
      <c r="I1746" s="45">
        <v>0.67107551644668084</v>
      </c>
      <c r="J1746" s="45">
        <v>1.9061271393835837E-2</v>
      </c>
      <c r="K1746" s="45">
        <v>0.24279999999999999</v>
      </c>
      <c r="N1746" s="54"/>
    </row>
    <row r="1747" spans="2:14" x14ac:dyDescent="0.2">
      <c r="B1747">
        <v>1738</v>
      </c>
      <c r="C1747" s="52">
        <f t="shared" ca="1" si="84"/>
        <v>-0.64427146349257414</v>
      </c>
      <c r="D1747" s="52">
        <f ca="1">S0*EXP((μ-0.5*σ*σ)*T+σ*SQRT(T)*$C1747)</f>
        <v>0.53880168981563481</v>
      </c>
      <c r="E1747" s="52">
        <f t="shared" ca="1" si="82"/>
        <v>0</v>
      </c>
      <c r="F1747" s="17">
        <f t="shared" ca="1" si="83"/>
        <v>0</v>
      </c>
      <c r="H1747" s="17">
        <v>1738</v>
      </c>
      <c r="I1747" s="45">
        <v>0.67229073491528013</v>
      </c>
      <c r="J1747" s="45">
        <v>2.0414193885797426E-2</v>
      </c>
      <c r="K1747" s="45">
        <v>0.25900000000000001</v>
      </c>
      <c r="N1747" s="54"/>
    </row>
    <row r="1748" spans="2:14" x14ac:dyDescent="0.2">
      <c r="B1748">
        <v>1739</v>
      </c>
      <c r="C1748" s="52">
        <f t="shared" ca="1" si="84"/>
        <v>0.49891359150287057</v>
      </c>
      <c r="D1748" s="52">
        <f ca="1">S0*EXP((μ-0.5*σ*σ)*T+σ*SQRT(T)*$C1748)</f>
        <v>0.73904668958844877</v>
      </c>
      <c r="E1748" s="52">
        <f t="shared" ca="1" si="82"/>
        <v>0</v>
      </c>
      <c r="F1748" s="17">
        <f t="shared" ca="1" si="83"/>
        <v>0</v>
      </c>
      <c r="H1748" s="17">
        <v>1739</v>
      </c>
      <c r="I1748" s="45">
        <v>0.67115995785449056</v>
      </c>
      <c r="J1748" s="45">
        <v>1.9273917678093062E-2</v>
      </c>
      <c r="K1748" s="45">
        <v>0.252</v>
      </c>
      <c r="N1748" s="54"/>
    </row>
    <row r="1749" spans="2:14" x14ac:dyDescent="0.2">
      <c r="B1749">
        <v>1740</v>
      </c>
      <c r="C1749" s="52">
        <f t="shared" ca="1" si="84"/>
        <v>-0.14862909476973463</v>
      </c>
      <c r="D1749" s="52">
        <f ca="1">S0*EXP((μ-0.5*σ*σ)*T+σ*SQRT(T)*$C1749)</f>
        <v>0.61792015267908296</v>
      </c>
      <c r="E1749" s="52">
        <f t="shared" ca="1" si="82"/>
        <v>0</v>
      </c>
      <c r="F1749" s="17">
        <f t="shared" ca="1" si="83"/>
        <v>0</v>
      </c>
      <c r="H1749" s="17">
        <v>1740</v>
      </c>
      <c r="I1749" s="45">
        <v>0.67081603965718861</v>
      </c>
      <c r="J1749" s="45">
        <v>1.8798060701268934E-2</v>
      </c>
      <c r="K1749" s="45">
        <v>0.2472</v>
      </c>
      <c r="N1749" s="54"/>
    </row>
    <row r="1750" spans="2:14" x14ac:dyDescent="0.2">
      <c r="B1750">
        <v>1741</v>
      </c>
      <c r="C1750" s="52">
        <f t="shared" ca="1" si="84"/>
        <v>-1.9943731432660181</v>
      </c>
      <c r="D1750" s="52">
        <f ca="1">S0*EXP((μ-0.5*σ*σ)*T+σ*SQRT(T)*$C1750)</f>
        <v>0.37097533600994897</v>
      </c>
      <c r="E1750" s="52">
        <f t="shared" ca="1" si="82"/>
        <v>0.16342466399005101</v>
      </c>
      <c r="F1750" s="17">
        <f t="shared" ca="1" si="83"/>
        <v>1</v>
      </c>
      <c r="H1750" s="17">
        <v>1741</v>
      </c>
      <c r="I1750" s="45">
        <v>0.67022892867332939</v>
      </c>
      <c r="J1750" s="45">
        <v>1.8500678188000209E-2</v>
      </c>
      <c r="K1750" s="45">
        <v>0.24379999999999999</v>
      </c>
      <c r="N1750" s="54"/>
    </row>
    <row r="1751" spans="2:14" x14ac:dyDescent="0.2">
      <c r="B1751">
        <v>1742</v>
      </c>
      <c r="C1751" s="52">
        <f t="shared" ca="1" si="84"/>
        <v>-0.94213996803644362</v>
      </c>
      <c r="D1751" s="52">
        <f ca="1">S0*EXP((μ-0.5*σ*σ)*T+σ*SQRT(T)*$C1751)</f>
        <v>0.49621387904497249</v>
      </c>
      <c r="E1751" s="52">
        <f t="shared" ca="1" si="82"/>
        <v>3.8186120955027492E-2</v>
      </c>
      <c r="F1751" s="17">
        <f t="shared" ca="1" si="83"/>
        <v>1</v>
      </c>
      <c r="H1751" s="17">
        <v>1742</v>
      </c>
      <c r="I1751" s="45">
        <v>0.67079071853090255</v>
      </c>
      <c r="J1751" s="45">
        <v>1.8854864104567378E-2</v>
      </c>
      <c r="K1751" s="45">
        <v>0.25419999999999998</v>
      </c>
      <c r="N1751" s="54"/>
    </row>
    <row r="1752" spans="2:14" x14ac:dyDescent="0.2">
      <c r="B1752">
        <v>1743</v>
      </c>
      <c r="C1752" s="52">
        <f t="shared" ca="1" si="84"/>
        <v>-0.82487982465224929</v>
      </c>
      <c r="D1752" s="52">
        <f ca="1">S0*EXP((μ-0.5*σ*σ)*T+σ*SQRT(T)*$C1752)</f>
        <v>0.51256193764116453</v>
      </c>
      <c r="E1752" s="52">
        <f t="shared" ca="1" si="82"/>
        <v>2.1838062358835453E-2</v>
      </c>
      <c r="F1752" s="17">
        <f t="shared" ca="1" si="83"/>
        <v>1</v>
      </c>
      <c r="H1752" s="17">
        <v>1743</v>
      </c>
      <c r="I1752" s="45">
        <v>0.67100134094262665</v>
      </c>
      <c r="J1752" s="45">
        <v>1.9118054481848522E-2</v>
      </c>
      <c r="K1752" s="45">
        <v>0.24859999999999999</v>
      </c>
      <c r="N1752" s="54"/>
    </row>
    <row r="1753" spans="2:14" x14ac:dyDescent="0.2">
      <c r="B1753">
        <v>1744</v>
      </c>
      <c r="C1753" s="52">
        <f t="shared" ca="1" si="84"/>
        <v>1.808682691716601</v>
      </c>
      <c r="D1753" s="52">
        <f ca="1">S0*EXP((μ-0.5*σ*σ)*T+σ*SQRT(T)*$C1753)</f>
        <v>1.0614846943955283</v>
      </c>
      <c r="E1753" s="52">
        <f t="shared" ca="1" si="82"/>
        <v>0</v>
      </c>
      <c r="F1753" s="17">
        <f t="shared" ca="1" si="83"/>
        <v>0</v>
      </c>
      <c r="H1753" s="17">
        <v>1744</v>
      </c>
      <c r="I1753" s="45">
        <v>0.67138396473137429</v>
      </c>
      <c r="J1753" s="45">
        <v>1.9505449222681489E-2</v>
      </c>
      <c r="K1753" s="45">
        <v>0.25259999999999999</v>
      </c>
      <c r="N1753" s="54"/>
    </row>
    <row r="1754" spans="2:14" x14ac:dyDescent="0.2">
      <c r="B1754">
        <v>1745</v>
      </c>
      <c r="C1754" s="52">
        <f t="shared" ca="1" si="84"/>
        <v>-0.76173607954335398</v>
      </c>
      <c r="D1754" s="52">
        <f ca="1">S0*EXP((μ-0.5*σ*σ)*T+σ*SQRT(T)*$C1754)</f>
        <v>0.52158723721582922</v>
      </c>
      <c r="E1754" s="52">
        <f t="shared" ca="1" si="82"/>
        <v>1.2812762784170761E-2</v>
      </c>
      <c r="F1754" s="17">
        <f t="shared" ca="1" si="83"/>
        <v>1</v>
      </c>
      <c r="H1754" s="17">
        <v>1745</v>
      </c>
      <c r="I1754" s="45">
        <v>0.67162991480450307</v>
      </c>
      <c r="J1754" s="45">
        <v>1.937455962908937E-2</v>
      </c>
      <c r="K1754" s="45">
        <v>0.249</v>
      </c>
      <c r="N1754" s="54"/>
    </row>
    <row r="1755" spans="2:14" x14ac:dyDescent="0.2">
      <c r="B1755">
        <v>1746</v>
      </c>
      <c r="C1755" s="52">
        <f t="shared" ca="1" si="84"/>
        <v>-2.0412656797609459</v>
      </c>
      <c r="D1755" s="52">
        <f ca="1">S0*EXP((μ-0.5*σ*σ)*T+σ*SQRT(T)*$C1755)</f>
        <v>0.36619755624394851</v>
      </c>
      <c r="E1755" s="52">
        <f t="shared" ca="1" si="82"/>
        <v>0.16820244375605148</v>
      </c>
      <c r="F1755" s="17">
        <f t="shared" ca="1" si="83"/>
        <v>1</v>
      </c>
      <c r="H1755" s="17">
        <v>1746</v>
      </c>
      <c r="I1755" s="45">
        <v>0.67046936721605155</v>
      </c>
      <c r="J1755" s="45">
        <v>1.839816586328483E-2</v>
      </c>
      <c r="K1755" s="45">
        <v>0.2392</v>
      </c>
      <c r="N1755" s="54"/>
    </row>
    <row r="1756" spans="2:14" x14ac:dyDescent="0.2">
      <c r="B1756">
        <v>1747</v>
      </c>
      <c r="C1756" s="52">
        <f t="shared" ca="1" si="84"/>
        <v>1.613139342979226</v>
      </c>
      <c r="D1756" s="52">
        <f ca="1">S0*EXP((μ-0.5*σ*σ)*T+σ*SQRT(T)*$C1756)</f>
        <v>1.0056298321954025</v>
      </c>
      <c r="E1756" s="52">
        <f t="shared" ca="1" si="82"/>
        <v>0</v>
      </c>
      <c r="F1756" s="17">
        <f t="shared" ca="1" si="83"/>
        <v>0</v>
      </c>
      <c r="H1756" s="17">
        <v>1747</v>
      </c>
      <c r="I1756" s="45">
        <v>0.67053472092006183</v>
      </c>
      <c r="J1756" s="45">
        <v>1.8515821658116122E-2</v>
      </c>
      <c r="K1756" s="45">
        <v>0.24759999999999999</v>
      </c>
      <c r="N1756" s="54"/>
    </row>
    <row r="1757" spans="2:14" x14ac:dyDescent="0.2">
      <c r="B1757">
        <v>1748</v>
      </c>
      <c r="C1757" s="52">
        <f t="shared" ca="1" si="84"/>
        <v>-0.14134445460455111</v>
      </c>
      <c r="D1757" s="52">
        <f ca="1">S0*EXP((μ-0.5*σ*σ)*T+σ*SQRT(T)*$C1757)</f>
        <v>0.61916571921175612</v>
      </c>
      <c r="E1757" s="52">
        <f t="shared" ca="1" si="82"/>
        <v>0</v>
      </c>
      <c r="F1757" s="17">
        <f t="shared" ca="1" si="83"/>
        <v>0</v>
      </c>
      <c r="H1757" s="17">
        <v>1748</v>
      </c>
      <c r="I1757" s="45">
        <v>0.67240791613808037</v>
      </c>
      <c r="J1757" s="45">
        <v>2.0223337615326329E-2</v>
      </c>
      <c r="K1757" s="45">
        <v>0.25140000000000001</v>
      </c>
      <c r="N1757" s="54"/>
    </row>
    <row r="1758" spans="2:14" x14ac:dyDescent="0.2">
      <c r="B1758">
        <v>1749</v>
      </c>
      <c r="C1758" s="52">
        <f t="shared" ca="1" si="84"/>
        <v>1.028716460840801</v>
      </c>
      <c r="D1758" s="52">
        <f ca="1">S0*EXP((μ-0.5*σ*σ)*T+σ*SQRT(T)*$C1758)</f>
        <v>0.85561100285349412</v>
      </c>
      <c r="E1758" s="52">
        <f t="shared" ca="1" si="82"/>
        <v>0</v>
      </c>
      <c r="F1758" s="17">
        <f t="shared" ca="1" si="83"/>
        <v>0</v>
      </c>
      <c r="H1758" s="17">
        <v>1749</v>
      </c>
      <c r="I1758" s="45">
        <v>0.67138912022538777</v>
      </c>
      <c r="J1758" s="45">
        <v>1.9054191573958365E-2</v>
      </c>
      <c r="K1758" s="45">
        <v>0.24540000000000001</v>
      </c>
      <c r="N1758" s="54"/>
    </row>
    <row r="1759" spans="2:14" x14ac:dyDescent="0.2">
      <c r="B1759">
        <v>1750</v>
      </c>
      <c r="C1759" s="52">
        <f t="shared" ca="1" si="84"/>
        <v>3.6539829279747832E-2</v>
      </c>
      <c r="D1759" s="52">
        <f ca="1">S0*EXP((μ-0.5*σ*σ)*T+σ*SQRT(T)*$C1759)</f>
        <v>0.65037294333551121</v>
      </c>
      <c r="E1759" s="52">
        <f t="shared" ca="1" si="82"/>
        <v>0</v>
      </c>
      <c r="F1759" s="17">
        <f t="shared" ca="1" si="83"/>
        <v>0</v>
      </c>
      <c r="H1759" s="17">
        <v>1750</v>
      </c>
      <c r="I1759" s="45">
        <v>0.67049116864544744</v>
      </c>
      <c r="J1759" s="45">
        <v>1.8776313542581569E-2</v>
      </c>
      <c r="K1759" s="45">
        <v>0.25319999999999998</v>
      </c>
      <c r="N1759" s="54"/>
    </row>
    <row r="1760" spans="2:14" x14ac:dyDescent="0.2">
      <c r="B1760">
        <v>1751</v>
      </c>
      <c r="C1760" s="52">
        <f t="shared" ca="1" si="84"/>
        <v>-0.14518764268443052</v>
      </c>
      <c r="D1760" s="52">
        <f ca="1">S0*EXP((μ-0.5*σ*σ)*T+σ*SQRT(T)*$C1760)</f>
        <v>0.6185082778994585</v>
      </c>
      <c r="E1760" s="52">
        <f t="shared" ca="1" si="82"/>
        <v>0</v>
      </c>
      <c r="F1760" s="17">
        <f t="shared" ca="1" si="83"/>
        <v>0</v>
      </c>
      <c r="H1760" s="17">
        <v>1751</v>
      </c>
      <c r="I1760" s="45">
        <v>0.67126537538810371</v>
      </c>
      <c r="J1760" s="45">
        <v>1.9545759452153266E-2</v>
      </c>
      <c r="K1760" s="45">
        <v>0.25679999999999997</v>
      </c>
      <c r="N1760" s="54"/>
    </row>
    <row r="1761" spans="2:14" x14ac:dyDescent="0.2">
      <c r="B1761">
        <v>1752</v>
      </c>
      <c r="C1761" s="52">
        <f t="shared" ca="1" si="84"/>
        <v>-0.98951194958462263</v>
      </c>
      <c r="D1761" s="52">
        <f ca="1">S0*EXP((μ-0.5*σ*σ)*T+σ*SQRT(T)*$C1761)</f>
        <v>0.48975824197591994</v>
      </c>
      <c r="E1761" s="52">
        <f t="shared" ca="1" si="82"/>
        <v>4.4641758024080047E-2</v>
      </c>
      <c r="F1761" s="17">
        <f t="shared" ca="1" si="83"/>
        <v>1</v>
      </c>
      <c r="H1761" s="17">
        <v>1752</v>
      </c>
      <c r="I1761" s="45">
        <v>0.67066303644738001</v>
      </c>
      <c r="J1761" s="45">
        <v>1.9005467378966974E-2</v>
      </c>
      <c r="K1761" s="45">
        <v>0.24779999999999999</v>
      </c>
      <c r="N1761" s="54"/>
    </row>
    <row r="1762" spans="2:14" x14ac:dyDescent="0.2">
      <c r="B1762">
        <v>1753</v>
      </c>
      <c r="C1762" s="52">
        <f t="shared" ca="1" si="84"/>
        <v>0.31558348819890453</v>
      </c>
      <c r="D1762" s="52">
        <f ca="1">S0*EXP((μ-0.5*σ*σ)*T+σ*SQRT(T)*$C1762)</f>
        <v>0.70252620092524565</v>
      </c>
      <c r="E1762" s="52">
        <f t="shared" ca="1" si="82"/>
        <v>0</v>
      </c>
      <c r="F1762" s="17">
        <f t="shared" ca="1" si="83"/>
        <v>0</v>
      </c>
      <c r="H1762" s="17">
        <v>1753</v>
      </c>
      <c r="I1762" s="45">
        <v>0.67104308860307782</v>
      </c>
      <c r="J1762" s="45">
        <v>1.907847089508612E-2</v>
      </c>
      <c r="K1762" s="45">
        <v>0.24759999999999999</v>
      </c>
      <c r="N1762" s="54"/>
    </row>
    <row r="1763" spans="2:14" x14ac:dyDescent="0.2">
      <c r="B1763">
        <v>1754</v>
      </c>
      <c r="C1763" s="52">
        <f t="shared" ca="1" si="84"/>
        <v>-1.6324014225207399</v>
      </c>
      <c r="D1763" s="52">
        <f ca="1">S0*EXP((μ-0.5*σ*σ)*T+σ*SQRT(T)*$C1763)</f>
        <v>0.41001606138529412</v>
      </c>
      <c r="E1763" s="52">
        <f t="shared" ca="1" si="82"/>
        <v>0.12438393861470587</v>
      </c>
      <c r="F1763" s="17">
        <f t="shared" ca="1" si="83"/>
        <v>1</v>
      </c>
      <c r="H1763" s="17">
        <v>1754</v>
      </c>
      <c r="I1763" s="45">
        <v>0.67027455469166508</v>
      </c>
      <c r="J1763" s="45">
        <v>1.8542651504062091E-2</v>
      </c>
      <c r="K1763" s="45">
        <v>0.247</v>
      </c>
      <c r="N1763" s="54"/>
    </row>
    <row r="1764" spans="2:14" x14ac:dyDescent="0.2">
      <c r="B1764">
        <v>1755</v>
      </c>
      <c r="C1764" s="52">
        <f t="shared" ca="1" si="84"/>
        <v>6.8324726436125763E-2</v>
      </c>
      <c r="D1764" s="52">
        <f ca="1">S0*EXP((μ-0.5*σ*σ)*T+σ*SQRT(T)*$C1764)</f>
        <v>0.65611254473636571</v>
      </c>
      <c r="E1764" s="52">
        <f t="shared" ca="1" si="82"/>
        <v>0</v>
      </c>
      <c r="F1764" s="17">
        <f t="shared" ca="1" si="83"/>
        <v>0</v>
      </c>
      <c r="H1764" s="17">
        <v>1755</v>
      </c>
      <c r="I1764" s="45">
        <v>0.67037642020801391</v>
      </c>
      <c r="J1764" s="45">
        <v>1.881968469477549E-2</v>
      </c>
      <c r="K1764" s="45">
        <v>0.25140000000000001</v>
      </c>
      <c r="N1764" s="54"/>
    </row>
    <row r="1765" spans="2:14" x14ac:dyDescent="0.2">
      <c r="B1765">
        <v>1756</v>
      </c>
      <c r="C1765" s="52">
        <f t="shared" ca="1" si="84"/>
        <v>0.73111179285720473</v>
      </c>
      <c r="D1765" s="52">
        <f ca="1">S0*EXP((μ-0.5*σ*σ)*T+σ*SQRT(T)*$C1765)</f>
        <v>0.78803951196123179</v>
      </c>
      <c r="E1765" s="52">
        <f t="shared" ca="1" si="82"/>
        <v>0</v>
      </c>
      <c r="F1765" s="17">
        <f t="shared" ca="1" si="83"/>
        <v>0</v>
      </c>
      <c r="H1765" s="17">
        <v>1756</v>
      </c>
      <c r="I1765" s="45">
        <v>0.67049375630165442</v>
      </c>
      <c r="J1765" s="45">
        <v>1.8691459268614968E-2</v>
      </c>
      <c r="K1765" s="45">
        <v>0.248</v>
      </c>
      <c r="N1765" s="54"/>
    </row>
    <row r="1766" spans="2:14" x14ac:dyDescent="0.2">
      <c r="B1766">
        <v>1757</v>
      </c>
      <c r="C1766" s="52">
        <f t="shared" ca="1" si="84"/>
        <v>-1.5791259667854605</v>
      </c>
      <c r="D1766" s="52">
        <f ca="1">S0*EXP((μ-0.5*σ*σ)*T+σ*SQRT(T)*$C1766)</f>
        <v>0.41609907840730909</v>
      </c>
      <c r="E1766" s="52">
        <f t="shared" ca="1" si="82"/>
        <v>0.1183009215926909</v>
      </c>
      <c r="F1766" s="17">
        <f t="shared" ca="1" si="83"/>
        <v>1</v>
      </c>
      <c r="H1766" s="17">
        <v>1757</v>
      </c>
      <c r="I1766" s="45">
        <v>0.67045508921842434</v>
      </c>
      <c r="J1766" s="45">
        <v>1.8445091100414906E-2</v>
      </c>
      <c r="K1766" s="45">
        <v>0.2394</v>
      </c>
      <c r="N1766" s="54"/>
    </row>
    <row r="1767" spans="2:14" x14ac:dyDescent="0.2">
      <c r="B1767">
        <v>1758</v>
      </c>
      <c r="C1767" s="52">
        <f t="shared" ca="1" si="84"/>
        <v>0.95586994337408371</v>
      </c>
      <c r="D1767" s="52">
        <f ca="1">S0*EXP((μ-0.5*σ*σ)*T+σ*SQRT(T)*$C1767)</f>
        <v>0.83855375777836305</v>
      </c>
      <c r="E1767" s="52">
        <f t="shared" ca="1" si="82"/>
        <v>0</v>
      </c>
      <c r="F1767" s="17">
        <f t="shared" ca="1" si="83"/>
        <v>0</v>
      </c>
      <c r="H1767" s="17">
        <v>1758</v>
      </c>
      <c r="I1767" s="45">
        <v>0.67118436718912677</v>
      </c>
      <c r="J1767" s="45">
        <v>1.9343188717861587E-2</v>
      </c>
      <c r="K1767" s="45">
        <v>0.25119999999999998</v>
      </c>
      <c r="N1767" s="54"/>
    </row>
    <row r="1768" spans="2:14" x14ac:dyDescent="0.2">
      <c r="B1768">
        <v>1759</v>
      </c>
      <c r="C1768" s="52">
        <f t="shared" ca="1" si="84"/>
        <v>-1.2402127033278469</v>
      </c>
      <c r="D1768" s="52">
        <f ca="1">S0*EXP((μ-0.5*σ*σ)*T+σ*SQRT(T)*$C1768)</f>
        <v>0.45696648273104151</v>
      </c>
      <c r="E1768" s="52">
        <f t="shared" ca="1" si="82"/>
        <v>7.7433517268958474E-2</v>
      </c>
      <c r="F1768" s="17">
        <f t="shared" ca="1" si="83"/>
        <v>1</v>
      </c>
      <c r="H1768" s="17">
        <v>1759</v>
      </c>
      <c r="I1768" s="45">
        <v>0.67198589149275412</v>
      </c>
      <c r="J1768" s="45">
        <v>1.983664069059304E-2</v>
      </c>
      <c r="K1768" s="45">
        <v>0.24779999999999999</v>
      </c>
      <c r="N1768" s="54"/>
    </row>
    <row r="1769" spans="2:14" x14ac:dyDescent="0.2">
      <c r="B1769">
        <v>1760</v>
      </c>
      <c r="C1769" s="52">
        <f t="shared" ca="1" si="84"/>
        <v>-1.201868844219373</v>
      </c>
      <c r="D1769" s="52">
        <f ca="1">S0*EXP((μ-0.5*σ*σ)*T+σ*SQRT(T)*$C1769)</f>
        <v>0.46183585492989759</v>
      </c>
      <c r="E1769" s="52">
        <f t="shared" ca="1" si="82"/>
        <v>7.2564145070102393E-2</v>
      </c>
      <c r="F1769" s="17">
        <f t="shared" ca="1" si="83"/>
        <v>1</v>
      </c>
      <c r="H1769" s="17">
        <v>1760</v>
      </c>
      <c r="I1769" s="45">
        <v>0.66960572105795702</v>
      </c>
      <c r="J1769" s="45">
        <v>1.8042775313328163E-2</v>
      </c>
      <c r="K1769" s="45">
        <v>0.24479999999999999</v>
      </c>
      <c r="N1769" s="54"/>
    </row>
    <row r="1770" spans="2:14" x14ac:dyDescent="0.2">
      <c r="B1770">
        <v>1761</v>
      </c>
      <c r="C1770" s="52">
        <f t="shared" ca="1" si="84"/>
        <v>0.88742790519379089</v>
      </c>
      <c r="D1770" s="52">
        <f ca="1">S0*EXP((μ-0.5*σ*σ)*T+σ*SQRT(T)*$C1770)</f>
        <v>0.82283779096994647</v>
      </c>
      <c r="E1770" s="52">
        <f t="shared" ca="1" si="82"/>
        <v>0</v>
      </c>
      <c r="F1770" s="17">
        <f t="shared" ca="1" si="83"/>
        <v>0</v>
      </c>
      <c r="H1770" s="17">
        <v>1761</v>
      </c>
      <c r="I1770" s="45">
        <v>0.66939279840042587</v>
      </c>
      <c r="J1770" s="45">
        <v>1.7923398740407281E-2</v>
      </c>
      <c r="K1770" s="45">
        <v>0.2392</v>
      </c>
      <c r="N1770" s="54"/>
    </row>
    <row r="1771" spans="2:14" x14ac:dyDescent="0.2">
      <c r="B1771">
        <v>1762</v>
      </c>
      <c r="C1771" s="52">
        <f t="shared" ca="1" si="84"/>
        <v>-0.6129313822400253</v>
      </c>
      <c r="D1771" s="52">
        <f ca="1">S0*EXP((μ-0.5*σ*σ)*T+σ*SQRT(T)*$C1771)</f>
        <v>0.54348983210474189</v>
      </c>
      <c r="E1771" s="52">
        <f t="shared" ca="1" si="82"/>
        <v>0</v>
      </c>
      <c r="F1771" s="17">
        <f t="shared" ca="1" si="83"/>
        <v>0</v>
      </c>
      <c r="H1771" s="17">
        <v>1762</v>
      </c>
      <c r="I1771" s="45">
        <v>0.67137869330605071</v>
      </c>
      <c r="J1771" s="45">
        <v>1.940243331683203E-2</v>
      </c>
      <c r="K1771" s="45">
        <v>0.24840000000000001</v>
      </c>
      <c r="N1771" s="54"/>
    </row>
    <row r="1772" spans="2:14" x14ac:dyDescent="0.2">
      <c r="B1772">
        <v>1763</v>
      </c>
      <c r="C1772" s="52">
        <f t="shared" ca="1" si="84"/>
        <v>0.6445219743128271</v>
      </c>
      <c r="D1772" s="52">
        <f ca="1">S0*EXP((μ-0.5*σ*σ)*T+σ*SQRT(T)*$C1772)</f>
        <v>0.76940076880388564</v>
      </c>
      <c r="E1772" s="52">
        <f t="shared" ca="1" si="82"/>
        <v>0</v>
      </c>
      <c r="F1772" s="17">
        <f t="shared" ca="1" si="83"/>
        <v>0</v>
      </c>
      <c r="H1772" s="17">
        <v>1763</v>
      </c>
      <c r="I1772" s="45">
        <v>0.67193712415008588</v>
      </c>
      <c r="J1772" s="45">
        <v>1.9685666198323962E-2</v>
      </c>
      <c r="K1772" s="45">
        <v>0.255</v>
      </c>
      <c r="N1772" s="54"/>
    </row>
    <row r="1773" spans="2:14" x14ac:dyDescent="0.2">
      <c r="B1773">
        <v>1764</v>
      </c>
      <c r="C1773" s="52">
        <f t="shared" ca="1" si="84"/>
        <v>-0.21571202250719471</v>
      </c>
      <c r="D1773" s="52">
        <f ca="1">S0*EXP((μ-0.5*σ*σ)*T+σ*SQRT(T)*$C1773)</f>
        <v>0.60656709210085002</v>
      </c>
      <c r="E1773" s="52">
        <f t="shared" ca="1" si="82"/>
        <v>0</v>
      </c>
      <c r="F1773" s="17">
        <f t="shared" ca="1" si="83"/>
        <v>0</v>
      </c>
      <c r="H1773" s="17">
        <v>1764</v>
      </c>
      <c r="I1773" s="45">
        <v>0.67123565686209108</v>
      </c>
      <c r="J1773" s="45">
        <v>1.9340001892580578E-2</v>
      </c>
      <c r="K1773" s="45">
        <v>0.247</v>
      </c>
      <c r="N1773" s="54"/>
    </row>
    <row r="1774" spans="2:14" x14ac:dyDescent="0.2">
      <c r="B1774">
        <v>1765</v>
      </c>
      <c r="C1774" s="52">
        <f t="shared" ca="1" si="84"/>
        <v>-0.5827994894963936</v>
      </c>
      <c r="D1774" s="52">
        <f ca="1">S0*EXP((μ-0.5*σ*σ)*T+σ*SQRT(T)*$C1774)</f>
        <v>0.54803570122127399</v>
      </c>
      <c r="E1774" s="52">
        <f t="shared" ca="1" si="82"/>
        <v>0</v>
      </c>
      <c r="F1774" s="17">
        <f t="shared" ca="1" si="83"/>
        <v>0</v>
      </c>
      <c r="H1774" s="17">
        <v>1765</v>
      </c>
      <c r="I1774" s="45">
        <v>0.67130352849353847</v>
      </c>
      <c r="J1774" s="45">
        <v>1.9227057467055313E-2</v>
      </c>
      <c r="K1774" s="45">
        <v>0.24460000000000001</v>
      </c>
      <c r="N1774" s="54"/>
    </row>
    <row r="1775" spans="2:14" x14ac:dyDescent="0.2">
      <c r="B1775">
        <v>1766</v>
      </c>
      <c r="C1775" s="52">
        <f t="shared" ca="1" si="84"/>
        <v>-6.1291564746691611E-2</v>
      </c>
      <c r="D1775" s="52">
        <f ca="1">S0*EXP((μ-0.5*σ*σ)*T+σ*SQRT(T)*$C1775)</f>
        <v>0.63302010255411645</v>
      </c>
      <c r="E1775" s="52">
        <f t="shared" ca="1" si="82"/>
        <v>0</v>
      </c>
      <c r="F1775" s="17">
        <f t="shared" ca="1" si="83"/>
        <v>0</v>
      </c>
      <c r="H1775" s="17">
        <v>1766</v>
      </c>
      <c r="I1775" s="45">
        <v>0.67173404599058095</v>
      </c>
      <c r="J1775" s="45">
        <v>1.9456213388210859E-2</v>
      </c>
      <c r="K1775" s="45">
        <v>0.24879999999999999</v>
      </c>
      <c r="N1775" s="54"/>
    </row>
    <row r="1776" spans="2:14" x14ac:dyDescent="0.2">
      <c r="B1776">
        <v>1767</v>
      </c>
      <c r="C1776" s="52">
        <f t="shared" ca="1" si="84"/>
        <v>-5.951026968846445E-2</v>
      </c>
      <c r="D1776" s="52">
        <f ca="1">S0*EXP((μ-0.5*σ*σ)*T+σ*SQRT(T)*$C1776)</f>
        <v>0.63333188338943647</v>
      </c>
      <c r="E1776" s="52">
        <f t="shared" ca="1" si="82"/>
        <v>0</v>
      </c>
      <c r="F1776" s="17">
        <f t="shared" ca="1" si="83"/>
        <v>0</v>
      </c>
      <c r="H1776" s="17">
        <v>1767</v>
      </c>
      <c r="I1776" s="45">
        <v>0.67090680002522918</v>
      </c>
      <c r="J1776" s="45">
        <v>1.8773175777474255E-2</v>
      </c>
      <c r="K1776" s="45">
        <v>0.25119999999999998</v>
      </c>
      <c r="N1776" s="54"/>
    </row>
    <row r="1777" spans="2:14" x14ac:dyDescent="0.2">
      <c r="B1777">
        <v>1768</v>
      </c>
      <c r="C1777" s="52">
        <f t="shared" ca="1" si="84"/>
        <v>2.3135271658599308</v>
      </c>
      <c r="D1777" s="52">
        <f ca="1">S0*EXP((μ-0.5*σ*σ)*T+σ*SQRT(T)*$C1777)</f>
        <v>1.2204553293260993</v>
      </c>
      <c r="E1777" s="52">
        <f t="shared" ca="1" si="82"/>
        <v>0</v>
      </c>
      <c r="F1777" s="17">
        <f t="shared" ca="1" si="83"/>
        <v>0</v>
      </c>
      <c r="H1777" s="17">
        <v>1768</v>
      </c>
      <c r="I1777" s="45">
        <v>0.67154570734189711</v>
      </c>
      <c r="J1777" s="45">
        <v>1.9374015239506086E-2</v>
      </c>
      <c r="K1777" s="45">
        <v>0.25019999999999998</v>
      </c>
      <c r="N1777" s="54"/>
    </row>
    <row r="1778" spans="2:14" x14ac:dyDescent="0.2">
      <c r="B1778">
        <v>1769</v>
      </c>
      <c r="C1778" s="52">
        <f t="shared" ca="1" si="84"/>
        <v>0.23681125433058639</v>
      </c>
      <c r="D1778" s="52">
        <f ca="1">S0*EXP((μ-0.5*σ*σ)*T+σ*SQRT(T)*$C1778)</f>
        <v>0.68739390019368085</v>
      </c>
      <c r="E1778" s="52">
        <f t="shared" ca="1" si="82"/>
        <v>0</v>
      </c>
      <c r="F1778" s="17">
        <f t="shared" ca="1" si="83"/>
        <v>0</v>
      </c>
      <c r="H1778" s="17">
        <v>1769</v>
      </c>
      <c r="I1778" s="45">
        <v>0.67125606300015483</v>
      </c>
      <c r="J1778" s="45">
        <v>1.9291374992166321E-2</v>
      </c>
      <c r="K1778" s="45">
        <v>0.24399999999999999</v>
      </c>
      <c r="N1778" s="54"/>
    </row>
    <row r="1779" spans="2:14" x14ac:dyDescent="0.2">
      <c r="B1779">
        <v>1770</v>
      </c>
      <c r="C1779" s="52">
        <f t="shared" ca="1" si="84"/>
        <v>0.20871473764390966</v>
      </c>
      <c r="D1779" s="52">
        <f ca="1">S0*EXP((μ-0.5*σ*σ)*T+σ*SQRT(T)*$C1779)</f>
        <v>0.68207573490493045</v>
      </c>
      <c r="E1779" s="52">
        <f t="shared" ca="1" si="82"/>
        <v>0</v>
      </c>
      <c r="F1779" s="17">
        <f t="shared" ca="1" si="83"/>
        <v>0</v>
      </c>
      <c r="H1779" s="17">
        <v>1770</v>
      </c>
      <c r="I1779" s="45">
        <v>0.67032150227711218</v>
      </c>
      <c r="J1779" s="45">
        <v>1.8522362417917448E-2</v>
      </c>
      <c r="K1779" s="45">
        <v>0.24179999999999999</v>
      </c>
      <c r="N1779" s="54"/>
    </row>
    <row r="1780" spans="2:14" x14ac:dyDescent="0.2">
      <c r="B1780">
        <v>1771</v>
      </c>
      <c r="C1780" s="52">
        <f t="shared" ca="1" si="84"/>
        <v>1.3252429969141526</v>
      </c>
      <c r="D1780" s="52">
        <f ca="1">S0*EXP((μ-0.5*σ*σ)*T+σ*SQRT(T)*$C1780)</f>
        <v>0.92869967838420187</v>
      </c>
      <c r="E1780" s="52">
        <f t="shared" ca="1" si="82"/>
        <v>0</v>
      </c>
      <c r="F1780" s="17">
        <f t="shared" ca="1" si="83"/>
        <v>0</v>
      </c>
      <c r="H1780" s="17">
        <v>1771</v>
      </c>
      <c r="I1780" s="45">
        <v>0.66997062729039403</v>
      </c>
      <c r="J1780" s="45">
        <v>1.8118611277346749E-2</v>
      </c>
      <c r="K1780" s="45">
        <v>0.23799999999999999</v>
      </c>
      <c r="N1780" s="54"/>
    </row>
    <row r="1781" spans="2:14" x14ac:dyDescent="0.2">
      <c r="B1781">
        <v>1772</v>
      </c>
      <c r="C1781" s="52">
        <f t="shared" ca="1" si="84"/>
        <v>-0.52338229794663516</v>
      </c>
      <c r="D1781" s="52">
        <f ca="1">S0*EXP((μ-0.5*σ*σ)*T+σ*SQRT(T)*$C1781)</f>
        <v>0.55711143158023912</v>
      </c>
      <c r="E1781" s="52">
        <f t="shared" ca="1" si="82"/>
        <v>0</v>
      </c>
      <c r="F1781" s="17">
        <f t="shared" ca="1" si="83"/>
        <v>0</v>
      </c>
      <c r="H1781" s="17">
        <v>1772</v>
      </c>
      <c r="I1781" s="45">
        <v>0.67150103662299776</v>
      </c>
      <c r="J1781" s="45">
        <v>1.9525196738808551E-2</v>
      </c>
      <c r="K1781" s="45">
        <v>0.25240000000000001</v>
      </c>
      <c r="N1781" s="54"/>
    </row>
    <row r="1782" spans="2:14" x14ac:dyDescent="0.2">
      <c r="B1782">
        <v>1773</v>
      </c>
      <c r="C1782" s="52">
        <f t="shared" ca="1" si="84"/>
        <v>0.82332185229667254</v>
      </c>
      <c r="D1782" s="52">
        <f ca="1">S0*EXP((μ-0.5*σ*σ)*T+σ*SQRT(T)*$C1782)</f>
        <v>0.80838472430192798</v>
      </c>
      <c r="E1782" s="52">
        <f t="shared" ca="1" si="82"/>
        <v>0</v>
      </c>
      <c r="F1782" s="17">
        <f t="shared" ca="1" si="83"/>
        <v>0</v>
      </c>
      <c r="H1782" s="17">
        <v>1773</v>
      </c>
      <c r="I1782" s="45">
        <v>0.67073103657509459</v>
      </c>
      <c r="J1782" s="45">
        <v>1.8850418087814357E-2</v>
      </c>
      <c r="K1782" s="45">
        <v>0.25040000000000001</v>
      </c>
      <c r="N1782" s="54"/>
    </row>
    <row r="1783" spans="2:14" x14ac:dyDescent="0.2">
      <c r="B1783">
        <v>1774</v>
      </c>
      <c r="C1783" s="52">
        <f t="shared" ca="1" si="84"/>
        <v>0.68252915469022191</v>
      </c>
      <c r="D1783" s="52">
        <f ca="1">S0*EXP((μ-0.5*σ*σ)*T+σ*SQRT(T)*$C1783)</f>
        <v>0.77752703093644182</v>
      </c>
      <c r="E1783" s="52">
        <f t="shared" ca="1" si="82"/>
        <v>0</v>
      </c>
      <c r="F1783" s="17">
        <f t="shared" ca="1" si="83"/>
        <v>0</v>
      </c>
      <c r="H1783" s="17">
        <v>1774</v>
      </c>
      <c r="I1783" s="45">
        <v>0.67156258641910505</v>
      </c>
      <c r="J1783" s="45">
        <v>1.9331780004955498E-2</v>
      </c>
      <c r="K1783" s="45">
        <v>0.24340000000000001</v>
      </c>
      <c r="N1783" s="54"/>
    </row>
    <row r="1784" spans="2:14" x14ac:dyDescent="0.2">
      <c r="B1784">
        <v>1775</v>
      </c>
      <c r="C1784" s="52">
        <f t="shared" ca="1" si="84"/>
        <v>0.62450972100938695</v>
      </c>
      <c r="D1784" s="52">
        <f ca="1">S0*EXP((μ-0.5*σ*σ)*T+σ*SQRT(T)*$C1784)</f>
        <v>0.7651561663949844</v>
      </c>
      <c r="E1784" s="52">
        <f t="shared" ca="1" si="82"/>
        <v>0</v>
      </c>
      <c r="F1784" s="17">
        <f t="shared" ca="1" si="83"/>
        <v>0</v>
      </c>
      <c r="H1784" s="17">
        <v>1775</v>
      </c>
      <c r="I1784" s="45">
        <v>0.67057205976499468</v>
      </c>
      <c r="J1784" s="45">
        <v>1.8651436795460961E-2</v>
      </c>
      <c r="K1784" s="45">
        <v>0.2482</v>
      </c>
      <c r="N1784" s="54"/>
    </row>
    <row r="1785" spans="2:14" x14ac:dyDescent="0.2">
      <c r="B1785">
        <v>1776</v>
      </c>
      <c r="C1785" s="52">
        <f t="shared" ca="1" si="84"/>
        <v>-1.6124003907096947</v>
      </c>
      <c r="D1785" s="52">
        <f ca="1">S0*EXP((μ-0.5*σ*σ)*T+σ*SQRT(T)*$C1785)</f>
        <v>0.4122892922194149</v>
      </c>
      <c r="E1785" s="52">
        <f t="shared" ca="1" si="82"/>
        <v>0.12211070778058508</v>
      </c>
      <c r="F1785" s="17">
        <f t="shared" ca="1" si="83"/>
        <v>1</v>
      </c>
      <c r="H1785" s="17">
        <v>1776</v>
      </c>
      <c r="I1785" s="45">
        <v>0.67114316350099246</v>
      </c>
      <c r="J1785" s="45">
        <v>1.9036201156955875E-2</v>
      </c>
      <c r="K1785" s="45">
        <v>0.2492</v>
      </c>
      <c r="N1785" s="54"/>
    </row>
    <row r="1786" spans="2:14" x14ac:dyDescent="0.2">
      <c r="B1786">
        <v>1777</v>
      </c>
      <c r="C1786" s="52">
        <f t="shared" ca="1" si="84"/>
        <v>-0.78694117485806081</v>
      </c>
      <c r="D1786" s="52">
        <f ca="1">S0*EXP((μ-0.5*σ*σ)*T+σ*SQRT(T)*$C1786)</f>
        <v>0.51796570522935859</v>
      </c>
      <c r="E1786" s="52">
        <f t="shared" ca="1" si="82"/>
        <v>1.64342947706414E-2</v>
      </c>
      <c r="F1786" s="17">
        <f t="shared" ca="1" si="83"/>
        <v>1</v>
      </c>
      <c r="H1786" s="17">
        <v>1777</v>
      </c>
      <c r="I1786" s="45">
        <v>0.67113590331715434</v>
      </c>
      <c r="J1786" s="45">
        <v>1.9001323924821744E-2</v>
      </c>
      <c r="K1786" s="45">
        <v>0.248</v>
      </c>
      <c r="N1786" s="54"/>
    </row>
    <row r="1787" spans="2:14" x14ac:dyDescent="0.2">
      <c r="B1787">
        <v>1778</v>
      </c>
      <c r="C1787" s="52">
        <f t="shared" ca="1" si="84"/>
        <v>0.92647235868162792</v>
      </c>
      <c r="D1787" s="52">
        <f ca="1">S0*EXP((μ-0.5*σ*σ)*T+σ*SQRT(T)*$C1787)</f>
        <v>0.83176690793384966</v>
      </c>
      <c r="E1787" s="52">
        <f t="shared" ca="1" si="82"/>
        <v>0</v>
      </c>
      <c r="F1787" s="17">
        <f t="shared" ca="1" si="83"/>
        <v>0</v>
      </c>
      <c r="H1787" s="17">
        <v>1778</v>
      </c>
      <c r="I1787" s="45">
        <v>0.67078403472354931</v>
      </c>
      <c r="J1787" s="45">
        <v>1.8734414715146572E-2</v>
      </c>
      <c r="K1787" s="45">
        <v>0.24460000000000001</v>
      </c>
      <c r="N1787" s="54"/>
    </row>
    <row r="1788" spans="2:14" x14ac:dyDescent="0.2">
      <c r="B1788">
        <v>1779</v>
      </c>
      <c r="C1788" s="52">
        <f t="shared" ca="1" si="84"/>
        <v>0.93777643522296972</v>
      </c>
      <c r="D1788" s="52">
        <f ca="1">S0*EXP((μ-0.5*σ*σ)*T+σ*SQRT(T)*$C1788)</f>
        <v>0.83437009016225061</v>
      </c>
      <c r="E1788" s="52">
        <f t="shared" ca="1" si="82"/>
        <v>0</v>
      </c>
      <c r="F1788" s="17">
        <f t="shared" ca="1" si="83"/>
        <v>0</v>
      </c>
      <c r="H1788" s="17">
        <v>1779</v>
      </c>
      <c r="I1788" s="45">
        <v>0.67076922953379148</v>
      </c>
      <c r="J1788" s="45">
        <v>1.8863086465500268E-2</v>
      </c>
      <c r="K1788" s="45">
        <v>0.25259999999999999</v>
      </c>
      <c r="N1788" s="54"/>
    </row>
    <row r="1789" spans="2:14" x14ac:dyDescent="0.2">
      <c r="B1789">
        <v>1780</v>
      </c>
      <c r="C1789" s="52">
        <f t="shared" ca="1" si="84"/>
        <v>0.74626191724063817</v>
      </c>
      <c r="D1789" s="52">
        <f ca="1">S0*EXP((μ-0.5*σ*σ)*T+σ*SQRT(T)*$C1789)</f>
        <v>0.79134673162039115</v>
      </c>
      <c r="E1789" s="52">
        <f t="shared" ca="1" si="82"/>
        <v>0</v>
      </c>
      <c r="F1789" s="17">
        <f t="shared" ca="1" si="83"/>
        <v>0</v>
      </c>
      <c r="H1789" s="17">
        <v>1780</v>
      </c>
      <c r="I1789" s="45">
        <v>0.67099969123057668</v>
      </c>
      <c r="J1789" s="45">
        <v>1.8802882864027707E-2</v>
      </c>
      <c r="K1789" s="45">
        <v>0.24060000000000001</v>
      </c>
      <c r="N1789" s="54"/>
    </row>
    <row r="1790" spans="2:14" x14ac:dyDescent="0.2">
      <c r="B1790">
        <v>1781</v>
      </c>
      <c r="C1790" s="52">
        <f t="shared" ca="1" si="84"/>
        <v>0.55573098198311854</v>
      </c>
      <c r="D1790" s="52">
        <f ca="1">S0*EXP((μ-0.5*σ*σ)*T+σ*SQRT(T)*$C1790)</f>
        <v>0.75074592008856811</v>
      </c>
      <c r="E1790" s="52">
        <f t="shared" ca="1" si="82"/>
        <v>0</v>
      </c>
      <c r="F1790" s="17">
        <f t="shared" ca="1" si="83"/>
        <v>0</v>
      </c>
      <c r="H1790" s="17">
        <v>1781</v>
      </c>
      <c r="I1790" s="45">
        <v>0.67037874877603532</v>
      </c>
      <c r="J1790" s="45">
        <v>1.872140969372103E-2</v>
      </c>
      <c r="K1790" s="45">
        <v>0.25</v>
      </c>
      <c r="N1790" s="54"/>
    </row>
    <row r="1791" spans="2:14" x14ac:dyDescent="0.2">
      <c r="B1791">
        <v>1782</v>
      </c>
      <c r="C1791" s="52">
        <f t="shared" ca="1" si="84"/>
        <v>-0.10246606384009373</v>
      </c>
      <c r="D1791" s="52">
        <f ca="1">S0*EXP((μ-0.5*σ*σ)*T+σ*SQRT(T)*$C1791)</f>
        <v>0.62585593508842785</v>
      </c>
      <c r="E1791" s="52">
        <f t="shared" ca="1" si="82"/>
        <v>0</v>
      </c>
      <c r="F1791" s="17">
        <f t="shared" ca="1" si="83"/>
        <v>0</v>
      </c>
      <c r="H1791" s="17">
        <v>1782</v>
      </c>
      <c r="I1791" s="45">
        <v>0.67156314961002384</v>
      </c>
      <c r="J1791" s="45">
        <v>1.9370726104896877E-2</v>
      </c>
      <c r="K1791" s="45">
        <v>0.246</v>
      </c>
      <c r="N1791" s="54"/>
    </row>
    <row r="1792" spans="2:14" x14ac:dyDescent="0.2">
      <c r="B1792">
        <v>1783</v>
      </c>
      <c r="C1792" s="52">
        <f t="shared" ca="1" si="84"/>
        <v>-1.0544364869688854</v>
      </c>
      <c r="D1792" s="52">
        <f ca="1">S0*EXP((μ-0.5*σ*σ)*T+σ*SQRT(T)*$C1792)</f>
        <v>0.48104683364133954</v>
      </c>
      <c r="E1792" s="52">
        <f t="shared" ca="1" si="82"/>
        <v>5.3353166358660442E-2</v>
      </c>
      <c r="F1792" s="17">
        <f t="shared" ca="1" si="83"/>
        <v>1</v>
      </c>
      <c r="H1792" s="17">
        <v>1783</v>
      </c>
      <c r="I1792" s="45">
        <v>0.67180564945256416</v>
      </c>
      <c r="J1792" s="45">
        <v>1.9673698498112752E-2</v>
      </c>
      <c r="K1792" s="45">
        <v>0.24840000000000001</v>
      </c>
      <c r="N1792" s="54"/>
    </row>
    <row r="1793" spans="2:14" x14ac:dyDescent="0.2">
      <c r="B1793">
        <v>1784</v>
      </c>
      <c r="C1793" s="52">
        <f t="shared" ca="1" si="84"/>
        <v>3.2641791280654531E-2</v>
      </c>
      <c r="D1793" s="52">
        <f ca="1">S0*EXP((μ-0.5*σ*σ)*T+σ*SQRT(T)*$C1793)</f>
        <v>0.64967251502566636</v>
      </c>
      <c r="E1793" s="52">
        <f t="shared" ca="1" si="82"/>
        <v>0</v>
      </c>
      <c r="F1793" s="17">
        <f t="shared" ca="1" si="83"/>
        <v>0</v>
      </c>
      <c r="H1793" s="17">
        <v>1784</v>
      </c>
      <c r="I1793" s="45">
        <v>0.67079576770038352</v>
      </c>
      <c r="J1793" s="45">
        <v>1.872736482523393E-2</v>
      </c>
      <c r="K1793" s="45">
        <v>0.2492</v>
      </c>
      <c r="N1793" s="54"/>
    </row>
    <row r="1794" spans="2:14" x14ac:dyDescent="0.2">
      <c r="B1794">
        <v>1785</v>
      </c>
      <c r="C1794" s="52">
        <f t="shared" ca="1" si="84"/>
        <v>-1.6448028913430057</v>
      </c>
      <c r="D1794" s="52">
        <f ca="1">S0*EXP((μ-0.5*σ*σ)*T+σ*SQRT(T)*$C1794)</f>
        <v>0.40861286352971515</v>
      </c>
      <c r="E1794" s="52">
        <f t="shared" ca="1" si="82"/>
        <v>0.12578713647028483</v>
      </c>
      <c r="F1794" s="17">
        <f t="shared" ca="1" si="83"/>
        <v>1</v>
      </c>
      <c r="H1794" s="17">
        <v>1785</v>
      </c>
      <c r="I1794" s="45">
        <v>0.66883967575194359</v>
      </c>
      <c r="J1794" s="45">
        <v>1.7296687708550123E-2</v>
      </c>
      <c r="K1794" s="45">
        <v>0.2336</v>
      </c>
      <c r="N1794" s="54"/>
    </row>
    <row r="1795" spans="2:14" x14ac:dyDescent="0.2">
      <c r="B1795">
        <v>1786</v>
      </c>
      <c r="C1795" s="52">
        <f t="shared" ca="1" si="84"/>
        <v>-0.49081410153737509</v>
      </c>
      <c r="D1795" s="52">
        <f ca="1">S0*EXP((μ-0.5*σ*σ)*T+σ*SQRT(T)*$C1795)</f>
        <v>0.56214970026014766</v>
      </c>
      <c r="E1795" s="52">
        <f t="shared" ca="1" si="82"/>
        <v>0</v>
      </c>
      <c r="F1795" s="17">
        <f t="shared" ca="1" si="83"/>
        <v>0</v>
      </c>
      <c r="H1795" s="17">
        <v>1786</v>
      </c>
      <c r="I1795" s="45">
        <v>0.67071130941981716</v>
      </c>
      <c r="J1795" s="45">
        <v>1.8945101330210507E-2</v>
      </c>
      <c r="K1795" s="45">
        <v>0.24879999999999999</v>
      </c>
      <c r="N1795" s="54"/>
    </row>
    <row r="1796" spans="2:14" x14ac:dyDescent="0.2">
      <c r="B1796">
        <v>1787</v>
      </c>
      <c r="C1796" s="52">
        <f t="shared" ca="1" si="84"/>
        <v>-0.35455851732824223</v>
      </c>
      <c r="D1796" s="52">
        <f ca="1">S0*EXP((μ-0.5*σ*σ)*T+σ*SQRT(T)*$C1796)</f>
        <v>0.58372714638005108</v>
      </c>
      <c r="E1796" s="52">
        <f t="shared" ca="1" si="82"/>
        <v>0</v>
      </c>
      <c r="F1796" s="17">
        <f t="shared" ca="1" si="83"/>
        <v>0</v>
      </c>
      <c r="H1796" s="17">
        <v>1787</v>
      </c>
      <c r="I1796" s="45">
        <v>0.67050949096911405</v>
      </c>
      <c r="J1796" s="45">
        <v>1.8728283590318785E-2</v>
      </c>
      <c r="K1796" s="45">
        <v>0.24759999999999999</v>
      </c>
      <c r="N1796" s="54"/>
    </row>
    <row r="1797" spans="2:14" x14ac:dyDescent="0.2">
      <c r="B1797">
        <v>1788</v>
      </c>
      <c r="C1797" s="52">
        <f t="shared" ca="1" si="84"/>
        <v>-1.3512871801536135</v>
      </c>
      <c r="D1797" s="52">
        <f ca="1">S0*EXP((μ-0.5*σ*σ)*T+σ*SQRT(T)*$C1797)</f>
        <v>0.44314873096004548</v>
      </c>
      <c r="E1797" s="52">
        <f t="shared" ca="1" si="82"/>
        <v>9.1251269039954508E-2</v>
      </c>
      <c r="F1797" s="17">
        <f t="shared" ca="1" si="83"/>
        <v>1</v>
      </c>
      <c r="H1797" s="17">
        <v>1788</v>
      </c>
      <c r="I1797" s="45">
        <v>0.67084878638567347</v>
      </c>
      <c r="J1797" s="45">
        <v>1.8736914015703102E-2</v>
      </c>
      <c r="K1797" s="45">
        <v>0.24460000000000001</v>
      </c>
      <c r="N1797" s="54"/>
    </row>
    <row r="1798" spans="2:14" x14ac:dyDescent="0.2">
      <c r="B1798">
        <v>1789</v>
      </c>
      <c r="C1798" s="52">
        <f t="shared" ca="1" si="84"/>
        <v>-0.87144637986125384</v>
      </c>
      <c r="D1798" s="52">
        <f ca="1">S0*EXP((μ-0.5*σ*σ)*T+σ*SQRT(T)*$C1798)</f>
        <v>0.50600626354889977</v>
      </c>
      <c r="E1798" s="52">
        <f t="shared" ca="1" si="82"/>
        <v>2.8393736451100215E-2</v>
      </c>
      <c r="F1798" s="17">
        <f t="shared" ca="1" si="83"/>
        <v>1</v>
      </c>
      <c r="H1798" s="17">
        <v>1789</v>
      </c>
      <c r="I1798" s="45">
        <v>0.67191248197596176</v>
      </c>
      <c r="J1798" s="45">
        <v>1.9983637257209773E-2</v>
      </c>
      <c r="K1798" s="45">
        <v>0.25619999999999998</v>
      </c>
      <c r="N1798" s="54"/>
    </row>
    <row r="1799" spans="2:14" x14ac:dyDescent="0.2">
      <c r="B1799">
        <v>1790</v>
      </c>
      <c r="C1799" s="52">
        <f t="shared" ca="1" si="84"/>
        <v>-0.74269389929452356</v>
      </c>
      <c r="D1799" s="52">
        <f ca="1">S0*EXP((μ-0.5*σ*σ)*T+σ*SQRT(T)*$C1799)</f>
        <v>0.5243400475350285</v>
      </c>
      <c r="E1799" s="52">
        <f t="shared" ca="1" si="82"/>
        <v>1.0059952464971489E-2</v>
      </c>
      <c r="F1799" s="17">
        <f t="shared" ca="1" si="83"/>
        <v>1</v>
      </c>
      <c r="H1799" s="17">
        <v>1790</v>
      </c>
      <c r="I1799" s="45">
        <v>0.67022889417483433</v>
      </c>
      <c r="J1799" s="45">
        <v>1.8426912916915682E-2</v>
      </c>
      <c r="K1799" s="45">
        <v>0.24</v>
      </c>
      <c r="N1799" s="54"/>
    </row>
    <row r="1800" spans="2:14" x14ac:dyDescent="0.2">
      <c r="B1800">
        <v>1791</v>
      </c>
      <c r="C1800" s="52">
        <f t="shared" ca="1" si="84"/>
        <v>-1.0537062709938754</v>
      </c>
      <c r="D1800" s="52">
        <f ca="1">S0*EXP((μ-0.5*σ*σ)*T+σ*SQRT(T)*$C1800)</f>
        <v>0.4811439453610995</v>
      </c>
      <c r="E1800" s="52">
        <f t="shared" ca="1" si="82"/>
        <v>5.3256054638900485E-2</v>
      </c>
      <c r="F1800" s="17">
        <f t="shared" ca="1" si="83"/>
        <v>1</v>
      </c>
      <c r="H1800" s="17">
        <v>1791</v>
      </c>
      <c r="I1800" s="45">
        <v>0.67193369581814144</v>
      </c>
      <c r="J1800" s="45">
        <v>1.9758123477485033E-2</v>
      </c>
      <c r="K1800" s="45">
        <v>0.24940000000000001</v>
      </c>
      <c r="N1800" s="54"/>
    </row>
    <row r="1801" spans="2:14" x14ac:dyDescent="0.2">
      <c r="B1801">
        <v>1792</v>
      </c>
      <c r="C1801" s="52">
        <f t="shared" ca="1" si="84"/>
        <v>0.2405587507075615</v>
      </c>
      <c r="D1801" s="52">
        <f ca="1">S0*EXP((μ-0.5*σ*σ)*T+σ*SQRT(T)*$C1801)</f>
        <v>0.68810636101337941</v>
      </c>
      <c r="E1801" s="52">
        <f t="shared" ca="1" si="82"/>
        <v>0</v>
      </c>
      <c r="F1801" s="17">
        <f t="shared" ca="1" si="83"/>
        <v>0</v>
      </c>
      <c r="H1801" s="17">
        <v>1792</v>
      </c>
      <c r="I1801" s="45">
        <v>0.67039157177846742</v>
      </c>
      <c r="J1801" s="45">
        <v>1.8489526072287338E-2</v>
      </c>
      <c r="K1801" s="45">
        <v>0.24399999999999999</v>
      </c>
      <c r="N1801" s="54"/>
    </row>
    <row r="1802" spans="2:14" x14ac:dyDescent="0.2">
      <c r="B1802">
        <v>1793</v>
      </c>
      <c r="C1802" s="52">
        <f t="shared" ca="1" si="84"/>
        <v>-0.37564112788118215</v>
      </c>
      <c r="D1802" s="52">
        <f ca="1">S0*EXP((μ-0.5*σ*σ)*T+σ*SQRT(T)*$C1802)</f>
        <v>0.5803351256553867</v>
      </c>
      <c r="E1802" s="52">
        <f t="shared" ref="E1802:E1865" ca="1" si="85">MAX(0,CP*(D1802-K))</f>
        <v>0</v>
      </c>
      <c r="F1802" s="17">
        <f t="shared" ref="F1802:F1865" ca="1" si="86">(CP*(D1802-K)&gt;0)*1</f>
        <v>0</v>
      </c>
      <c r="H1802" s="17">
        <v>1793</v>
      </c>
      <c r="I1802" s="45">
        <v>0.66987289886403079</v>
      </c>
      <c r="J1802" s="45">
        <v>1.8149277255651027E-2</v>
      </c>
      <c r="K1802" s="45">
        <v>0.2402</v>
      </c>
      <c r="N1802" s="54"/>
    </row>
    <row r="1803" spans="2:14" x14ac:dyDescent="0.2">
      <c r="B1803">
        <v>1794</v>
      </c>
      <c r="C1803" s="52">
        <f t="shared" ref="C1803:C1866" ca="1" si="87">_xlfn.NORM.S.INV(RAND())</f>
        <v>-0.66260495935499464</v>
      </c>
      <c r="D1803" s="52">
        <f ca="1">S0*EXP((μ-0.5*σ*σ)*T+σ*SQRT(T)*$C1803)</f>
        <v>0.53607796439589039</v>
      </c>
      <c r="E1803" s="52">
        <f t="shared" ca="1" si="85"/>
        <v>0</v>
      </c>
      <c r="F1803" s="17">
        <f t="shared" ca="1" si="86"/>
        <v>0</v>
      </c>
      <c r="H1803" s="17">
        <v>1794</v>
      </c>
      <c r="I1803" s="45">
        <v>0.66977578164503571</v>
      </c>
      <c r="J1803" s="45">
        <v>1.7760939037432515E-2</v>
      </c>
      <c r="K1803" s="45">
        <v>0.2316</v>
      </c>
      <c r="N1803" s="54"/>
    </row>
    <row r="1804" spans="2:14" x14ac:dyDescent="0.2">
      <c r="B1804">
        <v>1795</v>
      </c>
      <c r="C1804" s="52">
        <f t="shared" ca="1" si="87"/>
        <v>0.4531962480679449</v>
      </c>
      <c r="D1804" s="52">
        <f ca="1">S0*EXP((μ-0.5*σ*σ)*T+σ*SQRT(T)*$C1804)</f>
        <v>0.72976556463940778</v>
      </c>
      <c r="E1804" s="52">
        <f t="shared" ca="1" si="85"/>
        <v>0</v>
      </c>
      <c r="F1804" s="17">
        <f t="shared" ca="1" si="86"/>
        <v>0</v>
      </c>
      <c r="H1804" s="17">
        <v>1795</v>
      </c>
      <c r="I1804" s="45">
        <v>0.66991565675268749</v>
      </c>
      <c r="J1804" s="45">
        <v>1.845214838879438E-2</v>
      </c>
      <c r="K1804" s="45">
        <v>0.24360000000000001</v>
      </c>
      <c r="N1804" s="54"/>
    </row>
    <row r="1805" spans="2:14" x14ac:dyDescent="0.2">
      <c r="B1805">
        <v>1796</v>
      </c>
      <c r="C1805" s="52">
        <f t="shared" ca="1" si="87"/>
        <v>2.7020095646599125</v>
      </c>
      <c r="D1805" s="52">
        <f ca="1">S0*EXP((μ-0.5*σ*σ)*T+σ*SQRT(T)*$C1805)</f>
        <v>1.3588152435496292</v>
      </c>
      <c r="E1805" s="52">
        <f t="shared" ca="1" si="85"/>
        <v>0</v>
      </c>
      <c r="F1805" s="17">
        <f t="shared" ca="1" si="86"/>
        <v>0</v>
      </c>
      <c r="H1805" s="17">
        <v>1796</v>
      </c>
      <c r="I1805" s="45">
        <v>0.6707442505918616</v>
      </c>
      <c r="J1805" s="45">
        <v>1.8854493153998342E-2</v>
      </c>
      <c r="K1805" s="45">
        <v>0.251</v>
      </c>
      <c r="N1805" s="54"/>
    </row>
    <row r="1806" spans="2:14" x14ac:dyDescent="0.2">
      <c r="B1806">
        <v>1797</v>
      </c>
      <c r="C1806" s="52">
        <f t="shared" ca="1" si="87"/>
        <v>1.2665549139561463</v>
      </c>
      <c r="D1806" s="52">
        <f ca="1">S0*EXP((μ-0.5*σ*σ)*T+σ*SQRT(T)*$C1806)</f>
        <v>0.91375466667479466</v>
      </c>
      <c r="E1806" s="52">
        <f t="shared" ca="1" si="85"/>
        <v>0</v>
      </c>
      <c r="F1806" s="17">
        <f t="shared" ca="1" si="86"/>
        <v>0</v>
      </c>
      <c r="H1806" s="17">
        <v>1797</v>
      </c>
      <c r="I1806" s="45">
        <v>0.67280582800096123</v>
      </c>
      <c r="J1806" s="45">
        <v>2.0196143775724283E-2</v>
      </c>
      <c r="K1806" s="45">
        <v>0.24779999999999999</v>
      </c>
      <c r="N1806" s="54"/>
    </row>
    <row r="1807" spans="2:14" x14ac:dyDescent="0.2">
      <c r="B1807">
        <v>1798</v>
      </c>
      <c r="C1807" s="52">
        <f t="shared" ca="1" si="87"/>
        <v>0.67978041074498763</v>
      </c>
      <c r="D1807" s="52">
        <f ca="1">S0*EXP((μ-0.5*σ*σ)*T+σ*SQRT(T)*$C1807)</f>
        <v>0.77693645748923568</v>
      </c>
      <c r="E1807" s="52">
        <f t="shared" ca="1" si="85"/>
        <v>0</v>
      </c>
      <c r="F1807" s="17">
        <f t="shared" ca="1" si="86"/>
        <v>0</v>
      </c>
      <c r="H1807" s="17">
        <v>1798</v>
      </c>
      <c r="I1807" s="45">
        <v>0.670727498283054</v>
      </c>
      <c r="J1807" s="45">
        <v>1.8787001381786489E-2</v>
      </c>
      <c r="K1807" s="45">
        <v>0.24360000000000001</v>
      </c>
      <c r="N1807" s="54"/>
    </row>
    <row r="1808" spans="2:14" x14ac:dyDescent="0.2">
      <c r="B1808">
        <v>1799</v>
      </c>
      <c r="C1808" s="52">
        <f t="shared" ca="1" si="87"/>
        <v>-0.59306373038030613</v>
      </c>
      <c r="D1808" s="52">
        <f ca="1">S0*EXP((μ-0.5*σ*σ)*T+σ*SQRT(T)*$C1808)</f>
        <v>0.54648292515939489</v>
      </c>
      <c r="E1808" s="52">
        <f t="shared" ca="1" si="85"/>
        <v>0</v>
      </c>
      <c r="F1808" s="17">
        <f t="shared" ca="1" si="86"/>
        <v>0</v>
      </c>
      <c r="H1808" s="17">
        <v>1799</v>
      </c>
      <c r="I1808" s="45">
        <v>0.67029115780038295</v>
      </c>
      <c r="J1808" s="45">
        <v>1.8537294489251632E-2</v>
      </c>
      <c r="K1808" s="45">
        <v>0.24479999999999999</v>
      </c>
      <c r="N1808" s="54"/>
    </row>
    <row r="1809" spans="2:14" x14ac:dyDescent="0.2">
      <c r="B1809">
        <v>1800</v>
      </c>
      <c r="C1809" s="52">
        <f t="shared" ca="1" si="87"/>
        <v>0.8306491325708919</v>
      </c>
      <c r="D1809" s="52">
        <f ca="1">S0*EXP((μ-0.5*σ*σ)*T+σ*SQRT(T)*$C1809)</f>
        <v>0.81002376572576928</v>
      </c>
      <c r="E1809" s="52">
        <f t="shared" ca="1" si="85"/>
        <v>0</v>
      </c>
      <c r="F1809" s="17">
        <f t="shared" ca="1" si="86"/>
        <v>0</v>
      </c>
      <c r="H1809" s="17">
        <v>1800</v>
      </c>
      <c r="I1809" s="45">
        <v>0.67118026445657264</v>
      </c>
      <c r="J1809" s="45">
        <v>1.9188706831773181E-2</v>
      </c>
      <c r="K1809" s="45">
        <v>0.24940000000000001</v>
      </c>
      <c r="N1809" s="54"/>
    </row>
    <row r="1810" spans="2:14" x14ac:dyDescent="0.2">
      <c r="B1810">
        <v>1801</v>
      </c>
      <c r="C1810" s="52">
        <f t="shared" ca="1" si="87"/>
        <v>-2.9401783479828336</v>
      </c>
      <c r="D1810" s="52">
        <f ca="1">S0*EXP((μ-0.5*σ*σ)*T+σ*SQRT(T)*$C1810)</f>
        <v>0.28562628801188256</v>
      </c>
      <c r="E1810" s="52">
        <f t="shared" ca="1" si="85"/>
        <v>0.24877371198811743</v>
      </c>
      <c r="F1810" s="17">
        <f t="shared" ca="1" si="86"/>
        <v>1</v>
      </c>
      <c r="H1810" s="17">
        <v>1801</v>
      </c>
      <c r="I1810" s="45">
        <v>0.67116957670783695</v>
      </c>
      <c r="J1810" s="45">
        <v>1.9043310025455468E-2</v>
      </c>
      <c r="K1810" s="45">
        <v>0.25040000000000001</v>
      </c>
      <c r="N1810" s="54"/>
    </row>
    <row r="1811" spans="2:14" x14ac:dyDescent="0.2">
      <c r="B1811">
        <v>1802</v>
      </c>
      <c r="C1811" s="52">
        <f t="shared" ca="1" si="87"/>
        <v>-0.45622059210856469</v>
      </c>
      <c r="D1811" s="52">
        <f ca="1">S0*EXP((μ-0.5*σ*σ)*T+σ*SQRT(T)*$C1811)</f>
        <v>0.56755119443103141</v>
      </c>
      <c r="E1811" s="52">
        <f t="shared" ca="1" si="85"/>
        <v>0</v>
      </c>
      <c r="F1811" s="17">
        <f t="shared" ca="1" si="86"/>
        <v>0</v>
      </c>
      <c r="H1811" s="17">
        <v>1802</v>
      </c>
      <c r="I1811" s="45">
        <v>0.67121929260654767</v>
      </c>
      <c r="J1811" s="45">
        <v>1.9472464357923543E-2</v>
      </c>
      <c r="K1811" s="45">
        <v>0.25480000000000003</v>
      </c>
      <c r="N1811" s="54"/>
    </row>
    <row r="1812" spans="2:14" x14ac:dyDescent="0.2">
      <c r="B1812">
        <v>1803</v>
      </c>
      <c r="C1812" s="52">
        <f t="shared" ca="1" si="87"/>
        <v>-0.66900603335822395</v>
      </c>
      <c r="D1812" s="52">
        <f ca="1">S0*EXP((μ-0.5*σ*σ)*T+σ*SQRT(T)*$C1812)</f>
        <v>0.53513023195225451</v>
      </c>
      <c r="E1812" s="52">
        <f t="shared" ca="1" si="85"/>
        <v>0</v>
      </c>
      <c r="F1812" s="17">
        <f t="shared" ca="1" si="86"/>
        <v>0</v>
      </c>
      <c r="H1812" s="17">
        <v>1803</v>
      </c>
      <c r="I1812" s="45">
        <v>0.67197791908900317</v>
      </c>
      <c r="J1812" s="45">
        <v>1.9557940076288246E-2</v>
      </c>
      <c r="K1812" s="45">
        <v>0.24979999999999999</v>
      </c>
      <c r="N1812" s="54"/>
    </row>
    <row r="1813" spans="2:14" x14ac:dyDescent="0.2">
      <c r="B1813">
        <v>1804</v>
      </c>
      <c r="C1813" s="52">
        <f t="shared" ca="1" si="87"/>
        <v>-2.1540558071610127</v>
      </c>
      <c r="D1813" s="52">
        <f ca="1">S0*EXP((μ-0.5*σ*σ)*T+σ*SQRT(T)*$C1813)</f>
        <v>0.35495609315635224</v>
      </c>
      <c r="E1813" s="52">
        <f t="shared" ca="1" si="85"/>
        <v>0.17944390684364775</v>
      </c>
      <c r="F1813" s="17">
        <f t="shared" ca="1" si="86"/>
        <v>1</v>
      </c>
      <c r="H1813" s="17">
        <v>1804</v>
      </c>
      <c r="I1813" s="45">
        <v>0.6702710218165685</v>
      </c>
      <c r="J1813" s="45">
        <v>1.8596191975009748E-2</v>
      </c>
      <c r="K1813" s="45">
        <v>0.25280000000000002</v>
      </c>
      <c r="N1813" s="54"/>
    </row>
    <row r="1814" spans="2:14" x14ac:dyDescent="0.2">
      <c r="B1814">
        <v>1805</v>
      </c>
      <c r="C1814" s="52">
        <f t="shared" ca="1" si="87"/>
        <v>-0.42874496824789632</v>
      </c>
      <c r="D1814" s="52">
        <f ca="1">S0*EXP((μ-0.5*σ*σ)*T+σ*SQRT(T)*$C1814)</f>
        <v>0.57187824566194423</v>
      </c>
      <c r="E1814" s="52">
        <f t="shared" ca="1" si="85"/>
        <v>0</v>
      </c>
      <c r="F1814" s="17">
        <f t="shared" ca="1" si="86"/>
        <v>0</v>
      </c>
      <c r="H1814" s="17">
        <v>1805</v>
      </c>
      <c r="I1814" s="45">
        <v>0.67195791076555034</v>
      </c>
      <c r="J1814" s="45">
        <v>1.9797275324880549E-2</v>
      </c>
      <c r="K1814" s="45">
        <v>0.24879999999999999</v>
      </c>
      <c r="N1814" s="54"/>
    </row>
    <row r="1815" spans="2:14" x14ac:dyDescent="0.2">
      <c r="B1815">
        <v>1806</v>
      </c>
      <c r="C1815" s="52">
        <f t="shared" ca="1" si="87"/>
        <v>-0.34265578575932748</v>
      </c>
      <c r="D1815" s="52">
        <f ca="1">S0*EXP((μ-0.5*σ*σ)*T+σ*SQRT(T)*$C1815)</f>
        <v>0.58565094818562791</v>
      </c>
      <c r="E1815" s="52">
        <f t="shared" ca="1" si="85"/>
        <v>0</v>
      </c>
      <c r="F1815" s="17">
        <f t="shared" ca="1" si="86"/>
        <v>0</v>
      </c>
      <c r="H1815" s="17">
        <v>1806</v>
      </c>
      <c r="I1815" s="45">
        <v>0.67002426114887981</v>
      </c>
      <c r="J1815" s="45">
        <v>1.8246721867396825E-2</v>
      </c>
      <c r="K1815" s="45">
        <v>0.24079999999999999</v>
      </c>
      <c r="N1815" s="54"/>
    </row>
    <row r="1816" spans="2:14" x14ac:dyDescent="0.2">
      <c r="B1816">
        <v>1807</v>
      </c>
      <c r="C1816" s="52">
        <f t="shared" ca="1" si="87"/>
        <v>0.36380744949036664</v>
      </c>
      <c r="D1816" s="52">
        <f ca="1">S0*EXP((μ-0.5*σ*σ)*T+σ*SQRT(T)*$C1816)</f>
        <v>0.71195404658072026</v>
      </c>
      <c r="E1816" s="52">
        <f t="shared" ca="1" si="85"/>
        <v>0</v>
      </c>
      <c r="F1816" s="17">
        <f t="shared" ca="1" si="86"/>
        <v>0</v>
      </c>
      <c r="H1816" s="17">
        <v>1807</v>
      </c>
      <c r="I1816" s="45">
        <v>0.67144308054859414</v>
      </c>
      <c r="J1816" s="45">
        <v>1.931945301577365E-2</v>
      </c>
      <c r="K1816" s="45">
        <v>0.24660000000000001</v>
      </c>
      <c r="N1816" s="54"/>
    </row>
    <row r="1817" spans="2:14" x14ac:dyDescent="0.2">
      <c r="B1817">
        <v>1808</v>
      </c>
      <c r="C1817" s="52">
        <f t="shared" ca="1" si="87"/>
        <v>0.76674449292986613</v>
      </c>
      <c r="D1817" s="52">
        <f ca="1">S0*EXP((μ-0.5*σ*σ)*T+σ*SQRT(T)*$C1817)</f>
        <v>0.79584008507108772</v>
      </c>
      <c r="E1817" s="52">
        <f t="shared" ca="1" si="85"/>
        <v>0</v>
      </c>
      <c r="F1817" s="17">
        <f t="shared" ca="1" si="86"/>
        <v>0</v>
      </c>
      <c r="H1817" s="17">
        <v>1808</v>
      </c>
      <c r="I1817" s="45">
        <v>0.67083407129844874</v>
      </c>
      <c r="J1817" s="45">
        <v>1.8816633064713567E-2</v>
      </c>
      <c r="K1817" s="45">
        <v>0.24579999999999999</v>
      </c>
      <c r="N1817" s="54"/>
    </row>
    <row r="1818" spans="2:14" x14ac:dyDescent="0.2">
      <c r="B1818">
        <v>1809</v>
      </c>
      <c r="C1818" s="52">
        <f t="shared" ca="1" si="87"/>
        <v>0.70507046479065383</v>
      </c>
      <c r="D1818" s="52">
        <f ca="1">S0*EXP((μ-0.5*σ*σ)*T+σ*SQRT(T)*$C1818)</f>
        <v>0.78238704528736036</v>
      </c>
      <c r="E1818" s="52">
        <f t="shared" ca="1" si="85"/>
        <v>0</v>
      </c>
      <c r="F1818" s="17">
        <f t="shared" ca="1" si="86"/>
        <v>0</v>
      </c>
      <c r="H1818" s="17">
        <v>1809</v>
      </c>
      <c r="I1818" s="45">
        <v>0.67109363744221051</v>
      </c>
      <c r="J1818" s="45">
        <v>1.9174761982987152E-2</v>
      </c>
      <c r="K1818" s="45">
        <v>0.24640000000000001</v>
      </c>
      <c r="N1818" s="54"/>
    </row>
    <row r="1819" spans="2:14" x14ac:dyDescent="0.2">
      <c r="B1819">
        <v>1810</v>
      </c>
      <c r="C1819" s="52">
        <f t="shared" ca="1" si="87"/>
        <v>-0.45018499740492729</v>
      </c>
      <c r="D1819" s="52">
        <f ca="1">S0*EXP((μ-0.5*σ*σ)*T+σ*SQRT(T)*$C1819)</f>
        <v>0.56849890686582771</v>
      </c>
      <c r="E1819" s="52">
        <f t="shared" ca="1" si="85"/>
        <v>0</v>
      </c>
      <c r="F1819" s="17">
        <f t="shared" ca="1" si="86"/>
        <v>0</v>
      </c>
      <c r="H1819" s="17">
        <v>1810</v>
      </c>
      <c r="I1819" s="45">
        <v>0.67129797821355341</v>
      </c>
      <c r="J1819" s="45">
        <v>1.9317093931257846E-2</v>
      </c>
      <c r="K1819" s="45">
        <v>0.24879999999999999</v>
      </c>
      <c r="N1819" s="54"/>
    </row>
    <row r="1820" spans="2:14" x14ac:dyDescent="0.2">
      <c r="B1820">
        <v>1811</v>
      </c>
      <c r="C1820" s="52">
        <f t="shared" ca="1" si="87"/>
        <v>0.88218819510997304</v>
      </c>
      <c r="D1820" s="52">
        <f ca="1">S0*EXP((μ-0.5*σ*σ)*T+σ*SQRT(T)*$C1820)</f>
        <v>0.82164683384884118</v>
      </c>
      <c r="E1820" s="52">
        <f t="shared" ca="1" si="85"/>
        <v>0</v>
      </c>
      <c r="F1820" s="17">
        <f t="shared" ca="1" si="86"/>
        <v>0</v>
      </c>
      <c r="H1820" s="17">
        <v>1811</v>
      </c>
      <c r="I1820" s="45">
        <v>0.67170527679053071</v>
      </c>
      <c r="J1820" s="45">
        <v>1.9569601931659537E-2</v>
      </c>
      <c r="K1820" s="45">
        <v>0.247</v>
      </c>
      <c r="N1820" s="54"/>
    </row>
    <row r="1821" spans="2:14" x14ac:dyDescent="0.2">
      <c r="B1821">
        <v>1812</v>
      </c>
      <c r="C1821" s="52">
        <f t="shared" ca="1" si="87"/>
        <v>0.65786844944030598</v>
      </c>
      <c r="D1821" s="52">
        <f ca="1">S0*EXP((μ-0.5*σ*σ)*T+σ*SQRT(T)*$C1821)</f>
        <v>0.77224463859842019</v>
      </c>
      <c r="E1821" s="52">
        <f t="shared" ca="1" si="85"/>
        <v>0</v>
      </c>
      <c r="F1821" s="17">
        <f t="shared" ca="1" si="86"/>
        <v>0</v>
      </c>
      <c r="H1821" s="17">
        <v>1812</v>
      </c>
      <c r="I1821" s="45">
        <v>0.67160349742536896</v>
      </c>
      <c r="J1821" s="45">
        <v>1.9460000049596745E-2</v>
      </c>
      <c r="K1821" s="45">
        <v>0.24940000000000001</v>
      </c>
      <c r="N1821" s="54"/>
    </row>
    <row r="1822" spans="2:14" x14ac:dyDescent="0.2">
      <c r="B1822">
        <v>1813</v>
      </c>
      <c r="C1822" s="52">
        <f t="shared" ca="1" si="87"/>
        <v>-0.7158954035827747</v>
      </c>
      <c r="D1822" s="52">
        <f ca="1">S0*EXP((μ-0.5*σ*σ)*T+σ*SQRT(T)*$C1822)</f>
        <v>0.52823876875447717</v>
      </c>
      <c r="E1822" s="52">
        <f t="shared" ca="1" si="85"/>
        <v>6.1612312455228135E-3</v>
      </c>
      <c r="F1822" s="17">
        <f t="shared" ca="1" si="86"/>
        <v>1</v>
      </c>
      <c r="H1822" s="17">
        <v>1813</v>
      </c>
      <c r="I1822" s="45">
        <v>0.67086411441057803</v>
      </c>
      <c r="J1822" s="45">
        <v>1.9041797377128428E-2</v>
      </c>
      <c r="K1822" s="45">
        <v>0.246</v>
      </c>
      <c r="N1822" s="54"/>
    </row>
    <row r="1823" spans="2:14" x14ac:dyDescent="0.2">
      <c r="B1823">
        <v>1814</v>
      </c>
      <c r="C1823" s="52">
        <f t="shared" ca="1" si="87"/>
        <v>-0.2489256808308776</v>
      </c>
      <c r="D1823" s="52">
        <f ca="1">S0*EXP((μ-0.5*σ*σ)*T+σ*SQRT(T)*$C1823)</f>
        <v>0.60102348420924601</v>
      </c>
      <c r="E1823" s="52">
        <f t="shared" ca="1" si="85"/>
        <v>0</v>
      </c>
      <c r="F1823" s="17">
        <f t="shared" ca="1" si="86"/>
        <v>0</v>
      </c>
      <c r="H1823" s="17">
        <v>1814</v>
      </c>
      <c r="I1823" s="45">
        <v>0.67143344718529419</v>
      </c>
      <c r="J1823" s="45">
        <v>1.9298181465159731E-2</v>
      </c>
      <c r="K1823" s="45">
        <v>0.24879999999999999</v>
      </c>
      <c r="N1823" s="54"/>
    </row>
    <row r="1824" spans="2:14" x14ac:dyDescent="0.2">
      <c r="B1824">
        <v>1815</v>
      </c>
      <c r="C1824" s="52">
        <f t="shared" ca="1" si="87"/>
        <v>2.9683143978449928</v>
      </c>
      <c r="D1824" s="52">
        <f ca="1">S0*EXP((μ-0.5*σ*σ)*T+σ*SQRT(T)*$C1824)</f>
        <v>1.462618744859822</v>
      </c>
      <c r="E1824" s="52">
        <f t="shared" ca="1" si="85"/>
        <v>0</v>
      </c>
      <c r="F1824" s="17">
        <f t="shared" ca="1" si="86"/>
        <v>0</v>
      </c>
      <c r="H1824" s="17">
        <v>1815</v>
      </c>
      <c r="I1824" s="45">
        <v>0.67097600215267117</v>
      </c>
      <c r="J1824" s="45">
        <v>1.8656600967532209E-2</v>
      </c>
      <c r="K1824" s="45">
        <v>0.24759999999999999</v>
      </c>
      <c r="N1824" s="54"/>
    </row>
    <row r="1825" spans="2:14" x14ac:dyDescent="0.2">
      <c r="B1825">
        <v>1816</v>
      </c>
      <c r="C1825" s="52">
        <f t="shared" ca="1" si="87"/>
        <v>-0.80822743233886618</v>
      </c>
      <c r="D1825" s="52">
        <f ca="1">S0*EXP((μ-0.5*σ*σ)*T+σ*SQRT(T)*$C1825)</f>
        <v>0.51492683381001825</v>
      </c>
      <c r="E1825" s="52">
        <f t="shared" ca="1" si="85"/>
        <v>1.9473166189981739E-2</v>
      </c>
      <c r="F1825" s="17">
        <f t="shared" ca="1" si="86"/>
        <v>1</v>
      </c>
      <c r="H1825" s="17">
        <v>1816</v>
      </c>
      <c r="I1825" s="45">
        <v>0.67112377953249713</v>
      </c>
      <c r="J1825" s="45">
        <v>1.9090658462933639E-2</v>
      </c>
      <c r="K1825" s="45">
        <v>0.249</v>
      </c>
      <c r="N1825" s="54"/>
    </row>
    <row r="1826" spans="2:14" x14ac:dyDescent="0.2">
      <c r="B1826">
        <v>1817</v>
      </c>
      <c r="C1826" s="52">
        <f t="shared" ca="1" si="87"/>
        <v>-1.3215611215142475</v>
      </c>
      <c r="D1826" s="52">
        <f ca="1">S0*EXP((μ-0.5*σ*σ)*T+σ*SQRT(T)*$C1826)</f>
        <v>0.44680519693806392</v>
      </c>
      <c r="E1826" s="52">
        <f t="shared" ca="1" si="85"/>
        <v>8.7594803061936066E-2</v>
      </c>
      <c r="F1826" s="17">
        <f t="shared" ca="1" si="86"/>
        <v>1</v>
      </c>
      <c r="H1826" s="17">
        <v>1817</v>
      </c>
      <c r="I1826" s="45">
        <v>0.67148310328875349</v>
      </c>
      <c r="J1826" s="45">
        <v>1.9238018799632637E-2</v>
      </c>
      <c r="K1826" s="45">
        <v>0.24959999999999999</v>
      </c>
      <c r="N1826" s="54"/>
    </row>
    <row r="1827" spans="2:14" x14ac:dyDescent="0.2">
      <c r="B1827">
        <v>1818</v>
      </c>
      <c r="C1827" s="52">
        <f t="shared" ca="1" si="87"/>
        <v>-0.17173309792304886</v>
      </c>
      <c r="D1827" s="52">
        <f ca="1">S0*EXP((μ-0.5*σ*σ)*T+σ*SQRT(T)*$C1827)</f>
        <v>0.61398625915696714</v>
      </c>
      <c r="E1827" s="52">
        <f t="shared" ca="1" si="85"/>
        <v>0</v>
      </c>
      <c r="F1827" s="17">
        <f t="shared" ca="1" si="86"/>
        <v>0</v>
      </c>
      <c r="H1827" s="17">
        <v>1818</v>
      </c>
      <c r="I1827" s="45">
        <v>0.67079642140380336</v>
      </c>
      <c r="J1827" s="45">
        <v>1.8768214523699318E-2</v>
      </c>
      <c r="K1827" s="45">
        <v>0.24640000000000001</v>
      </c>
      <c r="N1827" s="54"/>
    </row>
    <row r="1828" spans="2:14" x14ac:dyDescent="0.2">
      <c r="B1828">
        <v>1819</v>
      </c>
      <c r="C1828" s="52">
        <f t="shared" ca="1" si="87"/>
        <v>0.81456162956890021</v>
      </c>
      <c r="D1828" s="52">
        <f ca="1">S0*EXP((μ-0.5*σ*σ)*T+σ*SQRT(T)*$C1828)</f>
        <v>0.80642949981146639</v>
      </c>
      <c r="E1828" s="52">
        <f t="shared" ca="1" si="85"/>
        <v>0</v>
      </c>
      <c r="F1828" s="17">
        <f t="shared" ca="1" si="86"/>
        <v>0</v>
      </c>
      <c r="H1828" s="17">
        <v>1819</v>
      </c>
      <c r="I1828" s="45">
        <v>0.67202209242865518</v>
      </c>
      <c r="J1828" s="45">
        <v>1.9708026269945847E-2</v>
      </c>
      <c r="K1828" s="45">
        <v>0.2492</v>
      </c>
      <c r="N1828" s="54"/>
    </row>
    <row r="1829" spans="2:14" x14ac:dyDescent="0.2">
      <c r="B1829">
        <v>1820</v>
      </c>
      <c r="C1829" s="52">
        <f t="shared" ca="1" si="87"/>
        <v>1.1289855384754526</v>
      </c>
      <c r="D1829" s="52">
        <f ca="1">S0*EXP((μ-0.5*σ*σ)*T+σ*SQRT(T)*$C1829)</f>
        <v>0.87965824144214866</v>
      </c>
      <c r="E1829" s="52">
        <f t="shared" ca="1" si="85"/>
        <v>0</v>
      </c>
      <c r="F1829" s="17">
        <f t="shared" ca="1" si="86"/>
        <v>0</v>
      </c>
      <c r="H1829" s="17">
        <v>1820</v>
      </c>
      <c r="I1829" s="45">
        <v>0.67035629112949024</v>
      </c>
      <c r="J1829" s="45">
        <v>1.867064009685785E-2</v>
      </c>
      <c r="K1829" s="45">
        <v>0.24660000000000001</v>
      </c>
      <c r="N1829" s="54"/>
    </row>
    <row r="1830" spans="2:14" x14ac:dyDescent="0.2">
      <c r="B1830">
        <v>1821</v>
      </c>
      <c r="C1830" s="52">
        <f t="shared" ca="1" si="87"/>
        <v>-1.5046391409490996</v>
      </c>
      <c r="D1830" s="52">
        <f ca="1">S0*EXP((μ-0.5*σ*σ)*T+σ*SQRT(T)*$C1830)</f>
        <v>0.42475561567866593</v>
      </c>
      <c r="E1830" s="52">
        <f t="shared" ca="1" si="85"/>
        <v>0.10964438432133405</v>
      </c>
      <c r="F1830" s="17">
        <f t="shared" ca="1" si="86"/>
        <v>1</v>
      </c>
      <c r="H1830" s="17">
        <v>1821</v>
      </c>
      <c r="I1830" s="45">
        <v>0.67107076409745869</v>
      </c>
      <c r="J1830" s="45">
        <v>1.9002436578083176E-2</v>
      </c>
      <c r="K1830" s="45">
        <v>0.24399999999999999</v>
      </c>
      <c r="N1830" s="54"/>
    </row>
    <row r="1831" spans="2:14" x14ac:dyDescent="0.2">
      <c r="B1831">
        <v>1822</v>
      </c>
      <c r="C1831" s="52">
        <f t="shared" ca="1" si="87"/>
        <v>2.2367754860818283</v>
      </c>
      <c r="D1831" s="52">
        <f ca="1">S0*EXP((μ-0.5*σ*σ)*T+σ*SQRT(T)*$C1831)</f>
        <v>1.1948341034201526</v>
      </c>
      <c r="E1831" s="52">
        <f t="shared" ca="1" si="85"/>
        <v>0</v>
      </c>
      <c r="F1831" s="17">
        <f t="shared" ca="1" si="86"/>
        <v>0</v>
      </c>
      <c r="H1831" s="17">
        <v>1822</v>
      </c>
      <c r="I1831" s="45">
        <v>0.67110360867317087</v>
      </c>
      <c r="J1831" s="45">
        <v>1.8721789503098506E-2</v>
      </c>
      <c r="K1831" s="45">
        <v>0.2412</v>
      </c>
      <c r="N1831" s="54"/>
    </row>
    <row r="1832" spans="2:14" x14ac:dyDescent="0.2">
      <c r="B1832">
        <v>1823</v>
      </c>
      <c r="C1832" s="52">
        <f t="shared" ca="1" si="87"/>
        <v>1.0070353213177294</v>
      </c>
      <c r="D1832" s="52">
        <f ca="1">S0*EXP((μ-0.5*σ*σ)*T+σ*SQRT(T)*$C1832)</f>
        <v>0.85049834426232174</v>
      </c>
      <c r="E1832" s="52">
        <f t="shared" ca="1" si="85"/>
        <v>0</v>
      </c>
      <c r="F1832" s="17">
        <f t="shared" ca="1" si="86"/>
        <v>0</v>
      </c>
      <c r="H1832" s="17">
        <v>1823</v>
      </c>
      <c r="I1832" s="45">
        <v>0.66961007696578601</v>
      </c>
      <c r="J1832" s="45">
        <v>1.8349381977863132E-2</v>
      </c>
      <c r="K1832" s="45">
        <v>0.24340000000000001</v>
      </c>
      <c r="N1832" s="54"/>
    </row>
    <row r="1833" spans="2:14" x14ac:dyDescent="0.2">
      <c r="B1833">
        <v>1824</v>
      </c>
      <c r="C1833" s="52">
        <f t="shared" ca="1" si="87"/>
        <v>-0.23717735619718308</v>
      </c>
      <c r="D1833" s="52">
        <f ca="1">S0*EXP((μ-0.5*σ*σ)*T+σ*SQRT(T)*$C1833)</f>
        <v>0.60297855237696996</v>
      </c>
      <c r="E1833" s="52">
        <f t="shared" ca="1" si="85"/>
        <v>0</v>
      </c>
      <c r="F1833" s="17">
        <f t="shared" ca="1" si="86"/>
        <v>0</v>
      </c>
      <c r="H1833" s="17">
        <v>1824</v>
      </c>
      <c r="I1833" s="45">
        <v>0.67096413413654132</v>
      </c>
      <c r="J1833" s="45">
        <v>1.9059498034843858E-2</v>
      </c>
      <c r="K1833" s="45">
        <v>0.2462</v>
      </c>
      <c r="N1833" s="54"/>
    </row>
    <row r="1834" spans="2:14" x14ac:dyDescent="0.2">
      <c r="B1834">
        <v>1825</v>
      </c>
      <c r="C1834" s="52">
        <f t="shared" ca="1" si="87"/>
        <v>0.60039902638091436</v>
      </c>
      <c r="D1834" s="52">
        <f ca="1">S0*EXP((μ-0.5*σ*σ)*T+σ*SQRT(T)*$C1834)</f>
        <v>0.76007337309394307</v>
      </c>
      <c r="E1834" s="52">
        <f t="shared" ca="1" si="85"/>
        <v>0</v>
      </c>
      <c r="F1834" s="17">
        <f t="shared" ca="1" si="86"/>
        <v>0</v>
      </c>
      <c r="H1834" s="17">
        <v>1825</v>
      </c>
      <c r="I1834" s="45">
        <v>0.67191864069007834</v>
      </c>
      <c r="J1834" s="45">
        <v>1.9822388167671373E-2</v>
      </c>
      <c r="K1834" s="45">
        <v>0.25719999999999998</v>
      </c>
      <c r="N1834" s="54"/>
    </row>
    <row r="1835" spans="2:14" x14ac:dyDescent="0.2">
      <c r="B1835">
        <v>1826</v>
      </c>
      <c r="C1835" s="52">
        <f t="shared" ca="1" si="87"/>
        <v>-0.62428142128326525</v>
      </c>
      <c r="D1835" s="52">
        <f ca="1">S0*EXP((μ-0.5*σ*σ)*T+σ*SQRT(T)*$C1835)</f>
        <v>0.54178729425681371</v>
      </c>
      <c r="E1835" s="52">
        <f t="shared" ca="1" si="85"/>
        <v>0</v>
      </c>
      <c r="F1835" s="17">
        <f t="shared" ca="1" si="86"/>
        <v>0</v>
      </c>
      <c r="H1835" s="17">
        <v>1826</v>
      </c>
      <c r="I1835" s="45">
        <v>0.67163261802788177</v>
      </c>
      <c r="J1835" s="45">
        <v>1.9196513786849341E-2</v>
      </c>
      <c r="K1835" s="45">
        <v>0.2492</v>
      </c>
      <c r="N1835" s="54"/>
    </row>
    <row r="1836" spans="2:14" x14ac:dyDescent="0.2">
      <c r="B1836">
        <v>1827</v>
      </c>
      <c r="C1836" s="52">
        <f t="shared" ca="1" si="87"/>
        <v>1.2705934702928472</v>
      </c>
      <c r="D1836" s="52">
        <f ca="1">S0*EXP((μ-0.5*σ*σ)*T+σ*SQRT(T)*$C1836)</f>
        <v>0.91477534130136318</v>
      </c>
      <c r="E1836" s="52">
        <f t="shared" ca="1" si="85"/>
        <v>0</v>
      </c>
      <c r="F1836" s="17">
        <f t="shared" ca="1" si="86"/>
        <v>0</v>
      </c>
      <c r="H1836" s="17">
        <v>1827</v>
      </c>
      <c r="I1836" s="45">
        <v>0.67040162088882904</v>
      </c>
      <c r="J1836" s="45">
        <v>1.8592769766575378E-2</v>
      </c>
      <c r="K1836" s="45">
        <v>0.2382</v>
      </c>
      <c r="N1836" s="54"/>
    </row>
    <row r="1837" spans="2:14" x14ac:dyDescent="0.2">
      <c r="B1837">
        <v>1828</v>
      </c>
      <c r="C1837" s="52">
        <f t="shared" ca="1" si="87"/>
        <v>1.5255876988735899</v>
      </c>
      <c r="D1837" s="52">
        <f ca="1">S0*EXP((μ-0.5*σ*σ)*T+σ*SQRT(T)*$C1837)</f>
        <v>0.98158361576731146</v>
      </c>
      <c r="E1837" s="52">
        <f t="shared" ca="1" si="85"/>
        <v>0</v>
      </c>
      <c r="F1837" s="17">
        <f t="shared" ca="1" si="86"/>
        <v>0</v>
      </c>
      <c r="H1837" s="17">
        <v>1828</v>
      </c>
      <c r="I1837" s="45">
        <v>0.67128719871061271</v>
      </c>
      <c r="J1837" s="45">
        <v>1.9041557458337851E-2</v>
      </c>
      <c r="K1837" s="45">
        <v>0.24199999999999999</v>
      </c>
      <c r="N1837" s="54"/>
    </row>
    <row r="1838" spans="2:14" x14ac:dyDescent="0.2">
      <c r="B1838">
        <v>1829</v>
      </c>
      <c r="C1838" s="52">
        <f t="shared" ca="1" si="87"/>
        <v>1.211549318118905</v>
      </c>
      <c r="D1838" s="52">
        <f ca="1">S0*EXP((μ-0.5*σ*σ)*T+σ*SQRT(T)*$C1838)</f>
        <v>0.89996581847647072</v>
      </c>
      <c r="E1838" s="52">
        <f t="shared" ca="1" si="85"/>
        <v>0</v>
      </c>
      <c r="F1838" s="17">
        <f t="shared" ca="1" si="86"/>
        <v>0</v>
      </c>
      <c r="H1838" s="17">
        <v>1829</v>
      </c>
      <c r="I1838" s="45">
        <v>0.67169359221135838</v>
      </c>
      <c r="J1838" s="45">
        <v>1.932623228825513E-2</v>
      </c>
      <c r="K1838" s="45">
        <v>0.2472</v>
      </c>
      <c r="N1838" s="54"/>
    </row>
    <row r="1839" spans="2:14" x14ac:dyDescent="0.2">
      <c r="B1839">
        <v>1830</v>
      </c>
      <c r="C1839" s="52">
        <f t="shared" ca="1" si="87"/>
        <v>-1.1256774683078763</v>
      </c>
      <c r="D1839" s="52">
        <f ca="1">S0*EXP((μ-0.5*σ*σ)*T+σ*SQRT(T)*$C1839)</f>
        <v>0.47166609486270522</v>
      </c>
      <c r="E1839" s="52">
        <f t="shared" ca="1" si="85"/>
        <v>6.2733905137294765E-2</v>
      </c>
      <c r="F1839" s="17">
        <f t="shared" ca="1" si="86"/>
        <v>1</v>
      </c>
      <c r="H1839" s="17">
        <v>1830</v>
      </c>
      <c r="I1839" s="45">
        <v>0.6707346514530711</v>
      </c>
      <c r="J1839" s="45">
        <v>1.8943071710548109E-2</v>
      </c>
      <c r="K1839" s="45">
        <v>0.25</v>
      </c>
      <c r="N1839" s="54"/>
    </row>
    <row r="1840" spans="2:14" x14ac:dyDescent="0.2">
      <c r="B1840">
        <v>1831</v>
      </c>
      <c r="C1840" s="52">
        <f t="shared" ca="1" si="87"/>
        <v>-0.57521289935292708</v>
      </c>
      <c r="D1840" s="52">
        <f ca="1">S0*EXP((μ-0.5*σ*σ)*T+σ*SQRT(T)*$C1840)</f>
        <v>0.54918623684954471</v>
      </c>
      <c r="E1840" s="52">
        <f t="shared" ca="1" si="85"/>
        <v>0</v>
      </c>
      <c r="F1840" s="17">
        <f t="shared" ca="1" si="86"/>
        <v>0</v>
      </c>
      <c r="H1840" s="17">
        <v>1831</v>
      </c>
      <c r="I1840" s="45">
        <v>0.67050519733244962</v>
      </c>
      <c r="J1840" s="45">
        <v>1.8661746998536871E-2</v>
      </c>
      <c r="K1840" s="45">
        <v>0.24740000000000001</v>
      </c>
      <c r="N1840" s="54"/>
    </row>
    <row r="1841" spans="2:14" x14ac:dyDescent="0.2">
      <c r="B1841">
        <v>1832</v>
      </c>
      <c r="C1841" s="52">
        <f t="shared" ca="1" si="87"/>
        <v>0.36377837373640154</v>
      </c>
      <c r="D1841" s="52">
        <f ca="1">S0*EXP((μ-0.5*σ*σ)*T+σ*SQRT(T)*$C1841)</f>
        <v>0.71194832428464661</v>
      </c>
      <c r="E1841" s="52">
        <f t="shared" ca="1" si="85"/>
        <v>0</v>
      </c>
      <c r="F1841" s="17">
        <f t="shared" ca="1" si="86"/>
        <v>0</v>
      </c>
      <c r="H1841" s="17">
        <v>1832</v>
      </c>
      <c r="I1841" s="45">
        <v>0.67167659541953251</v>
      </c>
      <c r="J1841" s="45">
        <v>1.9727180814710851E-2</v>
      </c>
      <c r="K1841" s="45">
        <v>0.25440000000000002</v>
      </c>
      <c r="N1841" s="54"/>
    </row>
    <row r="1842" spans="2:14" x14ac:dyDescent="0.2">
      <c r="B1842">
        <v>1833</v>
      </c>
      <c r="C1842" s="52">
        <f t="shared" ca="1" si="87"/>
        <v>1.8212027869543148</v>
      </c>
      <c r="D1842" s="52">
        <f ca="1">S0*EXP((μ-0.5*σ*σ)*T+σ*SQRT(T)*$C1842)</f>
        <v>1.0651648166455323</v>
      </c>
      <c r="E1842" s="52">
        <f t="shared" ca="1" si="85"/>
        <v>0</v>
      </c>
      <c r="F1842" s="17">
        <f t="shared" ca="1" si="86"/>
        <v>0</v>
      </c>
      <c r="H1842" s="17">
        <v>1833</v>
      </c>
      <c r="I1842" s="45">
        <v>0.6713284453329541</v>
      </c>
      <c r="J1842" s="45">
        <v>1.9230061451061022E-2</v>
      </c>
      <c r="K1842" s="45">
        <v>0.24340000000000001</v>
      </c>
      <c r="N1842" s="54"/>
    </row>
    <row r="1843" spans="2:14" x14ac:dyDescent="0.2">
      <c r="B1843">
        <v>1834</v>
      </c>
      <c r="C1843" s="52">
        <f t="shared" ca="1" si="87"/>
        <v>1.2641772802191285</v>
      </c>
      <c r="D1843" s="52">
        <f ca="1">S0*EXP((μ-0.5*σ*σ)*T+σ*SQRT(T)*$C1843)</f>
        <v>0.91315429392630754</v>
      </c>
      <c r="E1843" s="52">
        <f t="shared" ca="1" si="85"/>
        <v>0</v>
      </c>
      <c r="F1843" s="17">
        <f t="shared" ca="1" si="86"/>
        <v>0</v>
      </c>
      <c r="H1843" s="17">
        <v>1834</v>
      </c>
      <c r="I1843" s="45">
        <v>0.67033282193164567</v>
      </c>
      <c r="J1843" s="45">
        <v>1.8550463483197784E-2</v>
      </c>
      <c r="K1843" s="45">
        <v>0.24099999999999999</v>
      </c>
      <c r="N1843" s="54"/>
    </row>
    <row r="1844" spans="2:14" x14ac:dyDescent="0.2">
      <c r="B1844">
        <v>1835</v>
      </c>
      <c r="C1844" s="52">
        <f t="shared" ca="1" si="87"/>
        <v>0.5754719131190339</v>
      </c>
      <c r="D1844" s="52">
        <f ca="1">S0*EXP((μ-0.5*σ*σ)*T+σ*SQRT(T)*$C1844)</f>
        <v>0.75485396568311602</v>
      </c>
      <c r="E1844" s="52">
        <f t="shared" ca="1" si="85"/>
        <v>0</v>
      </c>
      <c r="F1844" s="17">
        <f t="shared" ca="1" si="86"/>
        <v>0</v>
      </c>
      <c r="H1844" s="17">
        <v>1835</v>
      </c>
      <c r="I1844" s="45">
        <v>0.67221740600860613</v>
      </c>
      <c r="J1844" s="45">
        <v>1.9804975541129824E-2</v>
      </c>
      <c r="K1844" s="45">
        <v>0.24440000000000001</v>
      </c>
      <c r="N1844" s="54"/>
    </row>
    <row r="1845" spans="2:14" x14ac:dyDescent="0.2">
      <c r="B1845">
        <v>1836</v>
      </c>
      <c r="C1845" s="52">
        <f t="shared" ca="1" si="87"/>
        <v>-0.43447676084702741</v>
      </c>
      <c r="D1845" s="52">
        <f ca="1">S0*EXP((μ-0.5*σ*σ)*T+σ*SQRT(T)*$C1845)</f>
        <v>0.57097284845351459</v>
      </c>
      <c r="E1845" s="52">
        <f t="shared" ca="1" si="85"/>
        <v>0</v>
      </c>
      <c r="F1845" s="17">
        <f t="shared" ca="1" si="86"/>
        <v>0</v>
      </c>
      <c r="H1845" s="17">
        <v>1836</v>
      </c>
      <c r="I1845" s="45">
        <v>0.67112353855126339</v>
      </c>
      <c r="J1845" s="45">
        <v>1.8946026826985318E-2</v>
      </c>
      <c r="K1845" s="45">
        <v>0.2462</v>
      </c>
      <c r="N1845" s="54"/>
    </row>
    <row r="1846" spans="2:14" x14ac:dyDescent="0.2">
      <c r="B1846">
        <v>1837</v>
      </c>
      <c r="C1846" s="52">
        <f t="shared" ca="1" si="87"/>
        <v>0.54689151570159633</v>
      </c>
      <c r="D1846" s="52">
        <f ca="1">S0*EXP((μ-0.5*σ*σ)*T+σ*SQRT(T)*$C1846)</f>
        <v>0.74891369995377766</v>
      </c>
      <c r="E1846" s="52">
        <f t="shared" ca="1" si="85"/>
        <v>0</v>
      </c>
      <c r="F1846" s="17">
        <f t="shared" ca="1" si="86"/>
        <v>0</v>
      </c>
      <c r="H1846" s="17">
        <v>1837</v>
      </c>
      <c r="I1846" s="45">
        <v>0.67010896095705852</v>
      </c>
      <c r="J1846" s="45">
        <v>1.8480072039607141E-2</v>
      </c>
      <c r="K1846" s="45">
        <v>0.24859999999999999</v>
      </c>
      <c r="N1846" s="54"/>
    </row>
    <row r="1847" spans="2:14" x14ac:dyDescent="0.2">
      <c r="B1847">
        <v>1838</v>
      </c>
      <c r="C1847" s="52">
        <f t="shared" ca="1" si="87"/>
        <v>2.2451168799593613</v>
      </c>
      <c r="D1847" s="52">
        <f ca="1">S0*EXP((μ-0.5*σ*σ)*T+σ*SQRT(T)*$C1847)</f>
        <v>1.1975923695215493</v>
      </c>
      <c r="E1847" s="52">
        <f t="shared" ca="1" si="85"/>
        <v>0</v>
      </c>
      <c r="F1847" s="17">
        <f t="shared" ca="1" si="86"/>
        <v>0</v>
      </c>
      <c r="H1847" s="17">
        <v>1838</v>
      </c>
      <c r="I1847" s="45">
        <v>0.67114847095336538</v>
      </c>
      <c r="J1847" s="45">
        <v>1.8913287727068278E-2</v>
      </c>
      <c r="K1847" s="45">
        <v>0.24479999999999999</v>
      </c>
      <c r="N1847" s="54"/>
    </row>
    <row r="1848" spans="2:14" x14ac:dyDescent="0.2">
      <c r="B1848">
        <v>1839</v>
      </c>
      <c r="C1848" s="52">
        <f t="shared" ca="1" si="87"/>
        <v>9.2289603833385706E-2</v>
      </c>
      <c r="D1848" s="52">
        <f ca="1">S0*EXP((μ-0.5*σ*σ)*T+σ*SQRT(T)*$C1848)</f>
        <v>0.66047350368061886</v>
      </c>
      <c r="E1848" s="52">
        <f t="shared" ca="1" si="85"/>
        <v>0</v>
      </c>
      <c r="F1848" s="17">
        <f t="shared" ca="1" si="86"/>
        <v>0</v>
      </c>
      <c r="H1848" s="17">
        <v>1839</v>
      </c>
      <c r="I1848" s="45">
        <v>0.67112566322064415</v>
      </c>
      <c r="J1848" s="45">
        <v>1.9166833083688214E-2</v>
      </c>
      <c r="K1848" s="45">
        <v>0.25219999999999998</v>
      </c>
      <c r="N1848" s="54"/>
    </row>
    <row r="1849" spans="2:14" x14ac:dyDescent="0.2">
      <c r="B1849">
        <v>1840</v>
      </c>
      <c r="C1849" s="52">
        <f t="shared" ca="1" si="87"/>
        <v>-0.11878688964801412</v>
      </c>
      <c r="D1849" s="52">
        <f ca="1">S0*EXP((μ-0.5*σ*σ)*T+σ*SQRT(T)*$C1849)</f>
        <v>0.6230386790925152</v>
      </c>
      <c r="E1849" s="52">
        <f t="shared" ca="1" si="85"/>
        <v>0</v>
      </c>
      <c r="F1849" s="17">
        <f t="shared" ca="1" si="86"/>
        <v>0</v>
      </c>
      <c r="H1849" s="17">
        <v>1840</v>
      </c>
      <c r="I1849" s="45">
        <v>0.6695928500383046</v>
      </c>
      <c r="J1849" s="45">
        <v>1.8110538662723771E-2</v>
      </c>
      <c r="K1849" s="45">
        <v>0.23960000000000001</v>
      </c>
      <c r="N1849" s="54"/>
    </row>
    <row r="1850" spans="2:14" x14ac:dyDescent="0.2">
      <c r="B1850">
        <v>1841</v>
      </c>
      <c r="C1850" s="52">
        <f t="shared" ca="1" si="87"/>
        <v>-9.4643086057492984E-2</v>
      </c>
      <c r="D1850" s="52">
        <f ca="1">S0*EXP((μ-0.5*σ*σ)*T+σ*SQRT(T)*$C1850)</f>
        <v>0.6272108289177093</v>
      </c>
      <c r="E1850" s="52">
        <f t="shared" ca="1" si="85"/>
        <v>0</v>
      </c>
      <c r="F1850" s="17">
        <f t="shared" ca="1" si="86"/>
        <v>0</v>
      </c>
      <c r="H1850" s="17">
        <v>1841</v>
      </c>
      <c r="I1850" s="45">
        <v>0.6715561698361594</v>
      </c>
      <c r="J1850" s="45">
        <v>1.9431531507543818E-2</v>
      </c>
      <c r="K1850" s="45">
        <v>0.24779999999999999</v>
      </c>
      <c r="N1850" s="54"/>
    </row>
    <row r="1851" spans="2:14" x14ac:dyDescent="0.2">
      <c r="B1851">
        <v>1842</v>
      </c>
      <c r="C1851" s="52">
        <f t="shared" ca="1" si="87"/>
        <v>2.1712550610588028</v>
      </c>
      <c r="D1851" s="52">
        <f ca="1">S0*EXP((μ-0.5*σ*σ)*T+σ*SQRT(T)*$C1851)</f>
        <v>1.1733880981523783</v>
      </c>
      <c r="E1851" s="52">
        <f t="shared" ca="1" si="85"/>
        <v>0</v>
      </c>
      <c r="F1851" s="17">
        <f t="shared" ca="1" si="86"/>
        <v>0</v>
      </c>
      <c r="H1851" s="17">
        <v>1842</v>
      </c>
      <c r="I1851" s="45">
        <v>0.67079842105046117</v>
      </c>
      <c r="J1851" s="45">
        <v>1.8887519121954736E-2</v>
      </c>
      <c r="K1851" s="45">
        <v>0.23980000000000001</v>
      </c>
      <c r="N1851" s="54"/>
    </row>
    <row r="1852" spans="2:14" x14ac:dyDescent="0.2">
      <c r="B1852">
        <v>1843</v>
      </c>
      <c r="C1852" s="52">
        <f t="shared" ca="1" si="87"/>
        <v>1.0763528096443351</v>
      </c>
      <c r="D1852" s="52">
        <f ca="1">S0*EXP((μ-0.5*σ*σ)*T+σ*SQRT(T)*$C1852)</f>
        <v>0.86695239933511414</v>
      </c>
      <c r="E1852" s="52">
        <f t="shared" ca="1" si="85"/>
        <v>0</v>
      </c>
      <c r="F1852" s="17">
        <f t="shared" ca="1" si="86"/>
        <v>0</v>
      </c>
      <c r="H1852" s="17">
        <v>1843</v>
      </c>
      <c r="I1852" s="45">
        <v>0.67141515637897664</v>
      </c>
      <c r="J1852" s="45">
        <v>1.9396324150832062E-2</v>
      </c>
      <c r="K1852" s="45">
        <v>0.24979999999999999</v>
      </c>
      <c r="N1852" s="54"/>
    </row>
    <row r="1853" spans="2:14" x14ac:dyDescent="0.2">
      <c r="B1853">
        <v>1844</v>
      </c>
      <c r="C1853" s="52">
        <f t="shared" ca="1" si="87"/>
        <v>-1.3694103877767054</v>
      </c>
      <c r="D1853" s="52">
        <f ca="1">S0*EXP((μ-0.5*σ*σ)*T+σ*SQRT(T)*$C1853)</f>
        <v>0.44093417694256082</v>
      </c>
      <c r="E1853" s="52">
        <f t="shared" ca="1" si="85"/>
        <v>9.3465823057439168E-2</v>
      </c>
      <c r="F1853" s="17">
        <f t="shared" ca="1" si="86"/>
        <v>1</v>
      </c>
      <c r="H1853" s="17">
        <v>1844</v>
      </c>
      <c r="I1853" s="45">
        <v>0.66996503410158315</v>
      </c>
      <c r="J1853" s="45">
        <v>1.8301328427933923E-2</v>
      </c>
      <c r="K1853" s="45">
        <v>0.2422</v>
      </c>
      <c r="N1853" s="54"/>
    </row>
    <row r="1854" spans="2:14" x14ac:dyDescent="0.2">
      <c r="B1854">
        <v>1845</v>
      </c>
      <c r="C1854" s="52">
        <f t="shared" ca="1" si="87"/>
        <v>1.0540476693214702</v>
      </c>
      <c r="D1854" s="52">
        <f ca="1">S0*EXP((μ-0.5*σ*σ)*T+σ*SQRT(T)*$C1854)</f>
        <v>0.86162333305667194</v>
      </c>
      <c r="E1854" s="52">
        <f t="shared" ca="1" si="85"/>
        <v>0</v>
      </c>
      <c r="F1854" s="17">
        <f t="shared" ca="1" si="86"/>
        <v>0</v>
      </c>
      <c r="H1854" s="17">
        <v>1845</v>
      </c>
      <c r="I1854" s="45">
        <v>0.67169068958611744</v>
      </c>
      <c r="J1854" s="45">
        <v>1.9653132402483519E-2</v>
      </c>
      <c r="K1854" s="45">
        <v>0.25340000000000001</v>
      </c>
      <c r="N1854" s="54"/>
    </row>
    <row r="1855" spans="2:14" x14ac:dyDescent="0.2">
      <c r="B1855">
        <v>1846</v>
      </c>
      <c r="C1855" s="52">
        <f t="shared" ca="1" si="87"/>
        <v>0.4037214649560853</v>
      </c>
      <c r="D1855" s="52">
        <f ca="1">S0*EXP((μ-0.5*σ*σ)*T+σ*SQRT(T)*$C1855)</f>
        <v>0.71985291009793639</v>
      </c>
      <c r="E1855" s="52">
        <f t="shared" ca="1" si="85"/>
        <v>0</v>
      </c>
      <c r="F1855" s="17">
        <f t="shared" ca="1" si="86"/>
        <v>0</v>
      </c>
      <c r="H1855" s="17">
        <v>1846</v>
      </c>
      <c r="I1855" s="45">
        <v>0.67137404838664116</v>
      </c>
      <c r="J1855" s="45">
        <v>1.9249844002166991E-2</v>
      </c>
      <c r="K1855" s="45">
        <v>0.24479999999999999</v>
      </c>
      <c r="N1855" s="54"/>
    </row>
    <row r="1856" spans="2:14" x14ac:dyDescent="0.2">
      <c r="B1856">
        <v>1847</v>
      </c>
      <c r="C1856" s="52">
        <f t="shared" ca="1" si="87"/>
        <v>-2.6577476419239576</v>
      </c>
      <c r="D1856" s="52">
        <f ca="1">S0*EXP((μ-0.5*σ*σ)*T+σ*SQRT(T)*$C1856)</f>
        <v>0.30881960409961051</v>
      </c>
      <c r="E1856" s="52">
        <f t="shared" ca="1" si="85"/>
        <v>0.22558039590038947</v>
      </c>
      <c r="F1856" s="17">
        <f t="shared" ca="1" si="86"/>
        <v>1</v>
      </c>
      <c r="H1856" s="17">
        <v>1847</v>
      </c>
      <c r="I1856" s="45">
        <v>0.67083860520273519</v>
      </c>
      <c r="J1856" s="45">
        <v>1.9161145752086894E-2</v>
      </c>
      <c r="K1856" s="45">
        <v>0.2482</v>
      </c>
      <c r="N1856" s="54"/>
    </row>
    <row r="1857" spans="2:14" x14ac:dyDescent="0.2">
      <c r="B1857">
        <v>1848</v>
      </c>
      <c r="C1857" s="52">
        <f t="shared" ca="1" si="87"/>
        <v>0.19352543382376683</v>
      </c>
      <c r="D1857" s="52">
        <f ca="1">S0*EXP((μ-0.5*σ*σ)*T+σ*SQRT(T)*$C1857)</f>
        <v>0.67921782753790505</v>
      </c>
      <c r="E1857" s="52">
        <f t="shared" ca="1" si="85"/>
        <v>0</v>
      </c>
      <c r="F1857" s="17">
        <f t="shared" ca="1" si="86"/>
        <v>0</v>
      </c>
      <c r="H1857" s="17">
        <v>1848</v>
      </c>
      <c r="I1857" s="45">
        <v>0.67137323673734495</v>
      </c>
      <c r="J1857" s="45">
        <v>1.9337593527015761E-2</v>
      </c>
      <c r="K1857" s="45">
        <v>0.24740000000000001</v>
      </c>
      <c r="N1857" s="54"/>
    </row>
    <row r="1858" spans="2:14" x14ac:dyDescent="0.2">
      <c r="B1858">
        <v>1849</v>
      </c>
      <c r="C1858" s="52">
        <f t="shared" ca="1" si="87"/>
        <v>-0.78821942808129064</v>
      </c>
      <c r="D1858" s="52">
        <f ca="1">S0*EXP((μ-0.5*σ*σ)*T+σ*SQRT(T)*$C1858)</f>
        <v>0.51778271399050213</v>
      </c>
      <c r="E1858" s="52">
        <f t="shared" ca="1" si="85"/>
        <v>1.6617286009497856E-2</v>
      </c>
      <c r="F1858" s="17">
        <f t="shared" ca="1" si="86"/>
        <v>1</v>
      </c>
      <c r="H1858" s="17">
        <v>1849</v>
      </c>
      <c r="I1858" s="45">
        <v>0.67152853328713802</v>
      </c>
      <c r="J1858" s="45">
        <v>1.9437431157859741E-2</v>
      </c>
      <c r="K1858" s="45">
        <v>0.25059999999999999</v>
      </c>
      <c r="N1858" s="54"/>
    </row>
    <row r="1859" spans="2:14" x14ac:dyDescent="0.2">
      <c r="B1859">
        <v>1850</v>
      </c>
      <c r="C1859" s="52">
        <f t="shared" ca="1" si="87"/>
        <v>1.1013902529312807</v>
      </c>
      <c r="D1859" s="52">
        <f ca="1">S0*EXP((μ-0.5*σ*σ)*T+σ*SQRT(T)*$C1859)</f>
        <v>0.8729735311050314</v>
      </c>
      <c r="E1859" s="52">
        <f t="shared" ca="1" si="85"/>
        <v>0</v>
      </c>
      <c r="F1859" s="17">
        <f t="shared" ca="1" si="86"/>
        <v>0</v>
      </c>
      <c r="H1859" s="17">
        <v>1850</v>
      </c>
      <c r="I1859" s="45">
        <v>0.67040054002061911</v>
      </c>
      <c r="J1859" s="45">
        <v>1.8666901599049573E-2</v>
      </c>
      <c r="K1859" s="45">
        <v>0.24959999999999999</v>
      </c>
      <c r="N1859" s="54"/>
    </row>
    <row r="1860" spans="2:14" x14ac:dyDescent="0.2">
      <c r="B1860">
        <v>1851</v>
      </c>
      <c r="C1860" s="52">
        <f t="shared" ca="1" si="87"/>
        <v>0.97467381305687428</v>
      </c>
      <c r="D1860" s="52">
        <f ca="1">S0*EXP((μ-0.5*σ*σ)*T+σ*SQRT(T)*$C1860)</f>
        <v>0.84292390919418869</v>
      </c>
      <c r="E1860" s="52">
        <f t="shared" ca="1" si="85"/>
        <v>0</v>
      </c>
      <c r="F1860" s="17">
        <f t="shared" ca="1" si="86"/>
        <v>0</v>
      </c>
      <c r="H1860" s="17">
        <v>1851</v>
      </c>
      <c r="I1860" s="45">
        <v>0.67065862835909584</v>
      </c>
      <c r="J1860" s="45">
        <v>1.8816721982621836E-2</v>
      </c>
      <c r="K1860" s="45">
        <v>0.24360000000000001</v>
      </c>
      <c r="N1860" s="54"/>
    </row>
    <row r="1861" spans="2:14" x14ac:dyDescent="0.2">
      <c r="B1861">
        <v>1852</v>
      </c>
      <c r="C1861" s="52">
        <f t="shared" ca="1" si="87"/>
        <v>0.96885706696019969</v>
      </c>
      <c r="D1861" s="52">
        <f ca="1">S0*EXP((μ-0.5*σ*σ)*T+σ*SQRT(T)*$C1861)</f>
        <v>0.84156962911861144</v>
      </c>
      <c r="E1861" s="52">
        <f t="shared" ca="1" si="85"/>
        <v>0</v>
      </c>
      <c r="F1861" s="17">
        <f t="shared" ca="1" si="86"/>
        <v>0</v>
      </c>
      <c r="H1861" s="17">
        <v>1852</v>
      </c>
      <c r="I1861" s="45">
        <v>0.67100732661319584</v>
      </c>
      <c r="J1861" s="45">
        <v>1.9126795347585112E-2</v>
      </c>
      <c r="K1861" s="45">
        <v>0.24779999999999999</v>
      </c>
      <c r="N1861" s="54"/>
    </row>
    <row r="1862" spans="2:14" x14ac:dyDescent="0.2">
      <c r="B1862">
        <v>1853</v>
      </c>
      <c r="C1862" s="52">
        <f t="shared" ca="1" si="87"/>
        <v>0.1156688780461058</v>
      </c>
      <c r="D1862" s="52">
        <f ca="1">S0*EXP((μ-0.5*σ*σ)*T+σ*SQRT(T)*$C1862)</f>
        <v>0.66475582922463183</v>
      </c>
      <c r="E1862" s="52">
        <f t="shared" ca="1" si="85"/>
        <v>0</v>
      </c>
      <c r="F1862" s="17">
        <f t="shared" ca="1" si="86"/>
        <v>0</v>
      </c>
      <c r="H1862" s="17">
        <v>1853</v>
      </c>
      <c r="I1862" s="45">
        <v>0.67196331854658464</v>
      </c>
      <c r="J1862" s="45">
        <v>1.9689672312335125E-2</v>
      </c>
      <c r="K1862" s="45">
        <v>0.251</v>
      </c>
      <c r="N1862" s="54"/>
    </row>
    <row r="1863" spans="2:14" x14ac:dyDescent="0.2">
      <c r="B1863">
        <v>1854</v>
      </c>
      <c r="C1863" s="52">
        <f t="shared" ca="1" si="87"/>
        <v>-0.82573128895838299</v>
      </c>
      <c r="D1863" s="52">
        <f ca="1">S0*EXP((μ-0.5*σ*σ)*T+σ*SQRT(T)*$C1863)</f>
        <v>0.512441308895487</v>
      </c>
      <c r="E1863" s="52">
        <f t="shared" ca="1" si="85"/>
        <v>2.1958691104512984E-2</v>
      </c>
      <c r="F1863" s="17">
        <f t="shared" ca="1" si="86"/>
        <v>1</v>
      </c>
      <c r="H1863" s="17">
        <v>1854</v>
      </c>
      <c r="I1863" s="45">
        <v>0.67079152905217176</v>
      </c>
      <c r="J1863" s="45">
        <v>1.895079610381557E-2</v>
      </c>
      <c r="K1863" s="45">
        <v>0.24759999999999999</v>
      </c>
      <c r="N1863" s="54"/>
    </row>
    <row r="1864" spans="2:14" x14ac:dyDescent="0.2">
      <c r="B1864">
        <v>1855</v>
      </c>
      <c r="C1864" s="52">
        <f t="shared" ca="1" si="87"/>
        <v>0.75156039688183951</v>
      </c>
      <c r="D1864" s="52">
        <f ca="1">S0*EXP((μ-0.5*σ*σ)*T+σ*SQRT(T)*$C1864)</f>
        <v>0.792506644292441</v>
      </c>
      <c r="E1864" s="52">
        <f t="shared" ca="1" si="85"/>
        <v>0</v>
      </c>
      <c r="F1864" s="17">
        <f t="shared" ca="1" si="86"/>
        <v>0</v>
      </c>
      <c r="H1864" s="17">
        <v>1855</v>
      </c>
      <c r="I1864" s="45">
        <v>0.67099848007227425</v>
      </c>
      <c r="J1864" s="45">
        <v>1.9360503923576012E-2</v>
      </c>
      <c r="K1864" s="45">
        <v>0.24879999999999999</v>
      </c>
      <c r="N1864" s="54"/>
    </row>
    <row r="1865" spans="2:14" x14ac:dyDescent="0.2">
      <c r="B1865">
        <v>1856</v>
      </c>
      <c r="C1865" s="52">
        <f t="shared" ca="1" si="87"/>
        <v>0.3373499054264682</v>
      </c>
      <c r="D1865" s="52">
        <f ca="1">S0*EXP((μ-0.5*σ*σ)*T+σ*SQRT(T)*$C1865)</f>
        <v>0.70676600527191891</v>
      </c>
      <c r="E1865" s="52">
        <f t="shared" ca="1" si="85"/>
        <v>0</v>
      </c>
      <c r="F1865" s="17">
        <f t="shared" ca="1" si="86"/>
        <v>0</v>
      </c>
      <c r="H1865" s="17">
        <v>1856</v>
      </c>
      <c r="I1865" s="45">
        <v>0.67144008893553597</v>
      </c>
      <c r="J1865" s="45">
        <v>1.920023448506809E-2</v>
      </c>
      <c r="K1865" s="45">
        <v>0.2472</v>
      </c>
      <c r="N1865" s="54"/>
    </row>
    <row r="1866" spans="2:14" x14ac:dyDescent="0.2">
      <c r="B1866">
        <v>1857</v>
      </c>
      <c r="C1866" s="52">
        <f t="shared" ca="1" si="87"/>
        <v>0.47253484156413417</v>
      </c>
      <c r="D1866" s="52">
        <f ca="1">S0*EXP((μ-0.5*σ*σ)*T+σ*SQRT(T)*$C1866)</f>
        <v>0.73367720320424046</v>
      </c>
      <c r="E1866" s="52">
        <f t="shared" ref="E1866:E1929" ca="1" si="88">MAX(0,CP*(D1866-K))</f>
        <v>0</v>
      </c>
      <c r="F1866" s="17">
        <f t="shared" ref="F1866:F1929" ca="1" si="89">(CP*(D1866-K)&gt;0)*1</f>
        <v>0</v>
      </c>
      <c r="H1866" s="17">
        <v>1857</v>
      </c>
      <c r="I1866" s="45">
        <v>0.67127229437465841</v>
      </c>
      <c r="J1866" s="45">
        <v>1.9019705700331718E-2</v>
      </c>
      <c r="K1866" s="45">
        <v>0.24579999999999999</v>
      </c>
      <c r="N1866" s="54"/>
    </row>
    <row r="1867" spans="2:14" x14ac:dyDescent="0.2">
      <c r="B1867">
        <v>1858</v>
      </c>
      <c r="C1867" s="52">
        <f t="shared" ref="C1867:C1930" ca="1" si="90">_xlfn.NORM.S.INV(RAND())</f>
        <v>-0.2269049850325035</v>
      </c>
      <c r="D1867" s="52">
        <f ca="1">S0*EXP((μ-0.5*σ*σ)*T+σ*SQRT(T)*$C1867)</f>
        <v>0.60469321409081034</v>
      </c>
      <c r="E1867" s="52">
        <f t="shared" ca="1" si="88"/>
        <v>0</v>
      </c>
      <c r="F1867" s="17">
        <f t="shared" ca="1" si="89"/>
        <v>0</v>
      </c>
      <c r="H1867" s="17">
        <v>1858</v>
      </c>
      <c r="I1867" s="45">
        <v>0.6716907466485208</v>
      </c>
      <c r="J1867" s="45">
        <v>1.9368448295794798E-2</v>
      </c>
      <c r="K1867" s="45">
        <v>0.25159999999999999</v>
      </c>
      <c r="N1867" s="54"/>
    </row>
    <row r="1868" spans="2:14" x14ac:dyDescent="0.2">
      <c r="B1868">
        <v>1859</v>
      </c>
      <c r="C1868" s="52">
        <f t="shared" ca="1" si="90"/>
        <v>-0.62242522224255692</v>
      </c>
      <c r="D1868" s="52">
        <f ca="1">S0*EXP((μ-0.5*σ*σ)*T+σ*SQRT(T)*$C1868)</f>
        <v>0.54206536411007988</v>
      </c>
      <c r="E1868" s="52">
        <f t="shared" ca="1" si="88"/>
        <v>0</v>
      </c>
      <c r="F1868" s="17">
        <f t="shared" ca="1" si="89"/>
        <v>0</v>
      </c>
      <c r="H1868" s="17">
        <v>1859</v>
      </c>
      <c r="I1868" s="45">
        <v>0.67154017507350217</v>
      </c>
      <c r="J1868" s="45">
        <v>1.9228931727881919E-2</v>
      </c>
      <c r="K1868" s="45">
        <v>0.2442</v>
      </c>
      <c r="N1868" s="54"/>
    </row>
    <row r="1869" spans="2:14" x14ac:dyDescent="0.2">
      <c r="B1869">
        <v>1860</v>
      </c>
      <c r="C1869" s="52">
        <f t="shared" ca="1" si="90"/>
        <v>-0.16636153826256531</v>
      </c>
      <c r="D1869" s="52">
        <f ca="1">S0*EXP((μ-0.5*σ*σ)*T+σ*SQRT(T)*$C1869)</f>
        <v>0.61489862843621823</v>
      </c>
      <c r="E1869" s="52">
        <f t="shared" ca="1" si="88"/>
        <v>0</v>
      </c>
      <c r="F1869" s="17">
        <f t="shared" ca="1" si="89"/>
        <v>0</v>
      </c>
      <c r="H1869" s="17">
        <v>1860</v>
      </c>
      <c r="I1869" s="45">
        <v>0.67208668327144261</v>
      </c>
      <c r="J1869" s="45">
        <v>1.9726881571080396E-2</v>
      </c>
      <c r="K1869" s="45">
        <v>0.24379999999999999</v>
      </c>
      <c r="N1869" s="54"/>
    </row>
    <row r="1870" spans="2:14" x14ac:dyDescent="0.2">
      <c r="B1870">
        <v>1861</v>
      </c>
      <c r="C1870" s="52">
        <f t="shared" ca="1" si="90"/>
        <v>-1.1142182105826242</v>
      </c>
      <c r="D1870" s="52">
        <f ca="1">S0*EXP((μ-0.5*σ*σ)*T+σ*SQRT(T)*$C1870)</f>
        <v>0.47316256587598027</v>
      </c>
      <c r="E1870" s="52">
        <f t="shared" ca="1" si="88"/>
        <v>6.1237434124019718E-2</v>
      </c>
      <c r="F1870" s="17">
        <f t="shared" ca="1" si="89"/>
        <v>1</v>
      </c>
      <c r="H1870" s="17">
        <v>1861</v>
      </c>
      <c r="I1870" s="45">
        <v>0.67131724837725237</v>
      </c>
      <c r="J1870" s="45">
        <v>1.9401070677555306E-2</v>
      </c>
      <c r="K1870" s="45">
        <v>0.24440000000000001</v>
      </c>
      <c r="N1870" s="54"/>
    </row>
    <row r="1871" spans="2:14" x14ac:dyDescent="0.2">
      <c r="B1871">
        <v>1862</v>
      </c>
      <c r="C1871" s="52">
        <f t="shared" ca="1" si="90"/>
        <v>-1.3508139606725325</v>
      </c>
      <c r="D1871" s="52">
        <f ca="1">S0*EXP((μ-0.5*σ*σ)*T+σ*SQRT(T)*$C1871)</f>
        <v>0.44320670447770344</v>
      </c>
      <c r="E1871" s="52">
        <f t="shared" ca="1" si="88"/>
        <v>9.1193295522296547E-2</v>
      </c>
      <c r="F1871" s="17">
        <f t="shared" ca="1" si="89"/>
        <v>1</v>
      </c>
      <c r="H1871" s="17">
        <v>1862</v>
      </c>
      <c r="I1871" s="45">
        <v>0.67077862579696179</v>
      </c>
      <c r="J1871" s="45">
        <v>1.8805941247298837E-2</v>
      </c>
      <c r="K1871" s="45">
        <v>0.24679999999999999</v>
      </c>
      <c r="N1871" s="54"/>
    </row>
    <row r="1872" spans="2:14" x14ac:dyDescent="0.2">
      <c r="B1872">
        <v>1863</v>
      </c>
      <c r="C1872" s="52">
        <f t="shared" ca="1" si="90"/>
        <v>-1.0088510086772875</v>
      </c>
      <c r="D1872" s="52">
        <f ca="1">S0*EXP((μ-0.5*σ*σ)*T+σ*SQRT(T)*$C1872)</f>
        <v>0.48714700747247197</v>
      </c>
      <c r="E1872" s="52">
        <f t="shared" ca="1" si="88"/>
        <v>4.7252992527528015E-2</v>
      </c>
      <c r="F1872" s="17">
        <f t="shared" ca="1" si="89"/>
        <v>1</v>
      </c>
      <c r="H1872" s="17">
        <v>1863</v>
      </c>
      <c r="I1872" s="45">
        <v>0.67076056859554567</v>
      </c>
      <c r="J1872" s="45">
        <v>1.8785172317166521E-2</v>
      </c>
      <c r="K1872" s="45">
        <v>0.2482</v>
      </c>
      <c r="N1872" s="54"/>
    </row>
    <row r="1873" spans="2:14" x14ac:dyDescent="0.2">
      <c r="B1873">
        <v>1864</v>
      </c>
      <c r="C1873" s="52">
        <f t="shared" ca="1" si="90"/>
        <v>-1.7735539577439328</v>
      </c>
      <c r="D1873" s="52">
        <f ca="1">S0*EXP((μ-0.5*σ*σ)*T+σ*SQRT(T)*$C1873)</f>
        <v>0.39432568637828902</v>
      </c>
      <c r="E1873" s="52">
        <f t="shared" ca="1" si="88"/>
        <v>0.14007431362171097</v>
      </c>
      <c r="F1873" s="17">
        <f t="shared" ca="1" si="89"/>
        <v>1</v>
      </c>
      <c r="H1873" s="17">
        <v>1864</v>
      </c>
      <c r="I1873" s="45">
        <v>0.66949745095315416</v>
      </c>
      <c r="J1873" s="45">
        <v>1.7968320918290367E-2</v>
      </c>
      <c r="K1873" s="45">
        <v>0.23760000000000001</v>
      </c>
      <c r="N1873" s="54"/>
    </row>
    <row r="1874" spans="2:14" x14ac:dyDescent="0.2">
      <c r="B1874">
        <v>1865</v>
      </c>
      <c r="C1874" s="52">
        <f t="shared" ca="1" si="90"/>
        <v>0.81162233634464565</v>
      </c>
      <c r="D1874" s="52">
        <f ca="1">S0*EXP((μ-0.5*σ*σ)*T+σ*SQRT(T)*$C1874)</f>
        <v>0.80577452889196444</v>
      </c>
      <c r="E1874" s="52">
        <f t="shared" ca="1" si="88"/>
        <v>0</v>
      </c>
      <c r="F1874" s="17">
        <f t="shared" ca="1" si="89"/>
        <v>0</v>
      </c>
      <c r="H1874" s="17">
        <v>1865</v>
      </c>
      <c r="I1874" s="45">
        <v>0.67080020322093159</v>
      </c>
      <c r="J1874" s="45">
        <v>1.8998271873725502E-2</v>
      </c>
      <c r="K1874" s="45">
        <v>0.2452</v>
      </c>
      <c r="N1874" s="54"/>
    </row>
    <row r="1875" spans="2:14" x14ac:dyDescent="0.2">
      <c r="B1875">
        <v>1866</v>
      </c>
      <c r="C1875" s="52">
        <f t="shared" ca="1" si="90"/>
        <v>0.63057203953690844</v>
      </c>
      <c r="D1875" s="52">
        <f ca="1">S0*EXP((μ-0.5*σ*σ)*T+σ*SQRT(T)*$C1875)</f>
        <v>0.76643950691488416</v>
      </c>
      <c r="E1875" s="52">
        <f t="shared" ca="1" si="88"/>
        <v>0</v>
      </c>
      <c r="F1875" s="17">
        <f t="shared" ca="1" si="89"/>
        <v>0</v>
      </c>
      <c r="H1875" s="17">
        <v>1866</v>
      </c>
      <c r="I1875" s="45">
        <v>0.67160339309454953</v>
      </c>
      <c r="J1875" s="45">
        <v>1.9269766239869632E-2</v>
      </c>
      <c r="K1875" s="45">
        <v>0.24660000000000001</v>
      </c>
      <c r="N1875" s="54"/>
    </row>
    <row r="1876" spans="2:14" x14ac:dyDescent="0.2">
      <c r="B1876">
        <v>1867</v>
      </c>
      <c r="C1876" s="52">
        <f t="shared" ca="1" si="90"/>
        <v>-8.1095299777708043E-3</v>
      </c>
      <c r="D1876" s="52">
        <f ca="1">S0*EXP((μ-0.5*σ*σ)*T+σ*SQRT(T)*$C1876)</f>
        <v>0.64239502791684444</v>
      </c>
      <c r="E1876" s="52">
        <f t="shared" ca="1" si="88"/>
        <v>0</v>
      </c>
      <c r="F1876" s="17">
        <f t="shared" ca="1" si="89"/>
        <v>0</v>
      </c>
      <c r="H1876" s="17">
        <v>1867</v>
      </c>
      <c r="I1876" s="45">
        <v>0.67099045916198008</v>
      </c>
      <c r="J1876" s="45">
        <v>1.9069915919981729E-2</v>
      </c>
      <c r="K1876" s="45">
        <v>0.249</v>
      </c>
      <c r="N1876" s="54"/>
    </row>
    <row r="1877" spans="2:14" x14ac:dyDescent="0.2">
      <c r="B1877">
        <v>1868</v>
      </c>
      <c r="C1877" s="52">
        <f t="shared" ca="1" si="90"/>
        <v>0.78470373385732839</v>
      </c>
      <c r="D1877" s="52">
        <f ca="1">S0*EXP((μ-0.5*σ*σ)*T+σ*SQRT(T)*$C1877)</f>
        <v>0.79980087114121701</v>
      </c>
      <c r="E1877" s="52">
        <f t="shared" ca="1" si="88"/>
        <v>0</v>
      </c>
      <c r="F1877" s="17">
        <f t="shared" ca="1" si="89"/>
        <v>0</v>
      </c>
      <c r="H1877" s="17">
        <v>1868</v>
      </c>
      <c r="I1877" s="45">
        <v>0.67146638600058739</v>
      </c>
      <c r="J1877" s="45">
        <v>1.9233180993409395E-2</v>
      </c>
      <c r="K1877" s="45">
        <v>0.245</v>
      </c>
      <c r="N1877" s="54"/>
    </row>
    <row r="1878" spans="2:14" x14ac:dyDescent="0.2">
      <c r="B1878">
        <v>1869</v>
      </c>
      <c r="C1878" s="52">
        <f t="shared" ca="1" si="90"/>
        <v>-0.7876712301691724</v>
      </c>
      <c r="D1878" s="52">
        <f ca="1">S0*EXP((μ-0.5*σ*σ)*T+σ*SQRT(T)*$C1878)</f>
        <v>0.51786118458690733</v>
      </c>
      <c r="E1878" s="52">
        <f t="shared" ca="1" si="88"/>
        <v>1.6538815413092656E-2</v>
      </c>
      <c r="F1878" s="17">
        <f t="shared" ca="1" si="89"/>
        <v>1</v>
      </c>
      <c r="H1878" s="17">
        <v>1869</v>
      </c>
      <c r="I1878" s="45">
        <v>0.67073261800819195</v>
      </c>
      <c r="J1878" s="45">
        <v>1.872268169106054E-2</v>
      </c>
      <c r="K1878" s="45">
        <v>0.24379999999999999</v>
      </c>
      <c r="N1878" s="54"/>
    </row>
    <row r="1879" spans="2:14" x14ac:dyDescent="0.2">
      <c r="B1879">
        <v>1870</v>
      </c>
      <c r="C1879" s="52">
        <f t="shared" ca="1" si="90"/>
        <v>1.0156348840930127</v>
      </c>
      <c r="D1879" s="52">
        <f ca="1">S0*EXP((μ-0.5*σ*σ)*T+σ*SQRT(T)*$C1879)</f>
        <v>0.85252255288192313</v>
      </c>
      <c r="E1879" s="52">
        <f t="shared" ca="1" si="88"/>
        <v>0</v>
      </c>
      <c r="F1879" s="17">
        <f t="shared" ca="1" si="89"/>
        <v>0</v>
      </c>
      <c r="H1879" s="17">
        <v>1870</v>
      </c>
      <c r="I1879" s="45">
        <v>0.67186532715062919</v>
      </c>
      <c r="J1879" s="45">
        <v>1.9687627822858707E-2</v>
      </c>
      <c r="K1879" s="45">
        <v>0.24759999999999999</v>
      </c>
      <c r="N1879" s="54"/>
    </row>
    <row r="1880" spans="2:14" x14ac:dyDescent="0.2">
      <c r="B1880">
        <v>1871</v>
      </c>
      <c r="C1880" s="52">
        <f t="shared" ca="1" si="90"/>
        <v>1.2170120744369293</v>
      </c>
      <c r="D1880" s="52">
        <f ca="1">S0*EXP((μ-0.5*σ*σ)*T+σ*SQRT(T)*$C1880)</f>
        <v>0.90132586860689101</v>
      </c>
      <c r="E1880" s="52">
        <f t="shared" ca="1" si="88"/>
        <v>0</v>
      </c>
      <c r="F1880" s="17">
        <f t="shared" ca="1" si="89"/>
        <v>0</v>
      </c>
      <c r="H1880" s="17">
        <v>1871</v>
      </c>
      <c r="I1880" s="45">
        <v>0.67169284517784622</v>
      </c>
      <c r="J1880" s="45">
        <v>1.9474018288228836E-2</v>
      </c>
      <c r="K1880" s="45">
        <v>0.2452</v>
      </c>
      <c r="N1880" s="54"/>
    </row>
    <row r="1881" spans="2:14" x14ac:dyDescent="0.2">
      <c r="B1881">
        <v>1872</v>
      </c>
      <c r="C1881" s="52">
        <f t="shared" ca="1" si="90"/>
        <v>0.36473827650236113</v>
      </c>
      <c r="D1881" s="52">
        <f ca="1">S0*EXP((μ-0.5*σ*σ)*T+σ*SQRT(T)*$C1881)</f>
        <v>0.71213726365253494</v>
      </c>
      <c r="E1881" s="52">
        <f t="shared" ca="1" si="88"/>
        <v>0</v>
      </c>
      <c r="F1881" s="17">
        <f t="shared" ca="1" si="89"/>
        <v>0</v>
      </c>
      <c r="H1881" s="17">
        <v>1872</v>
      </c>
      <c r="I1881" s="45">
        <v>0.67031463394170565</v>
      </c>
      <c r="J1881" s="45">
        <v>1.8694714104009205E-2</v>
      </c>
      <c r="K1881" s="45">
        <v>0.24360000000000001</v>
      </c>
      <c r="N1881" s="54"/>
    </row>
    <row r="1882" spans="2:14" x14ac:dyDescent="0.2">
      <c r="B1882">
        <v>1873</v>
      </c>
      <c r="C1882" s="52">
        <f t="shared" ca="1" si="90"/>
        <v>-4.940926502655734E-2</v>
      </c>
      <c r="D1882" s="52">
        <f ca="1">S0*EXP((μ-0.5*σ*σ)*T+σ*SQRT(T)*$C1882)</f>
        <v>0.63510277310181362</v>
      </c>
      <c r="E1882" s="52">
        <f t="shared" ca="1" si="88"/>
        <v>0</v>
      </c>
      <c r="F1882" s="17">
        <f t="shared" ca="1" si="89"/>
        <v>0</v>
      </c>
      <c r="H1882" s="17">
        <v>1873</v>
      </c>
      <c r="I1882" s="45">
        <v>0.66971302737283434</v>
      </c>
      <c r="J1882" s="45">
        <v>1.8291511744415106E-2</v>
      </c>
      <c r="K1882" s="45">
        <v>0.23980000000000001</v>
      </c>
      <c r="N1882" s="54"/>
    </row>
    <row r="1883" spans="2:14" x14ac:dyDescent="0.2">
      <c r="B1883">
        <v>1874</v>
      </c>
      <c r="C1883" s="52">
        <f t="shared" ca="1" si="90"/>
        <v>-0.36712328823731993</v>
      </c>
      <c r="D1883" s="52">
        <f ca="1">S0*EXP((μ-0.5*σ*σ)*T+σ*SQRT(T)*$C1883)</f>
        <v>0.58170319728338316</v>
      </c>
      <c r="E1883" s="52">
        <f t="shared" ca="1" si="88"/>
        <v>0</v>
      </c>
      <c r="F1883" s="17">
        <f t="shared" ca="1" si="89"/>
        <v>0</v>
      </c>
      <c r="H1883" s="17">
        <v>1874</v>
      </c>
      <c r="I1883" s="45">
        <v>0.67112887229772444</v>
      </c>
      <c r="J1883" s="45">
        <v>1.899028928952191E-2</v>
      </c>
      <c r="K1883" s="45">
        <v>0.24260000000000001</v>
      </c>
      <c r="N1883" s="54"/>
    </row>
    <row r="1884" spans="2:14" x14ac:dyDescent="0.2">
      <c r="B1884">
        <v>1875</v>
      </c>
      <c r="C1884" s="52">
        <f t="shared" ca="1" si="90"/>
        <v>0.56717522603638448</v>
      </c>
      <c r="D1884" s="52">
        <f ca="1">S0*EXP((μ-0.5*σ*σ)*T+σ*SQRT(T)*$C1884)</f>
        <v>0.75312471145169835</v>
      </c>
      <c r="E1884" s="52">
        <f t="shared" ca="1" si="88"/>
        <v>0</v>
      </c>
      <c r="F1884" s="17">
        <f t="shared" ca="1" si="89"/>
        <v>0</v>
      </c>
      <c r="H1884" s="17">
        <v>1875</v>
      </c>
      <c r="I1884" s="45">
        <v>0.67010900028445686</v>
      </c>
      <c r="J1884" s="45">
        <v>1.8310427396040822E-2</v>
      </c>
      <c r="K1884" s="45">
        <v>0.24479999999999999</v>
      </c>
      <c r="N1884" s="54"/>
    </row>
    <row r="1885" spans="2:14" x14ac:dyDescent="0.2">
      <c r="B1885">
        <v>1876</v>
      </c>
      <c r="C1885" s="52">
        <f t="shared" ca="1" si="90"/>
        <v>1.1669585424961872</v>
      </c>
      <c r="D1885" s="52">
        <f ca="1">S0*EXP((μ-0.5*σ*σ)*T+σ*SQRT(T)*$C1885)</f>
        <v>0.8889406234117645</v>
      </c>
      <c r="E1885" s="52">
        <f t="shared" ca="1" si="88"/>
        <v>0</v>
      </c>
      <c r="F1885" s="17">
        <f t="shared" ca="1" si="89"/>
        <v>0</v>
      </c>
      <c r="H1885" s="17">
        <v>1876</v>
      </c>
      <c r="I1885" s="45">
        <v>0.67061603294149186</v>
      </c>
      <c r="J1885" s="45">
        <v>1.876243121630276E-2</v>
      </c>
      <c r="K1885" s="45">
        <v>0.2442</v>
      </c>
      <c r="N1885" s="54"/>
    </row>
    <row r="1886" spans="2:14" x14ac:dyDescent="0.2">
      <c r="B1886">
        <v>1877</v>
      </c>
      <c r="C1886" s="52">
        <f t="shared" ca="1" si="90"/>
        <v>-7.4597549854942463E-2</v>
      </c>
      <c r="D1886" s="52">
        <f ca="1">S0*EXP((μ-0.5*σ*σ)*T+σ*SQRT(T)*$C1886)</f>
        <v>0.63069600052847097</v>
      </c>
      <c r="E1886" s="52">
        <f t="shared" ca="1" si="88"/>
        <v>0</v>
      </c>
      <c r="F1886" s="17">
        <f t="shared" ca="1" si="89"/>
        <v>0</v>
      </c>
      <c r="H1886" s="17">
        <v>1877</v>
      </c>
      <c r="I1886" s="45">
        <v>0.67033094200160348</v>
      </c>
      <c r="J1886" s="45">
        <v>1.8652556995527377E-2</v>
      </c>
      <c r="K1886" s="45">
        <v>0.24740000000000001</v>
      </c>
      <c r="N1886" s="54"/>
    </row>
    <row r="1887" spans="2:14" x14ac:dyDescent="0.2">
      <c r="B1887">
        <v>1878</v>
      </c>
      <c r="C1887" s="52">
        <f t="shared" ca="1" si="90"/>
        <v>0.21217068207338172</v>
      </c>
      <c r="D1887" s="52">
        <f ca="1">S0*EXP((μ-0.5*σ*σ)*T+σ*SQRT(T)*$C1887)</f>
        <v>0.68272765735502638</v>
      </c>
      <c r="E1887" s="52">
        <f t="shared" ca="1" si="88"/>
        <v>0</v>
      </c>
      <c r="F1887" s="17">
        <f t="shared" ca="1" si="89"/>
        <v>0</v>
      </c>
      <c r="H1887" s="17">
        <v>1878</v>
      </c>
      <c r="I1887" s="45">
        <v>0.67025908804148193</v>
      </c>
      <c r="J1887" s="45">
        <v>1.8539883863118778E-2</v>
      </c>
      <c r="K1887" s="45">
        <v>0.25219999999999998</v>
      </c>
      <c r="N1887" s="54"/>
    </row>
    <row r="1888" spans="2:14" x14ac:dyDescent="0.2">
      <c r="B1888">
        <v>1879</v>
      </c>
      <c r="C1888" s="52">
        <f t="shared" ca="1" si="90"/>
        <v>-1.1352816894811968</v>
      </c>
      <c r="D1888" s="52">
        <f ca="1">S0*EXP((μ-0.5*σ*σ)*T+σ*SQRT(T)*$C1888)</f>
        <v>0.47041552040995183</v>
      </c>
      <c r="E1888" s="52">
        <f t="shared" ca="1" si="88"/>
        <v>6.398447959004816E-2</v>
      </c>
      <c r="F1888" s="17">
        <f t="shared" ca="1" si="89"/>
        <v>1</v>
      </c>
      <c r="H1888" s="17">
        <v>1879</v>
      </c>
      <c r="I1888" s="45">
        <v>0.67123645051428404</v>
      </c>
      <c r="J1888" s="45">
        <v>1.9046947178992135E-2</v>
      </c>
      <c r="K1888" s="45">
        <v>0.2422</v>
      </c>
      <c r="N1888" s="54"/>
    </row>
    <row r="1889" spans="2:14" x14ac:dyDescent="0.2">
      <c r="B1889">
        <v>1880</v>
      </c>
      <c r="C1889" s="52">
        <f t="shared" ca="1" si="90"/>
        <v>0.84283024418750863</v>
      </c>
      <c r="D1889" s="52">
        <f ca="1">S0*EXP((μ-0.5*σ*σ)*T+σ*SQRT(T)*$C1889)</f>
        <v>0.81275591988903129</v>
      </c>
      <c r="E1889" s="52">
        <f t="shared" ca="1" si="88"/>
        <v>0</v>
      </c>
      <c r="F1889" s="17">
        <f t="shared" ca="1" si="89"/>
        <v>0</v>
      </c>
      <c r="H1889" s="17">
        <v>1880</v>
      </c>
      <c r="I1889" s="45">
        <v>0.67103619035459394</v>
      </c>
      <c r="J1889" s="45">
        <v>1.9174173828564456E-2</v>
      </c>
      <c r="K1889" s="45">
        <v>0.25180000000000002</v>
      </c>
      <c r="N1889" s="54"/>
    </row>
    <row r="1890" spans="2:14" x14ac:dyDescent="0.2">
      <c r="B1890">
        <v>1881</v>
      </c>
      <c r="C1890" s="52">
        <f t="shared" ca="1" si="90"/>
        <v>0.95983138281149993</v>
      </c>
      <c r="D1890" s="52">
        <f ca="1">S0*EXP((μ-0.5*σ*σ)*T+σ*SQRT(T)*$C1890)</f>
        <v>0.83947253636624852</v>
      </c>
      <c r="E1890" s="52">
        <f t="shared" ca="1" si="88"/>
        <v>0</v>
      </c>
      <c r="F1890" s="17">
        <f t="shared" ca="1" si="89"/>
        <v>0</v>
      </c>
      <c r="H1890" s="17">
        <v>1881</v>
      </c>
      <c r="I1890" s="45">
        <v>0.67063827304618584</v>
      </c>
      <c r="J1890" s="45">
        <v>1.8783559981033399E-2</v>
      </c>
      <c r="K1890" s="45">
        <v>0.24460000000000001</v>
      </c>
      <c r="N1890" s="54"/>
    </row>
    <row r="1891" spans="2:14" x14ac:dyDescent="0.2">
      <c r="B1891">
        <v>1882</v>
      </c>
      <c r="C1891" s="52">
        <f t="shared" ca="1" si="90"/>
        <v>-0.36059708961706893</v>
      </c>
      <c r="D1891" s="52">
        <f ca="1">S0*EXP((μ-0.5*σ*σ)*T+σ*SQRT(T)*$C1891)</f>
        <v>0.5827535681413738</v>
      </c>
      <c r="E1891" s="52">
        <f t="shared" ca="1" si="88"/>
        <v>0</v>
      </c>
      <c r="F1891" s="17">
        <f t="shared" ca="1" si="89"/>
        <v>0</v>
      </c>
      <c r="H1891" s="17">
        <v>1882</v>
      </c>
      <c r="I1891" s="45">
        <v>0.67059198272463461</v>
      </c>
      <c r="J1891" s="45">
        <v>1.8661516507551393E-2</v>
      </c>
      <c r="K1891" s="45">
        <v>0.2424</v>
      </c>
      <c r="N1891" s="54"/>
    </row>
    <row r="1892" spans="2:14" x14ac:dyDescent="0.2">
      <c r="B1892">
        <v>1883</v>
      </c>
      <c r="C1892" s="52">
        <f t="shared" ca="1" si="90"/>
        <v>-0.21700623606616168</v>
      </c>
      <c r="D1892" s="52">
        <f ca="1">S0*EXP((μ-0.5*σ*σ)*T+σ*SQRT(T)*$C1892)</f>
        <v>0.60635012383021814</v>
      </c>
      <c r="E1892" s="52">
        <f t="shared" ca="1" si="88"/>
        <v>0</v>
      </c>
      <c r="F1892" s="17">
        <f t="shared" ca="1" si="89"/>
        <v>0</v>
      </c>
      <c r="H1892" s="17">
        <v>1883</v>
      </c>
      <c r="I1892" s="45">
        <v>0.67114674541857233</v>
      </c>
      <c r="J1892" s="45">
        <v>1.926956932237844E-2</v>
      </c>
      <c r="K1892" s="45">
        <v>0.25</v>
      </c>
      <c r="N1892" s="54"/>
    </row>
    <row r="1893" spans="2:14" x14ac:dyDescent="0.2">
      <c r="B1893">
        <v>1884</v>
      </c>
      <c r="C1893" s="52">
        <f t="shared" ca="1" si="90"/>
        <v>0.77901849142753665</v>
      </c>
      <c r="D1893" s="52">
        <f ca="1">S0*EXP((μ-0.5*σ*σ)*T+σ*SQRT(T)*$C1893)</f>
        <v>0.79854490259750122</v>
      </c>
      <c r="E1893" s="52">
        <f t="shared" ca="1" si="88"/>
        <v>0</v>
      </c>
      <c r="F1893" s="17">
        <f t="shared" ca="1" si="89"/>
        <v>0</v>
      </c>
      <c r="H1893" s="17">
        <v>1884</v>
      </c>
      <c r="I1893" s="45">
        <v>0.67124065578438674</v>
      </c>
      <c r="J1893" s="45">
        <v>1.9066255883582885E-2</v>
      </c>
      <c r="K1893" s="45">
        <v>0.2422</v>
      </c>
      <c r="N1893" s="54"/>
    </row>
    <row r="1894" spans="2:14" x14ac:dyDescent="0.2">
      <c r="B1894">
        <v>1885</v>
      </c>
      <c r="C1894" s="52">
        <f t="shared" ca="1" si="90"/>
        <v>2.5581479803304963</v>
      </c>
      <c r="D1894" s="52">
        <f ca="1">S0*EXP((μ-0.5*σ*σ)*T+σ*SQRT(T)*$C1894)</f>
        <v>1.3058382299193394</v>
      </c>
      <c r="E1894" s="52">
        <f t="shared" ca="1" si="88"/>
        <v>0</v>
      </c>
      <c r="F1894" s="17">
        <f t="shared" ca="1" si="89"/>
        <v>0</v>
      </c>
      <c r="H1894" s="17">
        <v>1885</v>
      </c>
      <c r="I1894" s="45">
        <v>0.67136067968683244</v>
      </c>
      <c r="J1894" s="45">
        <v>1.9299626762893311E-2</v>
      </c>
      <c r="K1894" s="45">
        <v>0.24840000000000001</v>
      </c>
      <c r="N1894" s="54"/>
    </row>
    <row r="1895" spans="2:14" x14ac:dyDescent="0.2">
      <c r="B1895">
        <v>1886</v>
      </c>
      <c r="C1895" s="52">
        <f t="shared" ca="1" si="90"/>
        <v>-0.4589278493050919</v>
      </c>
      <c r="D1895" s="52">
        <f ca="1">S0*EXP((μ-0.5*σ*σ)*T+σ*SQRT(T)*$C1895)</f>
        <v>0.56712661281714483</v>
      </c>
      <c r="E1895" s="52">
        <f t="shared" ca="1" si="88"/>
        <v>0</v>
      </c>
      <c r="F1895" s="17">
        <f t="shared" ca="1" si="89"/>
        <v>0</v>
      </c>
      <c r="H1895" s="17">
        <v>1886</v>
      </c>
      <c r="I1895" s="45">
        <v>0.67065992775996963</v>
      </c>
      <c r="J1895" s="45">
        <v>1.8807585370386688E-2</v>
      </c>
      <c r="K1895" s="45">
        <v>0.24160000000000001</v>
      </c>
      <c r="N1895" s="54"/>
    </row>
    <row r="1896" spans="2:14" x14ac:dyDescent="0.2">
      <c r="B1896">
        <v>1887</v>
      </c>
      <c r="C1896" s="52">
        <f t="shared" ca="1" si="90"/>
        <v>0.99337443926500368</v>
      </c>
      <c r="D1896" s="52">
        <f ca="1">S0*EXP((μ-0.5*σ*σ)*T+σ*SQRT(T)*$C1896)</f>
        <v>0.84729265384969321</v>
      </c>
      <c r="E1896" s="52">
        <f t="shared" ca="1" si="88"/>
        <v>0</v>
      </c>
      <c r="F1896" s="17">
        <f t="shared" ca="1" si="89"/>
        <v>0</v>
      </c>
      <c r="H1896" s="17">
        <v>1887</v>
      </c>
      <c r="I1896" s="45">
        <v>0.67182190691017529</v>
      </c>
      <c r="J1896" s="45">
        <v>1.9237258153767724E-2</v>
      </c>
      <c r="K1896" s="45">
        <v>0.24759999999999999</v>
      </c>
      <c r="N1896" s="54"/>
    </row>
    <row r="1897" spans="2:14" x14ac:dyDescent="0.2">
      <c r="B1897">
        <v>1888</v>
      </c>
      <c r="C1897" s="52">
        <f t="shared" ca="1" si="90"/>
        <v>0.29768702049421908</v>
      </c>
      <c r="D1897" s="52">
        <f ca="1">S0*EXP((μ-0.5*σ*σ)*T+σ*SQRT(T)*$C1897)</f>
        <v>0.69905927032277948</v>
      </c>
      <c r="E1897" s="52">
        <f t="shared" ca="1" si="88"/>
        <v>0</v>
      </c>
      <c r="F1897" s="17">
        <f t="shared" ca="1" si="89"/>
        <v>0</v>
      </c>
      <c r="H1897" s="17">
        <v>1888</v>
      </c>
      <c r="I1897" s="45">
        <v>0.67102234860503074</v>
      </c>
      <c r="J1897" s="45">
        <v>1.8938984993753478E-2</v>
      </c>
      <c r="K1897" s="45">
        <v>0.24379999999999999</v>
      </c>
      <c r="N1897" s="54"/>
    </row>
    <row r="1898" spans="2:14" x14ac:dyDescent="0.2">
      <c r="B1898">
        <v>1889</v>
      </c>
      <c r="C1898" s="52">
        <f t="shared" ca="1" si="90"/>
        <v>-1.7903525190552805</v>
      </c>
      <c r="D1898" s="52">
        <f ca="1">S0*EXP((μ-0.5*σ*σ)*T+σ*SQRT(T)*$C1898)</f>
        <v>0.39249881358124988</v>
      </c>
      <c r="E1898" s="52">
        <f t="shared" ca="1" si="88"/>
        <v>0.1419011864187501</v>
      </c>
      <c r="F1898" s="17">
        <f t="shared" ca="1" si="89"/>
        <v>1</v>
      </c>
      <c r="H1898" s="17">
        <v>1889</v>
      </c>
      <c r="I1898" s="45">
        <v>0.67060474420854421</v>
      </c>
      <c r="J1898" s="45">
        <v>1.8475714492198477E-2</v>
      </c>
      <c r="K1898" s="45">
        <v>0.2442</v>
      </c>
      <c r="N1898" s="54"/>
    </row>
    <row r="1899" spans="2:14" x14ac:dyDescent="0.2">
      <c r="B1899">
        <v>1890</v>
      </c>
      <c r="C1899" s="52">
        <f t="shared" ca="1" si="90"/>
        <v>-1.0025012291578941</v>
      </c>
      <c r="D1899" s="52">
        <f ca="1">S0*EXP((μ-0.5*σ*σ)*T+σ*SQRT(T)*$C1899)</f>
        <v>0.48800284045158981</v>
      </c>
      <c r="E1899" s="52">
        <f t="shared" ca="1" si="88"/>
        <v>4.6397159548410172E-2</v>
      </c>
      <c r="F1899" s="17">
        <f t="shared" ca="1" si="89"/>
        <v>1</v>
      </c>
      <c r="H1899" s="17">
        <v>1890</v>
      </c>
      <c r="I1899" s="45">
        <v>0.67159278725613558</v>
      </c>
      <c r="J1899" s="45">
        <v>1.9370212506119408E-2</v>
      </c>
      <c r="K1899" s="45">
        <v>0.24360000000000001</v>
      </c>
      <c r="N1899" s="54"/>
    </row>
    <row r="1900" spans="2:14" x14ac:dyDescent="0.2">
      <c r="B1900">
        <v>1891</v>
      </c>
      <c r="C1900" s="52">
        <f t="shared" ca="1" si="90"/>
        <v>-3.8891856468933096E-2</v>
      </c>
      <c r="D1900" s="52">
        <f ca="1">S0*EXP((μ-0.5*σ*σ)*T+σ*SQRT(T)*$C1900)</f>
        <v>0.63695192825650027</v>
      </c>
      <c r="E1900" s="52">
        <f t="shared" ca="1" si="88"/>
        <v>0</v>
      </c>
      <c r="F1900" s="17">
        <f t="shared" ca="1" si="89"/>
        <v>0</v>
      </c>
      <c r="H1900" s="17">
        <v>1891</v>
      </c>
      <c r="I1900" s="45">
        <v>0.67091968213832465</v>
      </c>
      <c r="J1900" s="45">
        <v>1.8945838313880161E-2</v>
      </c>
      <c r="K1900" s="45">
        <v>0.24679999999999999</v>
      </c>
      <c r="N1900" s="54"/>
    </row>
    <row r="1901" spans="2:14" x14ac:dyDescent="0.2">
      <c r="B1901">
        <v>1892</v>
      </c>
      <c r="C1901" s="52">
        <f t="shared" ca="1" si="90"/>
        <v>1.8789560693214109</v>
      </c>
      <c r="D1901" s="52">
        <f ca="1">S0*EXP((μ-0.5*σ*σ)*T+σ*SQRT(T)*$C1901)</f>
        <v>1.0823065189953038</v>
      </c>
      <c r="E1901" s="52">
        <f t="shared" ca="1" si="88"/>
        <v>0</v>
      </c>
      <c r="F1901" s="17">
        <f t="shared" ca="1" si="89"/>
        <v>0</v>
      </c>
      <c r="H1901" s="17">
        <v>1892</v>
      </c>
      <c r="I1901" s="45">
        <v>0.67129050649981536</v>
      </c>
      <c r="J1901" s="45">
        <v>1.924092322807933E-2</v>
      </c>
      <c r="K1901" s="45">
        <v>0.254</v>
      </c>
      <c r="N1901" s="54"/>
    </row>
    <row r="1902" spans="2:14" x14ac:dyDescent="0.2">
      <c r="B1902">
        <v>1893</v>
      </c>
      <c r="C1902" s="52">
        <f t="shared" ca="1" si="90"/>
        <v>-2.3200211967995621</v>
      </c>
      <c r="D1902" s="52">
        <f ca="1">S0*EXP((μ-0.5*σ*σ)*T+σ*SQRT(T)*$C1902)</f>
        <v>0.33903924608684599</v>
      </c>
      <c r="E1902" s="52">
        <f t="shared" ca="1" si="88"/>
        <v>0.19536075391315399</v>
      </c>
      <c r="F1902" s="17">
        <f t="shared" ca="1" si="89"/>
        <v>1</v>
      </c>
      <c r="H1902" s="17">
        <v>1893</v>
      </c>
      <c r="I1902" s="45">
        <v>0.67132044094927001</v>
      </c>
      <c r="J1902" s="45">
        <v>1.922047823483301E-2</v>
      </c>
      <c r="K1902" s="45">
        <v>0.24759999999999999</v>
      </c>
      <c r="N1902" s="54"/>
    </row>
    <row r="1903" spans="2:14" x14ac:dyDescent="0.2">
      <c r="B1903">
        <v>1894</v>
      </c>
      <c r="C1903" s="52">
        <f t="shared" ca="1" si="90"/>
        <v>-8.9341497672386153E-3</v>
      </c>
      <c r="D1903" s="52">
        <f ca="1">S0*EXP((μ-0.5*σ*σ)*T+σ*SQRT(T)*$C1903)</f>
        <v>0.64224860955367113</v>
      </c>
      <c r="E1903" s="52">
        <f t="shared" ca="1" si="88"/>
        <v>0</v>
      </c>
      <c r="F1903" s="17">
        <f t="shared" ca="1" si="89"/>
        <v>0</v>
      </c>
      <c r="H1903" s="17">
        <v>1894</v>
      </c>
      <c r="I1903" s="45">
        <v>0.67183351811157288</v>
      </c>
      <c r="J1903" s="45">
        <v>1.9495675144279512E-2</v>
      </c>
      <c r="K1903" s="45">
        <v>0.24460000000000001</v>
      </c>
      <c r="N1903" s="54"/>
    </row>
    <row r="1904" spans="2:14" x14ac:dyDescent="0.2">
      <c r="B1904">
        <v>1895</v>
      </c>
      <c r="C1904" s="52">
        <f t="shared" ca="1" si="90"/>
        <v>1.3721435631143544</v>
      </c>
      <c r="D1904" s="52">
        <f ca="1">S0*EXP((μ-0.5*σ*σ)*T+σ*SQRT(T)*$C1904)</f>
        <v>0.9408185120271203</v>
      </c>
      <c r="E1904" s="52">
        <f t="shared" ca="1" si="88"/>
        <v>0</v>
      </c>
      <c r="F1904" s="17">
        <f t="shared" ca="1" si="89"/>
        <v>0</v>
      </c>
      <c r="H1904" s="17">
        <v>1895</v>
      </c>
      <c r="I1904" s="45">
        <v>0.67183902277061169</v>
      </c>
      <c r="J1904" s="45">
        <v>1.9776738477898147E-2</v>
      </c>
      <c r="K1904" s="45">
        <v>0.24879999999999999</v>
      </c>
      <c r="N1904" s="54"/>
    </row>
    <row r="1905" spans="2:14" x14ac:dyDescent="0.2">
      <c r="B1905">
        <v>1896</v>
      </c>
      <c r="C1905" s="52">
        <f t="shared" ca="1" si="90"/>
        <v>-1.5771462304930739</v>
      </c>
      <c r="D1905" s="52">
        <f ca="1">S0*EXP((μ-0.5*σ*σ)*T+σ*SQRT(T)*$C1905)</f>
        <v>0.41632685655795859</v>
      </c>
      <c r="E1905" s="52">
        <f t="shared" ca="1" si="88"/>
        <v>0.1180731434420414</v>
      </c>
      <c r="F1905" s="17">
        <f t="shared" ca="1" si="89"/>
        <v>1</v>
      </c>
      <c r="H1905" s="17">
        <v>1896</v>
      </c>
      <c r="I1905" s="45">
        <v>0.67078381326863923</v>
      </c>
      <c r="J1905" s="45">
        <v>1.8968061678540989E-2</v>
      </c>
      <c r="K1905" s="45">
        <v>0.249</v>
      </c>
      <c r="N1905" s="54"/>
    </row>
    <row r="1906" spans="2:14" x14ac:dyDescent="0.2">
      <c r="B1906">
        <v>1897</v>
      </c>
      <c r="C1906" s="52">
        <f t="shared" ca="1" si="90"/>
        <v>0.10756700461247586</v>
      </c>
      <c r="D1906" s="52">
        <f ca="1">S0*EXP((μ-0.5*σ*σ)*T+σ*SQRT(T)*$C1906)</f>
        <v>0.66326869388609921</v>
      </c>
      <c r="E1906" s="52">
        <f t="shared" ca="1" si="88"/>
        <v>0</v>
      </c>
      <c r="F1906" s="17">
        <f t="shared" ca="1" si="89"/>
        <v>0</v>
      </c>
      <c r="H1906" s="17">
        <v>1897</v>
      </c>
      <c r="I1906" s="45">
        <v>0.67055163079015723</v>
      </c>
      <c r="J1906" s="45">
        <v>1.8720010981187262E-2</v>
      </c>
      <c r="K1906" s="45">
        <v>0.24340000000000001</v>
      </c>
      <c r="N1906" s="54"/>
    </row>
    <row r="1907" spans="2:14" x14ac:dyDescent="0.2">
      <c r="B1907">
        <v>1898</v>
      </c>
      <c r="C1907" s="52">
        <f t="shared" ca="1" si="90"/>
        <v>-0.74286131082185813</v>
      </c>
      <c r="D1907" s="52">
        <f ca="1">S0*EXP((μ-0.5*σ*σ)*T+σ*SQRT(T)*$C1907)</f>
        <v>0.52431578269343637</v>
      </c>
      <c r="E1907" s="52">
        <f t="shared" ca="1" si="88"/>
        <v>1.0084217306563614E-2</v>
      </c>
      <c r="F1907" s="17">
        <f t="shared" ca="1" si="89"/>
        <v>1</v>
      </c>
      <c r="H1907" s="17">
        <v>1898</v>
      </c>
      <c r="I1907" s="45">
        <v>0.66990733510040301</v>
      </c>
      <c r="J1907" s="45">
        <v>1.8158596280137891E-2</v>
      </c>
      <c r="K1907" s="45">
        <v>0.23400000000000001</v>
      </c>
      <c r="N1907" s="54"/>
    </row>
    <row r="1908" spans="2:14" x14ac:dyDescent="0.2">
      <c r="B1908">
        <v>1899</v>
      </c>
      <c r="C1908" s="52">
        <f t="shared" ca="1" si="90"/>
        <v>1.4422622926036937</v>
      </c>
      <c r="D1908" s="52">
        <f ca="1">S0*EXP((μ-0.5*σ*σ)*T+σ*SQRT(T)*$C1908)</f>
        <v>0.95923237041761134</v>
      </c>
      <c r="E1908" s="52">
        <f t="shared" ca="1" si="88"/>
        <v>0</v>
      </c>
      <c r="F1908" s="17">
        <f t="shared" ca="1" si="89"/>
        <v>0</v>
      </c>
      <c r="H1908" s="17">
        <v>1899</v>
      </c>
      <c r="I1908" s="45">
        <v>0.67082930039593269</v>
      </c>
      <c r="J1908" s="45">
        <v>1.9091953931440479E-2</v>
      </c>
      <c r="K1908" s="45">
        <v>0.25059999999999999</v>
      </c>
      <c r="N1908" s="54"/>
    </row>
    <row r="1909" spans="2:14" x14ac:dyDescent="0.2">
      <c r="B1909">
        <v>1900</v>
      </c>
      <c r="C1909" s="52">
        <f t="shared" ca="1" si="90"/>
        <v>-5.3425780590535245E-2</v>
      </c>
      <c r="D1909" s="52">
        <f ca="1">S0*EXP((μ-0.5*σ*σ)*T+σ*SQRT(T)*$C1909)</f>
        <v>0.63439801267516449</v>
      </c>
      <c r="E1909" s="52">
        <f t="shared" ca="1" si="88"/>
        <v>0</v>
      </c>
      <c r="F1909" s="17">
        <f t="shared" ca="1" si="89"/>
        <v>0</v>
      </c>
      <c r="H1909" s="17">
        <v>1900</v>
      </c>
      <c r="I1909" s="45">
        <v>0.6713837179765263</v>
      </c>
      <c r="J1909" s="45">
        <v>1.9161571787341316E-2</v>
      </c>
      <c r="K1909" s="45">
        <v>0.25019999999999998</v>
      </c>
      <c r="N1909" s="54"/>
    </row>
    <row r="1910" spans="2:14" x14ac:dyDescent="0.2">
      <c r="B1910">
        <v>1901</v>
      </c>
      <c r="C1910" s="52">
        <f t="shared" ca="1" si="90"/>
        <v>-0.57016260527958174</v>
      </c>
      <c r="D1910" s="52">
        <f ca="1">S0*EXP((μ-0.5*σ*σ)*T+σ*SQRT(T)*$C1910)</f>
        <v>0.5499534722288566</v>
      </c>
      <c r="E1910" s="52">
        <f t="shared" ca="1" si="88"/>
        <v>0</v>
      </c>
      <c r="F1910" s="17">
        <f t="shared" ca="1" si="89"/>
        <v>0</v>
      </c>
      <c r="H1910" s="17">
        <v>1901</v>
      </c>
      <c r="I1910" s="45">
        <v>0.67144062663093595</v>
      </c>
      <c r="J1910" s="45">
        <v>1.9319294589256703E-2</v>
      </c>
      <c r="K1910" s="45">
        <v>0.2462</v>
      </c>
      <c r="N1910" s="54"/>
    </row>
    <row r="1911" spans="2:14" x14ac:dyDescent="0.2">
      <c r="B1911">
        <v>1902</v>
      </c>
      <c r="C1911" s="52">
        <f t="shared" ca="1" si="90"/>
        <v>-1.2510962558823848</v>
      </c>
      <c r="D1911" s="52">
        <f ca="1">S0*EXP((μ-0.5*σ*σ)*T+σ*SQRT(T)*$C1911)</f>
        <v>0.45559373413221882</v>
      </c>
      <c r="E1911" s="52">
        <f t="shared" ca="1" si="88"/>
        <v>7.8806265867781167E-2</v>
      </c>
      <c r="F1911" s="17">
        <f t="shared" ca="1" si="89"/>
        <v>1</v>
      </c>
      <c r="H1911" s="17">
        <v>1902</v>
      </c>
      <c r="I1911" s="45">
        <v>0.67078758288797202</v>
      </c>
      <c r="J1911" s="45">
        <v>1.8932045314502419E-2</v>
      </c>
      <c r="K1911" s="45">
        <v>0.24840000000000001</v>
      </c>
      <c r="N1911" s="54"/>
    </row>
    <row r="1912" spans="2:14" x14ac:dyDescent="0.2">
      <c r="B1912">
        <v>1903</v>
      </c>
      <c r="C1912" s="52">
        <f t="shared" ca="1" si="90"/>
        <v>1.3399115686402245</v>
      </c>
      <c r="D1912" s="52">
        <f ca="1">S0*EXP((μ-0.5*σ*σ)*T+σ*SQRT(T)*$C1912)</f>
        <v>0.93247308014007679</v>
      </c>
      <c r="E1912" s="52">
        <f t="shared" ca="1" si="88"/>
        <v>0</v>
      </c>
      <c r="F1912" s="17">
        <f t="shared" ca="1" si="89"/>
        <v>0</v>
      </c>
      <c r="H1912" s="17">
        <v>1903</v>
      </c>
      <c r="I1912" s="45">
        <v>0.67123273544104545</v>
      </c>
      <c r="J1912" s="45">
        <v>1.9371658927340912E-2</v>
      </c>
      <c r="K1912" s="45">
        <v>0.249</v>
      </c>
      <c r="N1912" s="54"/>
    </row>
    <row r="1913" spans="2:14" x14ac:dyDescent="0.2">
      <c r="B1913">
        <v>1904</v>
      </c>
      <c r="C1913" s="52">
        <f t="shared" ca="1" si="90"/>
        <v>4.545810804084173E-2</v>
      </c>
      <c r="D1913" s="52">
        <f ca="1">S0*EXP((μ-0.5*σ*σ)*T+σ*SQRT(T)*$C1913)</f>
        <v>0.65197828720559903</v>
      </c>
      <c r="E1913" s="52">
        <f t="shared" ca="1" si="88"/>
        <v>0</v>
      </c>
      <c r="F1913" s="17">
        <f t="shared" ca="1" si="89"/>
        <v>0</v>
      </c>
      <c r="H1913" s="17">
        <v>1904</v>
      </c>
      <c r="I1913" s="45">
        <v>0.67064913515790825</v>
      </c>
      <c r="J1913" s="45">
        <v>1.8883536346634467E-2</v>
      </c>
      <c r="K1913" s="45">
        <v>0.24959999999999999</v>
      </c>
      <c r="N1913" s="54"/>
    </row>
    <row r="1914" spans="2:14" x14ac:dyDescent="0.2">
      <c r="B1914">
        <v>1905</v>
      </c>
      <c r="C1914" s="52">
        <f t="shared" ca="1" si="90"/>
        <v>-1.0268320342694857</v>
      </c>
      <c r="D1914" s="52">
        <f ca="1">S0*EXP((μ-0.5*σ*σ)*T+σ*SQRT(T)*$C1914)</f>
        <v>0.48473163157598065</v>
      </c>
      <c r="E1914" s="52">
        <f t="shared" ca="1" si="88"/>
        <v>4.9668368424019338E-2</v>
      </c>
      <c r="F1914" s="17">
        <f t="shared" ca="1" si="89"/>
        <v>1</v>
      </c>
      <c r="H1914" s="17">
        <v>1905</v>
      </c>
      <c r="I1914" s="45">
        <v>0.6701668190972464</v>
      </c>
      <c r="J1914" s="45">
        <v>1.8593048238345712E-2</v>
      </c>
      <c r="K1914" s="45">
        <v>0.2424</v>
      </c>
      <c r="N1914" s="54"/>
    </row>
    <row r="1915" spans="2:14" x14ac:dyDescent="0.2">
      <c r="B1915">
        <v>1906</v>
      </c>
      <c r="C1915" s="52">
        <f t="shared" ca="1" si="90"/>
        <v>-0.1749251429391443</v>
      </c>
      <c r="D1915" s="52">
        <f ca="1">S0*EXP((μ-0.5*σ*σ)*T+σ*SQRT(T)*$C1915)</f>
        <v>0.61344472583166032</v>
      </c>
      <c r="E1915" s="52">
        <f t="shared" ca="1" si="88"/>
        <v>0</v>
      </c>
      <c r="F1915" s="17">
        <f t="shared" ca="1" si="89"/>
        <v>0</v>
      </c>
      <c r="H1915" s="17">
        <v>1906</v>
      </c>
      <c r="I1915" s="45">
        <v>0.67092949581598638</v>
      </c>
      <c r="J1915" s="45">
        <v>1.8801790141481679E-2</v>
      </c>
      <c r="K1915" s="45">
        <v>0.24859999999999999</v>
      </c>
      <c r="N1915" s="54"/>
    </row>
    <row r="1916" spans="2:14" x14ac:dyDescent="0.2">
      <c r="B1916">
        <v>1907</v>
      </c>
      <c r="C1916" s="52">
        <f t="shared" ca="1" si="90"/>
        <v>-1.1652756890278528</v>
      </c>
      <c r="D1916" s="52">
        <f ca="1">S0*EXP((μ-0.5*σ*σ)*T+σ*SQRT(T)*$C1916)</f>
        <v>0.46653128134406735</v>
      </c>
      <c r="E1916" s="52">
        <f t="shared" ca="1" si="88"/>
        <v>6.7868718655932636E-2</v>
      </c>
      <c r="F1916" s="17">
        <f t="shared" ca="1" si="89"/>
        <v>1</v>
      </c>
      <c r="H1916" s="17">
        <v>1907</v>
      </c>
      <c r="I1916" s="45">
        <v>0.67033118969184446</v>
      </c>
      <c r="J1916" s="45">
        <v>1.8805056762520977E-2</v>
      </c>
      <c r="K1916" s="45">
        <v>0.25059999999999999</v>
      </c>
      <c r="N1916" s="54"/>
    </row>
    <row r="1917" spans="2:14" x14ac:dyDescent="0.2">
      <c r="B1917">
        <v>1908</v>
      </c>
      <c r="C1917" s="52">
        <f t="shared" ca="1" si="90"/>
        <v>0.7600312016588624</v>
      </c>
      <c r="D1917" s="52">
        <f ca="1">S0*EXP((μ-0.5*σ*σ)*T+σ*SQRT(T)*$C1917)</f>
        <v>0.79436455688877605</v>
      </c>
      <c r="E1917" s="52">
        <f t="shared" ca="1" si="88"/>
        <v>0</v>
      </c>
      <c r="F1917" s="17">
        <f t="shared" ca="1" si="89"/>
        <v>0</v>
      </c>
      <c r="H1917" s="17">
        <v>1908</v>
      </c>
      <c r="I1917" s="45">
        <v>0.67010201696160887</v>
      </c>
      <c r="J1917" s="45">
        <v>1.8161733953863193E-2</v>
      </c>
      <c r="K1917" s="45">
        <v>0.23719999999999999</v>
      </c>
      <c r="N1917" s="54"/>
    </row>
    <row r="1918" spans="2:14" x14ac:dyDescent="0.2">
      <c r="B1918">
        <v>1909</v>
      </c>
      <c r="C1918" s="52">
        <f t="shared" ca="1" si="90"/>
        <v>-1.4535481542132183</v>
      </c>
      <c r="D1918" s="52">
        <f ca="1">S0*EXP((μ-0.5*σ*σ)*T+σ*SQRT(T)*$C1918)</f>
        <v>0.4307970904625773</v>
      </c>
      <c r="E1918" s="52">
        <f t="shared" ca="1" si="88"/>
        <v>0.10360290953742268</v>
      </c>
      <c r="F1918" s="17">
        <f t="shared" ca="1" si="89"/>
        <v>1</v>
      </c>
      <c r="H1918" s="17">
        <v>1909</v>
      </c>
      <c r="I1918" s="45">
        <v>0.67065410263497793</v>
      </c>
      <c r="J1918" s="45">
        <v>1.8864504888934527E-2</v>
      </c>
      <c r="K1918" s="45">
        <v>0.24460000000000001</v>
      </c>
      <c r="N1918" s="54"/>
    </row>
    <row r="1919" spans="2:14" x14ac:dyDescent="0.2">
      <c r="B1919">
        <v>1910</v>
      </c>
      <c r="C1919" s="52">
        <f t="shared" ca="1" si="90"/>
        <v>1.048165170268878E-2</v>
      </c>
      <c r="D1919" s="52">
        <f ca="1">S0*EXP((μ-0.5*σ*σ)*T+σ*SQRT(T)*$C1919)</f>
        <v>0.64570492683010616</v>
      </c>
      <c r="E1919" s="52">
        <f t="shared" ca="1" si="88"/>
        <v>0</v>
      </c>
      <c r="F1919" s="17">
        <f t="shared" ca="1" si="89"/>
        <v>0</v>
      </c>
      <c r="H1919" s="17">
        <v>1910</v>
      </c>
      <c r="I1919" s="45">
        <v>0.67095126271393291</v>
      </c>
      <c r="J1919" s="45">
        <v>1.8905923981769549E-2</v>
      </c>
      <c r="K1919" s="45">
        <v>0.24340000000000001</v>
      </c>
      <c r="N1919" s="54"/>
    </row>
    <row r="1920" spans="2:14" x14ac:dyDescent="0.2">
      <c r="B1920">
        <v>1911</v>
      </c>
      <c r="C1920" s="52">
        <f t="shared" ca="1" si="90"/>
        <v>0.36948383457665324</v>
      </c>
      <c r="D1920" s="52">
        <f ca="1">S0*EXP((μ-0.5*σ*σ)*T+σ*SQRT(T)*$C1920)</f>
        <v>0.71307207724060073</v>
      </c>
      <c r="E1920" s="52">
        <f t="shared" ca="1" si="88"/>
        <v>0</v>
      </c>
      <c r="F1920" s="17">
        <f t="shared" ca="1" si="89"/>
        <v>0</v>
      </c>
      <c r="H1920" s="17">
        <v>1911</v>
      </c>
      <c r="I1920" s="45">
        <v>0.67133481019716568</v>
      </c>
      <c r="J1920" s="45">
        <v>1.9158118909910676E-2</v>
      </c>
      <c r="K1920" s="45">
        <v>0.255</v>
      </c>
      <c r="N1920" s="54"/>
    </row>
    <row r="1921" spans="2:14" x14ac:dyDescent="0.2">
      <c r="B1921">
        <v>1912</v>
      </c>
      <c r="C1921" s="52">
        <f t="shared" ca="1" si="90"/>
        <v>0.80144283285426854</v>
      </c>
      <c r="D1921" s="52">
        <f ca="1">S0*EXP((μ-0.5*σ*σ)*T+σ*SQRT(T)*$C1921)</f>
        <v>0.80351031028447251</v>
      </c>
      <c r="E1921" s="52">
        <f t="shared" ca="1" si="88"/>
        <v>0</v>
      </c>
      <c r="F1921" s="17">
        <f t="shared" ca="1" si="89"/>
        <v>0</v>
      </c>
      <c r="H1921" s="17">
        <v>1912</v>
      </c>
      <c r="I1921" s="45">
        <v>0.6711418106398277</v>
      </c>
      <c r="J1921" s="45">
        <v>1.9363375637296905E-2</v>
      </c>
      <c r="K1921" s="45">
        <v>0.25700000000000001</v>
      </c>
      <c r="N1921" s="54"/>
    </row>
    <row r="1922" spans="2:14" x14ac:dyDescent="0.2">
      <c r="B1922">
        <v>1913</v>
      </c>
      <c r="C1922" s="52">
        <f t="shared" ca="1" si="90"/>
        <v>-1.1850927328926548</v>
      </c>
      <c r="D1922" s="52">
        <f ca="1">S0*EXP((μ-0.5*σ*σ)*T+σ*SQRT(T)*$C1922)</f>
        <v>0.46398257526057407</v>
      </c>
      <c r="E1922" s="52">
        <f t="shared" ca="1" si="88"/>
        <v>7.0417424739425916E-2</v>
      </c>
      <c r="F1922" s="17">
        <f t="shared" ca="1" si="89"/>
        <v>1</v>
      </c>
      <c r="H1922" s="17">
        <v>1913</v>
      </c>
      <c r="I1922" s="45">
        <v>0.67184001039864194</v>
      </c>
      <c r="J1922" s="45">
        <v>1.9464246458624494E-2</v>
      </c>
      <c r="K1922" s="45">
        <v>0.25280000000000002</v>
      </c>
      <c r="N1922" s="54"/>
    </row>
    <row r="1923" spans="2:14" x14ac:dyDescent="0.2">
      <c r="B1923">
        <v>1914</v>
      </c>
      <c r="C1923" s="52">
        <f t="shared" ca="1" si="90"/>
        <v>0.57341545570276009</v>
      </c>
      <c r="D1923" s="52">
        <f ca="1">S0*EXP((μ-0.5*σ*σ)*T+σ*SQRT(T)*$C1923)</f>
        <v>0.75442497451865531</v>
      </c>
      <c r="E1923" s="52">
        <f t="shared" ca="1" si="88"/>
        <v>0</v>
      </c>
      <c r="F1923" s="17">
        <f t="shared" ca="1" si="89"/>
        <v>0</v>
      </c>
      <c r="H1923" s="17">
        <v>1914</v>
      </c>
      <c r="I1923" s="45">
        <v>0.67176540047488886</v>
      </c>
      <c r="J1923" s="45">
        <v>1.9691128751117039E-2</v>
      </c>
      <c r="K1923" s="45">
        <v>0.25319999999999998</v>
      </c>
      <c r="N1923" s="54"/>
    </row>
    <row r="1924" spans="2:14" x14ac:dyDescent="0.2">
      <c r="B1924">
        <v>1915</v>
      </c>
      <c r="C1924" s="52">
        <f t="shared" ca="1" si="90"/>
        <v>-1.3809051226065807</v>
      </c>
      <c r="D1924" s="52">
        <f ca="1">S0*EXP((μ-0.5*σ*σ)*T+σ*SQRT(T)*$C1924)</f>
        <v>0.43953532408390955</v>
      </c>
      <c r="E1924" s="52">
        <f t="shared" ca="1" si="88"/>
        <v>9.4864675916090435E-2</v>
      </c>
      <c r="F1924" s="17">
        <f t="shared" ca="1" si="89"/>
        <v>1</v>
      </c>
      <c r="H1924" s="17">
        <v>1915</v>
      </c>
      <c r="I1924" s="45">
        <v>0.67121333740682732</v>
      </c>
      <c r="J1924" s="45">
        <v>1.9195248699542134E-2</v>
      </c>
      <c r="K1924" s="45">
        <v>0.246</v>
      </c>
      <c r="N1924" s="54"/>
    </row>
    <row r="1925" spans="2:14" x14ac:dyDescent="0.2">
      <c r="B1925">
        <v>1916</v>
      </c>
      <c r="C1925" s="52">
        <f t="shared" ca="1" si="90"/>
        <v>-1.2501552255509067</v>
      </c>
      <c r="D1925" s="52">
        <f ca="1">S0*EXP((μ-0.5*σ*σ)*T+σ*SQRT(T)*$C1925)</f>
        <v>0.45571226377466967</v>
      </c>
      <c r="E1925" s="52">
        <f t="shared" ca="1" si="88"/>
        <v>7.8687736225330318E-2</v>
      </c>
      <c r="F1925" s="17">
        <f t="shared" ca="1" si="89"/>
        <v>1</v>
      </c>
      <c r="H1925" s="17">
        <v>1916</v>
      </c>
      <c r="I1925" s="45">
        <v>0.6702118866820137</v>
      </c>
      <c r="J1925" s="45">
        <v>1.8406376301341804E-2</v>
      </c>
      <c r="K1925" s="45">
        <v>0.24199999999999999</v>
      </c>
      <c r="N1925" s="54"/>
    </row>
    <row r="1926" spans="2:14" x14ac:dyDescent="0.2">
      <c r="B1926">
        <v>1917</v>
      </c>
      <c r="C1926" s="52">
        <f t="shared" ca="1" si="90"/>
        <v>3.0143105234452916</v>
      </c>
      <c r="D1926" s="52">
        <f ca="1">S0*EXP((μ-0.5*σ*σ)*T+σ*SQRT(T)*$C1926)</f>
        <v>1.4813344167412978</v>
      </c>
      <c r="E1926" s="52">
        <f t="shared" ca="1" si="88"/>
        <v>0</v>
      </c>
      <c r="F1926" s="17">
        <f t="shared" ca="1" si="89"/>
        <v>0</v>
      </c>
      <c r="H1926" s="17">
        <v>1917</v>
      </c>
      <c r="I1926" s="45">
        <v>0.67103238637393592</v>
      </c>
      <c r="J1926" s="45">
        <v>1.9020728520672554E-2</v>
      </c>
      <c r="K1926" s="45">
        <v>0.24479999999999999</v>
      </c>
      <c r="N1926" s="54"/>
    </row>
    <row r="1927" spans="2:14" x14ac:dyDescent="0.2">
      <c r="B1927">
        <v>1918</v>
      </c>
      <c r="C1927" s="52">
        <f t="shared" ca="1" si="90"/>
        <v>0.80491515009963621</v>
      </c>
      <c r="D1927" s="52">
        <f ca="1">S0*EXP((μ-0.5*σ*σ)*T+σ*SQRT(T)*$C1927)</f>
        <v>0.80428193907051004</v>
      </c>
      <c r="E1927" s="52">
        <f t="shared" ca="1" si="88"/>
        <v>0</v>
      </c>
      <c r="F1927" s="17">
        <f t="shared" ca="1" si="89"/>
        <v>0</v>
      </c>
      <c r="H1927" s="17">
        <v>1918</v>
      </c>
      <c r="I1927" s="45">
        <v>0.67063589251911715</v>
      </c>
      <c r="J1927" s="45">
        <v>1.875579475714198E-2</v>
      </c>
      <c r="K1927" s="45">
        <v>0.24640000000000001</v>
      </c>
      <c r="N1927" s="54"/>
    </row>
    <row r="1928" spans="2:14" x14ac:dyDescent="0.2">
      <c r="B1928">
        <v>1919</v>
      </c>
      <c r="C1928" s="52">
        <f t="shared" ca="1" si="90"/>
        <v>-0.35157614811535831</v>
      </c>
      <c r="D1928" s="52">
        <f ca="1">S0*EXP((μ-0.5*σ*σ)*T+σ*SQRT(T)*$C1928)</f>
        <v>0.58420858336849191</v>
      </c>
      <c r="E1928" s="52">
        <f t="shared" ca="1" si="88"/>
        <v>0</v>
      </c>
      <c r="F1928" s="17">
        <f t="shared" ca="1" si="89"/>
        <v>0</v>
      </c>
      <c r="H1928" s="17">
        <v>1919</v>
      </c>
      <c r="I1928" s="45">
        <v>0.67054770661121121</v>
      </c>
      <c r="J1928" s="45">
        <v>1.8529850722428701E-2</v>
      </c>
      <c r="K1928" s="45">
        <v>0.24160000000000001</v>
      </c>
      <c r="N1928" s="54"/>
    </row>
    <row r="1929" spans="2:14" x14ac:dyDescent="0.2">
      <c r="B1929">
        <v>1920</v>
      </c>
      <c r="C1929" s="52">
        <f t="shared" ca="1" si="90"/>
        <v>-0.83052101058978489</v>
      </c>
      <c r="D1929" s="52">
        <f ca="1">S0*EXP((μ-0.5*σ*σ)*T+σ*SQRT(T)*$C1929)</f>
        <v>0.51176326775022185</v>
      </c>
      <c r="E1929" s="52">
        <f t="shared" ca="1" si="88"/>
        <v>2.2636732249778135E-2</v>
      </c>
      <c r="F1929" s="17">
        <f t="shared" ca="1" si="89"/>
        <v>1</v>
      </c>
      <c r="H1929" s="17">
        <v>1920</v>
      </c>
      <c r="I1929" s="45">
        <v>0.67086598075890047</v>
      </c>
      <c r="J1929" s="45">
        <v>1.907614233103349E-2</v>
      </c>
      <c r="K1929" s="45">
        <v>0.24859999999999999</v>
      </c>
      <c r="N1929" s="54"/>
    </row>
    <row r="1930" spans="2:14" x14ac:dyDescent="0.2">
      <c r="B1930">
        <v>1921</v>
      </c>
      <c r="C1930" s="52">
        <f t="shared" ca="1" si="90"/>
        <v>-1.9776865510110184</v>
      </c>
      <c r="D1930" s="52">
        <f ca="1">S0*EXP((μ-0.5*σ*σ)*T+σ*SQRT(T)*$C1930)</f>
        <v>0.37269049283694067</v>
      </c>
      <c r="E1930" s="52">
        <f t="shared" ref="E1930:E1993" ca="1" si="91">MAX(0,CP*(D1930-K))</f>
        <v>0.16170950716305932</v>
      </c>
      <c r="F1930" s="17">
        <f t="shared" ref="F1930:F1993" ca="1" si="92">(CP*(D1930-K)&gt;0)*1</f>
        <v>1</v>
      </c>
      <c r="H1930" s="17">
        <v>1921</v>
      </c>
      <c r="I1930" s="45">
        <v>0.67097975703035051</v>
      </c>
      <c r="J1930" s="45">
        <v>1.8629701292120261E-2</v>
      </c>
      <c r="K1930" s="45">
        <v>0.24260000000000001</v>
      </c>
      <c r="N1930" s="54"/>
    </row>
    <row r="1931" spans="2:14" x14ac:dyDescent="0.2">
      <c r="B1931">
        <v>1922</v>
      </c>
      <c r="C1931" s="52">
        <f t="shared" ref="C1931:C1994" ca="1" si="93">_xlfn.NORM.S.INV(RAND())</f>
        <v>-1.4782670161108049</v>
      </c>
      <c r="D1931" s="52">
        <f ca="1">S0*EXP((μ-0.5*σ*σ)*T+σ*SQRT(T)*$C1931)</f>
        <v>0.42786344645927743</v>
      </c>
      <c r="E1931" s="52">
        <f t="shared" ca="1" si="91"/>
        <v>0.10653655354072256</v>
      </c>
      <c r="F1931" s="17">
        <f t="shared" ca="1" si="92"/>
        <v>1</v>
      </c>
      <c r="H1931" s="17">
        <v>1922</v>
      </c>
      <c r="I1931" s="45">
        <v>0.67192217295839196</v>
      </c>
      <c r="J1931" s="45">
        <v>1.9835645919348156E-2</v>
      </c>
      <c r="K1931" s="45">
        <v>0.25240000000000001</v>
      </c>
      <c r="N1931" s="54"/>
    </row>
    <row r="1932" spans="2:14" x14ac:dyDescent="0.2">
      <c r="B1932">
        <v>1923</v>
      </c>
      <c r="C1932" s="52">
        <f t="shared" ca="1" si="93"/>
        <v>-0.71878359453246266</v>
      </c>
      <c r="D1932" s="52">
        <f ca="1">S0*EXP((μ-0.5*σ*σ)*T+σ*SQRT(T)*$C1932)</f>
        <v>0.52781719657796289</v>
      </c>
      <c r="E1932" s="52">
        <f t="shared" ca="1" si="91"/>
        <v>6.5828034220370979E-3</v>
      </c>
      <c r="F1932" s="17">
        <f t="shared" ca="1" si="92"/>
        <v>1</v>
      </c>
      <c r="H1932" s="17">
        <v>1923</v>
      </c>
      <c r="I1932" s="45">
        <v>0.67026161637132264</v>
      </c>
      <c r="J1932" s="45">
        <v>1.850680833145784E-2</v>
      </c>
      <c r="K1932" s="45">
        <v>0.2384</v>
      </c>
      <c r="N1932" s="54"/>
    </row>
    <row r="1933" spans="2:14" x14ac:dyDescent="0.2">
      <c r="B1933">
        <v>1924</v>
      </c>
      <c r="C1933" s="52">
        <f t="shared" ca="1" si="93"/>
        <v>1.3738783653745579</v>
      </c>
      <c r="D1933" s="52">
        <f ca="1">S0*EXP((μ-0.5*σ*σ)*T+σ*SQRT(T)*$C1933)</f>
        <v>0.94126979515177733</v>
      </c>
      <c r="E1933" s="52">
        <f t="shared" ca="1" si="91"/>
        <v>0</v>
      </c>
      <c r="F1933" s="17">
        <f t="shared" ca="1" si="92"/>
        <v>0</v>
      </c>
      <c r="H1933" s="17">
        <v>1924</v>
      </c>
      <c r="I1933" s="45">
        <v>0.6708401227015659</v>
      </c>
      <c r="J1933" s="45">
        <v>1.8594030392612603E-2</v>
      </c>
      <c r="K1933" s="45">
        <v>0.23960000000000001</v>
      </c>
      <c r="N1933" s="54"/>
    </row>
    <row r="1934" spans="2:14" x14ac:dyDescent="0.2">
      <c r="B1934">
        <v>1925</v>
      </c>
      <c r="C1934" s="52">
        <f t="shared" ca="1" si="93"/>
        <v>0.64569262880968548</v>
      </c>
      <c r="D1934" s="52">
        <f ca="1">S0*EXP((μ-0.5*σ*σ)*T+σ*SQRT(T)*$C1934)</f>
        <v>0.76964979254183885</v>
      </c>
      <c r="E1934" s="52">
        <f t="shared" ca="1" si="91"/>
        <v>0</v>
      </c>
      <c r="F1934" s="17">
        <f t="shared" ca="1" si="92"/>
        <v>0</v>
      </c>
      <c r="H1934" s="17">
        <v>1925</v>
      </c>
      <c r="I1934" s="45">
        <v>0.67136474200843455</v>
      </c>
      <c r="J1934" s="45">
        <v>1.9268252327047267E-2</v>
      </c>
      <c r="K1934" s="45">
        <v>0.24740000000000001</v>
      </c>
      <c r="N1934" s="54"/>
    </row>
    <row r="1935" spans="2:14" x14ac:dyDescent="0.2">
      <c r="B1935">
        <v>1926</v>
      </c>
      <c r="C1935" s="52">
        <f t="shared" ca="1" si="93"/>
        <v>-0.58109883552886255</v>
      </c>
      <c r="D1935" s="52">
        <f ca="1">S0*EXP((μ-0.5*σ*σ)*T+σ*SQRT(T)*$C1935)</f>
        <v>0.54829340217031697</v>
      </c>
      <c r="E1935" s="52">
        <f t="shared" ca="1" si="91"/>
        <v>0</v>
      </c>
      <c r="F1935" s="17">
        <f t="shared" ca="1" si="92"/>
        <v>0</v>
      </c>
      <c r="H1935" s="17">
        <v>1926</v>
      </c>
      <c r="I1935" s="45">
        <v>0.67161970372755464</v>
      </c>
      <c r="J1935" s="45">
        <v>1.9676415669199709E-2</v>
      </c>
      <c r="K1935" s="45">
        <v>0.24959999999999999</v>
      </c>
      <c r="N1935" s="54"/>
    </row>
    <row r="1936" spans="2:14" x14ac:dyDescent="0.2">
      <c r="B1936">
        <v>1927</v>
      </c>
      <c r="C1936" s="52">
        <f t="shared" ca="1" si="93"/>
        <v>-1.1887494688506834</v>
      </c>
      <c r="D1936" s="52">
        <f ca="1">S0*EXP((μ-0.5*σ*σ)*T+σ*SQRT(T)*$C1936)</f>
        <v>0.46351379975324658</v>
      </c>
      <c r="E1936" s="52">
        <f t="shared" ca="1" si="91"/>
        <v>7.0886200246753406E-2</v>
      </c>
      <c r="F1936" s="17">
        <f t="shared" ca="1" si="92"/>
        <v>1</v>
      </c>
      <c r="H1936" s="17">
        <v>1927</v>
      </c>
      <c r="I1936" s="45">
        <v>0.67067580396949544</v>
      </c>
      <c r="J1936" s="45">
        <v>1.8876985325743969E-2</v>
      </c>
      <c r="K1936" s="45">
        <v>0.248</v>
      </c>
      <c r="N1936" s="54"/>
    </row>
    <row r="1937" spans="2:14" x14ac:dyDescent="0.2">
      <c r="B1937">
        <v>1928</v>
      </c>
      <c r="C1937" s="52">
        <f t="shared" ca="1" si="93"/>
        <v>1.0339971491693896</v>
      </c>
      <c r="D1937" s="52">
        <f ca="1">S0*EXP((μ-0.5*σ*σ)*T+σ*SQRT(T)*$C1937)</f>
        <v>0.85686089643693941</v>
      </c>
      <c r="E1937" s="52">
        <f t="shared" ca="1" si="91"/>
        <v>0</v>
      </c>
      <c r="F1937" s="17">
        <f t="shared" ca="1" si="92"/>
        <v>0</v>
      </c>
      <c r="H1937" s="17">
        <v>1928</v>
      </c>
      <c r="I1937" s="45">
        <v>0.67169269483517902</v>
      </c>
      <c r="J1937" s="45">
        <v>1.9549136116642437E-2</v>
      </c>
      <c r="K1937" s="45">
        <v>0.25519999999999998</v>
      </c>
      <c r="N1937" s="54"/>
    </row>
    <row r="1938" spans="2:14" x14ac:dyDescent="0.2">
      <c r="B1938">
        <v>1929</v>
      </c>
      <c r="C1938" s="52">
        <f t="shared" ca="1" si="93"/>
        <v>-0.85050629995830285</v>
      </c>
      <c r="D1938" s="52">
        <f ca="1">S0*EXP((μ-0.5*σ*σ)*T+σ*SQRT(T)*$C1938)</f>
        <v>0.50894378411846397</v>
      </c>
      <c r="E1938" s="52">
        <f t="shared" ca="1" si="91"/>
        <v>2.5456215881536015E-2</v>
      </c>
      <c r="F1938" s="17">
        <f t="shared" ca="1" si="92"/>
        <v>1</v>
      </c>
      <c r="H1938" s="17">
        <v>1929</v>
      </c>
      <c r="I1938" s="45">
        <v>0.67054868532454337</v>
      </c>
      <c r="J1938" s="45">
        <v>1.8756279082928849E-2</v>
      </c>
      <c r="K1938" s="45">
        <v>0.24640000000000001</v>
      </c>
      <c r="N1938" s="54"/>
    </row>
    <row r="1939" spans="2:14" x14ac:dyDescent="0.2">
      <c r="B1939">
        <v>1930</v>
      </c>
      <c r="C1939" s="52">
        <f t="shared" ca="1" si="93"/>
        <v>-1.3530284632131135</v>
      </c>
      <c r="D1939" s="52">
        <f ca="1">S0*EXP((μ-0.5*σ*σ)*T+σ*SQRT(T)*$C1939)</f>
        <v>0.44293547386565224</v>
      </c>
      <c r="E1939" s="52">
        <f t="shared" ca="1" si="91"/>
        <v>9.1464526134347746E-2</v>
      </c>
      <c r="F1939" s="17">
        <f t="shared" ca="1" si="92"/>
        <v>1</v>
      </c>
      <c r="H1939" s="17">
        <v>1930</v>
      </c>
      <c r="I1939" s="45">
        <v>0.67057391101176489</v>
      </c>
      <c r="J1939" s="45">
        <v>1.8672258536412883E-2</v>
      </c>
      <c r="K1939" s="45">
        <v>0.24679999999999999</v>
      </c>
      <c r="N1939" s="54"/>
    </row>
    <row r="1940" spans="2:14" x14ac:dyDescent="0.2">
      <c r="B1940">
        <v>1931</v>
      </c>
      <c r="C1940" s="52">
        <f t="shared" ca="1" si="93"/>
        <v>1.755166398709725</v>
      </c>
      <c r="D1940" s="52">
        <f ca="1">S0*EXP((μ-0.5*σ*σ)*T+σ*SQRT(T)*$C1940)</f>
        <v>1.0458970516865034</v>
      </c>
      <c r="E1940" s="52">
        <f t="shared" ca="1" si="91"/>
        <v>0</v>
      </c>
      <c r="F1940" s="17">
        <f t="shared" ca="1" si="92"/>
        <v>0</v>
      </c>
      <c r="H1940" s="17">
        <v>1931</v>
      </c>
      <c r="I1940" s="45">
        <v>0.67007756726604617</v>
      </c>
      <c r="J1940" s="45">
        <v>1.8270578853052864E-2</v>
      </c>
      <c r="K1940" s="45">
        <v>0.2402</v>
      </c>
      <c r="N1940" s="54"/>
    </row>
    <row r="1941" spans="2:14" x14ac:dyDescent="0.2">
      <c r="B1941">
        <v>1932</v>
      </c>
      <c r="C1941" s="52">
        <f t="shared" ca="1" si="93"/>
        <v>-0.85834655367982082</v>
      </c>
      <c r="D1941" s="52">
        <f ca="1">S0*EXP((μ-0.5*σ*σ)*T+σ*SQRT(T)*$C1941)</f>
        <v>0.50784194416717587</v>
      </c>
      <c r="E1941" s="52">
        <f t="shared" ca="1" si="91"/>
        <v>2.6558055832824112E-2</v>
      </c>
      <c r="F1941" s="17">
        <f t="shared" ca="1" si="92"/>
        <v>1</v>
      </c>
      <c r="H1941" s="17">
        <v>1932</v>
      </c>
      <c r="I1941" s="45">
        <v>0.67082446665808404</v>
      </c>
      <c r="J1941" s="45">
        <v>1.8631576737191933E-2</v>
      </c>
      <c r="K1941" s="45">
        <v>0.24299999999999999</v>
      </c>
      <c r="N1941" s="54"/>
    </row>
    <row r="1942" spans="2:14" x14ac:dyDescent="0.2">
      <c r="B1942">
        <v>1933</v>
      </c>
      <c r="C1942" s="52">
        <f t="shared" ca="1" si="93"/>
        <v>0.96791166819576602</v>
      </c>
      <c r="D1942" s="52">
        <f ca="1">S0*EXP((μ-0.5*σ*σ)*T+σ*SQRT(T)*$C1942)</f>
        <v>0.84134972292641153</v>
      </c>
      <c r="E1942" s="52">
        <f t="shared" ca="1" si="91"/>
        <v>0</v>
      </c>
      <c r="F1942" s="17">
        <f t="shared" ca="1" si="92"/>
        <v>0</v>
      </c>
      <c r="H1942" s="17">
        <v>1933</v>
      </c>
      <c r="I1942" s="45">
        <v>0.6717259493245793</v>
      </c>
      <c r="J1942" s="45">
        <v>1.9587812886652272E-2</v>
      </c>
      <c r="K1942" s="45">
        <v>0.24979999999999999</v>
      </c>
      <c r="N1942" s="54"/>
    </row>
    <row r="1943" spans="2:14" x14ac:dyDescent="0.2">
      <c r="B1943">
        <v>1934</v>
      </c>
      <c r="C1943" s="52">
        <f t="shared" ca="1" si="93"/>
        <v>-0.87628562134400523</v>
      </c>
      <c r="D1943" s="52">
        <f ca="1">S0*EXP((μ-0.5*σ*σ)*T+σ*SQRT(T)*$C1943)</f>
        <v>0.50532981953431011</v>
      </c>
      <c r="E1943" s="52">
        <f t="shared" ca="1" si="91"/>
        <v>2.9070180465689877E-2</v>
      </c>
      <c r="F1943" s="17">
        <f t="shared" ca="1" si="92"/>
        <v>1</v>
      </c>
      <c r="H1943" s="17">
        <v>1934</v>
      </c>
      <c r="I1943" s="45">
        <v>0.6707038087743733</v>
      </c>
      <c r="J1943" s="45">
        <v>1.8656907965742597E-2</v>
      </c>
      <c r="K1943" s="45">
        <v>0.24479999999999999</v>
      </c>
      <c r="N1943" s="54"/>
    </row>
    <row r="1944" spans="2:14" x14ac:dyDescent="0.2">
      <c r="B1944">
        <v>1935</v>
      </c>
      <c r="C1944" s="52">
        <f t="shared" ca="1" si="93"/>
        <v>4.4048965716510048E-2</v>
      </c>
      <c r="D1944" s="52">
        <f ca="1">S0*EXP((μ-0.5*σ*σ)*T+σ*SQRT(T)*$C1944)</f>
        <v>0.65172436976569559</v>
      </c>
      <c r="E1944" s="52">
        <f t="shared" ca="1" si="91"/>
        <v>0</v>
      </c>
      <c r="F1944" s="17">
        <f t="shared" ca="1" si="92"/>
        <v>0</v>
      </c>
      <c r="H1944" s="17">
        <v>1935</v>
      </c>
      <c r="I1944" s="45">
        <v>0.67293200585550916</v>
      </c>
      <c r="J1944" s="45">
        <v>2.0315497630493194E-2</v>
      </c>
      <c r="K1944" s="45">
        <v>0.25219999999999998</v>
      </c>
      <c r="N1944" s="54"/>
    </row>
    <row r="1945" spans="2:14" x14ac:dyDescent="0.2">
      <c r="B1945">
        <v>1936</v>
      </c>
      <c r="C1945" s="52">
        <f t="shared" ca="1" si="93"/>
        <v>-0.14565725087688453</v>
      </c>
      <c r="D1945" s="52">
        <f ca="1">S0*EXP((μ-0.5*σ*σ)*T+σ*SQRT(T)*$C1945)</f>
        <v>0.61842799147550964</v>
      </c>
      <c r="E1945" s="52">
        <f t="shared" ca="1" si="91"/>
        <v>0</v>
      </c>
      <c r="F1945" s="17">
        <f t="shared" ca="1" si="92"/>
        <v>0</v>
      </c>
      <c r="H1945" s="17">
        <v>1936</v>
      </c>
      <c r="I1945" s="45">
        <v>0.67018264548042827</v>
      </c>
      <c r="J1945" s="45">
        <v>1.8210136584233042E-2</v>
      </c>
      <c r="K1945" s="45">
        <v>0.2394</v>
      </c>
      <c r="N1945" s="54"/>
    </row>
    <row r="1946" spans="2:14" x14ac:dyDescent="0.2">
      <c r="B1946">
        <v>1937</v>
      </c>
      <c r="C1946" s="52">
        <f t="shared" ca="1" si="93"/>
        <v>-0.6386021923251084</v>
      </c>
      <c r="D1946" s="52">
        <f ca="1">S0*EXP((μ-0.5*σ*σ)*T+σ*SQRT(T)*$C1946)</f>
        <v>0.53964674613256813</v>
      </c>
      <c r="E1946" s="52">
        <f t="shared" ca="1" si="91"/>
        <v>0</v>
      </c>
      <c r="F1946" s="17">
        <f t="shared" ca="1" si="92"/>
        <v>0</v>
      </c>
      <c r="H1946" s="17">
        <v>1937</v>
      </c>
      <c r="I1946" s="45">
        <v>0.67181227038349567</v>
      </c>
      <c r="J1946" s="45">
        <v>1.951882666213817E-2</v>
      </c>
      <c r="K1946" s="45">
        <v>0.24959999999999999</v>
      </c>
      <c r="N1946" s="54"/>
    </row>
    <row r="1947" spans="2:14" x14ac:dyDescent="0.2">
      <c r="B1947">
        <v>1938</v>
      </c>
      <c r="C1947" s="52">
        <f t="shared" ca="1" si="93"/>
        <v>1.6584331398581289</v>
      </c>
      <c r="D1947" s="52">
        <f ca="1">S0*EXP((μ-0.5*σ*σ)*T+σ*SQRT(T)*$C1947)</f>
        <v>1.0183001545967849</v>
      </c>
      <c r="E1947" s="52">
        <f t="shared" ca="1" si="91"/>
        <v>0</v>
      </c>
      <c r="F1947" s="17">
        <f t="shared" ca="1" si="92"/>
        <v>0</v>
      </c>
      <c r="H1947" s="17">
        <v>1938</v>
      </c>
      <c r="I1947" s="45">
        <v>0.67081688331016065</v>
      </c>
      <c r="J1947" s="45">
        <v>1.8726031254873637E-2</v>
      </c>
      <c r="K1947" s="45">
        <v>0.24759999999999999</v>
      </c>
      <c r="N1947" s="54"/>
    </row>
    <row r="1948" spans="2:14" x14ac:dyDescent="0.2">
      <c r="B1948">
        <v>1939</v>
      </c>
      <c r="C1948" s="52">
        <f t="shared" ca="1" si="93"/>
        <v>-0.65335046310352429</v>
      </c>
      <c r="D1948" s="52">
        <f ca="1">S0*EXP((μ-0.5*σ*σ)*T+σ*SQRT(T)*$C1948)</f>
        <v>0.53745113815470968</v>
      </c>
      <c r="E1948" s="52">
        <f t="shared" ca="1" si="91"/>
        <v>0</v>
      </c>
      <c r="F1948" s="17">
        <f t="shared" ca="1" si="92"/>
        <v>0</v>
      </c>
      <c r="H1948" s="17">
        <v>1939</v>
      </c>
      <c r="I1948" s="45">
        <v>0.66914459803849891</v>
      </c>
      <c r="J1948" s="45">
        <v>1.7581906037990629E-2</v>
      </c>
      <c r="K1948" s="45">
        <v>0.2326</v>
      </c>
      <c r="N1948" s="54"/>
    </row>
    <row r="1949" spans="2:14" x14ac:dyDescent="0.2">
      <c r="B1949">
        <v>1940</v>
      </c>
      <c r="C1949" s="52">
        <f t="shared" ca="1" si="93"/>
        <v>-1.8355879434981135</v>
      </c>
      <c r="D1949" s="52">
        <f ca="1">S0*EXP((μ-0.5*σ*σ)*T+σ*SQRT(T)*$C1949)</f>
        <v>0.38762135441133472</v>
      </c>
      <c r="E1949" s="52">
        <f t="shared" ca="1" si="91"/>
        <v>0.14677864558866527</v>
      </c>
      <c r="F1949" s="17">
        <f t="shared" ca="1" si="92"/>
        <v>1</v>
      </c>
      <c r="H1949" s="17">
        <v>1940</v>
      </c>
      <c r="I1949" s="45">
        <v>0.67132038620884404</v>
      </c>
      <c r="J1949" s="45">
        <v>1.9329520353547937E-2</v>
      </c>
      <c r="K1949" s="45">
        <v>0.25259999999999999</v>
      </c>
      <c r="N1949" s="54"/>
    </row>
    <row r="1950" spans="2:14" x14ac:dyDescent="0.2">
      <c r="B1950">
        <v>1941</v>
      </c>
      <c r="C1950" s="52">
        <f t="shared" ca="1" si="93"/>
        <v>-0.59139313479840594</v>
      </c>
      <c r="D1950" s="52">
        <f ca="1">S0*EXP((μ-0.5*σ*σ)*T+σ*SQRT(T)*$C1950)</f>
        <v>0.54673535304603482</v>
      </c>
      <c r="E1950" s="52">
        <f t="shared" ca="1" si="91"/>
        <v>0</v>
      </c>
      <c r="F1950" s="17">
        <f t="shared" ca="1" si="92"/>
        <v>0</v>
      </c>
      <c r="H1950" s="17">
        <v>1941</v>
      </c>
      <c r="I1950" s="45">
        <v>0.67092845307725846</v>
      </c>
      <c r="J1950" s="45">
        <v>1.9083243552169518E-2</v>
      </c>
      <c r="K1950" s="45">
        <v>0.25040000000000001</v>
      </c>
      <c r="N1950" s="54"/>
    </row>
    <row r="1951" spans="2:14" x14ac:dyDescent="0.2">
      <c r="B1951">
        <v>1942</v>
      </c>
      <c r="C1951" s="52">
        <f t="shared" ca="1" si="93"/>
        <v>0.36729297178032633</v>
      </c>
      <c r="D1951" s="52">
        <f ca="1">S0*EXP((μ-0.5*σ*σ)*T+σ*SQRT(T)*$C1951)</f>
        <v>0.71264035320344188</v>
      </c>
      <c r="E1951" s="52">
        <f t="shared" ca="1" si="91"/>
        <v>0</v>
      </c>
      <c r="F1951" s="17">
        <f t="shared" ca="1" si="92"/>
        <v>0</v>
      </c>
      <c r="H1951" s="17">
        <v>1942</v>
      </c>
      <c r="I1951" s="45">
        <v>0.67095204815330822</v>
      </c>
      <c r="J1951" s="45">
        <v>1.8766257562091986E-2</v>
      </c>
      <c r="K1951" s="45">
        <v>0.24179999999999999</v>
      </c>
      <c r="N1951" s="54"/>
    </row>
    <row r="1952" spans="2:14" x14ac:dyDescent="0.2">
      <c r="B1952">
        <v>1943</v>
      </c>
      <c r="C1952" s="52">
        <f t="shared" ca="1" si="93"/>
        <v>-0.50262116824450009</v>
      </c>
      <c r="D1952" s="52">
        <f ca="1">S0*EXP((μ-0.5*σ*σ)*T+σ*SQRT(T)*$C1952)</f>
        <v>0.56031791492679572</v>
      </c>
      <c r="E1952" s="52">
        <f t="shared" ca="1" si="91"/>
        <v>0</v>
      </c>
      <c r="F1952" s="17">
        <f t="shared" ca="1" si="92"/>
        <v>0</v>
      </c>
      <c r="H1952" s="17">
        <v>1943</v>
      </c>
      <c r="I1952" s="45">
        <v>0.67155267811555253</v>
      </c>
      <c r="J1952" s="45">
        <v>1.9521946642483523E-2</v>
      </c>
      <c r="K1952" s="45">
        <v>0.25580000000000003</v>
      </c>
      <c r="N1952" s="54"/>
    </row>
    <row r="1953" spans="2:14" x14ac:dyDescent="0.2">
      <c r="B1953">
        <v>1944</v>
      </c>
      <c r="C1953" s="52">
        <f t="shared" ca="1" si="93"/>
        <v>-0.3718049265191089</v>
      </c>
      <c r="D1953" s="52">
        <f ca="1">S0*EXP((μ-0.5*σ*σ)*T+σ*SQRT(T)*$C1953)</f>
        <v>0.58095086891874337</v>
      </c>
      <c r="E1953" s="52">
        <f t="shared" ca="1" si="91"/>
        <v>0</v>
      </c>
      <c r="F1953" s="17">
        <f t="shared" ca="1" si="92"/>
        <v>0</v>
      </c>
      <c r="H1953" s="17">
        <v>1944</v>
      </c>
      <c r="I1953" s="45">
        <v>0.67082033217256665</v>
      </c>
      <c r="J1953" s="45">
        <v>1.8859767035588417E-2</v>
      </c>
      <c r="K1953" s="45">
        <v>0.24679999999999999</v>
      </c>
      <c r="N1953" s="54"/>
    </row>
    <row r="1954" spans="2:14" x14ac:dyDescent="0.2">
      <c r="B1954">
        <v>1945</v>
      </c>
      <c r="C1954" s="52">
        <f t="shared" ca="1" si="93"/>
        <v>-8.1701205054563159E-2</v>
      </c>
      <c r="D1954" s="52">
        <f ca="1">S0*EXP((μ-0.5*σ*σ)*T+σ*SQRT(T)*$C1954)</f>
        <v>0.62945872981276463</v>
      </c>
      <c r="E1954" s="52">
        <f t="shared" ca="1" si="91"/>
        <v>0</v>
      </c>
      <c r="F1954" s="17">
        <f t="shared" ca="1" si="92"/>
        <v>0</v>
      </c>
      <c r="H1954" s="17">
        <v>1945</v>
      </c>
      <c r="I1954" s="45">
        <v>0.67076214652236954</v>
      </c>
      <c r="J1954" s="45">
        <v>1.8733648810745771E-2</v>
      </c>
      <c r="K1954" s="45">
        <v>0.24199999999999999</v>
      </c>
      <c r="N1954" s="54"/>
    </row>
    <row r="1955" spans="2:14" x14ac:dyDescent="0.2">
      <c r="B1955">
        <v>1946</v>
      </c>
      <c r="C1955" s="52">
        <f t="shared" ca="1" si="93"/>
        <v>2.123199791330284</v>
      </c>
      <c r="D1955" s="52">
        <f ca="1">S0*EXP((μ-0.5*σ*σ)*T+σ*SQRT(T)*$C1955)</f>
        <v>1.1579038393760379</v>
      </c>
      <c r="E1955" s="52">
        <f t="shared" ca="1" si="91"/>
        <v>0</v>
      </c>
      <c r="F1955" s="17">
        <f t="shared" ca="1" si="92"/>
        <v>0</v>
      </c>
      <c r="H1955" s="17">
        <v>1946</v>
      </c>
      <c r="I1955" s="45">
        <v>0.67012232174671849</v>
      </c>
      <c r="J1955" s="45">
        <v>1.8561542263771103E-2</v>
      </c>
      <c r="K1955" s="45">
        <v>0.2424</v>
      </c>
      <c r="N1955" s="54"/>
    </row>
    <row r="1956" spans="2:14" x14ac:dyDescent="0.2">
      <c r="B1956">
        <v>1947</v>
      </c>
      <c r="C1956" s="52">
        <f t="shared" ca="1" si="93"/>
        <v>-2.3717877194030157</v>
      </c>
      <c r="D1956" s="52">
        <f ca="1">S0*EXP((μ-0.5*σ*σ)*T+σ*SQRT(T)*$C1956)</f>
        <v>0.33422215978319791</v>
      </c>
      <c r="E1956" s="52">
        <f t="shared" ca="1" si="91"/>
        <v>0.20017784021680207</v>
      </c>
      <c r="F1956" s="17">
        <f t="shared" ca="1" si="92"/>
        <v>1</v>
      </c>
      <c r="H1956" s="17">
        <v>1947</v>
      </c>
      <c r="I1956" s="45">
        <v>0.67204282473662413</v>
      </c>
      <c r="J1956" s="45">
        <v>1.981153847567553E-2</v>
      </c>
      <c r="K1956" s="45">
        <v>0.25219999999999998</v>
      </c>
      <c r="N1956" s="54"/>
    </row>
    <row r="1957" spans="2:14" x14ac:dyDescent="0.2">
      <c r="B1957">
        <v>1948</v>
      </c>
      <c r="C1957" s="52">
        <f t="shared" ca="1" si="93"/>
        <v>1.7349614132418569</v>
      </c>
      <c r="D1957" s="52">
        <f ca="1">S0*EXP((μ-0.5*σ*σ)*T+σ*SQRT(T)*$C1957)</f>
        <v>1.040071670728886</v>
      </c>
      <c r="E1957" s="52">
        <f t="shared" ca="1" si="91"/>
        <v>0</v>
      </c>
      <c r="F1957" s="17">
        <f t="shared" ca="1" si="92"/>
        <v>0</v>
      </c>
      <c r="H1957" s="17">
        <v>1948</v>
      </c>
      <c r="I1957" s="45">
        <v>0.67036000529365036</v>
      </c>
      <c r="J1957" s="45">
        <v>1.846955236518431E-2</v>
      </c>
      <c r="K1957" s="45">
        <v>0.24879999999999999</v>
      </c>
      <c r="N1957" s="54"/>
    </row>
    <row r="1958" spans="2:14" x14ac:dyDescent="0.2">
      <c r="B1958">
        <v>1949</v>
      </c>
      <c r="C1958" s="52">
        <f t="shared" ca="1" si="93"/>
        <v>-0.57765430051685163</v>
      </c>
      <c r="D1958" s="52">
        <f ca="1">S0*EXP((μ-0.5*σ*σ)*T+σ*SQRT(T)*$C1958)</f>
        <v>0.54881572562160252</v>
      </c>
      <c r="E1958" s="52">
        <f t="shared" ca="1" si="91"/>
        <v>0</v>
      </c>
      <c r="F1958" s="17">
        <f t="shared" ca="1" si="92"/>
        <v>0</v>
      </c>
      <c r="H1958" s="17">
        <v>1949</v>
      </c>
      <c r="I1958" s="45">
        <v>0.6717857461039819</v>
      </c>
      <c r="J1958" s="45">
        <v>1.9619926738210124E-2</v>
      </c>
      <c r="K1958" s="45">
        <v>0.25080000000000002</v>
      </c>
      <c r="N1958" s="54"/>
    </row>
    <row r="1959" spans="2:14" x14ac:dyDescent="0.2">
      <c r="B1959">
        <v>1950</v>
      </c>
      <c r="C1959" s="52">
        <f t="shared" ca="1" si="93"/>
        <v>-0.77927273923844642</v>
      </c>
      <c r="D1959" s="52">
        <f ca="1">S0*EXP((μ-0.5*σ*σ)*T+σ*SQRT(T)*$C1959)</f>
        <v>0.51906485606551123</v>
      </c>
      <c r="E1959" s="52">
        <f t="shared" ca="1" si="91"/>
        <v>1.533514393448876E-2</v>
      </c>
      <c r="F1959" s="17">
        <f t="shared" ca="1" si="92"/>
        <v>1</v>
      </c>
      <c r="H1959" s="17">
        <v>1950</v>
      </c>
      <c r="I1959" s="45">
        <v>0.67182211763137001</v>
      </c>
      <c r="J1959" s="45">
        <v>1.9695097220716853E-2</v>
      </c>
      <c r="K1959" s="45">
        <v>0.25280000000000002</v>
      </c>
      <c r="N1959" s="54"/>
    </row>
    <row r="1960" spans="2:14" x14ac:dyDescent="0.2">
      <c r="B1960">
        <v>1951</v>
      </c>
      <c r="C1960" s="52">
        <f t="shared" ca="1" si="93"/>
        <v>-0.51152637119798383</v>
      </c>
      <c r="D1960" s="52">
        <f ca="1">S0*EXP((μ-0.5*σ*σ)*T+σ*SQRT(T)*$C1960)</f>
        <v>0.55894028359076653</v>
      </c>
      <c r="E1960" s="52">
        <f t="shared" ca="1" si="91"/>
        <v>0</v>
      </c>
      <c r="F1960" s="17">
        <f t="shared" ca="1" si="92"/>
        <v>0</v>
      </c>
      <c r="H1960" s="17">
        <v>1951</v>
      </c>
      <c r="I1960" s="45">
        <v>0.67136504660715535</v>
      </c>
      <c r="J1960" s="45">
        <v>1.9286975378667772E-2</v>
      </c>
      <c r="K1960" s="45">
        <v>0.24779999999999999</v>
      </c>
      <c r="N1960" s="54"/>
    </row>
    <row r="1961" spans="2:14" x14ac:dyDescent="0.2">
      <c r="B1961">
        <v>1952</v>
      </c>
      <c r="C1961" s="52">
        <f t="shared" ca="1" si="93"/>
        <v>1.2502337976074813</v>
      </c>
      <c r="D1961" s="52">
        <f ca="1">S0*EXP((μ-0.5*σ*σ)*T+σ*SQRT(T)*$C1961)</f>
        <v>0.90964137734926331</v>
      </c>
      <c r="E1961" s="52">
        <f t="shared" ca="1" si="91"/>
        <v>0</v>
      </c>
      <c r="F1961" s="17">
        <f t="shared" ca="1" si="92"/>
        <v>0</v>
      </c>
      <c r="H1961" s="17">
        <v>1952</v>
      </c>
      <c r="I1961" s="45">
        <v>0.67071688346369041</v>
      </c>
      <c r="J1961" s="45">
        <v>1.8968597328480604E-2</v>
      </c>
      <c r="K1961" s="45">
        <v>0.24399999999999999</v>
      </c>
      <c r="N1961" s="54"/>
    </row>
    <row r="1962" spans="2:14" x14ac:dyDescent="0.2">
      <c r="B1962">
        <v>1953</v>
      </c>
      <c r="C1962" s="52">
        <f t="shared" ca="1" si="93"/>
        <v>7.8696115988294027E-2</v>
      </c>
      <c r="D1962" s="52">
        <f ca="1">S0*EXP((μ-0.5*σ*σ)*T+σ*SQRT(T)*$C1962)</f>
        <v>0.65799631144594184</v>
      </c>
      <c r="E1962" s="52">
        <f t="shared" ca="1" si="91"/>
        <v>0</v>
      </c>
      <c r="F1962" s="17">
        <f t="shared" ca="1" si="92"/>
        <v>0</v>
      </c>
      <c r="H1962" s="17">
        <v>1953</v>
      </c>
      <c r="I1962" s="45">
        <v>0.67155380115497443</v>
      </c>
      <c r="J1962" s="45">
        <v>1.9550105111891834E-2</v>
      </c>
      <c r="K1962" s="45">
        <v>0.25580000000000003</v>
      </c>
      <c r="N1962" s="54"/>
    </row>
    <row r="1963" spans="2:14" x14ac:dyDescent="0.2">
      <c r="B1963">
        <v>1954</v>
      </c>
      <c r="C1963" s="52">
        <f t="shared" ca="1" si="93"/>
        <v>-1.0291956951062304</v>
      </c>
      <c r="D1963" s="52">
        <f ca="1">S0*EXP((μ-0.5*σ*σ)*T+σ*SQRT(T)*$C1963)</f>
        <v>0.48441501491280547</v>
      </c>
      <c r="E1963" s="52">
        <f t="shared" ca="1" si="91"/>
        <v>4.9984985087194511E-2</v>
      </c>
      <c r="F1963" s="17">
        <f t="shared" ca="1" si="92"/>
        <v>1</v>
      </c>
      <c r="H1963" s="17">
        <v>1954</v>
      </c>
      <c r="I1963" s="45">
        <v>0.67139189960601175</v>
      </c>
      <c r="J1963" s="45">
        <v>1.941231102791199E-2</v>
      </c>
      <c r="K1963" s="45">
        <v>0.24779999999999999</v>
      </c>
      <c r="N1963" s="54"/>
    </row>
    <row r="1964" spans="2:14" x14ac:dyDescent="0.2">
      <c r="B1964">
        <v>1955</v>
      </c>
      <c r="C1964" s="52">
        <f t="shared" ca="1" si="93"/>
        <v>-1.6704127718758564</v>
      </c>
      <c r="D1964" s="52">
        <f ca="1">S0*EXP((μ-0.5*σ*σ)*T+σ*SQRT(T)*$C1964)</f>
        <v>0.40573034343941566</v>
      </c>
      <c r="E1964" s="52">
        <f t="shared" ca="1" si="91"/>
        <v>0.12866965656058432</v>
      </c>
      <c r="F1964" s="17">
        <f t="shared" ca="1" si="92"/>
        <v>1</v>
      </c>
      <c r="H1964" s="17">
        <v>1955</v>
      </c>
      <c r="I1964" s="45">
        <v>0.66953212604209356</v>
      </c>
      <c r="J1964" s="45">
        <v>1.7881957818721737E-2</v>
      </c>
      <c r="K1964" s="45">
        <v>0.2412</v>
      </c>
      <c r="N1964" s="54"/>
    </row>
    <row r="1965" spans="2:14" x14ac:dyDescent="0.2">
      <c r="B1965">
        <v>1956</v>
      </c>
      <c r="C1965" s="52">
        <f t="shared" ca="1" si="93"/>
        <v>0.40001836373987509</v>
      </c>
      <c r="D1965" s="52">
        <f ca="1">S0*EXP((μ-0.5*σ*σ)*T+σ*SQRT(T)*$C1965)</f>
        <v>0.71911640424276935</v>
      </c>
      <c r="E1965" s="52">
        <f t="shared" ca="1" si="91"/>
        <v>0</v>
      </c>
      <c r="F1965" s="17">
        <f t="shared" ca="1" si="92"/>
        <v>0</v>
      </c>
      <c r="H1965" s="17">
        <v>1956</v>
      </c>
      <c r="I1965" s="45">
        <v>0.67109696778485706</v>
      </c>
      <c r="J1965" s="45">
        <v>1.9470072634089432E-2</v>
      </c>
      <c r="K1965" s="45">
        <v>0.254</v>
      </c>
      <c r="N1965" s="54"/>
    </row>
    <row r="1966" spans="2:14" x14ac:dyDescent="0.2">
      <c r="B1966">
        <v>1957</v>
      </c>
      <c r="C1966" s="52">
        <f t="shared" ca="1" si="93"/>
        <v>0.58405766967969797</v>
      </c>
      <c r="D1966" s="52">
        <f ca="1">S0*EXP((μ-0.5*σ*σ)*T+σ*SQRT(T)*$C1966)</f>
        <v>0.75664765040351223</v>
      </c>
      <c r="E1966" s="52">
        <f t="shared" ca="1" si="91"/>
        <v>0</v>
      </c>
      <c r="F1966" s="17">
        <f t="shared" ca="1" si="92"/>
        <v>0</v>
      </c>
      <c r="H1966" s="17">
        <v>1957</v>
      </c>
      <c r="I1966" s="45">
        <v>0.67162079123624885</v>
      </c>
      <c r="J1966" s="45">
        <v>1.9578397477841132E-2</v>
      </c>
      <c r="K1966" s="45">
        <v>0.25</v>
      </c>
      <c r="N1966" s="54"/>
    </row>
    <row r="1967" spans="2:14" x14ac:dyDescent="0.2">
      <c r="B1967">
        <v>1958</v>
      </c>
      <c r="C1967" s="52">
        <f t="shared" ca="1" si="93"/>
        <v>1.4737355975821773</v>
      </c>
      <c r="D1967" s="52">
        <f ca="1">S0*EXP((μ-0.5*σ*σ)*T+σ*SQRT(T)*$C1967)</f>
        <v>0.96761433655497209</v>
      </c>
      <c r="E1967" s="52">
        <f t="shared" ca="1" si="91"/>
        <v>0</v>
      </c>
      <c r="F1967" s="17">
        <f t="shared" ca="1" si="92"/>
        <v>0</v>
      </c>
      <c r="H1967" s="17">
        <v>1958</v>
      </c>
      <c r="I1967" s="45">
        <v>0.67236221141611241</v>
      </c>
      <c r="J1967" s="45">
        <v>2.0339907909983367E-2</v>
      </c>
      <c r="K1967" s="45">
        <v>0.253</v>
      </c>
      <c r="N1967" s="54"/>
    </row>
    <row r="1968" spans="2:14" x14ac:dyDescent="0.2">
      <c r="B1968">
        <v>1959</v>
      </c>
      <c r="C1968" s="52">
        <f t="shared" ca="1" si="93"/>
        <v>0.87988863396992034</v>
      </c>
      <c r="D1968" s="52">
        <f ca="1">S0*EXP((μ-0.5*σ*σ)*T+σ*SQRT(T)*$C1968)</f>
        <v>0.82112470072983545</v>
      </c>
      <c r="E1968" s="52">
        <f t="shared" ca="1" si="91"/>
        <v>0</v>
      </c>
      <c r="F1968" s="17">
        <f t="shared" ca="1" si="92"/>
        <v>0</v>
      </c>
      <c r="H1968" s="17">
        <v>1959</v>
      </c>
      <c r="I1968" s="45">
        <v>0.67233134883248213</v>
      </c>
      <c r="J1968" s="45">
        <v>1.9930890156553437E-2</v>
      </c>
      <c r="K1968" s="45">
        <v>0.25700000000000001</v>
      </c>
      <c r="N1968" s="54"/>
    </row>
    <row r="1969" spans="2:14" x14ac:dyDescent="0.2">
      <c r="B1969">
        <v>1960</v>
      </c>
      <c r="C1969" s="52">
        <f t="shared" ca="1" si="93"/>
        <v>-0.80762730541085204</v>
      </c>
      <c r="D1969" s="52">
        <f ca="1">S0*EXP((μ-0.5*σ*σ)*T+σ*SQRT(T)*$C1969)</f>
        <v>0.51501226447452797</v>
      </c>
      <c r="E1969" s="52">
        <f t="shared" ca="1" si="91"/>
        <v>1.9387735525472016E-2</v>
      </c>
      <c r="F1969" s="17">
        <f t="shared" ca="1" si="92"/>
        <v>1</v>
      </c>
      <c r="H1969" s="17">
        <v>1960</v>
      </c>
      <c r="I1969" s="45">
        <v>0.67131048773036206</v>
      </c>
      <c r="J1969" s="45">
        <v>1.9352984194087916E-2</v>
      </c>
      <c r="K1969" s="45">
        <v>0.2492</v>
      </c>
      <c r="N1969" s="54"/>
    </row>
    <row r="1970" spans="2:14" x14ac:dyDescent="0.2">
      <c r="B1970">
        <v>1961</v>
      </c>
      <c r="C1970" s="52">
        <f t="shared" ca="1" si="93"/>
        <v>-1.0124758574489312</v>
      </c>
      <c r="D1970" s="52">
        <f ca="1">S0*EXP((μ-0.5*σ*σ)*T+σ*SQRT(T)*$C1970)</f>
        <v>0.48665911795809674</v>
      </c>
      <c r="E1970" s="52">
        <f t="shared" ca="1" si="91"/>
        <v>4.7740882041903243E-2</v>
      </c>
      <c r="F1970" s="17">
        <f t="shared" ca="1" si="92"/>
        <v>1</v>
      </c>
      <c r="H1970" s="17">
        <v>1961</v>
      </c>
      <c r="I1970" s="45">
        <v>0.67066535358534962</v>
      </c>
      <c r="J1970" s="45">
        <v>1.871190151026517E-2</v>
      </c>
      <c r="K1970" s="45">
        <v>0.24440000000000001</v>
      </c>
      <c r="N1970" s="54"/>
    </row>
    <row r="1971" spans="2:14" x14ac:dyDescent="0.2">
      <c r="B1971">
        <v>1962</v>
      </c>
      <c r="C1971" s="52">
        <f t="shared" ca="1" si="93"/>
        <v>0.9233239728760142</v>
      </c>
      <c r="D1971" s="52">
        <f ca="1">S0*EXP((μ-0.5*σ*σ)*T+σ*SQRT(T)*$C1971)</f>
        <v>0.83104332263880343</v>
      </c>
      <c r="E1971" s="52">
        <f t="shared" ca="1" si="91"/>
        <v>0</v>
      </c>
      <c r="F1971" s="17">
        <f t="shared" ca="1" si="92"/>
        <v>0</v>
      </c>
      <c r="H1971" s="17">
        <v>1962</v>
      </c>
      <c r="I1971" s="45">
        <v>0.67095465170568602</v>
      </c>
      <c r="J1971" s="45">
        <v>1.8887289111841156E-2</v>
      </c>
      <c r="K1971" s="45">
        <v>0.2452</v>
      </c>
      <c r="N1971" s="54"/>
    </row>
    <row r="1972" spans="2:14" x14ac:dyDescent="0.2">
      <c r="B1972">
        <v>1963</v>
      </c>
      <c r="C1972" s="52">
        <f t="shared" ca="1" si="93"/>
        <v>-1.0299907072469781</v>
      </c>
      <c r="D1972" s="52">
        <f ca="1">S0*EXP((μ-0.5*σ*σ)*T+σ*SQRT(T)*$C1972)</f>
        <v>0.48430856807662437</v>
      </c>
      <c r="E1972" s="52">
        <f t="shared" ca="1" si="91"/>
        <v>5.0091431923375618E-2</v>
      </c>
      <c r="F1972" s="17">
        <f t="shared" ca="1" si="92"/>
        <v>1</v>
      </c>
      <c r="H1972" s="17">
        <v>1963</v>
      </c>
      <c r="I1972" s="45">
        <v>0.67105664273198606</v>
      </c>
      <c r="J1972" s="45">
        <v>1.9171644985036165E-2</v>
      </c>
      <c r="K1972" s="45">
        <v>0.2442</v>
      </c>
      <c r="N1972" s="54"/>
    </row>
    <row r="1973" spans="2:14" x14ac:dyDescent="0.2">
      <c r="B1973">
        <v>1964</v>
      </c>
      <c r="C1973" s="52">
        <f t="shared" ca="1" si="93"/>
        <v>-0.64296188492067241</v>
      </c>
      <c r="D1973" s="52">
        <f ca="1">S0*EXP((μ-0.5*σ*σ)*T+σ*SQRT(T)*$C1973)</f>
        <v>0.5389967767764714</v>
      </c>
      <c r="E1973" s="52">
        <f t="shared" ca="1" si="91"/>
        <v>0</v>
      </c>
      <c r="F1973" s="17">
        <f t="shared" ca="1" si="92"/>
        <v>0</v>
      </c>
      <c r="H1973" s="17">
        <v>1964</v>
      </c>
      <c r="I1973" s="45">
        <v>0.67145712098015897</v>
      </c>
      <c r="J1973" s="45">
        <v>1.9242343089834944E-2</v>
      </c>
      <c r="K1973" s="45">
        <v>0.25119999999999998</v>
      </c>
      <c r="N1973" s="54"/>
    </row>
    <row r="1974" spans="2:14" x14ac:dyDescent="0.2">
      <c r="B1974">
        <v>1965</v>
      </c>
      <c r="C1974" s="52">
        <f t="shared" ca="1" si="93"/>
        <v>-1.5536703214224425</v>
      </c>
      <c r="D1974" s="52">
        <f ca="1">S0*EXP((μ-0.5*σ*σ)*T+σ*SQRT(T)*$C1974)</f>
        <v>0.41903739710349963</v>
      </c>
      <c r="E1974" s="52">
        <f t="shared" ca="1" si="91"/>
        <v>0.11536260289650035</v>
      </c>
      <c r="F1974" s="17">
        <f t="shared" ca="1" si="92"/>
        <v>1</v>
      </c>
      <c r="H1974" s="17">
        <v>1965</v>
      </c>
      <c r="I1974" s="45">
        <v>0.67015848514307563</v>
      </c>
      <c r="J1974" s="45">
        <v>1.8448932713842743E-2</v>
      </c>
      <c r="K1974" s="45">
        <v>0.2404</v>
      </c>
      <c r="N1974" s="54"/>
    </row>
    <row r="1975" spans="2:14" x14ac:dyDescent="0.2">
      <c r="B1975">
        <v>1966</v>
      </c>
      <c r="C1975" s="52">
        <f t="shared" ca="1" si="93"/>
        <v>-0.3181436149488524</v>
      </c>
      <c r="D1975" s="52">
        <f ca="1">S0*EXP((μ-0.5*σ*σ)*T+σ*SQRT(T)*$C1975)</f>
        <v>0.58963277126015545</v>
      </c>
      <c r="E1975" s="52">
        <f t="shared" ca="1" si="91"/>
        <v>0</v>
      </c>
      <c r="F1975" s="17">
        <f t="shared" ca="1" si="92"/>
        <v>0</v>
      </c>
      <c r="H1975" s="17">
        <v>1966</v>
      </c>
      <c r="I1975" s="45">
        <v>0.67035879438482848</v>
      </c>
      <c r="J1975" s="45">
        <v>1.8622371915494311E-2</v>
      </c>
      <c r="K1975" s="45">
        <v>0.2492</v>
      </c>
      <c r="N1975" s="54"/>
    </row>
    <row r="1976" spans="2:14" x14ac:dyDescent="0.2">
      <c r="B1976">
        <v>1967</v>
      </c>
      <c r="C1976" s="52">
        <f t="shared" ca="1" si="93"/>
        <v>-1.0017195055894306</v>
      </c>
      <c r="D1976" s="52">
        <f ca="1">S0*EXP((μ-0.5*σ*σ)*T+σ*SQRT(T)*$C1976)</f>
        <v>0.48810830623976126</v>
      </c>
      <c r="E1976" s="52">
        <f t="shared" ca="1" si="91"/>
        <v>4.6291693760238728E-2</v>
      </c>
      <c r="F1976" s="17">
        <f t="shared" ca="1" si="92"/>
        <v>1</v>
      </c>
      <c r="H1976" s="17">
        <v>1967</v>
      </c>
      <c r="I1976" s="45">
        <v>0.67173994044263097</v>
      </c>
      <c r="J1976" s="45">
        <v>1.9633963340145513E-2</v>
      </c>
      <c r="K1976" s="45">
        <v>0.25140000000000001</v>
      </c>
      <c r="N1976" s="54"/>
    </row>
    <row r="1977" spans="2:14" x14ac:dyDescent="0.2">
      <c r="B1977">
        <v>1968</v>
      </c>
      <c r="C1977" s="52">
        <f t="shared" ca="1" si="93"/>
        <v>-1.795273845435359</v>
      </c>
      <c r="D1977" s="52">
        <f ca="1">S0*EXP((μ-0.5*σ*σ)*T+σ*SQRT(T)*$C1977)</f>
        <v>0.39196521549710228</v>
      </c>
      <c r="E1977" s="52">
        <f t="shared" ca="1" si="91"/>
        <v>0.1424347845028977</v>
      </c>
      <c r="F1977" s="17">
        <f t="shared" ca="1" si="92"/>
        <v>1</v>
      </c>
      <c r="H1977" s="17">
        <v>1968</v>
      </c>
      <c r="I1977" s="45">
        <v>0.67055415017357067</v>
      </c>
      <c r="J1977" s="45">
        <v>1.8791419359850084E-2</v>
      </c>
      <c r="K1977" s="45">
        <v>0.251</v>
      </c>
      <c r="N1977" s="54"/>
    </row>
    <row r="1978" spans="2:14" x14ac:dyDescent="0.2">
      <c r="B1978">
        <v>1969</v>
      </c>
      <c r="C1978" s="52">
        <f t="shared" ca="1" si="93"/>
        <v>0.70518968535922599</v>
      </c>
      <c r="D1978" s="52">
        <f ca="1">S0*EXP((μ-0.5*σ*σ)*T+σ*SQRT(T)*$C1978)</f>
        <v>0.78241283040503917</v>
      </c>
      <c r="E1978" s="52">
        <f t="shared" ca="1" si="91"/>
        <v>0</v>
      </c>
      <c r="F1978" s="17">
        <f t="shared" ca="1" si="92"/>
        <v>0</v>
      </c>
      <c r="H1978" s="17">
        <v>1969</v>
      </c>
      <c r="I1978" s="45">
        <v>0.67065155668092746</v>
      </c>
      <c r="J1978" s="45">
        <v>1.8734066000825819E-2</v>
      </c>
      <c r="K1978" s="45">
        <v>0.2404</v>
      </c>
      <c r="N1978" s="54"/>
    </row>
    <row r="1979" spans="2:14" x14ac:dyDescent="0.2">
      <c r="B1979">
        <v>1970</v>
      </c>
      <c r="C1979" s="52">
        <f t="shared" ca="1" si="93"/>
        <v>0.78056792698544875</v>
      </c>
      <c r="D1979" s="52">
        <f ca="1">S0*EXP((μ-0.5*σ*σ)*T+σ*SQRT(T)*$C1979)</f>
        <v>0.79888700410865465</v>
      </c>
      <c r="E1979" s="52">
        <f t="shared" ca="1" si="91"/>
        <v>0</v>
      </c>
      <c r="F1979" s="17">
        <f t="shared" ca="1" si="92"/>
        <v>0</v>
      </c>
      <c r="H1979" s="17">
        <v>1970</v>
      </c>
      <c r="I1979" s="45">
        <v>0.67054007472047616</v>
      </c>
      <c r="J1979" s="45">
        <v>1.8862162462480497E-2</v>
      </c>
      <c r="K1979" s="45">
        <v>0.24640000000000001</v>
      </c>
      <c r="N1979" s="54"/>
    </row>
    <row r="1980" spans="2:14" x14ac:dyDescent="0.2">
      <c r="B1980">
        <v>1971</v>
      </c>
      <c r="C1980" s="52">
        <f t="shared" ca="1" si="93"/>
        <v>0.92166669403263923</v>
      </c>
      <c r="D1980" s="52">
        <f ca="1">S0*EXP((μ-0.5*σ*σ)*T+σ*SQRT(T)*$C1980)</f>
        <v>0.83066268748487349</v>
      </c>
      <c r="E1980" s="52">
        <f t="shared" ca="1" si="91"/>
        <v>0</v>
      </c>
      <c r="F1980" s="17">
        <f t="shared" ca="1" si="92"/>
        <v>0</v>
      </c>
      <c r="H1980" s="17">
        <v>1971</v>
      </c>
      <c r="I1980" s="45">
        <v>0.67047119930827037</v>
      </c>
      <c r="J1980" s="45">
        <v>1.884384981046025E-2</v>
      </c>
      <c r="K1980" s="45">
        <v>0.24940000000000001</v>
      </c>
      <c r="N1980" s="54"/>
    </row>
    <row r="1981" spans="2:14" x14ac:dyDescent="0.2">
      <c r="B1981">
        <v>1972</v>
      </c>
      <c r="C1981" s="52">
        <f t="shared" ca="1" si="93"/>
        <v>-0.33725792950007649</v>
      </c>
      <c r="D1981" s="52">
        <f ca="1">S0*EXP((μ-0.5*σ*σ)*T+σ*SQRT(T)*$C1981)</f>
        <v>0.58652547542875066</v>
      </c>
      <c r="E1981" s="52">
        <f t="shared" ca="1" si="91"/>
        <v>0</v>
      </c>
      <c r="F1981" s="17">
        <f t="shared" ca="1" si="92"/>
        <v>0</v>
      </c>
      <c r="H1981" s="17">
        <v>1972</v>
      </c>
      <c r="I1981" s="45">
        <v>0.66985433870982536</v>
      </c>
      <c r="J1981" s="45">
        <v>1.7873455660576378E-2</v>
      </c>
      <c r="K1981" s="45">
        <v>0.23980000000000001</v>
      </c>
      <c r="N1981" s="54"/>
    </row>
    <row r="1982" spans="2:14" x14ac:dyDescent="0.2">
      <c r="B1982">
        <v>1973</v>
      </c>
      <c r="C1982" s="52">
        <f t="shared" ca="1" si="93"/>
        <v>0.49451546203178443</v>
      </c>
      <c r="D1982" s="52">
        <f ca="1">S0*EXP((μ-0.5*σ*σ)*T+σ*SQRT(T)*$C1982)</f>
        <v>0.73814871296735807</v>
      </c>
      <c r="E1982" s="52">
        <f t="shared" ca="1" si="91"/>
        <v>0</v>
      </c>
      <c r="F1982" s="17">
        <f t="shared" ca="1" si="92"/>
        <v>0</v>
      </c>
      <c r="H1982" s="17">
        <v>1973</v>
      </c>
      <c r="I1982" s="45">
        <v>0.67155154313719023</v>
      </c>
      <c r="J1982" s="45">
        <v>1.9402543302097276E-2</v>
      </c>
      <c r="K1982" s="45">
        <v>0.25080000000000002</v>
      </c>
      <c r="N1982" s="54"/>
    </row>
    <row r="1983" spans="2:14" x14ac:dyDescent="0.2">
      <c r="B1983">
        <v>1974</v>
      </c>
      <c r="C1983" s="52">
        <f t="shared" ca="1" si="93"/>
        <v>0.43816973681186688</v>
      </c>
      <c r="D1983" s="52">
        <f ca="1">S0*EXP((μ-0.5*σ*σ)*T+σ*SQRT(T)*$C1983)</f>
        <v>0.72674053961366036</v>
      </c>
      <c r="E1983" s="52">
        <f t="shared" ca="1" si="91"/>
        <v>0</v>
      </c>
      <c r="F1983" s="17">
        <f t="shared" ca="1" si="92"/>
        <v>0</v>
      </c>
      <c r="H1983" s="17">
        <v>1974</v>
      </c>
      <c r="I1983" s="45">
        <v>0.67120646411968443</v>
      </c>
      <c r="J1983" s="45">
        <v>1.9327569607665639E-2</v>
      </c>
      <c r="K1983" s="45">
        <v>0.24279999999999999</v>
      </c>
      <c r="N1983" s="54"/>
    </row>
    <row r="1984" spans="2:14" x14ac:dyDescent="0.2">
      <c r="B1984">
        <v>1975</v>
      </c>
      <c r="C1984" s="52">
        <f t="shared" ca="1" si="93"/>
        <v>-9.7352854943806827E-2</v>
      </c>
      <c r="D1984" s="52">
        <f ca="1">S0*EXP((μ-0.5*σ*σ)*T+σ*SQRT(T)*$C1984)</f>
        <v>0.6267411811377821</v>
      </c>
      <c r="E1984" s="52">
        <f t="shared" ca="1" si="91"/>
        <v>0</v>
      </c>
      <c r="F1984" s="17">
        <f t="shared" ca="1" si="92"/>
        <v>0</v>
      </c>
      <c r="H1984" s="17">
        <v>1975</v>
      </c>
      <c r="I1984" s="45">
        <v>0.67107911352531291</v>
      </c>
      <c r="J1984" s="45">
        <v>1.929502329004866E-2</v>
      </c>
      <c r="K1984" s="45">
        <v>0.25040000000000001</v>
      </c>
      <c r="N1984" s="54"/>
    </row>
    <row r="1985" spans="2:14" x14ac:dyDescent="0.2">
      <c r="B1985">
        <v>1976</v>
      </c>
      <c r="C1985" s="52">
        <f t="shared" ca="1" si="93"/>
        <v>-0.99374647773119129</v>
      </c>
      <c r="D1985" s="52">
        <f ca="1">S0*EXP((μ-0.5*σ*σ)*T+σ*SQRT(T)*$C1985)</f>
        <v>0.48918528535842942</v>
      </c>
      <c r="E1985" s="52">
        <f t="shared" ca="1" si="91"/>
        <v>4.5214714641570564E-2</v>
      </c>
      <c r="F1985" s="17">
        <f t="shared" ca="1" si="92"/>
        <v>1</v>
      </c>
      <c r="H1985" s="17">
        <v>1976</v>
      </c>
      <c r="I1985" s="45">
        <v>0.67113070354881244</v>
      </c>
      <c r="J1985" s="45">
        <v>1.9000069842895189E-2</v>
      </c>
      <c r="K1985" s="45">
        <v>0.245</v>
      </c>
      <c r="N1985" s="54"/>
    </row>
    <row r="1986" spans="2:14" x14ac:dyDescent="0.2">
      <c r="B1986">
        <v>1977</v>
      </c>
      <c r="C1986" s="52">
        <f t="shared" ca="1" si="93"/>
        <v>-0.72612953957138582</v>
      </c>
      <c r="D1986" s="52">
        <f ca="1">S0*EXP((μ-0.5*σ*σ)*T+σ*SQRT(T)*$C1986)</f>
        <v>0.52674646785001822</v>
      </c>
      <c r="E1986" s="52">
        <f t="shared" ca="1" si="91"/>
        <v>7.6535321499817677E-3</v>
      </c>
      <c r="F1986" s="17">
        <f t="shared" ca="1" si="92"/>
        <v>1</v>
      </c>
      <c r="H1986" s="17">
        <v>1977</v>
      </c>
      <c r="I1986" s="45">
        <v>0.66965449752942563</v>
      </c>
      <c r="J1986" s="45">
        <v>1.8211983225151235E-2</v>
      </c>
      <c r="K1986" s="45">
        <v>0.24440000000000001</v>
      </c>
      <c r="N1986" s="54"/>
    </row>
    <row r="1987" spans="2:14" x14ac:dyDescent="0.2">
      <c r="B1987">
        <v>1978</v>
      </c>
      <c r="C1987" s="52">
        <f t="shared" ca="1" si="93"/>
        <v>1.813149333209285</v>
      </c>
      <c r="D1987" s="52">
        <f ca="1">S0*EXP((μ-0.5*σ*σ)*T+σ*SQRT(T)*$C1987)</f>
        <v>1.062796145487237</v>
      </c>
      <c r="E1987" s="52">
        <f t="shared" ca="1" si="91"/>
        <v>0</v>
      </c>
      <c r="F1987" s="17">
        <f t="shared" ca="1" si="92"/>
        <v>0</v>
      </c>
      <c r="H1987" s="17">
        <v>1978</v>
      </c>
      <c r="I1987" s="45">
        <v>0.6712591478940414</v>
      </c>
      <c r="J1987" s="45">
        <v>1.9429508126209763E-2</v>
      </c>
      <c r="K1987" s="45">
        <v>0.24979999999999999</v>
      </c>
      <c r="N1987" s="54"/>
    </row>
    <row r="1988" spans="2:14" x14ac:dyDescent="0.2">
      <c r="B1988">
        <v>1979</v>
      </c>
      <c r="C1988" s="52">
        <f t="shared" ca="1" si="93"/>
        <v>-1.37643787711594</v>
      </c>
      <c r="D1988" s="52">
        <f ca="1">S0*EXP((μ-0.5*σ*σ)*T+σ*SQRT(T)*$C1988)</f>
        <v>0.44007843796859308</v>
      </c>
      <c r="E1988" s="52">
        <f t="shared" ca="1" si="91"/>
        <v>9.4321562031406903E-2</v>
      </c>
      <c r="F1988" s="17">
        <f t="shared" ca="1" si="92"/>
        <v>1</v>
      </c>
      <c r="H1988" s="17">
        <v>1979</v>
      </c>
      <c r="I1988" s="45">
        <v>0.67197251324257445</v>
      </c>
      <c r="J1988" s="45">
        <v>1.9740315928359328E-2</v>
      </c>
      <c r="K1988" s="45">
        <v>0.249</v>
      </c>
      <c r="N1988" s="54"/>
    </row>
    <row r="1989" spans="2:14" x14ac:dyDescent="0.2">
      <c r="B1989">
        <v>1980</v>
      </c>
      <c r="C1989" s="52">
        <f t="shared" ca="1" si="93"/>
        <v>-0.8022051711273559</v>
      </c>
      <c r="D1989" s="52">
        <f ca="1">S0*EXP((μ-0.5*σ*σ)*T+σ*SQRT(T)*$C1989)</f>
        <v>0.51578477156631486</v>
      </c>
      <c r="E1989" s="52">
        <f t="shared" ca="1" si="91"/>
        <v>1.8615228433685127E-2</v>
      </c>
      <c r="F1989" s="17">
        <f t="shared" ca="1" si="92"/>
        <v>1</v>
      </c>
      <c r="H1989" s="17">
        <v>1980</v>
      </c>
      <c r="I1989" s="45">
        <v>0.67034135181112819</v>
      </c>
      <c r="J1989" s="45">
        <v>1.8522588928967486E-2</v>
      </c>
      <c r="K1989" s="45">
        <v>0.247</v>
      </c>
      <c r="N1989" s="54"/>
    </row>
    <row r="1990" spans="2:14" x14ac:dyDescent="0.2">
      <c r="B1990">
        <v>1981</v>
      </c>
      <c r="C1990" s="52">
        <f t="shared" ca="1" si="93"/>
        <v>-0.19266430381357699</v>
      </c>
      <c r="D1990" s="52">
        <f ca="1">S0*EXP((μ-0.5*σ*σ)*T+σ*SQRT(T)*$C1990)</f>
        <v>0.61044395212733205</v>
      </c>
      <c r="E1990" s="52">
        <f t="shared" ca="1" si="91"/>
        <v>0</v>
      </c>
      <c r="F1990" s="17">
        <f t="shared" ca="1" si="92"/>
        <v>0</v>
      </c>
      <c r="H1990" s="17">
        <v>1981</v>
      </c>
      <c r="I1990" s="45">
        <v>0.67105733014621038</v>
      </c>
      <c r="J1990" s="45">
        <v>1.9194496288866724E-2</v>
      </c>
      <c r="K1990" s="45">
        <v>0.24660000000000001</v>
      </c>
      <c r="N1990" s="54"/>
    </row>
    <row r="1991" spans="2:14" x14ac:dyDescent="0.2">
      <c r="B1991">
        <v>1982</v>
      </c>
      <c r="C1991" s="52">
        <f t="shared" ca="1" si="93"/>
        <v>1.2044005123877413</v>
      </c>
      <c r="D1991" s="52">
        <f ca="1">S0*EXP((μ-0.5*σ*σ)*T+σ*SQRT(T)*$C1991)</f>
        <v>0.8981890960489759</v>
      </c>
      <c r="E1991" s="52">
        <f t="shared" ca="1" si="91"/>
        <v>0</v>
      </c>
      <c r="F1991" s="17">
        <f t="shared" ca="1" si="92"/>
        <v>0</v>
      </c>
      <c r="H1991" s="17">
        <v>1982</v>
      </c>
      <c r="I1991" s="45">
        <v>0.67067621978742342</v>
      </c>
      <c r="J1991" s="45">
        <v>1.8925702610066951E-2</v>
      </c>
      <c r="K1991" s="45">
        <v>0.24479999999999999</v>
      </c>
      <c r="N1991" s="54"/>
    </row>
    <row r="1992" spans="2:14" x14ac:dyDescent="0.2">
      <c r="B1992">
        <v>1983</v>
      </c>
      <c r="C1992" s="52">
        <f t="shared" ca="1" si="93"/>
        <v>-7.8178339900327562E-2</v>
      </c>
      <c r="D1992" s="52">
        <f ca="1">S0*EXP((μ-0.5*σ*σ)*T+σ*SQRT(T)*$C1992)</f>
        <v>0.63007201699138837</v>
      </c>
      <c r="E1992" s="52">
        <f t="shared" ca="1" si="91"/>
        <v>0</v>
      </c>
      <c r="F1992" s="17">
        <f t="shared" ca="1" si="92"/>
        <v>0</v>
      </c>
      <c r="H1992" s="17">
        <v>1983</v>
      </c>
      <c r="I1992" s="45">
        <v>0.67015283990835073</v>
      </c>
      <c r="J1992" s="45">
        <v>1.8586093890720856E-2</v>
      </c>
      <c r="K1992" s="45">
        <v>0.24379999999999999</v>
      </c>
      <c r="N1992" s="54"/>
    </row>
    <row r="1993" spans="2:14" x14ac:dyDescent="0.2">
      <c r="B1993">
        <v>1984</v>
      </c>
      <c r="C1993" s="52">
        <f t="shared" ca="1" si="93"/>
        <v>-1.411255290531179</v>
      </c>
      <c r="D1993" s="52">
        <f ca="1">S0*EXP((μ-0.5*σ*σ)*T+σ*SQRT(T)*$C1993)</f>
        <v>0.43586314830685813</v>
      </c>
      <c r="E1993" s="52">
        <f t="shared" ca="1" si="91"/>
        <v>9.8536851693141858E-2</v>
      </c>
      <c r="F1993" s="17">
        <f t="shared" ca="1" si="92"/>
        <v>1</v>
      </c>
      <c r="H1993" s="17">
        <v>1984</v>
      </c>
      <c r="I1993" s="45">
        <v>0.67189143598647894</v>
      </c>
      <c r="J1993" s="45">
        <v>1.9836830140734691E-2</v>
      </c>
      <c r="K1993" s="45">
        <v>0.25540000000000002</v>
      </c>
      <c r="N1993" s="54"/>
    </row>
    <row r="1994" spans="2:14" x14ac:dyDescent="0.2">
      <c r="B1994">
        <v>1985</v>
      </c>
      <c r="C1994" s="52">
        <f t="shared" ca="1" si="93"/>
        <v>-0.89349932749835836</v>
      </c>
      <c r="D1994" s="52">
        <f ca="1">S0*EXP((μ-0.5*σ*σ)*T+σ*SQRT(T)*$C1994)</f>
        <v>0.50293095588279157</v>
      </c>
      <c r="E1994" s="52">
        <f t="shared" ref="E1994:E2057" ca="1" si="94">MAX(0,CP*(D1994-K))</f>
        <v>3.1469044117208411E-2</v>
      </c>
      <c r="F1994" s="17">
        <f t="shared" ref="F1994:F2057" ca="1" si="95">(CP*(D1994-K)&gt;0)*1</f>
        <v>1</v>
      </c>
      <c r="H1994" s="17">
        <v>1985</v>
      </c>
      <c r="I1994" s="45">
        <v>0.67174772219218137</v>
      </c>
      <c r="J1994" s="45">
        <v>1.9635108876703108E-2</v>
      </c>
      <c r="K1994" s="45">
        <v>0.24940000000000001</v>
      </c>
      <c r="N1994" s="54"/>
    </row>
    <row r="1995" spans="2:14" x14ac:dyDescent="0.2">
      <c r="B1995">
        <v>1986</v>
      </c>
      <c r="C1995" s="52">
        <f t="shared" ref="C1995:C2058" ca="1" si="96">_xlfn.NORM.S.INV(RAND())</f>
        <v>-1.5917097284850485</v>
      </c>
      <c r="D1995" s="52">
        <f ca="1">S0*EXP((μ-0.5*σ*σ)*T+σ*SQRT(T)*$C1995)</f>
        <v>0.4146541669984084</v>
      </c>
      <c r="E1995" s="52">
        <f t="shared" ca="1" si="94"/>
        <v>0.11974583300159158</v>
      </c>
      <c r="F1995" s="17">
        <f t="shared" ca="1" si="95"/>
        <v>1</v>
      </c>
      <c r="H1995" s="17">
        <v>1986</v>
      </c>
      <c r="I1995" s="45">
        <v>0.67079247269838338</v>
      </c>
      <c r="J1995" s="45">
        <v>1.9139846984956934E-2</v>
      </c>
      <c r="K1995" s="45">
        <v>0.25480000000000003</v>
      </c>
      <c r="N1995" s="54"/>
    </row>
    <row r="1996" spans="2:14" x14ac:dyDescent="0.2">
      <c r="B1996">
        <v>1987</v>
      </c>
      <c r="C1996" s="52">
        <f t="shared" ca="1" si="96"/>
        <v>-0.32795958017791893</v>
      </c>
      <c r="D1996" s="52">
        <f ca="1">S0*EXP((μ-0.5*σ*σ)*T+σ*SQRT(T)*$C1996)</f>
        <v>0.58803499979393881</v>
      </c>
      <c r="E1996" s="52">
        <f t="shared" ca="1" si="94"/>
        <v>0</v>
      </c>
      <c r="F1996" s="17">
        <f t="shared" ca="1" si="95"/>
        <v>0</v>
      </c>
      <c r="H1996" s="17">
        <v>1987</v>
      </c>
      <c r="I1996" s="45">
        <v>0.67073811980028752</v>
      </c>
      <c r="J1996" s="45">
        <v>1.8782983497762629E-2</v>
      </c>
      <c r="K1996" s="45">
        <v>0.24840000000000001</v>
      </c>
      <c r="N1996" s="54"/>
    </row>
    <row r="1997" spans="2:14" x14ac:dyDescent="0.2">
      <c r="B1997">
        <v>1988</v>
      </c>
      <c r="C1997" s="52">
        <f t="shared" ca="1" si="96"/>
        <v>0.93264666498619098</v>
      </c>
      <c r="D1997" s="52">
        <f ca="1">S0*EXP((μ-0.5*σ*σ)*T+σ*SQRT(T)*$C1997)</f>
        <v>0.83318776242909864</v>
      </c>
      <c r="E1997" s="52">
        <f t="shared" ca="1" si="94"/>
        <v>0</v>
      </c>
      <c r="F1997" s="17">
        <f t="shared" ca="1" si="95"/>
        <v>0</v>
      </c>
      <c r="H1997" s="17">
        <v>1988</v>
      </c>
      <c r="I1997" s="45">
        <v>0.67126951357328302</v>
      </c>
      <c r="J1997" s="45">
        <v>1.9184455700891976E-2</v>
      </c>
      <c r="K1997" s="45">
        <v>0.2394</v>
      </c>
      <c r="N1997" s="54"/>
    </row>
    <row r="1998" spans="2:14" x14ac:dyDescent="0.2">
      <c r="B1998">
        <v>1989</v>
      </c>
      <c r="C1998" s="52">
        <f t="shared" ca="1" si="96"/>
        <v>-0.24882046035846384</v>
      </c>
      <c r="D1998" s="52">
        <f ca="1">S0*EXP((μ-0.5*σ*σ)*T+σ*SQRT(T)*$C1998)</f>
        <v>0.60104096604868129</v>
      </c>
      <c r="E1998" s="52">
        <f t="shared" ca="1" si="94"/>
        <v>0</v>
      </c>
      <c r="F1998" s="17">
        <f t="shared" ca="1" si="95"/>
        <v>0</v>
      </c>
      <c r="H1998" s="17">
        <v>1989</v>
      </c>
      <c r="I1998" s="45">
        <v>0.67112561050416786</v>
      </c>
      <c r="J1998" s="45">
        <v>1.9210232342272645E-2</v>
      </c>
      <c r="K1998" s="45">
        <v>0.2422</v>
      </c>
      <c r="N1998" s="54"/>
    </row>
    <row r="1999" spans="2:14" x14ac:dyDescent="0.2">
      <c r="B1999">
        <v>1990</v>
      </c>
      <c r="C1999" s="52">
        <f t="shared" ca="1" si="96"/>
        <v>0.51032705751953933</v>
      </c>
      <c r="D1999" s="52">
        <f ca="1">S0*EXP((μ-0.5*σ*σ)*T+σ*SQRT(T)*$C1999)</f>
        <v>0.74138210337229526</v>
      </c>
      <c r="E1999" s="52">
        <f t="shared" ca="1" si="94"/>
        <v>0</v>
      </c>
      <c r="F1999" s="17">
        <f t="shared" ca="1" si="95"/>
        <v>0</v>
      </c>
      <c r="H1999" s="17">
        <v>1990</v>
      </c>
      <c r="I1999" s="45">
        <v>0.67096180151846729</v>
      </c>
      <c r="J1999" s="45">
        <v>1.9195567912609544E-2</v>
      </c>
      <c r="K1999" s="45">
        <v>0.245</v>
      </c>
      <c r="N1999" s="54"/>
    </row>
    <row r="2000" spans="2:14" x14ac:dyDescent="0.2">
      <c r="B2000">
        <v>1991</v>
      </c>
      <c r="C2000" s="52">
        <f t="shared" ca="1" si="96"/>
        <v>-0.8828497212921832</v>
      </c>
      <c r="D2000" s="52">
        <f ca="1">S0*EXP((μ-0.5*σ*σ)*T+σ*SQRT(T)*$C2000)</f>
        <v>0.5044137144929921</v>
      </c>
      <c r="E2000" s="52">
        <f t="shared" ca="1" si="94"/>
        <v>2.9986285507007882E-2</v>
      </c>
      <c r="F2000" s="17">
        <f t="shared" ca="1" si="95"/>
        <v>1</v>
      </c>
      <c r="H2000" s="17">
        <v>1991</v>
      </c>
      <c r="I2000" s="45">
        <v>0.67092269166656615</v>
      </c>
      <c r="J2000" s="45">
        <v>1.9205698850305174E-2</v>
      </c>
      <c r="K2000" s="45">
        <v>0.24959999999999999</v>
      </c>
      <c r="N2000" s="54"/>
    </row>
    <row r="2001" spans="2:14" x14ac:dyDescent="0.2">
      <c r="B2001">
        <v>1992</v>
      </c>
      <c r="C2001" s="52">
        <f t="shared" ca="1" si="96"/>
        <v>0.50074279269002075</v>
      </c>
      <c r="D2001" s="52">
        <f ca="1">S0*EXP((μ-0.5*σ*σ)*T+σ*SQRT(T)*$C2001)</f>
        <v>0.73942048354691448</v>
      </c>
      <c r="E2001" s="52">
        <f t="shared" ca="1" si="94"/>
        <v>0</v>
      </c>
      <c r="F2001" s="17">
        <f t="shared" ca="1" si="95"/>
        <v>0</v>
      </c>
      <c r="H2001" s="17">
        <v>1992</v>
      </c>
      <c r="I2001" s="45">
        <v>0.671243876651753</v>
      </c>
      <c r="J2001" s="45">
        <v>1.9202752222532114E-2</v>
      </c>
      <c r="K2001" s="45">
        <v>0.24679999999999999</v>
      </c>
      <c r="N2001" s="54"/>
    </row>
    <row r="2002" spans="2:14" x14ac:dyDescent="0.2">
      <c r="B2002">
        <v>1993</v>
      </c>
      <c r="C2002" s="52">
        <f t="shared" ca="1" si="96"/>
        <v>1.2317953666493362</v>
      </c>
      <c r="D2002" s="52">
        <f ca="1">S0*EXP((μ-0.5*σ*σ)*T+σ*SQRT(T)*$C2002)</f>
        <v>0.90501674763807261</v>
      </c>
      <c r="E2002" s="52">
        <f t="shared" ca="1" si="94"/>
        <v>0</v>
      </c>
      <c r="F2002" s="17">
        <f t="shared" ca="1" si="95"/>
        <v>0</v>
      </c>
      <c r="H2002" s="17">
        <v>1993</v>
      </c>
      <c r="I2002" s="45">
        <v>0.67093463160805589</v>
      </c>
      <c r="J2002" s="45">
        <v>1.9448704017922487E-2</v>
      </c>
      <c r="K2002" s="45">
        <v>0.25419999999999998</v>
      </c>
      <c r="N2002" s="54"/>
    </row>
    <row r="2003" spans="2:14" x14ac:dyDescent="0.2">
      <c r="B2003">
        <v>1994</v>
      </c>
      <c r="C2003" s="52">
        <f t="shared" ca="1" si="96"/>
        <v>-0.25999592404574789</v>
      </c>
      <c r="D2003" s="52">
        <f ca="1">S0*EXP((μ-0.5*σ*σ)*T+σ*SQRT(T)*$C2003)</f>
        <v>0.59918705840287512</v>
      </c>
      <c r="E2003" s="52">
        <f t="shared" ca="1" si="94"/>
        <v>0</v>
      </c>
      <c r="F2003" s="17">
        <f t="shared" ca="1" si="95"/>
        <v>0</v>
      </c>
      <c r="H2003" s="17">
        <v>1994</v>
      </c>
      <c r="I2003" s="45">
        <v>0.67143373469608392</v>
      </c>
      <c r="J2003" s="45">
        <v>1.9406863960840473E-2</v>
      </c>
      <c r="K2003" s="45">
        <v>0.25259999999999999</v>
      </c>
      <c r="N2003" s="54"/>
    </row>
    <row r="2004" spans="2:14" x14ac:dyDescent="0.2">
      <c r="B2004">
        <v>1995</v>
      </c>
      <c r="C2004" s="52">
        <f t="shared" ca="1" si="96"/>
        <v>0.7013712536637362</v>
      </c>
      <c r="D2004" s="52">
        <f ca="1">S0*EXP((μ-0.5*σ*σ)*T+σ*SQRT(T)*$C2004)</f>
        <v>0.78158739912113773</v>
      </c>
      <c r="E2004" s="52">
        <f t="shared" ca="1" si="94"/>
        <v>0</v>
      </c>
      <c r="F2004" s="17">
        <f t="shared" ca="1" si="95"/>
        <v>0</v>
      </c>
      <c r="H2004" s="17">
        <v>1995</v>
      </c>
      <c r="I2004" s="45">
        <v>0.6712745210444917</v>
      </c>
      <c r="J2004" s="45">
        <v>1.9313207563184581E-2</v>
      </c>
      <c r="K2004" s="45">
        <v>0.25140000000000001</v>
      </c>
      <c r="N2004" s="54"/>
    </row>
    <row r="2005" spans="2:14" x14ac:dyDescent="0.2">
      <c r="B2005">
        <v>1996</v>
      </c>
      <c r="C2005" s="52">
        <f t="shared" ca="1" si="96"/>
        <v>-0.95577810234171034</v>
      </c>
      <c r="D2005" s="52">
        <f ca="1">S0*EXP((μ-0.5*σ*σ)*T+σ*SQRT(T)*$C2005)</f>
        <v>0.49434666287772533</v>
      </c>
      <c r="E2005" s="52">
        <f t="shared" ca="1" si="94"/>
        <v>4.0053337122274657E-2</v>
      </c>
      <c r="F2005" s="17">
        <f t="shared" ca="1" si="95"/>
        <v>1</v>
      </c>
      <c r="H2005" s="17">
        <v>1996</v>
      </c>
      <c r="I2005" s="45">
        <v>0.66983125526864495</v>
      </c>
      <c r="J2005" s="45">
        <v>1.8293036793241894E-2</v>
      </c>
      <c r="K2005" s="45">
        <v>0.24540000000000001</v>
      </c>
      <c r="N2005" s="54"/>
    </row>
    <row r="2006" spans="2:14" x14ac:dyDescent="0.2">
      <c r="B2006">
        <v>1997</v>
      </c>
      <c r="C2006" s="52">
        <f t="shared" ca="1" si="96"/>
        <v>-0.36401296715157999</v>
      </c>
      <c r="D2006" s="52">
        <f ca="1">S0*EXP((μ-0.5*σ*σ)*T+σ*SQRT(T)*$C2006)</f>
        <v>0.58220355720125194</v>
      </c>
      <c r="E2006" s="52">
        <f t="shared" ca="1" si="94"/>
        <v>0</v>
      </c>
      <c r="F2006" s="17">
        <f t="shared" ca="1" si="95"/>
        <v>0</v>
      </c>
      <c r="H2006" s="17">
        <v>1997</v>
      </c>
      <c r="I2006" s="45">
        <v>0.6700152066845424</v>
      </c>
      <c r="J2006" s="45">
        <v>1.8101451357718741E-2</v>
      </c>
      <c r="K2006" s="45">
        <v>0.23180000000000001</v>
      </c>
      <c r="N2006" s="54"/>
    </row>
    <row r="2007" spans="2:14" x14ac:dyDescent="0.2">
      <c r="B2007">
        <v>1998</v>
      </c>
      <c r="C2007" s="52">
        <f t="shared" ca="1" si="96"/>
        <v>-0.72765036403199834</v>
      </c>
      <c r="D2007" s="52">
        <f ca="1">S0*EXP((μ-0.5*σ*σ)*T+σ*SQRT(T)*$C2007)</f>
        <v>0.52652506737093252</v>
      </c>
      <c r="E2007" s="52">
        <f t="shared" ca="1" si="94"/>
        <v>7.8749326290674659E-3</v>
      </c>
      <c r="F2007" s="17">
        <f t="shared" ca="1" si="95"/>
        <v>1</v>
      </c>
      <c r="H2007" s="17">
        <v>1998</v>
      </c>
      <c r="I2007" s="45">
        <v>0.67070656844020826</v>
      </c>
      <c r="J2007" s="45">
        <v>1.8811322950135646E-2</v>
      </c>
      <c r="K2007" s="45">
        <v>0.25040000000000001</v>
      </c>
      <c r="N2007" s="54"/>
    </row>
    <row r="2008" spans="2:14" x14ac:dyDescent="0.2">
      <c r="B2008">
        <v>1999</v>
      </c>
      <c r="C2008" s="52">
        <f t="shared" ca="1" si="96"/>
        <v>2.1872153953316316</v>
      </c>
      <c r="D2008" s="52">
        <f ca="1">S0*EXP((μ-0.5*σ*σ)*T+σ*SQRT(T)*$C2008)</f>
        <v>1.178576471022857</v>
      </c>
      <c r="E2008" s="52">
        <f t="shared" ca="1" si="94"/>
        <v>0</v>
      </c>
      <c r="F2008" s="17">
        <f t="shared" ca="1" si="95"/>
        <v>0</v>
      </c>
      <c r="H2008" s="17">
        <v>1999</v>
      </c>
      <c r="I2008" s="45">
        <v>0.67166209744355132</v>
      </c>
      <c r="J2008" s="45">
        <v>1.9593745469215242E-2</v>
      </c>
      <c r="K2008" s="45">
        <v>0.24379999999999999</v>
      </c>
      <c r="N2008" s="54"/>
    </row>
    <row r="2009" spans="2:14" x14ac:dyDescent="0.2">
      <c r="B2009">
        <v>2000</v>
      </c>
      <c r="C2009" s="52">
        <f t="shared" ca="1" si="96"/>
        <v>0.66143404944988893</v>
      </c>
      <c r="D2009" s="52">
        <f ca="1">S0*EXP((μ-0.5*σ*σ)*T+σ*SQRT(T)*$C2009)</f>
        <v>0.773006175046829</v>
      </c>
      <c r="E2009" s="52">
        <f t="shared" ca="1" si="94"/>
        <v>0</v>
      </c>
      <c r="F2009" s="17">
        <f t="shared" ca="1" si="95"/>
        <v>0</v>
      </c>
      <c r="H2009" s="17">
        <v>2000</v>
      </c>
      <c r="I2009" s="45">
        <v>0.67187108896599035</v>
      </c>
      <c r="J2009" s="45">
        <v>1.9608012911123962E-2</v>
      </c>
      <c r="K2009" s="45">
        <v>0.25040000000000001</v>
      </c>
      <c r="N2009" s="54"/>
    </row>
    <row r="2010" spans="2:14" x14ac:dyDescent="0.2">
      <c r="B2010">
        <v>2001</v>
      </c>
      <c r="C2010" s="52">
        <f t="shared" ca="1" si="96"/>
        <v>2.2966868127372231</v>
      </c>
      <c r="D2010" s="52">
        <f ca="1">S0*EXP((μ-0.5*σ*σ)*T+σ*SQRT(T)*$C2010)</f>
        <v>1.2147870436824979</v>
      </c>
      <c r="E2010" s="52">
        <f t="shared" ca="1" si="94"/>
        <v>0</v>
      </c>
      <c r="F2010" s="17">
        <f t="shared" ca="1" si="95"/>
        <v>0</v>
      </c>
      <c r="H2010" s="17">
        <v>2001</v>
      </c>
      <c r="I2010" s="45">
        <v>0.67069448661886377</v>
      </c>
      <c r="J2010" s="45">
        <v>1.8812403865485702E-2</v>
      </c>
      <c r="K2010" s="45">
        <v>0.2384</v>
      </c>
      <c r="N2010" s="54"/>
    </row>
    <row r="2011" spans="2:14" x14ac:dyDescent="0.2">
      <c r="B2011">
        <v>2002</v>
      </c>
      <c r="C2011" s="52">
        <f t="shared" ca="1" si="96"/>
        <v>0.74759291509533143</v>
      </c>
      <c r="D2011" s="52">
        <f ca="1">S0*EXP((μ-0.5*σ*σ)*T+σ*SQRT(T)*$C2011)</f>
        <v>0.79163794624958617</v>
      </c>
      <c r="E2011" s="52">
        <f t="shared" ca="1" si="94"/>
        <v>0</v>
      </c>
      <c r="F2011" s="17">
        <f t="shared" ca="1" si="95"/>
        <v>0</v>
      </c>
      <c r="H2011" s="17">
        <v>2002</v>
      </c>
      <c r="I2011" s="45">
        <v>0.67077306670724957</v>
      </c>
      <c r="J2011" s="45">
        <v>1.878737477065338E-2</v>
      </c>
      <c r="K2011" s="45">
        <v>0.24779999999999999</v>
      </c>
      <c r="N2011" s="54"/>
    </row>
    <row r="2012" spans="2:14" x14ac:dyDescent="0.2">
      <c r="B2012">
        <v>2003</v>
      </c>
      <c r="C2012" s="52">
        <f t="shared" ca="1" si="96"/>
        <v>-0.8587463270273723</v>
      </c>
      <c r="D2012" s="52">
        <f ca="1">S0*EXP((μ-0.5*σ*σ)*T+σ*SQRT(T)*$C2012)</f>
        <v>0.50778582547653028</v>
      </c>
      <c r="E2012" s="52">
        <f t="shared" ca="1" si="94"/>
        <v>2.6614174523469702E-2</v>
      </c>
      <c r="F2012" s="17">
        <f t="shared" ca="1" si="95"/>
        <v>1</v>
      </c>
      <c r="H2012" s="17">
        <v>2003</v>
      </c>
      <c r="I2012" s="45">
        <v>0.67186119566246139</v>
      </c>
      <c r="J2012" s="45">
        <v>1.9513304530834604E-2</v>
      </c>
      <c r="K2012" s="45">
        <v>0.24560000000000001</v>
      </c>
      <c r="N2012" s="54"/>
    </row>
    <row r="2013" spans="2:14" x14ac:dyDescent="0.2">
      <c r="B2013">
        <v>2004</v>
      </c>
      <c r="C2013" s="52">
        <f t="shared" ca="1" si="96"/>
        <v>0.2649148685510076</v>
      </c>
      <c r="D2013" s="52">
        <f ca="1">S0*EXP((μ-0.5*σ*σ)*T+σ*SQRT(T)*$C2013)</f>
        <v>0.69275489055544193</v>
      </c>
      <c r="E2013" s="52">
        <f t="shared" ca="1" si="94"/>
        <v>0</v>
      </c>
      <c r="F2013" s="17">
        <f t="shared" ca="1" si="95"/>
        <v>0</v>
      </c>
      <c r="H2013" s="17">
        <v>2004</v>
      </c>
      <c r="I2013" s="45">
        <v>0.67046117852390175</v>
      </c>
      <c r="J2013" s="45">
        <v>1.8540569630333723E-2</v>
      </c>
      <c r="K2013" s="45">
        <v>0.24260000000000001</v>
      </c>
      <c r="N2013" s="54"/>
    </row>
    <row r="2014" spans="2:14" x14ac:dyDescent="0.2">
      <c r="B2014">
        <v>2005</v>
      </c>
      <c r="C2014" s="52">
        <f t="shared" ca="1" si="96"/>
        <v>1.9880530419673166</v>
      </c>
      <c r="D2014" s="52">
        <f ca="1">S0*EXP((μ-0.5*σ*σ)*T+σ*SQRT(T)*$C2014)</f>
        <v>1.1154438304109164</v>
      </c>
      <c r="E2014" s="52">
        <f t="shared" ca="1" si="94"/>
        <v>0</v>
      </c>
      <c r="F2014" s="17">
        <f t="shared" ca="1" si="95"/>
        <v>0</v>
      </c>
      <c r="H2014" s="17">
        <v>2005</v>
      </c>
      <c r="I2014" s="45">
        <v>0.67127492922758392</v>
      </c>
      <c r="J2014" s="45">
        <v>1.9400013293749886E-2</v>
      </c>
      <c r="K2014" s="45">
        <v>0.25059999999999999</v>
      </c>
      <c r="N2014" s="54"/>
    </row>
    <row r="2015" spans="2:14" x14ac:dyDescent="0.2">
      <c r="B2015">
        <v>2006</v>
      </c>
      <c r="C2015" s="52">
        <f t="shared" ca="1" si="96"/>
        <v>-1.0647902467060544</v>
      </c>
      <c r="D2015" s="52">
        <f ca="1">S0*EXP((μ-0.5*σ*σ)*T+σ*SQRT(T)*$C2015)</f>
        <v>0.47967199030604607</v>
      </c>
      <c r="E2015" s="52">
        <f t="shared" ca="1" si="94"/>
        <v>5.4728009693953916E-2</v>
      </c>
      <c r="F2015" s="17">
        <f t="shared" ca="1" si="95"/>
        <v>1</v>
      </c>
      <c r="H2015" s="17">
        <v>2006</v>
      </c>
      <c r="I2015" s="45">
        <v>0.66891197023908167</v>
      </c>
      <c r="J2015" s="45">
        <v>1.7493419629626295E-2</v>
      </c>
      <c r="K2015" s="45">
        <v>0.2382</v>
      </c>
      <c r="N2015" s="54"/>
    </row>
    <row r="2016" spans="2:14" x14ac:dyDescent="0.2">
      <c r="B2016">
        <v>2007</v>
      </c>
      <c r="C2016" s="52">
        <f t="shared" ca="1" si="96"/>
        <v>1.6659909164630962</v>
      </c>
      <c r="D2016" s="52">
        <f ca="1">S0*EXP((μ-0.5*σ*σ)*T+σ*SQRT(T)*$C2016)</f>
        <v>1.0204298266341199</v>
      </c>
      <c r="E2016" s="52">
        <f t="shared" ca="1" si="94"/>
        <v>0</v>
      </c>
      <c r="F2016" s="17">
        <f t="shared" ca="1" si="95"/>
        <v>0</v>
      </c>
      <c r="H2016" s="17">
        <v>2007</v>
      </c>
      <c r="I2016" s="45">
        <v>0.66967079819214614</v>
      </c>
      <c r="J2016" s="45">
        <v>1.780395684829017E-2</v>
      </c>
      <c r="K2016" s="45">
        <v>0.23699999999999999</v>
      </c>
      <c r="N2016" s="54"/>
    </row>
    <row r="2017" spans="2:14" x14ac:dyDescent="0.2">
      <c r="B2017">
        <v>2008</v>
      </c>
      <c r="C2017" s="52">
        <f t="shared" ca="1" si="96"/>
        <v>9.1606216940870913E-2</v>
      </c>
      <c r="D2017" s="52">
        <f ca="1">S0*EXP((μ-0.5*σ*σ)*T+σ*SQRT(T)*$C2017)</f>
        <v>0.66034874518033371</v>
      </c>
      <c r="E2017" s="52">
        <f t="shared" ca="1" si="94"/>
        <v>0</v>
      </c>
      <c r="F2017" s="17">
        <f t="shared" ca="1" si="95"/>
        <v>0</v>
      </c>
      <c r="H2017" s="17">
        <v>2008</v>
      </c>
      <c r="I2017" s="45">
        <v>0.67001447398529801</v>
      </c>
      <c r="J2017" s="45">
        <v>1.8383442503594971E-2</v>
      </c>
      <c r="K2017" s="45">
        <v>0.24679999999999999</v>
      </c>
      <c r="N2017" s="54"/>
    </row>
    <row r="2018" spans="2:14" x14ac:dyDescent="0.2">
      <c r="B2018">
        <v>2009</v>
      </c>
      <c r="C2018" s="52">
        <f t="shared" ca="1" si="96"/>
        <v>0.99521684691118184</v>
      </c>
      <c r="D2018" s="52">
        <f ca="1">S0*EXP((μ-0.5*σ*σ)*T+σ*SQRT(T)*$C2018)</f>
        <v>0.84772429107122715</v>
      </c>
      <c r="E2018" s="52">
        <f t="shared" ca="1" si="94"/>
        <v>0</v>
      </c>
      <c r="F2018" s="17">
        <f t="shared" ca="1" si="95"/>
        <v>0</v>
      </c>
      <c r="H2018" s="17">
        <v>2009</v>
      </c>
      <c r="I2018" s="45">
        <v>0.67132131995764366</v>
      </c>
      <c r="J2018" s="45">
        <v>1.9192073520857045E-2</v>
      </c>
      <c r="K2018" s="45">
        <v>0.2424</v>
      </c>
      <c r="N2018" s="54"/>
    </row>
    <row r="2019" spans="2:14" x14ac:dyDescent="0.2">
      <c r="B2019">
        <v>2010</v>
      </c>
      <c r="C2019" s="52">
        <f t="shared" ca="1" si="96"/>
        <v>0.18578163633769462</v>
      </c>
      <c r="D2019" s="52">
        <f ca="1">S0*EXP((μ-0.5*σ*σ)*T+σ*SQRT(T)*$C2019)</f>
        <v>0.6777654235438042</v>
      </c>
      <c r="E2019" s="52">
        <f t="shared" ca="1" si="94"/>
        <v>0</v>
      </c>
      <c r="F2019" s="17">
        <f t="shared" ca="1" si="95"/>
        <v>0</v>
      </c>
      <c r="H2019" s="17">
        <v>2010</v>
      </c>
      <c r="I2019" s="45">
        <v>0.66863401609765194</v>
      </c>
      <c r="J2019" s="45">
        <v>1.7493196251000313E-2</v>
      </c>
      <c r="K2019" s="45">
        <v>0.2424</v>
      </c>
      <c r="N2019" s="54"/>
    </row>
    <row r="2020" spans="2:14" x14ac:dyDescent="0.2">
      <c r="B2020">
        <v>2011</v>
      </c>
      <c r="C2020" s="52">
        <f t="shared" ca="1" si="96"/>
        <v>0.53814993149867019</v>
      </c>
      <c r="D2020" s="52">
        <f ca="1">S0*EXP((μ-0.5*σ*σ)*T+σ*SQRT(T)*$C2020)</f>
        <v>0.747106166180042</v>
      </c>
      <c r="E2020" s="52">
        <f t="shared" ca="1" si="94"/>
        <v>0</v>
      </c>
      <c r="F2020" s="17">
        <f t="shared" ca="1" si="95"/>
        <v>0</v>
      </c>
      <c r="H2020" s="17">
        <v>2011</v>
      </c>
      <c r="I2020" s="45">
        <v>0.66997902333372572</v>
      </c>
      <c r="J2020" s="45">
        <v>1.8328041154597317E-2</v>
      </c>
      <c r="K2020" s="45">
        <v>0.2404</v>
      </c>
      <c r="N2020" s="54"/>
    </row>
    <row r="2021" spans="2:14" x14ac:dyDescent="0.2">
      <c r="B2021">
        <v>2012</v>
      </c>
      <c r="C2021" s="52">
        <f t="shared" ca="1" si="96"/>
        <v>-0.30380550009869278</v>
      </c>
      <c r="D2021" s="52">
        <f ca="1">S0*EXP((μ-0.5*σ*σ)*T+σ*SQRT(T)*$C2021)</f>
        <v>0.5919744307448298</v>
      </c>
      <c r="E2021" s="52">
        <f t="shared" ca="1" si="94"/>
        <v>0</v>
      </c>
      <c r="F2021" s="17">
        <f t="shared" ca="1" si="95"/>
        <v>0</v>
      </c>
      <c r="H2021" s="17">
        <v>2012</v>
      </c>
      <c r="I2021" s="45">
        <v>0.67163615363340146</v>
      </c>
      <c r="J2021" s="45">
        <v>1.9388259039990266E-2</v>
      </c>
      <c r="K2021" s="45">
        <v>0.25</v>
      </c>
      <c r="N2021" s="54"/>
    </row>
    <row r="2022" spans="2:14" x14ac:dyDescent="0.2">
      <c r="B2022">
        <v>2013</v>
      </c>
      <c r="C2022" s="52">
        <f t="shared" ca="1" si="96"/>
        <v>0.28196232082197553</v>
      </c>
      <c r="D2022" s="52">
        <f ca="1">S0*EXP((μ-0.5*σ*σ)*T+σ*SQRT(T)*$C2022)</f>
        <v>0.6960271814748743</v>
      </c>
      <c r="E2022" s="52">
        <f t="shared" ca="1" si="94"/>
        <v>0</v>
      </c>
      <c r="F2022" s="17">
        <f t="shared" ca="1" si="95"/>
        <v>0</v>
      </c>
      <c r="H2022" s="17">
        <v>2013</v>
      </c>
      <c r="I2022" s="45">
        <v>0.66994726813933225</v>
      </c>
      <c r="J2022" s="45">
        <v>1.8250509944501597E-2</v>
      </c>
      <c r="K2022" s="45">
        <v>0.24540000000000001</v>
      </c>
      <c r="N2022" s="54"/>
    </row>
    <row r="2023" spans="2:14" x14ac:dyDescent="0.2">
      <c r="B2023">
        <v>2014</v>
      </c>
      <c r="C2023" s="52">
        <f t="shared" ca="1" si="96"/>
        <v>-2.8189185803444886E-2</v>
      </c>
      <c r="D2023" s="52">
        <f ca="1">S0*EXP((μ-0.5*σ*σ)*T+σ*SQRT(T)*$C2023)</f>
        <v>0.63883918307677945</v>
      </c>
      <c r="E2023" s="52">
        <f t="shared" ca="1" si="94"/>
        <v>0</v>
      </c>
      <c r="F2023" s="17">
        <f t="shared" ca="1" si="95"/>
        <v>0</v>
      </c>
      <c r="H2023" s="17">
        <v>2014</v>
      </c>
      <c r="I2023" s="45">
        <v>0.67046839270431879</v>
      </c>
      <c r="J2023" s="45">
        <v>1.8603045141510701E-2</v>
      </c>
      <c r="K2023" s="45">
        <v>0.2442</v>
      </c>
      <c r="N2023" s="54"/>
    </row>
    <row r="2024" spans="2:14" x14ac:dyDescent="0.2">
      <c r="B2024">
        <v>2015</v>
      </c>
      <c r="C2024" s="52">
        <f t="shared" ca="1" si="96"/>
        <v>0.93747162222169678</v>
      </c>
      <c r="D2024" s="52">
        <f ca="1">S0*EXP((μ-0.5*σ*σ)*T+σ*SQRT(T)*$C2024)</f>
        <v>0.83429978891344758</v>
      </c>
      <c r="E2024" s="52">
        <f t="shared" ca="1" si="94"/>
        <v>0</v>
      </c>
      <c r="F2024" s="17">
        <f t="shared" ca="1" si="95"/>
        <v>0</v>
      </c>
      <c r="H2024" s="17">
        <v>2015</v>
      </c>
      <c r="I2024" s="45">
        <v>0.67067486007976229</v>
      </c>
      <c r="J2024" s="45">
        <v>1.8926826965290383E-2</v>
      </c>
      <c r="K2024" s="45">
        <v>0.24460000000000001</v>
      </c>
      <c r="N2024" s="54"/>
    </row>
    <row r="2025" spans="2:14" x14ac:dyDescent="0.2">
      <c r="B2025">
        <v>2016</v>
      </c>
      <c r="C2025" s="52">
        <f t="shared" ca="1" si="96"/>
        <v>0.18207033237553943</v>
      </c>
      <c r="D2025" s="52">
        <f ca="1">S0*EXP((μ-0.5*σ*σ)*T+σ*SQRT(T)*$C2025)</f>
        <v>0.67707044355656476</v>
      </c>
      <c r="E2025" s="52">
        <f t="shared" ca="1" si="94"/>
        <v>0</v>
      </c>
      <c r="F2025" s="17">
        <f t="shared" ca="1" si="95"/>
        <v>0</v>
      </c>
      <c r="H2025" s="17">
        <v>2016</v>
      </c>
      <c r="I2025" s="45">
        <v>0.66990404019995953</v>
      </c>
      <c r="J2025" s="45">
        <v>1.8374691527306801E-2</v>
      </c>
      <c r="K2025" s="45">
        <v>0.24979999999999999</v>
      </c>
      <c r="N2025" s="54"/>
    </row>
    <row r="2026" spans="2:14" x14ac:dyDescent="0.2">
      <c r="B2026">
        <v>2017</v>
      </c>
      <c r="C2026" s="52">
        <f t="shared" ca="1" si="96"/>
        <v>0.5118738944303779</v>
      </c>
      <c r="D2026" s="52">
        <f ca="1">S0*EXP((μ-0.5*σ*σ)*T+σ*SQRT(T)*$C2026)</f>
        <v>0.74169918319109773</v>
      </c>
      <c r="E2026" s="52">
        <f t="shared" ca="1" si="94"/>
        <v>0</v>
      </c>
      <c r="F2026" s="17">
        <f t="shared" ca="1" si="95"/>
        <v>0</v>
      </c>
      <c r="H2026" s="17">
        <v>2017</v>
      </c>
      <c r="I2026" s="45">
        <v>0.67074120701634188</v>
      </c>
      <c r="J2026" s="45">
        <v>1.898022652160181E-2</v>
      </c>
      <c r="K2026" s="45">
        <v>0.2442</v>
      </c>
      <c r="N2026" s="54"/>
    </row>
    <row r="2027" spans="2:14" x14ac:dyDescent="0.2">
      <c r="B2027">
        <v>2018</v>
      </c>
      <c r="C2027" s="52">
        <f t="shared" ca="1" si="96"/>
        <v>-1.5360316083359822</v>
      </c>
      <c r="D2027" s="52">
        <f ca="1">S0*EXP((μ-0.5*σ*σ)*T+σ*SQRT(T)*$C2027)</f>
        <v>0.42108557663985208</v>
      </c>
      <c r="E2027" s="52">
        <f t="shared" ca="1" si="94"/>
        <v>0.11331442336014791</v>
      </c>
      <c r="F2027" s="17">
        <f t="shared" ca="1" si="95"/>
        <v>1</v>
      </c>
      <c r="H2027" s="17">
        <v>2018</v>
      </c>
      <c r="I2027" s="45">
        <v>0.67063618328541141</v>
      </c>
      <c r="J2027" s="45">
        <v>1.8968519502923796E-2</v>
      </c>
      <c r="K2027" s="45">
        <v>0.25080000000000002</v>
      </c>
      <c r="N2027" s="54"/>
    </row>
    <row r="2028" spans="2:14" x14ac:dyDescent="0.2">
      <c r="B2028">
        <v>2019</v>
      </c>
      <c r="C2028" s="52">
        <f t="shared" ca="1" si="96"/>
        <v>0.93156994503323864</v>
      </c>
      <c r="D2028" s="52">
        <f ca="1">S0*EXP((μ-0.5*σ*σ)*T+σ*SQRT(T)*$C2028)</f>
        <v>0.83293980899053011</v>
      </c>
      <c r="E2028" s="52">
        <f t="shared" ca="1" si="94"/>
        <v>0</v>
      </c>
      <c r="F2028" s="17">
        <f t="shared" ca="1" si="95"/>
        <v>0</v>
      </c>
      <c r="H2028" s="17">
        <v>2019</v>
      </c>
      <c r="I2028" s="45">
        <v>0.67074683837729421</v>
      </c>
      <c r="J2028" s="45">
        <v>1.9025126923391665E-2</v>
      </c>
      <c r="K2028" s="45">
        <v>0.24979999999999999</v>
      </c>
      <c r="N2028" s="54"/>
    </row>
    <row r="2029" spans="2:14" x14ac:dyDescent="0.2">
      <c r="B2029">
        <v>2020</v>
      </c>
      <c r="C2029" s="52">
        <f t="shared" ca="1" si="96"/>
        <v>-0.19719227051561206</v>
      </c>
      <c r="D2029" s="52">
        <f ca="1">S0*EXP((μ-0.5*σ*σ)*T+σ*SQRT(T)*$C2029)</f>
        <v>0.60968035133243803</v>
      </c>
      <c r="E2029" s="52">
        <f t="shared" ca="1" si="94"/>
        <v>0</v>
      </c>
      <c r="F2029" s="17">
        <f t="shared" ca="1" si="95"/>
        <v>0</v>
      </c>
      <c r="H2029" s="17">
        <v>2020</v>
      </c>
      <c r="I2029" s="45">
        <v>0.67057888673653665</v>
      </c>
      <c r="J2029" s="45">
        <v>1.8686916850286291E-2</v>
      </c>
      <c r="K2029" s="45">
        <v>0.24360000000000001</v>
      </c>
      <c r="N2029" s="54"/>
    </row>
    <row r="2030" spans="2:14" x14ac:dyDescent="0.2">
      <c r="B2030">
        <v>2021</v>
      </c>
      <c r="C2030" s="52">
        <f t="shared" ca="1" si="96"/>
        <v>6.3624607540791606E-2</v>
      </c>
      <c r="D2030" s="52">
        <f ca="1">S0*EXP((μ-0.5*σ*σ)*T+σ*SQRT(T)*$C2030)</f>
        <v>0.65526063377549293</v>
      </c>
      <c r="E2030" s="52">
        <f t="shared" ca="1" si="94"/>
        <v>0</v>
      </c>
      <c r="F2030" s="17">
        <f t="shared" ca="1" si="95"/>
        <v>0</v>
      </c>
      <c r="H2030" s="17">
        <v>2021</v>
      </c>
      <c r="I2030" s="45">
        <v>0.67219596088162126</v>
      </c>
      <c r="J2030" s="45">
        <v>1.9898146671552298E-2</v>
      </c>
      <c r="K2030" s="45">
        <v>0.25240000000000001</v>
      </c>
      <c r="N2030" s="54"/>
    </row>
    <row r="2031" spans="2:14" x14ac:dyDescent="0.2">
      <c r="B2031">
        <v>2022</v>
      </c>
      <c r="C2031" s="52">
        <f t="shared" ca="1" si="96"/>
        <v>1.5257919151530193</v>
      </c>
      <c r="D2031" s="52">
        <f ca="1">S0*EXP((μ-0.5*σ*σ)*T+σ*SQRT(T)*$C2031)</f>
        <v>0.98163902970865125</v>
      </c>
      <c r="E2031" s="52">
        <f t="shared" ca="1" si="94"/>
        <v>0</v>
      </c>
      <c r="F2031" s="17">
        <f t="shared" ca="1" si="95"/>
        <v>0</v>
      </c>
      <c r="H2031" s="17">
        <v>2022</v>
      </c>
      <c r="I2031" s="45">
        <v>0.67125616721204495</v>
      </c>
      <c r="J2031" s="45">
        <v>1.9345538736057079E-2</v>
      </c>
      <c r="K2031" s="45">
        <v>0.25940000000000002</v>
      </c>
      <c r="N2031" s="54"/>
    </row>
    <row r="2032" spans="2:14" x14ac:dyDescent="0.2">
      <c r="B2032">
        <v>2023</v>
      </c>
      <c r="C2032" s="52">
        <f t="shared" ca="1" si="96"/>
        <v>0.2254447954375503</v>
      </c>
      <c r="D2032" s="52">
        <f ca="1">S0*EXP((μ-0.5*σ*σ)*T+σ*SQRT(T)*$C2032)</f>
        <v>0.68523745775203604</v>
      </c>
      <c r="E2032" s="52">
        <f t="shared" ca="1" si="94"/>
        <v>0</v>
      </c>
      <c r="F2032" s="17">
        <f t="shared" ca="1" si="95"/>
        <v>0</v>
      </c>
      <c r="H2032" s="17">
        <v>2023</v>
      </c>
      <c r="I2032" s="45">
        <v>0.67070129392869915</v>
      </c>
      <c r="J2032" s="45">
        <v>1.8802449060874558E-2</v>
      </c>
      <c r="K2032" s="45">
        <v>0.25419999999999998</v>
      </c>
      <c r="N2032" s="54"/>
    </row>
    <row r="2033" spans="2:14" x14ac:dyDescent="0.2">
      <c r="B2033">
        <v>2024</v>
      </c>
      <c r="C2033" s="52">
        <f t="shared" ca="1" si="96"/>
        <v>1.7457309810675696</v>
      </c>
      <c r="D2033" s="52">
        <f ca="1">S0*EXP((μ-0.5*σ*σ)*T+σ*SQRT(T)*$C2033)</f>
        <v>1.0431726387343834</v>
      </c>
      <c r="E2033" s="52">
        <f t="shared" ca="1" si="94"/>
        <v>0</v>
      </c>
      <c r="F2033" s="17">
        <f t="shared" ca="1" si="95"/>
        <v>0</v>
      </c>
      <c r="H2033" s="17">
        <v>2024</v>
      </c>
      <c r="I2033" s="45">
        <v>0.67017625489788901</v>
      </c>
      <c r="J2033" s="45">
        <v>1.8181573772831243E-2</v>
      </c>
      <c r="K2033" s="45">
        <v>0.23760000000000001</v>
      </c>
      <c r="N2033" s="54"/>
    </row>
    <row r="2034" spans="2:14" x14ac:dyDescent="0.2">
      <c r="B2034">
        <v>2025</v>
      </c>
      <c r="C2034" s="52">
        <f t="shared" ca="1" si="96"/>
        <v>1.9066809237760411</v>
      </c>
      <c r="D2034" s="52">
        <f ca="1">S0*EXP((μ-0.5*σ*σ)*T+σ*SQRT(T)*$C2034)</f>
        <v>1.0906332390062008</v>
      </c>
      <c r="E2034" s="52">
        <f t="shared" ca="1" si="94"/>
        <v>0</v>
      </c>
      <c r="F2034" s="17">
        <f t="shared" ca="1" si="95"/>
        <v>0</v>
      </c>
      <c r="H2034" s="17">
        <v>2025</v>
      </c>
      <c r="I2034" s="45">
        <v>0.67132697162463451</v>
      </c>
      <c r="J2034" s="45">
        <v>1.9355371716003163E-2</v>
      </c>
      <c r="K2034" s="45">
        <v>0.2492</v>
      </c>
      <c r="N2034" s="54"/>
    </row>
    <row r="2035" spans="2:14" x14ac:dyDescent="0.2">
      <c r="B2035">
        <v>2026</v>
      </c>
      <c r="C2035" s="52">
        <f t="shared" ca="1" si="96"/>
        <v>-1.2012166081814375</v>
      </c>
      <c r="D2035" s="52">
        <f ca="1">S0*EXP((μ-0.5*σ*σ)*T+σ*SQRT(T)*$C2035)</f>
        <v>0.46191913109388549</v>
      </c>
      <c r="E2035" s="52">
        <f t="shared" ca="1" si="94"/>
        <v>7.2480868906114493E-2</v>
      </c>
      <c r="F2035" s="17">
        <f t="shared" ca="1" si="95"/>
        <v>1</v>
      </c>
      <c r="H2035" s="17">
        <v>2026</v>
      </c>
      <c r="I2035" s="45">
        <v>0.67217506856848763</v>
      </c>
      <c r="J2035" s="45">
        <v>1.9814042204056945E-2</v>
      </c>
      <c r="K2035" s="45">
        <v>0.2472</v>
      </c>
      <c r="N2035" s="54"/>
    </row>
    <row r="2036" spans="2:14" x14ac:dyDescent="0.2">
      <c r="B2036">
        <v>2027</v>
      </c>
      <c r="C2036" s="52">
        <f t="shared" ca="1" si="96"/>
        <v>0.13696317187929594</v>
      </c>
      <c r="D2036" s="52">
        <f ca="1">S0*EXP((μ-0.5*σ*σ)*T+σ*SQRT(T)*$C2036)</f>
        <v>0.66868041087398844</v>
      </c>
      <c r="E2036" s="52">
        <f t="shared" ca="1" si="94"/>
        <v>0</v>
      </c>
      <c r="F2036" s="17">
        <f t="shared" ca="1" si="95"/>
        <v>0</v>
      </c>
      <c r="H2036" s="17">
        <v>2027</v>
      </c>
      <c r="I2036" s="45">
        <v>0.66955564981628901</v>
      </c>
      <c r="J2036" s="45">
        <v>1.8074655341550359E-2</v>
      </c>
      <c r="K2036" s="45">
        <v>0.24679999999999999</v>
      </c>
      <c r="N2036" s="54"/>
    </row>
    <row r="2037" spans="2:14" x14ac:dyDescent="0.2">
      <c r="B2037">
        <v>2028</v>
      </c>
      <c r="C2037" s="52">
        <f t="shared" ca="1" si="96"/>
        <v>-0.96572290622714008</v>
      </c>
      <c r="D2037" s="52">
        <f ca="1">S0*EXP((μ-0.5*σ*σ)*T+σ*SQRT(T)*$C2037)</f>
        <v>0.4929895369860765</v>
      </c>
      <c r="E2037" s="52">
        <f t="shared" ca="1" si="94"/>
        <v>4.1410463013923482E-2</v>
      </c>
      <c r="F2037" s="17">
        <f t="shared" ca="1" si="95"/>
        <v>1</v>
      </c>
      <c r="H2037" s="17">
        <v>2028</v>
      </c>
      <c r="I2037" s="45">
        <v>0.67005221883707811</v>
      </c>
      <c r="J2037" s="45">
        <v>1.8319193422882397E-2</v>
      </c>
      <c r="K2037" s="45">
        <v>0.2432</v>
      </c>
      <c r="N2037" s="54"/>
    </row>
    <row r="2038" spans="2:14" x14ac:dyDescent="0.2">
      <c r="B2038">
        <v>2029</v>
      </c>
      <c r="C2038" s="52">
        <f t="shared" ca="1" si="96"/>
        <v>-0.23943171309348665</v>
      </c>
      <c r="D2038" s="52">
        <f ca="1">S0*EXP((μ-0.5*σ*σ)*T+σ*SQRT(T)*$C2038)</f>
        <v>0.60260290674390871</v>
      </c>
      <c r="E2038" s="52">
        <f t="shared" ca="1" si="94"/>
        <v>0</v>
      </c>
      <c r="F2038" s="17">
        <f t="shared" ca="1" si="95"/>
        <v>0</v>
      </c>
      <c r="H2038" s="17">
        <v>2029</v>
      </c>
      <c r="I2038" s="45">
        <v>0.67101212394942333</v>
      </c>
      <c r="J2038" s="45">
        <v>1.8944748070060576E-2</v>
      </c>
      <c r="K2038" s="45">
        <v>0.2442</v>
      </c>
      <c r="N2038" s="54"/>
    </row>
    <row r="2039" spans="2:14" x14ac:dyDescent="0.2">
      <c r="B2039">
        <v>2030</v>
      </c>
      <c r="C2039" s="52">
        <f t="shared" ca="1" si="96"/>
        <v>-0.31380030251267743</v>
      </c>
      <c r="D2039" s="52">
        <f ca="1">S0*EXP((μ-0.5*σ*σ)*T+σ*SQRT(T)*$C2039)</f>
        <v>0.59034112884204437</v>
      </c>
      <c r="E2039" s="52">
        <f t="shared" ca="1" si="94"/>
        <v>0</v>
      </c>
      <c r="F2039" s="17">
        <f t="shared" ca="1" si="95"/>
        <v>0</v>
      </c>
      <c r="H2039" s="17">
        <v>2030</v>
      </c>
      <c r="I2039" s="45">
        <v>0.67046970484489288</v>
      </c>
      <c r="J2039" s="45">
        <v>1.8515706997657397E-2</v>
      </c>
      <c r="K2039" s="45">
        <v>0.2482</v>
      </c>
      <c r="N2039" s="54"/>
    </row>
    <row r="2040" spans="2:14" x14ac:dyDescent="0.2">
      <c r="B2040">
        <v>2031</v>
      </c>
      <c r="C2040" s="52">
        <f t="shared" ca="1" si="96"/>
        <v>0.70481142254685425</v>
      </c>
      <c r="D2040" s="52">
        <f ca="1">S0*EXP((μ-0.5*σ*σ)*T+σ*SQRT(T)*$C2040)</f>
        <v>0.78233102235762841</v>
      </c>
      <c r="E2040" s="52">
        <f t="shared" ca="1" si="94"/>
        <v>0</v>
      </c>
      <c r="F2040" s="17">
        <f t="shared" ca="1" si="95"/>
        <v>0</v>
      </c>
      <c r="H2040" s="17">
        <v>2031</v>
      </c>
      <c r="I2040" s="45">
        <v>0.66938611961476457</v>
      </c>
      <c r="J2040" s="45">
        <v>1.7711320570273411E-2</v>
      </c>
      <c r="K2040" s="45">
        <v>0.22819999999999999</v>
      </c>
      <c r="N2040" s="54"/>
    </row>
    <row r="2041" spans="2:14" x14ac:dyDescent="0.2">
      <c r="B2041">
        <v>2032</v>
      </c>
      <c r="C2041" s="52">
        <f t="shared" ca="1" si="96"/>
        <v>-0.99537093436343793</v>
      </c>
      <c r="D2041" s="52">
        <f ca="1">S0*EXP((μ-0.5*σ*σ)*T+σ*SQRT(T)*$C2041)</f>
        <v>0.48896566473421427</v>
      </c>
      <c r="E2041" s="52">
        <f t="shared" ca="1" si="94"/>
        <v>4.5434335265785719E-2</v>
      </c>
      <c r="F2041" s="17">
        <f t="shared" ca="1" si="95"/>
        <v>1</v>
      </c>
      <c r="H2041" s="17">
        <v>2032</v>
      </c>
      <c r="I2041" s="45">
        <v>0.67167066362510386</v>
      </c>
      <c r="J2041" s="45">
        <v>1.9613473208941336E-2</v>
      </c>
      <c r="K2041" s="45">
        <v>0.25319999999999998</v>
      </c>
      <c r="N2041" s="54"/>
    </row>
    <row r="2042" spans="2:14" x14ac:dyDescent="0.2">
      <c r="B2042">
        <v>2033</v>
      </c>
      <c r="C2042" s="52">
        <f t="shared" ca="1" si="96"/>
        <v>3.6822524719323131E-2</v>
      </c>
      <c r="D2042" s="52">
        <f ca="1">S0*EXP((μ-0.5*σ*σ)*T+σ*SQRT(T)*$C2042)</f>
        <v>0.65042376950253455</v>
      </c>
      <c r="E2042" s="52">
        <f t="shared" ca="1" si="94"/>
        <v>0</v>
      </c>
      <c r="F2042" s="17">
        <f t="shared" ca="1" si="95"/>
        <v>0</v>
      </c>
      <c r="H2042" s="17">
        <v>2033</v>
      </c>
      <c r="I2042" s="45">
        <v>0.66983331157579951</v>
      </c>
      <c r="J2042" s="45">
        <v>1.8111532502497793E-2</v>
      </c>
      <c r="K2042" s="45">
        <v>0.2392</v>
      </c>
      <c r="N2042" s="54"/>
    </row>
    <row r="2043" spans="2:14" x14ac:dyDescent="0.2">
      <c r="B2043">
        <v>2034</v>
      </c>
      <c r="C2043" s="52">
        <f t="shared" ca="1" si="96"/>
        <v>1.1584605243441362</v>
      </c>
      <c r="D2043" s="52">
        <f ca="1">S0*EXP((μ-0.5*σ*σ)*T+σ*SQRT(T)*$C2043)</f>
        <v>0.8868548384942595</v>
      </c>
      <c r="E2043" s="52">
        <f t="shared" ca="1" si="94"/>
        <v>0</v>
      </c>
      <c r="F2043" s="17">
        <f t="shared" ca="1" si="95"/>
        <v>0</v>
      </c>
      <c r="H2043" s="17">
        <v>2034</v>
      </c>
      <c r="I2043" s="45">
        <v>0.67166879718901629</v>
      </c>
      <c r="J2043" s="45">
        <v>1.9505228285487373E-2</v>
      </c>
      <c r="K2043" s="45">
        <v>0.2492</v>
      </c>
      <c r="N2043" s="54"/>
    </row>
    <row r="2044" spans="2:14" x14ac:dyDescent="0.2">
      <c r="B2044">
        <v>2035</v>
      </c>
      <c r="C2044" s="52">
        <f t="shared" ca="1" si="96"/>
        <v>1.2306846673538314</v>
      </c>
      <c r="D2044" s="52">
        <f ca="1">S0*EXP((μ-0.5*σ*σ)*T+σ*SQRT(T)*$C2044)</f>
        <v>0.90473891992467492</v>
      </c>
      <c r="E2044" s="52">
        <f t="shared" ca="1" si="94"/>
        <v>0</v>
      </c>
      <c r="F2044" s="17">
        <f t="shared" ca="1" si="95"/>
        <v>0</v>
      </c>
      <c r="H2044" s="17">
        <v>2035</v>
      </c>
      <c r="I2044" s="45">
        <v>0.67167955135348545</v>
      </c>
      <c r="J2044" s="45">
        <v>1.9493602326690593E-2</v>
      </c>
      <c r="K2044" s="45">
        <v>0.25619999999999998</v>
      </c>
      <c r="N2044" s="54"/>
    </row>
    <row r="2045" spans="2:14" x14ac:dyDescent="0.2">
      <c r="B2045">
        <v>2036</v>
      </c>
      <c r="C2045" s="52">
        <f t="shared" ca="1" si="96"/>
        <v>1.550272119785304</v>
      </c>
      <c r="D2045" s="52">
        <f ca="1">S0*EXP((μ-0.5*σ*σ)*T+σ*SQRT(T)*$C2045)</f>
        <v>0.98830443058483175</v>
      </c>
      <c r="E2045" s="52">
        <f t="shared" ca="1" si="94"/>
        <v>0</v>
      </c>
      <c r="F2045" s="17">
        <f t="shared" ca="1" si="95"/>
        <v>0</v>
      </c>
      <c r="H2045" s="17">
        <v>2036</v>
      </c>
      <c r="I2045" s="45">
        <v>0.66997535388409146</v>
      </c>
      <c r="J2045" s="45">
        <v>1.8457970219290448E-2</v>
      </c>
      <c r="K2045" s="45">
        <v>0.2482</v>
      </c>
      <c r="N2045" s="54"/>
    </row>
    <row r="2046" spans="2:14" x14ac:dyDescent="0.2">
      <c r="B2046">
        <v>2037</v>
      </c>
      <c r="C2046" s="52">
        <f t="shared" ca="1" si="96"/>
        <v>-2.1810397606036189</v>
      </c>
      <c r="D2046" s="52">
        <f ca="1">S0*EXP((μ-0.5*σ*σ)*T+σ*SQRT(T)*$C2046)</f>
        <v>0.35231824015942248</v>
      </c>
      <c r="E2046" s="52">
        <f t="shared" ca="1" si="94"/>
        <v>0.18208175984057751</v>
      </c>
      <c r="F2046" s="17">
        <f t="shared" ca="1" si="95"/>
        <v>1</v>
      </c>
      <c r="H2046" s="17">
        <v>2037</v>
      </c>
      <c r="I2046" s="45">
        <v>0.67203924950424943</v>
      </c>
      <c r="J2046" s="45">
        <v>1.9539134062529176E-2</v>
      </c>
      <c r="K2046" s="45">
        <v>0.24759999999999999</v>
      </c>
      <c r="N2046" s="54"/>
    </row>
    <row r="2047" spans="2:14" x14ac:dyDescent="0.2">
      <c r="B2047">
        <v>2038</v>
      </c>
      <c r="C2047" s="52">
        <f t="shared" ca="1" si="96"/>
        <v>-0.34649165281028588</v>
      </c>
      <c r="D2047" s="52">
        <f ca="1">S0*EXP((μ-0.5*σ*σ)*T+σ*SQRT(T)*$C2047)</f>
        <v>0.58503027742660552</v>
      </c>
      <c r="E2047" s="52">
        <f t="shared" ca="1" si="94"/>
        <v>0</v>
      </c>
      <c r="F2047" s="17">
        <f t="shared" ca="1" si="95"/>
        <v>0</v>
      </c>
      <c r="H2047" s="17">
        <v>2038</v>
      </c>
      <c r="I2047" s="45">
        <v>0.66968188740224954</v>
      </c>
      <c r="J2047" s="45">
        <v>1.7913995940426072E-2</v>
      </c>
      <c r="K2047" s="45">
        <v>0.24160000000000001</v>
      </c>
      <c r="N2047" s="54"/>
    </row>
    <row r="2048" spans="2:14" x14ac:dyDescent="0.2">
      <c r="B2048">
        <v>2039</v>
      </c>
      <c r="C2048" s="52">
        <f t="shared" ca="1" si="96"/>
        <v>0.17121890344500584</v>
      </c>
      <c r="D2048" s="52">
        <f ca="1">S0*EXP((μ-0.5*σ*σ)*T+σ*SQRT(T)*$C2048)</f>
        <v>0.67504248676755763</v>
      </c>
      <c r="E2048" s="52">
        <f t="shared" ca="1" si="94"/>
        <v>0</v>
      </c>
      <c r="F2048" s="17">
        <f t="shared" ca="1" si="95"/>
        <v>0</v>
      </c>
      <c r="H2048" s="17">
        <v>2039</v>
      </c>
      <c r="I2048" s="45">
        <v>0.66994820787112674</v>
      </c>
      <c r="J2048" s="45">
        <v>1.8520952042192881E-2</v>
      </c>
      <c r="K2048" s="45">
        <v>0.23980000000000001</v>
      </c>
      <c r="N2048" s="54"/>
    </row>
    <row r="2049" spans="2:14" x14ac:dyDescent="0.2">
      <c r="B2049">
        <v>2040</v>
      </c>
      <c r="C2049" s="52">
        <f t="shared" ca="1" si="96"/>
        <v>0.67983681584957856</v>
      </c>
      <c r="D2049" s="52">
        <f ca="1">S0*EXP((μ-0.5*σ*σ)*T+σ*SQRT(T)*$C2049)</f>
        <v>0.77694857173604748</v>
      </c>
      <c r="E2049" s="52">
        <f t="shared" ca="1" si="94"/>
        <v>0</v>
      </c>
      <c r="F2049" s="17">
        <f t="shared" ca="1" si="95"/>
        <v>0</v>
      </c>
      <c r="H2049" s="17">
        <v>2040</v>
      </c>
      <c r="I2049" s="45">
        <v>0.67086483984989798</v>
      </c>
      <c r="J2049" s="45">
        <v>1.9305592547348715E-2</v>
      </c>
      <c r="K2049" s="45">
        <v>0.24840000000000001</v>
      </c>
      <c r="N2049" s="54"/>
    </row>
    <row r="2050" spans="2:14" x14ac:dyDescent="0.2">
      <c r="B2050">
        <v>2041</v>
      </c>
      <c r="C2050" s="52">
        <f t="shared" ca="1" si="96"/>
        <v>-0.22101393097172442</v>
      </c>
      <c r="D2050" s="52">
        <f ca="1">S0*EXP((μ-0.5*σ*σ)*T+σ*SQRT(T)*$C2050)</f>
        <v>0.60567874645930686</v>
      </c>
      <c r="E2050" s="52">
        <f t="shared" ca="1" si="94"/>
        <v>0</v>
      </c>
      <c r="F2050" s="17">
        <f t="shared" ca="1" si="95"/>
        <v>0</v>
      </c>
      <c r="H2050" s="17">
        <v>2041</v>
      </c>
      <c r="I2050" s="45">
        <v>0.67119847482155059</v>
      </c>
      <c r="J2050" s="45">
        <v>1.9450665476396237E-2</v>
      </c>
      <c r="K2050" s="45">
        <v>0.251</v>
      </c>
      <c r="N2050" s="54"/>
    </row>
    <row r="2051" spans="2:14" x14ac:dyDescent="0.2">
      <c r="B2051">
        <v>2042</v>
      </c>
      <c r="C2051" s="52">
        <f t="shared" ca="1" si="96"/>
        <v>-0.37196768168557359</v>
      </c>
      <c r="D2051" s="52">
        <f ca="1">S0*EXP((μ-0.5*σ*σ)*T+σ*SQRT(T)*$C2051)</f>
        <v>0.58092473205092676</v>
      </c>
      <c r="E2051" s="52">
        <f t="shared" ca="1" si="94"/>
        <v>0</v>
      </c>
      <c r="F2051" s="17">
        <f t="shared" ca="1" si="95"/>
        <v>0</v>
      </c>
      <c r="H2051" s="17">
        <v>2042</v>
      </c>
      <c r="I2051" s="45">
        <v>0.67090303869025691</v>
      </c>
      <c r="J2051" s="45">
        <v>1.8652898411606365E-2</v>
      </c>
      <c r="K2051" s="45">
        <v>0.2452</v>
      </c>
      <c r="N2051" s="54"/>
    </row>
    <row r="2052" spans="2:14" x14ac:dyDescent="0.2">
      <c r="B2052">
        <v>2043</v>
      </c>
      <c r="C2052" s="52">
        <f t="shared" ca="1" si="96"/>
        <v>0.58736736278714008</v>
      </c>
      <c r="D2052" s="52">
        <f ca="1">S0*EXP((μ-0.5*σ*σ)*T+σ*SQRT(T)*$C2052)</f>
        <v>0.75734022924540512</v>
      </c>
      <c r="E2052" s="52">
        <f t="shared" ca="1" si="94"/>
        <v>0</v>
      </c>
      <c r="F2052" s="17">
        <f t="shared" ca="1" si="95"/>
        <v>0</v>
      </c>
      <c r="H2052" s="17">
        <v>2043</v>
      </c>
      <c r="I2052" s="45">
        <v>0.67066730614915859</v>
      </c>
      <c r="J2052" s="45">
        <v>1.8905971713734437E-2</v>
      </c>
      <c r="K2052" s="45">
        <v>0.2392</v>
      </c>
      <c r="N2052" s="54"/>
    </row>
    <row r="2053" spans="2:14" x14ac:dyDescent="0.2">
      <c r="B2053">
        <v>2044</v>
      </c>
      <c r="C2053" s="52">
        <f t="shared" ca="1" si="96"/>
        <v>-1.2319626278514015</v>
      </c>
      <c r="D2053" s="52">
        <f ca="1">S0*EXP((μ-0.5*σ*σ)*T+σ*SQRT(T)*$C2053)</f>
        <v>0.45800982477401964</v>
      </c>
      <c r="E2053" s="52">
        <f t="shared" ca="1" si="94"/>
        <v>7.639017522598035E-2</v>
      </c>
      <c r="F2053" s="17">
        <f t="shared" ca="1" si="95"/>
        <v>1</v>
      </c>
      <c r="H2053" s="17">
        <v>2044</v>
      </c>
      <c r="I2053" s="45">
        <v>0.6709886238301076</v>
      </c>
      <c r="J2053" s="45">
        <v>1.8685941085045125E-2</v>
      </c>
      <c r="K2053" s="45">
        <v>0.2492</v>
      </c>
      <c r="N2053" s="54"/>
    </row>
    <row r="2054" spans="2:14" x14ac:dyDescent="0.2">
      <c r="B2054">
        <v>2045</v>
      </c>
      <c r="C2054" s="52">
        <f t="shared" ca="1" si="96"/>
        <v>-0.2627323820168917</v>
      </c>
      <c r="D2054" s="52">
        <f ca="1">S0*EXP((μ-0.5*σ*σ)*T+σ*SQRT(T)*$C2054)</f>
        <v>0.5987339771643827</v>
      </c>
      <c r="E2054" s="52">
        <f t="shared" ca="1" si="94"/>
        <v>0</v>
      </c>
      <c r="F2054" s="17">
        <f t="shared" ca="1" si="95"/>
        <v>0</v>
      </c>
      <c r="H2054" s="17">
        <v>2045</v>
      </c>
      <c r="I2054" s="45">
        <v>0.67105625476802</v>
      </c>
      <c r="J2054" s="45">
        <v>1.9459094398042005E-2</v>
      </c>
      <c r="K2054" s="45">
        <v>0.253</v>
      </c>
      <c r="N2054" s="54"/>
    </row>
    <row r="2055" spans="2:14" x14ac:dyDescent="0.2">
      <c r="B2055">
        <v>2046</v>
      </c>
      <c r="C2055" s="52">
        <f t="shared" ca="1" si="96"/>
        <v>-1.09457935820396</v>
      </c>
      <c r="D2055" s="52">
        <f ca="1">S0*EXP((μ-0.5*σ*σ)*T+σ*SQRT(T)*$C2055)</f>
        <v>0.47573826417851317</v>
      </c>
      <c r="E2055" s="52">
        <f t="shared" ca="1" si="94"/>
        <v>5.8661735821486816E-2</v>
      </c>
      <c r="F2055" s="17">
        <f t="shared" ca="1" si="95"/>
        <v>1</v>
      </c>
      <c r="H2055" s="17">
        <v>2046</v>
      </c>
      <c r="I2055" s="45">
        <v>0.67045042393497556</v>
      </c>
      <c r="J2055" s="45">
        <v>1.8514456367401913E-2</v>
      </c>
      <c r="K2055" s="45">
        <v>0.2442</v>
      </c>
      <c r="N2055" s="54"/>
    </row>
    <row r="2056" spans="2:14" x14ac:dyDescent="0.2">
      <c r="B2056">
        <v>2047</v>
      </c>
      <c r="C2056" s="52">
        <f t="shared" ca="1" si="96"/>
        <v>-0.83952110025235205</v>
      </c>
      <c r="D2056" s="52">
        <f ca="1">S0*EXP((μ-0.5*σ*σ)*T+σ*SQRT(T)*$C2056)</f>
        <v>0.51049162553666072</v>
      </c>
      <c r="E2056" s="52">
        <f t="shared" ca="1" si="94"/>
        <v>2.3908374463339266E-2</v>
      </c>
      <c r="F2056" s="17">
        <f t="shared" ca="1" si="95"/>
        <v>1</v>
      </c>
      <c r="H2056" s="17">
        <v>2047</v>
      </c>
      <c r="I2056" s="45">
        <v>0.6723240641208702</v>
      </c>
      <c r="J2056" s="45">
        <v>1.9894574928590571E-2</v>
      </c>
      <c r="K2056" s="45">
        <v>0.2462</v>
      </c>
      <c r="N2056" s="54"/>
    </row>
    <row r="2057" spans="2:14" x14ac:dyDescent="0.2">
      <c r="B2057">
        <v>2048</v>
      </c>
      <c r="C2057" s="52">
        <f t="shared" ca="1" si="96"/>
        <v>0.13673996395749949</v>
      </c>
      <c r="D2057" s="52">
        <f ca="1">S0*EXP((μ-0.5*σ*σ)*T+σ*SQRT(T)*$C2057)</f>
        <v>0.6686391532771111</v>
      </c>
      <c r="E2057" s="52">
        <f t="shared" ca="1" si="94"/>
        <v>0</v>
      </c>
      <c r="F2057" s="17">
        <f t="shared" ca="1" si="95"/>
        <v>0</v>
      </c>
      <c r="H2057" s="17">
        <v>2048</v>
      </c>
      <c r="I2057" s="45">
        <v>0.67158240688289239</v>
      </c>
      <c r="J2057" s="45">
        <v>1.9363343684246383E-2</v>
      </c>
      <c r="K2057" s="45">
        <v>0.251</v>
      </c>
      <c r="N2057" s="54"/>
    </row>
    <row r="2058" spans="2:14" x14ac:dyDescent="0.2">
      <c r="B2058">
        <v>2049</v>
      </c>
      <c r="C2058" s="52">
        <f t="shared" ca="1" si="96"/>
        <v>-0.10211972322607578</v>
      </c>
      <c r="D2058" s="52">
        <f ca="1">S0*EXP((μ-0.5*σ*σ)*T+σ*SQRT(T)*$C2058)</f>
        <v>0.62591585728284116</v>
      </c>
      <c r="E2058" s="52">
        <f t="shared" ref="E2058:E2121" ca="1" si="97">MAX(0,CP*(D2058-K))</f>
        <v>0</v>
      </c>
      <c r="F2058" s="17">
        <f t="shared" ref="F2058:F2121" ca="1" si="98">(CP*(D2058-K)&gt;0)*1</f>
        <v>0</v>
      </c>
      <c r="H2058" s="17">
        <v>2049</v>
      </c>
      <c r="I2058" s="45">
        <v>0.66968637701914924</v>
      </c>
      <c r="J2058" s="45">
        <v>1.8184563423454661E-2</v>
      </c>
      <c r="K2058" s="45">
        <v>0.2394</v>
      </c>
      <c r="N2058" s="54"/>
    </row>
    <row r="2059" spans="2:14" x14ac:dyDescent="0.2">
      <c r="B2059">
        <v>2050</v>
      </c>
      <c r="C2059" s="52">
        <f t="shared" ref="C2059:C2122" ca="1" si="99">_xlfn.NORM.S.INV(RAND())</f>
        <v>0.42153544666183318</v>
      </c>
      <c r="D2059" s="52">
        <f ca="1">S0*EXP((μ-0.5*σ*σ)*T+σ*SQRT(T)*$C2059)</f>
        <v>0.7234064699887599</v>
      </c>
      <c r="E2059" s="52">
        <f t="shared" ca="1" si="97"/>
        <v>0</v>
      </c>
      <c r="F2059" s="17">
        <f t="shared" ca="1" si="98"/>
        <v>0</v>
      </c>
      <c r="H2059" s="17">
        <v>2050</v>
      </c>
      <c r="I2059" s="45">
        <v>0.66996014669948478</v>
      </c>
      <c r="J2059" s="45">
        <v>1.8014667885431733E-2</v>
      </c>
      <c r="K2059" s="45">
        <v>0.24199999999999999</v>
      </c>
      <c r="N2059" s="54"/>
    </row>
    <row r="2060" spans="2:14" x14ac:dyDescent="0.2">
      <c r="B2060">
        <v>2051</v>
      </c>
      <c r="C2060" s="52">
        <f t="shared" ca="1" si="99"/>
        <v>-0.74931255196584023</v>
      </c>
      <c r="D2060" s="52">
        <f ca="1">S0*EXP((μ-0.5*σ*σ)*T+σ*SQRT(T)*$C2060)</f>
        <v>0.52338158639888932</v>
      </c>
      <c r="E2060" s="52">
        <f t="shared" ca="1" si="97"/>
        <v>1.1018413601110666E-2</v>
      </c>
      <c r="F2060" s="17">
        <f t="shared" ca="1" si="98"/>
        <v>1</v>
      </c>
      <c r="H2060" s="17">
        <v>2051</v>
      </c>
      <c r="I2060" s="45">
        <v>0.66988853065582932</v>
      </c>
      <c r="J2060" s="45">
        <v>1.8055834623115479E-2</v>
      </c>
      <c r="K2060" s="45">
        <v>0.23580000000000001</v>
      </c>
      <c r="N2060" s="54"/>
    </row>
    <row r="2061" spans="2:14" x14ac:dyDescent="0.2">
      <c r="B2061">
        <v>2052</v>
      </c>
      <c r="C2061" s="52">
        <f t="shared" ca="1" si="99"/>
        <v>0.47306694725117826</v>
      </c>
      <c r="D2061" s="52">
        <f ca="1">S0*EXP((μ-0.5*σ*σ)*T+σ*SQRT(T)*$C2061)</f>
        <v>0.73378512868408519</v>
      </c>
      <c r="E2061" s="52">
        <f t="shared" ca="1" si="97"/>
        <v>0</v>
      </c>
      <c r="F2061" s="17">
        <f t="shared" ca="1" si="98"/>
        <v>0</v>
      </c>
      <c r="H2061" s="17">
        <v>2052</v>
      </c>
      <c r="I2061" s="45">
        <v>0.67162012514221991</v>
      </c>
      <c r="J2061" s="45">
        <v>1.9538186445062885E-2</v>
      </c>
      <c r="K2061" s="45">
        <v>0.247</v>
      </c>
      <c r="N2061" s="54"/>
    </row>
    <row r="2062" spans="2:14" x14ac:dyDescent="0.2">
      <c r="B2062">
        <v>2053</v>
      </c>
      <c r="C2062" s="52">
        <f t="shared" ca="1" si="99"/>
        <v>0.66166597346826539</v>
      </c>
      <c r="D2062" s="52">
        <f ca="1">S0*EXP((μ-0.5*σ*σ)*T+σ*SQRT(T)*$C2062)</f>
        <v>0.77305573509660441</v>
      </c>
      <c r="E2062" s="52">
        <f t="shared" ca="1" si="97"/>
        <v>0</v>
      </c>
      <c r="F2062" s="17">
        <f t="shared" ca="1" si="98"/>
        <v>0</v>
      </c>
      <c r="H2062" s="17">
        <v>2053</v>
      </c>
      <c r="I2062" s="45">
        <v>0.67133921604926816</v>
      </c>
      <c r="J2062" s="45">
        <v>1.9402184951823033E-2</v>
      </c>
      <c r="K2062" s="45">
        <v>0.25</v>
      </c>
      <c r="N2062" s="54"/>
    </row>
    <row r="2063" spans="2:14" x14ac:dyDescent="0.2">
      <c r="B2063">
        <v>2054</v>
      </c>
      <c r="C2063" s="52">
        <f t="shared" ca="1" si="99"/>
        <v>-0.11631680966748514</v>
      </c>
      <c r="D2063" s="52">
        <f ca="1">S0*EXP((μ-0.5*σ*σ)*T+σ*SQRT(T)*$C2063)</f>
        <v>0.62346424166512382</v>
      </c>
      <c r="E2063" s="52">
        <f t="shared" ca="1" si="97"/>
        <v>0</v>
      </c>
      <c r="F2063" s="17">
        <f t="shared" ca="1" si="98"/>
        <v>0</v>
      </c>
      <c r="H2063" s="17">
        <v>2054</v>
      </c>
      <c r="I2063" s="45">
        <v>0.67153799819232141</v>
      </c>
      <c r="J2063" s="45">
        <v>1.9356543426141848E-2</v>
      </c>
      <c r="K2063" s="45">
        <v>0.24479999999999999</v>
      </c>
      <c r="N2063" s="54"/>
    </row>
    <row r="2064" spans="2:14" x14ac:dyDescent="0.2">
      <c r="B2064">
        <v>2055</v>
      </c>
      <c r="C2064" s="52">
        <f t="shared" ca="1" si="99"/>
        <v>-1.8869229267474337</v>
      </c>
      <c r="D2064" s="52">
        <f ca="1">S0*EXP((μ-0.5*σ*σ)*T+σ*SQRT(T)*$C2064)</f>
        <v>0.38215959679589195</v>
      </c>
      <c r="E2064" s="52">
        <f t="shared" ca="1" si="97"/>
        <v>0.15224040320410803</v>
      </c>
      <c r="F2064" s="17">
        <f t="shared" ca="1" si="98"/>
        <v>1</v>
      </c>
      <c r="H2064" s="17">
        <v>2055</v>
      </c>
      <c r="I2064" s="45">
        <v>0.6702150718793588</v>
      </c>
      <c r="J2064" s="45">
        <v>1.8197892714630157E-2</v>
      </c>
      <c r="K2064" s="45">
        <v>0.23519999999999999</v>
      </c>
      <c r="N2064" s="54"/>
    </row>
    <row r="2065" spans="2:14" x14ac:dyDescent="0.2">
      <c r="B2065">
        <v>2056</v>
      </c>
      <c r="C2065" s="52">
        <f t="shared" ca="1" si="99"/>
        <v>-5.0489109035231274E-2</v>
      </c>
      <c r="D2065" s="52">
        <f ca="1">S0*EXP((μ-0.5*σ*σ)*T+σ*SQRT(T)*$C2065)</f>
        <v>0.63491322068058198</v>
      </c>
      <c r="E2065" s="52">
        <f t="shared" ca="1" si="97"/>
        <v>0</v>
      </c>
      <c r="F2065" s="17">
        <f t="shared" ca="1" si="98"/>
        <v>0</v>
      </c>
      <c r="H2065" s="17">
        <v>2056</v>
      </c>
      <c r="I2065" s="45">
        <v>0.67019753638316026</v>
      </c>
      <c r="J2065" s="45">
        <v>1.8502149286060875E-2</v>
      </c>
      <c r="K2065" s="45">
        <v>0.2452</v>
      </c>
      <c r="N2065" s="54"/>
    </row>
    <row r="2066" spans="2:14" x14ac:dyDescent="0.2">
      <c r="B2066">
        <v>2057</v>
      </c>
      <c r="C2066" s="52">
        <f t="shared" ca="1" si="99"/>
        <v>-1.0600526221155653</v>
      </c>
      <c r="D2066" s="52">
        <f ca="1">S0*EXP((μ-0.5*σ*σ)*T+σ*SQRT(T)*$C2066)</f>
        <v>0.48030059633165406</v>
      </c>
      <c r="E2066" s="52">
        <f t="shared" ca="1" si="97"/>
        <v>5.4099403668345925E-2</v>
      </c>
      <c r="F2066" s="17">
        <f t="shared" ca="1" si="98"/>
        <v>1</v>
      </c>
      <c r="H2066" s="17">
        <v>2057</v>
      </c>
      <c r="I2066" s="45">
        <v>0.67009804731217049</v>
      </c>
      <c r="J2066" s="45">
        <v>1.828375591326591E-2</v>
      </c>
      <c r="K2066" s="45">
        <v>0.24079999999999999</v>
      </c>
      <c r="N2066" s="54"/>
    </row>
    <row r="2067" spans="2:14" x14ac:dyDescent="0.2">
      <c r="B2067">
        <v>2058</v>
      </c>
      <c r="C2067" s="52">
        <f t="shared" ca="1" si="99"/>
        <v>0.50280153612399603</v>
      </c>
      <c r="D2067" s="52">
        <f ca="1">S0*EXP((μ-0.5*σ*σ)*T+σ*SQRT(T)*$C2067)</f>
        <v>0.73984141018567939</v>
      </c>
      <c r="E2067" s="52">
        <f t="shared" ca="1" si="97"/>
        <v>0</v>
      </c>
      <c r="F2067" s="17">
        <f t="shared" ca="1" si="98"/>
        <v>0</v>
      </c>
      <c r="H2067" s="17">
        <v>2058</v>
      </c>
      <c r="I2067" s="45">
        <v>0.67232634765303279</v>
      </c>
      <c r="J2067" s="45">
        <v>1.983043680892781E-2</v>
      </c>
      <c r="K2067" s="45">
        <v>0.24840000000000001</v>
      </c>
      <c r="N2067" s="54"/>
    </row>
    <row r="2068" spans="2:14" x14ac:dyDescent="0.2">
      <c r="B2068">
        <v>2059</v>
      </c>
      <c r="C2068" s="52">
        <f t="shared" ca="1" si="99"/>
        <v>1.4063531138007841</v>
      </c>
      <c r="D2068" s="52">
        <f ca="1">S0*EXP((μ-0.5*σ*σ)*T+σ*SQRT(T)*$C2068)</f>
        <v>0.94975768716282782</v>
      </c>
      <c r="E2068" s="52">
        <f t="shared" ca="1" si="97"/>
        <v>0</v>
      </c>
      <c r="F2068" s="17">
        <f t="shared" ca="1" si="98"/>
        <v>0</v>
      </c>
      <c r="H2068" s="17">
        <v>2059</v>
      </c>
      <c r="I2068" s="45">
        <v>0.6703333676000538</v>
      </c>
      <c r="J2068" s="45">
        <v>1.8679870479859261E-2</v>
      </c>
      <c r="K2068" s="45">
        <v>0.2422</v>
      </c>
      <c r="N2068" s="54"/>
    </row>
    <row r="2069" spans="2:14" x14ac:dyDescent="0.2">
      <c r="B2069">
        <v>2060</v>
      </c>
      <c r="C2069" s="52">
        <f t="shared" ca="1" si="99"/>
        <v>1.1480357778012016</v>
      </c>
      <c r="D2069" s="52">
        <f ca="1">S0*EXP((μ-0.5*σ*σ)*T+σ*SQRT(T)*$C2069)</f>
        <v>0.88430283329384496</v>
      </c>
      <c r="E2069" s="52">
        <f t="shared" ca="1" si="97"/>
        <v>0</v>
      </c>
      <c r="F2069" s="17">
        <f t="shared" ca="1" si="98"/>
        <v>0</v>
      </c>
      <c r="H2069" s="17">
        <v>2060</v>
      </c>
      <c r="I2069" s="45">
        <v>0.67119622319732053</v>
      </c>
      <c r="J2069" s="45">
        <v>1.9014528111999038E-2</v>
      </c>
      <c r="K2069" s="45">
        <v>0.2462</v>
      </c>
      <c r="N2069" s="54"/>
    </row>
    <row r="2070" spans="2:14" x14ac:dyDescent="0.2">
      <c r="B2070">
        <v>2061</v>
      </c>
      <c r="C2070" s="52">
        <f t="shared" ca="1" si="99"/>
        <v>0.46582503402665748</v>
      </c>
      <c r="D2070" s="52">
        <f ca="1">S0*EXP((μ-0.5*σ*σ)*T+σ*SQRT(T)*$C2070)</f>
        <v>0.73231763341535872</v>
      </c>
      <c r="E2070" s="52">
        <f t="shared" ca="1" si="97"/>
        <v>0</v>
      </c>
      <c r="F2070" s="17">
        <f t="shared" ca="1" si="98"/>
        <v>0</v>
      </c>
      <c r="H2070" s="17">
        <v>2061</v>
      </c>
      <c r="I2070" s="45">
        <v>0.67204357414429139</v>
      </c>
      <c r="J2070" s="45">
        <v>1.9849583792631232E-2</v>
      </c>
      <c r="K2070" s="45">
        <v>0.25659999999999999</v>
      </c>
      <c r="N2070" s="54"/>
    </row>
    <row r="2071" spans="2:14" x14ac:dyDescent="0.2">
      <c r="B2071">
        <v>2062</v>
      </c>
      <c r="C2071" s="52">
        <f t="shared" ca="1" si="99"/>
        <v>1.2648019848874876</v>
      </c>
      <c r="D2071" s="52">
        <f ca="1">S0*EXP((μ-0.5*σ*σ)*T+σ*SQRT(T)*$C2071)</f>
        <v>0.91331199895374782</v>
      </c>
      <c r="E2071" s="52">
        <f t="shared" ca="1" si="97"/>
        <v>0</v>
      </c>
      <c r="F2071" s="17">
        <f t="shared" ca="1" si="98"/>
        <v>0</v>
      </c>
      <c r="H2071" s="17">
        <v>2062</v>
      </c>
      <c r="I2071" s="45">
        <v>0.67056827629532678</v>
      </c>
      <c r="J2071" s="45">
        <v>1.8874937340268697E-2</v>
      </c>
      <c r="K2071" s="45">
        <v>0.245</v>
      </c>
      <c r="N2071" s="54"/>
    </row>
    <row r="2072" spans="2:14" x14ac:dyDescent="0.2">
      <c r="B2072">
        <v>2063</v>
      </c>
      <c r="C2072" s="52">
        <f t="shared" ca="1" si="99"/>
        <v>-0.38633681984538426</v>
      </c>
      <c r="D2072" s="52">
        <f ca="1">S0*EXP((μ-0.5*σ*σ)*T+σ*SQRT(T)*$C2072)</f>
        <v>0.57862181940628266</v>
      </c>
      <c r="E2072" s="52">
        <f t="shared" ca="1" si="97"/>
        <v>0</v>
      </c>
      <c r="F2072" s="17">
        <f t="shared" ca="1" si="98"/>
        <v>0</v>
      </c>
      <c r="H2072" s="17">
        <v>2063</v>
      </c>
      <c r="I2072" s="45">
        <v>0.67186004598682481</v>
      </c>
      <c r="J2072" s="45">
        <v>1.9758188421712959E-2</v>
      </c>
      <c r="K2072" s="45">
        <v>0.25019999999999998</v>
      </c>
      <c r="N2072" s="54"/>
    </row>
    <row r="2073" spans="2:14" x14ac:dyDescent="0.2">
      <c r="B2073">
        <v>2064</v>
      </c>
      <c r="C2073" s="52">
        <f t="shared" ca="1" si="99"/>
        <v>-3.8418398257364622E-2</v>
      </c>
      <c r="D2073" s="52">
        <f ca="1">S0*EXP((μ-0.5*σ*σ)*T+σ*SQRT(T)*$C2073)</f>
        <v>0.63703529749837418</v>
      </c>
      <c r="E2073" s="52">
        <f t="shared" ca="1" si="97"/>
        <v>0</v>
      </c>
      <c r="F2073" s="17">
        <f t="shared" ca="1" si="98"/>
        <v>0</v>
      </c>
      <c r="H2073" s="17">
        <v>2064</v>
      </c>
      <c r="I2073" s="45">
        <v>0.67185417775453016</v>
      </c>
      <c r="J2073" s="45">
        <v>1.9687707173333027E-2</v>
      </c>
      <c r="K2073" s="45">
        <v>0.25659999999999999</v>
      </c>
      <c r="N2073" s="54"/>
    </row>
    <row r="2074" spans="2:14" x14ac:dyDescent="0.2">
      <c r="B2074">
        <v>2065</v>
      </c>
      <c r="C2074" s="52">
        <f t="shared" ca="1" si="99"/>
        <v>-0.59632235137020451</v>
      </c>
      <c r="D2074" s="52">
        <f ca="1">S0*EXP((μ-0.5*σ*σ)*T+σ*SQRT(T)*$C2074)</f>
        <v>0.54599088111409455</v>
      </c>
      <c r="E2074" s="52">
        <f t="shared" ca="1" si="97"/>
        <v>0</v>
      </c>
      <c r="F2074" s="17">
        <f t="shared" ca="1" si="98"/>
        <v>0</v>
      </c>
      <c r="H2074" s="17">
        <v>2065</v>
      </c>
      <c r="I2074" s="45">
        <v>0.671859381042055</v>
      </c>
      <c r="J2074" s="45">
        <v>1.9535880097768198E-2</v>
      </c>
      <c r="K2074" s="45">
        <v>0.25</v>
      </c>
      <c r="N2074" s="54"/>
    </row>
    <row r="2075" spans="2:14" x14ac:dyDescent="0.2">
      <c r="B2075">
        <v>2066</v>
      </c>
      <c r="C2075" s="52">
        <f t="shared" ca="1" si="99"/>
        <v>0.25743420191036426</v>
      </c>
      <c r="D2075" s="52">
        <f ca="1">S0*EXP((μ-0.5*σ*σ)*T+σ*SQRT(T)*$C2075)</f>
        <v>0.69132382324023645</v>
      </c>
      <c r="E2075" s="52">
        <f t="shared" ca="1" si="97"/>
        <v>0</v>
      </c>
      <c r="F2075" s="17">
        <f t="shared" ca="1" si="98"/>
        <v>0</v>
      </c>
      <c r="H2075" s="17">
        <v>2066</v>
      </c>
      <c r="I2075" s="45">
        <v>0.67105857124798662</v>
      </c>
      <c r="J2075" s="45">
        <v>1.9118289177282186E-2</v>
      </c>
      <c r="K2075" s="45">
        <v>0.25180000000000002</v>
      </c>
      <c r="N2075" s="54"/>
    </row>
    <row r="2076" spans="2:14" x14ac:dyDescent="0.2">
      <c r="B2076">
        <v>2067</v>
      </c>
      <c r="C2076" s="52">
        <f t="shared" ca="1" si="99"/>
        <v>-2.0030590344311192</v>
      </c>
      <c r="D2076" s="52">
        <f ca="1">S0*EXP((μ-0.5*σ*σ)*T+σ*SQRT(T)*$C2076)</f>
        <v>0.37008566945972471</v>
      </c>
      <c r="E2076" s="52">
        <f t="shared" ca="1" si="97"/>
        <v>0.16431433054027528</v>
      </c>
      <c r="F2076" s="17">
        <f t="shared" ca="1" si="98"/>
        <v>1</v>
      </c>
      <c r="H2076" s="17">
        <v>2067</v>
      </c>
      <c r="I2076" s="45">
        <v>0.67161045230386374</v>
      </c>
      <c r="J2076" s="45">
        <v>1.9544410131268522E-2</v>
      </c>
      <c r="K2076" s="45">
        <v>0.25080000000000002</v>
      </c>
      <c r="N2076" s="54"/>
    </row>
    <row r="2077" spans="2:14" x14ac:dyDescent="0.2">
      <c r="B2077">
        <v>2068</v>
      </c>
      <c r="C2077" s="52">
        <f t="shared" ca="1" si="99"/>
        <v>-1.8127671948906536</v>
      </c>
      <c r="D2077" s="52">
        <f ca="1">S0*EXP((μ-0.5*σ*σ)*T+σ*SQRT(T)*$C2077)</f>
        <v>0.39007435286548969</v>
      </c>
      <c r="E2077" s="52">
        <f t="shared" ca="1" si="97"/>
        <v>0.14432564713451029</v>
      </c>
      <c r="F2077" s="17">
        <f t="shared" ca="1" si="98"/>
        <v>1</v>
      </c>
      <c r="H2077" s="17">
        <v>2068</v>
      </c>
      <c r="I2077" s="45">
        <v>0.67044030533480403</v>
      </c>
      <c r="J2077" s="45">
        <v>1.8206141552970807E-2</v>
      </c>
      <c r="K2077" s="45">
        <v>0.2472</v>
      </c>
      <c r="N2077" s="54"/>
    </row>
    <row r="2078" spans="2:14" x14ac:dyDescent="0.2">
      <c r="B2078">
        <v>2069</v>
      </c>
      <c r="C2078" s="52">
        <f t="shared" ca="1" si="99"/>
        <v>-1.38561761604256</v>
      </c>
      <c r="D2078" s="52">
        <f ca="1">S0*EXP((μ-0.5*σ*σ)*T+σ*SQRT(T)*$C2078)</f>
        <v>0.43896312017562433</v>
      </c>
      <c r="E2078" s="52">
        <f t="shared" ca="1" si="97"/>
        <v>9.5436879824375653E-2</v>
      </c>
      <c r="F2078" s="17">
        <f t="shared" ca="1" si="98"/>
        <v>1</v>
      </c>
      <c r="H2078" s="17">
        <v>2069</v>
      </c>
      <c r="I2078" s="45">
        <v>0.67082955425704427</v>
      </c>
      <c r="J2078" s="45">
        <v>1.8815859439481827E-2</v>
      </c>
      <c r="K2078" s="45">
        <v>0.2482</v>
      </c>
      <c r="N2078" s="54"/>
    </row>
    <row r="2079" spans="2:14" x14ac:dyDescent="0.2">
      <c r="B2079">
        <v>2070</v>
      </c>
      <c r="C2079" s="52">
        <f t="shared" ca="1" si="99"/>
        <v>1.6505690273852758</v>
      </c>
      <c r="D2079" s="52">
        <f ca="1">S0*EXP((μ-0.5*σ*σ)*T+σ*SQRT(T)*$C2079)</f>
        <v>1.0160888799954271</v>
      </c>
      <c r="E2079" s="52">
        <f t="shared" ca="1" si="97"/>
        <v>0</v>
      </c>
      <c r="F2079" s="17">
        <f t="shared" ca="1" si="98"/>
        <v>0</v>
      </c>
      <c r="H2079" s="17">
        <v>2070</v>
      </c>
      <c r="I2079" s="45">
        <v>0.67099661549891043</v>
      </c>
      <c r="J2079" s="45">
        <v>1.915377740394085E-2</v>
      </c>
      <c r="K2079" s="45">
        <v>0.24560000000000001</v>
      </c>
      <c r="N2079" s="54"/>
    </row>
    <row r="2080" spans="2:14" x14ac:dyDescent="0.2">
      <c r="B2080">
        <v>2071</v>
      </c>
      <c r="C2080" s="52">
        <f t="shared" ca="1" si="99"/>
        <v>2.0230639653746749</v>
      </c>
      <c r="D2080" s="52">
        <f ca="1">S0*EXP((μ-0.5*σ*σ)*T+σ*SQRT(T)*$C2080)</f>
        <v>1.1262916804561305</v>
      </c>
      <c r="E2080" s="52">
        <f t="shared" ca="1" si="97"/>
        <v>0</v>
      </c>
      <c r="F2080" s="17">
        <f t="shared" ca="1" si="98"/>
        <v>0</v>
      </c>
      <c r="H2080" s="17">
        <v>2071</v>
      </c>
      <c r="I2080" s="45">
        <v>0.67110400040320461</v>
      </c>
      <c r="J2080" s="45">
        <v>1.9279404923477253E-2</v>
      </c>
      <c r="K2080" s="45">
        <v>0.25080000000000002</v>
      </c>
      <c r="N2080" s="54"/>
    </row>
    <row r="2081" spans="2:14" x14ac:dyDescent="0.2">
      <c r="B2081">
        <v>2072</v>
      </c>
      <c r="C2081" s="52">
        <f t="shared" ca="1" si="99"/>
        <v>-0.52483797731733806</v>
      </c>
      <c r="D2081" s="52">
        <f ca="1">S0*EXP((μ-0.5*σ*σ)*T+σ*SQRT(T)*$C2081)</f>
        <v>0.5568872966507824</v>
      </c>
      <c r="E2081" s="52">
        <f t="shared" ca="1" si="97"/>
        <v>0</v>
      </c>
      <c r="F2081" s="17">
        <f t="shared" ca="1" si="98"/>
        <v>0</v>
      </c>
      <c r="H2081" s="17">
        <v>2072</v>
      </c>
      <c r="I2081" s="45">
        <v>0.66996875806832845</v>
      </c>
      <c r="J2081" s="45">
        <v>1.8235358004713136E-2</v>
      </c>
      <c r="K2081" s="45">
        <v>0.24179999999999999</v>
      </c>
      <c r="N2081" s="54"/>
    </row>
    <row r="2082" spans="2:14" x14ac:dyDescent="0.2">
      <c r="B2082">
        <v>2073</v>
      </c>
      <c r="C2082" s="52">
        <f t="shared" ca="1" si="99"/>
        <v>0.25845181200586281</v>
      </c>
      <c r="D2082" s="52">
        <f ca="1">S0*EXP((μ-0.5*σ*σ)*T+σ*SQRT(T)*$C2082)</f>
        <v>0.69151832034319149</v>
      </c>
      <c r="E2082" s="52">
        <f t="shared" ca="1" si="97"/>
        <v>0</v>
      </c>
      <c r="F2082" s="17">
        <f t="shared" ca="1" si="98"/>
        <v>0</v>
      </c>
      <c r="H2082" s="17">
        <v>2073</v>
      </c>
      <c r="I2082" s="45">
        <v>0.67113189001712081</v>
      </c>
      <c r="J2082" s="45">
        <v>1.9090326360126367E-2</v>
      </c>
      <c r="K2082" s="45">
        <v>0.24640000000000001</v>
      </c>
      <c r="N2082" s="54"/>
    </row>
    <row r="2083" spans="2:14" x14ac:dyDescent="0.2">
      <c r="B2083">
        <v>2074</v>
      </c>
      <c r="C2083" s="52">
        <f t="shared" ca="1" si="99"/>
        <v>2.1921167319670807</v>
      </c>
      <c r="D2083" s="52">
        <f ca="1">S0*EXP((μ-0.5*σ*σ)*T+σ*SQRT(T)*$C2083)</f>
        <v>1.1801743933462592</v>
      </c>
      <c r="E2083" s="52">
        <f t="shared" ca="1" si="97"/>
        <v>0</v>
      </c>
      <c r="F2083" s="17">
        <f t="shared" ca="1" si="98"/>
        <v>0</v>
      </c>
      <c r="H2083" s="17">
        <v>2074</v>
      </c>
      <c r="I2083" s="45">
        <v>0.67186066789338472</v>
      </c>
      <c r="J2083" s="45">
        <v>1.9374772986396973E-2</v>
      </c>
      <c r="K2083" s="45">
        <v>0.24579999999999999</v>
      </c>
      <c r="N2083" s="54"/>
    </row>
    <row r="2084" spans="2:14" x14ac:dyDescent="0.2">
      <c r="B2084">
        <v>2075</v>
      </c>
      <c r="C2084" s="52">
        <f t="shared" ca="1" si="99"/>
        <v>-1.7865943387323129</v>
      </c>
      <c r="D2084" s="52">
        <f ca="1">S0*EXP((μ-0.5*σ*σ)*T+σ*SQRT(T)*$C2084)</f>
        <v>0.39290678589797129</v>
      </c>
      <c r="E2084" s="52">
        <f t="shared" ca="1" si="97"/>
        <v>0.1414932141020287</v>
      </c>
      <c r="F2084" s="17">
        <f t="shared" ca="1" si="98"/>
        <v>1</v>
      </c>
      <c r="H2084" s="17">
        <v>2075</v>
      </c>
      <c r="I2084" s="45">
        <v>0.67088159290209004</v>
      </c>
      <c r="J2084" s="45">
        <v>1.916901251782898E-2</v>
      </c>
      <c r="K2084" s="45">
        <v>0.25380000000000003</v>
      </c>
      <c r="N2084" s="54"/>
    </row>
    <row r="2085" spans="2:14" x14ac:dyDescent="0.2">
      <c r="B2085">
        <v>2076</v>
      </c>
      <c r="C2085" s="52">
        <f t="shared" ca="1" si="99"/>
        <v>-1.9079330591444164</v>
      </c>
      <c r="D2085" s="52">
        <f ca="1">S0*EXP((μ-0.5*σ*σ)*T+σ*SQRT(T)*$C2085)</f>
        <v>0.37994649125474472</v>
      </c>
      <c r="E2085" s="52">
        <f t="shared" ca="1" si="97"/>
        <v>0.15445350874525526</v>
      </c>
      <c r="F2085" s="17">
        <f t="shared" ca="1" si="98"/>
        <v>1</v>
      </c>
      <c r="H2085" s="17">
        <v>2076</v>
      </c>
      <c r="I2085" s="45">
        <v>0.67035948407249157</v>
      </c>
      <c r="J2085" s="45">
        <v>1.8653234777861547E-2</v>
      </c>
      <c r="K2085" s="45">
        <v>0.24460000000000001</v>
      </c>
      <c r="N2085" s="54"/>
    </row>
    <row r="2086" spans="2:14" x14ac:dyDescent="0.2">
      <c r="B2086">
        <v>2077</v>
      </c>
      <c r="C2086" s="52">
        <f t="shared" ca="1" si="99"/>
        <v>-5.4243960003605859E-2</v>
      </c>
      <c r="D2086" s="52">
        <f ca="1">S0*EXP((μ-0.5*σ*σ)*T+σ*SQRT(T)*$C2086)</f>
        <v>0.63425454621865218</v>
      </c>
      <c r="E2086" s="52">
        <f t="shared" ca="1" si="97"/>
        <v>0</v>
      </c>
      <c r="F2086" s="17">
        <f t="shared" ca="1" si="98"/>
        <v>0</v>
      </c>
      <c r="H2086" s="17">
        <v>2077</v>
      </c>
      <c r="I2086" s="45">
        <v>0.66997603421089214</v>
      </c>
      <c r="J2086" s="45">
        <v>1.8464971579858349E-2</v>
      </c>
      <c r="K2086" s="45">
        <v>0.24179999999999999</v>
      </c>
      <c r="N2086" s="54"/>
    </row>
    <row r="2087" spans="2:14" x14ac:dyDescent="0.2">
      <c r="B2087">
        <v>2078</v>
      </c>
      <c r="C2087" s="52">
        <f t="shared" ca="1" si="99"/>
        <v>-1.5791122580239789</v>
      </c>
      <c r="D2087" s="52">
        <f ca="1">S0*EXP((μ-0.5*σ*σ)*T+σ*SQRT(T)*$C2087)</f>
        <v>0.41610065523747192</v>
      </c>
      <c r="E2087" s="52">
        <f t="shared" ca="1" si="97"/>
        <v>0.11829934476252807</v>
      </c>
      <c r="F2087" s="17">
        <f t="shared" ca="1" si="98"/>
        <v>1</v>
      </c>
      <c r="H2087" s="17">
        <v>2078</v>
      </c>
      <c r="I2087" s="45">
        <v>0.67048859687698936</v>
      </c>
      <c r="J2087" s="45">
        <v>1.8514148422992104E-2</v>
      </c>
      <c r="K2087" s="45">
        <v>0.24260000000000001</v>
      </c>
      <c r="N2087" s="54"/>
    </row>
    <row r="2088" spans="2:14" x14ac:dyDescent="0.2">
      <c r="B2088">
        <v>2079</v>
      </c>
      <c r="C2088" s="52">
        <f t="shared" ca="1" si="99"/>
        <v>-0.31983104958094555</v>
      </c>
      <c r="D2088" s="52">
        <f ca="1">S0*EXP((μ-0.5*σ*σ)*T+σ*SQRT(T)*$C2088)</f>
        <v>0.58935779423688939</v>
      </c>
      <c r="E2088" s="52">
        <f t="shared" ca="1" si="97"/>
        <v>0</v>
      </c>
      <c r="F2088" s="17">
        <f t="shared" ca="1" si="98"/>
        <v>0</v>
      </c>
      <c r="H2088" s="17">
        <v>2079</v>
      </c>
      <c r="I2088" s="45">
        <v>0.67160948595614922</v>
      </c>
      <c r="J2088" s="45">
        <v>1.9523450738388196E-2</v>
      </c>
      <c r="K2088" s="45">
        <v>0.25319999999999998</v>
      </c>
      <c r="N2088" s="54"/>
    </row>
    <row r="2089" spans="2:14" x14ac:dyDescent="0.2">
      <c r="B2089">
        <v>2080</v>
      </c>
      <c r="C2089" s="52">
        <f t="shared" ca="1" si="99"/>
        <v>0.25039177694451481</v>
      </c>
      <c r="D2089" s="52">
        <f ca="1">S0*EXP((μ-0.5*σ*σ)*T+σ*SQRT(T)*$C2089)</f>
        <v>0.68997929413023817</v>
      </c>
      <c r="E2089" s="52">
        <f t="shared" ca="1" si="97"/>
        <v>0</v>
      </c>
      <c r="F2089" s="17">
        <f t="shared" ca="1" si="98"/>
        <v>0</v>
      </c>
      <c r="H2089" s="17">
        <v>2080</v>
      </c>
      <c r="I2089" s="45">
        <v>0.6707766600800088</v>
      </c>
      <c r="J2089" s="45">
        <v>1.8859706453868863E-2</v>
      </c>
      <c r="K2089" s="45">
        <v>0.2472</v>
      </c>
      <c r="N2089" s="54"/>
    </row>
    <row r="2090" spans="2:14" x14ac:dyDescent="0.2">
      <c r="B2090">
        <v>2081</v>
      </c>
      <c r="C2090" s="52">
        <f t="shared" ca="1" si="99"/>
        <v>-0.32788170422128493</v>
      </c>
      <c r="D2090" s="52">
        <f ca="1">S0*EXP((μ-0.5*σ*σ)*T+σ*SQRT(T)*$C2090)</f>
        <v>0.58804765882213306</v>
      </c>
      <c r="E2090" s="52">
        <f t="shared" ca="1" si="97"/>
        <v>0</v>
      </c>
      <c r="F2090" s="17">
        <f t="shared" ca="1" si="98"/>
        <v>0</v>
      </c>
      <c r="H2090" s="17">
        <v>2081</v>
      </c>
      <c r="I2090" s="45">
        <v>0.66975435423393193</v>
      </c>
      <c r="J2090" s="45">
        <v>1.8134272781703521E-2</v>
      </c>
      <c r="K2090" s="45">
        <v>0.24740000000000001</v>
      </c>
      <c r="N2090" s="54"/>
    </row>
    <row r="2091" spans="2:14" x14ac:dyDescent="0.2">
      <c r="B2091">
        <v>2082</v>
      </c>
      <c r="C2091" s="52">
        <f t="shared" ca="1" si="99"/>
        <v>-1.5474334237077116</v>
      </c>
      <c r="D2091" s="52">
        <f ca="1">S0*EXP((μ-0.5*σ*σ)*T+σ*SQRT(T)*$C2091)</f>
        <v>0.41976047479071305</v>
      </c>
      <c r="E2091" s="52">
        <f t="shared" ca="1" si="97"/>
        <v>0.11463952520928694</v>
      </c>
      <c r="F2091" s="17">
        <f t="shared" ca="1" si="98"/>
        <v>1</v>
      </c>
      <c r="H2091" s="17">
        <v>2082</v>
      </c>
      <c r="I2091" s="45">
        <v>0.67131400198973235</v>
      </c>
      <c r="J2091" s="45">
        <v>1.9193214773900919E-2</v>
      </c>
      <c r="K2091" s="45">
        <v>0.24579999999999999</v>
      </c>
      <c r="N2091" s="54"/>
    </row>
    <row r="2092" spans="2:14" x14ac:dyDescent="0.2">
      <c r="B2092">
        <v>2083</v>
      </c>
      <c r="C2092" s="52">
        <f t="shared" ca="1" si="99"/>
        <v>1.1270895653497273</v>
      </c>
      <c r="D2092" s="52">
        <f ca="1">S0*EXP((μ-0.5*σ*σ)*T+σ*SQRT(T)*$C2092)</f>
        <v>0.87919732577439813</v>
      </c>
      <c r="E2092" s="52">
        <f t="shared" ca="1" si="97"/>
        <v>0</v>
      </c>
      <c r="F2092" s="17">
        <f t="shared" ca="1" si="98"/>
        <v>0</v>
      </c>
      <c r="H2092" s="17">
        <v>2083</v>
      </c>
      <c r="I2092" s="45">
        <v>0.67174726575184918</v>
      </c>
      <c r="J2092" s="45">
        <v>1.9423391172480851E-2</v>
      </c>
      <c r="K2092" s="45">
        <v>0.2472</v>
      </c>
      <c r="N2092" s="54"/>
    </row>
    <row r="2093" spans="2:14" x14ac:dyDescent="0.2">
      <c r="B2093">
        <v>2084</v>
      </c>
      <c r="C2093" s="52">
        <f t="shared" ca="1" si="99"/>
        <v>0.31267643399846506</v>
      </c>
      <c r="D2093" s="52">
        <f ca="1">S0*EXP((μ-0.5*σ*σ)*T+σ*SQRT(T)*$C2093)</f>
        <v>0.70196187462856852</v>
      </c>
      <c r="E2093" s="52">
        <f t="shared" ca="1" si="97"/>
        <v>0</v>
      </c>
      <c r="F2093" s="17">
        <f t="shared" ca="1" si="98"/>
        <v>0</v>
      </c>
      <c r="H2093" s="17">
        <v>2084</v>
      </c>
      <c r="I2093" s="45">
        <v>0.67093545291153323</v>
      </c>
      <c r="J2093" s="45">
        <v>1.9011158245657096E-2</v>
      </c>
      <c r="K2093" s="45">
        <v>0.2452</v>
      </c>
      <c r="N2093" s="54"/>
    </row>
    <row r="2094" spans="2:14" x14ac:dyDescent="0.2">
      <c r="B2094">
        <v>2085</v>
      </c>
      <c r="C2094" s="52">
        <f t="shared" ca="1" si="99"/>
        <v>-8.2418213949299171E-2</v>
      </c>
      <c r="D2094" s="52">
        <f ca="1">S0*EXP((μ-0.5*σ*σ)*T+σ*SQRT(T)*$C2094)</f>
        <v>0.62933398057884338</v>
      </c>
      <c r="E2094" s="52">
        <f t="shared" ca="1" si="97"/>
        <v>0</v>
      </c>
      <c r="F2094" s="17">
        <f t="shared" ca="1" si="98"/>
        <v>0</v>
      </c>
      <c r="H2094" s="17">
        <v>2085</v>
      </c>
      <c r="I2094" s="45">
        <v>0.67141282905214028</v>
      </c>
      <c r="J2094" s="45">
        <v>1.9528938174420533E-2</v>
      </c>
      <c r="K2094" s="45">
        <v>0.25359999999999999</v>
      </c>
      <c r="N2094" s="54"/>
    </row>
    <row r="2095" spans="2:14" x14ac:dyDescent="0.2">
      <c r="B2095">
        <v>2086</v>
      </c>
      <c r="C2095" s="52">
        <f t="shared" ca="1" si="99"/>
        <v>-0.96722043428906024</v>
      </c>
      <c r="D2095" s="52">
        <f ca="1">S0*EXP((μ-0.5*σ*σ)*T+σ*SQRT(T)*$C2095)</f>
        <v>0.49278549858813347</v>
      </c>
      <c r="E2095" s="52">
        <f t="shared" ca="1" si="97"/>
        <v>4.1614501411866511E-2</v>
      </c>
      <c r="F2095" s="17">
        <f t="shared" ca="1" si="98"/>
        <v>1</v>
      </c>
      <c r="H2095" s="17">
        <v>2086</v>
      </c>
      <c r="I2095" s="45">
        <v>0.67196079329860137</v>
      </c>
      <c r="J2095" s="45">
        <v>1.9822460677359238E-2</v>
      </c>
      <c r="K2095" s="45">
        <v>0.25019999999999998</v>
      </c>
      <c r="N2095" s="54"/>
    </row>
    <row r="2096" spans="2:14" x14ac:dyDescent="0.2">
      <c r="B2096">
        <v>2087</v>
      </c>
      <c r="C2096" s="52">
        <f t="shared" ca="1" si="99"/>
        <v>0.16369331100519355</v>
      </c>
      <c r="D2096" s="52">
        <f ca="1">S0*EXP((μ-0.5*σ*σ)*T+σ*SQRT(T)*$C2096)</f>
        <v>0.67363964312798696</v>
      </c>
      <c r="E2096" s="52">
        <f t="shared" ca="1" si="97"/>
        <v>0</v>
      </c>
      <c r="F2096" s="17">
        <f t="shared" ca="1" si="98"/>
        <v>0</v>
      </c>
      <c r="H2096" s="17">
        <v>2087</v>
      </c>
      <c r="I2096" s="45">
        <v>0.6706422404718827</v>
      </c>
      <c r="J2096" s="45">
        <v>1.8783192414850106E-2</v>
      </c>
      <c r="K2096" s="45">
        <v>0.24759999999999999</v>
      </c>
      <c r="N2096" s="54"/>
    </row>
    <row r="2097" spans="2:14" x14ac:dyDescent="0.2">
      <c r="B2097">
        <v>2088</v>
      </c>
      <c r="C2097" s="52">
        <f t="shared" ca="1" si="99"/>
        <v>-0.69042177821789796</v>
      </c>
      <c r="D2097" s="52">
        <f ca="1">S0*EXP((μ-0.5*σ*σ)*T+σ*SQRT(T)*$C2097)</f>
        <v>0.53197161535032123</v>
      </c>
      <c r="E2097" s="52">
        <f t="shared" ca="1" si="97"/>
        <v>2.4283846496787609E-3</v>
      </c>
      <c r="F2097" s="17">
        <f t="shared" ca="1" si="98"/>
        <v>1</v>
      </c>
      <c r="H2097" s="17">
        <v>2088</v>
      </c>
      <c r="I2097" s="45">
        <v>0.67054058872261468</v>
      </c>
      <c r="J2097" s="45">
        <v>1.8927616792987028E-2</v>
      </c>
      <c r="K2097" s="45">
        <v>0.24640000000000001</v>
      </c>
      <c r="N2097" s="54"/>
    </row>
    <row r="2098" spans="2:14" x14ac:dyDescent="0.2">
      <c r="B2098">
        <v>2089</v>
      </c>
      <c r="C2098" s="52">
        <f t="shared" ca="1" si="99"/>
        <v>0.23254088893059097</v>
      </c>
      <c r="D2098" s="52">
        <f ca="1">S0*EXP((μ-0.5*σ*σ)*T+σ*SQRT(T)*$C2098)</f>
        <v>0.68658293255658542</v>
      </c>
      <c r="E2098" s="52">
        <f t="shared" ca="1" si="97"/>
        <v>0</v>
      </c>
      <c r="F2098" s="17">
        <f t="shared" ca="1" si="98"/>
        <v>0</v>
      </c>
      <c r="H2098" s="17">
        <v>2089</v>
      </c>
      <c r="I2098" s="45">
        <v>0.67021902867288774</v>
      </c>
      <c r="J2098" s="45">
        <v>1.8544076013617062E-2</v>
      </c>
      <c r="K2098" s="45">
        <v>0.23899999999999999</v>
      </c>
      <c r="N2098" s="54"/>
    </row>
    <row r="2099" spans="2:14" x14ac:dyDescent="0.2">
      <c r="B2099">
        <v>2090</v>
      </c>
      <c r="C2099" s="52">
        <f t="shared" ca="1" si="99"/>
        <v>0.26377497126976596</v>
      </c>
      <c r="D2099" s="52">
        <f ca="1">S0*EXP((μ-0.5*σ*σ)*T+σ*SQRT(T)*$C2099)</f>
        <v>0.69253663464278425</v>
      </c>
      <c r="E2099" s="52">
        <f t="shared" ca="1" si="97"/>
        <v>0</v>
      </c>
      <c r="F2099" s="17">
        <f t="shared" ca="1" si="98"/>
        <v>0</v>
      </c>
      <c r="H2099" s="17">
        <v>2090</v>
      </c>
      <c r="I2099" s="45">
        <v>0.67197306301967141</v>
      </c>
      <c r="J2099" s="45">
        <v>1.9638134974408066E-2</v>
      </c>
      <c r="K2099" s="45">
        <v>0.24740000000000001</v>
      </c>
      <c r="N2099" s="54"/>
    </row>
    <row r="2100" spans="2:14" x14ac:dyDescent="0.2">
      <c r="B2100">
        <v>2091</v>
      </c>
      <c r="C2100" s="52">
        <f t="shared" ca="1" si="99"/>
        <v>-1.9867389921815171</v>
      </c>
      <c r="D2100" s="52">
        <f ca="1">S0*EXP((μ-0.5*σ*σ)*T+σ*SQRT(T)*$C2100)</f>
        <v>0.37175904213639477</v>
      </c>
      <c r="E2100" s="52">
        <f t="shared" ca="1" si="97"/>
        <v>0.16264095786360522</v>
      </c>
      <c r="F2100" s="17">
        <f t="shared" ca="1" si="98"/>
        <v>1</v>
      </c>
      <c r="H2100" s="17">
        <v>2091</v>
      </c>
      <c r="I2100" s="45">
        <v>0.67164016024010686</v>
      </c>
      <c r="J2100" s="45">
        <v>1.9211441236539537E-2</v>
      </c>
      <c r="K2100" s="45">
        <v>0.24840000000000001</v>
      </c>
      <c r="N2100" s="54"/>
    </row>
    <row r="2101" spans="2:14" x14ac:dyDescent="0.2">
      <c r="B2101">
        <v>2092</v>
      </c>
      <c r="C2101" s="52">
        <f t="shared" ca="1" si="99"/>
        <v>-1.4548544761855433</v>
      </c>
      <c r="D2101" s="52">
        <f ca="1">S0*EXP((μ-0.5*σ*σ)*T+σ*SQRT(T)*$C2101)</f>
        <v>0.43064155346780109</v>
      </c>
      <c r="E2101" s="52">
        <f t="shared" ca="1" si="97"/>
        <v>0.1037584465321989</v>
      </c>
      <c r="F2101" s="17">
        <f t="shared" ca="1" si="98"/>
        <v>1</v>
      </c>
      <c r="H2101" s="17">
        <v>2092</v>
      </c>
      <c r="I2101" s="45">
        <v>0.67087316742716485</v>
      </c>
      <c r="J2101" s="45">
        <v>1.8941485597281225E-2</v>
      </c>
      <c r="K2101" s="45">
        <v>0.2412</v>
      </c>
      <c r="N2101" s="54"/>
    </row>
    <row r="2102" spans="2:14" x14ac:dyDescent="0.2">
      <c r="B2102">
        <v>2093</v>
      </c>
      <c r="C2102" s="52">
        <f t="shared" ca="1" si="99"/>
        <v>-2.3601859632340436</v>
      </c>
      <c r="D2102" s="52">
        <f ca="1">S0*EXP((μ-0.5*σ*σ)*T+σ*SQRT(T)*$C2102)</f>
        <v>0.33529576520633675</v>
      </c>
      <c r="E2102" s="52">
        <f t="shared" ca="1" si="97"/>
        <v>0.19910423479366324</v>
      </c>
      <c r="F2102" s="17">
        <f t="shared" ca="1" si="98"/>
        <v>1</v>
      </c>
      <c r="H2102" s="17">
        <v>2093</v>
      </c>
      <c r="I2102" s="45">
        <v>0.67047036067091159</v>
      </c>
      <c r="J2102" s="45">
        <v>1.8626438065412431E-2</v>
      </c>
      <c r="K2102" s="45">
        <v>0.24779999999999999</v>
      </c>
      <c r="N2102" s="54"/>
    </row>
    <row r="2103" spans="2:14" x14ac:dyDescent="0.2">
      <c r="B2103">
        <v>2094</v>
      </c>
      <c r="C2103" s="52">
        <f t="shared" ca="1" si="99"/>
        <v>-0.52213578258344928</v>
      </c>
      <c r="D2103" s="52">
        <f ca="1">S0*EXP((μ-0.5*σ*σ)*T+σ*SQRT(T)*$C2103)</f>
        <v>0.5573034326522619</v>
      </c>
      <c r="E2103" s="52">
        <f t="shared" ca="1" si="97"/>
        <v>0</v>
      </c>
      <c r="F2103" s="17">
        <f t="shared" ca="1" si="98"/>
        <v>0</v>
      </c>
      <c r="H2103" s="17">
        <v>2094</v>
      </c>
      <c r="I2103" s="45">
        <v>0.67080284812030189</v>
      </c>
      <c r="J2103" s="45">
        <v>1.8922138375128694E-2</v>
      </c>
      <c r="K2103" s="45">
        <v>0.23980000000000001</v>
      </c>
      <c r="N2103" s="54"/>
    </row>
    <row r="2104" spans="2:14" x14ac:dyDescent="0.2">
      <c r="B2104">
        <v>2095</v>
      </c>
      <c r="C2104" s="52">
        <f t="shared" ca="1" si="99"/>
        <v>-2.0896984787950587E-2</v>
      </c>
      <c r="D2104" s="52">
        <f ca="1">S0*EXP((μ-0.5*σ*σ)*T+σ*SQRT(T)*$C2104)</f>
        <v>0.6401282548495103</v>
      </c>
      <c r="E2104" s="52">
        <f t="shared" ca="1" si="97"/>
        <v>0</v>
      </c>
      <c r="F2104" s="17">
        <f t="shared" ca="1" si="98"/>
        <v>0</v>
      </c>
      <c r="H2104" s="17">
        <v>2095</v>
      </c>
      <c r="I2104" s="45">
        <v>0.67137272813725712</v>
      </c>
      <c r="J2104" s="45">
        <v>1.9291299595304991E-2</v>
      </c>
      <c r="K2104" s="45">
        <v>0.24940000000000001</v>
      </c>
      <c r="N2104" s="54"/>
    </row>
    <row r="2105" spans="2:14" x14ac:dyDescent="0.2">
      <c r="B2105">
        <v>2096</v>
      </c>
      <c r="C2105" s="52">
        <f t="shared" ca="1" si="99"/>
        <v>-2.1029487278543093</v>
      </c>
      <c r="D2105" s="52">
        <f ca="1">S0*EXP((μ-0.5*σ*σ)*T+σ*SQRT(T)*$C2105)</f>
        <v>0.36000638195346196</v>
      </c>
      <c r="E2105" s="52">
        <f t="shared" ca="1" si="97"/>
        <v>0.17439361804653802</v>
      </c>
      <c r="F2105" s="17">
        <f t="shared" ca="1" si="98"/>
        <v>1</v>
      </c>
      <c r="H2105" s="17">
        <v>2096</v>
      </c>
      <c r="I2105" s="45">
        <v>0.67091446592784598</v>
      </c>
      <c r="J2105" s="45">
        <v>1.9079506197543714E-2</v>
      </c>
      <c r="K2105" s="45">
        <v>0.24340000000000001</v>
      </c>
      <c r="N2105" s="54"/>
    </row>
    <row r="2106" spans="2:14" x14ac:dyDescent="0.2">
      <c r="B2106">
        <v>2097</v>
      </c>
      <c r="C2106" s="52">
        <f t="shared" ca="1" si="99"/>
        <v>0.49116539176645346</v>
      </c>
      <c r="D2106" s="52">
        <f ca="1">S0*EXP((μ-0.5*σ*σ)*T+σ*SQRT(T)*$C2106)</f>
        <v>0.73746545323389201</v>
      </c>
      <c r="E2106" s="52">
        <f t="shared" ca="1" si="97"/>
        <v>0</v>
      </c>
      <c r="F2106" s="17">
        <f t="shared" ca="1" si="98"/>
        <v>0</v>
      </c>
      <c r="H2106" s="17">
        <v>2097</v>
      </c>
      <c r="I2106" s="45">
        <v>0.67040726307886134</v>
      </c>
      <c r="J2106" s="45">
        <v>1.8589168481111969E-2</v>
      </c>
      <c r="K2106" s="45">
        <v>0.24560000000000001</v>
      </c>
      <c r="N2106" s="54"/>
    </row>
    <row r="2107" spans="2:14" x14ac:dyDescent="0.2">
      <c r="B2107">
        <v>2098</v>
      </c>
      <c r="C2107" s="52">
        <f t="shared" ca="1" si="99"/>
        <v>2.3109060151744236</v>
      </c>
      <c r="D2107" s="52">
        <f ca="1">S0*EXP((μ-0.5*σ*σ)*T+σ*SQRT(T)*$C2107)</f>
        <v>1.2195713427513004</v>
      </c>
      <c r="E2107" s="52">
        <f t="shared" ca="1" si="97"/>
        <v>0</v>
      </c>
      <c r="F2107" s="17">
        <f t="shared" ca="1" si="98"/>
        <v>0</v>
      </c>
      <c r="H2107" s="17">
        <v>2098</v>
      </c>
      <c r="I2107" s="45">
        <v>0.67064753587411485</v>
      </c>
      <c r="J2107" s="45">
        <v>1.8937972055659721E-2</v>
      </c>
      <c r="K2107" s="45">
        <v>0.25480000000000003</v>
      </c>
      <c r="N2107" s="54"/>
    </row>
    <row r="2108" spans="2:14" x14ac:dyDescent="0.2">
      <c r="B2108">
        <v>2099</v>
      </c>
      <c r="C2108" s="52">
        <f t="shared" ca="1" si="99"/>
        <v>1.3932319988480826</v>
      </c>
      <c r="D2108" s="52">
        <f ca="1">S0*EXP((μ-0.5*σ*σ)*T+σ*SQRT(T)*$C2108)</f>
        <v>0.94631905831558094</v>
      </c>
      <c r="E2108" s="52">
        <f t="shared" ca="1" si="97"/>
        <v>0</v>
      </c>
      <c r="F2108" s="17">
        <f t="shared" ca="1" si="98"/>
        <v>0</v>
      </c>
      <c r="H2108" s="17">
        <v>2099</v>
      </c>
      <c r="I2108" s="45">
        <v>0.67082172469190116</v>
      </c>
      <c r="J2108" s="45">
        <v>1.8763000980546819E-2</v>
      </c>
      <c r="K2108" s="45">
        <v>0.24560000000000001</v>
      </c>
      <c r="N2108" s="54"/>
    </row>
    <row r="2109" spans="2:14" x14ac:dyDescent="0.2">
      <c r="B2109">
        <v>2100</v>
      </c>
      <c r="C2109" s="52">
        <f t="shared" ca="1" si="99"/>
        <v>0.33324916298072821</v>
      </c>
      <c r="D2109" s="52">
        <f ca="1">S0*EXP((μ-0.5*σ*σ)*T+σ*SQRT(T)*$C2109)</f>
        <v>0.70596528442165773</v>
      </c>
      <c r="E2109" s="52">
        <f t="shared" ca="1" si="97"/>
        <v>0</v>
      </c>
      <c r="F2109" s="17">
        <f t="shared" ca="1" si="98"/>
        <v>0</v>
      </c>
      <c r="H2109" s="17">
        <v>2100</v>
      </c>
      <c r="I2109" s="45">
        <v>0.6712016990783809</v>
      </c>
      <c r="J2109" s="45">
        <v>1.9294088834888829E-2</v>
      </c>
      <c r="K2109" s="45">
        <v>0.249</v>
      </c>
      <c r="N2109" s="54"/>
    </row>
    <row r="2110" spans="2:14" x14ac:dyDescent="0.2">
      <c r="B2110">
        <v>2101</v>
      </c>
      <c r="C2110" s="52">
        <f t="shared" ca="1" si="99"/>
        <v>1.4557925210313898</v>
      </c>
      <c r="D2110" s="52">
        <f ca="1">S0*EXP((μ-0.5*σ*σ)*T+σ*SQRT(T)*$C2110)</f>
        <v>0.96282680432891421</v>
      </c>
      <c r="E2110" s="52">
        <f t="shared" ca="1" si="97"/>
        <v>0</v>
      </c>
      <c r="F2110" s="17">
        <f t="shared" ca="1" si="98"/>
        <v>0</v>
      </c>
      <c r="H2110" s="17">
        <v>2101</v>
      </c>
      <c r="I2110" s="45">
        <v>0.67140603796400156</v>
      </c>
      <c r="J2110" s="45">
        <v>1.9482503494726813E-2</v>
      </c>
      <c r="K2110" s="45">
        <v>0.24859999999999999</v>
      </c>
      <c r="N2110" s="54"/>
    </row>
    <row r="2111" spans="2:14" x14ac:dyDescent="0.2">
      <c r="B2111">
        <v>2102</v>
      </c>
      <c r="C2111" s="52">
        <f t="shared" ca="1" si="99"/>
        <v>2.8457128406387686</v>
      </c>
      <c r="D2111" s="52">
        <f ca="1">S0*EXP((μ-0.5*σ*σ)*T+σ*SQRT(T)*$C2111)</f>
        <v>1.4138796254550494</v>
      </c>
      <c r="E2111" s="52">
        <f t="shared" ca="1" si="97"/>
        <v>0</v>
      </c>
      <c r="F2111" s="17">
        <f t="shared" ca="1" si="98"/>
        <v>0</v>
      </c>
      <c r="H2111" s="17">
        <v>2102</v>
      </c>
      <c r="I2111" s="45">
        <v>0.67135052777234239</v>
      </c>
      <c r="J2111" s="45">
        <v>1.9191845234451218E-2</v>
      </c>
      <c r="K2111" s="45">
        <v>0.2472</v>
      </c>
      <c r="N2111" s="54"/>
    </row>
    <row r="2112" spans="2:14" x14ac:dyDescent="0.2">
      <c r="B2112">
        <v>2103</v>
      </c>
      <c r="C2112" s="52">
        <f t="shared" ca="1" si="99"/>
        <v>0.2563993790264873</v>
      </c>
      <c r="D2112" s="52">
        <f ca="1">S0*EXP((μ-0.5*σ*σ)*T+σ*SQRT(T)*$C2112)</f>
        <v>0.69112609233545541</v>
      </c>
      <c r="E2112" s="52">
        <f t="shared" ca="1" si="97"/>
        <v>0</v>
      </c>
      <c r="F2112" s="17">
        <f t="shared" ca="1" si="98"/>
        <v>0</v>
      </c>
      <c r="H2112" s="17">
        <v>2103</v>
      </c>
      <c r="I2112" s="45">
        <v>0.67218181997279658</v>
      </c>
      <c r="J2112" s="45">
        <v>1.989680502742348E-2</v>
      </c>
      <c r="K2112" s="45">
        <v>0.252</v>
      </c>
      <c r="N2112" s="54"/>
    </row>
    <row r="2113" spans="2:14" x14ac:dyDescent="0.2">
      <c r="B2113">
        <v>2104</v>
      </c>
      <c r="C2113" s="52">
        <f t="shared" ca="1" si="99"/>
        <v>1.1306389447551741</v>
      </c>
      <c r="D2113" s="52">
        <f ca="1">S0*EXP((μ-0.5*σ*σ)*T+σ*SQRT(T)*$C2113)</f>
        <v>0.88006038575625722</v>
      </c>
      <c r="E2113" s="52">
        <f t="shared" ca="1" si="97"/>
        <v>0</v>
      </c>
      <c r="F2113" s="17">
        <f t="shared" ca="1" si="98"/>
        <v>0</v>
      </c>
      <c r="H2113" s="17">
        <v>2104</v>
      </c>
      <c r="I2113" s="45">
        <v>0.67138129814401704</v>
      </c>
      <c r="J2113" s="45">
        <v>1.9330668354345867E-2</v>
      </c>
      <c r="K2113" s="45">
        <v>0.251</v>
      </c>
      <c r="N2113" s="54"/>
    </row>
    <row r="2114" spans="2:14" x14ac:dyDescent="0.2">
      <c r="B2114">
        <v>2105</v>
      </c>
      <c r="C2114" s="52">
        <f t="shared" ca="1" si="99"/>
        <v>-6.4736205176980047E-2</v>
      </c>
      <c r="D2114" s="52">
        <f ca="1">S0*EXP((μ-0.5*σ*σ)*T+σ*SQRT(T)*$C2114)</f>
        <v>0.63241762098597598</v>
      </c>
      <c r="E2114" s="52">
        <f t="shared" ca="1" si="97"/>
        <v>0</v>
      </c>
      <c r="F2114" s="17">
        <f t="shared" ca="1" si="98"/>
        <v>0</v>
      </c>
      <c r="H2114" s="17">
        <v>2105</v>
      </c>
      <c r="I2114" s="45">
        <v>0.67226123706853791</v>
      </c>
      <c r="J2114" s="45">
        <v>1.9895722914510191E-2</v>
      </c>
      <c r="K2114" s="45">
        <v>0.25559999999999999</v>
      </c>
      <c r="N2114" s="54"/>
    </row>
    <row r="2115" spans="2:14" x14ac:dyDescent="0.2">
      <c r="B2115">
        <v>2106</v>
      </c>
      <c r="C2115" s="52">
        <f t="shared" ca="1" si="99"/>
        <v>0.80682809230683261</v>
      </c>
      <c r="D2115" s="52">
        <f ca="1">S0*EXP((μ-0.5*σ*σ)*T+σ*SQRT(T)*$C2115)</f>
        <v>0.80470735536469695</v>
      </c>
      <c r="E2115" s="52">
        <f t="shared" ca="1" si="97"/>
        <v>0</v>
      </c>
      <c r="F2115" s="17">
        <f t="shared" ca="1" si="98"/>
        <v>0</v>
      </c>
      <c r="H2115" s="17">
        <v>2106</v>
      </c>
      <c r="I2115" s="45">
        <v>0.67107566489593096</v>
      </c>
      <c r="J2115" s="45">
        <v>1.8928679546671715E-2</v>
      </c>
      <c r="K2115" s="45">
        <v>0.24560000000000001</v>
      </c>
      <c r="N2115" s="54"/>
    </row>
    <row r="2116" spans="2:14" x14ac:dyDescent="0.2">
      <c r="B2116">
        <v>2107</v>
      </c>
      <c r="C2116" s="52">
        <f t="shared" ca="1" si="99"/>
        <v>-0.75601985729743471</v>
      </c>
      <c r="D2116" s="52">
        <f ca="1">S0*EXP((μ-0.5*σ*σ)*T+σ*SQRT(T)*$C2116)</f>
        <v>0.52241207463364037</v>
      </c>
      <c r="E2116" s="52">
        <f t="shared" ca="1" si="97"/>
        <v>1.198792536635962E-2</v>
      </c>
      <c r="F2116" s="17">
        <f t="shared" ca="1" si="98"/>
        <v>1</v>
      </c>
      <c r="H2116" s="17">
        <v>2107</v>
      </c>
      <c r="I2116" s="45">
        <v>0.66994826580415279</v>
      </c>
      <c r="J2116" s="45">
        <v>1.8282075532629581E-2</v>
      </c>
      <c r="K2116" s="45">
        <v>0.2442</v>
      </c>
      <c r="N2116" s="54"/>
    </row>
    <row r="2117" spans="2:14" x14ac:dyDescent="0.2">
      <c r="B2117">
        <v>2108</v>
      </c>
      <c r="C2117" s="52">
        <f t="shared" ca="1" si="99"/>
        <v>-0.58312090709471875</v>
      </c>
      <c r="D2117" s="52">
        <f ca="1">S0*EXP((μ-0.5*σ*σ)*T+σ*SQRT(T)*$C2117)</f>
        <v>0.54798701026195851</v>
      </c>
      <c r="E2117" s="52">
        <f t="shared" ca="1" si="97"/>
        <v>0</v>
      </c>
      <c r="F2117" s="17">
        <f t="shared" ca="1" si="98"/>
        <v>0</v>
      </c>
      <c r="H2117" s="17">
        <v>2108</v>
      </c>
      <c r="I2117" s="45">
        <v>0.67015565556586021</v>
      </c>
      <c r="J2117" s="45">
        <v>1.8980983587865499E-2</v>
      </c>
      <c r="K2117" s="45">
        <v>0.247</v>
      </c>
      <c r="N2117" s="54"/>
    </row>
    <row r="2118" spans="2:14" x14ac:dyDescent="0.2">
      <c r="B2118">
        <v>2109</v>
      </c>
      <c r="C2118" s="52">
        <f t="shared" ca="1" si="99"/>
        <v>1.0787452749921096</v>
      </c>
      <c r="D2118" s="52">
        <f ca="1">S0*EXP((μ-0.5*σ*σ)*T+σ*SQRT(T)*$C2118)</f>
        <v>0.86752595246007991</v>
      </c>
      <c r="E2118" s="52">
        <f t="shared" ca="1" si="97"/>
        <v>0</v>
      </c>
      <c r="F2118" s="17">
        <f t="shared" ca="1" si="98"/>
        <v>0</v>
      </c>
      <c r="H2118" s="17">
        <v>2109</v>
      </c>
      <c r="I2118" s="45">
        <v>0.6706253487239312</v>
      </c>
      <c r="J2118" s="45">
        <v>1.8818217831121743E-2</v>
      </c>
      <c r="K2118" s="45">
        <v>0.24540000000000001</v>
      </c>
      <c r="N2118" s="54"/>
    </row>
    <row r="2119" spans="2:14" x14ac:dyDescent="0.2">
      <c r="B2119">
        <v>2110</v>
      </c>
      <c r="C2119" s="52">
        <f t="shared" ca="1" si="99"/>
        <v>2.7447055449987041</v>
      </c>
      <c r="D2119" s="52">
        <f ca="1">S0*EXP((μ-0.5*σ*σ)*T+σ*SQRT(T)*$C2119)</f>
        <v>1.3749477532668364</v>
      </c>
      <c r="E2119" s="52">
        <f t="shared" ca="1" si="97"/>
        <v>0</v>
      </c>
      <c r="F2119" s="17">
        <f t="shared" ca="1" si="98"/>
        <v>0</v>
      </c>
      <c r="H2119" s="17">
        <v>2110</v>
      </c>
      <c r="I2119" s="45">
        <v>0.67108224699179519</v>
      </c>
      <c r="J2119" s="45">
        <v>1.9353763761681672E-2</v>
      </c>
      <c r="K2119" s="45">
        <v>0.25480000000000003</v>
      </c>
      <c r="N2119" s="54"/>
    </row>
    <row r="2120" spans="2:14" x14ac:dyDescent="0.2">
      <c r="B2120">
        <v>2111</v>
      </c>
      <c r="C2120" s="52">
        <f t="shared" ca="1" si="99"/>
        <v>0.7200170900947005</v>
      </c>
      <c r="D2120" s="52">
        <f ca="1">S0*EXP((μ-0.5*σ*σ)*T+σ*SQRT(T)*$C2120)</f>
        <v>0.78562634717002255</v>
      </c>
      <c r="E2120" s="52">
        <f t="shared" ca="1" si="97"/>
        <v>0</v>
      </c>
      <c r="F2120" s="17">
        <f t="shared" ca="1" si="98"/>
        <v>0</v>
      </c>
      <c r="H2120" s="17">
        <v>2111</v>
      </c>
      <c r="I2120" s="45">
        <v>0.66996731879389049</v>
      </c>
      <c r="J2120" s="45">
        <v>1.8308938520243262E-2</v>
      </c>
      <c r="K2120" s="45">
        <v>0.2414</v>
      </c>
      <c r="N2120" s="54"/>
    </row>
    <row r="2121" spans="2:14" x14ac:dyDescent="0.2">
      <c r="B2121">
        <v>2112</v>
      </c>
      <c r="C2121" s="52">
        <f t="shared" ca="1" si="99"/>
        <v>0.83696234717435125</v>
      </c>
      <c r="D2121" s="52">
        <f ca="1">S0*EXP((μ-0.5*σ*σ)*T+σ*SQRT(T)*$C2121)</f>
        <v>0.81143863544182748</v>
      </c>
      <c r="E2121" s="52">
        <f t="shared" ca="1" si="97"/>
        <v>0</v>
      </c>
      <c r="F2121" s="17">
        <f t="shared" ca="1" si="98"/>
        <v>0</v>
      </c>
      <c r="H2121" s="17">
        <v>2112</v>
      </c>
      <c r="I2121" s="45">
        <v>0.67119671847618989</v>
      </c>
      <c r="J2121" s="45">
        <v>1.8772296899021049E-2</v>
      </c>
      <c r="K2121" s="45">
        <v>0.246</v>
      </c>
      <c r="N2121" s="54"/>
    </row>
    <row r="2122" spans="2:14" x14ac:dyDescent="0.2">
      <c r="B2122">
        <v>2113</v>
      </c>
      <c r="C2122" s="52">
        <f t="shared" ca="1" si="99"/>
        <v>1.3167778465750062</v>
      </c>
      <c r="D2122" s="52">
        <f ca="1">S0*EXP((μ-0.5*σ*σ)*T+σ*SQRT(T)*$C2122)</f>
        <v>0.926529022110678</v>
      </c>
      <c r="E2122" s="52">
        <f t="shared" ref="E2122:E2185" ca="1" si="100">MAX(0,CP*(D2122-K))</f>
        <v>0</v>
      </c>
      <c r="F2122" s="17">
        <f t="shared" ref="F2122:F2185" ca="1" si="101">(CP*(D2122-K)&gt;0)*1</f>
        <v>0</v>
      </c>
      <c r="H2122" s="17">
        <v>2113</v>
      </c>
      <c r="I2122" s="45">
        <v>0.67227310512455329</v>
      </c>
      <c r="J2122" s="45">
        <v>1.993055176003336E-2</v>
      </c>
      <c r="K2122" s="45">
        <v>0.24959999999999999</v>
      </c>
      <c r="N2122" s="54"/>
    </row>
    <row r="2123" spans="2:14" x14ac:dyDescent="0.2">
      <c r="B2123">
        <v>2114</v>
      </c>
      <c r="C2123" s="52">
        <f t="shared" ref="C2123:C2186" ca="1" si="102">_xlfn.NORM.S.INV(RAND())</f>
        <v>-2.6257097138492769E-2</v>
      </c>
      <c r="D2123" s="52">
        <f ca="1">S0*EXP((μ-0.5*σ*σ)*T+σ*SQRT(T)*$C2123)</f>
        <v>0.63918047318566706</v>
      </c>
      <c r="E2123" s="52">
        <f t="shared" ca="1" si="100"/>
        <v>0</v>
      </c>
      <c r="F2123" s="17">
        <f t="shared" ca="1" si="101"/>
        <v>0</v>
      </c>
      <c r="H2123" s="17">
        <v>2114</v>
      </c>
      <c r="I2123" s="45">
        <v>0.67244360354885435</v>
      </c>
      <c r="J2123" s="45">
        <v>1.9802375580626388E-2</v>
      </c>
      <c r="K2123" s="45">
        <v>0.2452</v>
      </c>
      <c r="N2123" s="54"/>
    </row>
    <row r="2124" spans="2:14" x14ac:dyDescent="0.2">
      <c r="B2124">
        <v>2115</v>
      </c>
      <c r="C2124" s="52">
        <f t="shared" ca="1" si="102"/>
        <v>-9.3920266519609441E-2</v>
      </c>
      <c r="D2124" s="52">
        <f ca="1">S0*EXP((μ-0.5*σ*σ)*T+σ*SQRT(T)*$C2124)</f>
        <v>0.62733616494989719</v>
      </c>
      <c r="E2124" s="52">
        <f t="shared" ca="1" si="100"/>
        <v>0</v>
      </c>
      <c r="F2124" s="17">
        <f t="shared" ca="1" si="101"/>
        <v>0</v>
      </c>
      <c r="H2124" s="17">
        <v>2115</v>
      </c>
      <c r="I2124" s="45">
        <v>0.66993675759956273</v>
      </c>
      <c r="J2124" s="45">
        <v>1.7895956272523099E-2</v>
      </c>
      <c r="K2124" s="45">
        <v>0.2382</v>
      </c>
      <c r="N2124" s="54"/>
    </row>
    <row r="2125" spans="2:14" x14ac:dyDescent="0.2">
      <c r="B2125">
        <v>2116</v>
      </c>
      <c r="C2125" s="52">
        <f t="shared" ca="1" si="102"/>
        <v>-4.5422536601050584E-2</v>
      </c>
      <c r="D2125" s="52">
        <f ca="1">S0*EXP((μ-0.5*σ*σ)*T+σ*SQRT(T)*$C2125)</f>
        <v>0.63580308114631501</v>
      </c>
      <c r="E2125" s="52">
        <f t="shared" ca="1" si="100"/>
        <v>0</v>
      </c>
      <c r="F2125" s="17">
        <f t="shared" ca="1" si="101"/>
        <v>0</v>
      </c>
      <c r="H2125" s="17">
        <v>2116</v>
      </c>
      <c r="I2125" s="45">
        <v>0.6705732075784927</v>
      </c>
      <c r="J2125" s="45">
        <v>1.8847835287978652E-2</v>
      </c>
      <c r="K2125" s="45">
        <v>0.24640000000000001</v>
      </c>
      <c r="N2125" s="54"/>
    </row>
    <row r="2126" spans="2:14" x14ac:dyDescent="0.2">
      <c r="B2126">
        <v>2117</v>
      </c>
      <c r="C2126" s="52">
        <f t="shared" ca="1" si="102"/>
        <v>0.5055449624711319</v>
      </c>
      <c r="D2126" s="52">
        <f ca="1">S0*EXP((μ-0.5*σ*σ)*T+σ*SQRT(T)*$C2126)</f>
        <v>0.7404026981784203</v>
      </c>
      <c r="E2126" s="52">
        <f t="shared" ca="1" si="100"/>
        <v>0</v>
      </c>
      <c r="F2126" s="17">
        <f t="shared" ca="1" si="101"/>
        <v>0</v>
      </c>
      <c r="H2126" s="17">
        <v>2117</v>
      </c>
      <c r="I2126" s="45">
        <v>0.67118425109299307</v>
      </c>
      <c r="J2126" s="45">
        <v>1.9123599917318514E-2</v>
      </c>
      <c r="K2126" s="45">
        <v>0.25600000000000001</v>
      </c>
      <c r="N2126" s="54"/>
    </row>
    <row r="2127" spans="2:14" x14ac:dyDescent="0.2">
      <c r="B2127">
        <v>2118</v>
      </c>
      <c r="C2127" s="52">
        <f t="shared" ca="1" si="102"/>
        <v>0.82033144068025476</v>
      </c>
      <c r="D2127" s="52">
        <f ca="1">S0*EXP((μ-0.5*σ*σ)*T+σ*SQRT(T)*$C2127)</f>
        <v>0.80771675162316614</v>
      </c>
      <c r="E2127" s="52">
        <f t="shared" ca="1" si="100"/>
        <v>0</v>
      </c>
      <c r="F2127" s="17">
        <f t="shared" ca="1" si="101"/>
        <v>0</v>
      </c>
      <c r="H2127" s="17">
        <v>2118</v>
      </c>
      <c r="I2127" s="45">
        <v>0.67087303670046983</v>
      </c>
      <c r="J2127" s="45">
        <v>1.8887361643774553E-2</v>
      </c>
      <c r="K2127" s="45">
        <v>0.2442</v>
      </c>
      <c r="N2127" s="54"/>
    </row>
    <row r="2128" spans="2:14" x14ac:dyDescent="0.2">
      <c r="B2128">
        <v>2119</v>
      </c>
      <c r="C2128" s="52">
        <f t="shared" ca="1" si="102"/>
        <v>0.81943688124678637</v>
      </c>
      <c r="D2128" s="52">
        <f ca="1">S0*EXP((μ-0.5*σ*σ)*T+σ*SQRT(T)*$C2128)</f>
        <v>0.80751703982796696</v>
      </c>
      <c r="E2128" s="52">
        <f t="shared" ca="1" si="100"/>
        <v>0</v>
      </c>
      <c r="F2128" s="17">
        <f t="shared" ca="1" si="101"/>
        <v>0</v>
      </c>
      <c r="H2128" s="17">
        <v>2119</v>
      </c>
      <c r="I2128" s="45">
        <v>0.6708943660575053</v>
      </c>
      <c r="J2128" s="45">
        <v>1.9038927280000433E-2</v>
      </c>
      <c r="K2128" s="45">
        <v>0.251</v>
      </c>
      <c r="N2128" s="54"/>
    </row>
    <row r="2129" spans="2:14" x14ac:dyDescent="0.2">
      <c r="B2129">
        <v>2120</v>
      </c>
      <c r="C2129" s="52">
        <f t="shared" ca="1" si="102"/>
        <v>-0.67824822559431197</v>
      </c>
      <c r="D2129" s="52">
        <f ca="1">S0*EXP((μ-0.5*σ*σ)*T+σ*SQRT(T)*$C2129)</f>
        <v>0.53376480350247846</v>
      </c>
      <c r="E2129" s="52">
        <f t="shared" ca="1" si="100"/>
        <v>6.3519649752152851E-4</v>
      </c>
      <c r="F2129" s="17">
        <f t="shared" ca="1" si="101"/>
        <v>1</v>
      </c>
      <c r="H2129" s="17">
        <v>2120</v>
      </c>
      <c r="I2129" s="45">
        <v>0.67205711709509075</v>
      </c>
      <c r="J2129" s="45">
        <v>1.9912762741366996E-2</v>
      </c>
      <c r="K2129" s="45">
        <v>0.25440000000000002</v>
      </c>
      <c r="N2129" s="54"/>
    </row>
    <row r="2130" spans="2:14" x14ac:dyDescent="0.2">
      <c r="B2130">
        <v>2121</v>
      </c>
      <c r="C2130" s="52">
        <f t="shared" ca="1" si="102"/>
        <v>-0.79240452587803467</v>
      </c>
      <c r="D2130" s="52">
        <f ca="1">S0*EXP((μ-0.5*σ*σ)*T+σ*SQRT(T)*$C2130)</f>
        <v>0.51718403903910926</v>
      </c>
      <c r="E2130" s="52">
        <f t="shared" ca="1" si="100"/>
        <v>1.721596096089073E-2</v>
      </c>
      <c r="F2130" s="17">
        <f t="shared" ca="1" si="101"/>
        <v>1</v>
      </c>
      <c r="H2130" s="17">
        <v>2121</v>
      </c>
      <c r="I2130" s="45">
        <v>0.67065973383899158</v>
      </c>
      <c r="J2130" s="45">
        <v>1.9006481928639823E-2</v>
      </c>
      <c r="K2130" s="45">
        <v>0.247</v>
      </c>
      <c r="N2130" s="54"/>
    </row>
    <row r="2131" spans="2:14" x14ac:dyDescent="0.2">
      <c r="B2131">
        <v>2122</v>
      </c>
      <c r="C2131" s="52">
        <f t="shared" ca="1" si="102"/>
        <v>-1.2382865882766749</v>
      </c>
      <c r="D2131" s="52">
        <f ca="1">S0*EXP((μ-0.5*σ*σ)*T+σ*SQRT(T)*$C2131)</f>
        <v>0.45720985512656409</v>
      </c>
      <c r="E2131" s="52">
        <f t="shared" ca="1" si="100"/>
        <v>7.7190144873435895E-2</v>
      </c>
      <c r="F2131" s="17">
        <f t="shared" ca="1" si="101"/>
        <v>1</v>
      </c>
      <c r="H2131" s="17">
        <v>2122</v>
      </c>
      <c r="I2131" s="45">
        <v>0.67096155889159181</v>
      </c>
      <c r="J2131" s="45">
        <v>1.9194016240142196E-2</v>
      </c>
      <c r="K2131" s="45">
        <v>0.2492</v>
      </c>
      <c r="N2131" s="54"/>
    </row>
    <row r="2132" spans="2:14" x14ac:dyDescent="0.2">
      <c r="B2132">
        <v>2123</v>
      </c>
      <c r="C2132" s="52">
        <f t="shared" ca="1" si="102"/>
        <v>-0.41124110024106442</v>
      </c>
      <c r="D2132" s="52">
        <f ca="1">S0*EXP((μ-0.5*σ*σ)*T+σ*SQRT(T)*$C2132)</f>
        <v>0.57465206293614457</v>
      </c>
      <c r="E2132" s="52">
        <f t="shared" ca="1" si="100"/>
        <v>0</v>
      </c>
      <c r="F2132" s="17">
        <f t="shared" ca="1" si="101"/>
        <v>0</v>
      </c>
      <c r="H2132" s="17">
        <v>2123</v>
      </c>
      <c r="I2132" s="45">
        <v>0.67050561906955619</v>
      </c>
      <c r="J2132" s="45">
        <v>1.8973739234479335E-2</v>
      </c>
      <c r="K2132" s="45">
        <v>0.24179999999999999</v>
      </c>
      <c r="N2132" s="54"/>
    </row>
    <row r="2133" spans="2:14" x14ac:dyDescent="0.2">
      <c r="B2133">
        <v>2124</v>
      </c>
      <c r="C2133" s="52">
        <f t="shared" ca="1" si="102"/>
        <v>-0.14339571387584799</v>
      </c>
      <c r="D2133" s="52">
        <f ca="1">S0*EXP((μ-0.5*σ*σ)*T+σ*SQRT(T)*$C2133)</f>
        <v>0.61881473025061839</v>
      </c>
      <c r="E2133" s="52">
        <f t="shared" ca="1" si="100"/>
        <v>0</v>
      </c>
      <c r="F2133" s="17">
        <f t="shared" ca="1" si="101"/>
        <v>0</v>
      </c>
      <c r="H2133" s="17">
        <v>2124</v>
      </c>
      <c r="I2133" s="45">
        <v>0.67005719539528896</v>
      </c>
      <c r="J2133" s="45">
        <v>1.8189819645607834E-2</v>
      </c>
      <c r="K2133" s="45">
        <v>0.2432</v>
      </c>
      <c r="N2133" s="54"/>
    </row>
    <row r="2134" spans="2:14" x14ac:dyDescent="0.2">
      <c r="B2134">
        <v>2125</v>
      </c>
      <c r="C2134" s="52">
        <f t="shared" ca="1" si="102"/>
        <v>-1.0437866275984662</v>
      </c>
      <c r="D2134" s="52">
        <f ca="1">S0*EXP((μ-0.5*σ*σ)*T+σ*SQRT(T)*$C2134)</f>
        <v>0.48246510648226398</v>
      </c>
      <c r="E2134" s="52">
        <f t="shared" ca="1" si="100"/>
        <v>5.1934893517736003E-2</v>
      </c>
      <c r="F2134" s="17">
        <f t="shared" ca="1" si="101"/>
        <v>1</v>
      </c>
      <c r="H2134" s="17">
        <v>2125</v>
      </c>
      <c r="I2134" s="45">
        <v>0.6704602768162693</v>
      </c>
      <c r="J2134" s="45">
        <v>1.8344672748301129E-2</v>
      </c>
      <c r="K2134" s="45">
        <v>0.2412</v>
      </c>
      <c r="N2134" s="54"/>
    </row>
    <row r="2135" spans="2:14" x14ac:dyDescent="0.2">
      <c r="B2135">
        <v>2126</v>
      </c>
      <c r="C2135" s="52">
        <f t="shared" ca="1" si="102"/>
        <v>0.29704668777933319</v>
      </c>
      <c r="D2135" s="52">
        <f ca="1">S0*EXP((μ-0.5*σ*σ)*T+σ*SQRT(T)*$C2135)</f>
        <v>0.6989355416439742</v>
      </c>
      <c r="E2135" s="52">
        <f t="shared" ca="1" si="100"/>
        <v>0</v>
      </c>
      <c r="F2135" s="17">
        <f t="shared" ca="1" si="101"/>
        <v>0</v>
      </c>
      <c r="H2135" s="17">
        <v>2126</v>
      </c>
      <c r="I2135" s="45">
        <v>0.67046831439845056</v>
      </c>
      <c r="J2135" s="45">
        <v>1.8785884652254982E-2</v>
      </c>
      <c r="K2135" s="45">
        <v>0.24399999999999999</v>
      </c>
      <c r="N2135" s="54"/>
    </row>
    <row r="2136" spans="2:14" x14ac:dyDescent="0.2">
      <c r="B2136">
        <v>2127</v>
      </c>
      <c r="C2136" s="52">
        <f t="shared" ca="1" si="102"/>
        <v>-1.0511686682850969</v>
      </c>
      <c r="D2136" s="52">
        <f ca="1">S0*EXP((μ-0.5*σ*σ)*T+σ*SQRT(T)*$C2136)</f>
        <v>0.48148157464577085</v>
      </c>
      <c r="E2136" s="52">
        <f t="shared" ca="1" si="100"/>
        <v>5.2918425354229137E-2</v>
      </c>
      <c r="F2136" s="17">
        <f t="shared" ca="1" si="101"/>
        <v>1</v>
      </c>
      <c r="H2136" s="17">
        <v>2127</v>
      </c>
      <c r="I2136" s="45">
        <v>0.67060346020335326</v>
      </c>
      <c r="J2136" s="45">
        <v>1.8837474739700925E-2</v>
      </c>
      <c r="K2136" s="45">
        <v>0.24879999999999999</v>
      </c>
      <c r="N2136" s="54"/>
    </row>
    <row r="2137" spans="2:14" x14ac:dyDescent="0.2">
      <c r="B2137">
        <v>2128</v>
      </c>
      <c r="C2137" s="52">
        <f t="shared" ca="1" si="102"/>
        <v>2.617602042739877E-2</v>
      </c>
      <c r="D2137" s="52">
        <f ca="1">S0*EXP((μ-0.5*σ*σ)*T+σ*SQRT(T)*$C2137)</f>
        <v>0.64851236042974703</v>
      </c>
      <c r="E2137" s="52">
        <f t="shared" ca="1" si="100"/>
        <v>0</v>
      </c>
      <c r="F2137" s="17">
        <f t="shared" ca="1" si="101"/>
        <v>0</v>
      </c>
      <c r="H2137" s="17">
        <v>2128</v>
      </c>
      <c r="I2137" s="45">
        <v>0.67057433660185628</v>
      </c>
      <c r="J2137" s="45">
        <v>1.8727721327735473E-2</v>
      </c>
      <c r="K2137" s="45">
        <v>0.24660000000000001</v>
      </c>
      <c r="N2137" s="54"/>
    </row>
    <row r="2138" spans="2:14" x14ac:dyDescent="0.2">
      <c r="B2138">
        <v>2129</v>
      </c>
      <c r="C2138" s="52">
        <f t="shared" ca="1" si="102"/>
        <v>-1.379426882182806</v>
      </c>
      <c r="D2138" s="52">
        <f ca="1">S0*EXP((μ-0.5*σ*σ)*T+σ*SQRT(T)*$C2138)</f>
        <v>0.43971496973847257</v>
      </c>
      <c r="E2138" s="52">
        <f t="shared" ca="1" si="100"/>
        <v>9.4685030261527414E-2</v>
      </c>
      <c r="F2138" s="17">
        <f t="shared" ca="1" si="101"/>
        <v>1</v>
      </c>
      <c r="H2138" s="17">
        <v>2129</v>
      </c>
      <c r="I2138" s="45">
        <v>0.67175818745798299</v>
      </c>
      <c r="J2138" s="45">
        <v>1.9808369452338333E-2</v>
      </c>
      <c r="K2138" s="45">
        <v>0.25800000000000001</v>
      </c>
      <c r="N2138" s="54"/>
    </row>
    <row r="2139" spans="2:14" x14ac:dyDescent="0.2">
      <c r="B2139">
        <v>2130</v>
      </c>
      <c r="C2139" s="52">
        <f t="shared" ca="1" si="102"/>
        <v>-1.0712561234820763</v>
      </c>
      <c r="D2139" s="52">
        <f ca="1">S0*EXP((μ-0.5*σ*σ)*T+σ*SQRT(T)*$C2139)</f>
        <v>0.47881540062494599</v>
      </c>
      <c r="E2139" s="52">
        <f t="shared" ca="1" si="100"/>
        <v>5.5584599375054E-2</v>
      </c>
      <c r="F2139" s="17">
        <f t="shared" ca="1" si="101"/>
        <v>1</v>
      </c>
      <c r="H2139" s="17">
        <v>2130</v>
      </c>
      <c r="I2139" s="45">
        <v>0.67137002333289009</v>
      </c>
      <c r="J2139" s="45">
        <v>1.9255568551637698E-2</v>
      </c>
      <c r="K2139" s="45">
        <v>0.25219999999999998</v>
      </c>
      <c r="N2139" s="54"/>
    </row>
    <row r="2140" spans="2:14" x14ac:dyDescent="0.2">
      <c r="B2140">
        <v>2131</v>
      </c>
      <c r="C2140" s="52">
        <f t="shared" ca="1" si="102"/>
        <v>1.5209166423312455</v>
      </c>
      <c r="D2140" s="52">
        <f ca="1">S0*EXP((μ-0.5*σ*σ)*T+σ*SQRT(T)*$C2140)</f>
        <v>0.9803169816268964</v>
      </c>
      <c r="E2140" s="52">
        <f t="shared" ca="1" si="100"/>
        <v>0</v>
      </c>
      <c r="F2140" s="17">
        <f t="shared" ca="1" si="101"/>
        <v>0</v>
      </c>
      <c r="H2140" s="17">
        <v>2131</v>
      </c>
      <c r="I2140" s="45">
        <v>0.67090826919888924</v>
      </c>
      <c r="J2140" s="45">
        <v>1.8855548491933685E-2</v>
      </c>
      <c r="K2140" s="45">
        <v>0.24560000000000001</v>
      </c>
      <c r="N2140" s="54"/>
    </row>
    <row r="2141" spans="2:14" x14ac:dyDescent="0.2">
      <c r="B2141">
        <v>2132</v>
      </c>
      <c r="C2141" s="52">
        <f t="shared" ca="1" si="102"/>
        <v>0.24945539151770366</v>
      </c>
      <c r="D2141" s="52">
        <f ca="1">S0*EXP((μ-0.5*σ*σ)*T+σ*SQRT(T)*$C2141)</f>
        <v>0.68980071791298381</v>
      </c>
      <c r="E2141" s="52">
        <f t="shared" ca="1" si="100"/>
        <v>0</v>
      </c>
      <c r="F2141" s="17">
        <f t="shared" ca="1" si="101"/>
        <v>0</v>
      </c>
      <c r="H2141" s="17">
        <v>2132</v>
      </c>
      <c r="I2141" s="45">
        <v>0.67036496108599208</v>
      </c>
      <c r="J2141" s="45">
        <v>1.8654272771714223E-2</v>
      </c>
      <c r="K2141" s="45">
        <v>0.24779999999999999</v>
      </c>
      <c r="N2141" s="54"/>
    </row>
    <row r="2142" spans="2:14" x14ac:dyDescent="0.2">
      <c r="B2142">
        <v>2133</v>
      </c>
      <c r="C2142" s="52">
        <f t="shared" ca="1" si="102"/>
        <v>0.30458390635076282</v>
      </c>
      <c r="D2142" s="52">
        <f ca="1">S0*EXP((μ-0.5*σ*σ)*T+σ*SQRT(T)*$C2142)</f>
        <v>0.70039331453122899</v>
      </c>
      <c r="E2142" s="52">
        <f t="shared" ca="1" si="100"/>
        <v>0</v>
      </c>
      <c r="F2142" s="17">
        <f t="shared" ca="1" si="101"/>
        <v>0</v>
      </c>
      <c r="H2142" s="17">
        <v>2133</v>
      </c>
      <c r="I2142" s="45">
        <v>0.67012799780550503</v>
      </c>
      <c r="J2142" s="45">
        <v>1.8175651593985327E-2</v>
      </c>
      <c r="K2142" s="45">
        <v>0.24079999999999999</v>
      </c>
      <c r="N2142" s="54"/>
    </row>
    <row r="2143" spans="2:14" x14ac:dyDescent="0.2">
      <c r="B2143">
        <v>2134</v>
      </c>
      <c r="C2143" s="52">
        <f t="shared" ca="1" si="102"/>
        <v>-1.7184021434767032</v>
      </c>
      <c r="D2143" s="52">
        <f ca="1">S0*EXP((μ-0.5*σ*σ)*T+σ*SQRT(T)*$C2143)</f>
        <v>0.40038353996904102</v>
      </c>
      <c r="E2143" s="52">
        <f t="shared" ca="1" si="100"/>
        <v>0.13401646003095896</v>
      </c>
      <c r="F2143" s="17">
        <f t="shared" ca="1" si="101"/>
        <v>1</v>
      </c>
      <c r="H2143" s="17">
        <v>2134</v>
      </c>
      <c r="I2143" s="45">
        <v>0.67027271660641929</v>
      </c>
      <c r="J2143" s="45">
        <v>1.8361756353249242E-2</v>
      </c>
      <c r="K2143" s="45">
        <v>0.23780000000000001</v>
      </c>
      <c r="N2143" s="54"/>
    </row>
    <row r="2144" spans="2:14" x14ac:dyDescent="0.2">
      <c r="B2144">
        <v>2135</v>
      </c>
      <c r="C2144" s="52">
        <f t="shared" ca="1" si="102"/>
        <v>-8.8727403482589493E-2</v>
      </c>
      <c r="D2144" s="52">
        <f ca="1">S0*EXP((μ-0.5*σ*σ)*T+σ*SQRT(T)*$C2144)</f>
        <v>0.62823733772218759</v>
      </c>
      <c r="E2144" s="52">
        <f t="shared" ca="1" si="100"/>
        <v>0</v>
      </c>
      <c r="F2144" s="17">
        <f t="shared" ca="1" si="101"/>
        <v>0</v>
      </c>
      <c r="H2144" s="17">
        <v>2135</v>
      </c>
      <c r="I2144" s="45">
        <v>0.67021610886369387</v>
      </c>
      <c r="J2144" s="45">
        <v>1.8334763895154604E-2</v>
      </c>
      <c r="K2144" s="45">
        <v>0.24199999999999999</v>
      </c>
      <c r="N2144" s="54"/>
    </row>
    <row r="2145" spans="2:14" x14ac:dyDescent="0.2">
      <c r="B2145">
        <v>2136</v>
      </c>
      <c r="C2145" s="52">
        <f t="shared" ca="1" si="102"/>
        <v>1.2866046709635024</v>
      </c>
      <c r="D2145" s="52">
        <f ca="1">S0*EXP((μ-0.5*σ*σ)*T+σ*SQRT(T)*$C2145)</f>
        <v>0.9188331252837566</v>
      </c>
      <c r="E2145" s="52">
        <f t="shared" ca="1" si="100"/>
        <v>0</v>
      </c>
      <c r="F2145" s="17">
        <f t="shared" ca="1" si="101"/>
        <v>0</v>
      </c>
      <c r="H2145" s="17">
        <v>2136</v>
      </c>
      <c r="I2145" s="45">
        <v>0.67071931183189859</v>
      </c>
      <c r="J2145" s="45">
        <v>1.8677837731035041E-2</v>
      </c>
      <c r="K2145" s="45">
        <v>0.24440000000000001</v>
      </c>
      <c r="N2145" s="54"/>
    </row>
    <row r="2146" spans="2:14" x14ac:dyDescent="0.2">
      <c r="B2146">
        <v>2137</v>
      </c>
      <c r="C2146" s="52">
        <f t="shared" ca="1" si="102"/>
        <v>-9.4133951528073995E-2</v>
      </c>
      <c r="D2146" s="52">
        <f ca="1">S0*EXP((μ-0.5*σ*σ)*T+σ*SQRT(T)*$C2146)</f>
        <v>0.62729910962084423</v>
      </c>
      <c r="E2146" s="52">
        <f t="shared" ca="1" si="100"/>
        <v>0</v>
      </c>
      <c r="F2146" s="17">
        <f t="shared" ca="1" si="101"/>
        <v>0</v>
      </c>
      <c r="H2146" s="17">
        <v>2137</v>
      </c>
      <c r="I2146" s="45">
        <v>0.67054277549886943</v>
      </c>
      <c r="J2146" s="45">
        <v>1.8632459056291826E-2</v>
      </c>
      <c r="K2146" s="45">
        <v>0.23899999999999999</v>
      </c>
      <c r="N2146" s="54"/>
    </row>
    <row r="2147" spans="2:14" x14ac:dyDescent="0.2">
      <c r="B2147">
        <v>2138</v>
      </c>
      <c r="C2147" s="52">
        <f t="shared" ca="1" si="102"/>
        <v>4.9974583178307684E-2</v>
      </c>
      <c r="D2147" s="52">
        <f ca="1">S0*EXP((μ-0.5*σ*σ)*T+σ*SQRT(T)*$C2147)</f>
        <v>0.65279279081852626</v>
      </c>
      <c r="E2147" s="52">
        <f t="shared" ca="1" si="100"/>
        <v>0</v>
      </c>
      <c r="F2147" s="17">
        <f t="shared" ca="1" si="101"/>
        <v>0</v>
      </c>
      <c r="H2147" s="17">
        <v>2138</v>
      </c>
      <c r="I2147" s="45">
        <v>0.67090541004180237</v>
      </c>
      <c r="J2147" s="45">
        <v>1.8783168512974187E-2</v>
      </c>
      <c r="K2147" s="45">
        <v>0.24399999999999999</v>
      </c>
      <c r="N2147" s="54"/>
    </row>
    <row r="2148" spans="2:14" x14ac:dyDescent="0.2">
      <c r="B2148">
        <v>2139</v>
      </c>
      <c r="C2148" s="52">
        <f t="shared" ca="1" si="102"/>
        <v>-0.50692233956768229</v>
      </c>
      <c r="D2148" s="52">
        <f ca="1">S0*EXP((μ-0.5*σ*σ)*T+σ*SQRT(T)*$C2148)</f>
        <v>0.55965210201519044</v>
      </c>
      <c r="E2148" s="52">
        <f t="shared" ca="1" si="100"/>
        <v>0</v>
      </c>
      <c r="F2148" s="17">
        <f t="shared" ca="1" si="101"/>
        <v>0</v>
      </c>
      <c r="H2148" s="17">
        <v>2139</v>
      </c>
      <c r="I2148" s="45">
        <v>0.67107650926172635</v>
      </c>
      <c r="J2148" s="45">
        <v>1.9148474479446054E-2</v>
      </c>
      <c r="K2148" s="45">
        <v>0.254</v>
      </c>
      <c r="N2148" s="54"/>
    </row>
    <row r="2149" spans="2:14" x14ac:dyDescent="0.2">
      <c r="B2149">
        <v>2140</v>
      </c>
      <c r="C2149" s="52">
        <f t="shared" ca="1" si="102"/>
        <v>-0.25564606857819239</v>
      </c>
      <c r="D2149" s="52">
        <f ca="1">S0*EXP((μ-0.5*σ*σ)*T+σ*SQRT(T)*$C2149)</f>
        <v>0.59990797912066041</v>
      </c>
      <c r="E2149" s="52">
        <f t="shared" ca="1" si="100"/>
        <v>0</v>
      </c>
      <c r="F2149" s="17">
        <f t="shared" ca="1" si="101"/>
        <v>0</v>
      </c>
      <c r="H2149" s="17">
        <v>2140</v>
      </c>
      <c r="I2149" s="45">
        <v>0.67042831702606065</v>
      </c>
      <c r="J2149" s="45">
        <v>1.8756125283147941E-2</v>
      </c>
      <c r="K2149" s="45">
        <v>0.2462</v>
      </c>
      <c r="N2149" s="54"/>
    </row>
    <row r="2150" spans="2:14" x14ac:dyDescent="0.2">
      <c r="B2150">
        <v>2141</v>
      </c>
      <c r="C2150" s="52">
        <f t="shared" ca="1" si="102"/>
        <v>-1.1738593652035767</v>
      </c>
      <c r="D2150" s="52">
        <f ca="1">S0*EXP((μ-0.5*σ*σ)*T+σ*SQRT(T)*$C2150)</f>
        <v>0.46542560486914242</v>
      </c>
      <c r="E2150" s="52">
        <f t="shared" ca="1" si="100"/>
        <v>6.8974395130857569E-2</v>
      </c>
      <c r="F2150" s="17">
        <f t="shared" ca="1" si="101"/>
        <v>1</v>
      </c>
      <c r="H2150" s="17">
        <v>2141</v>
      </c>
      <c r="I2150" s="45">
        <v>0.67146464625293412</v>
      </c>
      <c r="J2150" s="45">
        <v>1.9474309252097508E-2</v>
      </c>
      <c r="K2150" s="45">
        <v>0.24740000000000001</v>
      </c>
      <c r="N2150" s="54"/>
    </row>
    <row r="2151" spans="2:14" x14ac:dyDescent="0.2">
      <c r="B2151">
        <v>2142</v>
      </c>
      <c r="C2151" s="52">
        <f t="shared" ca="1" si="102"/>
        <v>0.66231835023122398</v>
      </c>
      <c r="D2151" s="52">
        <f ca="1">S0*EXP((μ-0.5*σ*σ)*T+σ*SQRT(T)*$C2151)</f>
        <v>0.77319515910753567</v>
      </c>
      <c r="E2151" s="52">
        <f t="shared" ca="1" si="100"/>
        <v>0</v>
      </c>
      <c r="F2151" s="17">
        <f t="shared" ca="1" si="101"/>
        <v>0</v>
      </c>
      <c r="H2151" s="17">
        <v>2142</v>
      </c>
      <c r="I2151" s="45">
        <v>0.67093211778728123</v>
      </c>
      <c r="J2151" s="45">
        <v>1.8986723253896297E-2</v>
      </c>
      <c r="K2151" s="45">
        <v>0.25</v>
      </c>
      <c r="N2151" s="54"/>
    </row>
    <row r="2152" spans="2:14" x14ac:dyDescent="0.2">
      <c r="B2152">
        <v>2143</v>
      </c>
      <c r="C2152" s="52">
        <f t="shared" ca="1" si="102"/>
        <v>1.9390265768279673E-2</v>
      </c>
      <c r="D2152" s="52">
        <f ca="1">S0*EXP((μ-0.5*σ*σ)*T+σ*SQRT(T)*$C2152)</f>
        <v>0.64729701908731629</v>
      </c>
      <c r="E2152" s="52">
        <f t="shared" ca="1" si="100"/>
        <v>0</v>
      </c>
      <c r="F2152" s="17">
        <f t="shared" ca="1" si="101"/>
        <v>0</v>
      </c>
      <c r="H2152" s="17">
        <v>2143</v>
      </c>
      <c r="I2152" s="45">
        <v>0.67099975546918245</v>
      </c>
      <c r="J2152" s="45">
        <v>1.8849260742455645E-2</v>
      </c>
      <c r="K2152" s="45">
        <v>0.252</v>
      </c>
      <c r="N2152" s="54"/>
    </row>
    <row r="2153" spans="2:14" x14ac:dyDescent="0.2">
      <c r="B2153">
        <v>2144</v>
      </c>
      <c r="C2153" s="52">
        <f t="shared" ca="1" si="102"/>
        <v>-1.1675094242004345</v>
      </c>
      <c r="D2153" s="52">
        <f ca="1">S0*EXP((μ-0.5*σ*σ)*T+σ*SQRT(T)*$C2153)</f>
        <v>0.46624329791612118</v>
      </c>
      <c r="E2153" s="52">
        <f t="shared" ca="1" si="100"/>
        <v>6.8156702083878806E-2</v>
      </c>
      <c r="F2153" s="17">
        <f t="shared" ca="1" si="101"/>
        <v>1</v>
      </c>
      <c r="H2153" s="17">
        <v>2144</v>
      </c>
      <c r="I2153" s="45">
        <v>0.67007459009645376</v>
      </c>
      <c r="J2153" s="45">
        <v>1.8328617582388327E-2</v>
      </c>
      <c r="K2153" s="45">
        <v>0.23960000000000001</v>
      </c>
      <c r="N2153" s="54"/>
    </row>
    <row r="2154" spans="2:14" x14ac:dyDescent="0.2">
      <c r="B2154">
        <v>2145</v>
      </c>
      <c r="C2154" s="52">
        <f t="shared" ca="1" si="102"/>
        <v>6.3063290776942782E-2</v>
      </c>
      <c r="D2154" s="52">
        <f ca="1">S0*EXP((μ-0.5*σ*σ)*T+σ*SQRT(T)*$C2154)</f>
        <v>0.65515896735836743</v>
      </c>
      <c r="E2154" s="52">
        <f t="shared" ca="1" si="100"/>
        <v>0</v>
      </c>
      <c r="F2154" s="17">
        <f t="shared" ca="1" si="101"/>
        <v>0</v>
      </c>
      <c r="H2154" s="17">
        <v>2145</v>
      </c>
      <c r="I2154" s="45">
        <v>0.6723978548538625</v>
      </c>
      <c r="J2154" s="45">
        <v>2.0189053207708731E-2</v>
      </c>
      <c r="K2154" s="45">
        <v>0.249</v>
      </c>
      <c r="N2154" s="54"/>
    </row>
    <row r="2155" spans="2:14" x14ac:dyDescent="0.2">
      <c r="B2155">
        <v>2146</v>
      </c>
      <c r="C2155" s="52">
        <f t="shared" ca="1" si="102"/>
        <v>-1.161234277447196</v>
      </c>
      <c r="D2155" s="52">
        <f ca="1">S0*EXP((μ-0.5*σ*σ)*T+σ*SQRT(T)*$C2155)</f>
        <v>0.46705277086626262</v>
      </c>
      <c r="E2155" s="52">
        <f t="shared" ca="1" si="100"/>
        <v>6.7347229133737363E-2</v>
      </c>
      <c r="F2155" s="17">
        <f t="shared" ca="1" si="101"/>
        <v>1</v>
      </c>
      <c r="H2155" s="17">
        <v>2146</v>
      </c>
      <c r="I2155" s="45">
        <v>0.67119814750035089</v>
      </c>
      <c r="J2155" s="45">
        <v>1.91405008540519E-2</v>
      </c>
      <c r="K2155" s="45">
        <v>0.24260000000000001</v>
      </c>
      <c r="N2155" s="54"/>
    </row>
    <row r="2156" spans="2:14" x14ac:dyDescent="0.2">
      <c r="B2156">
        <v>2147</v>
      </c>
      <c r="C2156" s="52">
        <f t="shared" ca="1" si="102"/>
        <v>0.3652650850751164</v>
      </c>
      <c r="D2156" s="52">
        <f ca="1">S0*EXP((μ-0.5*σ*σ)*T+σ*SQRT(T)*$C2156)</f>
        <v>0.71224097762998495</v>
      </c>
      <c r="E2156" s="52">
        <f t="shared" ca="1" si="100"/>
        <v>0</v>
      </c>
      <c r="F2156" s="17">
        <f t="shared" ca="1" si="101"/>
        <v>0</v>
      </c>
      <c r="H2156" s="17">
        <v>2147</v>
      </c>
      <c r="I2156" s="45">
        <v>0.67074284447143195</v>
      </c>
      <c r="J2156" s="45">
        <v>1.89336698671493E-2</v>
      </c>
      <c r="K2156" s="45">
        <v>0.24840000000000001</v>
      </c>
      <c r="N2156" s="54"/>
    </row>
    <row r="2157" spans="2:14" x14ac:dyDescent="0.2">
      <c r="B2157">
        <v>2148</v>
      </c>
      <c r="C2157" s="52">
        <f t="shared" ca="1" si="102"/>
        <v>4.1221369984531355E-3</v>
      </c>
      <c r="D2157" s="52">
        <f ca="1">S0*EXP((μ-0.5*σ*σ)*T+σ*SQRT(T)*$C2157)</f>
        <v>0.64457078984335325</v>
      </c>
      <c r="E2157" s="52">
        <f t="shared" ca="1" si="100"/>
        <v>0</v>
      </c>
      <c r="F2157" s="17">
        <f t="shared" ca="1" si="101"/>
        <v>0</v>
      </c>
      <c r="H2157" s="17">
        <v>2148</v>
      </c>
      <c r="I2157" s="45">
        <v>0.67217081083717134</v>
      </c>
      <c r="J2157" s="45">
        <v>1.9951369602314632E-2</v>
      </c>
      <c r="K2157" s="45">
        <v>0.25419999999999998</v>
      </c>
      <c r="N2157" s="54"/>
    </row>
    <row r="2158" spans="2:14" x14ac:dyDescent="0.2">
      <c r="B2158">
        <v>2149</v>
      </c>
      <c r="C2158" s="52">
        <f t="shared" ca="1" si="102"/>
        <v>0.60975396876988175</v>
      </c>
      <c r="D2158" s="52">
        <f ca="1">S0*EXP((μ-0.5*σ*σ)*T+σ*SQRT(T)*$C2158)</f>
        <v>0.76204147428314428</v>
      </c>
      <c r="E2158" s="52">
        <f t="shared" ca="1" si="100"/>
        <v>0</v>
      </c>
      <c r="F2158" s="17">
        <f t="shared" ca="1" si="101"/>
        <v>0</v>
      </c>
      <c r="H2158" s="17">
        <v>2149</v>
      </c>
      <c r="I2158" s="45">
        <v>0.67001972464780724</v>
      </c>
      <c r="J2158" s="45">
        <v>1.8474129415382838E-2</v>
      </c>
      <c r="K2158" s="45">
        <v>0.25080000000000002</v>
      </c>
      <c r="N2158" s="54"/>
    </row>
    <row r="2159" spans="2:14" x14ac:dyDescent="0.2">
      <c r="B2159">
        <v>2150</v>
      </c>
      <c r="C2159" s="52">
        <f t="shared" ca="1" si="102"/>
        <v>1.7163183557823432</v>
      </c>
      <c r="D2159" s="52">
        <f ca="1">S0*EXP((μ-0.5*σ*σ)*T+σ*SQRT(T)*$C2159)</f>
        <v>1.0347254002192898</v>
      </c>
      <c r="E2159" s="52">
        <f t="shared" ca="1" si="100"/>
        <v>0</v>
      </c>
      <c r="F2159" s="17">
        <f t="shared" ca="1" si="101"/>
        <v>0</v>
      </c>
      <c r="H2159" s="17">
        <v>2150</v>
      </c>
      <c r="I2159" s="45">
        <v>0.67178466358562205</v>
      </c>
      <c r="J2159" s="45">
        <v>1.9613845213749669E-2</v>
      </c>
      <c r="K2159" s="45">
        <v>0.25019999999999998</v>
      </c>
      <c r="N2159" s="54"/>
    </row>
    <row r="2160" spans="2:14" x14ac:dyDescent="0.2">
      <c r="B2160">
        <v>2151</v>
      </c>
      <c r="C2160" s="52">
        <f t="shared" ca="1" si="102"/>
        <v>0.32926632183029109</v>
      </c>
      <c r="D2160" s="52">
        <f ca="1">S0*EXP((μ-0.5*σ*σ)*T+σ*SQRT(T)*$C2160)</f>
        <v>0.70518845368930549</v>
      </c>
      <c r="E2160" s="52">
        <f t="shared" ca="1" si="100"/>
        <v>0</v>
      </c>
      <c r="F2160" s="17">
        <f t="shared" ca="1" si="101"/>
        <v>0</v>
      </c>
      <c r="H2160" s="17">
        <v>2151</v>
      </c>
      <c r="I2160" s="45">
        <v>0.67104544448406367</v>
      </c>
      <c r="J2160" s="45">
        <v>1.9078825503371151E-2</v>
      </c>
      <c r="K2160" s="45">
        <v>0.24660000000000001</v>
      </c>
      <c r="N2160" s="54"/>
    </row>
    <row r="2161" spans="2:14" x14ac:dyDescent="0.2">
      <c r="B2161">
        <v>2152</v>
      </c>
      <c r="C2161" s="52">
        <f t="shared" ca="1" si="102"/>
        <v>-0.91600230677075134</v>
      </c>
      <c r="D2161" s="52">
        <f ca="1">S0*EXP((μ-0.5*σ*σ)*T+σ*SQRT(T)*$C2161)</f>
        <v>0.49981215654352429</v>
      </c>
      <c r="E2161" s="52">
        <f t="shared" ca="1" si="100"/>
        <v>3.4587843456475698E-2</v>
      </c>
      <c r="F2161" s="17">
        <f t="shared" ca="1" si="101"/>
        <v>1</v>
      </c>
      <c r="H2161" s="17">
        <v>2152</v>
      </c>
      <c r="I2161" s="45">
        <v>0.6709516371588734</v>
      </c>
      <c r="J2161" s="45">
        <v>1.8920258204615514E-2</v>
      </c>
      <c r="K2161" s="45">
        <v>0.25119999999999998</v>
      </c>
      <c r="N2161" s="54"/>
    </row>
    <row r="2162" spans="2:14" x14ac:dyDescent="0.2">
      <c r="B2162">
        <v>2153</v>
      </c>
      <c r="C2162" s="52">
        <f t="shared" ca="1" si="102"/>
        <v>-7.404300464395433E-2</v>
      </c>
      <c r="D2162" s="52">
        <f ca="1">S0*EXP((μ-0.5*σ*σ)*T+σ*SQRT(T)*$C2162)</f>
        <v>0.63079269005772753</v>
      </c>
      <c r="E2162" s="52">
        <f t="shared" ca="1" si="100"/>
        <v>0</v>
      </c>
      <c r="F2162" s="17">
        <f t="shared" ca="1" si="101"/>
        <v>0</v>
      </c>
      <c r="H2162" s="17">
        <v>2153</v>
      </c>
      <c r="I2162" s="45">
        <v>0.67284174274052089</v>
      </c>
      <c r="J2162" s="45">
        <v>2.0299561608239161E-2</v>
      </c>
      <c r="K2162" s="45">
        <v>0.25480000000000003</v>
      </c>
      <c r="N2162" s="54"/>
    </row>
    <row r="2163" spans="2:14" x14ac:dyDescent="0.2">
      <c r="B2163">
        <v>2154</v>
      </c>
      <c r="C2163" s="52">
        <f t="shared" ca="1" si="102"/>
        <v>-0.38336226255126415</v>
      </c>
      <c r="D2163" s="52">
        <f ca="1">S0*EXP((μ-0.5*σ*σ)*T+σ*SQRT(T)*$C2163)</f>
        <v>0.57909779516141724</v>
      </c>
      <c r="E2163" s="52">
        <f t="shared" ca="1" si="100"/>
        <v>0</v>
      </c>
      <c r="F2163" s="17">
        <f t="shared" ca="1" si="101"/>
        <v>0</v>
      </c>
      <c r="H2163" s="17">
        <v>2154</v>
      </c>
      <c r="I2163" s="45">
        <v>0.67075301680100419</v>
      </c>
      <c r="J2163" s="45">
        <v>1.9058347128618605E-2</v>
      </c>
      <c r="K2163" s="45">
        <v>0.25119999999999998</v>
      </c>
      <c r="N2163" s="54"/>
    </row>
    <row r="2164" spans="2:14" x14ac:dyDescent="0.2">
      <c r="B2164">
        <v>2155</v>
      </c>
      <c r="C2164" s="52">
        <f t="shared" ca="1" si="102"/>
        <v>-1.3421556859750337</v>
      </c>
      <c r="D2164" s="52">
        <f ca="1">S0*EXP((μ-0.5*σ*σ)*T+σ*SQRT(T)*$C2164)</f>
        <v>0.44426875856282294</v>
      </c>
      <c r="E2164" s="52">
        <f t="shared" ca="1" si="100"/>
        <v>9.0131241437177045E-2</v>
      </c>
      <c r="F2164" s="17">
        <f t="shared" ca="1" si="101"/>
        <v>1</v>
      </c>
      <c r="H2164" s="17">
        <v>2155</v>
      </c>
      <c r="I2164" s="45">
        <v>0.6711267230877942</v>
      </c>
      <c r="J2164" s="45">
        <v>1.9116305109587874E-2</v>
      </c>
      <c r="K2164" s="45">
        <v>0.24879999999999999</v>
      </c>
      <c r="N2164" s="54"/>
    </row>
    <row r="2165" spans="2:14" x14ac:dyDescent="0.2">
      <c r="B2165">
        <v>2156</v>
      </c>
      <c r="C2165" s="52">
        <f t="shared" ca="1" si="102"/>
        <v>-0.26711172211350448</v>
      </c>
      <c r="D2165" s="52">
        <f ca="1">S0*EXP((μ-0.5*σ*σ)*T+σ*SQRT(T)*$C2165)</f>
        <v>0.59800959316376545</v>
      </c>
      <c r="E2165" s="52">
        <f t="shared" ca="1" si="100"/>
        <v>0</v>
      </c>
      <c r="F2165" s="17">
        <f t="shared" ca="1" si="101"/>
        <v>0</v>
      </c>
      <c r="H2165" s="17">
        <v>2156</v>
      </c>
      <c r="I2165" s="45">
        <v>0.67095391039686991</v>
      </c>
      <c r="J2165" s="45">
        <v>1.9037972581166497E-2</v>
      </c>
      <c r="K2165" s="45">
        <v>0.25140000000000001</v>
      </c>
      <c r="N2165" s="54"/>
    </row>
    <row r="2166" spans="2:14" x14ac:dyDescent="0.2">
      <c r="B2166">
        <v>2157</v>
      </c>
      <c r="C2166" s="52">
        <f t="shared" ca="1" si="102"/>
        <v>1.808284394315933</v>
      </c>
      <c r="D2166" s="52">
        <f ca="1">S0*EXP((μ-0.5*σ*σ)*T+σ*SQRT(T)*$C2166)</f>
        <v>1.0613678288684145</v>
      </c>
      <c r="E2166" s="52">
        <f t="shared" ca="1" si="100"/>
        <v>0</v>
      </c>
      <c r="F2166" s="17">
        <f t="shared" ca="1" si="101"/>
        <v>0</v>
      </c>
      <c r="H2166" s="17">
        <v>2157</v>
      </c>
      <c r="I2166" s="45">
        <v>0.67191263505735566</v>
      </c>
      <c r="J2166" s="45">
        <v>1.9779367291402308E-2</v>
      </c>
      <c r="K2166" s="45">
        <v>0.25280000000000002</v>
      </c>
      <c r="N2166" s="54"/>
    </row>
    <row r="2167" spans="2:14" x14ac:dyDescent="0.2">
      <c r="B2167">
        <v>2158</v>
      </c>
      <c r="C2167" s="52">
        <f t="shared" ca="1" si="102"/>
        <v>-0.32252755794642224</v>
      </c>
      <c r="D2167" s="52">
        <f ca="1">S0*EXP((μ-0.5*σ*σ)*T+σ*SQRT(T)*$C2167)</f>
        <v>0.58891864910457303</v>
      </c>
      <c r="E2167" s="52">
        <f t="shared" ca="1" si="100"/>
        <v>0</v>
      </c>
      <c r="F2167" s="17">
        <f t="shared" ca="1" si="101"/>
        <v>0</v>
      </c>
      <c r="H2167" s="17">
        <v>2158</v>
      </c>
      <c r="I2167" s="45">
        <v>0.6717601992047576</v>
      </c>
      <c r="J2167" s="45">
        <v>1.9517296733463581E-2</v>
      </c>
      <c r="K2167" s="45">
        <v>0.25340000000000001</v>
      </c>
      <c r="N2167" s="54"/>
    </row>
    <row r="2168" spans="2:14" x14ac:dyDescent="0.2">
      <c r="B2168">
        <v>2159</v>
      </c>
      <c r="C2168" s="52">
        <f t="shared" ca="1" si="102"/>
        <v>-0.69054755008514557</v>
      </c>
      <c r="D2168" s="52">
        <f ca="1">S0*EXP((μ-0.5*σ*σ)*T+σ*SQRT(T)*$C2168)</f>
        <v>0.53195312038416509</v>
      </c>
      <c r="E2168" s="52">
        <f t="shared" ca="1" si="100"/>
        <v>2.446879615834896E-3</v>
      </c>
      <c r="F2168" s="17">
        <f t="shared" ca="1" si="101"/>
        <v>1</v>
      </c>
      <c r="H2168" s="17">
        <v>2159</v>
      </c>
      <c r="I2168" s="45">
        <v>0.67002865374357568</v>
      </c>
      <c r="J2168" s="45">
        <v>1.8396712347939822E-2</v>
      </c>
      <c r="K2168" s="45">
        <v>0.24759999999999999</v>
      </c>
      <c r="N2168" s="54"/>
    </row>
    <row r="2169" spans="2:14" x14ac:dyDescent="0.2">
      <c r="B2169">
        <v>2160</v>
      </c>
      <c r="C2169" s="52">
        <f t="shared" ca="1" si="102"/>
        <v>0.10936750969061917</v>
      </c>
      <c r="D2169" s="52">
        <f ca="1">S0*EXP((μ-0.5*σ*σ)*T+σ*SQRT(T)*$C2169)</f>
        <v>0.66359889691621532</v>
      </c>
      <c r="E2169" s="52">
        <f t="shared" ca="1" si="100"/>
        <v>0</v>
      </c>
      <c r="F2169" s="17">
        <f t="shared" ca="1" si="101"/>
        <v>0</v>
      </c>
      <c r="H2169" s="17">
        <v>2160</v>
      </c>
      <c r="I2169" s="45">
        <v>0.67235926742536933</v>
      </c>
      <c r="J2169" s="45">
        <v>1.9936098329969166E-2</v>
      </c>
      <c r="K2169" s="45">
        <v>0.25080000000000002</v>
      </c>
      <c r="N2169" s="54"/>
    </row>
    <row r="2170" spans="2:14" x14ac:dyDescent="0.2">
      <c r="B2170">
        <v>2161</v>
      </c>
      <c r="C2170" s="52">
        <f t="shared" ca="1" si="102"/>
        <v>-1.2174115989582512</v>
      </c>
      <c r="D2170" s="52">
        <f ca="1">S0*EXP((μ-0.5*σ*σ)*T+σ*SQRT(T)*$C2170)</f>
        <v>0.4598558233431006</v>
      </c>
      <c r="E2170" s="52">
        <f t="shared" ca="1" si="100"/>
        <v>7.4544176656899386E-2</v>
      </c>
      <c r="F2170" s="17">
        <f t="shared" ca="1" si="101"/>
        <v>1</v>
      </c>
      <c r="H2170" s="17">
        <v>2161</v>
      </c>
      <c r="I2170" s="45">
        <v>0.67159403742236945</v>
      </c>
      <c r="J2170" s="45">
        <v>1.920406967275522E-2</v>
      </c>
      <c r="K2170" s="45">
        <v>0.24759999999999999</v>
      </c>
      <c r="N2170" s="54"/>
    </row>
    <row r="2171" spans="2:14" x14ac:dyDescent="0.2">
      <c r="B2171">
        <v>2162</v>
      </c>
      <c r="C2171" s="52">
        <f t="shared" ca="1" si="102"/>
        <v>1.4042366509573625</v>
      </c>
      <c r="D2171" s="52">
        <f ca="1">S0*EXP((μ-0.5*σ*σ)*T+σ*SQRT(T)*$C2171)</f>
        <v>0.94920218526138733</v>
      </c>
      <c r="E2171" s="52">
        <f t="shared" ca="1" si="100"/>
        <v>0</v>
      </c>
      <c r="F2171" s="17">
        <f t="shared" ca="1" si="101"/>
        <v>0</v>
      </c>
      <c r="H2171" s="17">
        <v>2162</v>
      </c>
      <c r="I2171" s="45">
        <v>0.67126269374210745</v>
      </c>
      <c r="J2171" s="45">
        <v>1.9035995487965352E-2</v>
      </c>
      <c r="K2171" s="45">
        <v>0.2472</v>
      </c>
      <c r="N2171" s="54"/>
    </row>
    <row r="2172" spans="2:14" x14ac:dyDescent="0.2">
      <c r="B2172">
        <v>2163</v>
      </c>
      <c r="C2172" s="52">
        <f t="shared" ca="1" si="102"/>
        <v>-0.93897673028771167</v>
      </c>
      <c r="D2172" s="52">
        <f ca="1">S0*EXP((μ-0.5*σ*σ)*T+σ*SQRT(T)*$C2172)</f>
        <v>0.49664796901967717</v>
      </c>
      <c r="E2172" s="52">
        <f t="shared" ca="1" si="100"/>
        <v>3.7752030980322815E-2</v>
      </c>
      <c r="F2172" s="17">
        <f t="shared" ca="1" si="101"/>
        <v>1</v>
      </c>
      <c r="H2172" s="17">
        <v>2163</v>
      </c>
      <c r="I2172" s="45">
        <v>0.67106202634008805</v>
      </c>
      <c r="J2172" s="45">
        <v>1.8997430245636784E-2</v>
      </c>
      <c r="K2172" s="45">
        <v>0.24160000000000001</v>
      </c>
      <c r="N2172" s="54"/>
    </row>
    <row r="2173" spans="2:14" x14ac:dyDescent="0.2">
      <c r="B2173">
        <v>2164</v>
      </c>
      <c r="C2173" s="52">
        <f t="shared" ca="1" si="102"/>
        <v>0.76439054103852166</v>
      </c>
      <c r="D2173" s="52">
        <f ca="1">S0*EXP((μ-0.5*σ*σ)*T+σ*SQRT(T)*$C2173)</f>
        <v>0.79532239334659949</v>
      </c>
      <c r="E2173" s="52">
        <f t="shared" ca="1" si="100"/>
        <v>0</v>
      </c>
      <c r="F2173" s="17">
        <f t="shared" ca="1" si="101"/>
        <v>0</v>
      </c>
      <c r="H2173" s="17">
        <v>2164</v>
      </c>
      <c r="I2173" s="45">
        <v>0.67120821201773695</v>
      </c>
      <c r="J2173" s="45">
        <v>1.8824008853761977E-2</v>
      </c>
      <c r="K2173" s="45">
        <v>0.23880000000000001</v>
      </c>
      <c r="N2173" s="54"/>
    </row>
    <row r="2174" spans="2:14" x14ac:dyDescent="0.2">
      <c r="B2174">
        <v>2165</v>
      </c>
      <c r="C2174" s="52">
        <f t="shared" ca="1" si="102"/>
        <v>-1.7854084711135296</v>
      </c>
      <c r="D2174" s="52">
        <f ca="1">S0*EXP((μ-0.5*σ*σ)*T+σ*SQRT(T)*$C2174)</f>
        <v>0.39303560671442861</v>
      </c>
      <c r="E2174" s="52">
        <f t="shared" ca="1" si="100"/>
        <v>0.14136439328557138</v>
      </c>
      <c r="F2174" s="17">
        <f t="shared" ca="1" si="101"/>
        <v>1</v>
      </c>
      <c r="H2174" s="17">
        <v>2165</v>
      </c>
      <c r="I2174" s="45">
        <v>0.67035792795910287</v>
      </c>
      <c r="J2174" s="45">
        <v>1.8412954041382195E-2</v>
      </c>
      <c r="K2174" s="45">
        <v>0.24460000000000001</v>
      </c>
      <c r="N2174" s="54"/>
    </row>
    <row r="2175" spans="2:14" x14ac:dyDescent="0.2">
      <c r="B2175">
        <v>2166</v>
      </c>
      <c r="C2175" s="52">
        <f t="shared" ca="1" si="102"/>
        <v>1.7490588511460397</v>
      </c>
      <c r="D2175" s="52">
        <f ca="1">S0*EXP((μ-0.5*σ*σ)*T+σ*SQRT(T)*$C2175)</f>
        <v>1.0441327276332417</v>
      </c>
      <c r="E2175" s="52">
        <f t="shared" ca="1" si="100"/>
        <v>0</v>
      </c>
      <c r="F2175" s="17">
        <f t="shared" ca="1" si="101"/>
        <v>0</v>
      </c>
      <c r="H2175" s="17">
        <v>2166</v>
      </c>
      <c r="I2175" s="45">
        <v>0.67050209063646904</v>
      </c>
      <c r="J2175" s="45">
        <v>1.8565517102750846E-2</v>
      </c>
      <c r="K2175" s="45">
        <v>0.24299999999999999</v>
      </c>
      <c r="N2175" s="54"/>
    </row>
    <row r="2176" spans="2:14" x14ac:dyDescent="0.2">
      <c r="B2176">
        <v>2167</v>
      </c>
      <c r="C2176" s="52">
        <f t="shared" ca="1" si="102"/>
        <v>1.3354992134333434</v>
      </c>
      <c r="D2176" s="52">
        <f ca="1">S0*EXP((μ-0.5*σ*σ)*T+σ*SQRT(T)*$C2176)</f>
        <v>0.93133641887546914</v>
      </c>
      <c r="E2176" s="52">
        <f t="shared" ca="1" si="100"/>
        <v>0</v>
      </c>
      <c r="F2176" s="17">
        <f t="shared" ca="1" si="101"/>
        <v>0</v>
      </c>
      <c r="H2176" s="17">
        <v>2167</v>
      </c>
      <c r="I2176" s="45">
        <v>0.67187815955413122</v>
      </c>
      <c r="J2176" s="45">
        <v>1.9794184944070457E-2</v>
      </c>
      <c r="K2176" s="45">
        <v>0.25059999999999999</v>
      </c>
      <c r="N2176" s="54"/>
    </row>
    <row r="2177" spans="2:14" x14ac:dyDescent="0.2">
      <c r="B2177">
        <v>2168</v>
      </c>
      <c r="C2177" s="52">
        <f t="shared" ca="1" si="102"/>
        <v>-0.6436181438648606</v>
      </c>
      <c r="D2177" s="52">
        <f ca="1">S0*EXP((μ-0.5*σ*σ)*T+σ*SQRT(T)*$C2177)</f>
        <v>0.53889900553425618</v>
      </c>
      <c r="E2177" s="52">
        <f t="shared" ca="1" si="100"/>
        <v>0</v>
      </c>
      <c r="F2177" s="17">
        <f t="shared" ca="1" si="101"/>
        <v>0</v>
      </c>
      <c r="H2177" s="17">
        <v>2168</v>
      </c>
      <c r="I2177" s="45">
        <v>0.67043109217037244</v>
      </c>
      <c r="J2177" s="45">
        <v>1.8661756549364226E-2</v>
      </c>
      <c r="K2177" s="45">
        <v>0.2412</v>
      </c>
      <c r="N2177" s="54"/>
    </row>
    <row r="2178" spans="2:14" x14ac:dyDescent="0.2">
      <c r="B2178">
        <v>2169</v>
      </c>
      <c r="C2178" s="52">
        <f t="shared" ca="1" si="102"/>
        <v>-1.0529314333408946</v>
      </c>
      <c r="D2178" s="52">
        <f ca="1">S0*EXP((μ-0.5*σ*σ)*T+σ*SQRT(T)*$C2178)</f>
        <v>0.48124701277414872</v>
      </c>
      <c r="E2178" s="52">
        <f t="shared" ca="1" si="100"/>
        <v>5.3152987225851267E-2</v>
      </c>
      <c r="F2178" s="17">
        <f t="shared" ca="1" si="101"/>
        <v>1</v>
      </c>
      <c r="H2178" s="17">
        <v>2169</v>
      </c>
      <c r="I2178" s="45">
        <v>0.67237801523326413</v>
      </c>
      <c r="J2178" s="45">
        <v>2.018130870388039E-2</v>
      </c>
      <c r="K2178" s="45">
        <v>0.25700000000000001</v>
      </c>
      <c r="N2178" s="54"/>
    </row>
    <row r="2179" spans="2:14" x14ac:dyDescent="0.2">
      <c r="B2179">
        <v>2170</v>
      </c>
      <c r="C2179" s="52">
        <f t="shared" ca="1" si="102"/>
        <v>0.12174784630783747</v>
      </c>
      <c r="D2179" s="52">
        <f ca="1">S0*EXP((μ-0.5*σ*σ)*T+σ*SQRT(T)*$C2179)</f>
        <v>0.66587384029215679</v>
      </c>
      <c r="E2179" s="52">
        <f t="shared" ca="1" si="100"/>
        <v>0</v>
      </c>
      <c r="F2179" s="17">
        <f t="shared" ca="1" si="101"/>
        <v>0</v>
      </c>
      <c r="H2179" s="17">
        <v>2170</v>
      </c>
      <c r="I2179" s="45">
        <v>0.67059999920985724</v>
      </c>
      <c r="J2179" s="45">
        <v>1.8588693083234339E-2</v>
      </c>
      <c r="K2179" s="45">
        <v>0.2422</v>
      </c>
      <c r="N2179" s="54"/>
    </row>
    <row r="2180" spans="2:14" x14ac:dyDescent="0.2">
      <c r="B2180">
        <v>2171</v>
      </c>
      <c r="C2180" s="52">
        <f t="shared" ca="1" si="102"/>
        <v>0.48877996132462215</v>
      </c>
      <c r="D2180" s="52">
        <f ca="1">S0*EXP((μ-0.5*σ*σ)*T+σ*SQRT(T)*$C2180)</f>
        <v>0.73697932104527497</v>
      </c>
      <c r="E2180" s="52">
        <f t="shared" ca="1" si="100"/>
        <v>0</v>
      </c>
      <c r="F2180" s="17">
        <f t="shared" ca="1" si="101"/>
        <v>0</v>
      </c>
      <c r="H2180" s="17">
        <v>2171</v>
      </c>
      <c r="I2180" s="45">
        <v>0.67052748575133936</v>
      </c>
      <c r="J2180" s="45">
        <v>1.8666250789300922E-2</v>
      </c>
      <c r="K2180" s="45">
        <v>0.2462</v>
      </c>
      <c r="N2180" s="54"/>
    </row>
    <row r="2181" spans="2:14" x14ac:dyDescent="0.2">
      <c r="B2181">
        <v>2172</v>
      </c>
      <c r="C2181" s="52">
        <f t="shared" ca="1" si="102"/>
        <v>-1.2433044478383237</v>
      </c>
      <c r="D2181" s="52">
        <f ca="1">S0*EXP((μ-0.5*σ*σ)*T+σ*SQRT(T)*$C2181)</f>
        <v>0.45657609919497433</v>
      </c>
      <c r="E2181" s="52">
        <f t="shared" ca="1" si="100"/>
        <v>7.7823900805025659E-2</v>
      </c>
      <c r="F2181" s="17">
        <f t="shared" ca="1" si="101"/>
        <v>1</v>
      </c>
      <c r="H2181" s="17">
        <v>2172</v>
      </c>
      <c r="I2181" s="45">
        <v>0.67141599635137927</v>
      </c>
      <c r="J2181" s="45">
        <v>1.9458568552067759E-2</v>
      </c>
      <c r="K2181" s="45">
        <v>0.25219999999999998</v>
      </c>
      <c r="N2181" s="54"/>
    </row>
    <row r="2182" spans="2:14" x14ac:dyDescent="0.2">
      <c r="B2182">
        <v>2173</v>
      </c>
      <c r="C2182" s="52">
        <f t="shared" ca="1" si="102"/>
        <v>-0.72874316006176487</v>
      </c>
      <c r="D2182" s="52">
        <f ca="1">S0*EXP((μ-0.5*σ*σ)*T+σ*SQRT(T)*$C2182)</f>
        <v>0.52636603640836332</v>
      </c>
      <c r="E2182" s="52">
        <f t="shared" ca="1" si="100"/>
        <v>8.0339635916366614E-3</v>
      </c>
      <c r="F2182" s="17">
        <f t="shared" ca="1" si="101"/>
        <v>1</v>
      </c>
      <c r="H2182" s="17">
        <v>2173</v>
      </c>
      <c r="I2182" s="45">
        <v>0.67093486837076011</v>
      </c>
      <c r="J2182" s="45">
        <v>1.9141389366647776E-2</v>
      </c>
      <c r="K2182" s="45">
        <v>0.246</v>
      </c>
      <c r="N2182" s="54"/>
    </row>
    <row r="2183" spans="2:14" x14ac:dyDescent="0.2">
      <c r="B2183">
        <v>2174</v>
      </c>
      <c r="C2183" s="52">
        <f t="shared" ca="1" si="102"/>
        <v>-0.12865897711947388</v>
      </c>
      <c r="D2183" s="52">
        <f ca="1">S0*EXP((μ-0.5*σ*σ)*T+σ*SQRT(T)*$C2183)</f>
        <v>0.62134074560786279</v>
      </c>
      <c r="E2183" s="52">
        <f t="shared" ca="1" si="100"/>
        <v>0</v>
      </c>
      <c r="F2183" s="17">
        <f t="shared" ca="1" si="101"/>
        <v>0</v>
      </c>
      <c r="H2183" s="17">
        <v>2174</v>
      </c>
      <c r="I2183" s="45">
        <v>0.67052889742623889</v>
      </c>
      <c r="J2183" s="45">
        <v>1.8518520958281184E-2</v>
      </c>
      <c r="K2183" s="45">
        <v>0.23780000000000001</v>
      </c>
      <c r="N2183" s="54"/>
    </row>
    <row r="2184" spans="2:14" x14ac:dyDescent="0.2">
      <c r="B2184">
        <v>2175</v>
      </c>
      <c r="C2184" s="52">
        <f t="shared" ca="1" si="102"/>
        <v>-0.24784990966422954</v>
      </c>
      <c r="D2184" s="52">
        <f ca="1">S0*EXP((μ-0.5*σ*σ)*T+σ*SQRT(T)*$C2184)</f>
        <v>0.60120224202528549</v>
      </c>
      <c r="E2184" s="52">
        <f t="shared" ca="1" si="100"/>
        <v>0</v>
      </c>
      <c r="F2184" s="17">
        <f t="shared" ca="1" si="101"/>
        <v>0</v>
      </c>
      <c r="H2184" s="17">
        <v>2175</v>
      </c>
      <c r="I2184" s="45">
        <v>0.6703617908240691</v>
      </c>
      <c r="J2184" s="45">
        <v>1.8710429775327799E-2</v>
      </c>
      <c r="K2184" s="45">
        <v>0.2394</v>
      </c>
      <c r="N2184" s="54"/>
    </row>
    <row r="2185" spans="2:14" x14ac:dyDescent="0.2">
      <c r="B2185">
        <v>2176</v>
      </c>
      <c r="C2185" s="52">
        <f t="shared" ca="1" si="102"/>
        <v>0.63975862542781148</v>
      </c>
      <c r="D2185" s="52">
        <f ca="1">S0*EXP((μ-0.5*σ*σ)*T+σ*SQRT(T)*$C2185)</f>
        <v>0.76838833127832651</v>
      </c>
      <c r="E2185" s="52">
        <f t="shared" ca="1" si="100"/>
        <v>0</v>
      </c>
      <c r="F2185" s="17">
        <f t="shared" ca="1" si="101"/>
        <v>0</v>
      </c>
      <c r="H2185" s="17">
        <v>2176</v>
      </c>
      <c r="I2185" s="45">
        <v>0.6719236342141004</v>
      </c>
      <c r="J2185" s="45">
        <v>1.9856659526765252E-2</v>
      </c>
      <c r="K2185" s="45">
        <v>0.255</v>
      </c>
      <c r="N2185" s="54"/>
    </row>
    <row r="2186" spans="2:14" x14ac:dyDescent="0.2">
      <c r="B2186">
        <v>2177</v>
      </c>
      <c r="C2186" s="52">
        <f t="shared" ca="1" si="102"/>
        <v>0.8194276560413204</v>
      </c>
      <c r="D2186" s="52">
        <f ca="1">S0*EXP((μ-0.5*σ*σ)*T+σ*SQRT(T)*$C2186)</f>
        <v>0.80751498054365423</v>
      </c>
      <c r="E2186" s="52">
        <f t="shared" ref="E2186:E2249" ca="1" si="103">MAX(0,CP*(D2186-K))</f>
        <v>0</v>
      </c>
      <c r="F2186" s="17">
        <f t="shared" ref="F2186:F2249" ca="1" si="104">(CP*(D2186-K)&gt;0)*1</f>
        <v>0</v>
      </c>
      <c r="H2186" s="17">
        <v>2177</v>
      </c>
      <c r="I2186" s="45">
        <v>0.67072784448150735</v>
      </c>
      <c r="J2186" s="45">
        <v>1.9013187919933179E-2</v>
      </c>
      <c r="K2186" s="45">
        <v>0.24479999999999999</v>
      </c>
      <c r="N2186" s="54"/>
    </row>
    <row r="2187" spans="2:14" x14ac:dyDescent="0.2">
      <c r="B2187">
        <v>2178</v>
      </c>
      <c r="C2187" s="52">
        <f t="shared" ref="C2187:C2250" ca="1" si="105">_xlfn.NORM.S.INV(RAND())</f>
        <v>0.93501445147336382</v>
      </c>
      <c r="D2187" s="52">
        <f ca="1">S0*EXP((μ-0.5*σ*σ)*T+σ*SQRT(T)*$C2187)</f>
        <v>0.83373328996899143</v>
      </c>
      <c r="E2187" s="52">
        <f t="shared" ca="1" si="103"/>
        <v>0</v>
      </c>
      <c r="F2187" s="17">
        <f t="shared" ca="1" si="104"/>
        <v>0</v>
      </c>
      <c r="H2187" s="17">
        <v>2178</v>
      </c>
      <c r="I2187" s="45">
        <v>0.67151456659170095</v>
      </c>
      <c r="J2187" s="45">
        <v>1.91728030555905E-2</v>
      </c>
      <c r="K2187" s="45">
        <v>0.24299999999999999</v>
      </c>
      <c r="N2187" s="54"/>
    </row>
    <row r="2188" spans="2:14" x14ac:dyDescent="0.2">
      <c r="B2188">
        <v>2179</v>
      </c>
      <c r="C2188" s="52">
        <f t="shared" ca="1" si="105"/>
        <v>-0.67065069532851362</v>
      </c>
      <c r="D2188" s="52">
        <f ca="1">S0*EXP((μ-0.5*σ*σ)*T+σ*SQRT(T)*$C2188)</f>
        <v>0.53488699668785089</v>
      </c>
      <c r="E2188" s="52">
        <f t="shared" ca="1" si="103"/>
        <v>0</v>
      </c>
      <c r="F2188" s="17">
        <f t="shared" ca="1" si="104"/>
        <v>0</v>
      </c>
      <c r="H2188" s="17">
        <v>2179</v>
      </c>
      <c r="I2188" s="45">
        <v>0.67254025248341731</v>
      </c>
      <c r="J2188" s="45">
        <v>2.0310319579699747E-2</v>
      </c>
      <c r="K2188" s="45">
        <v>0.254</v>
      </c>
      <c r="N2188" s="54"/>
    </row>
    <row r="2189" spans="2:14" x14ac:dyDescent="0.2">
      <c r="B2189">
        <v>2180</v>
      </c>
      <c r="C2189" s="52">
        <f t="shared" ca="1" si="105"/>
        <v>-1.4872709450079573</v>
      </c>
      <c r="D2189" s="52">
        <f ca="1">S0*EXP((μ-0.5*σ*σ)*T+σ*SQRT(T)*$C2189)</f>
        <v>0.426799827669328</v>
      </c>
      <c r="E2189" s="52">
        <f t="shared" ca="1" si="103"/>
        <v>0.10760017233067198</v>
      </c>
      <c r="F2189" s="17">
        <f t="shared" ca="1" si="104"/>
        <v>1</v>
      </c>
      <c r="H2189" s="17">
        <v>2180</v>
      </c>
      <c r="I2189" s="45">
        <v>0.67156636866769337</v>
      </c>
      <c r="J2189" s="45">
        <v>1.9214240614836679E-2</v>
      </c>
      <c r="K2189" s="45">
        <v>0.24579999999999999</v>
      </c>
      <c r="N2189" s="54"/>
    </row>
    <row r="2190" spans="2:14" x14ac:dyDescent="0.2">
      <c r="B2190">
        <v>2181</v>
      </c>
      <c r="C2190" s="52">
        <f t="shared" ca="1" si="105"/>
        <v>1.8082025832631945</v>
      </c>
      <c r="D2190" s="52">
        <f ca="1">S0*EXP((μ-0.5*σ*σ)*T+σ*SQRT(T)*$C2190)</f>
        <v>1.0613438260570651</v>
      </c>
      <c r="E2190" s="52">
        <f t="shared" ca="1" si="103"/>
        <v>0</v>
      </c>
      <c r="F2190" s="17">
        <f t="shared" ca="1" si="104"/>
        <v>0</v>
      </c>
      <c r="H2190" s="17">
        <v>2181</v>
      </c>
      <c r="I2190" s="45">
        <v>0.67197564470032922</v>
      </c>
      <c r="J2190" s="45">
        <v>1.9561110606186483E-2</v>
      </c>
      <c r="K2190" s="45">
        <v>0.25540000000000002</v>
      </c>
      <c r="N2190" s="54"/>
    </row>
    <row r="2191" spans="2:14" x14ac:dyDescent="0.2">
      <c r="B2191">
        <v>2182</v>
      </c>
      <c r="C2191" s="52">
        <f t="shared" ca="1" si="105"/>
        <v>-0.58053378207013506</v>
      </c>
      <c r="D2191" s="52">
        <f ca="1">S0*EXP((μ-0.5*σ*σ)*T+σ*SQRT(T)*$C2191)</f>
        <v>0.54837905182138513</v>
      </c>
      <c r="E2191" s="52">
        <f t="shared" ca="1" si="103"/>
        <v>0</v>
      </c>
      <c r="F2191" s="17">
        <f t="shared" ca="1" si="104"/>
        <v>0</v>
      </c>
      <c r="H2191" s="17">
        <v>2182</v>
      </c>
      <c r="I2191" s="45">
        <v>0.67141479122743253</v>
      </c>
      <c r="J2191" s="45">
        <v>1.9307423063938265E-2</v>
      </c>
      <c r="K2191" s="45">
        <v>0.24</v>
      </c>
      <c r="N2191" s="54"/>
    </row>
    <row r="2192" spans="2:14" x14ac:dyDescent="0.2">
      <c r="B2192">
        <v>2183</v>
      </c>
      <c r="C2192" s="52">
        <f t="shared" ca="1" si="105"/>
        <v>1.1327843343933732</v>
      </c>
      <c r="D2192" s="52">
        <f ca="1">S0*EXP((μ-0.5*σ*σ)*T+σ*SQRT(T)*$C2192)</f>
        <v>0.8805824651592451</v>
      </c>
      <c r="E2192" s="52">
        <f t="shared" ca="1" si="103"/>
        <v>0</v>
      </c>
      <c r="F2192" s="17">
        <f t="shared" ca="1" si="104"/>
        <v>0</v>
      </c>
      <c r="H2192" s="17">
        <v>2183</v>
      </c>
      <c r="I2192" s="45">
        <v>0.67103981060031981</v>
      </c>
      <c r="J2192" s="45">
        <v>1.9211886478685013E-2</v>
      </c>
      <c r="K2192" s="45">
        <v>0.2452</v>
      </c>
      <c r="N2192" s="54"/>
    </row>
    <row r="2193" spans="2:14" x14ac:dyDescent="0.2">
      <c r="B2193">
        <v>2184</v>
      </c>
      <c r="C2193" s="52">
        <f t="shared" ca="1" si="105"/>
        <v>1.111144325619059</v>
      </c>
      <c r="D2193" s="52">
        <f ca="1">S0*EXP((μ-0.5*σ*σ)*T+σ*SQRT(T)*$C2193)</f>
        <v>0.8753305432505083</v>
      </c>
      <c r="E2193" s="52">
        <f t="shared" ca="1" si="103"/>
        <v>0</v>
      </c>
      <c r="F2193" s="17">
        <f t="shared" ca="1" si="104"/>
        <v>0</v>
      </c>
      <c r="H2193" s="17">
        <v>2184</v>
      </c>
      <c r="I2193" s="45">
        <v>0.66964886563074544</v>
      </c>
      <c r="J2193" s="45">
        <v>1.8121714066742428E-2</v>
      </c>
      <c r="K2193" s="45">
        <v>0.23680000000000001</v>
      </c>
      <c r="N2193" s="54"/>
    </row>
    <row r="2194" spans="2:14" x14ac:dyDescent="0.2">
      <c r="B2194">
        <v>2185</v>
      </c>
      <c r="C2194" s="52">
        <f t="shared" ca="1" si="105"/>
        <v>-0.44217212910160542</v>
      </c>
      <c r="D2194" s="52">
        <f ca="1">S0*EXP((μ-0.5*σ*σ)*T+σ*SQRT(T)*$C2194)</f>
        <v>0.56975953743561381</v>
      </c>
      <c r="E2194" s="52">
        <f t="shared" ca="1" si="103"/>
        <v>0</v>
      </c>
      <c r="F2194" s="17">
        <f t="shared" ca="1" si="104"/>
        <v>0</v>
      </c>
      <c r="H2194" s="17">
        <v>2185</v>
      </c>
      <c r="I2194" s="45">
        <v>0.67057124162196546</v>
      </c>
      <c r="J2194" s="45">
        <v>1.8597726340335255E-2</v>
      </c>
      <c r="K2194" s="45">
        <v>0.2392</v>
      </c>
      <c r="N2194" s="54"/>
    </row>
    <row r="2195" spans="2:14" x14ac:dyDescent="0.2">
      <c r="B2195">
        <v>2186</v>
      </c>
      <c r="C2195" s="52">
        <f t="shared" ca="1" si="105"/>
        <v>1.0132319977168456</v>
      </c>
      <c r="D2195" s="52">
        <f ca="1">S0*EXP((μ-0.5*σ*σ)*T+σ*SQRT(T)*$C2195)</f>
        <v>0.85195646480900944</v>
      </c>
      <c r="E2195" s="52">
        <f t="shared" ca="1" si="103"/>
        <v>0</v>
      </c>
      <c r="F2195" s="17">
        <f t="shared" ca="1" si="104"/>
        <v>0</v>
      </c>
      <c r="H2195" s="17">
        <v>2186</v>
      </c>
      <c r="I2195" s="45">
        <v>0.67068617447737422</v>
      </c>
      <c r="J2195" s="45">
        <v>1.8694507729461945E-2</v>
      </c>
      <c r="K2195" s="45">
        <v>0.24540000000000001</v>
      </c>
      <c r="N2195" s="54"/>
    </row>
    <row r="2196" spans="2:14" x14ac:dyDescent="0.2">
      <c r="B2196">
        <v>2187</v>
      </c>
      <c r="C2196" s="52">
        <f t="shared" ca="1" si="105"/>
        <v>-0.4408165566080558</v>
      </c>
      <c r="D2196" s="52">
        <f ca="1">S0*EXP((μ-0.5*σ*σ)*T+σ*SQRT(T)*$C2196)</f>
        <v>0.56997308019301873</v>
      </c>
      <c r="E2196" s="52">
        <f t="shared" ca="1" si="103"/>
        <v>0</v>
      </c>
      <c r="F2196" s="17">
        <f t="shared" ca="1" si="104"/>
        <v>0</v>
      </c>
      <c r="H2196" s="17">
        <v>2187</v>
      </c>
      <c r="I2196" s="45">
        <v>0.67129974560564976</v>
      </c>
      <c r="J2196" s="45">
        <v>1.9175390086638492E-2</v>
      </c>
      <c r="K2196" s="45">
        <v>0.24399999999999999</v>
      </c>
      <c r="N2196" s="54"/>
    </row>
    <row r="2197" spans="2:14" x14ac:dyDescent="0.2">
      <c r="B2197">
        <v>2188</v>
      </c>
      <c r="C2197" s="52">
        <f t="shared" ca="1" si="105"/>
        <v>1.1961930071890368</v>
      </c>
      <c r="D2197" s="52">
        <f ca="1">S0*EXP((μ-0.5*σ*σ)*T+σ*SQRT(T)*$C2197)</f>
        <v>0.89615357549694685</v>
      </c>
      <c r="E2197" s="52">
        <f t="shared" ca="1" si="103"/>
        <v>0</v>
      </c>
      <c r="F2197" s="17">
        <f t="shared" ca="1" si="104"/>
        <v>0</v>
      </c>
      <c r="H2197" s="17">
        <v>2188</v>
      </c>
      <c r="I2197" s="45">
        <v>0.66989723651374922</v>
      </c>
      <c r="J2197" s="45">
        <v>1.8311599992155404E-2</v>
      </c>
      <c r="K2197" s="45">
        <v>0.2482</v>
      </c>
      <c r="N2197" s="54"/>
    </row>
    <row r="2198" spans="2:14" x14ac:dyDescent="0.2">
      <c r="B2198">
        <v>2189</v>
      </c>
      <c r="C2198" s="52">
        <f t="shared" ca="1" si="105"/>
        <v>1.6917417873220162</v>
      </c>
      <c r="D2198" s="52">
        <f ca="1">S0*EXP((μ-0.5*σ*σ)*T+σ*SQRT(T)*$C2198)</f>
        <v>1.027719546513957</v>
      </c>
      <c r="E2198" s="52">
        <f t="shared" ca="1" si="103"/>
        <v>0</v>
      </c>
      <c r="F2198" s="17">
        <f t="shared" ca="1" si="104"/>
        <v>0</v>
      </c>
      <c r="H2198" s="17">
        <v>2189</v>
      </c>
      <c r="I2198" s="45">
        <v>0.67089377075913414</v>
      </c>
      <c r="J2198" s="45">
        <v>1.8928864250093939E-2</v>
      </c>
      <c r="K2198" s="45">
        <v>0.24279999999999999</v>
      </c>
      <c r="N2198" s="54"/>
    </row>
    <row r="2199" spans="2:14" x14ac:dyDescent="0.2">
      <c r="B2199">
        <v>2190</v>
      </c>
      <c r="C2199" s="52">
        <f t="shared" ca="1" si="105"/>
        <v>0.95821711322541936</v>
      </c>
      <c r="D2199" s="52">
        <f ca="1">S0*EXP((μ-0.5*σ*σ)*T+σ*SQRT(T)*$C2199)</f>
        <v>0.83909801656565286</v>
      </c>
      <c r="E2199" s="52">
        <f t="shared" ca="1" si="103"/>
        <v>0</v>
      </c>
      <c r="F2199" s="17">
        <f t="shared" ca="1" si="104"/>
        <v>0</v>
      </c>
      <c r="H2199" s="17">
        <v>2190</v>
      </c>
      <c r="I2199" s="45">
        <v>0.67245468947950715</v>
      </c>
      <c r="J2199" s="45">
        <v>2.0123609509548206E-2</v>
      </c>
      <c r="K2199" s="45">
        <v>0.25580000000000003</v>
      </c>
      <c r="N2199" s="54"/>
    </row>
    <row r="2200" spans="2:14" x14ac:dyDescent="0.2">
      <c r="B2200">
        <v>2191</v>
      </c>
      <c r="C2200" s="52">
        <f t="shared" ca="1" si="105"/>
        <v>-0.54129923179521311</v>
      </c>
      <c r="D2200" s="52">
        <f ca="1">S0*EXP((μ-0.5*σ*σ)*T+σ*SQRT(T)*$C2200)</f>
        <v>0.55435897907269494</v>
      </c>
      <c r="E2200" s="52">
        <f t="shared" ca="1" si="103"/>
        <v>0</v>
      </c>
      <c r="F2200" s="17">
        <f t="shared" ca="1" si="104"/>
        <v>0</v>
      </c>
      <c r="H2200" s="17">
        <v>2191</v>
      </c>
      <c r="I2200" s="45">
        <v>0.67074428863272562</v>
      </c>
      <c r="J2200" s="45">
        <v>1.8940684919050366E-2</v>
      </c>
      <c r="K2200" s="45">
        <v>0.25240000000000001</v>
      </c>
      <c r="N2200" s="54"/>
    </row>
    <row r="2201" spans="2:14" x14ac:dyDescent="0.2">
      <c r="B2201">
        <v>2192</v>
      </c>
      <c r="C2201" s="52">
        <f t="shared" ca="1" si="105"/>
        <v>1.3753437038085454</v>
      </c>
      <c r="D2201" s="52">
        <f ca="1">S0*EXP((μ-0.5*σ*σ)*T+σ*SQRT(T)*$C2201)</f>
        <v>0.94165114989062104</v>
      </c>
      <c r="E2201" s="52">
        <f t="shared" ca="1" si="103"/>
        <v>0</v>
      </c>
      <c r="F2201" s="17">
        <f t="shared" ca="1" si="104"/>
        <v>0</v>
      </c>
      <c r="H2201" s="17">
        <v>2192</v>
      </c>
      <c r="I2201" s="45">
        <v>0.6705500893118832</v>
      </c>
      <c r="J2201" s="45">
        <v>1.8716322417903938E-2</v>
      </c>
      <c r="K2201" s="45">
        <v>0.25059999999999999</v>
      </c>
      <c r="N2201" s="54"/>
    </row>
    <row r="2202" spans="2:14" x14ac:dyDescent="0.2">
      <c r="B2202">
        <v>2193</v>
      </c>
      <c r="C2202" s="52">
        <f t="shared" ca="1" si="105"/>
        <v>1.6588409619168893</v>
      </c>
      <c r="D2202" s="52">
        <f ca="1">S0*EXP((μ-0.5*σ*σ)*T+σ*SQRT(T)*$C2202)</f>
        <v>1.0184149594174905</v>
      </c>
      <c r="E2202" s="52">
        <f t="shared" ca="1" si="103"/>
        <v>0</v>
      </c>
      <c r="F2202" s="17">
        <f t="shared" ca="1" si="104"/>
        <v>0</v>
      </c>
      <c r="H2202" s="17">
        <v>2193</v>
      </c>
      <c r="I2202" s="45">
        <v>0.66981636074806661</v>
      </c>
      <c r="J2202" s="45">
        <v>1.7852051247146474E-2</v>
      </c>
      <c r="K2202" s="45">
        <v>0.23699999999999999</v>
      </c>
      <c r="N2202" s="54"/>
    </row>
    <row r="2203" spans="2:14" x14ac:dyDescent="0.2">
      <c r="B2203">
        <v>2194</v>
      </c>
      <c r="C2203" s="52">
        <f t="shared" ca="1" si="105"/>
        <v>0.71614642485483981</v>
      </c>
      <c r="D2203" s="52">
        <f ca="1">S0*EXP((μ-0.5*σ*σ)*T+σ*SQRT(T)*$C2203)</f>
        <v>0.78478619403561889</v>
      </c>
      <c r="E2203" s="52">
        <f t="shared" ca="1" si="103"/>
        <v>0</v>
      </c>
      <c r="F2203" s="17">
        <f t="shared" ca="1" si="104"/>
        <v>0</v>
      </c>
      <c r="H2203" s="17">
        <v>2194</v>
      </c>
      <c r="I2203" s="45">
        <v>0.67029237745664949</v>
      </c>
      <c r="J2203" s="45">
        <v>1.8593472615168073E-2</v>
      </c>
      <c r="K2203" s="45">
        <v>0.24859999999999999</v>
      </c>
      <c r="N2203" s="54"/>
    </row>
    <row r="2204" spans="2:14" x14ac:dyDescent="0.2">
      <c r="B2204">
        <v>2195</v>
      </c>
      <c r="C2204" s="52">
        <f t="shared" ca="1" si="105"/>
        <v>0.79519097193990584</v>
      </c>
      <c r="D2204" s="52">
        <f ca="1">S0*EXP((μ-0.5*σ*σ)*T+σ*SQRT(T)*$C2204)</f>
        <v>0.80212286885126938</v>
      </c>
      <c r="E2204" s="52">
        <f t="shared" ca="1" si="103"/>
        <v>0</v>
      </c>
      <c r="F2204" s="17">
        <f t="shared" ca="1" si="104"/>
        <v>0</v>
      </c>
      <c r="H2204" s="17">
        <v>2195</v>
      </c>
      <c r="I2204" s="45">
        <v>0.6708932061216929</v>
      </c>
      <c r="J2204" s="45">
        <v>1.9109318122581709E-2</v>
      </c>
      <c r="K2204" s="45">
        <v>0.24579999999999999</v>
      </c>
      <c r="N2204" s="54"/>
    </row>
    <row r="2205" spans="2:14" x14ac:dyDescent="0.2">
      <c r="B2205">
        <v>2196</v>
      </c>
      <c r="C2205" s="52">
        <f t="shared" ca="1" si="105"/>
        <v>0.31258214211233509</v>
      </c>
      <c r="D2205" s="52">
        <f ca="1">S0*EXP((μ-0.5*σ*σ)*T+σ*SQRT(T)*$C2205)</f>
        <v>0.70194357798996143</v>
      </c>
      <c r="E2205" s="52">
        <f t="shared" ca="1" si="103"/>
        <v>0</v>
      </c>
      <c r="F2205" s="17">
        <f t="shared" ca="1" si="104"/>
        <v>0</v>
      </c>
      <c r="H2205" s="17">
        <v>2196</v>
      </c>
      <c r="I2205" s="45">
        <v>0.6711918880762533</v>
      </c>
      <c r="J2205" s="45">
        <v>1.9213958707945629E-2</v>
      </c>
      <c r="K2205" s="45">
        <v>0.24759999999999999</v>
      </c>
      <c r="N2205" s="54"/>
    </row>
    <row r="2206" spans="2:14" x14ac:dyDescent="0.2">
      <c r="B2206">
        <v>2197</v>
      </c>
      <c r="C2206" s="52">
        <f t="shared" ca="1" si="105"/>
        <v>0.86795563829039135</v>
      </c>
      <c r="D2206" s="52">
        <f ca="1">S0*EXP((μ-0.5*σ*σ)*T+σ*SQRT(T)*$C2206)</f>
        <v>0.81842054547642407</v>
      </c>
      <c r="E2206" s="52">
        <f t="shared" ca="1" si="103"/>
        <v>0</v>
      </c>
      <c r="F2206" s="17">
        <f t="shared" ca="1" si="104"/>
        <v>0</v>
      </c>
      <c r="H2206" s="17">
        <v>2197</v>
      </c>
      <c r="I2206" s="45">
        <v>0.67012740278448668</v>
      </c>
      <c r="J2206" s="45">
        <v>1.8481337139386263E-2</v>
      </c>
      <c r="K2206" s="45">
        <v>0.24460000000000001</v>
      </c>
      <c r="N2206" s="54"/>
    </row>
    <row r="2207" spans="2:14" x14ac:dyDescent="0.2">
      <c r="B2207">
        <v>2198</v>
      </c>
      <c r="C2207" s="52">
        <f t="shared" ca="1" si="105"/>
        <v>0.33917491238576969</v>
      </c>
      <c r="D2207" s="52">
        <f ca="1">S0*EXP((μ-0.5*σ*σ)*T+σ*SQRT(T)*$C2207)</f>
        <v>0.70712265249958928</v>
      </c>
      <c r="E2207" s="52">
        <f t="shared" ca="1" si="103"/>
        <v>0</v>
      </c>
      <c r="F2207" s="17">
        <f t="shared" ca="1" si="104"/>
        <v>0</v>
      </c>
      <c r="H2207" s="17">
        <v>2198</v>
      </c>
      <c r="I2207" s="45">
        <v>0.6702467970004945</v>
      </c>
      <c r="J2207" s="45">
        <v>1.8471719617026278E-2</v>
      </c>
      <c r="K2207" s="45">
        <v>0.24260000000000001</v>
      </c>
      <c r="N2207" s="54"/>
    </row>
    <row r="2208" spans="2:14" x14ac:dyDescent="0.2">
      <c r="B2208">
        <v>2199</v>
      </c>
      <c r="C2208" s="52">
        <f t="shared" ca="1" si="105"/>
        <v>0.14102325457659604</v>
      </c>
      <c r="D2208" s="52">
        <f ca="1">S0*EXP((μ-0.5*σ*σ)*T+σ*SQRT(T)*$C2208)</f>
        <v>0.66943131819345869</v>
      </c>
      <c r="E2208" s="52">
        <f t="shared" ca="1" si="103"/>
        <v>0</v>
      </c>
      <c r="F2208" s="17">
        <f t="shared" ca="1" si="104"/>
        <v>0</v>
      </c>
      <c r="H2208" s="17">
        <v>2199</v>
      </c>
      <c r="I2208" s="45">
        <v>0.66948155136139575</v>
      </c>
      <c r="J2208" s="45">
        <v>1.7775455861208822E-2</v>
      </c>
      <c r="K2208" s="45">
        <v>0.2392</v>
      </c>
      <c r="N2208" s="54"/>
    </row>
    <row r="2209" spans="2:14" x14ac:dyDescent="0.2">
      <c r="B2209">
        <v>2200</v>
      </c>
      <c r="C2209" s="52">
        <f t="shared" ca="1" si="105"/>
        <v>-0.31497716474025039</v>
      </c>
      <c r="D2209" s="52">
        <f ca="1">S0*EXP((μ-0.5*σ*σ)*T+σ*SQRT(T)*$C2209)</f>
        <v>0.59014910854100866</v>
      </c>
      <c r="E2209" s="52">
        <f t="shared" ca="1" si="103"/>
        <v>0</v>
      </c>
      <c r="F2209" s="17">
        <f t="shared" ca="1" si="104"/>
        <v>0</v>
      </c>
      <c r="H2209" s="17">
        <v>2200</v>
      </c>
      <c r="I2209" s="45">
        <v>0.670266119888003</v>
      </c>
      <c r="J2209" s="45">
        <v>1.8410284274835875E-2</v>
      </c>
      <c r="K2209" s="45">
        <v>0.251</v>
      </c>
      <c r="N2209" s="54"/>
    </row>
    <row r="2210" spans="2:14" x14ac:dyDescent="0.2">
      <c r="B2210">
        <v>2201</v>
      </c>
      <c r="C2210" s="52">
        <f t="shared" ca="1" si="105"/>
        <v>0.30015191657336304</v>
      </c>
      <c r="D2210" s="52">
        <f ca="1">S0*EXP((μ-0.5*σ*σ)*T+σ*SQRT(T)*$C2210)</f>
        <v>0.69953575583783523</v>
      </c>
      <c r="E2210" s="52">
        <f t="shared" ca="1" si="103"/>
        <v>0</v>
      </c>
      <c r="F2210" s="17">
        <f t="shared" ca="1" si="104"/>
        <v>0</v>
      </c>
      <c r="H2210" s="17">
        <v>2201</v>
      </c>
      <c r="I2210" s="45">
        <v>0.67034308853565383</v>
      </c>
      <c r="J2210" s="45">
        <v>1.8541219738941617E-2</v>
      </c>
      <c r="K2210" s="45">
        <v>0.2442</v>
      </c>
      <c r="N2210" s="54"/>
    </row>
    <row r="2211" spans="2:14" x14ac:dyDescent="0.2">
      <c r="B2211">
        <v>2202</v>
      </c>
      <c r="C2211" s="52">
        <f t="shared" ca="1" si="105"/>
        <v>-1.760731668718291</v>
      </c>
      <c r="D2211" s="52">
        <f ca="1">S0*EXP((μ-0.5*σ*σ)*T+σ*SQRT(T)*$C2211)</f>
        <v>0.39572585279584971</v>
      </c>
      <c r="E2211" s="52">
        <f t="shared" ca="1" si="103"/>
        <v>0.13867414720415028</v>
      </c>
      <c r="F2211" s="17">
        <f t="shared" ca="1" si="104"/>
        <v>1</v>
      </c>
      <c r="H2211" s="17">
        <v>2202</v>
      </c>
      <c r="I2211" s="45">
        <v>0.67012814991530312</v>
      </c>
      <c r="J2211" s="45">
        <v>1.8451463134734537E-2</v>
      </c>
      <c r="K2211" s="45">
        <v>0.2414</v>
      </c>
      <c r="N2211" s="54"/>
    </row>
    <row r="2212" spans="2:14" x14ac:dyDescent="0.2">
      <c r="B2212">
        <v>2203</v>
      </c>
      <c r="C2212" s="52">
        <f t="shared" ca="1" si="105"/>
        <v>-1.8845688909688816</v>
      </c>
      <c r="D2212" s="52">
        <f ca="1">S0*EXP((μ-0.5*σ*σ)*T+σ*SQRT(T)*$C2212)</f>
        <v>0.38240836121526534</v>
      </c>
      <c r="E2212" s="52">
        <f t="shared" ca="1" si="103"/>
        <v>0.15199163878473465</v>
      </c>
      <c r="F2212" s="17">
        <f t="shared" ca="1" si="104"/>
        <v>1</v>
      </c>
      <c r="H2212" s="17">
        <v>2203</v>
      </c>
      <c r="I2212" s="45">
        <v>0.67022191354595129</v>
      </c>
      <c r="J2212" s="45">
        <v>1.8136934006644949E-2</v>
      </c>
      <c r="K2212" s="45">
        <v>0.2392</v>
      </c>
      <c r="N2212" s="54"/>
    </row>
    <row r="2213" spans="2:14" x14ac:dyDescent="0.2">
      <c r="B2213">
        <v>2204</v>
      </c>
      <c r="C2213" s="52">
        <f t="shared" ca="1" si="105"/>
        <v>-0.94119152400343575</v>
      </c>
      <c r="D2213" s="52">
        <f ca="1">S0*EXP((μ-0.5*σ*σ)*T+σ*SQRT(T)*$C2213)</f>
        <v>0.49634399383667072</v>
      </c>
      <c r="E2213" s="52">
        <f t="shared" ca="1" si="103"/>
        <v>3.805600616332927E-2</v>
      </c>
      <c r="F2213" s="17">
        <f t="shared" ca="1" si="104"/>
        <v>1</v>
      </c>
      <c r="H2213" s="17">
        <v>2204</v>
      </c>
      <c r="I2213" s="45">
        <v>0.67290505507977927</v>
      </c>
      <c r="J2213" s="45">
        <v>2.0119009801469828E-2</v>
      </c>
      <c r="K2213" s="45">
        <v>0.253</v>
      </c>
      <c r="N2213" s="54"/>
    </row>
    <row r="2214" spans="2:14" x14ac:dyDescent="0.2">
      <c r="B2214">
        <v>2205</v>
      </c>
      <c r="C2214" s="52">
        <f t="shared" ca="1" si="105"/>
        <v>-0.13246543044831446</v>
      </c>
      <c r="D2214" s="52">
        <f ca="1">S0*EXP((μ-0.5*σ*σ)*T+σ*SQRT(T)*$C2214)</f>
        <v>0.62068729766196695</v>
      </c>
      <c r="E2214" s="52">
        <f t="shared" ca="1" si="103"/>
        <v>0</v>
      </c>
      <c r="F2214" s="17">
        <f t="shared" ca="1" si="104"/>
        <v>0</v>
      </c>
      <c r="H2214" s="17">
        <v>2205</v>
      </c>
      <c r="I2214" s="45">
        <v>0.6711071888145651</v>
      </c>
      <c r="J2214" s="45">
        <v>1.8957300107256547E-2</v>
      </c>
      <c r="K2214" s="45">
        <v>0.25040000000000001</v>
      </c>
      <c r="N2214" s="54"/>
    </row>
    <row r="2215" spans="2:14" x14ac:dyDescent="0.2">
      <c r="B2215">
        <v>2206</v>
      </c>
      <c r="C2215" s="52">
        <f t="shared" ca="1" si="105"/>
        <v>0.96284013929703494</v>
      </c>
      <c r="D2215" s="52">
        <f ca="1">S0*EXP((μ-0.5*σ*σ)*T+σ*SQRT(T)*$C2215)</f>
        <v>0.84017103131807602</v>
      </c>
      <c r="E2215" s="52">
        <f t="shared" ca="1" si="103"/>
        <v>0</v>
      </c>
      <c r="F2215" s="17">
        <f t="shared" ca="1" si="104"/>
        <v>0</v>
      </c>
      <c r="H2215" s="17">
        <v>2206</v>
      </c>
      <c r="I2215" s="45">
        <v>0.67185340441812169</v>
      </c>
      <c r="J2215" s="45">
        <v>1.9635424296933043E-2</v>
      </c>
      <c r="K2215" s="45">
        <v>0.25019999999999998</v>
      </c>
      <c r="N2215" s="54"/>
    </row>
    <row r="2216" spans="2:14" x14ac:dyDescent="0.2">
      <c r="B2216">
        <v>2207</v>
      </c>
      <c r="C2216" s="52">
        <f t="shared" ca="1" si="105"/>
        <v>0.4126685358081455</v>
      </c>
      <c r="D2216" s="52">
        <f ca="1">S0*EXP((μ-0.5*σ*σ)*T+σ*SQRT(T)*$C2216)</f>
        <v>0.72163549792156745</v>
      </c>
      <c r="E2216" s="52">
        <f t="shared" ca="1" si="103"/>
        <v>0</v>
      </c>
      <c r="F2216" s="17">
        <f t="shared" ca="1" si="104"/>
        <v>0</v>
      </c>
      <c r="H2216" s="17">
        <v>2207</v>
      </c>
      <c r="I2216" s="45">
        <v>0.67241779068319507</v>
      </c>
      <c r="J2216" s="45">
        <v>2.0019566942219902E-2</v>
      </c>
      <c r="K2216" s="45">
        <v>0.255</v>
      </c>
      <c r="N2216" s="54"/>
    </row>
    <row r="2217" spans="2:14" x14ac:dyDescent="0.2">
      <c r="B2217">
        <v>2208</v>
      </c>
      <c r="C2217" s="52">
        <f t="shared" ca="1" si="105"/>
        <v>2.8303169680204712E-2</v>
      </c>
      <c r="D2217" s="52">
        <f ca="1">S0*EXP((μ-0.5*σ*σ)*T+σ*SQRT(T)*$C2217)</f>
        <v>0.64889380640343375</v>
      </c>
      <c r="E2217" s="52">
        <f t="shared" ca="1" si="103"/>
        <v>0</v>
      </c>
      <c r="F2217" s="17">
        <f t="shared" ca="1" si="104"/>
        <v>0</v>
      </c>
      <c r="H2217" s="17">
        <v>2208</v>
      </c>
      <c r="I2217" s="45">
        <v>0.67110585959148461</v>
      </c>
      <c r="J2217" s="45">
        <v>1.9047180751028299E-2</v>
      </c>
      <c r="K2217" s="45">
        <v>0.24779999999999999</v>
      </c>
      <c r="N2217" s="54"/>
    </row>
    <row r="2218" spans="2:14" x14ac:dyDescent="0.2">
      <c r="B2218">
        <v>2209</v>
      </c>
      <c r="C2218" s="52">
        <f t="shared" ca="1" si="105"/>
        <v>0.1940274502890279</v>
      </c>
      <c r="D2218" s="52">
        <f ca="1">S0*EXP((μ-0.5*σ*σ)*T+σ*SQRT(T)*$C2218)</f>
        <v>0.67931209163117678</v>
      </c>
      <c r="E2218" s="52">
        <f t="shared" ca="1" si="103"/>
        <v>0</v>
      </c>
      <c r="F2218" s="17">
        <f t="shared" ca="1" si="104"/>
        <v>0</v>
      </c>
      <c r="H2218" s="17">
        <v>2209</v>
      </c>
      <c r="I2218" s="45">
        <v>0.67173617271726382</v>
      </c>
      <c r="J2218" s="45">
        <v>1.9635704048018818E-2</v>
      </c>
      <c r="K2218" s="45">
        <v>0.25380000000000003</v>
      </c>
      <c r="N2218" s="54"/>
    </row>
    <row r="2219" spans="2:14" x14ac:dyDescent="0.2">
      <c r="B2219">
        <v>2210</v>
      </c>
      <c r="C2219" s="52">
        <f t="shared" ca="1" si="105"/>
        <v>1.1595490771521715</v>
      </c>
      <c r="D2219" s="52">
        <f ca="1">S0*EXP((μ-0.5*σ*σ)*T+σ*SQRT(T)*$C2219)</f>
        <v>0.88712174337024163</v>
      </c>
      <c r="E2219" s="52">
        <f t="shared" ca="1" si="103"/>
        <v>0</v>
      </c>
      <c r="F2219" s="17">
        <f t="shared" ca="1" si="104"/>
        <v>0</v>
      </c>
      <c r="H2219" s="17">
        <v>2210</v>
      </c>
      <c r="I2219" s="45">
        <v>0.6709852086967818</v>
      </c>
      <c r="J2219" s="45">
        <v>1.9224425455682051E-2</v>
      </c>
      <c r="K2219" s="45">
        <v>0.24679999999999999</v>
      </c>
      <c r="N2219" s="54"/>
    </row>
    <row r="2220" spans="2:14" x14ac:dyDescent="0.2">
      <c r="B2220">
        <v>2211</v>
      </c>
      <c r="C2220" s="52">
        <f t="shared" ca="1" si="105"/>
        <v>-1.1327618943933513</v>
      </c>
      <c r="D2220" s="52">
        <f ca="1">S0*EXP((μ-0.5*σ*σ)*T+σ*SQRT(T)*$C2220)</f>
        <v>0.47074330403372827</v>
      </c>
      <c r="E2220" s="52">
        <f t="shared" ca="1" si="103"/>
        <v>6.3656695966271715E-2</v>
      </c>
      <c r="F2220" s="17">
        <f t="shared" ca="1" si="104"/>
        <v>1</v>
      </c>
      <c r="H2220" s="17">
        <v>2211</v>
      </c>
      <c r="I2220" s="45">
        <v>0.67011548050336378</v>
      </c>
      <c r="J2220" s="45">
        <v>1.8294953888678488E-2</v>
      </c>
      <c r="K2220" s="45">
        <v>0.24099999999999999</v>
      </c>
      <c r="N2220" s="54"/>
    </row>
    <row r="2221" spans="2:14" x14ac:dyDescent="0.2">
      <c r="B2221">
        <v>2212</v>
      </c>
      <c r="C2221" s="52">
        <f t="shared" ca="1" si="105"/>
        <v>-1.1483966244365607</v>
      </c>
      <c r="D2221" s="52">
        <f ca="1">S0*EXP((μ-0.5*σ*σ)*T+σ*SQRT(T)*$C2221)</f>
        <v>0.46871316632069743</v>
      </c>
      <c r="E2221" s="52">
        <f t="shared" ca="1" si="103"/>
        <v>6.5686833679302559E-2</v>
      </c>
      <c r="F2221" s="17">
        <f t="shared" ca="1" si="104"/>
        <v>1</v>
      </c>
      <c r="H2221" s="17">
        <v>2212</v>
      </c>
      <c r="I2221" s="45">
        <v>0.67037864615852261</v>
      </c>
      <c r="J2221" s="45">
        <v>1.8402702656650147E-2</v>
      </c>
      <c r="K2221" s="45">
        <v>0.24060000000000001</v>
      </c>
      <c r="N2221" s="54"/>
    </row>
    <row r="2222" spans="2:14" x14ac:dyDescent="0.2">
      <c r="B2222">
        <v>2213</v>
      </c>
      <c r="C2222" s="52">
        <f t="shared" ca="1" si="105"/>
        <v>1.7085829951678477</v>
      </c>
      <c r="D2222" s="52">
        <f ca="1">S0*EXP((μ-0.5*σ*σ)*T+σ*SQRT(T)*$C2222)</f>
        <v>1.0325152054203317</v>
      </c>
      <c r="E2222" s="52">
        <f t="shared" ca="1" si="103"/>
        <v>0</v>
      </c>
      <c r="F2222" s="17">
        <f t="shared" ca="1" si="104"/>
        <v>0</v>
      </c>
      <c r="H2222" s="17">
        <v>2213</v>
      </c>
      <c r="I2222" s="45">
        <v>0.67094222667212833</v>
      </c>
      <c r="J2222" s="45">
        <v>1.8963830552775299E-2</v>
      </c>
      <c r="K2222" s="45">
        <v>0.25019999999999998</v>
      </c>
      <c r="N2222" s="54"/>
    </row>
    <row r="2223" spans="2:14" x14ac:dyDescent="0.2">
      <c r="B2223">
        <v>2214</v>
      </c>
      <c r="C2223" s="52">
        <f t="shared" ca="1" si="105"/>
        <v>-2.210118998706132</v>
      </c>
      <c r="D2223" s="52">
        <f ca="1">S0*EXP((μ-0.5*σ*σ)*T+σ*SQRT(T)*$C2223)</f>
        <v>0.34949750107586464</v>
      </c>
      <c r="E2223" s="52">
        <f t="shared" ca="1" si="103"/>
        <v>0.18490249892413535</v>
      </c>
      <c r="F2223" s="17">
        <f t="shared" ca="1" si="104"/>
        <v>1</v>
      </c>
      <c r="H2223" s="17">
        <v>2214</v>
      </c>
      <c r="I2223" s="45">
        <v>0.6702468671589692</v>
      </c>
      <c r="J2223" s="45">
        <v>1.8164907517112975E-2</v>
      </c>
      <c r="K2223" s="45">
        <v>0.24440000000000001</v>
      </c>
      <c r="N2223" s="54"/>
    </row>
    <row r="2224" spans="2:14" x14ac:dyDescent="0.2">
      <c r="B2224">
        <v>2215</v>
      </c>
      <c r="C2224" s="52">
        <f t="shared" ca="1" si="105"/>
        <v>-1.4379958181792076</v>
      </c>
      <c r="D2224" s="52">
        <f ca="1">S0*EXP((μ-0.5*σ*σ)*T+σ*SQRT(T)*$C2224)</f>
        <v>0.43265314785981501</v>
      </c>
      <c r="E2224" s="52">
        <f t="shared" ca="1" si="103"/>
        <v>0.10174685214018497</v>
      </c>
      <c r="F2224" s="17">
        <f t="shared" ca="1" si="104"/>
        <v>1</v>
      </c>
      <c r="H2224" s="17">
        <v>2215</v>
      </c>
      <c r="I2224" s="45">
        <v>0.66993269746739481</v>
      </c>
      <c r="J2224" s="45">
        <v>1.8246150677842125E-2</v>
      </c>
      <c r="K2224" s="45">
        <v>0.24160000000000001</v>
      </c>
      <c r="N2224" s="54"/>
    </row>
    <row r="2225" spans="2:14" x14ac:dyDescent="0.2">
      <c r="B2225">
        <v>2216</v>
      </c>
      <c r="C2225" s="52">
        <f t="shared" ca="1" si="105"/>
        <v>-0.60238309569675486</v>
      </c>
      <c r="D2225" s="52">
        <f ca="1">S0*EXP((μ-0.5*σ*σ)*T+σ*SQRT(T)*$C2225)</f>
        <v>0.5450769010560691</v>
      </c>
      <c r="E2225" s="52">
        <f t="shared" ca="1" si="103"/>
        <v>0</v>
      </c>
      <c r="F2225" s="17">
        <f t="shared" ca="1" si="104"/>
        <v>0</v>
      </c>
      <c r="H2225" s="17">
        <v>2216</v>
      </c>
      <c r="I2225" s="45">
        <v>0.66861514745393025</v>
      </c>
      <c r="J2225" s="45">
        <v>1.7322334048441648E-2</v>
      </c>
      <c r="K2225" s="45">
        <v>0.2424</v>
      </c>
      <c r="N2225" s="54"/>
    </row>
    <row r="2226" spans="2:14" x14ac:dyDescent="0.2">
      <c r="B2226">
        <v>2217</v>
      </c>
      <c r="C2226" s="52">
        <f t="shared" ca="1" si="105"/>
        <v>-0.36561907572041374</v>
      </c>
      <c r="D2226" s="52">
        <f ca="1">S0*EXP((μ-0.5*σ*σ)*T+σ*SQRT(T)*$C2226)</f>
        <v>0.58194512747353777</v>
      </c>
      <c r="E2226" s="52">
        <f t="shared" ca="1" si="103"/>
        <v>0</v>
      </c>
      <c r="F2226" s="17">
        <f t="shared" ca="1" si="104"/>
        <v>0</v>
      </c>
      <c r="H2226" s="17">
        <v>2217</v>
      </c>
      <c r="I2226" s="45">
        <v>0.6713525282294468</v>
      </c>
      <c r="J2226" s="45">
        <v>1.925526621993244E-2</v>
      </c>
      <c r="K2226" s="45">
        <v>0.24579999999999999</v>
      </c>
      <c r="N2226" s="54"/>
    </row>
    <row r="2227" spans="2:14" x14ac:dyDescent="0.2">
      <c r="B2227">
        <v>2218</v>
      </c>
      <c r="C2227" s="52">
        <f t="shared" ca="1" si="105"/>
        <v>-0.82279707917887834</v>
      </c>
      <c r="D2227" s="52">
        <f ca="1">S0*EXP((μ-0.5*σ*σ)*T+σ*SQRT(T)*$C2227)</f>
        <v>0.5128571242827048</v>
      </c>
      <c r="E2227" s="52">
        <f t="shared" ca="1" si="103"/>
        <v>2.1542875717295185E-2</v>
      </c>
      <c r="F2227" s="17">
        <f t="shared" ca="1" si="104"/>
        <v>1</v>
      </c>
      <c r="H2227" s="17">
        <v>2218</v>
      </c>
      <c r="I2227" s="45">
        <v>0.67122857718862494</v>
      </c>
      <c r="J2227" s="45">
        <v>1.9248056045982349E-2</v>
      </c>
      <c r="K2227" s="45">
        <v>0.24940000000000001</v>
      </c>
      <c r="N2227" s="54"/>
    </row>
    <row r="2228" spans="2:14" x14ac:dyDescent="0.2">
      <c r="B2228">
        <v>2219</v>
      </c>
      <c r="C2228" s="52">
        <f t="shared" ca="1" si="105"/>
        <v>-1.24140105015488</v>
      </c>
      <c r="D2228" s="52">
        <f ca="1">S0*EXP((μ-0.5*σ*σ)*T+σ*SQRT(T)*$C2228)</f>
        <v>0.45681639494571302</v>
      </c>
      <c r="E2228" s="52">
        <f t="shared" ca="1" si="103"/>
        <v>7.7583605054286964E-2</v>
      </c>
      <c r="F2228" s="17">
        <f t="shared" ca="1" si="104"/>
        <v>1</v>
      </c>
      <c r="H2228" s="17">
        <v>2219</v>
      </c>
      <c r="I2228" s="45">
        <v>0.67029603501694657</v>
      </c>
      <c r="J2228" s="45">
        <v>1.8335106959023007E-2</v>
      </c>
      <c r="K2228" s="45">
        <v>0.2412</v>
      </c>
      <c r="N2228" s="54"/>
    </row>
    <row r="2229" spans="2:14" x14ac:dyDescent="0.2">
      <c r="B2229">
        <v>2220</v>
      </c>
      <c r="C2229" s="52">
        <f t="shared" ca="1" si="105"/>
        <v>-0.43528745530701496</v>
      </c>
      <c r="D2229" s="52">
        <f ca="1">S0*EXP((μ-0.5*σ*σ)*T+σ*SQRT(T)*$C2229)</f>
        <v>0.5708449064576101</v>
      </c>
      <c r="E2229" s="52">
        <f t="shared" ca="1" si="103"/>
        <v>0</v>
      </c>
      <c r="F2229" s="17">
        <f t="shared" ca="1" si="104"/>
        <v>0</v>
      </c>
      <c r="H2229" s="17">
        <v>2220</v>
      </c>
      <c r="I2229" s="45">
        <v>0.67103638463978477</v>
      </c>
      <c r="J2229" s="45">
        <v>1.885762366441094E-2</v>
      </c>
      <c r="K2229" s="45">
        <v>0.24579999999999999</v>
      </c>
      <c r="N2229" s="54"/>
    </row>
    <row r="2230" spans="2:14" x14ac:dyDescent="0.2">
      <c r="B2230">
        <v>2221</v>
      </c>
      <c r="C2230" s="52">
        <f t="shared" ca="1" si="105"/>
        <v>-1.0557224649479957</v>
      </c>
      <c r="D2230" s="52">
        <f ca="1">S0*EXP((μ-0.5*σ*σ)*T+σ*SQRT(T)*$C2230)</f>
        <v>0.48087585855821369</v>
      </c>
      <c r="E2230" s="52">
        <f t="shared" ca="1" si="103"/>
        <v>5.3524141441786299E-2</v>
      </c>
      <c r="F2230" s="17">
        <f t="shared" ca="1" si="104"/>
        <v>1</v>
      </c>
      <c r="H2230" s="17">
        <v>2221</v>
      </c>
      <c r="I2230" s="45">
        <v>0.67127862568768659</v>
      </c>
      <c r="J2230" s="45">
        <v>1.8920272698813374E-2</v>
      </c>
      <c r="K2230" s="45">
        <v>0.25159999999999999</v>
      </c>
      <c r="N2230" s="54"/>
    </row>
    <row r="2231" spans="2:14" x14ac:dyDescent="0.2">
      <c r="B2231">
        <v>2222</v>
      </c>
      <c r="C2231" s="52">
        <f t="shared" ca="1" si="105"/>
        <v>0.23925346465789549</v>
      </c>
      <c r="D2231" s="52">
        <f ca="1">S0*EXP((μ-0.5*σ*σ)*T+σ*SQRT(T)*$C2231)</f>
        <v>0.68785812085396836</v>
      </c>
      <c r="E2231" s="52">
        <f t="shared" ca="1" si="103"/>
        <v>0</v>
      </c>
      <c r="F2231" s="17">
        <f t="shared" ca="1" si="104"/>
        <v>0</v>
      </c>
      <c r="H2231" s="17">
        <v>2222</v>
      </c>
      <c r="I2231" s="45">
        <v>0.67104129343129804</v>
      </c>
      <c r="J2231" s="45">
        <v>1.9127717679301194E-2</v>
      </c>
      <c r="K2231" s="45">
        <v>0.247</v>
      </c>
      <c r="N2231" s="54"/>
    </row>
    <row r="2232" spans="2:14" x14ac:dyDescent="0.2">
      <c r="B2232">
        <v>2223</v>
      </c>
      <c r="C2232" s="52">
        <f t="shared" ca="1" si="105"/>
        <v>-0.4095934191807945</v>
      </c>
      <c r="D2232" s="52">
        <f ca="1">S0*EXP((μ-0.5*σ*σ)*T+σ*SQRT(T)*$C2232)</f>
        <v>0.57491386083096752</v>
      </c>
      <c r="E2232" s="52">
        <f t="shared" ca="1" si="103"/>
        <v>0</v>
      </c>
      <c r="F2232" s="17">
        <f t="shared" ca="1" si="104"/>
        <v>0</v>
      </c>
      <c r="H2232" s="17">
        <v>2223</v>
      </c>
      <c r="I2232" s="45">
        <v>0.67160782775573824</v>
      </c>
      <c r="J2232" s="45">
        <v>1.9609073715894588E-2</v>
      </c>
      <c r="K2232" s="45">
        <v>0.249</v>
      </c>
      <c r="N2232" s="54"/>
    </row>
    <row r="2233" spans="2:14" x14ac:dyDescent="0.2">
      <c r="B2233">
        <v>2224</v>
      </c>
      <c r="C2233" s="52">
        <f t="shared" ca="1" si="105"/>
        <v>0.1325250408838862</v>
      </c>
      <c r="D2233" s="52">
        <f ca="1">S0*EXP((μ-0.5*σ*σ)*T+σ*SQRT(T)*$C2233)</f>
        <v>0.66786054754677016</v>
      </c>
      <c r="E2233" s="52">
        <f t="shared" ca="1" si="103"/>
        <v>0</v>
      </c>
      <c r="F2233" s="17">
        <f t="shared" ca="1" si="104"/>
        <v>0</v>
      </c>
      <c r="H2233" s="17">
        <v>2224</v>
      </c>
      <c r="I2233" s="45">
        <v>0.67039087938968256</v>
      </c>
      <c r="J2233" s="45">
        <v>1.8477272666115239E-2</v>
      </c>
      <c r="K2233" s="45">
        <v>0.23619999999999999</v>
      </c>
      <c r="N2233" s="54"/>
    </row>
    <row r="2234" spans="2:14" x14ac:dyDescent="0.2">
      <c r="B2234">
        <v>2225</v>
      </c>
      <c r="C2234" s="52">
        <f t="shared" ca="1" si="105"/>
        <v>1.1790404588659396</v>
      </c>
      <c r="D2234" s="52">
        <f ca="1">S0*EXP((μ-0.5*σ*σ)*T+σ*SQRT(T)*$C2234)</f>
        <v>0.891914501343546</v>
      </c>
      <c r="E2234" s="52">
        <f t="shared" ca="1" si="103"/>
        <v>0</v>
      </c>
      <c r="F2234" s="17">
        <f t="shared" ca="1" si="104"/>
        <v>0</v>
      </c>
      <c r="H2234" s="17">
        <v>2225</v>
      </c>
      <c r="I2234" s="45">
        <v>0.67158268237152785</v>
      </c>
      <c r="J2234" s="45">
        <v>1.9394505576714863E-2</v>
      </c>
      <c r="K2234" s="45">
        <v>0.24979999999999999</v>
      </c>
      <c r="N2234" s="54"/>
    </row>
    <row r="2235" spans="2:14" x14ac:dyDescent="0.2">
      <c r="B2235">
        <v>2226</v>
      </c>
      <c r="C2235" s="52">
        <f t="shared" ca="1" si="105"/>
        <v>1.2644090581436449</v>
      </c>
      <c r="D2235" s="52">
        <f ca="1">S0*EXP((μ-0.5*σ*σ)*T+σ*SQRT(T)*$C2235)</f>
        <v>0.91321280246751879</v>
      </c>
      <c r="E2235" s="52">
        <f t="shared" ca="1" si="103"/>
        <v>0</v>
      </c>
      <c r="F2235" s="17">
        <f t="shared" ca="1" si="104"/>
        <v>0</v>
      </c>
      <c r="H2235" s="17">
        <v>2226</v>
      </c>
      <c r="I2235" s="45">
        <v>0.67027495411826743</v>
      </c>
      <c r="J2235" s="45">
        <v>1.8999887114332974E-2</v>
      </c>
      <c r="K2235" s="45">
        <v>0.25259999999999999</v>
      </c>
      <c r="N2235" s="54"/>
    </row>
    <row r="2236" spans="2:14" x14ac:dyDescent="0.2">
      <c r="B2236">
        <v>2227</v>
      </c>
      <c r="C2236" s="52">
        <f t="shared" ca="1" si="105"/>
        <v>-0.89268961942943825</v>
      </c>
      <c r="D2236" s="52">
        <f ca="1">S0*EXP((μ-0.5*σ*σ)*T+σ*SQRT(T)*$C2236)</f>
        <v>0.50304353933501234</v>
      </c>
      <c r="E2236" s="52">
        <f t="shared" ca="1" si="103"/>
        <v>3.1356460664987651E-2</v>
      </c>
      <c r="F2236" s="17">
        <f t="shared" ca="1" si="104"/>
        <v>1</v>
      </c>
      <c r="H2236" s="17">
        <v>2227</v>
      </c>
      <c r="I2236" s="45">
        <v>0.67039119817822601</v>
      </c>
      <c r="J2236" s="45">
        <v>1.8458681626176695E-2</v>
      </c>
      <c r="K2236" s="45">
        <v>0.2422</v>
      </c>
      <c r="N2236" s="54"/>
    </row>
    <row r="2237" spans="2:14" x14ac:dyDescent="0.2">
      <c r="B2237">
        <v>2228</v>
      </c>
      <c r="C2237" s="52">
        <f t="shared" ca="1" si="105"/>
        <v>-0.81541617483721651</v>
      </c>
      <c r="D2237" s="52">
        <f ca="1">S0*EXP((μ-0.5*σ*σ)*T+σ*SQRT(T)*$C2237)</f>
        <v>0.51390458613943102</v>
      </c>
      <c r="E2237" s="52">
        <f t="shared" ca="1" si="103"/>
        <v>2.0495413860568967E-2</v>
      </c>
      <c r="F2237" s="17">
        <f t="shared" ca="1" si="104"/>
        <v>1</v>
      </c>
      <c r="H2237" s="17">
        <v>2228</v>
      </c>
      <c r="I2237" s="45">
        <v>0.67168727455134358</v>
      </c>
      <c r="J2237" s="45">
        <v>1.9411496855727618E-2</v>
      </c>
      <c r="K2237" s="45">
        <v>0.24340000000000001</v>
      </c>
      <c r="N2237" s="54"/>
    </row>
    <row r="2238" spans="2:14" x14ac:dyDescent="0.2">
      <c r="B2238">
        <v>2229</v>
      </c>
      <c r="C2238" s="52">
        <f t="shared" ca="1" si="105"/>
        <v>-1.0737058779202477</v>
      </c>
      <c r="D2238" s="52">
        <f ca="1">S0*EXP((μ-0.5*σ*σ)*T+σ*SQRT(T)*$C2238)</f>
        <v>0.47849126053850777</v>
      </c>
      <c r="E2238" s="52">
        <f t="shared" ca="1" si="103"/>
        <v>5.5908739461492218E-2</v>
      </c>
      <c r="F2238" s="17">
        <f t="shared" ca="1" si="104"/>
        <v>1</v>
      </c>
      <c r="H2238" s="17">
        <v>2229</v>
      </c>
      <c r="I2238" s="45">
        <v>0.67099894420637485</v>
      </c>
      <c r="J2238" s="45">
        <v>1.8954055766599025E-2</v>
      </c>
      <c r="K2238" s="45">
        <v>0.24560000000000001</v>
      </c>
      <c r="N2238" s="54"/>
    </row>
    <row r="2239" spans="2:14" x14ac:dyDescent="0.2">
      <c r="B2239">
        <v>2230</v>
      </c>
      <c r="C2239" s="52">
        <f t="shared" ca="1" si="105"/>
        <v>-2.1313524340626926</v>
      </c>
      <c r="D2239" s="52">
        <f ca="1">S0*EXP((μ-0.5*σ*σ)*T+σ*SQRT(T)*$C2239)</f>
        <v>0.35719078509234148</v>
      </c>
      <c r="E2239" s="52">
        <f t="shared" ca="1" si="103"/>
        <v>0.17720921490765851</v>
      </c>
      <c r="F2239" s="17">
        <f t="shared" ca="1" si="104"/>
        <v>1</v>
      </c>
      <c r="H2239" s="17">
        <v>2230</v>
      </c>
      <c r="I2239" s="45">
        <v>0.66980033544690554</v>
      </c>
      <c r="J2239" s="45">
        <v>1.7839370823323424E-2</v>
      </c>
      <c r="K2239" s="45">
        <v>0.2334</v>
      </c>
      <c r="N2239" s="54"/>
    </row>
    <row r="2240" spans="2:14" x14ac:dyDescent="0.2">
      <c r="B2240">
        <v>2231</v>
      </c>
      <c r="C2240" s="52">
        <f t="shared" ca="1" si="105"/>
        <v>2.1624414214221548</v>
      </c>
      <c r="D2240" s="52">
        <f ca="1">S0*EXP((μ-0.5*σ*σ)*T+σ*SQRT(T)*$C2240)</f>
        <v>1.1705327626505893</v>
      </c>
      <c r="E2240" s="52">
        <f t="shared" ca="1" si="103"/>
        <v>0</v>
      </c>
      <c r="F2240" s="17">
        <f t="shared" ca="1" si="104"/>
        <v>0</v>
      </c>
      <c r="H2240" s="17">
        <v>2231</v>
      </c>
      <c r="I2240" s="45">
        <v>0.67021335162890816</v>
      </c>
      <c r="J2240" s="45">
        <v>1.8473001644598704E-2</v>
      </c>
      <c r="K2240" s="45">
        <v>0.2356</v>
      </c>
      <c r="N2240" s="54"/>
    </row>
    <row r="2241" spans="2:14" x14ac:dyDescent="0.2">
      <c r="B2241">
        <v>2232</v>
      </c>
      <c r="C2241" s="52">
        <f t="shared" ca="1" si="105"/>
        <v>-1.6098546902461432</v>
      </c>
      <c r="D2241" s="52">
        <f ca="1">S0*EXP((μ-0.5*σ*σ)*T+σ*SQRT(T)*$C2241)</f>
        <v>0.41257952823127297</v>
      </c>
      <c r="E2241" s="52">
        <f t="shared" ca="1" si="103"/>
        <v>0.12182047176872701</v>
      </c>
      <c r="F2241" s="17">
        <f t="shared" ca="1" si="104"/>
        <v>1</v>
      </c>
      <c r="H2241" s="17">
        <v>2232</v>
      </c>
      <c r="I2241" s="45">
        <v>0.67120662878691184</v>
      </c>
      <c r="J2241" s="45">
        <v>1.9369659325051792E-2</v>
      </c>
      <c r="K2241" s="45">
        <v>0.25240000000000001</v>
      </c>
      <c r="N2241" s="54"/>
    </row>
    <row r="2242" spans="2:14" x14ac:dyDescent="0.2">
      <c r="B2242">
        <v>2233</v>
      </c>
      <c r="C2242" s="52">
        <f t="shared" ca="1" si="105"/>
        <v>2.1595661763673299</v>
      </c>
      <c r="D2242" s="52">
        <f ca="1">S0*EXP((μ-0.5*σ*σ)*T+σ*SQRT(T)*$C2242)</f>
        <v>1.1696027797115278</v>
      </c>
      <c r="E2242" s="52">
        <f t="shared" ca="1" si="103"/>
        <v>0</v>
      </c>
      <c r="F2242" s="17">
        <f t="shared" ca="1" si="104"/>
        <v>0</v>
      </c>
      <c r="H2242" s="17">
        <v>2233</v>
      </c>
      <c r="I2242" s="45">
        <v>0.67112247660375046</v>
      </c>
      <c r="J2242" s="45">
        <v>1.9260803627316511E-2</v>
      </c>
      <c r="K2242" s="45">
        <v>0.24660000000000001</v>
      </c>
      <c r="N2242" s="54"/>
    </row>
    <row r="2243" spans="2:14" x14ac:dyDescent="0.2">
      <c r="B2243">
        <v>2234</v>
      </c>
      <c r="C2243" s="52">
        <f t="shared" ca="1" si="105"/>
        <v>0.62693923549825437</v>
      </c>
      <c r="D2243" s="52">
        <f ca="1">S0*EXP((μ-0.5*σ*σ)*T+σ*SQRT(T)*$C2243)</f>
        <v>0.7656702154219367</v>
      </c>
      <c r="E2243" s="52">
        <f t="shared" ca="1" si="103"/>
        <v>0</v>
      </c>
      <c r="F2243" s="17">
        <f t="shared" ca="1" si="104"/>
        <v>0</v>
      </c>
      <c r="H2243" s="17">
        <v>2234</v>
      </c>
      <c r="I2243" s="45">
        <v>0.6692202177586678</v>
      </c>
      <c r="J2243" s="45">
        <v>1.7765946163106967E-2</v>
      </c>
      <c r="K2243" s="45">
        <v>0.24</v>
      </c>
      <c r="N2243" s="54"/>
    </row>
    <row r="2244" spans="2:14" x14ac:dyDescent="0.2">
      <c r="B2244">
        <v>2235</v>
      </c>
      <c r="C2244" s="52">
        <f t="shared" ca="1" si="105"/>
        <v>-1.1534860429846239</v>
      </c>
      <c r="D2244" s="52">
        <f ca="1">S0*EXP((μ-0.5*σ*σ)*T+σ*SQRT(T)*$C2244)</f>
        <v>0.46805420643321188</v>
      </c>
      <c r="E2244" s="52">
        <f t="shared" ca="1" si="103"/>
        <v>6.6345793566788103E-2</v>
      </c>
      <c r="F2244" s="17">
        <f t="shared" ca="1" si="104"/>
        <v>1</v>
      </c>
      <c r="H2244" s="17">
        <v>2235</v>
      </c>
      <c r="I2244" s="45">
        <v>0.67125080437697759</v>
      </c>
      <c r="J2244" s="45">
        <v>1.9468865488375443E-2</v>
      </c>
      <c r="K2244" s="45">
        <v>0.25080000000000002</v>
      </c>
      <c r="N2244" s="54"/>
    </row>
    <row r="2245" spans="2:14" x14ac:dyDescent="0.2">
      <c r="B2245">
        <v>2236</v>
      </c>
      <c r="C2245" s="52">
        <f t="shared" ca="1" si="105"/>
        <v>1.148266358290092</v>
      </c>
      <c r="D2245" s="52">
        <f ca="1">S0*EXP((μ-0.5*σ*σ)*T+σ*SQRT(T)*$C2245)</f>
        <v>0.88435920050331462</v>
      </c>
      <c r="E2245" s="52">
        <f t="shared" ca="1" si="103"/>
        <v>0</v>
      </c>
      <c r="F2245" s="17">
        <f t="shared" ca="1" si="104"/>
        <v>0</v>
      </c>
      <c r="H2245" s="17">
        <v>2236</v>
      </c>
      <c r="I2245" s="45">
        <v>0.67068044011664441</v>
      </c>
      <c r="J2245" s="45">
        <v>1.8703484827167428E-2</v>
      </c>
      <c r="K2245" s="45">
        <v>0.24879999999999999</v>
      </c>
      <c r="N2245" s="54"/>
    </row>
    <row r="2246" spans="2:14" x14ac:dyDescent="0.2">
      <c r="B2246">
        <v>2237</v>
      </c>
      <c r="C2246" s="52">
        <f t="shared" ca="1" si="105"/>
        <v>-0.71194241716255202</v>
      </c>
      <c r="D2246" s="52">
        <f ca="1">S0*EXP((μ-0.5*σ*σ)*T+σ*SQRT(T)*$C2246)</f>
        <v>0.52881630869265639</v>
      </c>
      <c r="E2246" s="52">
        <f t="shared" ca="1" si="103"/>
        <v>5.5836913073435968E-3</v>
      </c>
      <c r="F2246" s="17">
        <f t="shared" ca="1" si="104"/>
        <v>1</v>
      </c>
      <c r="H2246" s="17">
        <v>2237</v>
      </c>
      <c r="I2246" s="45">
        <v>0.67063831587989309</v>
      </c>
      <c r="J2246" s="45">
        <v>1.863982964976699E-2</v>
      </c>
      <c r="K2246" s="45">
        <v>0.249</v>
      </c>
      <c r="N2246" s="54"/>
    </row>
    <row r="2247" spans="2:14" x14ac:dyDescent="0.2">
      <c r="B2247">
        <v>2238</v>
      </c>
      <c r="C2247" s="52">
        <f t="shared" ca="1" si="105"/>
        <v>0.72335607132100976</v>
      </c>
      <c r="D2247" s="52">
        <f ca="1">S0*EXP((μ-0.5*σ*σ)*T+σ*SQRT(T)*$C2247)</f>
        <v>0.78635181737683268</v>
      </c>
      <c r="E2247" s="52">
        <f t="shared" ca="1" si="103"/>
        <v>0</v>
      </c>
      <c r="F2247" s="17">
        <f t="shared" ca="1" si="104"/>
        <v>0</v>
      </c>
      <c r="H2247" s="17">
        <v>2238</v>
      </c>
      <c r="I2247" s="45">
        <v>0.67019199128221651</v>
      </c>
      <c r="J2247" s="45">
        <v>1.8517635350855353E-2</v>
      </c>
      <c r="K2247" s="45">
        <v>0.246</v>
      </c>
      <c r="N2247" s="54"/>
    </row>
    <row r="2248" spans="2:14" x14ac:dyDescent="0.2">
      <c r="B2248">
        <v>2239</v>
      </c>
      <c r="C2248" s="52">
        <f t="shared" ca="1" si="105"/>
        <v>-2.2788701642565288</v>
      </c>
      <c r="D2248" s="52">
        <f ca="1">S0*EXP((μ-0.5*σ*σ)*T+σ*SQRT(T)*$C2248)</f>
        <v>0.3429180009109114</v>
      </c>
      <c r="E2248" s="52">
        <f t="shared" ca="1" si="103"/>
        <v>0.19148199908908858</v>
      </c>
      <c r="F2248" s="17">
        <f t="shared" ca="1" si="104"/>
        <v>1</v>
      </c>
      <c r="H2248" s="17">
        <v>2239</v>
      </c>
      <c r="I2248" s="45">
        <v>0.67124645127356075</v>
      </c>
      <c r="J2248" s="45">
        <v>1.9470106776873497E-2</v>
      </c>
      <c r="K2248" s="45">
        <v>0.2482</v>
      </c>
      <c r="N2248" s="54"/>
    </row>
    <row r="2249" spans="2:14" x14ac:dyDescent="0.2">
      <c r="B2249">
        <v>2240</v>
      </c>
      <c r="C2249" s="52">
        <f t="shared" ca="1" si="105"/>
        <v>-1.387238552421975</v>
      </c>
      <c r="D2249" s="52">
        <f ca="1">S0*EXP((μ-0.5*σ*σ)*T+σ*SQRT(T)*$C2249)</f>
        <v>0.43876647385273693</v>
      </c>
      <c r="E2249" s="52">
        <f t="shared" ca="1" si="103"/>
        <v>9.5633526147263059E-2</v>
      </c>
      <c r="F2249" s="17">
        <f t="shared" ca="1" si="104"/>
        <v>1</v>
      </c>
      <c r="H2249" s="17">
        <v>2240</v>
      </c>
      <c r="I2249" s="45">
        <v>0.67109229133150961</v>
      </c>
      <c r="J2249" s="45">
        <v>1.9024021650582163E-2</v>
      </c>
      <c r="K2249" s="45">
        <v>0.24579999999999999</v>
      </c>
      <c r="N2249" s="54"/>
    </row>
    <row r="2250" spans="2:14" x14ac:dyDescent="0.2">
      <c r="B2250">
        <v>2241</v>
      </c>
      <c r="C2250" s="52">
        <f t="shared" ca="1" si="105"/>
        <v>8.7921067949076781E-2</v>
      </c>
      <c r="D2250" s="52">
        <f ca="1">S0*EXP((μ-0.5*σ*σ)*T+σ*SQRT(T)*$C2250)</f>
        <v>0.65967639373628317</v>
      </c>
      <c r="E2250" s="52">
        <f t="shared" ref="E2250:E2313" ca="1" si="106">MAX(0,CP*(D2250-K))</f>
        <v>0</v>
      </c>
      <c r="F2250" s="17">
        <f t="shared" ref="F2250:F2313" ca="1" si="107">(CP*(D2250-K)&gt;0)*1</f>
        <v>0</v>
      </c>
      <c r="H2250" s="17">
        <v>2241</v>
      </c>
      <c r="I2250" s="45">
        <v>0.67084442120342291</v>
      </c>
      <c r="J2250" s="45">
        <v>1.8727416202651819E-2</v>
      </c>
      <c r="K2250" s="45">
        <v>0.24160000000000001</v>
      </c>
      <c r="N2250" s="54"/>
    </row>
    <row r="2251" spans="2:14" x14ac:dyDescent="0.2">
      <c r="B2251">
        <v>2242</v>
      </c>
      <c r="C2251" s="52">
        <f t="shared" ref="C2251:C2314" ca="1" si="108">_xlfn.NORM.S.INV(RAND())</f>
        <v>-0.31961908826292151</v>
      </c>
      <c r="D2251" s="52">
        <f ca="1">S0*EXP((μ-0.5*σ*σ)*T+σ*SQRT(T)*$C2251)</f>
        <v>0.58939232748970316</v>
      </c>
      <c r="E2251" s="52">
        <f t="shared" ca="1" si="106"/>
        <v>0</v>
      </c>
      <c r="F2251" s="17">
        <f t="shared" ca="1" si="107"/>
        <v>0</v>
      </c>
      <c r="H2251" s="17">
        <v>2242</v>
      </c>
      <c r="I2251" s="45">
        <v>0.67153574049997078</v>
      </c>
      <c r="J2251" s="45">
        <v>1.9502963202256793E-2</v>
      </c>
      <c r="K2251" s="45">
        <v>0.24579999999999999</v>
      </c>
      <c r="N2251" s="54"/>
    </row>
    <row r="2252" spans="2:14" x14ac:dyDescent="0.2">
      <c r="B2252">
        <v>2243</v>
      </c>
      <c r="C2252" s="52">
        <f t="shared" ca="1" si="108"/>
        <v>-1.8557188366882298</v>
      </c>
      <c r="D2252" s="52">
        <f ca="1">S0*EXP((μ-0.5*σ*σ)*T+σ*SQRT(T)*$C2252)</f>
        <v>0.38547029684379852</v>
      </c>
      <c r="E2252" s="52">
        <f t="shared" ca="1" si="106"/>
        <v>0.14892970315620147</v>
      </c>
      <c r="F2252" s="17">
        <f t="shared" ca="1" si="107"/>
        <v>1</v>
      </c>
      <c r="H2252" s="17">
        <v>2243</v>
      </c>
      <c r="I2252" s="45">
        <v>0.6724210648023542</v>
      </c>
      <c r="J2252" s="45">
        <v>2.0152310148054998E-2</v>
      </c>
      <c r="K2252" s="45">
        <v>0.254</v>
      </c>
      <c r="N2252" s="54"/>
    </row>
    <row r="2253" spans="2:14" x14ac:dyDescent="0.2">
      <c r="B2253">
        <v>2244</v>
      </c>
      <c r="C2253" s="52">
        <f t="shared" ca="1" si="108"/>
        <v>0.75852907667203651</v>
      </c>
      <c r="D2253" s="52">
        <f ca="1">S0*EXP((μ-0.5*σ*σ)*T+σ*SQRT(T)*$C2253)</f>
        <v>0.79403477645383536</v>
      </c>
      <c r="E2253" s="52">
        <f t="shared" ca="1" si="106"/>
        <v>0</v>
      </c>
      <c r="F2253" s="17">
        <f t="shared" ca="1" si="107"/>
        <v>0</v>
      </c>
      <c r="H2253" s="17">
        <v>2244</v>
      </c>
      <c r="I2253" s="45">
        <v>0.67016293906709878</v>
      </c>
      <c r="J2253" s="45">
        <v>1.8081835971237317E-2</v>
      </c>
      <c r="K2253" s="45">
        <v>0.23960000000000001</v>
      </c>
      <c r="N2253" s="54"/>
    </row>
    <row r="2254" spans="2:14" x14ac:dyDescent="0.2">
      <c r="B2254">
        <v>2245</v>
      </c>
      <c r="C2254" s="52">
        <f t="shared" ca="1" si="108"/>
        <v>1.1507985324748793</v>
      </c>
      <c r="D2254" s="52">
        <f ca="1">S0*EXP((μ-0.5*σ*σ)*T+σ*SQRT(T)*$C2254)</f>
        <v>0.88497844677960469</v>
      </c>
      <c r="E2254" s="52">
        <f t="shared" ca="1" si="106"/>
        <v>0</v>
      </c>
      <c r="F2254" s="17">
        <f t="shared" ca="1" si="107"/>
        <v>0</v>
      </c>
      <c r="H2254" s="17">
        <v>2245</v>
      </c>
      <c r="I2254" s="45">
        <v>0.6701018661051511</v>
      </c>
      <c r="J2254" s="45">
        <v>1.8219674844386243E-2</v>
      </c>
      <c r="K2254" s="45">
        <v>0.24940000000000001</v>
      </c>
      <c r="N2254" s="54"/>
    </row>
    <row r="2255" spans="2:14" x14ac:dyDescent="0.2">
      <c r="B2255">
        <v>2246</v>
      </c>
      <c r="C2255" s="52">
        <f t="shared" ca="1" si="108"/>
        <v>-1.8003650007724195</v>
      </c>
      <c r="D2255" s="52">
        <f ca="1">S0*EXP((μ-0.5*σ*σ)*T+σ*SQRT(T)*$C2255)</f>
        <v>0.39141396698657377</v>
      </c>
      <c r="E2255" s="52">
        <f t="shared" ca="1" si="106"/>
        <v>0.14298603301342622</v>
      </c>
      <c r="F2255" s="17">
        <f t="shared" ca="1" si="107"/>
        <v>1</v>
      </c>
      <c r="H2255" s="17">
        <v>2246</v>
      </c>
      <c r="I2255" s="45">
        <v>0.67106739505227186</v>
      </c>
      <c r="J2255" s="45">
        <v>1.9315005484461023E-2</v>
      </c>
      <c r="K2255" s="45">
        <v>0.24840000000000001</v>
      </c>
      <c r="N2255" s="54"/>
    </row>
    <row r="2256" spans="2:14" x14ac:dyDescent="0.2">
      <c r="B2256">
        <v>2247</v>
      </c>
      <c r="C2256" s="52">
        <f t="shared" ca="1" si="108"/>
        <v>-1.0985036169065132</v>
      </c>
      <c r="D2256" s="52">
        <f ca="1">S0*EXP((μ-0.5*σ*σ)*T+σ*SQRT(T)*$C2256)</f>
        <v>0.47522246660218914</v>
      </c>
      <c r="E2256" s="52">
        <f t="shared" ca="1" si="106"/>
        <v>5.9177533397810844E-2</v>
      </c>
      <c r="F2256" s="17">
        <f t="shared" ca="1" si="107"/>
        <v>1</v>
      </c>
      <c r="H2256" s="17">
        <v>2247</v>
      </c>
      <c r="I2256" s="45">
        <v>0.67044885024558643</v>
      </c>
      <c r="J2256" s="45">
        <v>1.8403116780849431E-2</v>
      </c>
      <c r="K2256" s="45">
        <v>0.247</v>
      </c>
      <c r="N2256" s="54"/>
    </row>
    <row r="2257" spans="2:14" x14ac:dyDescent="0.2">
      <c r="B2257">
        <v>2248</v>
      </c>
      <c r="C2257" s="52">
        <f t="shared" ca="1" si="108"/>
        <v>-0.39886159104070545</v>
      </c>
      <c r="D2257" s="52">
        <f ca="1">S0*EXP((μ-0.5*σ*σ)*T+σ*SQRT(T)*$C2257)</f>
        <v>0.57662194774081688</v>
      </c>
      <c r="E2257" s="52">
        <f t="shared" ca="1" si="106"/>
        <v>0</v>
      </c>
      <c r="F2257" s="17">
        <f t="shared" ca="1" si="107"/>
        <v>0</v>
      </c>
      <c r="H2257" s="17">
        <v>2248</v>
      </c>
      <c r="I2257" s="45">
        <v>0.67079835452252401</v>
      </c>
      <c r="J2257" s="45">
        <v>1.8885570356829241E-2</v>
      </c>
      <c r="K2257" s="45">
        <v>0.24479999999999999</v>
      </c>
      <c r="N2257" s="54"/>
    </row>
    <row r="2258" spans="2:14" x14ac:dyDescent="0.2">
      <c r="B2258">
        <v>2249</v>
      </c>
      <c r="C2258" s="52">
        <f t="shared" ca="1" si="108"/>
        <v>-0.77244213132973283</v>
      </c>
      <c r="D2258" s="52">
        <f ca="1">S0*EXP((μ-0.5*σ*σ)*T+σ*SQRT(T)*$C2258)</f>
        <v>0.52004588131722662</v>
      </c>
      <c r="E2258" s="52">
        <f t="shared" ca="1" si="106"/>
        <v>1.4354118682773365E-2</v>
      </c>
      <c r="F2258" s="17">
        <f t="shared" ca="1" si="107"/>
        <v>1</v>
      </c>
      <c r="H2258" s="17">
        <v>2249</v>
      </c>
      <c r="I2258" s="45">
        <v>0.6706317614733841</v>
      </c>
      <c r="J2258" s="45">
        <v>1.8664406107222878E-2</v>
      </c>
      <c r="K2258" s="45">
        <v>0.24199999999999999</v>
      </c>
      <c r="N2258" s="54"/>
    </row>
    <row r="2259" spans="2:14" x14ac:dyDescent="0.2">
      <c r="B2259">
        <v>2250</v>
      </c>
      <c r="C2259" s="52">
        <f t="shared" ca="1" si="108"/>
        <v>-0.24353918709067707</v>
      </c>
      <c r="D2259" s="52">
        <f ca="1">S0*EXP((μ-0.5*σ*σ)*T+σ*SQRT(T)*$C2259)</f>
        <v>0.6019190759833094</v>
      </c>
      <c r="E2259" s="52">
        <f t="shared" ca="1" si="106"/>
        <v>0</v>
      </c>
      <c r="F2259" s="17">
        <f t="shared" ca="1" si="107"/>
        <v>0</v>
      </c>
      <c r="H2259" s="17">
        <v>2250</v>
      </c>
      <c r="I2259" s="45">
        <v>0.67080832924367573</v>
      </c>
      <c r="J2259" s="45">
        <v>1.8942414922142815E-2</v>
      </c>
      <c r="K2259" s="45">
        <v>0.24179999999999999</v>
      </c>
      <c r="N2259" s="54"/>
    </row>
    <row r="2260" spans="2:14" x14ac:dyDescent="0.2">
      <c r="B2260">
        <v>2251</v>
      </c>
      <c r="C2260" s="52">
        <f t="shared" ca="1" si="108"/>
        <v>0.48652515935115914</v>
      </c>
      <c r="D2260" s="52">
        <f ca="1">S0*EXP((μ-0.5*σ*σ)*T+σ*SQRT(T)*$C2260)</f>
        <v>0.7365201045399028</v>
      </c>
      <c r="E2260" s="52">
        <f t="shared" ca="1" si="106"/>
        <v>0</v>
      </c>
      <c r="F2260" s="17">
        <f t="shared" ca="1" si="107"/>
        <v>0</v>
      </c>
      <c r="H2260" s="17">
        <v>2251</v>
      </c>
      <c r="I2260" s="45">
        <v>0.67146827071395232</v>
      </c>
      <c r="J2260" s="45">
        <v>1.9385980748343953E-2</v>
      </c>
      <c r="K2260" s="45">
        <v>0.25659999999999999</v>
      </c>
      <c r="N2260" s="54"/>
    </row>
    <row r="2261" spans="2:14" x14ac:dyDescent="0.2">
      <c r="B2261">
        <v>2252</v>
      </c>
      <c r="C2261" s="52">
        <f t="shared" ca="1" si="108"/>
        <v>-0.77911840403658439</v>
      </c>
      <c r="D2261" s="52">
        <f ca="1">S0*EXP((μ-0.5*σ*σ)*T+σ*SQRT(T)*$C2261)</f>
        <v>0.51908700154081266</v>
      </c>
      <c r="E2261" s="52">
        <f t="shared" ca="1" si="106"/>
        <v>1.5312998459187321E-2</v>
      </c>
      <c r="F2261" s="17">
        <f t="shared" ca="1" si="107"/>
        <v>1</v>
      </c>
      <c r="H2261" s="17">
        <v>2252</v>
      </c>
      <c r="I2261" s="45">
        <v>0.67129674512081516</v>
      </c>
      <c r="J2261" s="45">
        <v>1.9211794425405916E-2</v>
      </c>
      <c r="K2261" s="45">
        <v>0.2482</v>
      </c>
      <c r="N2261" s="54"/>
    </row>
    <row r="2262" spans="2:14" x14ac:dyDescent="0.2">
      <c r="B2262">
        <v>2253</v>
      </c>
      <c r="C2262" s="52">
        <f t="shared" ca="1" si="108"/>
        <v>0.47691871484300308</v>
      </c>
      <c r="D2262" s="52">
        <f ca="1">S0*EXP((μ-0.5*σ*σ)*T+σ*SQRT(T)*$C2262)</f>
        <v>0.73456684527850302</v>
      </c>
      <c r="E2262" s="52">
        <f t="shared" ca="1" si="106"/>
        <v>0</v>
      </c>
      <c r="F2262" s="17">
        <f t="shared" ca="1" si="107"/>
        <v>0</v>
      </c>
      <c r="H2262" s="17">
        <v>2253</v>
      </c>
      <c r="I2262" s="45">
        <v>0.67114700970626684</v>
      </c>
      <c r="J2262" s="45">
        <v>1.9040980304967418E-2</v>
      </c>
      <c r="K2262" s="45">
        <v>0.23980000000000001</v>
      </c>
      <c r="N2262" s="54"/>
    </row>
    <row r="2263" spans="2:14" x14ac:dyDescent="0.2">
      <c r="B2263">
        <v>2254</v>
      </c>
      <c r="C2263" s="52">
        <f t="shared" ca="1" si="108"/>
        <v>-6.367677809938424E-2</v>
      </c>
      <c r="D2263" s="52">
        <f ca="1">S0*EXP((μ-0.5*σ*σ)*T+σ*SQRT(T)*$C2263)</f>
        <v>0.63260285798993665</v>
      </c>
      <c r="E2263" s="52">
        <f t="shared" ca="1" si="106"/>
        <v>0</v>
      </c>
      <c r="F2263" s="17">
        <f t="shared" ca="1" si="107"/>
        <v>0</v>
      </c>
      <c r="H2263" s="17">
        <v>2254</v>
      </c>
      <c r="I2263" s="45">
        <v>0.67081111528151427</v>
      </c>
      <c r="J2263" s="45">
        <v>1.8825614491485464E-2</v>
      </c>
      <c r="K2263" s="45">
        <v>0.24479999999999999</v>
      </c>
      <c r="N2263" s="54"/>
    </row>
    <row r="2264" spans="2:14" x14ac:dyDescent="0.2">
      <c r="B2264">
        <v>2255</v>
      </c>
      <c r="C2264" s="52">
        <f t="shared" ca="1" si="108"/>
        <v>-1.4281636608388826</v>
      </c>
      <c r="D2264" s="52">
        <f ca="1">S0*EXP((μ-0.5*σ*σ)*T+σ*SQRT(T)*$C2264)</f>
        <v>0.43383066742996279</v>
      </c>
      <c r="E2264" s="52">
        <f t="shared" ca="1" si="106"/>
        <v>0.1005693325700372</v>
      </c>
      <c r="F2264" s="17">
        <f t="shared" ca="1" si="107"/>
        <v>1</v>
      </c>
      <c r="H2264" s="17">
        <v>2255</v>
      </c>
      <c r="I2264" s="45">
        <v>0.6712517303487382</v>
      </c>
      <c r="J2264" s="45">
        <v>1.9170946863440504E-2</v>
      </c>
      <c r="K2264" s="45">
        <v>0.25140000000000001</v>
      </c>
      <c r="N2264" s="54"/>
    </row>
    <row r="2265" spans="2:14" x14ac:dyDescent="0.2">
      <c r="B2265">
        <v>2256</v>
      </c>
      <c r="C2265" s="52">
        <f t="shared" ca="1" si="108"/>
        <v>-0.27340605974076165</v>
      </c>
      <c r="D2265" s="52">
        <f ca="1">S0*EXP((μ-0.5*σ*σ)*T+σ*SQRT(T)*$C2265)</f>
        <v>0.59696998535045198</v>
      </c>
      <c r="E2265" s="52">
        <f t="shared" ca="1" si="106"/>
        <v>0</v>
      </c>
      <c r="F2265" s="17">
        <f t="shared" ca="1" si="107"/>
        <v>0</v>
      </c>
      <c r="H2265" s="17">
        <v>2256</v>
      </c>
      <c r="I2265" s="45">
        <v>0.67147679887872469</v>
      </c>
      <c r="J2265" s="45">
        <v>1.9398310566708959E-2</v>
      </c>
      <c r="K2265" s="45">
        <v>0.25119999999999998</v>
      </c>
      <c r="N2265" s="54"/>
    </row>
    <row r="2266" spans="2:14" x14ac:dyDescent="0.2">
      <c r="B2266">
        <v>2257</v>
      </c>
      <c r="C2266" s="52">
        <f t="shared" ca="1" si="108"/>
        <v>1.1192299837622643</v>
      </c>
      <c r="D2266" s="52">
        <f ca="1">S0*EXP((μ-0.5*σ*σ)*T+σ*SQRT(T)*$C2266)</f>
        <v>0.87728921664840198</v>
      </c>
      <c r="E2266" s="52">
        <f t="shared" ca="1" si="106"/>
        <v>0</v>
      </c>
      <c r="F2266" s="17">
        <f t="shared" ca="1" si="107"/>
        <v>0</v>
      </c>
      <c r="H2266" s="17">
        <v>2257</v>
      </c>
      <c r="I2266" s="45">
        <v>0.67047452699938626</v>
      </c>
      <c r="J2266" s="45">
        <v>1.8742879729113624E-2</v>
      </c>
      <c r="K2266" s="45">
        <v>0.24399999999999999</v>
      </c>
      <c r="N2266" s="54"/>
    </row>
    <row r="2267" spans="2:14" x14ac:dyDescent="0.2">
      <c r="B2267">
        <v>2258</v>
      </c>
      <c r="C2267" s="52">
        <f t="shared" ca="1" si="108"/>
        <v>-0.22826919257483028</v>
      </c>
      <c r="D2267" s="52">
        <f ca="1">S0*EXP((μ-0.5*σ*σ)*T+σ*SQRT(T)*$C2267)</f>
        <v>0.6044652204273413</v>
      </c>
      <c r="E2267" s="52">
        <f t="shared" ca="1" si="106"/>
        <v>0</v>
      </c>
      <c r="F2267" s="17">
        <f t="shared" ca="1" si="107"/>
        <v>0</v>
      </c>
      <c r="H2267" s="17">
        <v>2258</v>
      </c>
      <c r="I2267" s="45">
        <v>0.67037941201972162</v>
      </c>
      <c r="J2267" s="45">
        <v>1.8578499691357456E-2</v>
      </c>
      <c r="K2267" s="45">
        <v>0.245</v>
      </c>
      <c r="N2267" s="54"/>
    </row>
    <row r="2268" spans="2:14" x14ac:dyDescent="0.2">
      <c r="B2268">
        <v>2259</v>
      </c>
      <c r="C2268" s="52">
        <f t="shared" ca="1" si="108"/>
        <v>-1.6904234138527907</v>
      </c>
      <c r="D2268" s="52">
        <f ca="1">S0*EXP((μ-0.5*σ*σ)*T+σ*SQRT(T)*$C2268)</f>
        <v>0.40349220464018437</v>
      </c>
      <c r="E2268" s="52">
        <f t="shared" ca="1" si="106"/>
        <v>0.13090779535981562</v>
      </c>
      <c r="F2268" s="17">
        <f t="shared" ca="1" si="107"/>
        <v>1</v>
      </c>
      <c r="H2268" s="17">
        <v>2259</v>
      </c>
      <c r="I2268" s="45">
        <v>0.67103969940741959</v>
      </c>
      <c r="J2268" s="45">
        <v>1.9190207129578293E-2</v>
      </c>
      <c r="K2268" s="45">
        <v>0.25040000000000001</v>
      </c>
      <c r="N2268" s="54"/>
    </row>
    <row r="2269" spans="2:14" x14ac:dyDescent="0.2">
      <c r="B2269">
        <v>2260</v>
      </c>
      <c r="C2269" s="52">
        <f t="shared" ca="1" si="108"/>
        <v>-0.80184408313338784</v>
      </c>
      <c r="D2269" s="52">
        <f ca="1">S0*EXP((μ-0.5*σ*σ)*T+σ*SQRT(T)*$C2269)</f>
        <v>0.51583625794670485</v>
      </c>
      <c r="E2269" s="52">
        <f t="shared" ca="1" si="106"/>
        <v>1.856374205329514E-2</v>
      </c>
      <c r="F2269" s="17">
        <f t="shared" ca="1" si="107"/>
        <v>1</v>
      </c>
      <c r="H2269" s="17">
        <v>2260</v>
      </c>
      <c r="I2269" s="45">
        <v>0.67034961101490254</v>
      </c>
      <c r="J2269" s="45">
        <v>1.8811645720022398E-2</v>
      </c>
      <c r="K2269" s="45">
        <v>0.25540000000000002</v>
      </c>
      <c r="N2269" s="54"/>
    </row>
    <row r="2270" spans="2:14" x14ac:dyDescent="0.2">
      <c r="B2270">
        <v>2261</v>
      </c>
      <c r="C2270" s="52">
        <f t="shared" ca="1" si="108"/>
        <v>-0.94985737377127921</v>
      </c>
      <c r="D2270" s="52">
        <f ca="1">S0*EXP((μ-0.5*σ*σ)*T+σ*SQRT(T)*$C2270)</f>
        <v>0.49515641357346141</v>
      </c>
      <c r="E2270" s="52">
        <f t="shared" ca="1" si="106"/>
        <v>3.9243586426538579E-2</v>
      </c>
      <c r="F2270" s="17">
        <f t="shared" ca="1" si="107"/>
        <v>1</v>
      </c>
      <c r="H2270" s="17">
        <v>2261</v>
      </c>
      <c r="I2270" s="45">
        <v>0.66996855165536662</v>
      </c>
      <c r="J2270" s="45">
        <v>1.8368971914265002E-2</v>
      </c>
      <c r="K2270" s="45">
        <v>0.246</v>
      </c>
      <c r="N2270" s="54"/>
    </row>
    <row r="2271" spans="2:14" x14ac:dyDescent="0.2">
      <c r="B2271">
        <v>2262</v>
      </c>
      <c r="C2271" s="52">
        <f t="shared" ca="1" si="108"/>
        <v>-0.57729173240328946</v>
      </c>
      <c r="D2271" s="52">
        <f ca="1">S0*EXP((μ-0.5*σ*σ)*T+σ*SQRT(T)*$C2271)</f>
        <v>0.54887073377166329</v>
      </c>
      <c r="E2271" s="52">
        <f t="shared" ca="1" si="106"/>
        <v>0</v>
      </c>
      <c r="F2271" s="17">
        <f t="shared" ca="1" si="107"/>
        <v>0</v>
      </c>
      <c r="H2271" s="17">
        <v>2262</v>
      </c>
      <c r="I2271" s="45">
        <v>0.66973742756423604</v>
      </c>
      <c r="J2271" s="45">
        <v>1.8357979545991936E-2</v>
      </c>
      <c r="K2271" s="45">
        <v>0.24</v>
      </c>
      <c r="N2271" s="54"/>
    </row>
    <row r="2272" spans="2:14" x14ac:dyDescent="0.2">
      <c r="B2272">
        <v>2263</v>
      </c>
      <c r="C2272" s="52">
        <f t="shared" ca="1" si="108"/>
        <v>0.20891186720927482</v>
      </c>
      <c r="D2272" s="52">
        <f ca="1">S0*EXP((μ-0.5*σ*σ)*T+σ*SQRT(T)*$C2272)</f>
        <v>0.68211290428509908</v>
      </c>
      <c r="E2272" s="52">
        <f t="shared" ca="1" si="106"/>
        <v>0</v>
      </c>
      <c r="F2272" s="17">
        <f t="shared" ca="1" si="107"/>
        <v>0</v>
      </c>
      <c r="H2272" s="17">
        <v>2263</v>
      </c>
      <c r="I2272" s="45">
        <v>0.6710781446164773</v>
      </c>
      <c r="J2272" s="45">
        <v>1.9122457555105159E-2</v>
      </c>
      <c r="K2272" s="45">
        <v>0.24859999999999999</v>
      </c>
      <c r="N2272" s="54"/>
    </row>
    <row r="2273" spans="2:14" x14ac:dyDescent="0.2">
      <c r="B2273">
        <v>2264</v>
      </c>
      <c r="C2273" s="52">
        <f t="shared" ca="1" si="108"/>
        <v>0.46494070448663211</v>
      </c>
      <c r="D2273" s="52">
        <f ca="1">S0*EXP((μ-0.5*σ*σ)*T+σ*SQRT(T)*$C2273)</f>
        <v>0.73213863480323393</v>
      </c>
      <c r="E2273" s="52">
        <f t="shared" ca="1" si="106"/>
        <v>0</v>
      </c>
      <c r="F2273" s="17">
        <f t="shared" ca="1" si="107"/>
        <v>0</v>
      </c>
      <c r="H2273" s="17">
        <v>2264</v>
      </c>
      <c r="I2273" s="45">
        <v>0.67065999064469539</v>
      </c>
      <c r="J2273" s="45">
        <v>1.8908175205458295E-2</v>
      </c>
      <c r="K2273" s="45">
        <v>0.25119999999999998</v>
      </c>
      <c r="N2273" s="54"/>
    </row>
    <row r="2274" spans="2:14" x14ac:dyDescent="0.2">
      <c r="B2274">
        <v>2265</v>
      </c>
      <c r="C2274" s="52">
        <f t="shared" ca="1" si="108"/>
        <v>-0.77569291143838159</v>
      </c>
      <c r="D2274" s="52">
        <f ca="1">S0*EXP((μ-0.5*σ*σ)*T+σ*SQRT(T)*$C2274)</f>
        <v>0.51957876691459048</v>
      </c>
      <c r="E2274" s="52">
        <f t="shared" ca="1" si="106"/>
        <v>1.4821233085409502E-2</v>
      </c>
      <c r="F2274" s="17">
        <f t="shared" ca="1" si="107"/>
        <v>1</v>
      </c>
      <c r="H2274" s="17">
        <v>2265</v>
      </c>
      <c r="I2274" s="45">
        <v>0.67256752399379016</v>
      </c>
      <c r="J2274" s="45">
        <v>2.0264753067610525E-2</v>
      </c>
      <c r="K2274" s="45">
        <v>0.25159999999999999</v>
      </c>
      <c r="N2274" s="54"/>
    </row>
    <row r="2275" spans="2:14" x14ac:dyDescent="0.2">
      <c r="B2275">
        <v>2266</v>
      </c>
      <c r="C2275" s="52">
        <f t="shared" ca="1" si="108"/>
        <v>-0.24768201542088172</v>
      </c>
      <c r="D2275" s="52">
        <f ca="1">S0*EXP((μ-0.5*σ*σ)*T+σ*SQRT(T)*$C2275)</f>
        <v>0.60123014532712971</v>
      </c>
      <c r="E2275" s="52">
        <f t="shared" ca="1" si="106"/>
        <v>0</v>
      </c>
      <c r="F2275" s="17">
        <f t="shared" ca="1" si="107"/>
        <v>0</v>
      </c>
      <c r="H2275" s="17">
        <v>2266</v>
      </c>
      <c r="I2275" s="45">
        <v>0.67074421153489405</v>
      </c>
      <c r="J2275" s="45">
        <v>1.8620332084828162E-2</v>
      </c>
      <c r="K2275" s="45">
        <v>0.24779999999999999</v>
      </c>
      <c r="N2275" s="54"/>
    </row>
    <row r="2276" spans="2:14" x14ac:dyDescent="0.2">
      <c r="B2276">
        <v>2267</v>
      </c>
      <c r="C2276" s="52">
        <f t="shared" ca="1" si="108"/>
        <v>-1.1275349098518086</v>
      </c>
      <c r="D2276" s="52">
        <f ca="1">S0*EXP((μ-0.5*σ*σ)*T+σ*SQRT(T)*$C2276)</f>
        <v>0.47142397665837688</v>
      </c>
      <c r="E2276" s="52">
        <f t="shared" ca="1" si="106"/>
        <v>6.2976023341623111E-2</v>
      </c>
      <c r="F2276" s="17">
        <f t="shared" ca="1" si="107"/>
        <v>1</v>
      </c>
      <c r="H2276" s="17">
        <v>2267</v>
      </c>
      <c r="I2276" s="45">
        <v>0.67037312952377892</v>
      </c>
      <c r="J2276" s="45">
        <v>1.8903837614309818E-2</v>
      </c>
      <c r="K2276" s="45">
        <v>0.2462</v>
      </c>
      <c r="N2276" s="54"/>
    </row>
    <row r="2277" spans="2:14" x14ac:dyDescent="0.2">
      <c r="B2277">
        <v>2268</v>
      </c>
      <c r="C2277" s="52">
        <f t="shared" ca="1" si="108"/>
        <v>-0.93940849988435959</v>
      </c>
      <c r="D2277" s="52">
        <f ca="1">S0*EXP((μ-0.5*σ*σ)*T+σ*SQRT(T)*$C2277)</f>
        <v>0.49658869506192993</v>
      </c>
      <c r="E2277" s="52">
        <f t="shared" ca="1" si="106"/>
        <v>3.7811304938070056E-2</v>
      </c>
      <c r="F2277" s="17">
        <f t="shared" ca="1" si="107"/>
        <v>1</v>
      </c>
      <c r="H2277" s="17">
        <v>2268</v>
      </c>
      <c r="I2277" s="45">
        <v>0.67113207528949037</v>
      </c>
      <c r="J2277" s="45">
        <v>1.891890429585218E-2</v>
      </c>
      <c r="K2277" s="45">
        <v>0.24199999999999999</v>
      </c>
      <c r="N2277" s="54"/>
    </row>
    <row r="2278" spans="2:14" x14ac:dyDescent="0.2">
      <c r="B2278">
        <v>2269</v>
      </c>
      <c r="C2278" s="52">
        <f t="shared" ca="1" si="108"/>
        <v>-1.9853991609453738</v>
      </c>
      <c r="D2278" s="52">
        <f ca="1">S0*EXP((μ-0.5*σ*σ)*T+σ*SQRT(T)*$C2278)</f>
        <v>0.37189675711810932</v>
      </c>
      <c r="E2278" s="52">
        <f t="shared" ca="1" si="106"/>
        <v>0.16250324288189066</v>
      </c>
      <c r="F2278" s="17">
        <f t="shared" ca="1" si="107"/>
        <v>1</v>
      </c>
      <c r="H2278" s="17">
        <v>2269</v>
      </c>
      <c r="I2278" s="45">
        <v>0.66994985790715733</v>
      </c>
      <c r="J2278" s="45">
        <v>1.8318649468398538E-2</v>
      </c>
      <c r="K2278" s="45">
        <v>0.2432</v>
      </c>
      <c r="N2278" s="54"/>
    </row>
    <row r="2279" spans="2:14" x14ac:dyDescent="0.2">
      <c r="B2279">
        <v>2270</v>
      </c>
      <c r="C2279" s="52">
        <f t="shared" ca="1" si="108"/>
        <v>-0.36924473764280663</v>
      </c>
      <c r="D2279" s="52">
        <f ca="1">S0*EXP((μ-0.5*σ*σ)*T+σ*SQRT(T)*$C2279)</f>
        <v>0.58136216466900559</v>
      </c>
      <c r="E2279" s="52">
        <f t="shared" ca="1" si="106"/>
        <v>0</v>
      </c>
      <c r="F2279" s="17">
        <f t="shared" ca="1" si="107"/>
        <v>0</v>
      </c>
      <c r="H2279" s="17">
        <v>2270</v>
      </c>
      <c r="I2279" s="45">
        <v>0.66975906551761777</v>
      </c>
      <c r="J2279" s="45">
        <v>1.8082766263118253E-2</v>
      </c>
      <c r="K2279" s="45">
        <v>0.24399999999999999</v>
      </c>
      <c r="N2279" s="54"/>
    </row>
    <row r="2280" spans="2:14" x14ac:dyDescent="0.2">
      <c r="B2280">
        <v>2271</v>
      </c>
      <c r="C2280" s="52">
        <f t="shared" ca="1" si="108"/>
        <v>-0.55415403452630863</v>
      </c>
      <c r="D2280" s="52">
        <f ca="1">S0*EXP((μ-0.5*σ*σ)*T+σ*SQRT(T)*$C2280)</f>
        <v>0.55239256839642403</v>
      </c>
      <c r="E2280" s="52">
        <f t="shared" ca="1" si="106"/>
        <v>0</v>
      </c>
      <c r="F2280" s="17">
        <f t="shared" ca="1" si="107"/>
        <v>0</v>
      </c>
      <c r="H2280" s="17">
        <v>2271</v>
      </c>
      <c r="I2280" s="45">
        <v>0.67174748203046564</v>
      </c>
      <c r="J2280" s="45">
        <v>1.9577920889443087E-2</v>
      </c>
      <c r="K2280" s="45">
        <v>0.25559999999999999</v>
      </c>
      <c r="N2280" s="54"/>
    </row>
    <row r="2281" spans="2:14" x14ac:dyDescent="0.2">
      <c r="B2281">
        <v>2272</v>
      </c>
      <c r="C2281" s="52">
        <f t="shared" ca="1" si="108"/>
        <v>0.21526503221406043</v>
      </c>
      <c r="D2281" s="52">
        <f ca="1">S0*EXP((μ-0.5*σ*σ)*T+σ*SQRT(T)*$C2281)</f>
        <v>0.68331189808394444</v>
      </c>
      <c r="E2281" s="52">
        <f t="shared" ca="1" si="106"/>
        <v>0</v>
      </c>
      <c r="F2281" s="17">
        <f t="shared" ca="1" si="107"/>
        <v>0</v>
      </c>
      <c r="H2281" s="17">
        <v>2272</v>
      </c>
      <c r="I2281" s="45">
        <v>0.67065859084543944</v>
      </c>
      <c r="J2281" s="45">
        <v>1.8470628423782543E-2</v>
      </c>
      <c r="K2281" s="45">
        <v>0.24260000000000001</v>
      </c>
      <c r="N2281" s="54"/>
    </row>
    <row r="2282" spans="2:14" x14ac:dyDescent="0.2">
      <c r="B2282">
        <v>2273</v>
      </c>
      <c r="C2282" s="52">
        <f t="shared" ca="1" si="108"/>
        <v>-0.58844947715477569</v>
      </c>
      <c r="D2282" s="52">
        <f ca="1">S0*EXP((μ-0.5*σ*σ)*T+σ*SQRT(T)*$C2282)</f>
        <v>0.54718042506072095</v>
      </c>
      <c r="E2282" s="52">
        <f t="shared" ca="1" si="106"/>
        <v>0</v>
      </c>
      <c r="F2282" s="17">
        <f t="shared" ca="1" si="107"/>
        <v>0</v>
      </c>
      <c r="H2282" s="17">
        <v>2273</v>
      </c>
      <c r="I2282" s="45">
        <v>0.67100451039355258</v>
      </c>
      <c r="J2282" s="45">
        <v>1.9091528618088178E-2</v>
      </c>
      <c r="K2282" s="45">
        <v>0.25080000000000002</v>
      </c>
      <c r="N2282" s="54"/>
    </row>
    <row r="2283" spans="2:14" x14ac:dyDescent="0.2">
      <c r="B2283">
        <v>2274</v>
      </c>
      <c r="C2283" s="52">
        <f t="shared" ca="1" si="108"/>
        <v>-0.79699060293188162</v>
      </c>
      <c r="D2283" s="52">
        <f ca="1">S0*EXP((μ-0.5*σ*σ)*T+σ*SQRT(T)*$C2283)</f>
        <v>0.51652879915414451</v>
      </c>
      <c r="E2283" s="52">
        <f t="shared" ca="1" si="106"/>
        <v>1.7871200845855473E-2</v>
      </c>
      <c r="F2283" s="17">
        <f t="shared" ca="1" si="107"/>
        <v>1</v>
      </c>
      <c r="H2283" s="17">
        <v>2274</v>
      </c>
      <c r="I2283" s="45">
        <v>0.66966341143301711</v>
      </c>
      <c r="J2283" s="45">
        <v>1.8232298932761019E-2</v>
      </c>
      <c r="K2283" s="45">
        <v>0.2452</v>
      </c>
      <c r="N2283" s="54"/>
    </row>
    <row r="2284" spans="2:14" x14ac:dyDescent="0.2">
      <c r="B2284">
        <v>2275</v>
      </c>
      <c r="C2284" s="52">
        <f t="shared" ca="1" si="108"/>
        <v>-0.19983557251233997</v>
      </c>
      <c r="D2284" s="52">
        <f ca="1">S0*EXP((μ-0.5*σ*σ)*T+σ*SQRT(T)*$C2284)</f>
        <v>0.60923502390270456</v>
      </c>
      <c r="E2284" s="52">
        <f t="shared" ca="1" si="106"/>
        <v>0</v>
      </c>
      <c r="F2284" s="17">
        <f t="shared" ca="1" si="107"/>
        <v>0</v>
      </c>
      <c r="H2284" s="17">
        <v>2275</v>
      </c>
      <c r="I2284" s="45">
        <v>0.67144574958301417</v>
      </c>
      <c r="J2284" s="45">
        <v>1.919339276786634E-2</v>
      </c>
      <c r="K2284" s="45">
        <v>0.2392</v>
      </c>
      <c r="N2284" s="54"/>
    </row>
    <row r="2285" spans="2:14" x14ac:dyDescent="0.2">
      <c r="B2285">
        <v>2276</v>
      </c>
      <c r="C2285" s="52">
        <f t="shared" ca="1" si="108"/>
        <v>-1.4754036363258907</v>
      </c>
      <c r="D2285" s="52">
        <f ca="1">S0*EXP((μ-0.5*σ*σ)*T+σ*SQRT(T)*$C2285)</f>
        <v>0.42820224782452798</v>
      </c>
      <c r="E2285" s="52">
        <f t="shared" ca="1" si="106"/>
        <v>0.106197752175472</v>
      </c>
      <c r="F2285" s="17">
        <f t="shared" ca="1" si="107"/>
        <v>1</v>
      </c>
      <c r="H2285" s="17">
        <v>2276</v>
      </c>
      <c r="I2285" s="45">
        <v>0.67039731144886872</v>
      </c>
      <c r="J2285" s="45">
        <v>1.8922950498919792E-2</v>
      </c>
      <c r="K2285" s="45">
        <v>0.24740000000000001</v>
      </c>
      <c r="N2285" s="54"/>
    </row>
    <row r="2286" spans="2:14" x14ac:dyDescent="0.2">
      <c r="B2286">
        <v>2277</v>
      </c>
      <c r="C2286" s="52">
        <f t="shared" ca="1" si="108"/>
        <v>-0.12652534699748524</v>
      </c>
      <c r="D2286" s="52">
        <f ca="1">S0*EXP((μ-0.5*σ*σ)*T+σ*SQRT(T)*$C2286)</f>
        <v>0.62170732341660229</v>
      </c>
      <c r="E2286" s="52">
        <f t="shared" ca="1" si="106"/>
        <v>0</v>
      </c>
      <c r="F2286" s="17">
        <f t="shared" ca="1" si="107"/>
        <v>0</v>
      </c>
      <c r="H2286" s="17">
        <v>2277</v>
      </c>
      <c r="I2286" s="45">
        <v>0.67125946577542162</v>
      </c>
      <c r="J2286" s="45">
        <v>1.9166908972488197E-2</v>
      </c>
      <c r="K2286" s="45">
        <v>0.25040000000000001</v>
      </c>
      <c r="N2286" s="54"/>
    </row>
    <row r="2287" spans="2:14" x14ac:dyDescent="0.2">
      <c r="B2287">
        <v>2278</v>
      </c>
      <c r="C2287" s="52">
        <f t="shared" ca="1" si="108"/>
        <v>-0.64682009392627671</v>
      </c>
      <c r="D2287" s="52">
        <f ca="1">S0*EXP((μ-0.5*σ*σ)*T+σ*SQRT(T)*$C2287)</f>
        <v>0.53842222461085276</v>
      </c>
      <c r="E2287" s="52">
        <f t="shared" ca="1" si="106"/>
        <v>0</v>
      </c>
      <c r="F2287" s="17">
        <f t="shared" ca="1" si="107"/>
        <v>0</v>
      </c>
      <c r="H2287" s="17">
        <v>2278</v>
      </c>
      <c r="I2287" s="45">
        <v>0.67018685921969146</v>
      </c>
      <c r="J2287" s="45">
        <v>1.8441835570659121E-2</v>
      </c>
      <c r="K2287" s="45">
        <v>0.24740000000000001</v>
      </c>
      <c r="N2287" s="54"/>
    </row>
    <row r="2288" spans="2:14" x14ac:dyDescent="0.2">
      <c r="B2288">
        <v>2279</v>
      </c>
      <c r="C2288" s="52">
        <f t="shared" ca="1" si="108"/>
        <v>-0.48812754353023013</v>
      </c>
      <c r="D2288" s="52">
        <f ca="1">S0*EXP((μ-0.5*σ*σ)*T+σ*SQRT(T)*$C2288)</f>
        <v>0.56256733690894822</v>
      </c>
      <c r="E2288" s="52">
        <f t="shared" ca="1" si="106"/>
        <v>0</v>
      </c>
      <c r="F2288" s="17">
        <f t="shared" ca="1" si="107"/>
        <v>0</v>
      </c>
      <c r="H2288" s="17">
        <v>2279</v>
      </c>
      <c r="I2288" s="45">
        <v>0.67126770927477142</v>
      </c>
      <c r="J2288" s="45">
        <v>1.9407574119335462E-2</v>
      </c>
      <c r="K2288" s="45">
        <v>0.25559999999999999</v>
      </c>
      <c r="N2288" s="54"/>
    </row>
    <row r="2289" spans="2:14" x14ac:dyDescent="0.2">
      <c r="B2289">
        <v>2280</v>
      </c>
      <c r="C2289" s="52">
        <f t="shared" ca="1" si="108"/>
        <v>-0.60613388824046588</v>
      </c>
      <c r="D2289" s="52">
        <f ca="1">S0*EXP((μ-0.5*σ*σ)*T+σ*SQRT(T)*$C2289)</f>
        <v>0.544512035860512</v>
      </c>
      <c r="E2289" s="52">
        <f t="shared" ca="1" si="106"/>
        <v>0</v>
      </c>
      <c r="F2289" s="17">
        <f t="shared" ca="1" si="107"/>
        <v>0</v>
      </c>
      <c r="H2289" s="17">
        <v>2280</v>
      </c>
      <c r="I2289" s="45">
        <v>0.67141623024249752</v>
      </c>
      <c r="J2289" s="45">
        <v>1.9478460341197372E-2</v>
      </c>
      <c r="K2289" s="45">
        <v>0.25119999999999998</v>
      </c>
      <c r="N2289" s="54"/>
    </row>
    <row r="2290" spans="2:14" x14ac:dyDescent="0.2">
      <c r="B2290">
        <v>2281</v>
      </c>
      <c r="C2290" s="52">
        <f t="shared" ca="1" si="108"/>
        <v>0.59619336408788537</v>
      </c>
      <c r="D2290" s="52">
        <f ca="1">S0*EXP((μ-0.5*σ*σ)*T+σ*SQRT(T)*$C2290)</f>
        <v>0.75919023908360983</v>
      </c>
      <c r="E2290" s="52">
        <f t="shared" ca="1" si="106"/>
        <v>0</v>
      </c>
      <c r="F2290" s="17">
        <f t="shared" ca="1" si="107"/>
        <v>0</v>
      </c>
      <c r="H2290" s="17">
        <v>2281</v>
      </c>
      <c r="I2290" s="45">
        <v>0.67117707072908561</v>
      </c>
      <c r="J2290" s="45">
        <v>1.9025579968491101E-2</v>
      </c>
      <c r="K2290" s="45">
        <v>0.25</v>
      </c>
      <c r="N2290" s="54"/>
    </row>
    <row r="2291" spans="2:14" x14ac:dyDescent="0.2">
      <c r="B2291">
        <v>2282</v>
      </c>
      <c r="C2291" s="52">
        <f t="shared" ca="1" si="108"/>
        <v>-1.2019090771760637</v>
      </c>
      <c r="D2291" s="52">
        <f ca="1">S0*EXP((μ-0.5*σ*σ)*T+σ*SQRT(T)*$C2291)</f>
        <v>0.46183071855986851</v>
      </c>
      <c r="E2291" s="52">
        <f t="shared" ca="1" si="106"/>
        <v>7.2569281440131472E-2</v>
      </c>
      <c r="F2291" s="17">
        <f t="shared" ca="1" si="107"/>
        <v>1</v>
      </c>
      <c r="H2291" s="17">
        <v>2282</v>
      </c>
      <c r="I2291" s="45">
        <v>0.67030950395887956</v>
      </c>
      <c r="J2291" s="45">
        <v>1.8788550120470201E-2</v>
      </c>
      <c r="K2291" s="45">
        <v>0.25340000000000001</v>
      </c>
      <c r="N2291" s="54"/>
    </row>
    <row r="2292" spans="2:14" x14ac:dyDescent="0.2">
      <c r="B2292">
        <v>2283</v>
      </c>
      <c r="C2292" s="52">
        <f t="shared" ca="1" si="108"/>
        <v>-0.55864378888666999</v>
      </c>
      <c r="D2292" s="52">
        <f ca="1">S0*EXP((μ-0.5*σ*σ)*T+σ*SQRT(T)*$C2292)</f>
        <v>0.55170741146867319</v>
      </c>
      <c r="E2292" s="52">
        <f t="shared" ca="1" si="106"/>
        <v>0</v>
      </c>
      <c r="F2292" s="17">
        <f t="shared" ca="1" si="107"/>
        <v>0</v>
      </c>
      <c r="H2292" s="17">
        <v>2283</v>
      </c>
      <c r="I2292" s="45">
        <v>0.67052555654623724</v>
      </c>
      <c r="J2292" s="45">
        <v>1.8719055733316128E-2</v>
      </c>
      <c r="K2292" s="45">
        <v>0.24099999999999999</v>
      </c>
      <c r="N2292" s="54"/>
    </row>
    <row r="2293" spans="2:14" x14ac:dyDescent="0.2">
      <c r="B2293">
        <v>2284</v>
      </c>
      <c r="C2293" s="52">
        <f t="shared" ca="1" si="108"/>
        <v>-0.35176076128523165</v>
      </c>
      <c r="D2293" s="52">
        <f ca="1">S0*EXP((μ-0.5*σ*σ)*T+σ*SQRT(T)*$C2293)</f>
        <v>0.58417877016440678</v>
      </c>
      <c r="E2293" s="52">
        <f t="shared" ca="1" si="106"/>
        <v>0</v>
      </c>
      <c r="F2293" s="17">
        <f t="shared" ca="1" si="107"/>
        <v>0</v>
      </c>
      <c r="H2293" s="17">
        <v>2284</v>
      </c>
      <c r="I2293" s="45">
        <v>0.67223163894839111</v>
      </c>
      <c r="J2293" s="45">
        <v>2.0174256242838556E-2</v>
      </c>
      <c r="K2293" s="45">
        <v>0.25900000000000001</v>
      </c>
      <c r="N2293" s="54"/>
    </row>
    <row r="2294" spans="2:14" x14ac:dyDescent="0.2">
      <c r="B2294">
        <v>2285</v>
      </c>
      <c r="C2294" s="52">
        <f t="shared" ca="1" si="108"/>
        <v>-0.35892682433073619</v>
      </c>
      <c r="D2294" s="52">
        <f ca="1">S0*EXP((μ-0.5*σ*σ)*T+σ*SQRT(T)*$C2294)</f>
        <v>0.58302269669815354</v>
      </c>
      <c r="E2294" s="52">
        <f t="shared" ca="1" si="106"/>
        <v>0</v>
      </c>
      <c r="F2294" s="17">
        <f t="shared" ca="1" si="107"/>
        <v>0</v>
      </c>
      <c r="H2294" s="17">
        <v>2285</v>
      </c>
      <c r="I2294" s="45">
        <v>0.67141660500836031</v>
      </c>
      <c r="J2294" s="45">
        <v>1.9358013205214394E-2</v>
      </c>
      <c r="K2294" s="45">
        <v>0.24679999999999999</v>
      </c>
      <c r="N2294" s="54"/>
    </row>
    <row r="2295" spans="2:14" x14ac:dyDescent="0.2">
      <c r="B2295">
        <v>2286</v>
      </c>
      <c r="C2295" s="52">
        <f t="shared" ca="1" si="108"/>
        <v>0.7162855312526053</v>
      </c>
      <c r="D2295" s="52">
        <f ca="1">S0*EXP((μ-0.5*σ*σ)*T+σ*SQRT(T)*$C2295)</f>
        <v>0.78481637241617408</v>
      </c>
      <c r="E2295" s="52">
        <f t="shared" ca="1" si="106"/>
        <v>0</v>
      </c>
      <c r="F2295" s="17">
        <f t="shared" ca="1" si="107"/>
        <v>0</v>
      </c>
      <c r="H2295" s="17">
        <v>2286</v>
      </c>
      <c r="I2295" s="45">
        <v>0.67114068829714524</v>
      </c>
      <c r="J2295" s="45">
        <v>1.9274023665878885E-2</v>
      </c>
      <c r="K2295" s="45">
        <v>0.25140000000000001</v>
      </c>
      <c r="N2295" s="54"/>
    </row>
    <row r="2296" spans="2:14" x14ac:dyDescent="0.2">
      <c r="B2296">
        <v>2287</v>
      </c>
      <c r="C2296" s="52">
        <f t="shared" ca="1" si="108"/>
        <v>-0.19913399518256969</v>
      </c>
      <c r="D2296" s="52">
        <f ca="1">S0*EXP((μ-0.5*σ*σ)*T+σ*SQRT(T)*$C2296)</f>
        <v>0.60935318966070529</v>
      </c>
      <c r="E2296" s="52">
        <f t="shared" ca="1" si="106"/>
        <v>0</v>
      </c>
      <c r="F2296" s="17">
        <f t="shared" ca="1" si="107"/>
        <v>0</v>
      </c>
      <c r="H2296" s="17">
        <v>2287</v>
      </c>
      <c r="I2296" s="45">
        <v>0.67018129200527754</v>
      </c>
      <c r="J2296" s="45">
        <v>1.8357117955268773E-2</v>
      </c>
      <c r="K2296" s="45">
        <v>0.24360000000000001</v>
      </c>
      <c r="N2296" s="54"/>
    </row>
    <row r="2297" spans="2:14" x14ac:dyDescent="0.2">
      <c r="B2297">
        <v>2288</v>
      </c>
      <c r="C2297" s="52">
        <f t="shared" ca="1" si="108"/>
        <v>-0.1712027834656967</v>
      </c>
      <c r="D2297" s="52">
        <f ca="1">S0*EXP((μ-0.5*σ*σ)*T+σ*SQRT(T)*$C2297)</f>
        <v>0.61407627378144047</v>
      </c>
      <c r="E2297" s="52">
        <f t="shared" ca="1" si="106"/>
        <v>0</v>
      </c>
      <c r="F2297" s="17">
        <f t="shared" ca="1" si="107"/>
        <v>0</v>
      </c>
      <c r="H2297" s="17">
        <v>2288</v>
      </c>
      <c r="I2297" s="45">
        <v>0.67190692914279904</v>
      </c>
      <c r="J2297" s="45">
        <v>1.9729178095605367E-2</v>
      </c>
      <c r="K2297" s="45">
        <v>0.25559999999999999</v>
      </c>
      <c r="N2297" s="54"/>
    </row>
    <row r="2298" spans="2:14" x14ac:dyDescent="0.2">
      <c r="B2298">
        <v>2289</v>
      </c>
      <c r="C2298" s="52">
        <f t="shared" ca="1" si="108"/>
        <v>-1.2743889397114903</v>
      </c>
      <c r="D2298" s="52">
        <f ca="1">S0*EXP((μ-0.5*σ*σ)*T+σ*SQRT(T)*$C2298)</f>
        <v>0.45266965604207826</v>
      </c>
      <c r="E2298" s="52">
        <f t="shared" ca="1" si="106"/>
        <v>8.1730343957921725E-2</v>
      </c>
      <c r="F2298" s="17">
        <f t="shared" ca="1" si="107"/>
        <v>1</v>
      </c>
      <c r="H2298" s="17">
        <v>2289</v>
      </c>
      <c r="I2298" s="45">
        <v>0.67073712866942203</v>
      </c>
      <c r="J2298" s="45">
        <v>1.8824235393120548E-2</v>
      </c>
      <c r="K2298" s="45">
        <v>0.25080000000000002</v>
      </c>
      <c r="N2298" s="54"/>
    </row>
    <row r="2299" spans="2:14" x14ac:dyDescent="0.2">
      <c r="B2299">
        <v>2290</v>
      </c>
      <c r="C2299" s="52">
        <f t="shared" ca="1" si="108"/>
        <v>0.57325216100561804</v>
      </c>
      <c r="D2299" s="52">
        <f ca="1">S0*EXP((μ-0.5*σ*σ)*T+σ*SQRT(T)*$C2299)</f>
        <v>0.75439092057145152</v>
      </c>
      <c r="E2299" s="52">
        <f t="shared" ca="1" si="106"/>
        <v>0</v>
      </c>
      <c r="F2299" s="17">
        <f t="shared" ca="1" si="107"/>
        <v>0</v>
      </c>
      <c r="H2299" s="17">
        <v>2290</v>
      </c>
      <c r="I2299" s="45">
        <v>0.67065881237258329</v>
      </c>
      <c r="J2299" s="45">
        <v>1.8858399227174728E-2</v>
      </c>
      <c r="K2299" s="45">
        <v>0.25380000000000003</v>
      </c>
      <c r="N2299" s="54"/>
    </row>
    <row r="2300" spans="2:14" x14ac:dyDescent="0.2">
      <c r="B2300">
        <v>2291</v>
      </c>
      <c r="C2300" s="52">
        <f t="shared" ca="1" si="108"/>
        <v>0.60287785463365484</v>
      </c>
      <c r="D2300" s="52">
        <f ca="1">S0*EXP((μ-0.5*σ*σ)*T+σ*SQRT(T)*$C2300)</f>
        <v>0.76059437568351584</v>
      </c>
      <c r="E2300" s="52">
        <f t="shared" ca="1" si="106"/>
        <v>0</v>
      </c>
      <c r="F2300" s="17">
        <f t="shared" ca="1" si="107"/>
        <v>0</v>
      </c>
      <c r="H2300" s="17">
        <v>2291</v>
      </c>
      <c r="I2300" s="45">
        <v>0.67108756275668424</v>
      </c>
      <c r="J2300" s="45">
        <v>1.8799529876249801E-2</v>
      </c>
      <c r="K2300" s="45">
        <v>0.24340000000000001</v>
      </c>
      <c r="N2300" s="54"/>
    </row>
    <row r="2301" spans="2:14" x14ac:dyDescent="0.2">
      <c r="B2301">
        <v>2292</v>
      </c>
      <c r="C2301" s="52">
        <f t="shared" ca="1" si="108"/>
        <v>-6.8406484676784174E-2</v>
      </c>
      <c r="D2301" s="52">
        <f ca="1">S0*EXP((μ-0.5*σ*σ)*T+σ*SQRT(T)*$C2301)</f>
        <v>0.6317763052056572</v>
      </c>
      <c r="E2301" s="52">
        <f t="shared" ca="1" si="106"/>
        <v>0</v>
      </c>
      <c r="F2301" s="17">
        <f t="shared" ca="1" si="107"/>
        <v>0</v>
      </c>
      <c r="H2301" s="17">
        <v>2292</v>
      </c>
      <c r="I2301" s="45">
        <v>0.67118572874648519</v>
      </c>
      <c r="J2301" s="45">
        <v>1.9206824076635994E-2</v>
      </c>
      <c r="K2301" s="45">
        <v>0.25280000000000002</v>
      </c>
      <c r="N2301" s="54"/>
    </row>
    <row r="2302" spans="2:14" x14ac:dyDescent="0.2">
      <c r="B2302">
        <v>2293</v>
      </c>
      <c r="C2302" s="52">
        <f t="shared" ca="1" si="108"/>
        <v>-0.15465390233834256</v>
      </c>
      <c r="D2302" s="52">
        <f ca="1">S0*EXP((μ-0.5*σ*σ)*T+σ*SQRT(T)*$C2302)</f>
        <v>0.61689189239166298</v>
      </c>
      <c r="E2302" s="52">
        <f t="shared" ca="1" si="106"/>
        <v>0</v>
      </c>
      <c r="F2302" s="17">
        <f t="shared" ca="1" si="107"/>
        <v>0</v>
      </c>
      <c r="H2302" s="17">
        <v>2293</v>
      </c>
      <c r="I2302" s="45">
        <v>0.67137828538135913</v>
      </c>
      <c r="J2302" s="45">
        <v>1.8903752536207984E-2</v>
      </c>
      <c r="K2302" s="45">
        <v>0.24399999999999999</v>
      </c>
      <c r="N2302" s="54"/>
    </row>
    <row r="2303" spans="2:14" x14ac:dyDescent="0.2">
      <c r="B2303">
        <v>2294</v>
      </c>
      <c r="C2303" s="52">
        <f t="shared" ca="1" si="108"/>
        <v>-1.0331778345870088</v>
      </c>
      <c r="D2303" s="52">
        <f ca="1">S0*EXP((μ-0.5*σ*σ)*T+σ*SQRT(T)*$C2303)</f>
        <v>0.48388206772668435</v>
      </c>
      <c r="E2303" s="52">
        <f t="shared" ca="1" si="106"/>
        <v>5.0517932273315636E-2</v>
      </c>
      <c r="F2303" s="17">
        <f t="shared" ca="1" si="107"/>
        <v>1</v>
      </c>
      <c r="H2303" s="17">
        <v>2294</v>
      </c>
      <c r="I2303" s="45">
        <v>0.67130554157033917</v>
      </c>
      <c r="J2303" s="45">
        <v>1.9204385529289356E-2</v>
      </c>
      <c r="K2303" s="45">
        <v>0.247</v>
      </c>
      <c r="N2303" s="54"/>
    </row>
    <row r="2304" spans="2:14" x14ac:dyDescent="0.2">
      <c r="B2304">
        <v>2295</v>
      </c>
      <c r="C2304" s="52">
        <f t="shared" ca="1" si="108"/>
        <v>-0.46042683865017636</v>
      </c>
      <c r="D2304" s="52">
        <f ca="1">S0*EXP((μ-0.5*σ*σ)*T+σ*SQRT(T)*$C2304)</f>
        <v>0.56689166158927728</v>
      </c>
      <c r="E2304" s="52">
        <f t="shared" ca="1" si="106"/>
        <v>0</v>
      </c>
      <c r="F2304" s="17">
        <f t="shared" ca="1" si="107"/>
        <v>0</v>
      </c>
      <c r="H2304" s="17">
        <v>2295</v>
      </c>
      <c r="I2304" s="45">
        <v>0.66964328513824944</v>
      </c>
      <c r="J2304" s="45">
        <v>1.7910601540601097E-2</v>
      </c>
      <c r="K2304" s="45">
        <v>0.23580000000000001</v>
      </c>
      <c r="N2304" s="54"/>
    </row>
    <row r="2305" spans="2:14" x14ac:dyDescent="0.2">
      <c r="B2305">
        <v>2296</v>
      </c>
      <c r="C2305" s="52">
        <f t="shared" ca="1" si="108"/>
        <v>1.5473231583574358</v>
      </c>
      <c r="D2305" s="52">
        <f ca="1">S0*EXP((μ-0.5*σ*σ)*T+σ*SQRT(T)*$C2305)</f>
        <v>0.98749910415513587</v>
      </c>
      <c r="E2305" s="52">
        <f t="shared" ca="1" si="106"/>
        <v>0</v>
      </c>
      <c r="F2305" s="17">
        <f t="shared" ca="1" si="107"/>
        <v>0</v>
      </c>
      <c r="H2305" s="17">
        <v>2296</v>
      </c>
      <c r="I2305" s="45">
        <v>0.67058401663595169</v>
      </c>
      <c r="J2305" s="45">
        <v>1.8679474737791565E-2</v>
      </c>
      <c r="K2305" s="45">
        <v>0.2462</v>
      </c>
      <c r="N2305" s="54"/>
    </row>
    <row r="2306" spans="2:14" x14ac:dyDescent="0.2">
      <c r="B2306">
        <v>2297</v>
      </c>
      <c r="C2306" s="52">
        <f t="shared" ca="1" si="108"/>
        <v>-0.98483373985502998</v>
      </c>
      <c r="D2306" s="52">
        <f ca="1">S0*EXP((μ-0.5*σ*σ)*T+σ*SQRT(T)*$C2306)</f>
        <v>0.49039201158547696</v>
      </c>
      <c r="E2306" s="52">
        <f t="shared" ca="1" si="106"/>
        <v>4.4007988414523025E-2</v>
      </c>
      <c r="F2306" s="17">
        <f t="shared" ca="1" si="107"/>
        <v>1</v>
      </c>
      <c r="H2306" s="17">
        <v>2297</v>
      </c>
      <c r="I2306" s="45">
        <v>0.67247062960924409</v>
      </c>
      <c r="J2306" s="45">
        <v>1.9942587534241527E-2</v>
      </c>
      <c r="K2306" s="45">
        <v>0.249</v>
      </c>
      <c r="N2306" s="54"/>
    </row>
    <row r="2307" spans="2:14" x14ac:dyDescent="0.2">
      <c r="B2307">
        <v>2298</v>
      </c>
      <c r="C2307" s="52">
        <f t="shared" ca="1" si="108"/>
        <v>0.51713686187364372</v>
      </c>
      <c r="D2307" s="52">
        <f ca="1">S0*EXP((μ-0.5*σ*σ)*T+σ*SQRT(T)*$C2307)</f>
        <v>0.74277903351330266</v>
      </c>
      <c r="E2307" s="52">
        <f t="shared" ca="1" si="106"/>
        <v>0</v>
      </c>
      <c r="F2307" s="17">
        <f t="shared" ca="1" si="107"/>
        <v>0</v>
      </c>
      <c r="H2307" s="17">
        <v>2298</v>
      </c>
      <c r="I2307" s="45">
        <v>0.67143397572108265</v>
      </c>
      <c r="J2307" s="45">
        <v>1.9645148684132904E-2</v>
      </c>
      <c r="K2307" s="45">
        <v>0.25640000000000002</v>
      </c>
      <c r="N2307" s="54"/>
    </row>
    <row r="2308" spans="2:14" x14ac:dyDescent="0.2">
      <c r="B2308">
        <v>2299</v>
      </c>
      <c r="C2308" s="52">
        <f t="shared" ca="1" si="108"/>
        <v>-0.72341940405185179</v>
      </c>
      <c r="D2308" s="52">
        <f ca="1">S0*EXP((μ-0.5*σ*σ)*T+σ*SQRT(T)*$C2308)</f>
        <v>0.52714123813249558</v>
      </c>
      <c r="E2308" s="52">
        <f t="shared" ca="1" si="106"/>
        <v>7.2587618675044041E-3</v>
      </c>
      <c r="F2308" s="17">
        <f t="shared" ca="1" si="107"/>
        <v>1</v>
      </c>
      <c r="H2308" s="17">
        <v>2299</v>
      </c>
      <c r="I2308" s="45">
        <v>0.67162730566010864</v>
      </c>
      <c r="J2308" s="45">
        <v>1.9473434914489038E-2</v>
      </c>
      <c r="K2308" s="45">
        <v>0.24440000000000001</v>
      </c>
      <c r="N2308" s="54"/>
    </row>
    <row r="2309" spans="2:14" x14ac:dyDescent="0.2">
      <c r="B2309">
        <v>2300</v>
      </c>
      <c r="C2309" s="52">
        <f t="shared" ca="1" si="108"/>
        <v>6.7696064859473368E-2</v>
      </c>
      <c r="D2309" s="52">
        <f ca="1">S0*EXP((μ-0.5*σ*σ)*T+σ*SQRT(T)*$C2309)</f>
        <v>0.65599853376525552</v>
      </c>
      <c r="E2309" s="52">
        <f t="shared" ca="1" si="106"/>
        <v>0</v>
      </c>
      <c r="F2309" s="17">
        <f t="shared" ca="1" si="107"/>
        <v>0</v>
      </c>
      <c r="H2309" s="17">
        <v>2300</v>
      </c>
      <c r="I2309" s="45">
        <v>0.67055817170884224</v>
      </c>
      <c r="J2309" s="45">
        <v>1.8872811603757422E-2</v>
      </c>
      <c r="K2309" s="45">
        <v>0.25</v>
      </c>
      <c r="N2309" s="54"/>
    </row>
    <row r="2310" spans="2:14" x14ac:dyDescent="0.2">
      <c r="B2310">
        <v>2301</v>
      </c>
      <c r="C2310" s="52">
        <f t="shared" ca="1" si="108"/>
        <v>0.33999226168314212</v>
      </c>
      <c r="D2310" s="52">
        <f ca="1">S0*EXP((μ-0.5*σ*σ)*T+σ*SQRT(T)*$C2310)</f>
        <v>0.70728243920014122</v>
      </c>
      <c r="E2310" s="52">
        <f t="shared" ca="1" si="106"/>
        <v>0</v>
      </c>
      <c r="F2310" s="17">
        <f t="shared" ca="1" si="107"/>
        <v>0</v>
      </c>
      <c r="H2310" s="17">
        <v>2301</v>
      </c>
      <c r="I2310" s="45">
        <v>0.67072648794032996</v>
      </c>
      <c r="J2310" s="45">
        <v>1.8894299207656715E-2</v>
      </c>
      <c r="K2310" s="45">
        <v>0.2472</v>
      </c>
      <c r="N2310" s="54"/>
    </row>
    <row r="2311" spans="2:14" x14ac:dyDescent="0.2">
      <c r="B2311">
        <v>2302</v>
      </c>
      <c r="C2311" s="52">
        <f t="shared" ca="1" si="108"/>
        <v>0.58432843043828897</v>
      </c>
      <c r="D2311" s="52">
        <f ca="1">S0*EXP((μ-0.5*σ*σ)*T+σ*SQRT(T)*$C2311)</f>
        <v>0.75670428538785817</v>
      </c>
      <c r="E2311" s="52">
        <f t="shared" ca="1" si="106"/>
        <v>0</v>
      </c>
      <c r="F2311" s="17">
        <f t="shared" ca="1" si="107"/>
        <v>0</v>
      </c>
      <c r="H2311" s="17">
        <v>2302</v>
      </c>
      <c r="I2311" s="45">
        <v>0.67192993121509159</v>
      </c>
      <c r="J2311" s="45">
        <v>1.9736618555939684E-2</v>
      </c>
      <c r="K2311" s="45">
        <v>0.2462</v>
      </c>
      <c r="N2311" s="54"/>
    </row>
    <row r="2312" spans="2:14" x14ac:dyDescent="0.2">
      <c r="B2312">
        <v>2303</v>
      </c>
      <c r="C2312" s="52">
        <f t="shared" ca="1" si="108"/>
        <v>2.1421068319069909</v>
      </c>
      <c r="D2312" s="52">
        <f ca="1">S0*EXP((μ-0.5*σ*σ)*T+σ*SQRT(T)*$C2312)</f>
        <v>1.1639714903471052</v>
      </c>
      <c r="E2312" s="52">
        <f t="shared" ca="1" si="106"/>
        <v>0</v>
      </c>
      <c r="F2312" s="17">
        <f t="shared" ca="1" si="107"/>
        <v>0</v>
      </c>
      <c r="H2312" s="17">
        <v>2303</v>
      </c>
      <c r="I2312" s="45">
        <v>0.67120131990318532</v>
      </c>
      <c r="J2312" s="45">
        <v>1.9309838954801251E-2</v>
      </c>
      <c r="K2312" s="45">
        <v>0.24940000000000001</v>
      </c>
      <c r="N2312" s="54"/>
    </row>
    <row r="2313" spans="2:14" x14ac:dyDescent="0.2">
      <c r="B2313">
        <v>2304</v>
      </c>
      <c r="C2313" s="52">
        <f t="shared" ca="1" si="108"/>
        <v>1.1206438926145981</v>
      </c>
      <c r="D2313" s="52">
        <f ca="1">S0*EXP((μ-0.5*σ*σ)*T+σ*SQRT(T)*$C2313)</f>
        <v>0.87763217248749259</v>
      </c>
      <c r="E2313" s="52">
        <f t="shared" ca="1" si="106"/>
        <v>0</v>
      </c>
      <c r="F2313" s="17">
        <f t="shared" ca="1" si="107"/>
        <v>0</v>
      </c>
      <c r="H2313" s="17">
        <v>2304</v>
      </c>
      <c r="I2313" s="45">
        <v>0.67048140225146224</v>
      </c>
      <c r="J2313" s="45">
        <v>1.8485808121647525E-2</v>
      </c>
      <c r="K2313" s="45">
        <v>0.23799999999999999</v>
      </c>
      <c r="N2313" s="54"/>
    </row>
    <row r="2314" spans="2:14" x14ac:dyDescent="0.2">
      <c r="B2314">
        <v>2305</v>
      </c>
      <c r="C2314" s="52">
        <f t="shared" ca="1" si="108"/>
        <v>0.9249447694485583</v>
      </c>
      <c r="D2314" s="52">
        <f ca="1">S0*EXP((μ-0.5*σ*σ)*T+σ*SQRT(T)*$C2314)</f>
        <v>0.83141574743630098</v>
      </c>
      <c r="E2314" s="52">
        <f t="shared" ref="E2314:E2377" ca="1" si="109">MAX(0,CP*(D2314-K))</f>
        <v>0</v>
      </c>
      <c r="F2314" s="17">
        <f t="shared" ref="F2314:F2377" ca="1" si="110">(CP*(D2314-K)&gt;0)*1</f>
        <v>0</v>
      </c>
      <c r="H2314" s="17">
        <v>2305</v>
      </c>
      <c r="I2314" s="45">
        <v>0.67218433689457668</v>
      </c>
      <c r="J2314" s="45">
        <v>1.9667471314397715E-2</v>
      </c>
      <c r="K2314" s="45">
        <v>0.2442</v>
      </c>
      <c r="N2314" s="54"/>
    </row>
    <row r="2315" spans="2:14" x14ac:dyDescent="0.2">
      <c r="B2315">
        <v>2306</v>
      </c>
      <c r="C2315" s="52">
        <f t="shared" ref="C2315:C2378" ca="1" si="111">_xlfn.NORM.S.INV(RAND())</f>
        <v>0.83185928379873153</v>
      </c>
      <c r="D2315" s="52">
        <f ca="1">S0*EXP((μ-0.5*σ*σ)*T+σ*SQRT(T)*$C2315)</f>
        <v>0.81029478437222113</v>
      </c>
      <c r="E2315" s="52">
        <f t="shared" ca="1" si="109"/>
        <v>0</v>
      </c>
      <c r="F2315" s="17">
        <f t="shared" ca="1" si="110"/>
        <v>0</v>
      </c>
      <c r="H2315" s="17">
        <v>2306</v>
      </c>
      <c r="I2315" s="45">
        <v>0.67151223123014725</v>
      </c>
      <c r="J2315" s="45">
        <v>1.9483848871543578E-2</v>
      </c>
      <c r="K2315" s="45">
        <v>0.248</v>
      </c>
      <c r="N2315" s="54"/>
    </row>
    <row r="2316" spans="2:14" x14ac:dyDescent="0.2">
      <c r="B2316">
        <v>2307</v>
      </c>
      <c r="C2316" s="52">
        <f t="shared" ca="1" si="111"/>
        <v>1.3366172600380481</v>
      </c>
      <c r="D2316" s="52">
        <f ca="1">S0*EXP((μ-0.5*σ*σ)*T+σ*SQRT(T)*$C2316)</f>
        <v>0.9316243063229156</v>
      </c>
      <c r="E2316" s="52">
        <f t="shared" ca="1" si="109"/>
        <v>0</v>
      </c>
      <c r="F2316" s="17">
        <f t="shared" ca="1" si="110"/>
        <v>0</v>
      </c>
      <c r="H2316" s="17">
        <v>2307</v>
      </c>
      <c r="I2316" s="45">
        <v>0.67093807446575415</v>
      </c>
      <c r="J2316" s="45">
        <v>1.9127786920474541E-2</v>
      </c>
      <c r="K2316" s="45">
        <v>0.24740000000000001</v>
      </c>
      <c r="N2316" s="54"/>
    </row>
    <row r="2317" spans="2:14" x14ac:dyDescent="0.2">
      <c r="B2317">
        <v>2308</v>
      </c>
      <c r="C2317" s="52">
        <f t="shared" ca="1" si="111"/>
        <v>1.1842183388730105</v>
      </c>
      <c r="D2317" s="52">
        <f ca="1">S0*EXP((μ-0.5*σ*σ)*T+σ*SQRT(T)*$C2317)</f>
        <v>0.89319204331222535</v>
      </c>
      <c r="E2317" s="52">
        <f t="shared" ca="1" si="109"/>
        <v>0</v>
      </c>
      <c r="F2317" s="17">
        <f t="shared" ca="1" si="110"/>
        <v>0</v>
      </c>
      <c r="H2317" s="17">
        <v>2308</v>
      </c>
      <c r="I2317" s="45">
        <v>0.67112531178339907</v>
      </c>
      <c r="J2317" s="45">
        <v>1.8863423894984077E-2</v>
      </c>
      <c r="K2317" s="45">
        <v>0.24759999999999999</v>
      </c>
      <c r="N2317" s="54"/>
    </row>
    <row r="2318" spans="2:14" x14ac:dyDescent="0.2">
      <c r="B2318">
        <v>2309</v>
      </c>
      <c r="C2318" s="52">
        <f t="shared" ca="1" si="111"/>
        <v>6.0141513147904758E-2</v>
      </c>
      <c r="D2318" s="52">
        <f ca="1">S0*EXP((μ-0.5*σ*σ)*T+σ*SQRT(T)*$C2318)</f>
        <v>0.65463002591173958</v>
      </c>
      <c r="E2318" s="52">
        <f t="shared" ca="1" si="109"/>
        <v>0</v>
      </c>
      <c r="F2318" s="17">
        <f t="shared" ca="1" si="110"/>
        <v>0</v>
      </c>
      <c r="H2318" s="17">
        <v>2309</v>
      </c>
      <c r="I2318" s="45">
        <v>0.67015526492397748</v>
      </c>
      <c r="J2318" s="45">
        <v>1.8468998607760908E-2</v>
      </c>
      <c r="K2318" s="45">
        <v>0.2452</v>
      </c>
      <c r="N2318" s="54"/>
    </row>
    <row r="2319" spans="2:14" x14ac:dyDescent="0.2">
      <c r="B2319">
        <v>2310</v>
      </c>
      <c r="C2319" s="52">
        <f t="shared" ca="1" si="111"/>
        <v>0.50862302685046479</v>
      </c>
      <c r="D2319" s="52">
        <f ca="1">S0*EXP((μ-0.5*σ*σ)*T+σ*SQRT(T)*$C2319)</f>
        <v>0.7410329579567958</v>
      </c>
      <c r="E2319" s="52">
        <f t="shared" ca="1" si="109"/>
        <v>0</v>
      </c>
      <c r="F2319" s="17">
        <f t="shared" ca="1" si="110"/>
        <v>0</v>
      </c>
      <c r="H2319" s="17">
        <v>2310</v>
      </c>
      <c r="I2319" s="45">
        <v>0.6706702685659236</v>
      </c>
      <c r="J2319" s="45">
        <v>1.9029207592303584E-2</v>
      </c>
      <c r="K2319" s="45">
        <v>0.24940000000000001</v>
      </c>
      <c r="N2319" s="54"/>
    </row>
    <row r="2320" spans="2:14" x14ac:dyDescent="0.2">
      <c r="B2320">
        <v>2311</v>
      </c>
      <c r="C2320" s="52">
        <f t="shared" ca="1" si="111"/>
        <v>0.11082725391921137</v>
      </c>
      <c r="D2320" s="52">
        <f ca="1">S0*EXP((μ-0.5*σ*σ)*T+σ*SQRT(T)*$C2320)</f>
        <v>0.66386672688489412</v>
      </c>
      <c r="E2320" s="52">
        <f t="shared" ca="1" si="109"/>
        <v>0</v>
      </c>
      <c r="F2320" s="17">
        <f t="shared" ca="1" si="110"/>
        <v>0</v>
      </c>
      <c r="H2320" s="17">
        <v>2311</v>
      </c>
      <c r="I2320" s="45">
        <v>0.67141332590890157</v>
      </c>
      <c r="J2320" s="45">
        <v>1.9375506132577127E-2</v>
      </c>
      <c r="K2320" s="45">
        <v>0.2452</v>
      </c>
      <c r="N2320" s="54"/>
    </row>
    <row r="2321" spans="2:14" x14ac:dyDescent="0.2">
      <c r="B2321">
        <v>2312</v>
      </c>
      <c r="C2321" s="52">
        <f t="shared" ca="1" si="111"/>
        <v>1.5813961940995167</v>
      </c>
      <c r="D2321" s="52">
        <f ca="1">S0*EXP((μ-0.5*σ*σ)*T+σ*SQRT(T)*$C2321)</f>
        <v>0.99684419555589965</v>
      </c>
      <c r="E2321" s="52">
        <f t="shared" ca="1" si="109"/>
        <v>0</v>
      </c>
      <c r="F2321" s="17">
        <f t="shared" ca="1" si="110"/>
        <v>0</v>
      </c>
      <c r="H2321" s="17">
        <v>2312</v>
      </c>
      <c r="I2321" s="45">
        <v>0.67047732341438271</v>
      </c>
      <c r="J2321" s="45">
        <v>1.8496217774856098E-2</v>
      </c>
      <c r="K2321" s="45">
        <v>0.246</v>
      </c>
      <c r="N2321" s="54"/>
    </row>
    <row r="2322" spans="2:14" x14ac:dyDescent="0.2">
      <c r="B2322">
        <v>2313</v>
      </c>
      <c r="C2322" s="52">
        <f t="shared" ca="1" si="111"/>
        <v>-0.46192985613789195</v>
      </c>
      <c r="D2322" s="52">
        <f ca="1">S0*EXP((μ-0.5*σ*σ)*T+σ*SQRT(T)*$C2322)</f>
        <v>0.56665617672040069</v>
      </c>
      <c r="E2322" s="52">
        <f t="shared" ca="1" si="109"/>
        <v>0</v>
      </c>
      <c r="F2322" s="17">
        <f t="shared" ca="1" si="110"/>
        <v>0</v>
      </c>
      <c r="H2322" s="17">
        <v>2313</v>
      </c>
      <c r="I2322" s="45">
        <v>0.66953743955001532</v>
      </c>
      <c r="J2322" s="45">
        <v>1.7864637550807892E-2</v>
      </c>
      <c r="K2322" s="45">
        <v>0.2402</v>
      </c>
      <c r="N2322" s="54"/>
    </row>
    <row r="2323" spans="2:14" x14ac:dyDescent="0.2">
      <c r="B2323">
        <v>2314</v>
      </c>
      <c r="C2323" s="52">
        <f t="shared" ca="1" si="111"/>
        <v>0.46153181882504885</v>
      </c>
      <c r="D2323" s="52">
        <f ca="1">S0*EXP((μ-0.5*σ*σ)*T+σ*SQRT(T)*$C2323)</f>
        <v>0.73144904588449933</v>
      </c>
      <c r="E2323" s="52">
        <f t="shared" ca="1" si="109"/>
        <v>0</v>
      </c>
      <c r="F2323" s="17">
        <f t="shared" ca="1" si="110"/>
        <v>0</v>
      </c>
      <c r="H2323" s="17">
        <v>2314</v>
      </c>
      <c r="I2323" s="45">
        <v>0.67015548930270097</v>
      </c>
      <c r="J2323" s="45">
        <v>1.8649029425607967E-2</v>
      </c>
      <c r="K2323" s="45">
        <v>0.24460000000000001</v>
      </c>
      <c r="N2323" s="54"/>
    </row>
    <row r="2324" spans="2:14" x14ac:dyDescent="0.2">
      <c r="B2324">
        <v>2315</v>
      </c>
      <c r="C2324" s="52">
        <f t="shared" ca="1" si="111"/>
        <v>0.61739726087899227</v>
      </c>
      <c r="D2324" s="52">
        <f ca="1">S0*EXP((μ-0.5*σ*σ)*T+σ*SQRT(T)*$C2324)</f>
        <v>0.76365325913340154</v>
      </c>
      <c r="E2324" s="52">
        <f t="shared" ca="1" si="109"/>
        <v>0</v>
      </c>
      <c r="F2324" s="17">
        <f t="shared" ca="1" si="110"/>
        <v>0</v>
      </c>
      <c r="H2324" s="17">
        <v>2315</v>
      </c>
      <c r="I2324" s="45">
        <v>0.6713318227462417</v>
      </c>
      <c r="J2324" s="45">
        <v>1.9393253798596764E-2</v>
      </c>
      <c r="K2324" s="45">
        <v>0.24959999999999999</v>
      </c>
      <c r="N2324" s="54"/>
    </row>
    <row r="2325" spans="2:14" x14ac:dyDescent="0.2">
      <c r="B2325">
        <v>2316</v>
      </c>
      <c r="C2325" s="52">
        <f t="shared" ca="1" si="111"/>
        <v>-0.64466699044722098</v>
      </c>
      <c r="D2325" s="52">
        <f ca="1">S0*EXP((μ-0.5*σ*σ)*T+σ*SQRT(T)*$C2325)</f>
        <v>0.53874278233969786</v>
      </c>
      <c r="E2325" s="52">
        <f t="shared" ca="1" si="109"/>
        <v>0</v>
      </c>
      <c r="F2325" s="17">
        <f t="shared" ca="1" si="110"/>
        <v>0</v>
      </c>
      <c r="H2325" s="17">
        <v>2316</v>
      </c>
      <c r="I2325" s="45">
        <v>0.66982591347871789</v>
      </c>
      <c r="J2325" s="45">
        <v>1.7769493802976176E-2</v>
      </c>
      <c r="K2325" s="45">
        <v>0.2414</v>
      </c>
      <c r="N2325" s="54"/>
    </row>
    <row r="2326" spans="2:14" x14ac:dyDescent="0.2">
      <c r="B2326">
        <v>2317</v>
      </c>
      <c r="C2326" s="52">
        <f t="shared" ca="1" si="111"/>
        <v>0.34946804367255518</v>
      </c>
      <c r="D2326" s="52">
        <f ca="1">S0*EXP((μ-0.5*σ*σ)*T+σ*SQRT(T)*$C2326)</f>
        <v>0.7091375334540363</v>
      </c>
      <c r="E2326" s="52">
        <f t="shared" ca="1" si="109"/>
        <v>0</v>
      </c>
      <c r="F2326" s="17">
        <f t="shared" ca="1" si="110"/>
        <v>0</v>
      </c>
      <c r="H2326" s="17">
        <v>2317</v>
      </c>
      <c r="I2326" s="45">
        <v>0.67117708018689548</v>
      </c>
      <c r="J2326" s="45">
        <v>1.8981617876550054E-2</v>
      </c>
      <c r="K2326" s="45">
        <v>0.24440000000000001</v>
      </c>
      <c r="N2326" s="54"/>
    </row>
    <row r="2327" spans="2:14" x14ac:dyDescent="0.2">
      <c r="B2327">
        <v>2318</v>
      </c>
      <c r="C2327" s="52">
        <f t="shared" ca="1" si="111"/>
        <v>-0.11287280861620046</v>
      </c>
      <c r="D2327" s="52">
        <f ca="1">S0*EXP((μ-0.5*σ*σ)*T+σ*SQRT(T)*$C2327)</f>
        <v>0.62405808337090307</v>
      </c>
      <c r="E2327" s="52">
        <f t="shared" ca="1" si="109"/>
        <v>0</v>
      </c>
      <c r="F2327" s="17">
        <f t="shared" ca="1" si="110"/>
        <v>0</v>
      </c>
      <c r="H2327" s="17">
        <v>2318</v>
      </c>
      <c r="I2327" s="45">
        <v>0.6709722821183991</v>
      </c>
      <c r="J2327" s="45">
        <v>1.8668154684758229E-2</v>
      </c>
      <c r="K2327" s="45">
        <v>0.2402</v>
      </c>
      <c r="N2327" s="54"/>
    </row>
    <row r="2328" spans="2:14" x14ac:dyDescent="0.2">
      <c r="B2328">
        <v>2319</v>
      </c>
      <c r="C2328" s="52">
        <f t="shared" ca="1" si="111"/>
        <v>1.9306802607880238</v>
      </c>
      <c r="D2328" s="52">
        <f ca="1">S0*EXP((μ-0.5*σ*σ)*T+σ*SQRT(T)*$C2328)</f>
        <v>1.0978927687623703</v>
      </c>
      <c r="E2328" s="52">
        <f t="shared" ca="1" si="109"/>
        <v>0</v>
      </c>
      <c r="F2328" s="17">
        <f t="shared" ca="1" si="110"/>
        <v>0</v>
      </c>
      <c r="H2328" s="17">
        <v>2319</v>
      </c>
      <c r="I2328" s="45">
        <v>0.67181865869888457</v>
      </c>
      <c r="J2328" s="45">
        <v>1.9789459200155977E-2</v>
      </c>
      <c r="K2328" s="45">
        <v>0.24959999999999999</v>
      </c>
      <c r="N2328" s="54"/>
    </row>
    <row r="2329" spans="2:14" x14ac:dyDescent="0.2">
      <c r="B2329">
        <v>2320</v>
      </c>
      <c r="C2329" s="52">
        <f t="shared" ca="1" si="111"/>
        <v>-3.8474058943917519E-2</v>
      </c>
      <c r="D2329" s="52">
        <f ca="1">S0*EXP((μ-0.5*σ*σ)*T+σ*SQRT(T)*$C2329)</f>
        <v>0.63702549587893453</v>
      </c>
      <c r="E2329" s="52">
        <f t="shared" ca="1" si="109"/>
        <v>0</v>
      </c>
      <c r="F2329" s="17">
        <f t="shared" ca="1" si="110"/>
        <v>0</v>
      </c>
      <c r="H2329" s="17">
        <v>2320</v>
      </c>
      <c r="I2329" s="45">
        <v>0.67045627239725913</v>
      </c>
      <c r="J2329" s="45">
        <v>1.8725087598802231E-2</v>
      </c>
      <c r="K2329" s="45">
        <v>0.25</v>
      </c>
      <c r="N2329" s="54"/>
    </row>
    <row r="2330" spans="2:14" x14ac:dyDescent="0.2">
      <c r="B2330">
        <v>2321</v>
      </c>
      <c r="C2330" s="52">
        <f t="shared" ca="1" si="111"/>
        <v>-1.0573128788498167</v>
      </c>
      <c r="D2330" s="52">
        <f ca="1">S0*EXP((μ-0.5*σ*σ)*T+σ*SQRT(T)*$C2330)</f>
        <v>0.48066449174662229</v>
      </c>
      <c r="E2330" s="52">
        <f t="shared" ca="1" si="109"/>
        <v>5.3735508253377695E-2</v>
      </c>
      <c r="F2330" s="17">
        <f t="shared" ca="1" si="110"/>
        <v>1</v>
      </c>
      <c r="H2330" s="17">
        <v>2321</v>
      </c>
      <c r="I2330" s="45">
        <v>0.67299783868801055</v>
      </c>
      <c r="J2330" s="45">
        <v>2.0571939568624464E-2</v>
      </c>
      <c r="K2330" s="45">
        <v>0.25380000000000003</v>
      </c>
      <c r="N2330" s="54"/>
    </row>
    <row r="2331" spans="2:14" x14ac:dyDescent="0.2">
      <c r="B2331">
        <v>2322</v>
      </c>
      <c r="C2331" s="52">
        <f t="shared" ca="1" si="111"/>
        <v>-1.2097829129201754</v>
      </c>
      <c r="D2331" s="52">
        <f ca="1">S0*EXP((μ-0.5*σ*σ)*T+σ*SQRT(T)*$C2331)</f>
        <v>0.4608265982865658</v>
      </c>
      <c r="E2331" s="52">
        <f t="shared" ca="1" si="109"/>
        <v>7.3573401713434183E-2</v>
      </c>
      <c r="F2331" s="17">
        <f t="shared" ca="1" si="110"/>
        <v>1</v>
      </c>
      <c r="H2331" s="17">
        <v>2322</v>
      </c>
      <c r="I2331" s="45">
        <v>0.67007422928150728</v>
      </c>
      <c r="J2331" s="45">
        <v>1.8333358207294381E-2</v>
      </c>
      <c r="K2331" s="45">
        <v>0.23960000000000001</v>
      </c>
      <c r="N2331" s="54"/>
    </row>
    <row r="2332" spans="2:14" x14ac:dyDescent="0.2">
      <c r="B2332">
        <v>2323</v>
      </c>
      <c r="C2332" s="52">
        <f t="shared" ca="1" si="111"/>
        <v>-0.6840385666223</v>
      </c>
      <c r="D2332" s="52">
        <f ca="1">S0*EXP((μ-0.5*σ*σ)*T+σ*SQRT(T)*$C2332)</f>
        <v>0.53291112239626237</v>
      </c>
      <c r="E2332" s="52">
        <f t="shared" ca="1" si="109"/>
        <v>1.488877603737615E-3</v>
      </c>
      <c r="F2332" s="17">
        <f t="shared" ca="1" si="110"/>
        <v>1</v>
      </c>
      <c r="H2332" s="17">
        <v>2323</v>
      </c>
      <c r="I2332" s="45">
        <v>0.66996721375703927</v>
      </c>
      <c r="J2332" s="45">
        <v>1.8161275693938137E-2</v>
      </c>
      <c r="K2332" s="45">
        <v>0.24279999999999999</v>
      </c>
      <c r="N2332" s="54"/>
    </row>
    <row r="2333" spans="2:14" x14ac:dyDescent="0.2">
      <c r="B2333">
        <v>2324</v>
      </c>
      <c r="C2333" s="52">
        <f t="shared" ca="1" si="111"/>
        <v>0.68055767328704619</v>
      </c>
      <c r="D2333" s="52">
        <f ca="1">S0*EXP((μ-0.5*σ*σ)*T+σ*SQRT(T)*$C2333)</f>
        <v>0.7771034084869507</v>
      </c>
      <c r="E2333" s="52">
        <f t="shared" ca="1" si="109"/>
        <v>0</v>
      </c>
      <c r="F2333" s="17">
        <f t="shared" ca="1" si="110"/>
        <v>0</v>
      </c>
      <c r="H2333" s="17">
        <v>2324</v>
      </c>
      <c r="I2333" s="45">
        <v>0.67086481770773299</v>
      </c>
      <c r="J2333" s="45">
        <v>1.9146068629744592E-2</v>
      </c>
      <c r="K2333" s="45">
        <v>0.24179999999999999</v>
      </c>
      <c r="N2333" s="54"/>
    </row>
    <row r="2334" spans="2:14" x14ac:dyDescent="0.2">
      <c r="B2334">
        <v>2325</v>
      </c>
      <c r="C2334" s="52">
        <f t="shared" ca="1" si="111"/>
        <v>-0.9450464193016096</v>
      </c>
      <c r="D2334" s="52">
        <f ca="1">S0*EXP((μ-0.5*σ*σ)*T+σ*SQRT(T)*$C2334)</f>
        <v>0.49581536225656253</v>
      </c>
      <c r="E2334" s="52">
        <f t="shared" ca="1" si="109"/>
        <v>3.8584637743437455E-2</v>
      </c>
      <c r="F2334" s="17">
        <f t="shared" ca="1" si="110"/>
        <v>1</v>
      </c>
      <c r="H2334" s="17">
        <v>2325</v>
      </c>
      <c r="I2334" s="45">
        <v>0.67119681777842088</v>
      </c>
      <c r="J2334" s="45">
        <v>1.9212042309779267E-2</v>
      </c>
      <c r="K2334" s="45">
        <v>0.2482</v>
      </c>
      <c r="N2334" s="54"/>
    </row>
    <row r="2335" spans="2:14" x14ac:dyDescent="0.2">
      <c r="B2335">
        <v>2326</v>
      </c>
      <c r="C2335" s="52">
        <f t="shared" ca="1" si="111"/>
        <v>-0.41921710364847065</v>
      </c>
      <c r="D2335" s="52">
        <f ca="1">S0*EXP((μ-0.5*σ*σ)*T+σ*SQRT(T)*$C2335)</f>
        <v>0.57338645048507131</v>
      </c>
      <c r="E2335" s="52">
        <f t="shared" ca="1" si="109"/>
        <v>0</v>
      </c>
      <c r="F2335" s="17">
        <f t="shared" ca="1" si="110"/>
        <v>0</v>
      </c>
      <c r="H2335" s="17">
        <v>2326</v>
      </c>
      <c r="I2335" s="45">
        <v>0.67020752325487243</v>
      </c>
      <c r="J2335" s="45">
        <v>1.8269815923196733E-2</v>
      </c>
      <c r="K2335" s="45">
        <v>0.2412</v>
      </c>
      <c r="N2335" s="54"/>
    </row>
    <row r="2336" spans="2:14" x14ac:dyDescent="0.2">
      <c r="B2336">
        <v>2327</v>
      </c>
      <c r="C2336" s="52">
        <f t="shared" ca="1" si="111"/>
        <v>0.8299322740099041</v>
      </c>
      <c r="D2336" s="52">
        <f ca="1">S0*EXP((μ-0.5*σ*σ)*T+σ*SQRT(T)*$C2336)</f>
        <v>0.80986326487855254</v>
      </c>
      <c r="E2336" s="52">
        <f t="shared" ca="1" si="109"/>
        <v>0</v>
      </c>
      <c r="F2336" s="17">
        <f t="shared" ca="1" si="110"/>
        <v>0</v>
      </c>
      <c r="H2336" s="17">
        <v>2327</v>
      </c>
      <c r="I2336" s="45">
        <v>0.66997278216441536</v>
      </c>
      <c r="J2336" s="45">
        <v>1.833287955178E-2</v>
      </c>
      <c r="K2336" s="45">
        <v>0.2462</v>
      </c>
      <c r="N2336" s="54"/>
    </row>
    <row r="2337" spans="2:14" x14ac:dyDescent="0.2">
      <c r="B2337">
        <v>2328</v>
      </c>
      <c r="C2337" s="52">
        <f t="shared" ca="1" si="111"/>
        <v>-1.1883868905432318</v>
      </c>
      <c r="D2337" s="52">
        <f ca="1">S0*EXP((μ-0.5*σ*σ)*T+σ*SQRT(T)*$C2337)</f>
        <v>0.46356025934317269</v>
      </c>
      <c r="E2337" s="52">
        <f t="shared" ca="1" si="109"/>
        <v>7.0839740656827299E-2</v>
      </c>
      <c r="F2337" s="17">
        <f t="shared" ca="1" si="110"/>
        <v>1</v>
      </c>
      <c r="H2337" s="17">
        <v>2328</v>
      </c>
      <c r="I2337" s="45">
        <v>0.67094925384752024</v>
      </c>
      <c r="J2337" s="45">
        <v>1.9061105486450257E-2</v>
      </c>
      <c r="K2337" s="45">
        <v>0.24759999999999999</v>
      </c>
      <c r="N2337" s="54"/>
    </row>
    <row r="2338" spans="2:14" x14ac:dyDescent="0.2">
      <c r="B2338">
        <v>2329</v>
      </c>
      <c r="C2338" s="52">
        <f t="shared" ca="1" si="111"/>
        <v>0.29314854545529068</v>
      </c>
      <c r="D2338" s="52">
        <f ca="1">S0*EXP((μ-0.5*σ*σ)*T+σ*SQRT(T)*$C2338)</f>
        <v>0.69818279302451858</v>
      </c>
      <c r="E2338" s="52">
        <f t="shared" ca="1" si="109"/>
        <v>0</v>
      </c>
      <c r="F2338" s="17">
        <f t="shared" ca="1" si="110"/>
        <v>0</v>
      </c>
      <c r="H2338" s="17">
        <v>2329</v>
      </c>
      <c r="I2338" s="45">
        <v>0.67040534367966964</v>
      </c>
      <c r="J2338" s="45">
        <v>1.8696113829048806E-2</v>
      </c>
      <c r="K2338" s="45">
        <v>0.24179999999999999</v>
      </c>
      <c r="N2338" s="54"/>
    </row>
    <row r="2339" spans="2:14" x14ac:dyDescent="0.2">
      <c r="B2339">
        <v>2330</v>
      </c>
      <c r="C2339" s="52">
        <f t="shared" ca="1" si="111"/>
        <v>0.38597765781863924</v>
      </c>
      <c r="D2339" s="52">
        <f ca="1">S0*EXP((μ-0.5*σ*σ)*T+σ*SQRT(T)*$C2339)</f>
        <v>0.71633070184286685</v>
      </c>
      <c r="E2339" s="52">
        <f t="shared" ca="1" si="109"/>
        <v>0</v>
      </c>
      <c r="F2339" s="17">
        <f t="shared" ca="1" si="110"/>
        <v>0</v>
      </c>
      <c r="H2339" s="17">
        <v>2330</v>
      </c>
      <c r="I2339" s="45">
        <v>0.67143480911702369</v>
      </c>
      <c r="J2339" s="45">
        <v>1.9383114657961911E-2</v>
      </c>
      <c r="K2339" s="45">
        <v>0.2452</v>
      </c>
      <c r="N2339" s="54"/>
    </row>
    <row r="2340" spans="2:14" x14ac:dyDescent="0.2">
      <c r="B2340">
        <v>2331</v>
      </c>
      <c r="C2340" s="52">
        <f t="shared" ca="1" si="111"/>
        <v>-0.58268708261077851</v>
      </c>
      <c r="D2340" s="52">
        <f ca="1">S0*EXP((μ-0.5*σ*σ)*T+σ*SQRT(T)*$C2340)</f>
        <v>0.54805273055418169</v>
      </c>
      <c r="E2340" s="52">
        <f t="shared" ca="1" si="109"/>
        <v>0</v>
      </c>
      <c r="F2340" s="17">
        <f t="shared" ca="1" si="110"/>
        <v>0</v>
      </c>
      <c r="H2340" s="17">
        <v>2331</v>
      </c>
      <c r="I2340" s="45">
        <v>0.67026999687337696</v>
      </c>
      <c r="J2340" s="45">
        <v>1.834583981453285E-2</v>
      </c>
      <c r="K2340" s="45">
        <v>0.24399999999999999</v>
      </c>
      <c r="N2340" s="54"/>
    </row>
    <row r="2341" spans="2:14" x14ac:dyDescent="0.2">
      <c r="B2341">
        <v>2332</v>
      </c>
      <c r="C2341" s="52">
        <f t="shared" ca="1" si="111"/>
        <v>-0.94835384998161076</v>
      </c>
      <c r="D2341" s="52">
        <f ca="1">S0*EXP((μ-0.5*σ*σ)*T+σ*SQRT(T)*$C2341)</f>
        <v>0.4953622546711588</v>
      </c>
      <c r="E2341" s="52">
        <f t="shared" ca="1" si="109"/>
        <v>3.9037745328841189E-2</v>
      </c>
      <c r="F2341" s="17">
        <f t="shared" ca="1" si="110"/>
        <v>1</v>
      </c>
      <c r="H2341" s="17">
        <v>2332</v>
      </c>
      <c r="I2341" s="45">
        <v>0.67151960041106151</v>
      </c>
      <c r="J2341" s="45">
        <v>1.9356791008036715E-2</v>
      </c>
      <c r="K2341" s="45">
        <v>0.24879999999999999</v>
      </c>
      <c r="N2341" s="54"/>
    </row>
    <row r="2342" spans="2:14" x14ac:dyDescent="0.2">
      <c r="B2342">
        <v>2333</v>
      </c>
      <c r="C2342" s="52">
        <f t="shared" ca="1" si="111"/>
        <v>-0.54602764052056618</v>
      </c>
      <c r="D2342" s="52">
        <f ca="1">S0*EXP((μ-0.5*σ*σ)*T+σ*SQRT(T)*$C2342)</f>
        <v>0.55363485761160647</v>
      </c>
      <c r="E2342" s="52">
        <f t="shared" ca="1" si="109"/>
        <v>0</v>
      </c>
      <c r="F2342" s="17">
        <f t="shared" ca="1" si="110"/>
        <v>0</v>
      </c>
      <c r="H2342" s="17">
        <v>2333</v>
      </c>
      <c r="I2342" s="45">
        <v>0.67113810153316533</v>
      </c>
      <c r="J2342" s="45">
        <v>1.8826981981893393E-2</v>
      </c>
      <c r="K2342" s="45">
        <v>0.24060000000000001</v>
      </c>
      <c r="N2342" s="54"/>
    </row>
    <row r="2343" spans="2:14" x14ac:dyDescent="0.2">
      <c r="B2343">
        <v>2334</v>
      </c>
      <c r="C2343" s="52">
        <f t="shared" ca="1" si="111"/>
        <v>-0.13142710931590046</v>
      </c>
      <c r="D2343" s="52">
        <f ca="1">S0*EXP((μ-0.5*σ*σ)*T+σ*SQRT(T)*$C2343)</f>
        <v>0.62086547645015833</v>
      </c>
      <c r="E2343" s="52">
        <f t="shared" ca="1" si="109"/>
        <v>0</v>
      </c>
      <c r="F2343" s="17">
        <f t="shared" ca="1" si="110"/>
        <v>0</v>
      </c>
      <c r="H2343" s="17">
        <v>2334</v>
      </c>
      <c r="I2343" s="45">
        <v>0.67139987980000837</v>
      </c>
      <c r="J2343" s="45">
        <v>1.9526125981797343E-2</v>
      </c>
      <c r="K2343" s="45">
        <v>0.25840000000000002</v>
      </c>
      <c r="N2343" s="54"/>
    </row>
    <row r="2344" spans="2:14" x14ac:dyDescent="0.2">
      <c r="B2344">
        <v>2335</v>
      </c>
      <c r="C2344" s="52">
        <f t="shared" ca="1" si="111"/>
        <v>0.63027512985710765</v>
      </c>
      <c r="D2344" s="52">
        <f ca="1">S0*EXP((μ-0.5*σ*σ)*T+σ*SQRT(T)*$C2344)</f>
        <v>0.76637660359907045</v>
      </c>
      <c r="E2344" s="52">
        <f t="shared" ca="1" si="109"/>
        <v>0</v>
      </c>
      <c r="F2344" s="17">
        <f t="shared" ca="1" si="110"/>
        <v>0</v>
      </c>
      <c r="H2344" s="17">
        <v>2335</v>
      </c>
      <c r="I2344" s="45">
        <v>0.67083430799636523</v>
      </c>
      <c r="J2344" s="45">
        <v>1.8952248647968149E-2</v>
      </c>
      <c r="K2344" s="45">
        <v>0.24640000000000001</v>
      </c>
      <c r="N2344" s="54"/>
    </row>
    <row r="2345" spans="2:14" x14ac:dyDescent="0.2">
      <c r="B2345">
        <v>2336</v>
      </c>
      <c r="C2345" s="52">
        <f t="shared" ca="1" si="111"/>
        <v>-0.82444132579454077</v>
      </c>
      <c r="D2345" s="52">
        <f ca="1">S0*EXP((μ-0.5*σ*σ)*T+σ*SQRT(T)*$C2345)</f>
        <v>0.51262407177704339</v>
      </c>
      <c r="E2345" s="52">
        <f t="shared" ca="1" si="109"/>
        <v>2.1775928222956598E-2</v>
      </c>
      <c r="F2345" s="17">
        <f t="shared" ca="1" si="110"/>
        <v>1</v>
      </c>
      <c r="H2345" s="17">
        <v>2336</v>
      </c>
      <c r="I2345" s="45">
        <v>0.67169700284107825</v>
      </c>
      <c r="J2345" s="45">
        <v>1.9804253539944271E-2</v>
      </c>
      <c r="K2345" s="45">
        <v>0.25779999999999997</v>
      </c>
      <c r="N2345" s="54"/>
    </row>
    <row r="2346" spans="2:14" x14ac:dyDescent="0.2">
      <c r="B2346">
        <v>2337</v>
      </c>
      <c r="C2346" s="52">
        <f t="shared" ca="1" si="111"/>
        <v>0.1993308685726182</v>
      </c>
      <c r="D2346" s="52">
        <f ca="1">S0*EXP((μ-0.5*σ*σ)*T+σ*SQRT(T)*$C2346)</f>
        <v>0.68030871882535238</v>
      </c>
      <c r="E2346" s="52">
        <f t="shared" ca="1" si="109"/>
        <v>0</v>
      </c>
      <c r="F2346" s="17">
        <f t="shared" ca="1" si="110"/>
        <v>0</v>
      </c>
      <c r="H2346" s="17">
        <v>2337</v>
      </c>
      <c r="I2346" s="45">
        <v>0.67061510604522712</v>
      </c>
      <c r="J2346" s="45">
        <v>1.8946012667814621E-2</v>
      </c>
      <c r="K2346" s="45">
        <v>0.25419999999999998</v>
      </c>
      <c r="N2346" s="54"/>
    </row>
    <row r="2347" spans="2:14" x14ac:dyDescent="0.2">
      <c r="B2347">
        <v>2338</v>
      </c>
      <c r="C2347" s="52">
        <f t="shared" ca="1" si="111"/>
        <v>-1.718635944215174</v>
      </c>
      <c r="D2347" s="52">
        <f ca="1">S0*EXP((μ-0.5*σ*σ)*T+σ*SQRT(T)*$C2347)</f>
        <v>0.40035766396672728</v>
      </c>
      <c r="E2347" s="52">
        <f t="shared" ca="1" si="109"/>
        <v>0.1340423360332727</v>
      </c>
      <c r="F2347" s="17">
        <f t="shared" ca="1" si="110"/>
        <v>1</v>
      </c>
      <c r="H2347" s="17">
        <v>2338</v>
      </c>
      <c r="I2347" s="45">
        <v>0.67106755872922463</v>
      </c>
      <c r="J2347" s="45">
        <v>1.8993316665934481E-2</v>
      </c>
      <c r="K2347" s="45">
        <v>0.24740000000000001</v>
      </c>
      <c r="N2347" s="54"/>
    </row>
    <row r="2348" spans="2:14" x14ac:dyDescent="0.2">
      <c r="B2348">
        <v>2339</v>
      </c>
      <c r="C2348" s="52">
        <f t="shared" ca="1" si="111"/>
        <v>0.62636990864270192</v>
      </c>
      <c r="D2348" s="52">
        <f ca="1">S0*EXP((μ-0.5*σ*σ)*T+σ*SQRT(T)*$C2348)</f>
        <v>0.76554972337807325</v>
      </c>
      <c r="E2348" s="52">
        <f t="shared" ca="1" si="109"/>
        <v>0</v>
      </c>
      <c r="F2348" s="17">
        <f t="shared" ca="1" si="110"/>
        <v>0</v>
      </c>
      <c r="H2348" s="17">
        <v>2339</v>
      </c>
      <c r="I2348" s="45">
        <v>0.67154488726853956</v>
      </c>
      <c r="J2348" s="45">
        <v>1.958813352319913E-2</v>
      </c>
      <c r="K2348" s="45">
        <v>0.24940000000000001</v>
      </c>
      <c r="N2348" s="54"/>
    </row>
    <row r="2349" spans="2:14" x14ac:dyDescent="0.2">
      <c r="B2349">
        <v>2340</v>
      </c>
      <c r="C2349" s="52">
        <f t="shared" ca="1" si="111"/>
        <v>0.24183470603836885</v>
      </c>
      <c r="D2349" s="52">
        <f ca="1">S0*EXP((μ-0.5*σ*σ)*T+σ*SQRT(T)*$C2349)</f>
        <v>0.68834910962718798</v>
      </c>
      <c r="E2349" s="52">
        <f t="shared" ca="1" si="109"/>
        <v>0</v>
      </c>
      <c r="F2349" s="17">
        <f t="shared" ca="1" si="110"/>
        <v>0</v>
      </c>
      <c r="H2349" s="17">
        <v>2340</v>
      </c>
      <c r="I2349" s="45">
        <v>0.67041859384282931</v>
      </c>
      <c r="J2349" s="45">
        <v>1.8624545440588253E-2</v>
      </c>
      <c r="K2349" s="45">
        <v>0.246</v>
      </c>
      <c r="N2349" s="54"/>
    </row>
    <row r="2350" spans="2:14" x14ac:dyDescent="0.2">
      <c r="B2350">
        <v>2341</v>
      </c>
      <c r="C2350" s="52">
        <f t="shared" ca="1" si="111"/>
        <v>-0.23040745950469912</v>
      </c>
      <c r="D2350" s="52">
        <f ca="1">S0*EXP((μ-0.5*σ*σ)*T+σ*SQRT(T)*$C2350)</f>
        <v>0.60410803476949648</v>
      </c>
      <c r="E2350" s="52">
        <f t="shared" ca="1" si="109"/>
        <v>0</v>
      </c>
      <c r="F2350" s="17">
        <f t="shared" ca="1" si="110"/>
        <v>0</v>
      </c>
      <c r="H2350" s="17">
        <v>2341</v>
      </c>
      <c r="I2350" s="45">
        <v>0.67136471996312364</v>
      </c>
      <c r="J2350" s="45">
        <v>1.9627885824343643E-2</v>
      </c>
      <c r="K2350" s="45">
        <v>0.25580000000000003</v>
      </c>
      <c r="N2350" s="54"/>
    </row>
    <row r="2351" spans="2:14" x14ac:dyDescent="0.2">
      <c r="B2351">
        <v>2342</v>
      </c>
      <c r="C2351" s="52">
        <f t="shared" ca="1" si="111"/>
        <v>-0.55529285285379482</v>
      </c>
      <c r="D2351" s="52">
        <f ca="1">S0*EXP((μ-0.5*σ*σ)*T+σ*SQRT(T)*$C2351)</f>
        <v>0.55221869904291476</v>
      </c>
      <c r="E2351" s="52">
        <f t="shared" ca="1" si="109"/>
        <v>0</v>
      </c>
      <c r="F2351" s="17">
        <f t="shared" ca="1" si="110"/>
        <v>0</v>
      </c>
      <c r="H2351" s="17">
        <v>2342</v>
      </c>
      <c r="I2351" s="45">
        <v>0.67107524200489854</v>
      </c>
      <c r="J2351" s="45">
        <v>1.9160195478133329E-2</v>
      </c>
      <c r="K2351" s="45">
        <v>0.25580000000000003</v>
      </c>
      <c r="N2351" s="54"/>
    </row>
    <row r="2352" spans="2:14" x14ac:dyDescent="0.2">
      <c r="B2352">
        <v>2343</v>
      </c>
      <c r="C2352" s="52">
        <f t="shared" ca="1" si="111"/>
        <v>1.0423036436008837</v>
      </c>
      <c r="D2352" s="52">
        <f ca="1">S0*EXP((μ-0.5*σ*σ)*T+σ*SQRT(T)*$C2352)</f>
        <v>0.8588306683007344</v>
      </c>
      <c r="E2352" s="52">
        <f t="shared" ca="1" si="109"/>
        <v>0</v>
      </c>
      <c r="F2352" s="17">
        <f t="shared" ca="1" si="110"/>
        <v>0</v>
      </c>
      <c r="H2352" s="17">
        <v>2343</v>
      </c>
      <c r="I2352" s="45">
        <v>0.67007303875746616</v>
      </c>
      <c r="J2352" s="45">
        <v>1.8368647975584945E-2</v>
      </c>
      <c r="K2352" s="45">
        <v>0.24560000000000001</v>
      </c>
      <c r="N2352" s="54"/>
    </row>
    <row r="2353" spans="2:14" x14ac:dyDescent="0.2">
      <c r="B2353">
        <v>2344</v>
      </c>
      <c r="C2353" s="52">
        <f t="shared" ca="1" si="111"/>
        <v>-0.72711812250999486</v>
      </c>
      <c r="D2353" s="52">
        <f ca="1">S0*EXP((μ-0.5*σ*σ)*T+σ*SQRT(T)*$C2353)</f>
        <v>0.52660254010371821</v>
      </c>
      <c r="E2353" s="52">
        <f t="shared" ca="1" si="109"/>
        <v>7.7974598962817776E-3</v>
      </c>
      <c r="F2353" s="17">
        <f t="shared" ca="1" si="110"/>
        <v>1</v>
      </c>
      <c r="H2353" s="17">
        <v>2344</v>
      </c>
      <c r="I2353" s="45">
        <v>0.67110974260116063</v>
      </c>
      <c r="J2353" s="45">
        <v>1.9370820506989159E-2</v>
      </c>
      <c r="K2353" s="45">
        <v>0.25040000000000001</v>
      </c>
      <c r="N2353" s="54"/>
    </row>
    <row r="2354" spans="2:14" x14ac:dyDescent="0.2">
      <c r="B2354">
        <v>2345</v>
      </c>
      <c r="C2354" s="52">
        <f t="shared" ca="1" si="111"/>
        <v>-0.47950754453270006</v>
      </c>
      <c r="D2354" s="52">
        <f ca="1">S0*EXP((μ-0.5*σ*σ)*T+σ*SQRT(T)*$C2354)</f>
        <v>0.56390944774211971</v>
      </c>
      <c r="E2354" s="52">
        <f t="shared" ca="1" si="109"/>
        <v>0</v>
      </c>
      <c r="F2354" s="17">
        <f t="shared" ca="1" si="110"/>
        <v>0</v>
      </c>
      <c r="H2354" s="17">
        <v>2345</v>
      </c>
      <c r="I2354" s="45">
        <v>0.66883074593037517</v>
      </c>
      <c r="J2354" s="45">
        <v>1.729760560046268E-2</v>
      </c>
      <c r="K2354" s="45">
        <v>0.2346</v>
      </c>
      <c r="N2354" s="54"/>
    </row>
    <row r="2355" spans="2:14" x14ac:dyDescent="0.2">
      <c r="B2355">
        <v>2346</v>
      </c>
      <c r="C2355" s="52">
        <f t="shared" ca="1" si="111"/>
        <v>-0.76096663241101048</v>
      </c>
      <c r="D2355" s="52">
        <f ca="1">S0*EXP((μ-0.5*σ*σ)*T+σ*SQRT(T)*$C2355)</f>
        <v>0.52169819072730506</v>
      </c>
      <c r="E2355" s="52">
        <f t="shared" ca="1" si="109"/>
        <v>1.2701809272694931E-2</v>
      </c>
      <c r="F2355" s="17">
        <f t="shared" ca="1" si="110"/>
        <v>1</v>
      </c>
      <c r="H2355" s="17">
        <v>2346</v>
      </c>
      <c r="I2355" s="45">
        <v>0.67077077510978911</v>
      </c>
      <c r="J2355" s="45">
        <v>1.8788903304757035E-2</v>
      </c>
      <c r="K2355" s="45">
        <v>0.24660000000000001</v>
      </c>
      <c r="N2355" s="54"/>
    </row>
    <row r="2356" spans="2:14" x14ac:dyDescent="0.2">
      <c r="B2356">
        <v>2347</v>
      </c>
      <c r="C2356" s="52">
        <f t="shared" ca="1" si="111"/>
        <v>-1.091014397435546</v>
      </c>
      <c r="D2356" s="52">
        <f ca="1">S0*EXP((μ-0.5*σ*σ)*T+σ*SQRT(T)*$C2356)</f>
        <v>0.47620732155515932</v>
      </c>
      <c r="E2356" s="52">
        <f t="shared" ca="1" si="109"/>
        <v>5.8192678444840662E-2</v>
      </c>
      <c r="F2356" s="17">
        <f t="shared" ca="1" si="110"/>
        <v>1</v>
      </c>
      <c r="H2356" s="17">
        <v>2347</v>
      </c>
      <c r="I2356" s="45">
        <v>0.67155028404177597</v>
      </c>
      <c r="J2356" s="45">
        <v>1.9480564807755625E-2</v>
      </c>
      <c r="K2356" s="45">
        <v>0.24859999999999999</v>
      </c>
      <c r="N2356" s="54"/>
    </row>
    <row r="2357" spans="2:14" x14ac:dyDescent="0.2">
      <c r="B2357">
        <v>2348</v>
      </c>
      <c r="C2357" s="52">
        <f t="shared" ca="1" si="111"/>
        <v>-1.5730498319907642</v>
      </c>
      <c r="D2357" s="52">
        <f ca="1">S0*EXP((μ-0.5*σ*σ)*T+σ*SQRT(T)*$C2357)</f>
        <v>0.41679856284410643</v>
      </c>
      <c r="E2357" s="52">
        <f t="shared" ca="1" si="109"/>
        <v>0.11760143715589355</v>
      </c>
      <c r="F2357" s="17">
        <f t="shared" ca="1" si="110"/>
        <v>1</v>
      </c>
      <c r="H2357" s="17">
        <v>2348</v>
      </c>
      <c r="I2357" s="45">
        <v>0.67073502104362648</v>
      </c>
      <c r="J2357" s="45">
        <v>1.9095597778470343E-2</v>
      </c>
      <c r="K2357" s="45">
        <v>0.25119999999999998</v>
      </c>
      <c r="N2357" s="54"/>
    </row>
    <row r="2358" spans="2:14" x14ac:dyDescent="0.2">
      <c r="B2358">
        <v>2349</v>
      </c>
      <c r="C2358" s="52">
        <f t="shared" ca="1" si="111"/>
        <v>0.19916444918946422</v>
      </c>
      <c r="D2358" s="52">
        <f ca="1">S0*EXP((μ-0.5*σ*σ)*T+σ*SQRT(T)*$C2358)</f>
        <v>0.68027742280776526</v>
      </c>
      <c r="E2358" s="52">
        <f t="shared" ca="1" si="109"/>
        <v>0</v>
      </c>
      <c r="F2358" s="17">
        <f t="shared" ca="1" si="110"/>
        <v>0</v>
      </c>
      <c r="H2358" s="17">
        <v>2349</v>
      </c>
      <c r="I2358" s="45">
        <v>0.67018491015641857</v>
      </c>
      <c r="J2358" s="45">
        <v>1.8259523430932224E-2</v>
      </c>
      <c r="K2358" s="45">
        <v>0.2414</v>
      </c>
      <c r="N2358" s="54"/>
    </row>
    <row r="2359" spans="2:14" x14ac:dyDescent="0.2">
      <c r="B2359">
        <v>2350</v>
      </c>
      <c r="C2359" s="52">
        <f t="shared" ca="1" si="111"/>
        <v>1.184915849304319</v>
      </c>
      <c r="D2359" s="52">
        <f ca="1">S0*EXP((μ-0.5*σ*σ)*T+σ*SQRT(T)*$C2359)</f>
        <v>0.89336428034864857</v>
      </c>
      <c r="E2359" s="52">
        <f t="shared" ca="1" si="109"/>
        <v>0</v>
      </c>
      <c r="F2359" s="17">
        <f t="shared" ca="1" si="110"/>
        <v>0</v>
      </c>
      <c r="H2359" s="17">
        <v>2350</v>
      </c>
      <c r="I2359" s="45">
        <v>0.67092378362227423</v>
      </c>
      <c r="J2359" s="45">
        <v>1.9073620743284062E-2</v>
      </c>
      <c r="K2359" s="45">
        <v>0.24759999999999999</v>
      </c>
      <c r="N2359" s="54"/>
    </row>
    <row r="2360" spans="2:14" x14ac:dyDescent="0.2">
      <c r="B2360">
        <v>2351</v>
      </c>
      <c r="C2360" s="52">
        <f t="shared" ca="1" si="111"/>
        <v>0.29814226373984826</v>
      </c>
      <c r="D2360" s="52">
        <f ca="1">S0*EXP((μ-0.5*σ*σ)*T+σ*SQRT(T)*$C2360)</f>
        <v>0.69914724829728891</v>
      </c>
      <c r="E2360" s="52">
        <f t="shared" ca="1" si="109"/>
        <v>0</v>
      </c>
      <c r="F2360" s="17">
        <f t="shared" ca="1" si="110"/>
        <v>0</v>
      </c>
      <c r="H2360" s="17">
        <v>2351</v>
      </c>
      <c r="I2360" s="45">
        <v>0.67064380613933505</v>
      </c>
      <c r="J2360" s="45">
        <v>1.8893721526283828E-2</v>
      </c>
      <c r="K2360" s="45">
        <v>0.2472</v>
      </c>
      <c r="N2360" s="54"/>
    </row>
    <row r="2361" spans="2:14" x14ac:dyDescent="0.2">
      <c r="B2361">
        <v>2352</v>
      </c>
      <c r="C2361" s="52">
        <f t="shared" ca="1" si="111"/>
        <v>-0.86609168144216131</v>
      </c>
      <c r="D2361" s="52">
        <f ca="1">S0*EXP((μ-0.5*σ*σ)*T+σ*SQRT(T)*$C2361)</f>
        <v>0.50675581507791145</v>
      </c>
      <c r="E2361" s="52">
        <f t="shared" ca="1" si="109"/>
        <v>2.7644184922088533E-2</v>
      </c>
      <c r="F2361" s="17">
        <f t="shared" ca="1" si="110"/>
        <v>1</v>
      </c>
      <c r="H2361" s="17">
        <v>2352</v>
      </c>
      <c r="I2361" s="45">
        <v>0.67000263775283841</v>
      </c>
      <c r="J2361" s="45">
        <v>1.826134554404955E-2</v>
      </c>
      <c r="K2361" s="45">
        <v>0.24540000000000001</v>
      </c>
      <c r="N2361" s="54"/>
    </row>
    <row r="2362" spans="2:14" x14ac:dyDescent="0.2">
      <c r="B2362">
        <v>2353</v>
      </c>
      <c r="C2362" s="52">
        <f t="shared" ca="1" si="111"/>
        <v>1.1995013828698513</v>
      </c>
      <c r="D2362" s="52">
        <f ca="1">S0*EXP((μ-0.5*σ*σ)*T+σ*SQRT(T)*$C2362)</f>
        <v>0.89697352100133099</v>
      </c>
      <c r="E2362" s="52">
        <f t="shared" ca="1" si="109"/>
        <v>0</v>
      </c>
      <c r="F2362" s="17">
        <f t="shared" ca="1" si="110"/>
        <v>0</v>
      </c>
      <c r="H2362" s="17">
        <v>2353</v>
      </c>
      <c r="I2362" s="45">
        <v>0.67063438094085615</v>
      </c>
      <c r="J2362" s="45">
        <v>1.8665476125133487E-2</v>
      </c>
      <c r="K2362" s="45">
        <v>0.24479999999999999</v>
      </c>
      <c r="N2362" s="54"/>
    </row>
    <row r="2363" spans="2:14" x14ac:dyDescent="0.2">
      <c r="B2363">
        <v>2354</v>
      </c>
      <c r="C2363" s="52">
        <f t="shared" ca="1" si="111"/>
        <v>0.22297888936830806</v>
      </c>
      <c r="D2363" s="52">
        <f ca="1">S0*EXP((μ-0.5*σ*σ)*T+σ*SQRT(T)*$C2363)</f>
        <v>0.68477052027206864</v>
      </c>
      <c r="E2363" s="52">
        <f t="shared" ca="1" si="109"/>
        <v>0</v>
      </c>
      <c r="F2363" s="17">
        <f t="shared" ca="1" si="110"/>
        <v>0</v>
      </c>
      <c r="H2363" s="17">
        <v>2354</v>
      </c>
      <c r="I2363" s="45">
        <v>0.67059856312194888</v>
      </c>
      <c r="J2363" s="45">
        <v>1.8815522400330378E-2</v>
      </c>
      <c r="K2363" s="45">
        <v>0.24660000000000001</v>
      </c>
      <c r="N2363" s="54"/>
    </row>
    <row r="2364" spans="2:14" x14ac:dyDescent="0.2">
      <c r="B2364">
        <v>2355</v>
      </c>
      <c r="C2364" s="52">
        <f t="shared" ca="1" si="111"/>
        <v>0.93112366094756127</v>
      </c>
      <c r="D2364" s="52">
        <f ca="1">S0*EXP((μ-0.5*σ*σ)*T+σ*SQRT(T)*$C2364)</f>
        <v>0.83283705768406602</v>
      </c>
      <c r="E2364" s="52">
        <f t="shared" ca="1" si="109"/>
        <v>0</v>
      </c>
      <c r="F2364" s="17">
        <f t="shared" ca="1" si="110"/>
        <v>0</v>
      </c>
      <c r="H2364" s="17">
        <v>2355</v>
      </c>
      <c r="I2364" s="45">
        <v>0.67083417519113608</v>
      </c>
      <c r="J2364" s="45">
        <v>1.8905879419339182E-2</v>
      </c>
      <c r="K2364" s="45">
        <v>0.24959999999999999</v>
      </c>
      <c r="N2364" s="54"/>
    </row>
    <row r="2365" spans="2:14" x14ac:dyDescent="0.2">
      <c r="B2365">
        <v>2356</v>
      </c>
      <c r="C2365" s="52">
        <f t="shared" ca="1" si="111"/>
        <v>0.51666618376346751</v>
      </c>
      <c r="D2365" s="52">
        <f ca="1">S0*EXP((μ-0.5*σ*σ)*T+σ*SQRT(T)*$C2365)</f>
        <v>0.74268239627584254</v>
      </c>
      <c r="E2365" s="52">
        <f t="shared" ca="1" si="109"/>
        <v>0</v>
      </c>
      <c r="F2365" s="17">
        <f t="shared" ca="1" si="110"/>
        <v>0</v>
      </c>
      <c r="H2365" s="17">
        <v>2356</v>
      </c>
      <c r="I2365" s="45">
        <v>0.67050972161763867</v>
      </c>
      <c r="J2365" s="45">
        <v>1.8363199812450597E-2</v>
      </c>
      <c r="K2365" s="45">
        <v>0.23860000000000001</v>
      </c>
      <c r="N2365" s="54"/>
    </row>
    <row r="2366" spans="2:14" x14ac:dyDescent="0.2">
      <c r="B2366">
        <v>2357</v>
      </c>
      <c r="C2366" s="52">
        <f t="shared" ca="1" si="111"/>
        <v>-0.15539147077915852</v>
      </c>
      <c r="D2366" s="52">
        <f ca="1">S0*EXP((μ-0.5*σ*σ)*T+σ*SQRT(T)*$C2366)</f>
        <v>0.61676612842198431</v>
      </c>
      <c r="E2366" s="52">
        <f t="shared" ca="1" si="109"/>
        <v>0</v>
      </c>
      <c r="F2366" s="17">
        <f t="shared" ca="1" si="110"/>
        <v>0</v>
      </c>
      <c r="H2366" s="17">
        <v>2357</v>
      </c>
      <c r="I2366" s="45">
        <v>0.67049731551968583</v>
      </c>
      <c r="J2366" s="45">
        <v>1.8858443883188386E-2</v>
      </c>
      <c r="K2366" s="45">
        <v>0.24840000000000001</v>
      </c>
      <c r="N2366" s="54"/>
    </row>
    <row r="2367" spans="2:14" x14ac:dyDescent="0.2">
      <c r="B2367">
        <v>2358</v>
      </c>
      <c r="C2367" s="52">
        <f t="shared" ca="1" si="111"/>
        <v>-7.0458189328546431E-3</v>
      </c>
      <c r="D2367" s="52">
        <f ca="1">S0*EXP((μ-0.5*σ*σ)*T+σ*SQRT(T)*$C2367)</f>
        <v>0.6425839482983573</v>
      </c>
      <c r="E2367" s="52">
        <f t="shared" ca="1" si="109"/>
        <v>0</v>
      </c>
      <c r="F2367" s="17">
        <f t="shared" ca="1" si="110"/>
        <v>0</v>
      </c>
      <c r="H2367" s="17">
        <v>2358</v>
      </c>
      <c r="I2367" s="45">
        <v>0.67085394033756851</v>
      </c>
      <c r="J2367" s="45">
        <v>1.8921858127669073E-2</v>
      </c>
      <c r="K2367" s="45">
        <v>0.24679999999999999</v>
      </c>
      <c r="N2367" s="54"/>
    </row>
    <row r="2368" spans="2:14" x14ac:dyDescent="0.2">
      <c r="B2368">
        <v>2359</v>
      </c>
      <c r="C2368" s="52">
        <f t="shared" ca="1" si="111"/>
        <v>0.64152124170802627</v>
      </c>
      <c r="D2368" s="52">
        <f ca="1">S0*EXP((μ-0.5*σ*σ)*T+σ*SQRT(T)*$C2368)</f>
        <v>0.76876281545175396</v>
      </c>
      <c r="E2368" s="52">
        <f t="shared" ca="1" si="109"/>
        <v>0</v>
      </c>
      <c r="F2368" s="17">
        <f t="shared" ca="1" si="110"/>
        <v>0</v>
      </c>
      <c r="H2368" s="17">
        <v>2359</v>
      </c>
      <c r="I2368" s="45">
        <v>0.67180799258399371</v>
      </c>
      <c r="J2368" s="45">
        <v>1.9431141850617156E-2</v>
      </c>
      <c r="K2368" s="45">
        <v>0.253</v>
      </c>
      <c r="N2368" s="54"/>
    </row>
    <row r="2369" spans="2:14" x14ac:dyDescent="0.2">
      <c r="B2369">
        <v>2360</v>
      </c>
      <c r="C2369" s="52">
        <f t="shared" ca="1" si="111"/>
        <v>-0.4319247115554346</v>
      </c>
      <c r="D2369" s="52">
        <f ca="1">S0*EXP((μ-0.5*σ*σ)*T+σ*SQRT(T)*$C2369)</f>
        <v>0.57137579444206854</v>
      </c>
      <c r="E2369" s="52">
        <f t="shared" ca="1" si="109"/>
        <v>0</v>
      </c>
      <c r="F2369" s="17">
        <f t="shared" ca="1" si="110"/>
        <v>0</v>
      </c>
      <c r="H2369" s="17">
        <v>2360</v>
      </c>
      <c r="I2369" s="45">
        <v>0.67079611510062664</v>
      </c>
      <c r="J2369" s="45">
        <v>1.8717916532612931E-2</v>
      </c>
      <c r="K2369" s="45">
        <v>0.23960000000000001</v>
      </c>
      <c r="N2369" s="54"/>
    </row>
    <row r="2370" spans="2:14" x14ac:dyDescent="0.2">
      <c r="B2370">
        <v>2361</v>
      </c>
      <c r="C2370" s="52">
        <f t="shared" ca="1" si="111"/>
        <v>6.0839067041578813E-2</v>
      </c>
      <c r="D2370" s="52">
        <f ca="1">S0*EXP((μ-0.5*σ*σ)*T+σ*SQRT(T)*$C2370)</f>
        <v>0.65475626814907895</v>
      </c>
      <c r="E2370" s="52">
        <f t="shared" ca="1" si="109"/>
        <v>0</v>
      </c>
      <c r="F2370" s="17">
        <f t="shared" ca="1" si="110"/>
        <v>0</v>
      </c>
      <c r="H2370" s="17">
        <v>2361</v>
      </c>
      <c r="I2370" s="45">
        <v>0.67016279144775581</v>
      </c>
      <c r="J2370" s="45">
        <v>1.8423495795747393E-2</v>
      </c>
      <c r="K2370" s="45">
        <v>0.246</v>
      </c>
      <c r="N2370" s="54"/>
    </row>
    <row r="2371" spans="2:14" x14ac:dyDescent="0.2">
      <c r="B2371">
        <v>2362</v>
      </c>
      <c r="C2371" s="52">
        <f t="shared" ca="1" si="111"/>
        <v>-7.7198792043071868E-2</v>
      </c>
      <c r="D2371" s="52">
        <f ca="1">S0*EXP((μ-0.5*σ*σ)*T+σ*SQRT(T)*$C2371)</f>
        <v>0.6302426502847176</v>
      </c>
      <c r="E2371" s="52">
        <f t="shared" ca="1" si="109"/>
        <v>0</v>
      </c>
      <c r="F2371" s="17">
        <f t="shared" ca="1" si="110"/>
        <v>0</v>
      </c>
      <c r="H2371" s="17">
        <v>2362</v>
      </c>
      <c r="I2371" s="45">
        <v>0.67180459219128963</v>
      </c>
      <c r="J2371" s="45">
        <v>1.9517884213128851E-2</v>
      </c>
      <c r="K2371" s="45">
        <v>0.2492</v>
      </c>
      <c r="N2371" s="54"/>
    </row>
    <row r="2372" spans="2:14" x14ac:dyDescent="0.2">
      <c r="B2372">
        <v>2363</v>
      </c>
      <c r="C2372" s="52">
        <f t="shared" ca="1" si="111"/>
        <v>-7.8002407806466847E-2</v>
      </c>
      <c r="D2372" s="52">
        <f ca="1">S0*EXP((μ-0.5*σ*σ)*T+σ*SQRT(T)*$C2372)</f>
        <v>0.63010266024997108</v>
      </c>
      <c r="E2372" s="52">
        <f t="shared" ca="1" si="109"/>
        <v>0</v>
      </c>
      <c r="F2372" s="17">
        <f t="shared" ca="1" si="110"/>
        <v>0</v>
      </c>
      <c r="H2372" s="17">
        <v>2363</v>
      </c>
      <c r="I2372" s="45">
        <v>0.67266302092264707</v>
      </c>
      <c r="J2372" s="45">
        <v>2.0359937828610421E-2</v>
      </c>
      <c r="K2372" s="45">
        <v>0.25140000000000001</v>
      </c>
      <c r="N2372" s="54"/>
    </row>
    <row r="2373" spans="2:14" x14ac:dyDescent="0.2">
      <c r="B2373">
        <v>2364</v>
      </c>
      <c r="C2373" s="52">
        <f t="shared" ca="1" si="111"/>
        <v>-0.38819266732445784</v>
      </c>
      <c r="D2373" s="52">
        <f ca="1">S0*EXP((μ-0.5*σ*σ)*T+σ*SQRT(T)*$C2373)</f>
        <v>0.57832505294756043</v>
      </c>
      <c r="E2373" s="52">
        <f t="shared" ca="1" si="109"/>
        <v>0</v>
      </c>
      <c r="F2373" s="17">
        <f t="shared" ca="1" si="110"/>
        <v>0</v>
      </c>
      <c r="H2373" s="17">
        <v>2364</v>
      </c>
      <c r="I2373" s="45">
        <v>0.67134133349004055</v>
      </c>
      <c r="J2373" s="45">
        <v>1.9274425360063019E-2</v>
      </c>
      <c r="K2373" s="45">
        <v>0.247</v>
      </c>
      <c r="N2373" s="54"/>
    </row>
    <row r="2374" spans="2:14" x14ac:dyDescent="0.2">
      <c r="B2374">
        <v>2365</v>
      </c>
      <c r="C2374" s="52">
        <f t="shared" ca="1" si="111"/>
        <v>0.34754671534009518</v>
      </c>
      <c r="D2374" s="52">
        <f ca="1">S0*EXP((μ-0.5*σ*σ)*T+σ*SQRT(T)*$C2374)</f>
        <v>0.70876099801670467</v>
      </c>
      <c r="E2374" s="52">
        <f t="shared" ca="1" si="109"/>
        <v>0</v>
      </c>
      <c r="F2374" s="17">
        <f t="shared" ca="1" si="110"/>
        <v>0</v>
      </c>
      <c r="H2374" s="17">
        <v>2365</v>
      </c>
      <c r="I2374" s="45">
        <v>0.6712257048040412</v>
      </c>
      <c r="J2374" s="45">
        <v>1.9162597674667117E-2</v>
      </c>
      <c r="K2374" s="45">
        <v>0.248</v>
      </c>
      <c r="N2374" s="54"/>
    </row>
    <row r="2375" spans="2:14" x14ac:dyDescent="0.2">
      <c r="B2375">
        <v>2366</v>
      </c>
      <c r="C2375" s="52">
        <f t="shared" ca="1" si="111"/>
        <v>0.7559989544498058</v>
      </c>
      <c r="D2375" s="52">
        <f ca="1">S0*EXP((μ-0.5*σ*σ)*T+σ*SQRT(T)*$C2375)</f>
        <v>0.7934796163082587</v>
      </c>
      <c r="E2375" s="52">
        <f t="shared" ca="1" si="109"/>
        <v>0</v>
      </c>
      <c r="F2375" s="17">
        <f t="shared" ca="1" si="110"/>
        <v>0</v>
      </c>
      <c r="H2375" s="17">
        <v>2366</v>
      </c>
      <c r="I2375" s="45">
        <v>0.67042463230174254</v>
      </c>
      <c r="J2375" s="45">
        <v>1.8352244635986985E-2</v>
      </c>
      <c r="K2375" s="45">
        <v>0.24440000000000001</v>
      </c>
      <c r="N2375" s="54"/>
    </row>
    <row r="2376" spans="2:14" x14ac:dyDescent="0.2">
      <c r="B2376">
        <v>2367</v>
      </c>
      <c r="C2376" s="52">
        <f t="shared" ca="1" si="111"/>
        <v>-0.47250322674624101</v>
      </c>
      <c r="D2376" s="52">
        <f ca="1">S0*EXP((μ-0.5*σ*σ)*T+σ*SQRT(T)*$C2376)</f>
        <v>0.56500235886882622</v>
      </c>
      <c r="E2376" s="52">
        <f t="shared" ca="1" si="109"/>
        <v>0</v>
      </c>
      <c r="F2376" s="17">
        <f t="shared" ca="1" si="110"/>
        <v>0</v>
      </c>
      <c r="H2376" s="17">
        <v>2367</v>
      </c>
      <c r="I2376" s="45">
        <v>0.67143586614535067</v>
      </c>
      <c r="J2376" s="45">
        <v>1.9061121743122897E-2</v>
      </c>
      <c r="K2376" s="45">
        <v>0.246</v>
      </c>
      <c r="N2376" s="54"/>
    </row>
    <row r="2377" spans="2:14" x14ac:dyDescent="0.2">
      <c r="B2377">
        <v>2368</v>
      </c>
      <c r="C2377" s="52">
        <f t="shared" ca="1" si="111"/>
        <v>0.71735727296736485</v>
      </c>
      <c r="D2377" s="52">
        <f ca="1">S0*EXP((μ-0.5*σ*σ)*T+σ*SQRT(T)*$C2377)</f>
        <v>0.78504891990050563</v>
      </c>
      <c r="E2377" s="52">
        <f t="shared" ca="1" si="109"/>
        <v>0</v>
      </c>
      <c r="F2377" s="17">
        <f t="shared" ca="1" si="110"/>
        <v>0</v>
      </c>
      <c r="H2377" s="17">
        <v>2368</v>
      </c>
      <c r="I2377" s="45">
        <v>0.67118670105354394</v>
      </c>
      <c r="J2377" s="45">
        <v>1.9227221190164168E-2</v>
      </c>
      <c r="K2377" s="45">
        <v>0.255</v>
      </c>
      <c r="N2377" s="54"/>
    </row>
    <row r="2378" spans="2:14" x14ac:dyDescent="0.2">
      <c r="B2378">
        <v>2369</v>
      </c>
      <c r="C2378" s="52">
        <f t="shared" ca="1" si="111"/>
        <v>-0.31623764036117152</v>
      </c>
      <c r="D2378" s="52">
        <f ca="1">S0*EXP((μ-0.5*σ*σ)*T+σ*SQRT(T)*$C2378)</f>
        <v>0.5899435149047495</v>
      </c>
      <c r="E2378" s="52">
        <f t="shared" ref="E2378:E2441" ca="1" si="112">MAX(0,CP*(D2378-K))</f>
        <v>0</v>
      </c>
      <c r="F2378" s="17">
        <f t="shared" ref="F2378:F2441" ca="1" si="113">(CP*(D2378-K)&gt;0)*1</f>
        <v>0</v>
      </c>
      <c r="H2378" s="17">
        <v>2369</v>
      </c>
      <c r="I2378" s="45">
        <v>0.67169431762458176</v>
      </c>
      <c r="J2378" s="45">
        <v>1.9506088629244623E-2</v>
      </c>
      <c r="K2378" s="45">
        <v>0.24660000000000001</v>
      </c>
      <c r="N2378" s="54"/>
    </row>
    <row r="2379" spans="2:14" x14ac:dyDescent="0.2">
      <c r="B2379">
        <v>2370</v>
      </c>
      <c r="C2379" s="52">
        <f t="shared" ref="C2379:C2442" ca="1" si="114">_xlfn.NORM.S.INV(RAND())</f>
        <v>0.29993634329516711</v>
      </c>
      <c r="D2379" s="52">
        <f ca="1">S0*EXP((μ-0.5*σ*σ)*T+σ*SQRT(T)*$C2379)</f>
        <v>0.69949407072075531</v>
      </c>
      <c r="E2379" s="52">
        <f t="shared" ca="1" si="112"/>
        <v>0</v>
      </c>
      <c r="F2379" s="17">
        <f t="shared" ca="1" si="113"/>
        <v>0</v>
      </c>
      <c r="H2379" s="17">
        <v>2370</v>
      </c>
      <c r="I2379" s="45">
        <v>0.67125761066139022</v>
      </c>
      <c r="J2379" s="45">
        <v>1.9176857122269571E-2</v>
      </c>
      <c r="K2379" s="45">
        <v>0.24660000000000001</v>
      </c>
      <c r="N2379" s="54"/>
    </row>
    <row r="2380" spans="2:14" x14ac:dyDescent="0.2">
      <c r="B2380">
        <v>2371</v>
      </c>
      <c r="C2380" s="52">
        <f t="shared" ca="1" si="114"/>
        <v>-1.1798015886791307</v>
      </c>
      <c r="D2380" s="52">
        <f ca="1">S0*EXP((μ-0.5*σ*σ)*T+σ*SQRT(T)*$C2380)</f>
        <v>0.4646617132732766</v>
      </c>
      <c r="E2380" s="52">
        <f t="shared" ca="1" si="112"/>
        <v>6.9738286726723386E-2</v>
      </c>
      <c r="F2380" s="17">
        <f t="shared" ca="1" si="113"/>
        <v>1</v>
      </c>
      <c r="H2380" s="17">
        <v>2371</v>
      </c>
      <c r="I2380" s="45">
        <v>0.67086663381249201</v>
      </c>
      <c r="J2380" s="45">
        <v>1.9053919956011453E-2</v>
      </c>
      <c r="K2380" s="45">
        <v>0.24479999999999999</v>
      </c>
      <c r="N2380" s="54"/>
    </row>
    <row r="2381" spans="2:14" x14ac:dyDescent="0.2">
      <c r="B2381">
        <v>2372</v>
      </c>
      <c r="C2381" s="52">
        <f t="shared" ca="1" si="114"/>
        <v>0.30226712624712426</v>
      </c>
      <c r="D2381" s="52">
        <f ca="1">S0*EXP((μ-0.5*σ*σ)*T+σ*SQRT(T)*$C2381)</f>
        <v>0.69994490290140809</v>
      </c>
      <c r="E2381" s="52">
        <f t="shared" ca="1" si="112"/>
        <v>0</v>
      </c>
      <c r="F2381" s="17">
        <f t="shared" ca="1" si="113"/>
        <v>0</v>
      </c>
      <c r="H2381" s="17">
        <v>2372</v>
      </c>
      <c r="I2381" s="45">
        <v>0.67068462516026472</v>
      </c>
      <c r="J2381" s="45">
        <v>1.8684837506830282E-2</v>
      </c>
      <c r="K2381" s="45">
        <v>0.247</v>
      </c>
      <c r="N2381" s="54"/>
    </row>
    <row r="2382" spans="2:14" x14ac:dyDescent="0.2">
      <c r="B2382">
        <v>2373</v>
      </c>
      <c r="C2382" s="52">
        <f t="shared" ca="1" si="114"/>
        <v>1.044908681196677</v>
      </c>
      <c r="D2382" s="52">
        <f ca="1">S0*EXP((μ-0.5*σ*σ)*T+σ*SQRT(T)*$C2382)</f>
        <v>0.85944934967637654</v>
      </c>
      <c r="E2382" s="52">
        <f t="shared" ca="1" si="112"/>
        <v>0</v>
      </c>
      <c r="F2382" s="17">
        <f t="shared" ca="1" si="113"/>
        <v>0</v>
      </c>
      <c r="H2382" s="17">
        <v>2373</v>
      </c>
      <c r="I2382" s="45">
        <v>0.67075841870923603</v>
      </c>
      <c r="J2382" s="45">
        <v>1.8878595558364023E-2</v>
      </c>
      <c r="K2382" s="45">
        <v>0.24179999999999999</v>
      </c>
      <c r="N2382" s="54"/>
    </row>
    <row r="2383" spans="2:14" x14ac:dyDescent="0.2">
      <c r="B2383">
        <v>2374</v>
      </c>
      <c r="C2383" s="52">
        <f t="shared" ca="1" si="114"/>
        <v>-1.0716341761917907</v>
      </c>
      <c r="D2383" s="52">
        <f ca="1">S0*EXP((μ-0.5*σ*σ)*T+σ*SQRT(T)*$C2383)</f>
        <v>0.47876536412827914</v>
      </c>
      <c r="E2383" s="52">
        <f t="shared" ca="1" si="112"/>
        <v>5.563463587172085E-2</v>
      </c>
      <c r="F2383" s="17">
        <f t="shared" ca="1" si="113"/>
        <v>1</v>
      </c>
      <c r="H2383" s="17">
        <v>2374</v>
      </c>
      <c r="I2383" s="45">
        <v>0.67217667404019288</v>
      </c>
      <c r="J2383" s="45">
        <v>1.9993685216847992E-2</v>
      </c>
      <c r="K2383" s="45">
        <v>0.24560000000000001</v>
      </c>
      <c r="N2383" s="54"/>
    </row>
    <row r="2384" spans="2:14" x14ac:dyDescent="0.2">
      <c r="B2384">
        <v>2375</v>
      </c>
      <c r="C2384" s="52">
        <f t="shared" ca="1" si="114"/>
        <v>-0.30683533376913824</v>
      </c>
      <c r="D2384" s="52">
        <f ca="1">S0*EXP((μ-0.5*σ*σ)*T+σ*SQRT(T)*$C2384)</f>
        <v>0.59147883336661189</v>
      </c>
      <c r="E2384" s="52">
        <f t="shared" ca="1" si="112"/>
        <v>0</v>
      </c>
      <c r="F2384" s="17">
        <f t="shared" ca="1" si="113"/>
        <v>0</v>
      </c>
      <c r="H2384" s="17">
        <v>2375</v>
      </c>
      <c r="I2384" s="45">
        <v>0.67151174614828346</v>
      </c>
      <c r="J2384" s="45">
        <v>1.932129417019918E-2</v>
      </c>
      <c r="K2384" s="45">
        <v>0.25519999999999998</v>
      </c>
      <c r="N2384" s="54"/>
    </row>
    <row r="2385" spans="2:14" x14ac:dyDescent="0.2">
      <c r="B2385">
        <v>2376</v>
      </c>
      <c r="C2385" s="52">
        <f t="shared" ca="1" si="114"/>
        <v>-1.2259132912548945</v>
      </c>
      <c r="D2385" s="52">
        <f ca="1">S0*EXP((μ-0.5*σ*σ)*T+σ*SQRT(T)*$C2385)</f>
        <v>0.4587763648009493</v>
      </c>
      <c r="E2385" s="52">
        <f t="shared" ca="1" si="112"/>
        <v>7.5623635199050687E-2</v>
      </c>
      <c r="F2385" s="17">
        <f t="shared" ca="1" si="113"/>
        <v>1</v>
      </c>
      <c r="H2385" s="17">
        <v>2376</v>
      </c>
      <c r="I2385" s="45">
        <v>0.67042731701058933</v>
      </c>
      <c r="J2385" s="45">
        <v>1.8369907968350252E-2</v>
      </c>
      <c r="K2385" s="45">
        <v>0.23699999999999999</v>
      </c>
      <c r="N2385" s="54"/>
    </row>
    <row r="2386" spans="2:14" x14ac:dyDescent="0.2">
      <c r="B2386">
        <v>2377</v>
      </c>
      <c r="C2386" s="52">
        <f t="shared" ca="1" si="114"/>
        <v>0.79346477850664565</v>
      </c>
      <c r="D2386" s="52">
        <f ca="1">S0*EXP((μ-0.5*σ*σ)*T+σ*SQRT(T)*$C2386)</f>
        <v>0.80174020638420995</v>
      </c>
      <c r="E2386" s="52">
        <f t="shared" ca="1" si="112"/>
        <v>0</v>
      </c>
      <c r="F2386" s="17">
        <f t="shared" ca="1" si="113"/>
        <v>0</v>
      </c>
      <c r="H2386" s="17">
        <v>2377</v>
      </c>
      <c r="I2386" s="45">
        <v>0.67000649767843956</v>
      </c>
      <c r="J2386" s="45">
        <v>1.8505163708861044E-2</v>
      </c>
      <c r="K2386" s="45">
        <v>0.24440000000000001</v>
      </c>
      <c r="N2386" s="54"/>
    </row>
    <row r="2387" spans="2:14" x14ac:dyDescent="0.2">
      <c r="B2387">
        <v>2378</v>
      </c>
      <c r="C2387" s="52">
        <f t="shared" ca="1" si="114"/>
        <v>0.24290968036547056</v>
      </c>
      <c r="D2387" s="52">
        <f ca="1">S0*EXP((μ-0.5*σ*σ)*T+σ*SQRT(T)*$C2387)</f>
        <v>0.68855368836644215</v>
      </c>
      <c r="E2387" s="52">
        <f t="shared" ca="1" si="112"/>
        <v>0</v>
      </c>
      <c r="F2387" s="17">
        <f t="shared" ca="1" si="113"/>
        <v>0</v>
      </c>
      <c r="H2387" s="17">
        <v>2378</v>
      </c>
      <c r="I2387" s="45">
        <v>0.67134452152064017</v>
      </c>
      <c r="J2387" s="45">
        <v>1.928236150323754E-2</v>
      </c>
      <c r="K2387" s="45">
        <v>0.249</v>
      </c>
      <c r="N2387" s="54"/>
    </row>
    <row r="2388" spans="2:14" x14ac:dyDescent="0.2">
      <c r="B2388">
        <v>2379</v>
      </c>
      <c r="C2388" s="52">
        <f t="shared" ca="1" si="114"/>
        <v>0.21296301725114172</v>
      </c>
      <c r="D2388" s="52">
        <f ca="1">S0*EXP((μ-0.5*σ*σ)*T+σ*SQRT(T)*$C2388)</f>
        <v>0.68287720966254861</v>
      </c>
      <c r="E2388" s="52">
        <f t="shared" ca="1" si="112"/>
        <v>0</v>
      </c>
      <c r="F2388" s="17">
        <f t="shared" ca="1" si="113"/>
        <v>0</v>
      </c>
      <c r="H2388" s="17">
        <v>2379</v>
      </c>
      <c r="I2388" s="45">
        <v>0.67126129737184215</v>
      </c>
      <c r="J2388" s="45">
        <v>1.9031930491461645E-2</v>
      </c>
      <c r="K2388" s="45">
        <v>0.2414</v>
      </c>
      <c r="N2388" s="54"/>
    </row>
    <row r="2389" spans="2:14" x14ac:dyDescent="0.2">
      <c r="B2389">
        <v>2380</v>
      </c>
      <c r="C2389" s="52">
        <f t="shared" ca="1" si="114"/>
        <v>-1.1764115319447346E-2</v>
      </c>
      <c r="D2389" s="52">
        <f ca="1">S0*EXP((μ-0.5*σ*σ)*T+σ*SQRT(T)*$C2389)</f>
        <v>0.6417463784775661</v>
      </c>
      <c r="E2389" s="52">
        <f t="shared" ca="1" si="112"/>
        <v>0</v>
      </c>
      <c r="F2389" s="17">
        <f t="shared" ca="1" si="113"/>
        <v>0</v>
      </c>
      <c r="H2389" s="17">
        <v>2380</v>
      </c>
      <c r="I2389" s="45">
        <v>0.67117949151085421</v>
      </c>
      <c r="J2389" s="45">
        <v>1.8926518969113765E-2</v>
      </c>
      <c r="K2389" s="45">
        <v>0.24759999999999999</v>
      </c>
      <c r="N2389" s="54"/>
    </row>
    <row r="2390" spans="2:14" x14ac:dyDescent="0.2">
      <c r="B2390">
        <v>2381</v>
      </c>
      <c r="C2390" s="52">
        <f t="shared" ca="1" si="114"/>
        <v>-9.7043333169670828E-2</v>
      </c>
      <c r="D2390" s="52">
        <f ca="1">S0*EXP((μ-0.5*σ*σ)*T+σ*SQRT(T)*$C2390)</f>
        <v>0.62679480858687531</v>
      </c>
      <c r="E2390" s="52">
        <f t="shared" ca="1" si="112"/>
        <v>0</v>
      </c>
      <c r="F2390" s="17">
        <f t="shared" ca="1" si="113"/>
        <v>0</v>
      </c>
      <c r="H2390" s="17">
        <v>2381</v>
      </c>
      <c r="I2390" s="45">
        <v>0.67005252946096894</v>
      </c>
      <c r="J2390" s="45">
        <v>1.8194071581223856E-2</v>
      </c>
      <c r="K2390" s="45">
        <v>0.24540000000000001</v>
      </c>
      <c r="N2390" s="54"/>
    </row>
    <row r="2391" spans="2:14" x14ac:dyDescent="0.2">
      <c r="B2391">
        <v>2382</v>
      </c>
      <c r="C2391" s="52">
        <f t="shared" ca="1" si="114"/>
        <v>0.48731007599895265</v>
      </c>
      <c r="D2391" s="52">
        <f ca="1">S0*EXP((μ-0.5*σ*σ)*T+σ*SQRT(T)*$C2391)</f>
        <v>0.73667992941919402</v>
      </c>
      <c r="E2391" s="52">
        <f t="shared" ca="1" si="112"/>
        <v>0</v>
      </c>
      <c r="F2391" s="17">
        <f t="shared" ca="1" si="113"/>
        <v>0</v>
      </c>
      <c r="H2391" s="17">
        <v>2382</v>
      </c>
      <c r="I2391" s="45">
        <v>0.67064750843680954</v>
      </c>
      <c r="J2391" s="45">
        <v>1.8991856048629581E-2</v>
      </c>
      <c r="K2391" s="45">
        <v>0.24879999999999999</v>
      </c>
      <c r="N2391" s="54"/>
    </row>
    <row r="2392" spans="2:14" x14ac:dyDescent="0.2">
      <c r="B2392">
        <v>2383</v>
      </c>
      <c r="C2392" s="52">
        <f t="shared" ca="1" si="114"/>
        <v>1.4340404858775888</v>
      </c>
      <c r="D2392" s="52">
        <f ca="1">S0*EXP((μ-0.5*σ*σ)*T+σ*SQRT(T)*$C2392)</f>
        <v>0.95705472694364668</v>
      </c>
      <c r="E2392" s="52">
        <f t="shared" ca="1" si="112"/>
        <v>0</v>
      </c>
      <c r="F2392" s="17">
        <f t="shared" ca="1" si="113"/>
        <v>0</v>
      </c>
      <c r="H2392" s="17">
        <v>2383</v>
      </c>
      <c r="I2392" s="45">
        <v>0.67176863347044247</v>
      </c>
      <c r="J2392" s="45">
        <v>1.9753946035149898E-2</v>
      </c>
      <c r="K2392" s="45">
        <v>0.25059999999999999</v>
      </c>
      <c r="N2392" s="54"/>
    </row>
    <row r="2393" spans="2:14" x14ac:dyDescent="0.2">
      <c r="B2393">
        <v>2384</v>
      </c>
      <c r="C2393" s="52">
        <f t="shared" ca="1" si="114"/>
        <v>-0.22138233641636601</v>
      </c>
      <c r="D2393" s="52">
        <f ca="1">S0*EXP((μ-0.5*σ*σ)*T+σ*SQRT(T)*$C2393)</f>
        <v>0.60561706773505797</v>
      </c>
      <c r="E2393" s="52">
        <f t="shared" ca="1" si="112"/>
        <v>0</v>
      </c>
      <c r="F2393" s="17">
        <f t="shared" ca="1" si="113"/>
        <v>0</v>
      </c>
      <c r="H2393" s="17">
        <v>2384</v>
      </c>
      <c r="I2393" s="45">
        <v>0.67050328628576661</v>
      </c>
      <c r="J2393" s="45">
        <v>1.8885672100260244E-2</v>
      </c>
      <c r="K2393" s="45">
        <v>0.24679999999999999</v>
      </c>
      <c r="N2393" s="54"/>
    </row>
    <row r="2394" spans="2:14" x14ac:dyDescent="0.2">
      <c r="B2394">
        <v>2385</v>
      </c>
      <c r="C2394" s="52">
        <f t="shared" ca="1" si="114"/>
        <v>-0.9300710271240058</v>
      </c>
      <c r="D2394" s="52">
        <f ca="1">S0*EXP((μ-0.5*σ*σ)*T+σ*SQRT(T)*$C2394)</f>
        <v>0.49787213608060066</v>
      </c>
      <c r="E2394" s="52">
        <f t="shared" ca="1" si="112"/>
        <v>3.6527863919399328E-2</v>
      </c>
      <c r="F2394" s="17">
        <f t="shared" ca="1" si="113"/>
        <v>1</v>
      </c>
      <c r="H2394" s="17">
        <v>2385</v>
      </c>
      <c r="I2394" s="45">
        <v>0.66978701623687831</v>
      </c>
      <c r="J2394" s="45">
        <v>1.8238183348400959E-2</v>
      </c>
      <c r="K2394" s="45">
        <v>0.24279999999999999</v>
      </c>
      <c r="N2394" s="54"/>
    </row>
    <row r="2395" spans="2:14" x14ac:dyDescent="0.2">
      <c r="B2395">
        <v>2386</v>
      </c>
      <c r="C2395" s="52">
        <f t="shared" ca="1" si="114"/>
        <v>0.11902124531530951</v>
      </c>
      <c r="D2395" s="52">
        <f ca="1">S0*EXP((μ-0.5*σ*σ)*T+σ*SQRT(T)*$C2395)</f>
        <v>0.66537214617844798</v>
      </c>
      <c r="E2395" s="52">
        <f t="shared" ca="1" si="112"/>
        <v>0</v>
      </c>
      <c r="F2395" s="17">
        <f t="shared" ca="1" si="113"/>
        <v>0</v>
      </c>
      <c r="H2395" s="17">
        <v>2386</v>
      </c>
      <c r="I2395" s="45">
        <v>0.67064787209836452</v>
      </c>
      <c r="J2395" s="45">
        <v>1.8663582081923737E-2</v>
      </c>
      <c r="K2395" s="45">
        <v>0.24440000000000001</v>
      </c>
      <c r="N2395" s="54"/>
    </row>
    <row r="2396" spans="2:14" x14ac:dyDescent="0.2">
      <c r="B2396">
        <v>2387</v>
      </c>
      <c r="C2396" s="52">
        <f t="shared" ca="1" si="114"/>
        <v>-0.13755924164955022</v>
      </c>
      <c r="D2396" s="52">
        <f ca="1">S0*EXP((μ-0.5*σ*σ)*T+σ*SQRT(T)*$C2396)</f>
        <v>0.61981392600170315</v>
      </c>
      <c r="E2396" s="52">
        <f t="shared" ca="1" si="112"/>
        <v>0</v>
      </c>
      <c r="F2396" s="17">
        <f t="shared" ca="1" si="113"/>
        <v>0</v>
      </c>
      <c r="H2396" s="17">
        <v>2387</v>
      </c>
      <c r="I2396" s="45">
        <v>0.67054346863524583</v>
      </c>
      <c r="J2396" s="45">
        <v>1.8889993934788265E-2</v>
      </c>
      <c r="K2396" s="45">
        <v>0.24840000000000001</v>
      </c>
      <c r="N2396" s="54"/>
    </row>
    <row r="2397" spans="2:14" x14ac:dyDescent="0.2">
      <c r="B2397">
        <v>2388</v>
      </c>
      <c r="C2397" s="52">
        <f t="shared" ca="1" si="114"/>
        <v>0.87960146167513387</v>
      </c>
      <c r="D2397" s="52">
        <f ca="1">S0*EXP((μ-0.5*σ*σ)*T+σ*SQRT(T)*$C2397)</f>
        <v>0.82105951935159704</v>
      </c>
      <c r="E2397" s="52">
        <f t="shared" ca="1" si="112"/>
        <v>0</v>
      </c>
      <c r="F2397" s="17">
        <f t="shared" ca="1" si="113"/>
        <v>0</v>
      </c>
      <c r="H2397" s="17">
        <v>2388</v>
      </c>
      <c r="I2397" s="45">
        <v>0.67102131324172798</v>
      </c>
      <c r="J2397" s="45">
        <v>1.8933289441733815E-2</v>
      </c>
      <c r="K2397" s="45">
        <v>0.2452</v>
      </c>
      <c r="N2397" s="54"/>
    </row>
    <row r="2398" spans="2:14" x14ac:dyDescent="0.2">
      <c r="B2398">
        <v>2389</v>
      </c>
      <c r="C2398" s="52">
        <f t="shared" ca="1" si="114"/>
        <v>-0.41424224533576814</v>
      </c>
      <c r="D2398" s="52">
        <f ca="1">S0*EXP((μ-0.5*σ*σ)*T+σ*SQRT(T)*$C2398)</f>
        <v>0.57417552119359516</v>
      </c>
      <c r="E2398" s="52">
        <f t="shared" ca="1" si="112"/>
        <v>0</v>
      </c>
      <c r="F2398" s="17">
        <f t="shared" ca="1" si="113"/>
        <v>0</v>
      </c>
      <c r="H2398" s="17">
        <v>2389</v>
      </c>
      <c r="I2398" s="45">
        <v>0.67064084740938434</v>
      </c>
      <c r="J2398" s="45">
        <v>1.8898058927107289E-2</v>
      </c>
      <c r="K2398" s="45">
        <v>0.24640000000000001</v>
      </c>
      <c r="N2398" s="54"/>
    </row>
    <row r="2399" spans="2:14" x14ac:dyDescent="0.2">
      <c r="B2399">
        <v>2390</v>
      </c>
      <c r="C2399" s="52">
        <f t="shared" ca="1" si="114"/>
        <v>-1.0449596726599328</v>
      </c>
      <c r="D2399" s="52">
        <f ca="1">S0*EXP((μ-0.5*σ*σ)*T+σ*SQRT(T)*$C2399)</f>
        <v>0.48230868394916887</v>
      </c>
      <c r="E2399" s="52">
        <f t="shared" ca="1" si="112"/>
        <v>5.2091316050831116E-2</v>
      </c>
      <c r="F2399" s="17">
        <f t="shared" ca="1" si="113"/>
        <v>1</v>
      </c>
      <c r="H2399" s="17">
        <v>2390</v>
      </c>
      <c r="I2399" s="45">
        <v>0.67094852846358877</v>
      </c>
      <c r="J2399" s="45">
        <v>1.9224523556563639E-2</v>
      </c>
      <c r="K2399" s="45">
        <v>0.24979999999999999</v>
      </c>
      <c r="N2399" s="54"/>
    </row>
    <row r="2400" spans="2:14" x14ac:dyDescent="0.2">
      <c r="B2400">
        <v>2391</v>
      </c>
      <c r="C2400" s="52">
        <f t="shared" ca="1" si="114"/>
        <v>1.1460684598681041</v>
      </c>
      <c r="D2400" s="52">
        <f ca="1">S0*EXP((μ-0.5*σ*σ)*T+σ*SQRT(T)*$C2400)</f>
        <v>0.88382205306131356</v>
      </c>
      <c r="E2400" s="52">
        <f t="shared" ca="1" si="112"/>
        <v>0</v>
      </c>
      <c r="F2400" s="17">
        <f t="shared" ca="1" si="113"/>
        <v>0</v>
      </c>
      <c r="H2400" s="17">
        <v>2391</v>
      </c>
      <c r="I2400" s="45">
        <v>0.67124782218166157</v>
      </c>
      <c r="J2400" s="45">
        <v>1.9215027493507533E-2</v>
      </c>
      <c r="K2400" s="45">
        <v>0.24779999999999999</v>
      </c>
      <c r="N2400" s="54"/>
    </row>
    <row r="2401" spans="2:14" x14ac:dyDescent="0.2">
      <c r="B2401">
        <v>2392</v>
      </c>
      <c r="C2401" s="52">
        <f t="shared" ca="1" si="114"/>
        <v>-1.7677714328353589</v>
      </c>
      <c r="D2401" s="52">
        <f ca="1">S0*EXP((μ-0.5*σ*σ)*T+σ*SQRT(T)*$C2401)</f>
        <v>0.39495651131574172</v>
      </c>
      <c r="E2401" s="52">
        <f t="shared" ca="1" si="112"/>
        <v>0.13944348868425827</v>
      </c>
      <c r="F2401" s="17">
        <f t="shared" ca="1" si="113"/>
        <v>1</v>
      </c>
      <c r="H2401" s="17">
        <v>2392</v>
      </c>
      <c r="I2401" s="45">
        <v>0.67038871084336771</v>
      </c>
      <c r="J2401" s="45">
        <v>1.8607846120055116E-2</v>
      </c>
      <c r="K2401" s="45">
        <v>0.2482</v>
      </c>
      <c r="N2401" s="54"/>
    </row>
    <row r="2402" spans="2:14" x14ac:dyDescent="0.2">
      <c r="B2402">
        <v>2393</v>
      </c>
      <c r="C2402" s="52">
        <f t="shared" ca="1" si="114"/>
        <v>0.74148525090315109</v>
      </c>
      <c r="D2402" s="52">
        <f ca="1">S0*EXP((μ-0.5*σ*σ)*T+σ*SQRT(T)*$C2402)</f>
        <v>0.79030250647901346</v>
      </c>
      <c r="E2402" s="52">
        <f t="shared" ca="1" si="112"/>
        <v>0</v>
      </c>
      <c r="F2402" s="17">
        <f t="shared" ca="1" si="113"/>
        <v>0</v>
      </c>
      <c r="H2402" s="17">
        <v>2393</v>
      </c>
      <c r="I2402" s="45">
        <v>0.67137371727368467</v>
      </c>
      <c r="J2402" s="45">
        <v>1.9175643298967229E-2</v>
      </c>
      <c r="K2402" s="45">
        <v>0.248</v>
      </c>
      <c r="N2402" s="54"/>
    </row>
    <row r="2403" spans="2:14" x14ac:dyDescent="0.2">
      <c r="B2403">
        <v>2394</v>
      </c>
      <c r="C2403" s="52">
        <f t="shared" ca="1" si="114"/>
        <v>0.97127283795827912</v>
      </c>
      <c r="D2403" s="52">
        <f ca="1">S0*EXP((μ-0.5*σ*σ)*T+σ*SQRT(T)*$C2403)</f>
        <v>0.84213181502975099</v>
      </c>
      <c r="E2403" s="52">
        <f t="shared" ca="1" si="112"/>
        <v>0</v>
      </c>
      <c r="F2403" s="17">
        <f t="shared" ca="1" si="113"/>
        <v>0</v>
      </c>
      <c r="H2403" s="17">
        <v>2394</v>
      </c>
      <c r="I2403" s="45">
        <v>0.66980006307575823</v>
      </c>
      <c r="J2403" s="45">
        <v>1.8215697925009849E-2</v>
      </c>
      <c r="K2403" s="45">
        <v>0.2336</v>
      </c>
      <c r="N2403" s="54"/>
    </row>
    <row r="2404" spans="2:14" x14ac:dyDescent="0.2">
      <c r="B2404">
        <v>2395</v>
      </c>
      <c r="C2404" s="52">
        <f t="shared" ca="1" si="114"/>
        <v>1.2812053069358753</v>
      </c>
      <c r="D2404" s="52">
        <f ca="1">S0*EXP((μ-0.5*σ*σ)*T+σ*SQRT(T)*$C2404)</f>
        <v>0.9174627348777773</v>
      </c>
      <c r="E2404" s="52">
        <f t="shared" ca="1" si="112"/>
        <v>0</v>
      </c>
      <c r="F2404" s="17">
        <f t="shared" ca="1" si="113"/>
        <v>0</v>
      </c>
      <c r="H2404" s="17">
        <v>2395</v>
      </c>
      <c r="I2404" s="45">
        <v>0.67197064376867177</v>
      </c>
      <c r="J2404" s="45">
        <v>2.0039619685693507E-2</v>
      </c>
      <c r="K2404" s="45">
        <v>0.25779999999999997</v>
      </c>
      <c r="N2404" s="54"/>
    </row>
    <row r="2405" spans="2:14" x14ac:dyDescent="0.2">
      <c r="B2405">
        <v>2396</v>
      </c>
      <c r="C2405" s="52">
        <f t="shared" ca="1" si="114"/>
        <v>0.1111524998683955</v>
      </c>
      <c r="D2405" s="52">
        <f ca="1">S0*EXP((μ-0.5*σ*σ)*T+σ*SQRT(T)*$C2405)</f>
        <v>0.66392641686635179</v>
      </c>
      <c r="E2405" s="52">
        <f t="shared" ca="1" si="112"/>
        <v>0</v>
      </c>
      <c r="F2405" s="17">
        <f t="shared" ca="1" si="113"/>
        <v>0</v>
      </c>
      <c r="H2405" s="17">
        <v>2396</v>
      </c>
      <c r="I2405" s="45">
        <v>0.6713005194327325</v>
      </c>
      <c r="J2405" s="45">
        <v>1.919161109010422E-2</v>
      </c>
      <c r="K2405" s="45">
        <v>0.25159999999999999</v>
      </c>
      <c r="N2405" s="54"/>
    </row>
    <row r="2406" spans="2:14" x14ac:dyDescent="0.2">
      <c r="B2406">
        <v>2397</v>
      </c>
      <c r="C2406" s="52">
        <f t="shared" ca="1" si="114"/>
        <v>-0.17401223140094643</v>
      </c>
      <c r="D2406" s="52">
        <f ca="1">S0*EXP((μ-0.5*σ*σ)*T+σ*SQRT(T)*$C2406)</f>
        <v>0.61359955331515237</v>
      </c>
      <c r="E2406" s="52">
        <f t="shared" ca="1" si="112"/>
        <v>0</v>
      </c>
      <c r="F2406" s="17">
        <f t="shared" ca="1" si="113"/>
        <v>0</v>
      </c>
      <c r="H2406" s="17">
        <v>2397</v>
      </c>
      <c r="I2406" s="45">
        <v>0.66986201114233856</v>
      </c>
      <c r="J2406" s="45">
        <v>1.8034318170638115E-2</v>
      </c>
      <c r="K2406" s="45">
        <v>0.2354</v>
      </c>
      <c r="N2406" s="54"/>
    </row>
    <row r="2407" spans="2:14" x14ac:dyDescent="0.2">
      <c r="B2407">
        <v>2398</v>
      </c>
      <c r="C2407" s="52">
        <f t="shared" ca="1" si="114"/>
        <v>0.57371809199449153</v>
      </c>
      <c r="D2407" s="52">
        <f ca="1">S0*EXP((μ-0.5*σ*σ)*T+σ*SQRT(T)*$C2407)</f>
        <v>0.75448809122850813</v>
      </c>
      <c r="E2407" s="52">
        <f t="shared" ca="1" si="112"/>
        <v>0</v>
      </c>
      <c r="F2407" s="17">
        <f t="shared" ca="1" si="113"/>
        <v>0</v>
      </c>
      <c r="H2407" s="17">
        <v>2398</v>
      </c>
      <c r="I2407" s="45">
        <v>0.67022984941002306</v>
      </c>
      <c r="J2407" s="45">
        <v>1.8656592455240092E-2</v>
      </c>
      <c r="K2407" s="45">
        <v>0.24579999999999999</v>
      </c>
      <c r="N2407" s="54"/>
    </row>
    <row r="2408" spans="2:14" x14ac:dyDescent="0.2">
      <c r="B2408">
        <v>2399</v>
      </c>
      <c r="C2408" s="52">
        <f t="shared" ca="1" si="114"/>
        <v>-0.12299120682916174</v>
      </c>
      <c r="D2408" s="52">
        <f ca="1">S0*EXP((μ-0.5*σ*σ)*T+σ*SQRT(T)*$C2408)</f>
        <v>0.62231499794798961</v>
      </c>
      <c r="E2408" s="52">
        <f t="shared" ca="1" si="112"/>
        <v>0</v>
      </c>
      <c r="F2408" s="17">
        <f t="shared" ca="1" si="113"/>
        <v>0</v>
      </c>
      <c r="H2408" s="17">
        <v>2399</v>
      </c>
      <c r="I2408" s="45">
        <v>0.67067333471908919</v>
      </c>
      <c r="J2408" s="45">
        <v>1.9039912674889692E-2</v>
      </c>
      <c r="K2408" s="45">
        <v>0.24460000000000001</v>
      </c>
      <c r="N2408" s="54"/>
    </row>
    <row r="2409" spans="2:14" x14ac:dyDescent="0.2">
      <c r="B2409">
        <v>2400</v>
      </c>
      <c r="C2409" s="52">
        <f t="shared" ca="1" si="114"/>
        <v>0.20749468701939977</v>
      </c>
      <c r="D2409" s="52">
        <f ca="1">S0*EXP((μ-0.5*σ*σ)*T+σ*SQRT(T)*$C2409)</f>
        <v>0.6818457356973836</v>
      </c>
      <c r="E2409" s="52">
        <f t="shared" ca="1" si="112"/>
        <v>0</v>
      </c>
      <c r="F2409" s="17">
        <f t="shared" ca="1" si="113"/>
        <v>0</v>
      </c>
      <c r="H2409" s="17">
        <v>2400</v>
      </c>
      <c r="I2409" s="45">
        <v>0.67040556576125077</v>
      </c>
      <c r="J2409" s="45">
        <v>1.8493500450785783E-2</v>
      </c>
      <c r="K2409" s="45">
        <v>0.24560000000000001</v>
      </c>
      <c r="N2409" s="54"/>
    </row>
    <row r="2410" spans="2:14" x14ac:dyDescent="0.2">
      <c r="B2410">
        <v>2401</v>
      </c>
      <c r="C2410" s="52">
        <f t="shared" ca="1" si="114"/>
        <v>-1.7113455353607119</v>
      </c>
      <c r="D2410" s="52">
        <f ca="1">S0*EXP((μ-0.5*σ*σ)*T+σ*SQRT(T)*$C2410)</f>
        <v>0.40116532074970362</v>
      </c>
      <c r="E2410" s="52">
        <f t="shared" ca="1" si="112"/>
        <v>0.13323467925029636</v>
      </c>
      <c r="F2410" s="17">
        <f t="shared" ca="1" si="113"/>
        <v>1</v>
      </c>
      <c r="H2410" s="17">
        <v>2401</v>
      </c>
      <c r="I2410" s="45">
        <v>0.6713516800227598</v>
      </c>
      <c r="J2410" s="45">
        <v>1.9061765223517803E-2</v>
      </c>
      <c r="K2410" s="45">
        <v>0.23799999999999999</v>
      </c>
      <c r="N2410" s="54"/>
    </row>
    <row r="2411" spans="2:14" x14ac:dyDescent="0.2">
      <c r="B2411">
        <v>2402</v>
      </c>
      <c r="C2411" s="52">
        <f t="shared" ca="1" si="114"/>
        <v>-6.1902339179914577E-2</v>
      </c>
      <c r="D2411" s="52">
        <f ca="1">S0*EXP((μ-0.5*σ*σ)*T+σ*SQRT(T)*$C2411)</f>
        <v>0.63291323378409692</v>
      </c>
      <c r="E2411" s="52">
        <f t="shared" ca="1" si="112"/>
        <v>0</v>
      </c>
      <c r="F2411" s="17">
        <f t="shared" ca="1" si="113"/>
        <v>0</v>
      </c>
      <c r="H2411" s="17">
        <v>2402</v>
      </c>
      <c r="I2411" s="45">
        <v>0.67149098600495782</v>
      </c>
      <c r="J2411" s="45">
        <v>1.9390944886973831E-2</v>
      </c>
      <c r="K2411" s="45">
        <v>0.251</v>
      </c>
      <c r="N2411" s="54"/>
    </row>
    <row r="2412" spans="2:14" x14ac:dyDescent="0.2">
      <c r="B2412">
        <v>2403</v>
      </c>
      <c r="C2412" s="52">
        <f t="shared" ca="1" si="114"/>
        <v>1.3011316784852629</v>
      </c>
      <c r="D2412" s="52">
        <f ca="1">S0*EXP((μ-0.5*σ*σ)*T+σ*SQRT(T)*$C2412)</f>
        <v>0.92253033618674651</v>
      </c>
      <c r="E2412" s="52">
        <f t="shared" ca="1" si="112"/>
        <v>0</v>
      </c>
      <c r="F2412" s="17">
        <f t="shared" ca="1" si="113"/>
        <v>0</v>
      </c>
      <c r="H2412" s="17">
        <v>2403</v>
      </c>
      <c r="I2412" s="45">
        <v>0.6721863739709667</v>
      </c>
      <c r="J2412" s="45">
        <v>1.9836987004020527E-2</v>
      </c>
      <c r="K2412" s="45">
        <v>0.2442</v>
      </c>
      <c r="N2412" s="54"/>
    </row>
    <row r="2413" spans="2:14" x14ac:dyDescent="0.2">
      <c r="B2413">
        <v>2404</v>
      </c>
      <c r="C2413" s="52">
        <f t="shared" ca="1" si="114"/>
        <v>-0.1670804363106137</v>
      </c>
      <c r="D2413" s="52">
        <f ca="1">S0*EXP((μ-0.5*σ*σ)*T+σ*SQRT(T)*$C2413)</f>
        <v>0.61477644374423324</v>
      </c>
      <c r="E2413" s="52">
        <f t="shared" ca="1" si="112"/>
        <v>0</v>
      </c>
      <c r="F2413" s="17">
        <f t="shared" ca="1" si="113"/>
        <v>0</v>
      </c>
      <c r="H2413" s="17">
        <v>2404</v>
      </c>
      <c r="I2413" s="45">
        <v>0.6702282677996011</v>
      </c>
      <c r="J2413" s="45">
        <v>1.8457643007314437E-2</v>
      </c>
      <c r="K2413" s="45">
        <v>0.2414</v>
      </c>
      <c r="N2413" s="54"/>
    </row>
    <row r="2414" spans="2:14" x14ac:dyDescent="0.2">
      <c r="B2414">
        <v>2405</v>
      </c>
      <c r="C2414" s="52">
        <f t="shared" ca="1" si="114"/>
        <v>-0.91108996211894544</v>
      </c>
      <c r="D2414" s="52">
        <f ca="1">S0*EXP((μ-0.5*σ*σ)*T+σ*SQRT(T)*$C2414)</f>
        <v>0.50049132838348964</v>
      </c>
      <c r="E2414" s="52">
        <f t="shared" ca="1" si="112"/>
        <v>3.3908671616510344E-2</v>
      </c>
      <c r="F2414" s="17">
        <f t="shared" ca="1" si="113"/>
        <v>1</v>
      </c>
      <c r="H2414" s="17">
        <v>2405</v>
      </c>
      <c r="I2414" s="45">
        <v>0.67197618557566208</v>
      </c>
      <c r="J2414" s="45">
        <v>1.9549699737350476E-2</v>
      </c>
      <c r="K2414" s="45">
        <v>0.25380000000000003</v>
      </c>
      <c r="N2414" s="54"/>
    </row>
    <row r="2415" spans="2:14" x14ac:dyDescent="0.2">
      <c r="B2415">
        <v>2406</v>
      </c>
      <c r="C2415" s="52">
        <f t="shared" ca="1" si="114"/>
        <v>-5.8751915381631862E-4</v>
      </c>
      <c r="D2415" s="52">
        <f ca="1">S0*EXP((μ-0.5*σ*σ)*T+σ*SQRT(T)*$C2415)</f>
        <v>0.64373216780811138</v>
      </c>
      <c r="E2415" s="52">
        <f t="shared" ca="1" si="112"/>
        <v>0</v>
      </c>
      <c r="F2415" s="17">
        <f t="shared" ca="1" si="113"/>
        <v>0</v>
      </c>
      <c r="H2415" s="17">
        <v>2406</v>
      </c>
      <c r="I2415" s="45">
        <v>0.67109649164933327</v>
      </c>
      <c r="J2415" s="45">
        <v>1.9150977627834603E-2</v>
      </c>
      <c r="K2415" s="45">
        <v>0.24379999999999999</v>
      </c>
      <c r="N2415" s="54"/>
    </row>
    <row r="2416" spans="2:14" x14ac:dyDescent="0.2">
      <c r="B2416">
        <v>2407</v>
      </c>
      <c r="C2416" s="52">
        <f t="shared" ca="1" si="114"/>
        <v>-1.8324728277377003</v>
      </c>
      <c r="D2416" s="52">
        <f ca="1">S0*EXP((μ-0.5*σ*σ)*T+σ*SQRT(T)*$C2416)</f>
        <v>0.38795528638915849</v>
      </c>
      <c r="E2416" s="52">
        <f t="shared" ca="1" si="112"/>
        <v>0.14644471361084149</v>
      </c>
      <c r="F2416" s="17">
        <f t="shared" ca="1" si="113"/>
        <v>1</v>
      </c>
      <c r="H2416" s="17">
        <v>2407</v>
      </c>
      <c r="I2416" s="45">
        <v>0.67018785464397768</v>
      </c>
      <c r="J2416" s="45">
        <v>1.8401704957936291E-2</v>
      </c>
      <c r="K2416" s="45">
        <v>0.2394</v>
      </c>
      <c r="N2416" s="54"/>
    </row>
    <row r="2417" spans="2:14" x14ac:dyDescent="0.2">
      <c r="B2417">
        <v>2408</v>
      </c>
      <c r="C2417" s="52">
        <f t="shared" ca="1" si="114"/>
        <v>0.29870483406927179</v>
      </c>
      <c r="D2417" s="52">
        <f ca="1">S0*EXP((μ-0.5*σ*σ)*T+σ*SQRT(T)*$C2417)</f>
        <v>0.69925598304907599</v>
      </c>
      <c r="E2417" s="52">
        <f t="shared" ca="1" si="112"/>
        <v>0</v>
      </c>
      <c r="F2417" s="17">
        <f t="shared" ca="1" si="113"/>
        <v>0</v>
      </c>
      <c r="H2417" s="17">
        <v>2408</v>
      </c>
      <c r="I2417" s="45">
        <v>0.67112993276473853</v>
      </c>
      <c r="J2417" s="45">
        <v>1.9215783894350139E-2</v>
      </c>
      <c r="K2417" s="45">
        <v>0.24840000000000001</v>
      </c>
      <c r="N2417" s="54"/>
    </row>
    <row r="2418" spans="2:14" x14ac:dyDescent="0.2">
      <c r="B2418">
        <v>2409</v>
      </c>
      <c r="C2418" s="52">
        <f t="shared" ca="1" si="114"/>
        <v>0.50216718095238944</v>
      </c>
      <c r="D2418" s="52">
        <f ca="1">S0*EXP((μ-0.5*σ*σ)*T+σ*SQRT(T)*$C2418)</f>
        <v>0.7397116856380388</v>
      </c>
      <c r="E2418" s="52">
        <f t="shared" ca="1" si="112"/>
        <v>0</v>
      </c>
      <c r="F2418" s="17">
        <f t="shared" ca="1" si="113"/>
        <v>0</v>
      </c>
      <c r="H2418" s="17">
        <v>2409</v>
      </c>
      <c r="I2418" s="45">
        <v>0.67011472695766616</v>
      </c>
      <c r="J2418" s="45">
        <v>1.8271326973576474E-2</v>
      </c>
      <c r="K2418" s="45">
        <v>0.2424</v>
      </c>
      <c r="N2418" s="54"/>
    </row>
    <row r="2419" spans="2:14" x14ac:dyDescent="0.2">
      <c r="B2419">
        <v>2410</v>
      </c>
      <c r="C2419" s="52">
        <f t="shared" ca="1" si="114"/>
        <v>0.2651043660990744</v>
      </c>
      <c r="D2419" s="52">
        <f ca="1">S0*EXP((μ-0.5*σ*σ)*T+σ*SQRT(T)*$C2419)</f>
        <v>0.69279118028169362</v>
      </c>
      <c r="E2419" s="52">
        <f t="shared" ca="1" si="112"/>
        <v>0</v>
      </c>
      <c r="F2419" s="17">
        <f t="shared" ca="1" si="113"/>
        <v>0</v>
      </c>
      <c r="H2419" s="17">
        <v>2410</v>
      </c>
      <c r="I2419" s="45">
        <v>0.67217346982593695</v>
      </c>
      <c r="J2419" s="45">
        <v>1.9984042858866274E-2</v>
      </c>
      <c r="K2419" s="45">
        <v>0.25600000000000001</v>
      </c>
      <c r="N2419" s="54"/>
    </row>
    <row r="2420" spans="2:14" x14ac:dyDescent="0.2">
      <c r="B2420">
        <v>2411</v>
      </c>
      <c r="C2420" s="52">
        <f t="shared" ca="1" si="114"/>
        <v>2.0543888841303972</v>
      </c>
      <c r="D2420" s="52">
        <f ca="1">S0*EXP((μ-0.5*σ*σ)*T+σ*SQRT(T)*$C2420)</f>
        <v>1.1360868427286039</v>
      </c>
      <c r="E2420" s="52">
        <f t="shared" ca="1" si="112"/>
        <v>0</v>
      </c>
      <c r="F2420" s="17">
        <f t="shared" ca="1" si="113"/>
        <v>0</v>
      </c>
      <c r="H2420" s="17">
        <v>2411</v>
      </c>
      <c r="I2420" s="45">
        <v>0.66902720604488286</v>
      </c>
      <c r="J2420" s="45">
        <v>1.7671760288077182E-2</v>
      </c>
      <c r="K2420" s="45">
        <v>0.24660000000000001</v>
      </c>
      <c r="N2420" s="54"/>
    </row>
    <row r="2421" spans="2:14" x14ac:dyDescent="0.2">
      <c r="B2421">
        <v>2412</v>
      </c>
      <c r="C2421" s="52">
        <f t="shared" ca="1" si="114"/>
        <v>1.8217724206025552</v>
      </c>
      <c r="D2421" s="52">
        <f ca="1">S0*EXP((μ-0.5*σ*σ)*T+σ*SQRT(T)*$C2421)</f>
        <v>1.0653325563074976</v>
      </c>
      <c r="E2421" s="52">
        <f t="shared" ca="1" si="112"/>
        <v>0</v>
      </c>
      <c r="F2421" s="17">
        <f t="shared" ca="1" si="113"/>
        <v>0</v>
      </c>
      <c r="H2421" s="17">
        <v>2412</v>
      </c>
      <c r="I2421" s="45">
        <v>0.67246048477892806</v>
      </c>
      <c r="J2421" s="45">
        <v>2.0164423622125113E-2</v>
      </c>
      <c r="K2421" s="45">
        <v>0.25459999999999999</v>
      </c>
      <c r="N2421" s="54"/>
    </row>
    <row r="2422" spans="2:14" x14ac:dyDescent="0.2">
      <c r="B2422">
        <v>2413</v>
      </c>
      <c r="C2422" s="52">
        <f t="shared" ca="1" si="114"/>
        <v>-0.22205148491635385</v>
      </c>
      <c r="D2422" s="52">
        <f ca="1">S0*EXP((μ-0.5*σ*σ)*T+σ*SQRT(T)*$C2422)</f>
        <v>0.60550505444057712</v>
      </c>
      <c r="E2422" s="52">
        <f t="shared" ca="1" si="112"/>
        <v>0</v>
      </c>
      <c r="F2422" s="17">
        <f t="shared" ca="1" si="113"/>
        <v>0</v>
      </c>
      <c r="H2422" s="17">
        <v>2413</v>
      </c>
      <c r="I2422" s="45">
        <v>0.67085815025837592</v>
      </c>
      <c r="J2422" s="45">
        <v>1.8705696529165323E-2</v>
      </c>
      <c r="K2422" s="45">
        <v>0.2354</v>
      </c>
      <c r="N2422" s="54"/>
    </row>
    <row r="2423" spans="2:14" x14ac:dyDescent="0.2">
      <c r="B2423">
        <v>2414</v>
      </c>
      <c r="C2423" s="52">
        <f t="shared" ca="1" si="114"/>
        <v>0.92943706647021007</v>
      </c>
      <c r="D2423" s="52">
        <f ca="1">S0*EXP((μ-0.5*σ*σ)*T+σ*SQRT(T)*$C2423)</f>
        <v>0.83244885494044008</v>
      </c>
      <c r="E2423" s="52">
        <f t="shared" ca="1" si="112"/>
        <v>0</v>
      </c>
      <c r="F2423" s="17">
        <f t="shared" ca="1" si="113"/>
        <v>0</v>
      </c>
      <c r="H2423" s="17">
        <v>2414</v>
      </c>
      <c r="I2423" s="45">
        <v>0.67243544183781323</v>
      </c>
      <c r="J2423" s="45">
        <v>1.9891547476371018E-2</v>
      </c>
      <c r="K2423" s="45">
        <v>0.246</v>
      </c>
      <c r="N2423" s="54"/>
    </row>
    <row r="2424" spans="2:14" x14ac:dyDescent="0.2">
      <c r="B2424">
        <v>2415</v>
      </c>
      <c r="C2424" s="52">
        <f t="shared" ca="1" si="114"/>
        <v>-0.16075829532576855</v>
      </c>
      <c r="D2424" s="52">
        <f ca="1">S0*EXP((μ-0.5*σ*σ)*T+σ*SQRT(T)*$C2424)</f>
        <v>0.61585179431098025</v>
      </c>
      <c r="E2424" s="52">
        <f t="shared" ca="1" si="112"/>
        <v>0</v>
      </c>
      <c r="F2424" s="17">
        <f t="shared" ca="1" si="113"/>
        <v>0</v>
      </c>
      <c r="H2424" s="17">
        <v>2415</v>
      </c>
      <c r="I2424" s="45">
        <v>0.67198308164474607</v>
      </c>
      <c r="J2424" s="45">
        <v>1.9795330326595025E-2</v>
      </c>
      <c r="K2424" s="45">
        <v>0.24779999999999999</v>
      </c>
      <c r="N2424" s="54"/>
    </row>
    <row r="2425" spans="2:14" x14ac:dyDescent="0.2">
      <c r="B2425">
        <v>2416</v>
      </c>
      <c r="C2425" s="52">
        <f t="shared" ca="1" si="114"/>
        <v>0.36779601291592845</v>
      </c>
      <c r="D2425" s="52">
        <f ca="1">S0*EXP((μ-0.5*σ*σ)*T+σ*SQRT(T)*$C2425)</f>
        <v>0.71273945767019486</v>
      </c>
      <c r="E2425" s="52">
        <f t="shared" ca="1" si="112"/>
        <v>0</v>
      </c>
      <c r="F2425" s="17">
        <f t="shared" ca="1" si="113"/>
        <v>0</v>
      </c>
      <c r="H2425" s="17">
        <v>2416</v>
      </c>
      <c r="I2425" s="45">
        <v>0.67243433216727089</v>
      </c>
      <c r="J2425" s="45">
        <v>2.0100914012944452E-2</v>
      </c>
      <c r="K2425" s="45">
        <v>0.25519999999999998</v>
      </c>
      <c r="N2425" s="54"/>
    </row>
    <row r="2426" spans="2:14" x14ac:dyDescent="0.2">
      <c r="B2426">
        <v>2417</v>
      </c>
      <c r="C2426" s="52">
        <f t="shared" ca="1" si="114"/>
        <v>1.4350664339321906</v>
      </c>
      <c r="D2426" s="52">
        <f ca="1">S0*EXP((μ-0.5*σ*σ)*T+σ*SQRT(T)*$C2426)</f>
        <v>0.95732619132385488</v>
      </c>
      <c r="E2426" s="52">
        <f t="shared" ca="1" si="112"/>
        <v>0</v>
      </c>
      <c r="F2426" s="17">
        <f t="shared" ca="1" si="113"/>
        <v>0</v>
      </c>
      <c r="H2426" s="17">
        <v>2417</v>
      </c>
      <c r="I2426" s="45">
        <v>0.67167495812795619</v>
      </c>
      <c r="J2426" s="45">
        <v>1.9534831626929001E-2</v>
      </c>
      <c r="K2426" s="45">
        <v>0.25459999999999999</v>
      </c>
      <c r="N2426" s="54"/>
    </row>
    <row r="2427" spans="2:14" x14ac:dyDescent="0.2">
      <c r="B2427">
        <v>2418</v>
      </c>
      <c r="C2427" s="52">
        <f t="shared" ca="1" si="114"/>
        <v>-0.41300992397922209</v>
      </c>
      <c r="D2427" s="52">
        <f ca="1">S0*EXP((μ-0.5*σ*σ)*T+σ*SQRT(T)*$C2427)</f>
        <v>0.57437114952212687</v>
      </c>
      <c r="E2427" s="52">
        <f t="shared" ca="1" si="112"/>
        <v>0</v>
      </c>
      <c r="F2427" s="17">
        <f t="shared" ca="1" si="113"/>
        <v>0</v>
      </c>
      <c r="H2427" s="17">
        <v>2418</v>
      </c>
      <c r="I2427" s="45">
        <v>0.67178623594433351</v>
      </c>
      <c r="J2427" s="45">
        <v>1.9571936264931769E-2</v>
      </c>
      <c r="K2427" s="45">
        <v>0.25259999999999999</v>
      </c>
      <c r="N2427" s="54"/>
    </row>
    <row r="2428" spans="2:14" x14ac:dyDescent="0.2">
      <c r="B2428">
        <v>2419</v>
      </c>
      <c r="C2428" s="52">
        <f t="shared" ca="1" si="114"/>
        <v>-2.0674058456007671</v>
      </c>
      <c r="D2428" s="52">
        <f ca="1">S0*EXP((μ-0.5*σ*σ)*T+σ*SQRT(T)*$C2428)</f>
        <v>0.36356095323799692</v>
      </c>
      <c r="E2428" s="52">
        <f t="shared" ca="1" si="112"/>
        <v>0.17083904676200307</v>
      </c>
      <c r="F2428" s="17">
        <f t="shared" ca="1" si="113"/>
        <v>1</v>
      </c>
      <c r="H2428" s="17">
        <v>2419</v>
      </c>
      <c r="I2428" s="45">
        <v>0.67048286355641351</v>
      </c>
      <c r="J2428" s="45">
        <v>1.8714617351550715E-2</v>
      </c>
      <c r="K2428" s="45">
        <v>0.24759999999999999</v>
      </c>
      <c r="N2428" s="54"/>
    </row>
    <row r="2429" spans="2:14" x14ac:dyDescent="0.2">
      <c r="B2429">
        <v>2420</v>
      </c>
      <c r="C2429" s="52">
        <f t="shared" ca="1" si="114"/>
        <v>-0.1194363108581989</v>
      </c>
      <c r="D2429" s="52">
        <f ca="1">S0*EXP((μ-0.5*σ*σ)*T+σ*SQRT(T)*$C2429)</f>
        <v>0.62292684051936353</v>
      </c>
      <c r="E2429" s="52">
        <f t="shared" ca="1" si="112"/>
        <v>0</v>
      </c>
      <c r="F2429" s="17">
        <f t="shared" ca="1" si="113"/>
        <v>0</v>
      </c>
      <c r="H2429" s="17">
        <v>2420</v>
      </c>
      <c r="I2429" s="45">
        <v>0.67276252238134604</v>
      </c>
      <c r="J2429" s="45">
        <v>2.0373464268640333E-2</v>
      </c>
      <c r="K2429" s="45">
        <v>0.25219999999999998</v>
      </c>
      <c r="N2429" s="54"/>
    </row>
    <row r="2430" spans="2:14" x14ac:dyDescent="0.2">
      <c r="B2430">
        <v>2421</v>
      </c>
      <c r="C2430" s="52">
        <f t="shared" ca="1" si="114"/>
        <v>0.93891025639252346</v>
      </c>
      <c r="D2430" s="52">
        <f ca="1">S0*EXP((μ-0.5*σ*σ)*T+σ*SQRT(T)*$C2430)</f>
        <v>0.83463164362368591</v>
      </c>
      <c r="E2430" s="52">
        <f t="shared" ca="1" si="112"/>
        <v>0</v>
      </c>
      <c r="F2430" s="17">
        <f t="shared" ca="1" si="113"/>
        <v>0</v>
      </c>
      <c r="H2430" s="17">
        <v>2421</v>
      </c>
      <c r="I2430" s="45">
        <v>0.67044927518964226</v>
      </c>
      <c r="J2430" s="45">
        <v>1.8707501312807618E-2</v>
      </c>
      <c r="K2430" s="45">
        <v>0.2452</v>
      </c>
      <c r="N2430" s="54"/>
    </row>
    <row r="2431" spans="2:14" x14ac:dyDescent="0.2">
      <c r="B2431">
        <v>2422</v>
      </c>
      <c r="C2431" s="52">
        <f t="shared" ca="1" si="114"/>
        <v>2.0839163373631075E-2</v>
      </c>
      <c r="D2431" s="52">
        <f ca="1">S0*EXP((μ-0.5*σ*σ)*T+σ*SQRT(T)*$C2431)</f>
        <v>0.64755632797292539</v>
      </c>
      <c r="E2431" s="52">
        <f t="shared" ca="1" si="112"/>
        <v>0</v>
      </c>
      <c r="F2431" s="17">
        <f t="shared" ca="1" si="113"/>
        <v>0</v>
      </c>
      <c r="H2431" s="17">
        <v>2422</v>
      </c>
      <c r="I2431" s="45">
        <v>0.67177769865309633</v>
      </c>
      <c r="J2431" s="45">
        <v>1.9648596115835058E-2</v>
      </c>
      <c r="K2431" s="45">
        <v>0.25019999999999998</v>
      </c>
      <c r="N2431" s="54"/>
    </row>
    <row r="2432" spans="2:14" x14ac:dyDescent="0.2">
      <c r="B2432">
        <v>2423</v>
      </c>
      <c r="C2432" s="52">
        <f t="shared" ca="1" si="114"/>
        <v>0.59330100092005544</v>
      </c>
      <c r="D2432" s="52">
        <f ca="1">S0*EXP((μ-0.5*σ*σ)*T+σ*SQRT(T)*$C2432)</f>
        <v>0.75858347627488831</v>
      </c>
      <c r="E2432" s="52">
        <f t="shared" ca="1" si="112"/>
        <v>0</v>
      </c>
      <c r="F2432" s="17">
        <f t="shared" ca="1" si="113"/>
        <v>0</v>
      </c>
      <c r="H2432" s="17">
        <v>2423</v>
      </c>
      <c r="I2432" s="45">
        <v>0.67097573656930631</v>
      </c>
      <c r="J2432" s="45">
        <v>1.8840654046428876E-2</v>
      </c>
      <c r="K2432" s="45">
        <v>0.251</v>
      </c>
      <c r="N2432" s="54"/>
    </row>
    <row r="2433" spans="2:14" x14ac:dyDescent="0.2">
      <c r="B2433">
        <v>2424</v>
      </c>
      <c r="C2433" s="52">
        <f t="shared" ca="1" si="114"/>
        <v>0.60162095062813714</v>
      </c>
      <c r="D2433" s="52">
        <f ca="1">S0*EXP((μ-0.5*σ*σ)*T+σ*SQRT(T)*$C2433)</f>
        <v>0.76033015373173729</v>
      </c>
      <c r="E2433" s="52">
        <f t="shared" ca="1" si="112"/>
        <v>0</v>
      </c>
      <c r="F2433" s="17">
        <f t="shared" ca="1" si="113"/>
        <v>0</v>
      </c>
      <c r="H2433" s="17">
        <v>2424</v>
      </c>
      <c r="I2433" s="45">
        <v>0.67095638163262816</v>
      </c>
      <c r="J2433" s="45">
        <v>1.9080447330552554E-2</v>
      </c>
      <c r="K2433" s="45">
        <v>0.25</v>
      </c>
      <c r="N2433" s="54"/>
    </row>
    <row r="2434" spans="2:14" x14ac:dyDescent="0.2">
      <c r="B2434">
        <v>2425</v>
      </c>
      <c r="C2434" s="52">
        <f t="shared" ca="1" si="114"/>
        <v>1.4342038545985656</v>
      </c>
      <c r="D2434" s="52">
        <f ca="1">S0*EXP((μ-0.5*σ*σ)*T+σ*SQRT(T)*$C2434)</f>
        <v>0.95709794891885691</v>
      </c>
      <c r="E2434" s="52">
        <f t="shared" ca="1" si="112"/>
        <v>0</v>
      </c>
      <c r="F2434" s="17">
        <f t="shared" ca="1" si="113"/>
        <v>0</v>
      </c>
      <c r="H2434" s="17">
        <v>2425</v>
      </c>
      <c r="I2434" s="45">
        <v>0.66983823159343148</v>
      </c>
      <c r="J2434" s="45">
        <v>1.7923339277212354E-2</v>
      </c>
      <c r="K2434" s="45">
        <v>0.23519999999999999</v>
      </c>
      <c r="N2434" s="54"/>
    </row>
    <row r="2435" spans="2:14" x14ac:dyDescent="0.2">
      <c r="B2435">
        <v>2426</v>
      </c>
      <c r="C2435" s="52">
        <f t="shared" ca="1" si="114"/>
        <v>-0.34293192792233723</v>
      </c>
      <c r="D2435" s="52">
        <f ca="1">S0*EXP((μ-0.5*σ*σ)*T+σ*SQRT(T)*$C2435)</f>
        <v>0.58560624441879794</v>
      </c>
      <c r="E2435" s="52">
        <f t="shared" ca="1" si="112"/>
        <v>0</v>
      </c>
      <c r="F2435" s="17">
        <f t="shared" ca="1" si="113"/>
        <v>0</v>
      </c>
      <c r="H2435" s="17">
        <v>2426</v>
      </c>
      <c r="I2435" s="45">
        <v>0.67184143199316504</v>
      </c>
      <c r="J2435" s="45">
        <v>1.9848025797499745E-2</v>
      </c>
      <c r="K2435" s="45">
        <v>0.25640000000000002</v>
      </c>
      <c r="N2435" s="54"/>
    </row>
    <row r="2436" spans="2:14" x14ac:dyDescent="0.2">
      <c r="B2436">
        <v>2427</v>
      </c>
      <c r="C2436" s="52">
        <f t="shared" ca="1" si="114"/>
        <v>-4.8165139777065817E-2</v>
      </c>
      <c r="D2436" s="52">
        <f ca="1">S0*EXP((μ-0.5*σ*σ)*T+σ*SQRT(T)*$C2436)</f>
        <v>0.63532123309600641</v>
      </c>
      <c r="E2436" s="52">
        <f t="shared" ca="1" si="112"/>
        <v>0</v>
      </c>
      <c r="F2436" s="17">
        <f t="shared" ca="1" si="113"/>
        <v>0</v>
      </c>
      <c r="H2436" s="17">
        <v>2427</v>
      </c>
      <c r="I2436" s="45">
        <v>0.67117996971438465</v>
      </c>
      <c r="J2436" s="45">
        <v>1.9466090121811018E-2</v>
      </c>
      <c r="K2436" s="45">
        <v>0.24759999999999999</v>
      </c>
      <c r="N2436" s="54"/>
    </row>
    <row r="2437" spans="2:14" x14ac:dyDescent="0.2">
      <c r="B2437">
        <v>2428</v>
      </c>
      <c r="C2437" s="52">
        <f t="shared" ca="1" si="114"/>
        <v>-0.26969077064924246</v>
      </c>
      <c r="D2437" s="52">
        <f ca="1">S0*EXP((μ-0.5*σ*σ)*T+σ*SQRT(T)*$C2437)</f>
        <v>0.59758340440952262</v>
      </c>
      <c r="E2437" s="52">
        <f t="shared" ca="1" si="112"/>
        <v>0</v>
      </c>
      <c r="F2437" s="17">
        <f t="shared" ca="1" si="113"/>
        <v>0</v>
      </c>
      <c r="H2437" s="17">
        <v>2428</v>
      </c>
      <c r="I2437" s="45">
        <v>0.67143758245841489</v>
      </c>
      <c r="J2437" s="45">
        <v>1.942247881788494E-2</v>
      </c>
      <c r="K2437" s="45">
        <v>0.25</v>
      </c>
      <c r="N2437" s="54"/>
    </row>
    <row r="2438" spans="2:14" x14ac:dyDescent="0.2">
      <c r="B2438">
        <v>2429</v>
      </c>
      <c r="C2438" s="52">
        <f t="shared" ca="1" si="114"/>
        <v>9.6738068828308516E-2</v>
      </c>
      <c r="D2438" s="52">
        <f ca="1">S0*EXP((μ-0.5*σ*σ)*T+σ*SQRT(T)*$C2438)</f>
        <v>0.66128618776079073</v>
      </c>
      <c r="E2438" s="52">
        <f t="shared" ca="1" si="112"/>
        <v>0</v>
      </c>
      <c r="F2438" s="17">
        <f t="shared" ca="1" si="113"/>
        <v>0</v>
      </c>
      <c r="H2438" s="17">
        <v>2429</v>
      </c>
      <c r="I2438" s="45">
        <v>0.67095075897518019</v>
      </c>
      <c r="J2438" s="45">
        <v>1.8745762609555554E-2</v>
      </c>
      <c r="K2438" s="45">
        <v>0.246</v>
      </c>
      <c r="N2438" s="54"/>
    </row>
    <row r="2439" spans="2:14" x14ac:dyDescent="0.2">
      <c r="B2439">
        <v>2430</v>
      </c>
      <c r="C2439" s="52">
        <f t="shared" ca="1" si="114"/>
        <v>1.5064328799010491</v>
      </c>
      <c r="D2439" s="52">
        <f ca="1">S0*EXP((μ-0.5*σ*σ)*T+σ*SQRT(T)*$C2439)</f>
        <v>0.9763998522124081</v>
      </c>
      <c r="E2439" s="52">
        <f t="shared" ca="1" si="112"/>
        <v>0</v>
      </c>
      <c r="F2439" s="17">
        <f t="shared" ca="1" si="113"/>
        <v>0</v>
      </c>
      <c r="H2439" s="17">
        <v>2430</v>
      </c>
      <c r="I2439" s="45">
        <v>0.67097289481331546</v>
      </c>
      <c r="J2439" s="45">
        <v>1.876142479048348E-2</v>
      </c>
      <c r="K2439" s="45">
        <v>0.24160000000000001</v>
      </c>
      <c r="N2439" s="54"/>
    </row>
    <row r="2440" spans="2:14" x14ac:dyDescent="0.2">
      <c r="B2440">
        <v>2431</v>
      </c>
      <c r="C2440" s="52">
        <f t="shared" ca="1" si="114"/>
        <v>0.56594924989782691</v>
      </c>
      <c r="D2440" s="52">
        <f ca="1">S0*EXP((μ-0.5*σ*σ)*T+σ*SQRT(T)*$C2440)</f>
        <v>0.75286952098381188</v>
      </c>
      <c r="E2440" s="52">
        <f t="shared" ca="1" si="112"/>
        <v>0</v>
      </c>
      <c r="F2440" s="17">
        <f t="shared" ca="1" si="113"/>
        <v>0</v>
      </c>
      <c r="H2440" s="17">
        <v>2431</v>
      </c>
      <c r="I2440" s="45">
        <v>0.6711010537542289</v>
      </c>
      <c r="J2440" s="45">
        <v>1.902483115603221E-2</v>
      </c>
      <c r="K2440" s="45">
        <v>0.2404</v>
      </c>
      <c r="N2440" s="54"/>
    </row>
    <row r="2441" spans="2:14" x14ac:dyDescent="0.2">
      <c r="B2441">
        <v>2432</v>
      </c>
      <c r="C2441" s="52">
        <f t="shared" ca="1" si="114"/>
        <v>-0.56126614135129105</v>
      </c>
      <c r="D2441" s="52">
        <f ca="1">S0*EXP((μ-0.5*σ*σ)*T+σ*SQRT(T)*$C2441)</f>
        <v>0.55130762176715931</v>
      </c>
      <c r="E2441" s="52">
        <f t="shared" ca="1" si="112"/>
        <v>0</v>
      </c>
      <c r="F2441" s="17">
        <f t="shared" ca="1" si="113"/>
        <v>0</v>
      </c>
      <c r="H2441" s="17">
        <v>2432</v>
      </c>
      <c r="I2441" s="45">
        <v>0.67135034883554889</v>
      </c>
      <c r="J2441" s="45">
        <v>1.9328347756527829E-2</v>
      </c>
      <c r="K2441" s="45">
        <v>0.24540000000000001</v>
      </c>
      <c r="N2441" s="54"/>
    </row>
    <row r="2442" spans="2:14" x14ac:dyDescent="0.2">
      <c r="B2442">
        <v>2433</v>
      </c>
      <c r="C2442" s="52">
        <f t="shared" ca="1" si="114"/>
        <v>-1.3349050289441622</v>
      </c>
      <c r="D2442" s="52">
        <f ca="1">S0*EXP((μ-0.5*σ*σ)*T+σ*SQRT(T)*$C2442)</f>
        <v>0.44516010711527332</v>
      </c>
      <c r="E2442" s="52">
        <f t="shared" ref="E2442:E2505" ca="1" si="115">MAX(0,CP*(D2442-K))</f>
        <v>8.9239892884726668E-2</v>
      </c>
      <c r="F2442" s="17">
        <f t="shared" ref="F2442:F2505" ca="1" si="116">(CP*(D2442-K)&gt;0)*1</f>
        <v>1</v>
      </c>
      <c r="H2442" s="17">
        <v>2433</v>
      </c>
      <c r="I2442" s="45">
        <v>0.66947607909822593</v>
      </c>
      <c r="J2442" s="45">
        <v>1.7556272664339057E-2</v>
      </c>
      <c r="K2442" s="45">
        <v>0.2356</v>
      </c>
      <c r="N2442" s="54"/>
    </row>
    <row r="2443" spans="2:14" x14ac:dyDescent="0.2">
      <c r="B2443">
        <v>2434</v>
      </c>
      <c r="C2443" s="52">
        <f t="shared" ref="C2443:C2506" ca="1" si="117">_xlfn.NORM.S.INV(RAND())</f>
        <v>-2.0615289715344036</v>
      </c>
      <c r="D2443" s="52">
        <f ca="1">S0*EXP((μ-0.5*σ*σ)*T+σ*SQRT(T)*$C2443)</f>
        <v>0.36415205949441215</v>
      </c>
      <c r="E2443" s="52">
        <f t="shared" ca="1" si="115"/>
        <v>0.17024794050558784</v>
      </c>
      <c r="F2443" s="17">
        <f t="shared" ca="1" si="116"/>
        <v>1</v>
      </c>
      <c r="H2443" s="17">
        <v>2434</v>
      </c>
      <c r="I2443" s="45">
        <v>0.6711426740717098</v>
      </c>
      <c r="J2443" s="45">
        <v>1.9208923759608372E-2</v>
      </c>
      <c r="K2443" s="45">
        <v>0.25140000000000001</v>
      </c>
      <c r="N2443" s="54"/>
    </row>
    <row r="2444" spans="2:14" x14ac:dyDescent="0.2">
      <c r="B2444">
        <v>2435</v>
      </c>
      <c r="C2444" s="52">
        <f t="shared" ca="1" si="117"/>
        <v>0.39135947598672327</v>
      </c>
      <c r="D2444" s="52">
        <f ca="1">S0*EXP((μ-0.5*σ*σ)*T+σ*SQRT(T)*$C2444)</f>
        <v>0.71739718696131749</v>
      </c>
      <c r="E2444" s="52">
        <f t="shared" ca="1" si="115"/>
        <v>0</v>
      </c>
      <c r="F2444" s="17">
        <f t="shared" ca="1" si="116"/>
        <v>0</v>
      </c>
      <c r="H2444" s="17">
        <v>2435</v>
      </c>
      <c r="I2444" s="45">
        <v>0.67059836138819695</v>
      </c>
      <c r="J2444" s="45">
        <v>1.8461041042165338E-2</v>
      </c>
      <c r="K2444" s="45">
        <v>0.24079999999999999</v>
      </c>
      <c r="N2444" s="54"/>
    </row>
    <row r="2445" spans="2:14" x14ac:dyDescent="0.2">
      <c r="B2445">
        <v>2436</v>
      </c>
      <c r="C2445" s="52">
        <f t="shared" ca="1" si="117"/>
        <v>-0.46041293384092263</v>
      </c>
      <c r="D2445" s="52">
        <f ca="1">S0*EXP((μ-0.5*σ*σ)*T+σ*SQRT(T)*$C2445)</f>
        <v>0.56689384057839409</v>
      </c>
      <c r="E2445" s="52">
        <f t="shared" ca="1" si="115"/>
        <v>0</v>
      </c>
      <c r="F2445" s="17">
        <f t="shared" ca="1" si="116"/>
        <v>0</v>
      </c>
      <c r="H2445" s="17">
        <v>2436</v>
      </c>
      <c r="I2445" s="45">
        <v>0.67127405236679027</v>
      </c>
      <c r="J2445" s="45">
        <v>1.9107144990526074E-2</v>
      </c>
      <c r="K2445" s="45">
        <v>0.247</v>
      </c>
      <c r="N2445" s="54"/>
    </row>
    <row r="2446" spans="2:14" x14ac:dyDescent="0.2">
      <c r="B2446">
        <v>2437</v>
      </c>
      <c r="C2446" s="52">
        <f t="shared" ca="1" si="117"/>
        <v>-0.85146291275362818</v>
      </c>
      <c r="D2446" s="52">
        <f ca="1">S0*EXP((μ-0.5*σ*σ)*T+σ*SQRT(T)*$C2446)</f>
        <v>0.50880921738784857</v>
      </c>
      <c r="E2446" s="52">
        <f t="shared" ca="1" si="115"/>
        <v>2.5590782612151419E-2</v>
      </c>
      <c r="F2446" s="17">
        <f t="shared" ca="1" si="116"/>
        <v>1</v>
      </c>
      <c r="H2446" s="17">
        <v>2437</v>
      </c>
      <c r="I2446" s="45">
        <v>0.66900147921037678</v>
      </c>
      <c r="J2446" s="45">
        <v>1.7331282695905982E-2</v>
      </c>
      <c r="K2446" s="45">
        <v>0.2336</v>
      </c>
      <c r="N2446" s="54"/>
    </row>
    <row r="2447" spans="2:14" x14ac:dyDescent="0.2">
      <c r="B2447">
        <v>2438</v>
      </c>
      <c r="C2447" s="52">
        <f t="shared" ca="1" si="117"/>
        <v>-1.9353171541891856</v>
      </c>
      <c r="D2447" s="52">
        <f ca="1">S0*EXP((μ-0.5*σ*σ)*T+σ*SQRT(T)*$C2447)</f>
        <v>0.3770812102705301</v>
      </c>
      <c r="E2447" s="52">
        <f t="shared" ca="1" si="115"/>
        <v>0.15731878972946989</v>
      </c>
      <c r="F2447" s="17">
        <f t="shared" ca="1" si="116"/>
        <v>1</v>
      </c>
      <c r="H2447" s="17">
        <v>2438</v>
      </c>
      <c r="I2447" s="45">
        <v>0.67162635197509613</v>
      </c>
      <c r="J2447" s="45">
        <v>1.9480537283667949E-2</v>
      </c>
      <c r="K2447" s="45">
        <v>0.24879999999999999</v>
      </c>
      <c r="N2447" s="54"/>
    </row>
    <row r="2448" spans="2:14" x14ac:dyDescent="0.2">
      <c r="B2448">
        <v>2439</v>
      </c>
      <c r="C2448" s="52">
        <f t="shared" ca="1" si="117"/>
        <v>-1.0302388741228867</v>
      </c>
      <c r="D2448" s="52">
        <f ca="1">S0*EXP((μ-0.5*σ*σ)*T+σ*SQRT(T)*$C2448)</f>
        <v>0.48427534497372771</v>
      </c>
      <c r="E2448" s="52">
        <f t="shared" ca="1" si="115"/>
        <v>5.012465502627228E-2</v>
      </c>
      <c r="F2448" s="17">
        <f t="shared" ca="1" si="116"/>
        <v>1</v>
      </c>
      <c r="H2448" s="17">
        <v>2439</v>
      </c>
      <c r="I2448" s="45">
        <v>0.67070627675751326</v>
      </c>
      <c r="J2448" s="45">
        <v>1.890754287418538E-2</v>
      </c>
      <c r="K2448" s="45">
        <v>0.24840000000000001</v>
      </c>
      <c r="N2448" s="54"/>
    </row>
    <row r="2449" spans="2:14" x14ac:dyDescent="0.2">
      <c r="B2449">
        <v>2440</v>
      </c>
      <c r="C2449" s="52">
        <f t="shared" ca="1" si="117"/>
        <v>2.9154615968401094</v>
      </c>
      <c r="D2449" s="52">
        <f ca="1">S0*EXP((μ-0.5*σ*σ)*T+σ*SQRT(T)*$C2449)</f>
        <v>1.4414048918103239</v>
      </c>
      <c r="E2449" s="52">
        <f t="shared" ca="1" si="115"/>
        <v>0</v>
      </c>
      <c r="F2449" s="17">
        <f t="shared" ca="1" si="116"/>
        <v>0</v>
      </c>
      <c r="H2449" s="17">
        <v>2440</v>
      </c>
      <c r="I2449" s="45">
        <v>0.67148660134090077</v>
      </c>
      <c r="J2449" s="45">
        <v>1.9476110533548901E-2</v>
      </c>
      <c r="K2449" s="45">
        <v>0.24579999999999999</v>
      </c>
      <c r="N2449" s="54"/>
    </row>
    <row r="2450" spans="2:14" x14ac:dyDescent="0.2">
      <c r="B2450">
        <v>2441</v>
      </c>
      <c r="C2450" s="52">
        <f t="shared" ca="1" si="117"/>
        <v>-9.3865963318009907E-2</v>
      </c>
      <c r="D2450" s="52">
        <f ca="1">S0*EXP((μ-0.5*σ*σ)*T+σ*SQRT(T)*$C2450)</f>
        <v>0.62734558207069979</v>
      </c>
      <c r="E2450" s="52">
        <f t="shared" ca="1" si="115"/>
        <v>0</v>
      </c>
      <c r="F2450" s="17">
        <f t="shared" ca="1" si="116"/>
        <v>0</v>
      </c>
      <c r="H2450" s="17">
        <v>2441</v>
      </c>
      <c r="I2450" s="45">
        <v>0.67150768309453268</v>
      </c>
      <c r="J2450" s="45">
        <v>1.9320769585638612E-2</v>
      </c>
      <c r="K2450" s="45">
        <v>0.2462</v>
      </c>
      <c r="N2450" s="54"/>
    </row>
    <row r="2451" spans="2:14" x14ac:dyDescent="0.2">
      <c r="B2451">
        <v>2442</v>
      </c>
      <c r="C2451" s="52">
        <f t="shared" ca="1" si="117"/>
        <v>0.42640894991582368</v>
      </c>
      <c r="D2451" s="52">
        <f ca="1">S0*EXP((μ-0.5*σ*σ)*T+σ*SQRT(T)*$C2451)</f>
        <v>0.72438169615070813</v>
      </c>
      <c r="E2451" s="52">
        <f t="shared" ca="1" si="115"/>
        <v>0</v>
      </c>
      <c r="F2451" s="17">
        <f t="shared" ca="1" si="116"/>
        <v>0</v>
      </c>
      <c r="H2451" s="17">
        <v>2442</v>
      </c>
      <c r="I2451" s="45">
        <v>0.67035329067471017</v>
      </c>
      <c r="J2451" s="45">
        <v>1.8528618124007617E-2</v>
      </c>
      <c r="K2451" s="45">
        <v>0.24199999999999999</v>
      </c>
      <c r="N2451" s="54"/>
    </row>
    <row r="2452" spans="2:14" x14ac:dyDescent="0.2">
      <c r="B2452">
        <v>2443</v>
      </c>
      <c r="C2452" s="52">
        <f t="shared" ca="1" si="117"/>
        <v>2.0876665880627674</v>
      </c>
      <c r="D2452" s="52">
        <f ca="1">S0*EXP((μ-0.5*σ*σ)*T+σ*SQRT(T)*$C2452)</f>
        <v>1.1465859671624801</v>
      </c>
      <c r="E2452" s="52">
        <f t="shared" ca="1" si="115"/>
        <v>0</v>
      </c>
      <c r="F2452" s="17">
        <f t="shared" ca="1" si="116"/>
        <v>0</v>
      </c>
      <c r="H2452" s="17">
        <v>2443</v>
      </c>
      <c r="I2452" s="45">
        <v>0.66958742283557138</v>
      </c>
      <c r="J2452" s="45">
        <v>1.7966382345175152E-2</v>
      </c>
      <c r="K2452" s="45">
        <v>0.23780000000000001</v>
      </c>
      <c r="N2452" s="54"/>
    </row>
    <row r="2453" spans="2:14" x14ac:dyDescent="0.2">
      <c r="B2453">
        <v>2444</v>
      </c>
      <c r="C2453" s="52">
        <f t="shared" ca="1" si="117"/>
        <v>-3.1885018507757459</v>
      </c>
      <c r="D2453" s="52">
        <f ca="1">S0*EXP((μ-0.5*σ*σ)*T+σ*SQRT(T)*$C2453)</f>
        <v>0.26667737146141418</v>
      </c>
      <c r="E2453" s="52">
        <f t="shared" ca="1" si="115"/>
        <v>0.26772262853858581</v>
      </c>
      <c r="F2453" s="17">
        <f t="shared" ca="1" si="116"/>
        <v>1</v>
      </c>
      <c r="H2453" s="17">
        <v>2444</v>
      </c>
      <c r="I2453" s="45">
        <v>0.67122209180590731</v>
      </c>
      <c r="J2453" s="45">
        <v>1.9062155779288985E-2</v>
      </c>
      <c r="K2453" s="45">
        <v>0.24460000000000001</v>
      </c>
      <c r="N2453" s="54"/>
    </row>
    <row r="2454" spans="2:14" x14ac:dyDescent="0.2">
      <c r="B2454">
        <v>2445</v>
      </c>
      <c r="C2454" s="52">
        <f t="shared" ca="1" si="117"/>
        <v>0.58011925804170783</v>
      </c>
      <c r="D2454" s="52">
        <f ca="1">S0*EXP((μ-0.5*σ*σ)*T+σ*SQRT(T)*$C2454)</f>
        <v>0.75582433255981707</v>
      </c>
      <c r="E2454" s="52">
        <f t="shared" ca="1" si="115"/>
        <v>0</v>
      </c>
      <c r="F2454" s="17">
        <f t="shared" ca="1" si="116"/>
        <v>0</v>
      </c>
      <c r="H2454" s="17">
        <v>2445</v>
      </c>
      <c r="I2454" s="45">
        <v>0.67065249594686516</v>
      </c>
      <c r="J2454" s="45">
        <v>1.8733934910967896E-2</v>
      </c>
      <c r="K2454" s="45">
        <v>0.2382</v>
      </c>
      <c r="N2454" s="54"/>
    </row>
    <row r="2455" spans="2:14" x14ac:dyDescent="0.2">
      <c r="B2455">
        <v>2446</v>
      </c>
      <c r="C2455" s="52">
        <f t="shared" ca="1" si="117"/>
        <v>0.69400147813315127</v>
      </c>
      <c r="D2455" s="52">
        <f ca="1">S0*EXP((μ-0.5*σ*σ)*T+σ*SQRT(T)*$C2455)</f>
        <v>0.77999673449195395</v>
      </c>
      <c r="E2455" s="52">
        <f t="shared" ca="1" si="115"/>
        <v>0</v>
      </c>
      <c r="F2455" s="17">
        <f t="shared" ca="1" si="116"/>
        <v>0</v>
      </c>
      <c r="H2455" s="17">
        <v>2446</v>
      </c>
      <c r="I2455" s="45">
        <v>0.67146311306588791</v>
      </c>
      <c r="J2455" s="45">
        <v>1.9399903084238192E-2</v>
      </c>
      <c r="K2455" s="45">
        <v>0.25280000000000002</v>
      </c>
      <c r="N2455" s="54"/>
    </row>
    <row r="2456" spans="2:14" x14ac:dyDescent="0.2">
      <c r="B2456">
        <v>2447</v>
      </c>
      <c r="C2456" s="52">
        <f t="shared" ca="1" si="117"/>
        <v>-0.27073686720647472</v>
      </c>
      <c r="D2456" s="52">
        <f ca="1">S0*EXP((μ-0.5*σ*σ)*T+σ*SQRT(T)*$C2456)</f>
        <v>0.59741062315192173</v>
      </c>
      <c r="E2456" s="52">
        <f t="shared" ca="1" si="115"/>
        <v>0</v>
      </c>
      <c r="F2456" s="17">
        <f t="shared" ca="1" si="116"/>
        <v>0</v>
      </c>
      <c r="H2456" s="17">
        <v>2447</v>
      </c>
      <c r="I2456" s="45">
        <v>0.6703164324840446</v>
      </c>
      <c r="J2456" s="45">
        <v>1.8336847526945223E-2</v>
      </c>
      <c r="K2456" s="45">
        <v>0.24440000000000001</v>
      </c>
      <c r="N2456" s="54"/>
    </row>
    <row r="2457" spans="2:14" x14ac:dyDescent="0.2">
      <c r="B2457">
        <v>2448</v>
      </c>
      <c r="C2457" s="52">
        <f t="shared" ca="1" si="117"/>
        <v>-2.279960026159157</v>
      </c>
      <c r="D2457" s="52">
        <f ca="1">S0*EXP((μ-0.5*σ*σ)*T+σ*SQRT(T)*$C2457)</f>
        <v>0.34281470444631018</v>
      </c>
      <c r="E2457" s="52">
        <f t="shared" ca="1" si="115"/>
        <v>0.19158529555368981</v>
      </c>
      <c r="F2457" s="17">
        <f t="shared" ca="1" si="116"/>
        <v>1</v>
      </c>
      <c r="H2457" s="17">
        <v>2448</v>
      </c>
      <c r="I2457" s="45">
        <v>0.6708883448733407</v>
      </c>
      <c r="J2457" s="45">
        <v>1.8958948028504792E-2</v>
      </c>
      <c r="K2457" s="45">
        <v>0.25019999999999998</v>
      </c>
      <c r="N2457" s="54"/>
    </row>
    <row r="2458" spans="2:14" x14ac:dyDescent="0.2">
      <c r="B2458">
        <v>2449</v>
      </c>
      <c r="C2458" s="52">
        <f t="shared" ca="1" si="117"/>
        <v>-0.80315925058857229</v>
      </c>
      <c r="D2458" s="52">
        <f ca="1">S0*EXP((μ-0.5*σ*σ)*T+σ*SQRT(T)*$C2458)</f>
        <v>0.51564875715840575</v>
      </c>
      <c r="E2458" s="52">
        <f t="shared" ca="1" si="115"/>
        <v>1.875124284159424E-2</v>
      </c>
      <c r="F2458" s="17">
        <f t="shared" ca="1" si="116"/>
        <v>1</v>
      </c>
      <c r="H2458" s="17">
        <v>2449</v>
      </c>
      <c r="I2458" s="45">
        <v>0.67067175523243916</v>
      </c>
      <c r="J2458" s="45">
        <v>1.9048533354078113E-2</v>
      </c>
      <c r="K2458" s="45">
        <v>0.25019999999999998</v>
      </c>
      <c r="N2458" s="54"/>
    </row>
    <row r="2459" spans="2:14" x14ac:dyDescent="0.2">
      <c r="B2459">
        <v>2450</v>
      </c>
      <c r="C2459" s="52">
        <f t="shared" ca="1" si="117"/>
        <v>0.29938449655103516</v>
      </c>
      <c r="D2459" s="52">
        <f ca="1">S0*EXP((μ-0.5*σ*σ)*T+σ*SQRT(T)*$C2459)</f>
        <v>0.69938737217041014</v>
      </c>
      <c r="E2459" s="52">
        <f t="shared" ca="1" si="115"/>
        <v>0</v>
      </c>
      <c r="F2459" s="17">
        <f t="shared" ca="1" si="116"/>
        <v>0</v>
      </c>
      <c r="H2459" s="17">
        <v>2450</v>
      </c>
      <c r="I2459" s="45">
        <v>0.67102218350340814</v>
      </c>
      <c r="J2459" s="45">
        <v>1.8928774741993771E-2</v>
      </c>
      <c r="K2459" s="45">
        <v>0.24540000000000001</v>
      </c>
      <c r="N2459" s="54"/>
    </row>
    <row r="2460" spans="2:14" x14ac:dyDescent="0.2">
      <c r="B2460">
        <v>2451</v>
      </c>
      <c r="C2460" s="52">
        <f t="shared" ca="1" si="117"/>
        <v>-1.0216806619456502</v>
      </c>
      <c r="D2460" s="52">
        <f ca="1">S0*EXP((μ-0.5*σ*σ)*T+σ*SQRT(T)*$C2460)</f>
        <v>0.48542238441565649</v>
      </c>
      <c r="E2460" s="52">
        <f t="shared" ca="1" si="115"/>
        <v>4.8977615584343492E-2</v>
      </c>
      <c r="F2460" s="17">
        <f t="shared" ca="1" si="116"/>
        <v>1</v>
      </c>
      <c r="H2460" s="17">
        <v>2451</v>
      </c>
      <c r="I2460" s="45">
        <v>0.66968849163390398</v>
      </c>
      <c r="J2460" s="45">
        <v>1.8138172758102956E-2</v>
      </c>
      <c r="K2460" s="45">
        <v>0.2414</v>
      </c>
      <c r="N2460" s="54"/>
    </row>
    <row r="2461" spans="2:14" x14ac:dyDescent="0.2">
      <c r="B2461">
        <v>2452</v>
      </c>
      <c r="C2461" s="52">
        <f t="shared" ca="1" si="117"/>
        <v>0.13280950949386514</v>
      </c>
      <c r="D2461" s="52">
        <f ca="1">S0*EXP((μ-0.5*σ*σ)*T+σ*SQRT(T)*$C2461)</f>
        <v>0.66791306774268855</v>
      </c>
      <c r="E2461" s="52">
        <f t="shared" ca="1" si="115"/>
        <v>0</v>
      </c>
      <c r="F2461" s="17">
        <f t="shared" ca="1" si="116"/>
        <v>0</v>
      </c>
      <c r="H2461" s="17">
        <v>2452</v>
      </c>
      <c r="I2461" s="45">
        <v>0.67082190753237991</v>
      </c>
      <c r="J2461" s="45">
        <v>1.9014644076846658E-2</v>
      </c>
      <c r="K2461" s="45">
        <v>0.25059999999999999</v>
      </c>
      <c r="N2461" s="54"/>
    </row>
    <row r="2462" spans="2:14" x14ac:dyDescent="0.2">
      <c r="B2462">
        <v>2453</v>
      </c>
      <c r="C2462" s="52">
        <f t="shared" ca="1" si="117"/>
        <v>0.75446166700964001</v>
      </c>
      <c r="D2462" s="52">
        <f ca="1">S0*EXP((μ-0.5*σ*σ)*T+σ*SQRT(T)*$C2462)</f>
        <v>0.79314249383791879</v>
      </c>
      <c r="E2462" s="52">
        <f t="shared" ca="1" si="115"/>
        <v>0</v>
      </c>
      <c r="F2462" s="17">
        <f t="shared" ca="1" si="116"/>
        <v>0</v>
      </c>
      <c r="H2462" s="17">
        <v>2453</v>
      </c>
      <c r="I2462" s="45">
        <v>0.67081182296854092</v>
      </c>
      <c r="J2462" s="45">
        <v>1.8986499872480606E-2</v>
      </c>
      <c r="K2462" s="45">
        <v>0.24560000000000001</v>
      </c>
      <c r="N2462" s="54"/>
    </row>
    <row r="2463" spans="2:14" x14ac:dyDescent="0.2">
      <c r="B2463">
        <v>2454</v>
      </c>
      <c r="C2463" s="52">
        <f t="shared" ca="1" si="117"/>
        <v>0.81206448384024177</v>
      </c>
      <c r="D2463" s="52">
        <f ca="1">S0*EXP((μ-0.5*σ*σ)*T+σ*SQRT(T)*$C2463)</f>
        <v>0.80587301985117099</v>
      </c>
      <c r="E2463" s="52">
        <f t="shared" ca="1" si="115"/>
        <v>0</v>
      </c>
      <c r="F2463" s="17">
        <f t="shared" ca="1" si="116"/>
        <v>0</v>
      </c>
      <c r="H2463" s="17">
        <v>2454</v>
      </c>
      <c r="I2463" s="45">
        <v>0.67092020016619658</v>
      </c>
      <c r="J2463" s="45">
        <v>1.8881979116853131E-2</v>
      </c>
      <c r="K2463" s="45">
        <v>0.24</v>
      </c>
      <c r="N2463" s="54"/>
    </row>
    <row r="2464" spans="2:14" x14ac:dyDescent="0.2">
      <c r="B2464">
        <v>2455</v>
      </c>
      <c r="C2464" s="52">
        <f t="shared" ca="1" si="117"/>
        <v>-0.87087973529691953</v>
      </c>
      <c r="D2464" s="52">
        <f ca="1">S0*EXP((μ-0.5*σ*σ)*T+σ*SQRT(T)*$C2464)</f>
        <v>0.50608553006230106</v>
      </c>
      <c r="E2464" s="52">
        <f t="shared" ca="1" si="115"/>
        <v>2.8314469937698927E-2</v>
      </c>
      <c r="F2464" s="17">
        <f t="shared" ca="1" si="116"/>
        <v>1</v>
      </c>
      <c r="H2464" s="17">
        <v>2455</v>
      </c>
      <c r="I2464" s="45">
        <v>0.67075634246851057</v>
      </c>
      <c r="J2464" s="45">
        <v>1.9000959526782397E-2</v>
      </c>
      <c r="K2464" s="45">
        <v>0.24640000000000001</v>
      </c>
      <c r="N2464" s="54"/>
    </row>
    <row r="2465" spans="2:14" x14ac:dyDescent="0.2">
      <c r="B2465">
        <v>2456</v>
      </c>
      <c r="C2465" s="52">
        <f t="shared" ca="1" si="117"/>
        <v>0.31428455584434795</v>
      </c>
      <c r="D2465" s="52">
        <f ca="1">S0*EXP((μ-0.5*σ*σ)*T+σ*SQRT(T)*$C2465)</f>
        <v>0.70227399213767672</v>
      </c>
      <c r="E2465" s="52">
        <f t="shared" ca="1" si="115"/>
        <v>0</v>
      </c>
      <c r="F2465" s="17">
        <f t="shared" ca="1" si="116"/>
        <v>0</v>
      </c>
      <c r="H2465" s="17">
        <v>2456</v>
      </c>
      <c r="I2465" s="45">
        <v>0.67135914236154104</v>
      </c>
      <c r="J2465" s="45">
        <v>1.9230883527528886E-2</v>
      </c>
      <c r="K2465" s="45">
        <v>0.24360000000000001</v>
      </c>
      <c r="N2465" s="54"/>
    </row>
    <row r="2466" spans="2:14" x14ac:dyDescent="0.2">
      <c r="B2466">
        <v>2457</v>
      </c>
      <c r="C2466" s="52">
        <f t="shared" ca="1" si="117"/>
        <v>-1.7139140147377829</v>
      </c>
      <c r="D2466" s="52">
        <f ca="1">S0*EXP((μ-0.5*σ*σ)*T+σ*SQRT(T)*$C2466)</f>
        <v>0.40088058996837433</v>
      </c>
      <c r="E2466" s="52">
        <f t="shared" ca="1" si="115"/>
        <v>0.13351941003162565</v>
      </c>
      <c r="F2466" s="17">
        <f t="shared" ca="1" si="116"/>
        <v>1</v>
      </c>
      <c r="H2466" s="17">
        <v>2457</v>
      </c>
      <c r="I2466" s="45">
        <v>0.67107248110846796</v>
      </c>
      <c r="J2466" s="45">
        <v>1.9097855964057026E-2</v>
      </c>
      <c r="K2466" s="45">
        <v>0.24759999999999999</v>
      </c>
      <c r="N2466" s="54"/>
    </row>
    <row r="2467" spans="2:14" x14ac:dyDescent="0.2">
      <c r="B2467">
        <v>2458</v>
      </c>
      <c r="C2467" s="52">
        <f t="shared" ca="1" si="117"/>
        <v>0.92683196891322717</v>
      </c>
      <c r="D2467" s="52">
        <f ca="1">S0*EXP((μ-0.5*σ*σ)*T+σ*SQRT(T)*$C2467)</f>
        <v>0.83184959629525423</v>
      </c>
      <c r="E2467" s="52">
        <f t="shared" ca="1" si="115"/>
        <v>0</v>
      </c>
      <c r="F2467" s="17">
        <f t="shared" ca="1" si="116"/>
        <v>0</v>
      </c>
      <c r="H2467" s="17">
        <v>2458</v>
      </c>
      <c r="I2467" s="45">
        <v>0.67007784862770337</v>
      </c>
      <c r="J2467" s="45">
        <v>1.8298822655357799E-2</v>
      </c>
      <c r="K2467" s="45">
        <v>0.24399999999999999</v>
      </c>
      <c r="N2467" s="54"/>
    </row>
    <row r="2468" spans="2:14" x14ac:dyDescent="0.2">
      <c r="B2468">
        <v>2459</v>
      </c>
      <c r="C2468" s="52">
        <f t="shared" ca="1" si="117"/>
        <v>-0.2838672587104949</v>
      </c>
      <c r="D2468" s="52">
        <f ca="1">S0*EXP((μ-0.5*σ*σ)*T+σ*SQRT(T)*$C2468)</f>
        <v>0.59524615198705455</v>
      </c>
      <c r="E2468" s="52">
        <f t="shared" ca="1" si="115"/>
        <v>0</v>
      </c>
      <c r="F2468" s="17">
        <f t="shared" ca="1" si="116"/>
        <v>0</v>
      </c>
      <c r="H2468" s="17">
        <v>2459</v>
      </c>
      <c r="I2468" s="45">
        <v>0.67137349118860579</v>
      </c>
      <c r="J2468" s="45">
        <v>1.9261454405004333E-2</v>
      </c>
      <c r="K2468" s="45">
        <v>0.247</v>
      </c>
      <c r="N2468" s="54"/>
    </row>
    <row r="2469" spans="2:14" x14ac:dyDescent="0.2">
      <c r="B2469">
        <v>2460</v>
      </c>
      <c r="C2469" s="52">
        <f t="shared" ca="1" si="117"/>
        <v>-1.4834896832895181</v>
      </c>
      <c r="D2469" s="52">
        <f ca="1">S0*EXP((μ-0.5*σ*σ)*T+σ*SQRT(T)*$C2469)</f>
        <v>0.42724617926437364</v>
      </c>
      <c r="E2469" s="52">
        <f t="shared" ca="1" si="115"/>
        <v>0.10715382073562635</v>
      </c>
      <c r="F2469" s="17">
        <f t="shared" ca="1" si="116"/>
        <v>1</v>
      </c>
      <c r="H2469" s="17">
        <v>2460</v>
      </c>
      <c r="I2469" s="45">
        <v>0.6723867776361997</v>
      </c>
      <c r="J2469" s="45">
        <v>1.983942268216107E-2</v>
      </c>
      <c r="K2469" s="45">
        <v>0.25419999999999998</v>
      </c>
      <c r="N2469" s="54"/>
    </row>
    <row r="2470" spans="2:14" x14ac:dyDescent="0.2">
      <c r="B2470">
        <v>2461</v>
      </c>
      <c r="C2470" s="52">
        <f t="shared" ca="1" si="117"/>
        <v>-0.36095389778580345</v>
      </c>
      <c r="D2470" s="52">
        <f ca="1">S0*EXP((μ-0.5*σ*σ)*T+σ*SQRT(T)*$C2470)</f>
        <v>0.5826960920225519</v>
      </c>
      <c r="E2470" s="52">
        <f t="shared" ca="1" si="115"/>
        <v>0</v>
      </c>
      <c r="F2470" s="17">
        <f t="shared" ca="1" si="116"/>
        <v>0</v>
      </c>
      <c r="H2470" s="17">
        <v>2461</v>
      </c>
      <c r="I2470" s="45">
        <v>0.67055080981405135</v>
      </c>
      <c r="J2470" s="45">
        <v>1.8835089178823101E-2</v>
      </c>
      <c r="K2470" s="45">
        <v>0.25119999999999998</v>
      </c>
      <c r="N2470" s="54"/>
    </row>
    <row r="2471" spans="2:14" x14ac:dyDescent="0.2">
      <c r="B2471">
        <v>2462</v>
      </c>
      <c r="C2471" s="52">
        <f t="shared" ca="1" si="117"/>
        <v>1.1967036090885914E-2</v>
      </c>
      <c r="D2471" s="52">
        <f ca="1">S0*EXP((μ-0.5*σ*σ)*T+σ*SQRT(T)*$C2471)</f>
        <v>0.64597011322704256</v>
      </c>
      <c r="E2471" s="52">
        <f t="shared" ca="1" si="115"/>
        <v>0</v>
      </c>
      <c r="F2471" s="17">
        <f t="shared" ca="1" si="116"/>
        <v>0</v>
      </c>
      <c r="H2471" s="17">
        <v>2462</v>
      </c>
      <c r="I2471" s="45">
        <v>0.67122410159604584</v>
      </c>
      <c r="J2471" s="45">
        <v>1.8990610541261433E-2</v>
      </c>
      <c r="K2471" s="45">
        <v>0.24959999999999999</v>
      </c>
      <c r="N2471" s="54"/>
    </row>
    <row r="2472" spans="2:14" x14ac:dyDescent="0.2">
      <c r="B2472">
        <v>2463</v>
      </c>
      <c r="C2472" s="52">
        <f t="shared" ca="1" si="117"/>
        <v>1.0934784595039213</v>
      </c>
      <c r="D2472" s="52">
        <f ca="1">S0*EXP((μ-0.5*σ*σ)*T+σ*SQRT(T)*$C2472)</f>
        <v>0.87106635715467173</v>
      </c>
      <c r="E2472" s="52">
        <f t="shared" ca="1" si="115"/>
        <v>0</v>
      </c>
      <c r="F2472" s="17">
        <f t="shared" ca="1" si="116"/>
        <v>0</v>
      </c>
      <c r="H2472" s="17">
        <v>2463</v>
      </c>
      <c r="I2472" s="45">
        <v>0.67014702392285508</v>
      </c>
      <c r="J2472" s="45">
        <v>1.84580582921774E-2</v>
      </c>
      <c r="K2472" s="45">
        <v>0.2452</v>
      </c>
      <c r="N2472" s="54"/>
    </row>
    <row r="2473" spans="2:14" x14ac:dyDescent="0.2">
      <c r="B2473">
        <v>2464</v>
      </c>
      <c r="C2473" s="52">
        <f t="shared" ca="1" si="117"/>
        <v>0.97539919578302259</v>
      </c>
      <c r="D2473" s="52">
        <f ca="1">S0*EXP((μ-0.5*σ*σ)*T+σ*SQRT(T)*$C2473)</f>
        <v>0.84309294871259777</v>
      </c>
      <c r="E2473" s="52">
        <f t="shared" ca="1" si="115"/>
        <v>0</v>
      </c>
      <c r="F2473" s="17">
        <f t="shared" ca="1" si="116"/>
        <v>0</v>
      </c>
      <c r="H2473" s="17">
        <v>2464</v>
      </c>
      <c r="I2473" s="45">
        <v>0.66962913941397439</v>
      </c>
      <c r="J2473" s="45">
        <v>1.7885798250443161E-2</v>
      </c>
      <c r="K2473" s="45">
        <v>0.24540000000000001</v>
      </c>
      <c r="N2473" s="54"/>
    </row>
    <row r="2474" spans="2:14" x14ac:dyDescent="0.2">
      <c r="B2474">
        <v>2465</v>
      </c>
      <c r="C2474" s="52">
        <f t="shared" ca="1" si="117"/>
        <v>1.763231801436993</v>
      </c>
      <c r="D2474" s="52">
        <f ca="1">S0*EXP((μ-0.5*σ*σ)*T+σ*SQRT(T)*$C2474)</f>
        <v>1.0482315219523437</v>
      </c>
      <c r="E2474" s="52">
        <f t="shared" ca="1" si="115"/>
        <v>0</v>
      </c>
      <c r="F2474" s="17">
        <f t="shared" ca="1" si="116"/>
        <v>0</v>
      </c>
      <c r="H2474" s="17">
        <v>2465</v>
      </c>
      <c r="I2474" s="45">
        <v>0.67066826984006411</v>
      </c>
      <c r="J2474" s="45">
        <v>1.8744956568466718E-2</v>
      </c>
      <c r="K2474" s="45">
        <v>0.25140000000000001</v>
      </c>
      <c r="N2474" s="54"/>
    </row>
    <row r="2475" spans="2:14" x14ac:dyDescent="0.2">
      <c r="B2475">
        <v>2466</v>
      </c>
      <c r="C2475" s="52">
        <f t="shared" ca="1" si="117"/>
        <v>0.48051447375896472</v>
      </c>
      <c r="D2475" s="52">
        <f ca="1">S0*EXP((μ-0.5*σ*σ)*T+σ*SQRT(T)*$C2475)</f>
        <v>0.73529735646253225</v>
      </c>
      <c r="E2475" s="52">
        <f t="shared" ca="1" si="115"/>
        <v>0</v>
      </c>
      <c r="F2475" s="17">
        <f t="shared" ca="1" si="116"/>
        <v>0</v>
      </c>
      <c r="H2475" s="17">
        <v>2466</v>
      </c>
      <c r="I2475" s="45">
        <v>0.67118186718825112</v>
      </c>
      <c r="J2475" s="45">
        <v>1.9264082336138466E-2</v>
      </c>
      <c r="K2475" s="45">
        <v>0.25240000000000001</v>
      </c>
      <c r="N2475" s="54"/>
    </row>
    <row r="2476" spans="2:14" x14ac:dyDescent="0.2">
      <c r="B2476">
        <v>2467</v>
      </c>
      <c r="C2476" s="52">
        <f t="shared" ca="1" si="117"/>
        <v>-0.47137923862589443</v>
      </c>
      <c r="D2476" s="52">
        <f ca="1">S0*EXP((μ-0.5*σ*σ)*T+σ*SQRT(T)*$C2476)</f>
        <v>0.5651779362531707</v>
      </c>
      <c r="E2476" s="52">
        <f t="shared" ca="1" si="115"/>
        <v>0</v>
      </c>
      <c r="F2476" s="17">
        <f t="shared" ca="1" si="116"/>
        <v>0</v>
      </c>
      <c r="H2476" s="17">
        <v>2467</v>
      </c>
      <c r="I2476" s="45">
        <v>0.67055154396374694</v>
      </c>
      <c r="J2476" s="45">
        <v>1.8560862181493151E-2</v>
      </c>
      <c r="K2476" s="45">
        <v>0.24299999999999999</v>
      </c>
      <c r="N2476" s="54"/>
    </row>
    <row r="2477" spans="2:14" x14ac:dyDescent="0.2">
      <c r="B2477">
        <v>2468</v>
      </c>
      <c r="C2477" s="52">
        <f t="shared" ca="1" si="117"/>
        <v>0.63312967133494102</v>
      </c>
      <c r="D2477" s="52">
        <f ca="1">S0*EXP((μ-0.5*σ*σ)*T+σ*SQRT(T)*$C2477)</f>
        <v>0.76698158089610102</v>
      </c>
      <c r="E2477" s="52">
        <f t="shared" ca="1" si="115"/>
        <v>0</v>
      </c>
      <c r="F2477" s="17">
        <f t="shared" ca="1" si="116"/>
        <v>0</v>
      </c>
      <c r="H2477" s="17">
        <v>2468</v>
      </c>
      <c r="I2477" s="45">
        <v>0.6694856635950166</v>
      </c>
      <c r="J2477" s="45">
        <v>1.8268146164154557E-2</v>
      </c>
      <c r="K2477" s="45">
        <v>0.24360000000000001</v>
      </c>
      <c r="N2477" s="54"/>
    </row>
    <row r="2478" spans="2:14" x14ac:dyDescent="0.2">
      <c r="B2478">
        <v>2469</v>
      </c>
      <c r="C2478" s="52">
        <f t="shared" ca="1" si="117"/>
        <v>-1.8636281923799689</v>
      </c>
      <c r="D2478" s="52">
        <f ca="1">S0*EXP((μ-0.5*σ*σ)*T+σ*SQRT(T)*$C2478)</f>
        <v>0.38462842407532094</v>
      </c>
      <c r="E2478" s="52">
        <f t="shared" ca="1" si="115"/>
        <v>0.14977157592467905</v>
      </c>
      <c r="F2478" s="17">
        <f t="shared" ca="1" si="116"/>
        <v>1</v>
      </c>
      <c r="H2478" s="17">
        <v>2469</v>
      </c>
      <c r="I2478" s="45">
        <v>0.67054369330702568</v>
      </c>
      <c r="J2478" s="45">
        <v>1.8518813016125703E-2</v>
      </c>
      <c r="K2478" s="45">
        <v>0.2412</v>
      </c>
      <c r="N2478" s="54"/>
    </row>
    <row r="2479" spans="2:14" x14ac:dyDescent="0.2">
      <c r="B2479">
        <v>2470</v>
      </c>
      <c r="C2479" s="52">
        <f t="shared" ca="1" si="117"/>
        <v>1.154309010413745</v>
      </c>
      <c r="D2479" s="52">
        <f ca="1">S0*EXP((μ-0.5*σ*σ)*T+σ*SQRT(T)*$C2479)</f>
        <v>0.88583765575035989</v>
      </c>
      <c r="E2479" s="52">
        <f t="shared" ca="1" si="115"/>
        <v>0</v>
      </c>
      <c r="F2479" s="17">
        <f t="shared" ca="1" si="116"/>
        <v>0</v>
      </c>
      <c r="H2479" s="17">
        <v>2470</v>
      </c>
      <c r="I2479" s="45">
        <v>0.67134758328298305</v>
      </c>
      <c r="J2479" s="45">
        <v>1.9187401761625734E-2</v>
      </c>
      <c r="K2479" s="45">
        <v>0.24379999999999999</v>
      </c>
      <c r="N2479" s="54"/>
    </row>
    <row r="2480" spans="2:14" x14ac:dyDescent="0.2">
      <c r="B2480">
        <v>2471</v>
      </c>
      <c r="C2480" s="52">
        <f t="shared" ca="1" si="117"/>
        <v>0.47618812542341915</v>
      </c>
      <c r="D2480" s="52">
        <f ca="1">S0*EXP((μ-0.5*σ*σ)*T+σ*SQRT(T)*$C2480)</f>
        <v>0.73441850811546316</v>
      </c>
      <c r="E2480" s="52">
        <f t="shared" ca="1" si="115"/>
        <v>0</v>
      </c>
      <c r="F2480" s="17">
        <f t="shared" ca="1" si="116"/>
        <v>0</v>
      </c>
      <c r="H2480" s="17">
        <v>2471</v>
      </c>
      <c r="I2480" s="45">
        <v>0.6706622776150164</v>
      </c>
      <c r="J2480" s="45">
        <v>1.8666223914303674E-2</v>
      </c>
      <c r="K2480" s="45">
        <v>0.24859999999999999</v>
      </c>
      <c r="N2480" s="54"/>
    </row>
    <row r="2481" spans="2:14" x14ac:dyDescent="0.2">
      <c r="B2481">
        <v>2472</v>
      </c>
      <c r="C2481" s="52">
        <f t="shared" ca="1" si="117"/>
        <v>0.16676117566746987</v>
      </c>
      <c r="D2481" s="52">
        <f ca="1">S0*EXP((μ-0.5*σ*σ)*T+σ*SQRT(T)*$C2481)</f>
        <v>0.67421117061517843</v>
      </c>
      <c r="E2481" s="52">
        <f t="shared" ca="1" si="115"/>
        <v>0</v>
      </c>
      <c r="F2481" s="17">
        <f t="shared" ca="1" si="116"/>
        <v>0</v>
      </c>
      <c r="H2481" s="17">
        <v>2472</v>
      </c>
      <c r="I2481" s="45">
        <v>0.67185720246841596</v>
      </c>
      <c r="J2481" s="45">
        <v>1.9828312623514241E-2</v>
      </c>
      <c r="K2481" s="45">
        <v>0.25679999999999997</v>
      </c>
      <c r="N2481" s="54"/>
    </row>
    <row r="2482" spans="2:14" x14ac:dyDescent="0.2">
      <c r="B2482">
        <v>2473</v>
      </c>
      <c r="C2482" s="52">
        <f t="shared" ca="1" si="117"/>
        <v>0.67048914266157178</v>
      </c>
      <c r="D2482" s="52">
        <f ca="1">S0*EXP((μ-0.5*σ*σ)*T+σ*SQRT(T)*$C2482)</f>
        <v>0.7749435276462292</v>
      </c>
      <c r="E2482" s="52">
        <f t="shared" ca="1" si="115"/>
        <v>0</v>
      </c>
      <c r="F2482" s="17">
        <f t="shared" ca="1" si="116"/>
        <v>0</v>
      </c>
      <c r="H2482" s="17">
        <v>2473</v>
      </c>
      <c r="I2482" s="45">
        <v>0.67057573036076024</v>
      </c>
      <c r="J2482" s="45">
        <v>1.8961397598450152E-2</v>
      </c>
      <c r="K2482" s="45">
        <v>0.24979999999999999</v>
      </c>
      <c r="N2482" s="54"/>
    </row>
    <row r="2483" spans="2:14" x14ac:dyDescent="0.2">
      <c r="B2483">
        <v>2474</v>
      </c>
      <c r="C2483" s="52">
        <f t="shared" ca="1" si="117"/>
        <v>-0.56988664907943365</v>
      </c>
      <c r="D2483" s="52">
        <f ca="1">S0*EXP((μ-0.5*σ*σ)*T+σ*SQRT(T)*$C2483)</f>
        <v>0.54999542607597118</v>
      </c>
      <c r="E2483" s="52">
        <f t="shared" ca="1" si="115"/>
        <v>0</v>
      </c>
      <c r="F2483" s="17">
        <f t="shared" ca="1" si="116"/>
        <v>0</v>
      </c>
      <c r="H2483" s="17">
        <v>2474</v>
      </c>
      <c r="I2483" s="45">
        <v>0.67207356669381635</v>
      </c>
      <c r="J2483" s="45">
        <v>1.9915958974626943E-2</v>
      </c>
      <c r="K2483" s="45">
        <v>0.25159999999999999</v>
      </c>
      <c r="N2483" s="54"/>
    </row>
    <row r="2484" spans="2:14" x14ac:dyDescent="0.2">
      <c r="B2484">
        <v>2475</v>
      </c>
      <c r="C2484" s="52">
        <f t="shared" ca="1" si="117"/>
        <v>-0.44995178171880751</v>
      </c>
      <c r="D2484" s="52">
        <f ca="1">S0*EXP((μ-0.5*σ*σ)*T+σ*SQRT(T)*$C2484)</f>
        <v>0.56853555826113933</v>
      </c>
      <c r="E2484" s="52">
        <f t="shared" ca="1" si="115"/>
        <v>0</v>
      </c>
      <c r="F2484" s="17">
        <f t="shared" ca="1" si="116"/>
        <v>0</v>
      </c>
      <c r="H2484" s="17">
        <v>2475</v>
      </c>
      <c r="I2484" s="45">
        <v>0.670982419039028</v>
      </c>
      <c r="J2484" s="45">
        <v>1.9257758771355615E-2</v>
      </c>
      <c r="K2484" s="45">
        <v>0.2482</v>
      </c>
      <c r="N2484" s="54"/>
    </row>
    <row r="2485" spans="2:14" x14ac:dyDescent="0.2">
      <c r="B2485">
        <v>2476</v>
      </c>
      <c r="C2485" s="52">
        <f t="shared" ca="1" si="117"/>
        <v>0.30875149095448173</v>
      </c>
      <c r="D2485" s="52">
        <f ca="1">S0*EXP((μ-0.5*σ*σ)*T+σ*SQRT(T)*$C2485)</f>
        <v>0.70120067174217693</v>
      </c>
      <c r="E2485" s="52">
        <f t="shared" ca="1" si="115"/>
        <v>0</v>
      </c>
      <c r="F2485" s="17">
        <f t="shared" ca="1" si="116"/>
        <v>0</v>
      </c>
      <c r="H2485" s="17">
        <v>2476</v>
      </c>
      <c r="I2485" s="45">
        <v>0.67150723853334315</v>
      </c>
      <c r="J2485" s="45">
        <v>1.9419572211232555E-2</v>
      </c>
      <c r="K2485" s="45">
        <v>0.2482</v>
      </c>
      <c r="N2485" s="54"/>
    </row>
    <row r="2486" spans="2:14" x14ac:dyDescent="0.2">
      <c r="B2486">
        <v>2477</v>
      </c>
      <c r="C2486" s="52">
        <f t="shared" ca="1" si="117"/>
        <v>4.1233128015988975E-2</v>
      </c>
      <c r="D2486" s="52">
        <f ca="1">S0*EXP((μ-0.5*σ*σ)*T+σ*SQRT(T)*$C2486)</f>
        <v>0.65121727201071822</v>
      </c>
      <c r="E2486" s="52">
        <f t="shared" ca="1" si="115"/>
        <v>0</v>
      </c>
      <c r="F2486" s="17">
        <f t="shared" ca="1" si="116"/>
        <v>0</v>
      </c>
      <c r="H2486" s="17">
        <v>2477</v>
      </c>
      <c r="I2486" s="45">
        <v>0.67053650980556267</v>
      </c>
      <c r="J2486" s="45">
        <v>1.8810474691344257E-2</v>
      </c>
      <c r="K2486" s="45">
        <v>0.252</v>
      </c>
      <c r="N2486" s="54"/>
    </row>
    <row r="2487" spans="2:14" x14ac:dyDescent="0.2">
      <c r="B2487">
        <v>2478</v>
      </c>
      <c r="C2487" s="52">
        <f t="shared" ca="1" si="117"/>
        <v>-0.42064888075356843</v>
      </c>
      <c r="D2487" s="52">
        <f ca="1">S0*EXP((μ-0.5*σ*σ)*T+σ*SQRT(T)*$C2487)</f>
        <v>0.57315955491349879</v>
      </c>
      <c r="E2487" s="52">
        <f t="shared" ca="1" si="115"/>
        <v>0</v>
      </c>
      <c r="F2487" s="17">
        <f t="shared" ca="1" si="116"/>
        <v>0</v>
      </c>
      <c r="H2487" s="17">
        <v>2478</v>
      </c>
      <c r="I2487" s="45">
        <v>0.67096361789626757</v>
      </c>
      <c r="J2487" s="45">
        <v>1.8832965388519377E-2</v>
      </c>
      <c r="K2487" s="45">
        <v>0.2492</v>
      </c>
      <c r="N2487" s="54"/>
    </row>
    <row r="2488" spans="2:14" x14ac:dyDescent="0.2">
      <c r="B2488">
        <v>2479</v>
      </c>
      <c r="C2488" s="52">
        <f t="shared" ca="1" si="117"/>
        <v>-2.3259874362922099</v>
      </c>
      <c r="D2488" s="52">
        <f ca="1">S0*EXP((μ-0.5*σ*σ)*T+σ*SQRT(T)*$C2488)</f>
        <v>0.33848054219778639</v>
      </c>
      <c r="E2488" s="52">
        <f t="shared" ca="1" si="115"/>
        <v>0.19591945780221359</v>
      </c>
      <c r="F2488" s="17">
        <f t="shared" ca="1" si="116"/>
        <v>1</v>
      </c>
      <c r="H2488" s="17">
        <v>2479</v>
      </c>
      <c r="I2488" s="45">
        <v>0.67139042821180195</v>
      </c>
      <c r="J2488" s="45">
        <v>1.934584963028544E-2</v>
      </c>
      <c r="K2488" s="45">
        <v>0.24279999999999999</v>
      </c>
      <c r="N2488" s="54"/>
    </row>
    <row r="2489" spans="2:14" x14ac:dyDescent="0.2">
      <c r="B2489">
        <v>2480</v>
      </c>
      <c r="C2489" s="52">
        <f t="shared" ca="1" si="117"/>
        <v>1.2660431880426384</v>
      </c>
      <c r="D2489" s="52">
        <f ca="1">S0*EXP((μ-0.5*σ*σ)*T+σ*SQRT(T)*$C2489)</f>
        <v>0.91362541820114884</v>
      </c>
      <c r="E2489" s="52">
        <f t="shared" ca="1" si="115"/>
        <v>0</v>
      </c>
      <c r="F2489" s="17">
        <f t="shared" ca="1" si="116"/>
        <v>0</v>
      </c>
      <c r="H2489" s="17">
        <v>2480</v>
      </c>
      <c r="I2489" s="45">
        <v>0.67132876585586032</v>
      </c>
      <c r="J2489" s="45">
        <v>1.9572272761958703E-2</v>
      </c>
      <c r="K2489" s="45">
        <v>0.25219999999999998</v>
      </c>
      <c r="N2489" s="54"/>
    </row>
    <row r="2490" spans="2:14" x14ac:dyDescent="0.2">
      <c r="B2490">
        <v>2481</v>
      </c>
      <c r="C2490" s="52">
        <f t="shared" ca="1" si="117"/>
        <v>0.45749935575423983</v>
      </c>
      <c r="D2490" s="52">
        <f ca="1">S0*EXP((μ-0.5*σ*σ)*T+σ*SQRT(T)*$C2490)</f>
        <v>0.73063415104782092</v>
      </c>
      <c r="E2490" s="52">
        <f t="shared" ca="1" si="115"/>
        <v>0</v>
      </c>
      <c r="F2490" s="17">
        <f t="shared" ca="1" si="116"/>
        <v>0</v>
      </c>
      <c r="H2490" s="17">
        <v>2481</v>
      </c>
      <c r="I2490" s="45">
        <v>0.67133918052975261</v>
      </c>
      <c r="J2490" s="45">
        <v>1.9211429968373259E-2</v>
      </c>
      <c r="K2490" s="45">
        <v>0.2452</v>
      </c>
      <c r="N2490" s="54"/>
    </row>
    <row r="2491" spans="2:14" x14ac:dyDescent="0.2">
      <c r="B2491">
        <v>2482</v>
      </c>
      <c r="C2491" s="52">
        <f t="shared" ca="1" si="117"/>
        <v>-0.35706996806144481</v>
      </c>
      <c r="D2491" s="52">
        <f ca="1">S0*EXP((μ-0.5*σ*σ)*T+σ*SQRT(T)*$C2491)</f>
        <v>0.58332203641086977</v>
      </c>
      <c r="E2491" s="52">
        <f t="shared" ca="1" si="115"/>
        <v>0</v>
      </c>
      <c r="F2491" s="17">
        <f t="shared" ca="1" si="116"/>
        <v>0</v>
      </c>
      <c r="H2491" s="17">
        <v>2482</v>
      </c>
      <c r="I2491" s="45">
        <v>0.67164767231360056</v>
      </c>
      <c r="J2491" s="45">
        <v>1.9346431838351039E-2</v>
      </c>
      <c r="K2491" s="45">
        <v>0.25240000000000001</v>
      </c>
      <c r="N2491" s="54"/>
    </row>
    <row r="2492" spans="2:14" x14ac:dyDescent="0.2">
      <c r="B2492">
        <v>2483</v>
      </c>
      <c r="C2492" s="52">
        <f t="shared" ca="1" si="117"/>
        <v>-6.5576538854091981E-2</v>
      </c>
      <c r="D2492" s="52">
        <f ca="1">S0*EXP((μ-0.5*σ*σ)*T+σ*SQRT(T)*$C2492)</f>
        <v>0.63227073024849323</v>
      </c>
      <c r="E2492" s="52">
        <f t="shared" ca="1" si="115"/>
        <v>0</v>
      </c>
      <c r="F2492" s="17">
        <f t="shared" ca="1" si="116"/>
        <v>0</v>
      </c>
      <c r="H2492" s="17">
        <v>2483</v>
      </c>
      <c r="I2492" s="45">
        <v>0.67187545526004999</v>
      </c>
      <c r="J2492" s="45">
        <v>1.9704338484983843E-2</v>
      </c>
      <c r="K2492" s="45">
        <v>0.25340000000000001</v>
      </c>
      <c r="N2492" s="54"/>
    </row>
    <row r="2493" spans="2:14" x14ac:dyDescent="0.2">
      <c r="B2493">
        <v>2484</v>
      </c>
      <c r="C2493" s="52">
        <f t="shared" ca="1" si="117"/>
        <v>-1.0999887298409559E-2</v>
      </c>
      <c r="D2493" s="52">
        <f ca="1">S0*EXP((μ-0.5*σ*σ)*T+σ*SQRT(T)*$C2493)</f>
        <v>0.64188196651687013</v>
      </c>
      <c r="E2493" s="52">
        <f t="shared" ca="1" si="115"/>
        <v>0</v>
      </c>
      <c r="F2493" s="17">
        <f t="shared" ca="1" si="116"/>
        <v>0</v>
      </c>
      <c r="H2493" s="17">
        <v>2484</v>
      </c>
      <c r="I2493" s="45">
        <v>0.67166285524603486</v>
      </c>
      <c r="J2493" s="45">
        <v>1.949566241478486E-2</v>
      </c>
      <c r="K2493" s="45">
        <v>0.25319999999999998</v>
      </c>
      <c r="N2493" s="54"/>
    </row>
    <row r="2494" spans="2:14" x14ac:dyDescent="0.2">
      <c r="B2494">
        <v>2485</v>
      </c>
      <c r="C2494" s="52">
        <f t="shared" ca="1" si="117"/>
        <v>-0.65605562431928777</v>
      </c>
      <c r="D2494" s="52">
        <f ca="1">S0*EXP((μ-0.5*σ*σ)*T+σ*SQRT(T)*$C2494)</f>
        <v>0.53704938537560176</v>
      </c>
      <c r="E2494" s="52">
        <f t="shared" ca="1" si="115"/>
        <v>0</v>
      </c>
      <c r="F2494" s="17">
        <f t="shared" ca="1" si="116"/>
        <v>0</v>
      </c>
      <c r="H2494" s="17">
        <v>2485</v>
      </c>
      <c r="I2494" s="45">
        <v>0.67018015639403739</v>
      </c>
      <c r="J2494" s="45">
        <v>1.8327740262769461E-2</v>
      </c>
      <c r="K2494" s="45">
        <v>0.2346</v>
      </c>
      <c r="N2494" s="54"/>
    </row>
    <row r="2495" spans="2:14" x14ac:dyDescent="0.2">
      <c r="B2495">
        <v>2486</v>
      </c>
      <c r="C2495" s="52">
        <f t="shared" ca="1" si="117"/>
        <v>-0.67243158988370366</v>
      </c>
      <c r="D2495" s="52">
        <f ca="1">S0*EXP((μ-0.5*σ*σ)*T+σ*SQRT(T)*$C2495)</f>
        <v>0.53462373814594599</v>
      </c>
      <c r="E2495" s="52">
        <f t="shared" ca="1" si="115"/>
        <v>0</v>
      </c>
      <c r="F2495" s="17">
        <f t="shared" ca="1" si="116"/>
        <v>0</v>
      </c>
      <c r="H2495" s="17">
        <v>2486</v>
      </c>
      <c r="I2495" s="45">
        <v>0.67008536132543495</v>
      </c>
      <c r="J2495" s="45">
        <v>1.8160951884462446E-2</v>
      </c>
      <c r="K2495" s="45">
        <v>0.24299999999999999</v>
      </c>
      <c r="N2495" s="54"/>
    </row>
    <row r="2496" spans="2:14" x14ac:dyDescent="0.2">
      <c r="B2496">
        <v>2487</v>
      </c>
      <c r="C2496" s="52">
        <f t="shared" ca="1" si="117"/>
        <v>-0.2689346242106932</v>
      </c>
      <c r="D2496" s="52">
        <f ca="1">S0*EXP((μ-0.5*σ*σ)*T+σ*SQRT(T)*$C2496)</f>
        <v>0.59770832641583427</v>
      </c>
      <c r="E2496" s="52">
        <f t="shared" ca="1" si="115"/>
        <v>0</v>
      </c>
      <c r="F2496" s="17">
        <f t="shared" ca="1" si="116"/>
        <v>0</v>
      </c>
      <c r="H2496" s="17">
        <v>2487</v>
      </c>
      <c r="I2496" s="45">
        <v>0.67065325654827002</v>
      </c>
      <c r="J2496" s="45">
        <v>1.8668491426900052E-2</v>
      </c>
      <c r="K2496" s="45">
        <v>0.2452</v>
      </c>
      <c r="N2496" s="54"/>
    </row>
    <row r="2497" spans="1:14" x14ac:dyDescent="0.2">
      <c r="B2497">
        <v>2488</v>
      </c>
      <c r="C2497" s="52">
        <f t="shared" ca="1" si="117"/>
        <v>-0.8267804524645781</v>
      </c>
      <c r="D2497" s="52">
        <f ca="1">S0*EXP((μ-0.5*σ*σ)*T+σ*SQRT(T)*$C2497)</f>
        <v>0.51229271072813798</v>
      </c>
      <c r="E2497" s="52">
        <f t="shared" ca="1" si="115"/>
        <v>2.2107289271862007E-2</v>
      </c>
      <c r="F2497" s="17">
        <f t="shared" ca="1" si="116"/>
        <v>1</v>
      </c>
      <c r="H2497" s="17">
        <v>2488</v>
      </c>
      <c r="I2497" s="45">
        <v>0.67203210428590543</v>
      </c>
      <c r="J2497" s="45">
        <v>1.9726113175972653E-2</v>
      </c>
      <c r="K2497" s="45">
        <v>0.24679999999999999</v>
      </c>
      <c r="N2497" s="54"/>
    </row>
    <row r="2498" spans="1:14" x14ac:dyDescent="0.2">
      <c r="B2498">
        <v>2489</v>
      </c>
      <c r="C2498" s="52">
        <f t="shared" ca="1" si="117"/>
        <v>0.3217606988872167</v>
      </c>
      <c r="D2498" s="52">
        <f ca="1">S0*EXP((μ-0.5*σ*σ)*T+σ*SQRT(T)*$C2498)</f>
        <v>0.70372684674067276</v>
      </c>
      <c r="E2498" s="52">
        <f t="shared" ca="1" si="115"/>
        <v>0</v>
      </c>
      <c r="F2498" s="17">
        <f t="shared" ca="1" si="116"/>
        <v>0</v>
      </c>
      <c r="H2498" s="17">
        <v>2489</v>
      </c>
      <c r="I2498" s="45">
        <v>0.67143577340357075</v>
      </c>
      <c r="J2498" s="45">
        <v>1.940997094733914E-2</v>
      </c>
      <c r="K2498" s="45">
        <v>0.24879999999999999</v>
      </c>
      <c r="N2498" s="54"/>
    </row>
    <row r="2499" spans="1:14" x14ac:dyDescent="0.2">
      <c r="B2499">
        <v>2490</v>
      </c>
      <c r="C2499" s="52">
        <f t="shared" ca="1" si="117"/>
        <v>-1.2153330006481595</v>
      </c>
      <c r="D2499" s="52">
        <f ca="1">S0*EXP((μ-0.5*σ*σ)*T+σ*SQRT(T)*$C2499)</f>
        <v>0.46012012881799463</v>
      </c>
      <c r="E2499" s="52">
        <f t="shared" ca="1" si="115"/>
        <v>7.4279871182005353E-2</v>
      </c>
      <c r="F2499" s="17">
        <f t="shared" ca="1" si="116"/>
        <v>1</v>
      </c>
      <c r="H2499" s="17">
        <v>2490</v>
      </c>
      <c r="I2499" s="45">
        <v>0.67008588514134115</v>
      </c>
      <c r="J2499" s="45">
        <v>1.8422155769651748E-2</v>
      </c>
      <c r="K2499" s="45">
        <v>0.2412</v>
      </c>
      <c r="N2499" s="54"/>
    </row>
    <row r="2500" spans="1:14" x14ac:dyDescent="0.2">
      <c r="B2500">
        <v>2491</v>
      </c>
      <c r="C2500" s="52">
        <f t="shared" ca="1" si="117"/>
        <v>1.7878883171754421</v>
      </c>
      <c r="D2500" s="52">
        <f ca="1">S0*EXP((μ-0.5*σ*σ)*T+σ*SQRT(T)*$C2500)</f>
        <v>1.0554005277123573</v>
      </c>
      <c r="E2500" s="52">
        <f t="shared" ca="1" si="115"/>
        <v>0</v>
      </c>
      <c r="F2500" s="17">
        <f t="shared" ca="1" si="116"/>
        <v>0</v>
      </c>
      <c r="H2500" s="17">
        <v>2491</v>
      </c>
      <c r="I2500" s="45">
        <v>0.67225559650623357</v>
      </c>
      <c r="J2500" s="45">
        <v>2.0012117339427048E-2</v>
      </c>
      <c r="K2500" s="45">
        <v>0.25940000000000002</v>
      </c>
      <c r="N2500" s="54"/>
    </row>
    <row r="2501" spans="1:14" x14ac:dyDescent="0.2">
      <c r="B2501">
        <v>2492</v>
      </c>
      <c r="C2501" s="52">
        <f t="shared" ca="1" si="117"/>
        <v>-0.61172915472510014</v>
      </c>
      <c r="D2501" s="52">
        <f ca="1">S0*EXP((μ-0.5*σ*σ)*T+σ*SQRT(T)*$C2501)</f>
        <v>0.54367048269137785</v>
      </c>
      <c r="E2501" s="52">
        <f t="shared" ca="1" si="115"/>
        <v>0</v>
      </c>
      <c r="F2501" s="17">
        <f t="shared" ca="1" si="116"/>
        <v>0</v>
      </c>
      <c r="H2501" s="17">
        <v>2492</v>
      </c>
      <c r="I2501" s="45">
        <v>0.67267931139013193</v>
      </c>
      <c r="J2501" s="45">
        <v>2.0351998689540133E-2</v>
      </c>
      <c r="K2501" s="45">
        <v>0.249</v>
      </c>
      <c r="N2501" s="54"/>
    </row>
    <row r="2502" spans="1:14" x14ac:dyDescent="0.2">
      <c r="B2502">
        <v>2493</v>
      </c>
      <c r="C2502" s="52">
        <f t="shared" ca="1" si="117"/>
        <v>0.41097330366089563</v>
      </c>
      <c r="D2502" s="52">
        <f ca="1">S0*EXP((μ-0.5*σ*σ)*T+σ*SQRT(T)*$C2502)</f>
        <v>0.72129740627949324</v>
      </c>
      <c r="E2502" s="52">
        <f t="shared" ca="1" si="115"/>
        <v>0</v>
      </c>
      <c r="F2502" s="17">
        <f t="shared" ca="1" si="116"/>
        <v>0</v>
      </c>
      <c r="H2502" s="17">
        <v>2493</v>
      </c>
      <c r="I2502" s="45">
        <v>0.67107432488420404</v>
      </c>
      <c r="J2502" s="45">
        <v>1.9009107854898306E-2</v>
      </c>
      <c r="K2502" s="45">
        <v>0.2442</v>
      </c>
      <c r="N2502" s="54"/>
    </row>
    <row r="2503" spans="1:14" x14ac:dyDescent="0.2">
      <c r="B2503">
        <v>2494</v>
      </c>
      <c r="C2503" s="52">
        <f t="shared" ca="1" si="117"/>
        <v>-0.23874191220091892</v>
      </c>
      <c r="D2503" s="52">
        <f ca="1">S0*EXP((μ-0.5*σ*σ)*T+σ*SQRT(T)*$C2503)</f>
        <v>0.60271782406758834</v>
      </c>
      <c r="E2503" s="52">
        <f t="shared" ca="1" si="115"/>
        <v>0</v>
      </c>
      <c r="F2503" s="17">
        <f t="shared" ca="1" si="116"/>
        <v>0</v>
      </c>
      <c r="H2503" s="17">
        <v>2494</v>
      </c>
      <c r="I2503" s="45">
        <v>0.67089423100716661</v>
      </c>
      <c r="J2503" s="45">
        <v>1.9273967367594572E-2</v>
      </c>
      <c r="K2503" s="45">
        <v>0.24859999999999999</v>
      </c>
      <c r="N2503" s="54"/>
    </row>
    <row r="2504" spans="1:14" x14ac:dyDescent="0.2">
      <c r="B2504">
        <v>2495</v>
      </c>
      <c r="C2504" s="52">
        <f t="shared" ca="1" si="117"/>
        <v>-1.5280419430370424</v>
      </c>
      <c r="D2504" s="52">
        <f ca="1">S0*EXP((μ-0.5*σ*σ)*T+σ*SQRT(T)*$C2504)</f>
        <v>0.42201661538488205</v>
      </c>
      <c r="E2504" s="52">
        <f t="shared" ca="1" si="115"/>
        <v>0.11238338461511793</v>
      </c>
      <c r="F2504" s="17">
        <f t="shared" ca="1" si="116"/>
        <v>1</v>
      </c>
      <c r="H2504" s="17">
        <v>2495</v>
      </c>
      <c r="I2504" s="45">
        <v>0.67037723130279736</v>
      </c>
      <c r="J2504" s="45">
        <v>1.8440533854518777E-2</v>
      </c>
      <c r="K2504" s="45">
        <v>0.24160000000000001</v>
      </c>
      <c r="N2504" s="54"/>
    </row>
    <row r="2505" spans="1:14" x14ac:dyDescent="0.2">
      <c r="B2505">
        <v>2496</v>
      </c>
      <c r="C2505" s="52">
        <f t="shared" ca="1" si="117"/>
        <v>2.3681723855458059</v>
      </c>
      <c r="D2505" s="52">
        <f ca="1">S0*EXP((μ-0.5*σ*σ)*T+σ*SQRT(T)*$C2505)</f>
        <v>1.2390311273284116</v>
      </c>
      <c r="E2505" s="52">
        <f t="shared" ca="1" si="115"/>
        <v>0</v>
      </c>
      <c r="F2505" s="17">
        <f t="shared" ca="1" si="116"/>
        <v>0</v>
      </c>
      <c r="H2505" s="17">
        <v>2496</v>
      </c>
      <c r="I2505" s="45">
        <v>0.67097988948420073</v>
      </c>
      <c r="J2505" s="45">
        <v>1.9118492854166644E-2</v>
      </c>
      <c r="K2505" s="45">
        <v>0.24679999999999999</v>
      </c>
      <c r="N2505" s="54"/>
    </row>
    <row r="2506" spans="1:14" x14ac:dyDescent="0.2">
      <c r="B2506">
        <v>2497</v>
      </c>
      <c r="C2506" s="52">
        <f t="shared" ca="1" si="117"/>
        <v>-1.4088790031267728</v>
      </c>
      <c r="D2506" s="52">
        <f ca="1">S0*EXP((μ-0.5*σ*σ)*T+σ*SQRT(T)*$C2506)</f>
        <v>0.43614955349944462</v>
      </c>
      <c r="E2506" s="52">
        <f t="shared" ref="E2506:E2569" ca="1" si="118">MAX(0,CP*(D2506-K))</f>
        <v>9.8250446500555366E-2</v>
      </c>
      <c r="F2506" s="17">
        <f t="shared" ref="F2506:F2569" ca="1" si="119">(CP*(D2506-K)&gt;0)*1</f>
        <v>1</v>
      </c>
      <c r="H2506" s="17">
        <v>2497</v>
      </c>
      <c r="I2506" s="45">
        <v>0.67078060265808204</v>
      </c>
      <c r="J2506" s="45">
        <v>1.8803602612036119E-2</v>
      </c>
      <c r="K2506" s="45">
        <v>0.2462</v>
      </c>
      <c r="N2506" s="54"/>
    </row>
    <row r="2507" spans="1:14" x14ac:dyDescent="0.2">
      <c r="B2507">
        <v>2498</v>
      </c>
      <c r="C2507" s="52">
        <f ca="1">_xlfn.NORM.S.INV(RAND())</f>
        <v>0.7567756076051525</v>
      </c>
      <c r="D2507" s="52">
        <f ca="1">S0*EXP((μ-0.5*σ*σ)*T+σ*SQRT(T)*$C2507)</f>
        <v>0.79364998846774915</v>
      </c>
      <c r="E2507" s="52">
        <f t="shared" ca="1" si="118"/>
        <v>0</v>
      </c>
      <c r="F2507" s="17">
        <f t="shared" ca="1" si="119"/>
        <v>0</v>
      </c>
      <c r="H2507" s="17">
        <v>2498</v>
      </c>
      <c r="I2507" s="45">
        <v>0.67161663436315999</v>
      </c>
      <c r="J2507" s="45">
        <v>1.9286451874848207E-2</v>
      </c>
      <c r="K2507" s="45">
        <v>0.24959999999999999</v>
      </c>
      <c r="N2507" s="54"/>
    </row>
    <row r="2508" spans="1:14" x14ac:dyDescent="0.2">
      <c r="B2508">
        <v>2499</v>
      </c>
      <c r="C2508" s="52">
        <f ca="1">_xlfn.NORM.S.INV(RAND())</f>
        <v>0.58012248293994451</v>
      </c>
      <c r="D2508" s="52">
        <f ca="1">S0*EXP((μ-0.5*σ*σ)*T+σ*SQRT(T)*$C2508)</f>
        <v>0.75582500635235883</v>
      </c>
      <c r="E2508" s="52">
        <f t="shared" ca="1" si="118"/>
        <v>0</v>
      </c>
      <c r="F2508" s="17">
        <f t="shared" ca="1" si="119"/>
        <v>0</v>
      </c>
      <c r="H2508" s="17">
        <v>2499</v>
      </c>
      <c r="I2508" s="45">
        <v>0.67093933897892499</v>
      </c>
      <c r="J2508" s="45">
        <v>1.8677380790153981E-2</v>
      </c>
      <c r="K2508" s="45">
        <v>0.24299999999999999</v>
      </c>
      <c r="N2508" s="54"/>
    </row>
    <row r="2509" spans="1:14" x14ac:dyDescent="0.2">
      <c r="B2509">
        <v>2500</v>
      </c>
      <c r="C2509" s="53">
        <f ca="1">_xlfn.NORM.S.INV(RAND())</f>
        <v>0.9470380643873173</v>
      </c>
      <c r="D2509" s="52">
        <f ca="1">S0*EXP((μ-0.5*σ*σ)*T+σ*SQRT(T)*$C2509)</f>
        <v>0.83650899419596769</v>
      </c>
      <c r="E2509" s="52">
        <f t="shared" ca="1" si="118"/>
        <v>0</v>
      </c>
      <c r="F2509" s="17">
        <f t="shared" ca="1" si="119"/>
        <v>0</v>
      </c>
      <c r="H2509" s="17">
        <v>2500</v>
      </c>
      <c r="I2509" s="45">
        <v>0.67100066051955842</v>
      </c>
      <c r="J2509" s="45">
        <v>1.9010006059972051E-2</v>
      </c>
      <c r="K2509" s="45">
        <v>0.24759999999999999</v>
      </c>
      <c r="N2509" s="54"/>
    </row>
    <row r="2510" spans="1:14" x14ac:dyDescent="0.2">
      <c r="A2510" t="s">
        <v>78</v>
      </c>
      <c r="B2510">
        <v>2501</v>
      </c>
      <c r="C2510" s="52" cm="1">
        <f t="array" aca="1" ref="C2510:C5009" ca="1">-1*C10:C2509</f>
        <v>-1.6860409565769601E-2</v>
      </c>
      <c r="D2510" s="52">
        <f ca="1">S0*EXP((μ-0.5*σ*σ)*T+σ*SQRT(T)*$C2510)</f>
        <v>0.64084293462655484</v>
      </c>
      <c r="E2510" s="52">
        <f t="shared" ca="1" si="118"/>
        <v>0</v>
      </c>
      <c r="F2510" s="17">
        <f t="shared" ca="1" si="119"/>
        <v>0</v>
      </c>
      <c r="H2510" s="17">
        <v>2501</v>
      </c>
      <c r="I2510" s="45">
        <v>0.67000772163188371</v>
      </c>
      <c r="J2510" s="45">
        <v>1.8302473915958906E-2</v>
      </c>
      <c r="K2510" s="45">
        <v>0.24279999999999999</v>
      </c>
      <c r="N2510" s="54"/>
    </row>
    <row r="2511" spans="1:14" x14ac:dyDescent="0.2">
      <c r="B2511">
        <v>2502</v>
      </c>
      <c r="C2511" s="52">
        <f ca="1"/>
        <v>-0.77364285756047657</v>
      </c>
      <c r="D2511" s="52">
        <f ca="1">S0*EXP((μ-0.5*σ*σ)*T+σ*SQRT(T)*$C2511)</f>
        <v>0.519873296451975</v>
      </c>
      <c r="E2511" s="52">
        <f t="shared" ca="1" si="118"/>
        <v>1.4526703548024988E-2</v>
      </c>
      <c r="F2511" s="17">
        <f t="shared" ca="1" si="119"/>
        <v>1</v>
      </c>
      <c r="H2511" s="17">
        <v>2502</v>
      </c>
      <c r="I2511" s="45">
        <v>0.67108346470254754</v>
      </c>
      <c r="J2511" s="45">
        <v>1.9148316878314444E-2</v>
      </c>
      <c r="K2511" s="45">
        <v>0.247</v>
      </c>
      <c r="N2511" s="54"/>
    </row>
    <row r="2512" spans="1:14" x14ac:dyDescent="0.2">
      <c r="B2512">
        <v>2503</v>
      </c>
      <c r="C2512" s="52">
        <f ca="1"/>
        <v>1.3254554828281546</v>
      </c>
      <c r="D2512" s="52">
        <f ca="1">S0*EXP((μ-0.5*σ*σ)*T+σ*SQRT(T)*$C2512)</f>
        <v>0.92875422996212331</v>
      </c>
      <c r="E2512" s="52">
        <f t="shared" ca="1" si="118"/>
        <v>0</v>
      </c>
      <c r="F2512" s="17">
        <f t="shared" ca="1" si="119"/>
        <v>0</v>
      </c>
      <c r="H2512" s="17">
        <v>2503</v>
      </c>
      <c r="I2512" s="45">
        <v>0.66972821116363512</v>
      </c>
      <c r="J2512" s="45">
        <v>1.8095897356183707E-2</v>
      </c>
      <c r="K2512" s="45">
        <v>0.24759999999999999</v>
      </c>
      <c r="N2512" s="54"/>
    </row>
    <row r="2513" spans="2:14" x14ac:dyDescent="0.2">
      <c r="B2513">
        <v>2504</v>
      </c>
      <c r="C2513" s="52">
        <f ca="1"/>
        <v>0.28587464348009772</v>
      </c>
      <c r="D2513" s="52">
        <f ca="1">S0*EXP((μ-0.5*σ*σ)*T+σ*SQRT(T)*$C2513)</f>
        <v>0.69678033732060896</v>
      </c>
      <c r="E2513" s="52">
        <f t="shared" ca="1" si="118"/>
        <v>0</v>
      </c>
      <c r="F2513" s="17">
        <f t="shared" ca="1" si="119"/>
        <v>0</v>
      </c>
      <c r="H2513" s="17">
        <v>2504</v>
      </c>
      <c r="I2513" s="45">
        <v>0.67165009106832463</v>
      </c>
      <c r="J2513" s="45">
        <v>1.9311205317307019E-2</v>
      </c>
      <c r="K2513" s="45">
        <v>0.2472</v>
      </c>
      <c r="N2513" s="54"/>
    </row>
    <row r="2514" spans="2:14" x14ac:dyDescent="0.2">
      <c r="B2514">
        <v>2505</v>
      </c>
      <c r="C2514" s="52">
        <f ca="1"/>
        <v>-1.6827828179775088</v>
      </c>
      <c r="D2514" s="52">
        <f ca="1">S0*EXP((μ-0.5*σ*σ)*T+σ*SQRT(T)*$C2514)</f>
        <v>0.40434532482922353</v>
      </c>
      <c r="E2514" s="52">
        <f t="shared" ca="1" si="118"/>
        <v>0.13005467517077646</v>
      </c>
      <c r="F2514" s="17">
        <f t="shared" ca="1" si="119"/>
        <v>1</v>
      </c>
      <c r="H2514" s="17">
        <v>2505</v>
      </c>
      <c r="I2514" s="45">
        <v>0.67114464712995048</v>
      </c>
      <c r="J2514" s="45">
        <v>1.8945293852530291E-2</v>
      </c>
      <c r="K2514" s="45">
        <v>0.24379999999999999</v>
      </c>
      <c r="N2514" s="54"/>
    </row>
    <row r="2515" spans="2:14" x14ac:dyDescent="0.2">
      <c r="B2515">
        <v>2506</v>
      </c>
      <c r="C2515" s="52">
        <f ca="1"/>
        <v>-1.160794274768977</v>
      </c>
      <c r="D2515" s="52">
        <f ca="1">S0*EXP((μ-0.5*σ*σ)*T+σ*SQRT(T)*$C2515)</f>
        <v>0.46710958243830741</v>
      </c>
      <c r="E2515" s="52">
        <f t="shared" ca="1" si="118"/>
        <v>6.7290417561692573E-2</v>
      </c>
      <c r="F2515" s="17">
        <f t="shared" ca="1" si="119"/>
        <v>1</v>
      </c>
      <c r="H2515" s="17">
        <v>2506</v>
      </c>
      <c r="I2515" s="45">
        <v>0.67025739203189927</v>
      </c>
      <c r="J2515" s="45">
        <v>1.8483737076401989E-2</v>
      </c>
      <c r="K2515" s="45">
        <v>0.2424</v>
      </c>
      <c r="N2515" s="54"/>
    </row>
    <row r="2516" spans="2:14" x14ac:dyDescent="0.2">
      <c r="B2516">
        <v>2507</v>
      </c>
      <c r="C2516" s="52">
        <f ca="1"/>
        <v>0.42726569352382288</v>
      </c>
      <c r="D2516" s="52">
        <f ca="1">S0*EXP((μ-0.5*σ*σ)*T+σ*SQRT(T)*$C2516)</f>
        <v>0.72455327308003981</v>
      </c>
      <c r="E2516" s="52">
        <f t="shared" ca="1" si="118"/>
        <v>0</v>
      </c>
      <c r="F2516" s="17">
        <f t="shared" ca="1" si="119"/>
        <v>0</v>
      </c>
      <c r="H2516" s="17">
        <v>2507</v>
      </c>
      <c r="I2516" s="45">
        <v>0.67206533773909483</v>
      </c>
      <c r="J2516" s="45">
        <v>1.9832947257893981E-2</v>
      </c>
      <c r="K2516" s="45">
        <v>0.253</v>
      </c>
      <c r="N2516" s="54"/>
    </row>
    <row r="2517" spans="2:14" x14ac:dyDescent="0.2">
      <c r="B2517">
        <v>2508</v>
      </c>
      <c r="C2517" s="52">
        <f ca="1"/>
        <v>0.41925985770278934</v>
      </c>
      <c r="D2517" s="52">
        <f ca="1">S0*EXP((μ-0.5*σ*σ)*T+σ*SQRT(T)*$C2517)</f>
        <v>0.72295155657806176</v>
      </c>
      <c r="E2517" s="52">
        <f t="shared" ca="1" si="118"/>
        <v>0</v>
      </c>
      <c r="F2517" s="17">
        <f t="shared" ca="1" si="119"/>
        <v>0</v>
      </c>
      <c r="H2517" s="17">
        <v>2508</v>
      </c>
      <c r="I2517" s="45">
        <v>0.67123847090426725</v>
      </c>
      <c r="J2517" s="45">
        <v>1.9076400816116272E-2</v>
      </c>
      <c r="K2517" s="45">
        <v>0.24360000000000001</v>
      </c>
      <c r="N2517" s="54"/>
    </row>
    <row r="2518" spans="2:14" x14ac:dyDescent="0.2">
      <c r="B2518">
        <v>2509</v>
      </c>
      <c r="C2518" s="52">
        <f ca="1"/>
        <v>-0.14074943832872136</v>
      </c>
      <c r="D2518" s="52">
        <f ca="1">S0*EXP((μ-0.5*σ*σ)*T+σ*SQRT(T)*$C2518)</f>
        <v>0.61926756910724423</v>
      </c>
      <c r="E2518" s="52">
        <f t="shared" ca="1" si="118"/>
        <v>0</v>
      </c>
      <c r="F2518" s="17">
        <f t="shared" ca="1" si="119"/>
        <v>0</v>
      </c>
      <c r="H2518" s="17">
        <v>2509</v>
      </c>
      <c r="I2518" s="45">
        <v>0.67067805491636034</v>
      </c>
      <c r="J2518" s="45">
        <v>1.8434163066775849E-2</v>
      </c>
      <c r="K2518" s="45">
        <v>0.23760000000000001</v>
      </c>
      <c r="N2518" s="54"/>
    </row>
    <row r="2519" spans="2:14" x14ac:dyDescent="0.2">
      <c r="B2519">
        <v>2510</v>
      </c>
      <c r="C2519" s="52">
        <f ca="1"/>
        <v>-1.7627613795188024</v>
      </c>
      <c r="D2519" s="52">
        <f ca="1">S0*EXP((μ-0.5*σ*σ)*T+σ*SQRT(T)*$C2519)</f>
        <v>0.39550388198045794</v>
      </c>
      <c r="E2519" s="52">
        <f t="shared" ca="1" si="118"/>
        <v>0.13889611801954205</v>
      </c>
      <c r="F2519" s="17">
        <f t="shared" ca="1" si="119"/>
        <v>1</v>
      </c>
      <c r="H2519" s="17">
        <v>2510</v>
      </c>
      <c r="I2519" s="45">
        <v>0.6711244948499796</v>
      </c>
      <c r="J2519" s="45">
        <v>1.9009880176095863E-2</v>
      </c>
      <c r="K2519" s="45">
        <v>0.24479999999999999</v>
      </c>
      <c r="N2519" s="54"/>
    </row>
    <row r="2520" spans="2:14" x14ac:dyDescent="0.2">
      <c r="B2520">
        <v>2511</v>
      </c>
      <c r="C2520" s="52">
        <f ca="1"/>
        <v>-0.51649132270998732</v>
      </c>
      <c r="D2520" s="52">
        <f ca="1">S0*EXP((μ-0.5*σ*σ)*T+σ*SQRT(T)*$C2520)</f>
        <v>0.55817367876384893</v>
      </c>
      <c r="E2520" s="52">
        <f t="shared" ca="1" si="118"/>
        <v>0</v>
      </c>
      <c r="F2520" s="17">
        <f t="shared" ca="1" si="119"/>
        <v>0</v>
      </c>
      <c r="H2520" s="17">
        <v>2511</v>
      </c>
      <c r="I2520" s="45">
        <v>0.67037710550079332</v>
      </c>
      <c r="J2520" s="45">
        <v>1.8641077345111827E-2</v>
      </c>
      <c r="K2520" s="45">
        <v>0.24279999999999999</v>
      </c>
      <c r="N2520" s="54"/>
    </row>
    <row r="2521" spans="2:14" x14ac:dyDescent="0.2">
      <c r="B2521">
        <v>2512</v>
      </c>
      <c r="C2521" s="52">
        <f ca="1"/>
        <v>1.2413178189888649E-2</v>
      </c>
      <c r="D2521" s="52">
        <f ca="1">S0*EXP((μ-0.5*σ*σ)*T+σ*SQRT(T)*$C2521)</f>
        <v>0.64604978445921735</v>
      </c>
      <c r="E2521" s="52">
        <f t="shared" ca="1" si="118"/>
        <v>0</v>
      </c>
      <c r="F2521" s="17">
        <f t="shared" ca="1" si="119"/>
        <v>0</v>
      </c>
      <c r="H2521" s="17">
        <v>2512</v>
      </c>
      <c r="I2521" s="45">
        <v>0.6704358203986035</v>
      </c>
      <c r="J2521" s="45">
        <v>1.8547658075810061E-2</v>
      </c>
      <c r="K2521" s="45">
        <v>0.24479999999999999</v>
      </c>
      <c r="N2521" s="54"/>
    </row>
    <row r="2522" spans="2:14" x14ac:dyDescent="0.2">
      <c r="B2522">
        <v>2513</v>
      </c>
      <c r="C2522" s="52">
        <f ca="1"/>
        <v>-0.90990269385096956</v>
      </c>
      <c r="D2522" s="52">
        <f ca="1">S0*EXP((μ-0.5*σ*σ)*T+σ*SQRT(T)*$C2522)</f>
        <v>0.50065561637085398</v>
      </c>
      <c r="E2522" s="52">
        <f t="shared" ca="1" si="118"/>
        <v>3.3744383629146002E-2</v>
      </c>
      <c r="F2522" s="17">
        <f t="shared" ca="1" si="119"/>
        <v>1</v>
      </c>
      <c r="H2522" s="17">
        <v>2513</v>
      </c>
      <c r="I2522" s="45">
        <v>0.67087932459235711</v>
      </c>
      <c r="J2522" s="45">
        <v>1.8953503282946441E-2</v>
      </c>
      <c r="K2522" s="45">
        <v>0.24199999999999999</v>
      </c>
      <c r="N2522" s="54"/>
    </row>
    <row r="2523" spans="2:14" x14ac:dyDescent="0.2">
      <c r="B2523">
        <v>2514</v>
      </c>
      <c r="C2523" s="52">
        <f ca="1"/>
        <v>-0.63213795862017408</v>
      </c>
      <c r="D2523" s="52">
        <f ca="1">S0*EXP((μ-0.5*σ*σ)*T+σ*SQRT(T)*$C2523)</f>
        <v>0.54061191613925641</v>
      </c>
      <c r="E2523" s="52">
        <f t="shared" ca="1" si="118"/>
        <v>0</v>
      </c>
      <c r="F2523" s="17">
        <f t="shared" ca="1" si="119"/>
        <v>0</v>
      </c>
      <c r="H2523" s="17">
        <v>2514</v>
      </c>
      <c r="I2523" s="45">
        <v>0.67168861698513016</v>
      </c>
      <c r="J2523" s="45">
        <v>1.9346717553463601E-2</v>
      </c>
      <c r="K2523" s="45">
        <v>0.25359999999999999</v>
      </c>
      <c r="N2523" s="54"/>
    </row>
    <row r="2524" spans="2:14" x14ac:dyDescent="0.2">
      <c r="B2524">
        <v>2515</v>
      </c>
      <c r="C2524" s="52">
        <f ca="1"/>
        <v>0.61970418453838083</v>
      </c>
      <c r="D2524" s="52">
        <f ca="1">S0*EXP((μ-0.5*σ*σ)*T+σ*SQRT(T)*$C2524)</f>
        <v>0.76414040277530926</v>
      </c>
      <c r="E2524" s="52">
        <f t="shared" ca="1" si="118"/>
        <v>0</v>
      </c>
      <c r="F2524" s="17">
        <f t="shared" ca="1" si="119"/>
        <v>0</v>
      </c>
      <c r="H2524" s="17">
        <v>2515</v>
      </c>
      <c r="I2524" s="45">
        <v>0.67076193574770748</v>
      </c>
      <c r="J2524" s="45">
        <v>1.8956104790433494E-2</v>
      </c>
      <c r="K2524" s="45">
        <v>0.25159999999999999</v>
      </c>
      <c r="N2524" s="54"/>
    </row>
    <row r="2525" spans="2:14" x14ac:dyDescent="0.2">
      <c r="B2525">
        <v>2516</v>
      </c>
      <c r="C2525" s="52">
        <f ca="1"/>
        <v>4.3040656834454294E-2</v>
      </c>
      <c r="D2525" s="52">
        <f ca="1">S0*EXP((μ-0.5*σ*σ)*T+σ*SQRT(T)*$C2525)</f>
        <v>0.65154274036431947</v>
      </c>
      <c r="E2525" s="52">
        <f t="shared" ca="1" si="118"/>
        <v>0</v>
      </c>
      <c r="F2525" s="17">
        <f t="shared" ca="1" si="119"/>
        <v>0</v>
      </c>
      <c r="H2525" s="17">
        <v>2516</v>
      </c>
      <c r="I2525" s="45">
        <v>0.67085684199036155</v>
      </c>
      <c r="J2525" s="45">
        <v>1.9181688613247046E-2</v>
      </c>
      <c r="K2525" s="45">
        <v>0.24879999999999999</v>
      </c>
      <c r="N2525" s="54"/>
    </row>
    <row r="2526" spans="2:14" x14ac:dyDescent="0.2">
      <c r="B2526">
        <v>2517</v>
      </c>
      <c r="C2526" s="52">
        <f ca="1"/>
        <v>-0.76621828035961892</v>
      </c>
      <c r="D2526" s="52">
        <f ca="1">S0*EXP((μ-0.5*σ*σ)*T+σ*SQRT(T)*$C2526)</f>
        <v>0.52094137725045686</v>
      </c>
      <c r="E2526" s="52">
        <f t="shared" ca="1" si="118"/>
        <v>1.3458622749543125E-2</v>
      </c>
      <c r="F2526" s="17">
        <f t="shared" ca="1" si="119"/>
        <v>1</v>
      </c>
      <c r="H2526" s="17">
        <v>2517</v>
      </c>
      <c r="I2526" s="45">
        <v>0.67104466149316289</v>
      </c>
      <c r="J2526" s="45">
        <v>1.8940993482209491E-2</v>
      </c>
      <c r="K2526" s="45">
        <v>0.24340000000000001</v>
      </c>
      <c r="N2526" s="54"/>
    </row>
    <row r="2527" spans="2:14" x14ac:dyDescent="0.2">
      <c r="B2527">
        <v>2518</v>
      </c>
      <c r="C2527" s="52">
        <f ca="1"/>
        <v>0.89867018057286463</v>
      </c>
      <c r="D2527" s="52">
        <f ca="1">S0*EXP((μ-0.5*σ*σ)*T+σ*SQRT(T)*$C2527)</f>
        <v>0.82539892661424485</v>
      </c>
      <c r="E2527" s="52">
        <f t="shared" ca="1" si="118"/>
        <v>0</v>
      </c>
      <c r="F2527" s="17">
        <f t="shared" ca="1" si="119"/>
        <v>0</v>
      </c>
      <c r="H2527" s="17">
        <v>2518</v>
      </c>
      <c r="I2527" s="45">
        <v>0.67027489701757692</v>
      </c>
      <c r="J2527" s="45">
        <v>1.8491316367693043E-2</v>
      </c>
      <c r="K2527" s="45">
        <v>0.2414</v>
      </c>
      <c r="N2527" s="54"/>
    </row>
    <row r="2528" spans="2:14" x14ac:dyDescent="0.2">
      <c r="B2528">
        <v>2519</v>
      </c>
      <c r="C2528" s="52">
        <f ca="1"/>
        <v>1.0218760713840194</v>
      </c>
      <c r="D2528" s="52">
        <f ca="1">S0*EXP((μ-0.5*σ*σ)*T+σ*SQRT(T)*$C2528)</f>
        <v>0.85399465149981268</v>
      </c>
      <c r="E2528" s="52">
        <f t="shared" ca="1" si="118"/>
        <v>0</v>
      </c>
      <c r="F2528" s="17">
        <f t="shared" ca="1" si="119"/>
        <v>0</v>
      </c>
      <c r="H2528" s="17">
        <v>2519</v>
      </c>
      <c r="I2528" s="45">
        <v>0.67198719608686619</v>
      </c>
      <c r="J2528" s="45">
        <v>1.9749251260338822E-2</v>
      </c>
      <c r="K2528" s="45">
        <v>0.25319999999999998</v>
      </c>
      <c r="N2528" s="54"/>
    </row>
    <row r="2529" spans="2:14" x14ac:dyDescent="0.2">
      <c r="B2529">
        <v>2520</v>
      </c>
      <c r="C2529" s="52">
        <f ca="1"/>
        <v>-0.21976498191283095</v>
      </c>
      <c r="D2529" s="52">
        <f ca="1">S0*EXP((μ-0.5*σ*σ)*T+σ*SQRT(T)*$C2529)</f>
        <v>0.60588789322531666</v>
      </c>
      <c r="E2529" s="52">
        <f t="shared" ca="1" si="118"/>
        <v>0</v>
      </c>
      <c r="F2529" s="17">
        <f t="shared" ca="1" si="119"/>
        <v>0</v>
      </c>
      <c r="H2529" s="17">
        <v>2520</v>
      </c>
      <c r="I2529" s="45">
        <v>0.67080626332467597</v>
      </c>
      <c r="J2529" s="45">
        <v>1.9076056725729269E-2</v>
      </c>
      <c r="K2529" s="45">
        <v>0.25040000000000001</v>
      </c>
      <c r="N2529" s="54"/>
    </row>
    <row r="2530" spans="2:14" x14ac:dyDescent="0.2">
      <c r="B2530">
        <v>2521</v>
      </c>
      <c r="C2530" s="52">
        <f ca="1"/>
        <v>-1.1963763862017844</v>
      </c>
      <c r="D2530" s="52">
        <f ca="1">S0*EXP((μ-0.5*σ*σ)*T+σ*SQRT(T)*$C2530)</f>
        <v>0.46253759011000189</v>
      </c>
      <c r="E2530" s="52">
        <f t="shared" ca="1" si="118"/>
        <v>7.1862409889998091E-2</v>
      </c>
      <c r="F2530" s="17">
        <f t="shared" ca="1" si="119"/>
        <v>1</v>
      </c>
      <c r="H2530" s="17">
        <v>2521</v>
      </c>
      <c r="I2530" s="45">
        <v>0.67234193764444139</v>
      </c>
      <c r="J2530" s="45">
        <v>2.003828395922461E-2</v>
      </c>
      <c r="K2530" s="45">
        <v>0.24660000000000001</v>
      </c>
      <c r="N2530" s="54"/>
    </row>
    <row r="2531" spans="2:14" x14ac:dyDescent="0.2">
      <c r="B2531">
        <v>2522</v>
      </c>
      <c r="C2531" s="52">
        <f ca="1"/>
        <v>0.13464224037881414</v>
      </c>
      <c r="D2531" s="52">
        <f ca="1">S0*EXP((μ-0.5*σ*σ)*T+σ*SQRT(T)*$C2531)</f>
        <v>0.66825153586971198</v>
      </c>
      <c r="E2531" s="52">
        <f t="shared" ca="1" si="118"/>
        <v>0</v>
      </c>
      <c r="F2531" s="17">
        <f t="shared" ca="1" si="119"/>
        <v>0</v>
      </c>
      <c r="H2531" s="17">
        <v>2522</v>
      </c>
      <c r="I2531" s="45">
        <v>0.67112372300234557</v>
      </c>
      <c r="J2531" s="45">
        <v>1.913051459672193E-2</v>
      </c>
      <c r="K2531" s="45">
        <v>0.25359999999999999</v>
      </c>
      <c r="N2531" s="54"/>
    </row>
    <row r="2532" spans="2:14" x14ac:dyDescent="0.2">
      <c r="B2532">
        <v>2523</v>
      </c>
      <c r="C2532" s="52">
        <f ca="1"/>
        <v>0.570010062160205</v>
      </c>
      <c r="D2532" s="52">
        <f ca="1">S0*EXP((μ-0.5*σ*σ)*T+σ*SQRT(T)*$C2532)</f>
        <v>0.75371512206328406</v>
      </c>
      <c r="E2532" s="52">
        <f t="shared" ca="1" si="118"/>
        <v>0</v>
      </c>
      <c r="F2532" s="17">
        <f t="shared" ca="1" si="119"/>
        <v>0</v>
      </c>
      <c r="H2532" s="17">
        <v>2523</v>
      </c>
      <c r="I2532" s="45">
        <v>0.67217985745356157</v>
      </c>
      <c r="J2532" s="45">
        <v>1.9823973970711971E-2</v>
      </c>
      <c r="K2532" s="45">
        <v>0.2492</v>
      </c>
      <c r="N2532" s="54"/>
    </row>
    <row r="2533" spans="2:14" x14ac:dyDescent="0.2">
      <c r="B2533">
        <v>2524</v>
      </c>
      <c r="C2533" s="52">
        <f ca="1"/>
        <v>-1.6227096401044845</v>
      </c>
      <c r="D2533" s="52">
        <f ca="1">S0*EXP((μ-0.5*σ*σ)*T+σ*SQRT(T)*$C2533)</f>
        <v>0.4111160179629173</v>
      </c>
      <c r="E2533" s="52">
        <f t="shared" ca="1" si="118"/>
        <v>0.12328398203708268</v>
      </c>
      <c r="F2533" s="17">
        <f t="shared" ca="1" si="119"/>
        <v>1</v>
      </c>
      <c r="H2533" s="17">
        <v>2524</v>
      </c>
      <c r="I2533" s="45">
        <v>0.67128855519529962</v>
      </c>
      <c r="J2533" s="45">
        <v>1.9291701446757736E-2</v>
      </c>
      <c r="K2533" s="45">
        <v>0.253</v>
      </c>
      <c r="N2533" s="54"/>
    </row>
    <row r="2534" spans="2:14" x14ac:dyDescent="0.2">
      <c r="B2534">
        <v>2525</v>
      </c>
      <c r="C2534" s="52">
        <f ca="1"/>
        <v>-0.15055913926407405</v>
      </c>
      <c r="D2534" s="52">
        <f ca="1">S0*EXP((μ-0.5*σ*σ)*T+σ*SQRT(T)*$C2534)</f>
        <v>0.61759056349321728</v>
      </c>
      <c r="E2534" s="52">
        <f t="shared" ca="1" si="118"/>
        <v>0</v>
      </c>
      <c r="F2534" s="17">
        <f t="shared" ca="1" si="119"/>
        <v>0</v>
      </c>
      <c r="H2534" s="17">
        <v>2525</v>
      </c>
      <c r="I2534" s="45">
        <v>0.67165854706985761</v>
      </c>
      <c r="J2534" s="45">
        <v>1.9504728137576043E-2</v>
      </c>
      <c r="K2534" s="45">
        <v>0.24399999999999999</v>
      </c>
      <c r="N2534" s="54"/>
    </row>
    <row r="2535" spans="2:14" x14ac:dyDescent="0.2">
      <c r="B2535">
        <v>2526</v>
      </c>
      <c r="C2535" s="52">
        <f ca="1"/>
        <v>-0.50627238213434278</v>
      </c>
      <c r="D2535" s="52">
        <f ca="1">S0*EXP((μ-0.5*σ*σ)*T+σ*SQRT(T)*$C2535)</f>
        <v>0.55975266338752849</v>
      </c>
      <c r="E2535" s="52">
        <f t="shared" ca="1" si="118"/>
        <v>0</v>
      </c>
      <c r="F2535" s="17">
        <f t="shared" ca="1" si="119"/>
        <v>0</v>
      </c>
      <c r="H2535" s="17">
        <v>2526</v>
      </c>
      <c r="I2535" s="45">
        <v>0.67229273162407877</v>
      </c>
      <c r="J2535" s="45">
        <v>2.0243874863782391E-2</v>
      </c>
      <c r="K2535" s="45">
        <v>0.25940000000000002</v>
      </c>
      <c r="N2535" s="54"/>
    </row>
    <row r="2536" spans="2:14" x14ac:dyDescent="0.2">
      <c r="B2536">
        <v>2527</v>
      </c>
      <c r="C2536" s="52">
        <f ca="1"/>
        <v>-3.1063211569231464E-2</v>
      </c>
      <c r="D2536" s="52">
        <f ca="1">S0*EXP((μ-0.5*σ*σ)*T+σ*SQRT(T)*$C2536)</f>
        <v>0.63833184341113192</v>
      </c>
      <c r="E2536" s="52">
        <f t="shared" ca="1" si="118"/>
        <v>0</v>
      </c>
      <c r="F2536" s="17">
        <f t="shared" ca="1" si="119"/>
        <v>0</v>
      </c>
      <c r="H2536" s="17">
        <v>2527</v>
      </c>
      <c r="I2536" s="45">
        <v>0.67171882859454513</v>
      </c>
      <c r="J2536" s="45">
        <v>1.9549010856698829E-2</v>
      </c>
      <c r="K2536" s="45">
        <v>0.25459999999999999</v>
      </c>
      <c r="N2536" s="54"/>
    </row>
    <row r="2537" spans="2:14" x14ac:dyDescent="0.2">
      <c r="B2537">
        <v>2528</v>
      </c>
      <c r="C2537" s="52">
        <f ca="1"/>
        <v>2.4706139864544577E-2</v>
      </c>
      <c r="D2537" s="52">
        <f ca="1">S0*EXP((μ-0.5*σ*σ)*T+σ*SQRT(T)*$C2537)</f>
        <v>0.64824890861287887</v>
      </c>
      <c r="E2537" s="52">
        <f t="shared" ca="1" si="118"/>
        <v>0</v>
      </c>
      <c r="F2537" s="17">
        <f t="shared" ca="1" si="119"/>
        <v>0</v>
      </c>
      <c r="H2537" s="17">
        <v>2528</v>
      </c>
      <c r="I2537" s="45">
        <v>0.67074351500524376</v>
      </c>
      <c r="J2537" s="45">
        <v>1.8838109321932896E-2</v>
      </c>
      <c r="K2537" s="45">
        <v>0.24</v>
      </c>
      <c r="N2537" s="54"/>
    </row>
    <row r="2538" spans="2:14" x14ac:dyDescent="0.2">
      <c r="B2538">
        <v>2529</v>
      </c>
      <c r="C2538" s="52">
        <f ca="1"/>
        <v>-0.11994382187330875</v>
      </c>
      <c r="D2538" s="52">
        <f ca="1">S0*EXP((μ-0.5*σ*σ)*T+σ*SQRT(T)*$C2538)</f>
        <v>0.6228394546573176</v>
      </c>
      <c r="E2538" s="52">
        <f t="shared" ca="1" si="118"/>
        <v>0</v>
      </c>
      <c r="F2538" s="17">
        <f t="shared" ca="1" si="119"/>
        <v>0</v>
      </c>
      <c r="H2538" s="17">
        <v>2529</v>
      </c>
      <c r="I2538" s="45">
        <v>0.67177808156658458</v>
      </c>
      <c r="J2538" s="45">
        <v>1.9880899512778258E-2</v>
      </c>
      <c r="K2538" s="45">
        <v>0.25159999999999999</v>
      </c>
      <c r="N2538" s="54"/>
    </row>
    <row r="2539" spans="2:14" x14ac:dyDescent="0.2">
      <c r="B2539">
        <v>2530</v>
      </c>
      <c r="C2539" s="52">
        <f ca="1"/>
        <v>-0.78117774214356628</v>
      </c>
      <c r="D2539" s="52">
        <f ca="1">S0*EXP((μ-0.5*σ*σ)*T+σ*SQRT(T)*$C2539)</f>
        <v>0.5187915860107315</v>
      </c>
      <c r="E2539" s="52">
        <f t="shared" ca="1" si="118"/>
        <v>1.5608413989268488E-2</v>
      </c>
      <c r="F2539" s="17">
        <f t="shared" ca="1" si="119"/>
        <v>1</v>
      </c>
      <c r="H2539" s="17">
        <v>2530</v>
      </c>
      <c r="I2539" s="45">
        <v>0.6701200756585084</v>
      </c>
      <c r="J2539" s="45">
        <v>1.8262307678412203E-2</v>
      </c>
      <c r="K2539" s="45">
        <v>0.23699999999999999</v>
      </c>
      <c r="N2539" s="54"/>
    </row>
    <row r="2540" spans="2:14" x14ac:dyDescent="0.2">
      <c r="B2540">
        <v>2531</v>
      </c>
      <c r="C2540" s="52">
        <f ca="1"/>
        <v>2.3920080333887954</v>
      </c>
      <c r="D2540" s="52">
        <f ca="1">S0*EXP((μ-0.5*σ*σ)*T+σ*SQRT(T)*$C2540)</f>
        <v>1.2472219940008542</v>
      </c>
      <c r="E2540" s="52">
        <f t="shared" ca="1" si="118"/>
        <v>0</v>
      </c>
      <c r="F2540" s="17">
        <f t="shared" ca="1" si="119"/>
        <v>0</v>
      </c>
      <c r="H2540" s="17">
        <v>2531</v>
      </c>
      <c r="I2540" s="45">
        <v>0.67129619156181153</v>
      </c>
      <c r="J2540" s="45">
        <v>1.9153098582807643E-2</v>
      </c>
      <c r="K2540" s="45">
        <v>0.25219999999999998</v>
      </c>
      <c r="N2540" s="54"/>
    </row>
    <row r="2541" spans="2:14" x14ac:dyDescent="0.2">
      <c r="B2541">
        <v>2532</v>
      </c>
      <c r="C2541" s="52">
        <f ca="1"/>
        <v>-0.4580535831352221</v>
      </c>
      <c r="D2541" s="52">
        <f ca="1">S0*EXP((μ-0.5*σ*σ)*T+σ*SQRT(T)*$C2541)</f>
        <v>0.56726369004182331</v>
      </c>
      <c r="E2541" s="52">
        <f t="shared" ca="1" si="118"/>
        <v>0</v>
      </c>
      <c r="F2541" s="17">
        <f t="shared" ca="1" si="119"/>
        <v>0</v>
      </c>
      <c r="H2541" s="17">
        <v>2532</v>
      </c>
      <c r="I2541" s="45">
        <v>0.67033898939201608</v>
      </c>
      <c r="J2541" s="45">
        <v>1.8640753879405968E-2</v>
      </c>
      <c r="K2541" s="45">
        <v>0.24879999999999999</v>
      </c>
      <c r="N2541" s="54"/>
    </row>
    <row r="2542" spans="2:14" x14ac:dyDescent="0.2">
      <c r="B2542">
        <v>2533</v>
      </c>
      <c r="C2542" s="52">
        <f ca="1"/>
        <v>1.2178241964546761</v>
      </c>
      <c r="D2542" s="52">
        <f ca="1">S0*EXP((μ-0.5*σ*σ)*T+σ*SQRT(T)*$C2542)</f>
        <v>0.90152823621213385</v>
      </c>
      <c r="E2542" s="52">
        <f t="shared" ca="1" si="118"/>
        <v>0</v>
      </c>
      <c r="F2542" s="17">
        <f t="shared" ca="1" si="119"/>
        <v>0</v>
      </c>
      <c r="H2542" s="17">
        <v>2533</v>
      </c>
      <c r="I2542" s="45">
        <v>0.67010513423950924</v>
      </c>
      <c r="J2542" s="45">
        <v>1.8460952783952218E-2</v>
      </c>
      <c r="K2542" s="45">
        <v>0.23599999999999999</v>
      </c>
      <c r="N2542" s="54"/>
    </row>
    <row r="2543" spans="2:14" x14ac:dyDescent="0.2">
      <c r="B2543">
        <v>2534</v>
      </c>
      <c r="C2543" s="52">
        <f ca="1"/>
        <v>-0.31100143275351033</v>
      </c>
      <c r="D2543" s="52">
        <f ca="1">S0*EXP((μ-0.5*σ*σ)*T+σ*SQRT(T)*$C2543)</f>
        <v>0.5907980516850867</v>
      </c>
      <c r="E2543" s="52">
        <f t="shared" ca="1" si="118"/>
        <v>0</v>
      </c>
      <c r="F2543" s="17">
        <f t="shared" ca="1" si="119"/>
        <v>0</v>
      </c>
      <c r="H2543" s="17">
        <v>2534</v>
      </c>
      <c r="I2543" s="45">
        <v>0.67148957837319523</v>
      </c>
      <c r="J2543" s="45">
        <v>1.9380109844245291E-2</v>
      </c>
      <c r="K2543" s="45">
        <v>0.2414</v>
      </c>
      <c r="N2543" s="54"/>
    </row>
    <row r="2544" spans="2:14" x14ac:dyDescent="0.2">
      <c r="B2544">
        <v>2535</v>
      </c>
      <c r="C2544" s="52">
        <f ca="1"/>
        <v>-0.76183662585660394</v>
      </c>
      <c r="D2544" s="52">
        <f ca="1">S0*EXP((μ-0.5*σ*σ)*T+σ*SQRT(T)*$C2544)</f>
        <v>0.52157274028077294</v>
      </c>
      <c r="E2544" s="52">
        <f t="shared" ca="1" si="118"/>
        <v>1.2827259719227047E-2</v>
      </c>
      <c r="F2544" s="17">
        <f t="shared" ca="1" si="119"/>
        <v>1</v>
      </c>
      <c r="H2544" s="17">
        <v>2535</v>
      </c>
      <c r="I2544" s="45">
        <v>0.67076612565111782</v>
      </c>
      <c r="J2544" s="45">
        <v>1.8727943429041851E-2</v>
      </c>
      <c r="K2544" s="45">
        <v>0.2492</v>
      </c>
      <c r="N2544" s="54"/>
    </row>
    <row r="2545" spans="2:14" x14ac:dyDescent="0.2">
      <c r="B2545">
        <v>2536</v>
      </c>
      <c r="C2545" s="52">
        <f ca="1"/>
        <v>-0.92269729656898891</v>
      </c>
      <c r="D2545" s="52">
        <f ca="1">S0*EXP((μ-0.5*σ*σ)*T+σ*SQRT(T)*$C2545)</f>
        <v>0.49888800319561627</v>
      </c>
      <c r="E2545" s="52">
        <f t="shared" ca="1" si="118"/>
        <v>3.5511996804383716E-2</v>
      </c>
      <c r="F2545" s="17">
        <f t="shared" ca="1" si="119"/>
        <v>1</v>
      </c>
      <c r="H2545" s="17">
        <v>2536</v>
      </c>
      <c r="I2545" s="45">
        <v>0.67105766990405391</v>
      </c>
      <c r="J2545" s="45">
        <v>1.8894422538730395E-2</v>
      </c>
      <c r="K2545" s="45">
        <v>0.24440000000000001</v>
      </c>
      <c r="N2545" s="54"/>
    </row>
    <row r="2546" spans="2:14" x14ac:dyDescent="0.2">
      <c r="B2546">
        <v>2537</v>
      </c>
      <c r="C2546" s="52">
        <f ca="1"/>
        <v>0.112955849389485</v>
      </c>
      <c r="D2546" s="52">
        <f ca="1">S0*EXP((μ-0.5*σ*σ)*T+σ*SQRT(T)*$C2546)</f>
        <v>0.66425746964173449</v>
      </c>
      <c r="E2546" s="52">
        <f t="shared" ca="1" si="118"/>
        <v>0</v>
      </c>
      <c r="F2546" s="17">
        <f t="shared" ca="1" si="119"/>
        <v>0</v>
      </c>
      <c r="H2546" s="17">
        <v>2537</v>
      </c>
      <c r="I2546" s="45">
        <v>0.67034239638438708</v>
      </c>
      <c r="J2546" s="45">
        <v>1.856910229083503E-2</v>
      </c>
      <c r="K2546" s="45">
        <v>0.2442</v>
      </c>
      <c r="N2546" s="54"/>
    </row>
    <row r="2547" spans="2:14" x14ac:dyDescent="0.2">
      <c r="B2547">
        <v>2538</v>
      </c>
      <c r="C2547" s="52">
        <f ca="1"/>
        <v>0.77995323750844681</v>
      </c>
      <c r="D2547" s="52">
        <f ca="1">S0*EXP((μ-0.5*σ*σ)*T+σ*SQRT(T)*$C2547)</f>
        <v>0.79875126863603874</v>
      </c>
      <c r="E2547" s="52">
        <f t="shared" ca="1" si="118"/>
        <v>0</v>
      </c>
      <c r="F2547" s="17">
        <f t="shared" ca="1" si="119"/>
        <v>0</v>
      </c>
      <c r="H2547" s="17">
        <v>2538</v>
      </c>
      <c r="I2547" s="45">
        <v>0.67011328497837275</v>
      </c>
      <c r="J2547" s="45">
        <v>1.8540283320239929E-2</v>
      </c>
      <c r="K2547" s="45">
        <v>0.2482</v>
      </c>
      <c r="N2547" s="54"/>
    </row>
    <row r="2548" spans="2:14" x14ac:dyDescent="0.2">
      <c r="B2548">
        <v>2539</v>
      </c>
      <c r="C2548" s="52">
        <f ca="1"/>
        <v>0.16199226931454061</v>
      </c>
      <c r="D2548" s="52">
        <f ca="1">S0*EXP((μ-0.5*σ*σ)*T+σ*SQRT(T)*$C2548)</f>
        <v>0.67332295658215158</v>
      </c>
      <c r="E2548" s="52">
        <f t="shared" ca="1" si="118"/>
        <v>0</v>
      </c>
      <c r="F2548" s="17">
        <f t="shared" ca="1" si="119"/>
        <v>0</v>
      </c>
      <c r="H2548" s="17">
        <v>2539</v>
      </c>
      <c r="I2548" s="45">
        <v>0.67105396586244348</v>
      </c>
      <c r="J2548" s="45">
        <v>1.9141081151849749E-2</v>
      </c>
      <c r="K2548" s="45">
        <v>0.24779999999999999</v>
      </c>
      <c r="N2548" s="54"/>
    </row>
    <row r="2549" spans="2:14" x14ac:dyDescent="0.2">
      <c r="B2549">
        <v>2540</v>
      </c>
      <c r="C2549" s="52">
        <f ca="1"/>
        <v>-0.49269096140445223</v>
      </c>
      <c r="D2549" s="52">
        <f ca="1">S0*EXP((μ-0.5*σ*σ)*T+σ*SQRT(T)*$C2549)</f>
        <v>0.56185811853803314</v>
      </c>
      <c r="E2549" s="52">
        <f t="shared" ca="1" si="118"/>
        <v>0</v>
      </c>
      <c r="F2549" s="17">
        <f t="shared" ca="1" si="119"/>
        <v>0</v>
      </c>
      <c r="H2549" s="17">
        <v>2540</v>
      </c>
      <c r="I2549" s="45">
        <v>0.6708802466781657</v>
      </c>
      <c r="J2549" s="45">
        <v>1.8966409845408733E-2</v>
      </c>
      <c r="K2549" s="45">
        <v>0.25280000000000002</v>
      </c>
      <c r="N2549" s="54"/>
    </row>
    <row r="2550" spans="2:14" x14ac:dyDescent="0.2">
      <c r="B2550">
        <v>2541</v>
      </c>
      <c r="C2550" s="52">
        <f ca="1"/>
        <v>-0.36857444885902824</v>
      </c>
      <c r="D2550" s="52">
        <f ca="1">S0*EXP((μ-0.5*σ*σ)*T+σ*SQRT(T)*$C2550)</f>
        <v>0.58146989501982294</v>
      </c>
      <c r="E2550" s="52">
        <f t="shared" ca="1" si="118"/>
        <v>0</v>
      </c>
      <c r="F2550" s="17">
        <f t="shared" ca="1" si="119"/>
        <v>0</v>
      </c>
      <c r="H2550" s="17">
        <v>2541</v>
      </c>
      <c r="I2550" s="45">
        <v>0.67120963877139783</v>
      </c>
      <c r="J2550" s="45">
        <v>1.9170274134282107E-2</v>
      </c>
      <c r="K2550" s="45">
        <v>0.23899999999999999</v>
      </c>
      <c r="N2550" s="54"/>
    </row>
    <row r="2551" spans="2:14" x14ac:dyDescent="0.2">
      <c r="B2551">
        <v>2542</v>
      </c>
      <c r="C2551" s="52">
        <f ca="1"/>
        <v>1.5377136720454823</v>
      </c>
      <c r="D2551" s="52">
        <f ca="1">S0*EXP((μ-0.5*σ*σ)*T+σ*SQRT(T)*$C2551)</f>
        <v>0.98487941774005661</v>
      </c>
      <c r="E2551" s="52">
        <f t="shared" ca="1" si="118"/>
        <v>0</v>
      </c>
      <c r="F2551" s="17">
        <f t="shared" ca="1" si="119"/>
        <v>0</v>
      </c>
      <c r="H2551" s="17">
        <v>2542</v>
      </c>
      <c r="I2551" s="45">
        <v>0.67093701937732386</v>
      </c>
      <c r="J2551" s="45">
        <v>1.9288527440126588E-2</v>
      </c>
      <c r="K2551" s="45">
        <v>0.24959999999999999</v>
      </c>
      <c r="N2551" s="54"/>
    </row>
    <row r="2552" spans="2:14" x14ac:dyDescent="0.2">
      <c r="B2552">
        <v>2543</v>
      </c>
      <c r="C2552" s="52">
        <f ca="1"/>
        <v>1.2236049913426099</v>
      </c>
      <c r="D2552" s="52">
        <f ca="1">S0*EXP((μ-0.5*σ*σ)*T+σ*SQRT(T)*$C2552)</f>
        <v>0.90297002971124574</v>
      </c>
      <c r="E2552" s="52">
        <f t="shared" ca="1" si="118"/>
        <v>0</v>
      </c>
      <c r="F2552" s="17">
        <f t="shared" ca="1" si="119"/>
        <v>0</v>
      </c>
      <c r="H2552" s="17">
        <v>2543</v>
      </c>
      <c r="I2552" s="45">
        <v>0.66982822905157868</v>
      </c>
      <c r="J2552" s="45">
        <v>1.8267594667736049E-2</v>
      </c>
      <c r="K2552" s="45">
        <v>0.23899999999999999</v>
      </c>
      <c r="N2552" s="54"/>
    </row>
    <row r="2553" spans="2:14" x14ac:dyDescent="0.2">
      <c r="B2553">
        <v>2544</v>
      </c>
      <c r="C2553" s="52">
        <f ca="1"/>
        <v>-0.83707906139945398</v>
      </c>
      <c r="D2553" s="52">
        <f ca="1">S0*EXP((μ-0.5*σ*σ)*T+σ*SQRT(T)*$C2553)</f>
        <v>0.51083635381358183</v>
      </c>
      <c r="E2553" s="52">
        <f t="shared" ca="1" si="118"/>
        <v>2.3563646186418152E-2</v>
      </c>
      <c r="F2553" s="17">
        <f t="shared" ca="1" si="119"/>
        <v>1</v>
      </c>
      <c r="H2553" s="17">
        <v>2544</v>
      </c>
      <c r="I2553" s="45">
        <v>0.67074362370143459</v>
      </c>
      <c r="J2553" s="45">
        <v>1.8959502929527226E-2</v>
      </c>
      <c r="K2553" s="45">
        <v>0.24679999999999999</v>
      </c>
      <c r="N2553" s="54"/>
    </row>
    <row r="2554" spans="2:14" x14ac:dyDescent="0.2">
      <c r="B2554">
        <v>2545</v>
      </c>
      <c r="C2554" s="52">
        <f ca="1"/>
        <v>-0.18954893882485674</v>
      </c>
      <c r="D2554" s="52">
        <f ca="1">S0*EXP((μ-0.5*σ*σ)*T+σ*SQRT(T)*$C2554)</f>
        <v>0.61096988567040122</v>
      </c>
      <c r="E2554" s="52">
        <f t="shared" ca="1" si="118"/>
        <v>0</v>
      </c>
      <c r="F2554" s="17">
        <f t="shared" ca="1" si="119"/>
        <v>0</v>
      </c>
      <c r="H2554" s="17">
        <v>2545</v>
      </c>
      <c r="I2554" s="45">
        <v>0.67040064427543888</v>
      </c>
      <c r="J2554" s="45">
        <v>1.839499155780383E-2</v>
      </c>
      <c r="K2554" s="45">
        <v>0.24360000000000001</v>
      </c>
      <c r="N2554" s="54"/>
    </row>
    <row r="2555" spans="2:14" x14ac:dyDescent="0.2">
      <c r="B2555">
        <v>2546</v>
      </c>
      <c r="C2555" s="52">
        <f ca="1"/>
        <v>1.0708350264882578</v>
      </c>
      <c r="D2555" s="52">
        <f ca="1">S0*EXP((μ-0.5*σ*σ)*T+σ*SQRT(T)*$C2555)</f>
        <v>0.86563104944657943</v>
      </c>
      <c r="E2555" s="52">
        <f t="shared" ca="1" si="118"/>
        <v>0</v>
      </c>
      <c r="F2555" s="17">
        <f t="shared" ca="1" si="119"/>
        <v>0</v>
      </c>
      <c r="H2555" s="17">
        <v>2546</v>
      </c>
      <c r="I2555" s="45">
        <v>0.67087248628974028</v>
      </c>
      <c r="J2555" s="45">
        <v>1.9113020868126381E-2</v>
      </c>
      <c r="K2555" s="45">
        <v>0.24399999999999999</v>
      </c>
      <c r="N2555" s="54"/>
    </row>
    <row r="2556" spans="2:14" x14ac:dyDescent="0.2">
      <c r="B2556">
        <v>2547</v>
      </c>
      <c r="C2556" s="52">
        <f ca="1"/>
        <v>-0.66974372848935959</v>
      </c>
      <c r="D2556" s="52">
        <f ca="1">S0*EXP((μ-0.5*σ*σ)*T+σ*SQRT(T)*$C2556)</f>
        <v>0.53502111775916772</v>
      </c>
      <c r="E2556" s="52">
        <f t="shared" ca="1" si="118"/>
        <v>0</v>
      </c>
      <c r="F2556" s="17">
        <f t="shared" ca="1" si="119"/>
        <v>0</v>
      </c>
      <c r="H2556" s="17">
        <v>2547</v>
      </c>
      <c r="I2556" s="45">
        <v>0.67139349600556297</v>
      </c>
      <c r="J2556" s="45">
        <v>1.9456689304590043E-2</v>
      </c>
      <c r="K2556" s="45">
        <v>0.25219999999999998</v>
      </c>
      <c r="N2556" s="54"/>
    </row>
    <row r="2557" spans="2:14" x14ac:dyDescent="0.2">
      <c r="B2557">
        <v>2548</v>
      </c>
      <c r="C2557" s="52">
        <f ca="1"/>
        <v>0.60246990670979783</v>
      </c>
      <c r="D2557" s="52">
        <f ca="1">S0*EXP((μ-0.5*σ*σ)*T+σ*SQRT(T)*$C2557)</f>
        <v>0.76050860823879751</v>
      </c>
      <c r="E2557" s="52">
        <f t="shared" ca="1" si="118"/>
        <v>0</v>
      </c>
      <c r="F2557" s="17">
        <f t="shared" ca="1" si="119"/>
        <v>0</v>
      </c>
      <c r="H2557" s="17">
        <v>2548</v>
      </c>
      <c r="I2557" s="45">
        <v>0.67226218072324206</v>
      </c>
      <c r="J2557" s="45">
        <v>1.9895406096181841E-2</v>
      </c>
      <c r="K2557" s="45">
        <v>0.25219999999999998</v>
      </c>
      <c r="N2557" s="54"/>
    </row>
    <row r="2558" spans="2:14" x14ac:dyDescent="0.2">
      <c r="B2558">
        <v>2549</v>
      </c>
      <c r="C2558" s="52">
        <f ca="1"/>
        <v>1.1182109793903028</v>
      </c>
      <c r="D2558" s="52">
        <f ca="1">S0*EXP((μ-0.5*σ*σ)*T+σ*SQRT(T)*$C2558)</f>
        <v>0.87704213141322285</v>
      </c>
      <c r="E2558" s="52">
        <f t="shared" ca="1" si="118"/>
        <v>0</v>
      </c>
      <c r="F2558" s="17">
        <f t="shared" ca="1" si="119"/>
        <v>0</v>
      </c>
      <c r="H2558" s="17">
        <v>2549</v>
      </c>
      <c r="I2558" s="45">
        <v>0.67093619564039952</v>
      </c>
      <c r="J2558" s="45">
        <v>1.8721301623752771E-2</v>
      </c>
      <c r="K2558" s="45">
        <v>0.24399999999999999</v>
      </c>
      <c r="N2558" s="54"/>
    </row>
    <row r="2559" spans="2:14" x14ac:dyDescent="0.2">
      <c r="B2559">
        <v>2550</v>
      </c>
      <c r="C2559" s="52">
        <f ca="1"/>
        <v>-1.4256291729567523</v>
      </c>
      <c r="D2559" s="52">
        <f ca="1">S0*EXP((μ-0.5*σ*σ)*T+σ*SQRT(T)*$C2559)</f>
        <v>0.43413472214005822</v>
      </c>
      <c r="E2559" s="52">
        <f t="shared" ca="1" si="118"/>
        <v>0.10026527785994177</v>
      </c>
      <c r="F2559" s="17">
        <f t="shared" ca="1" si="119"/>
        <v>1</v>
      </c>
      <c r="H2559" s="17">
        <v>2550</v>
      </c>
      <c r="I2559" s="45">
        <v>0.67012989082720464</v>
      </c>
      <c r="J2559" s="45">
        <v>1.8297558333005601E-2</v>
      </c>
      <c r="K2559" s="45">
        <v>0.2392</v>
      </c>
      <c r="N2559" s="54"/>
    </row>
    <row r="2560" spans="2:14" x14ac:dyDescent="0.2">
      <c r="B2560">
        <v>2551</v>
      </c>
      <c r="C2560" s="52">
        <f ca="1"/>
        <v>2.2520665569254028</v>
      </c>
      <c r="D2560" s="52">
        <f ca="1">S0*EXP((μ-0.5*σ*σ)*T+σ*SQRT(T)*$C2560)</f>
        <v>1.1998952955709699</v>
      </c>
      <c r="E2560" s="52">
        <f t="shared" ca="1" si="118"/>
        <v>0</v>
      </c>
      <c r="F2560" s="17">
        <f t="shared" ca="1" si="119"/>
        <v>0</v>
      </c>
      <c r="H2560" s="17">
        <v>2551</v>
      </c>
      <c r="I2560" s="45">
        <v>0.67088008320283943</v>
      </c>
      <c r="J2560" s="45">
        <v>1.9045242094392102E-2</v>
      </c>
      <c r="K2560" s="45">
        <v>0.24260000000000001</v>
      </c>
      <c r="N2560" s="54"/>
    </row>
    <row r="2561" spans="2:14" x14ac:dyDescent="0.2">
      <c r="B2561">
        <v>2552</v>
      </c>
      <c r="C2561" s="52">
        <f ca="1"/>
        <v>8.6691573023222071E-2</v>
      </c>
      <c r="D2561" s="52">
        <f ca="1">S0*EXP((μ-0.5*σ*σ)*T+σ*SQRT(T)*$C2561)</f>
        <v>0.65945222605189924</v>
      </c>
      <c r="E2561" s="52">
        <f t="shared" ca="1" si="118"/>
        <v>0</v>
      </c>
      <c r="F2561" s="17">
        <f t="shared" ca="1" si="119"/>
        <v>0</v>
      </c>
      <c r="H2561" s="17">
        <v>2552</v>
      </c>
      <c r="I2561" s="45">
        <v>0.6713340163924294</v>
      </c>
      <c r="J2561" s="45">
        <v>1.9630515718296843E-2</v>
      </c>
      <c r="K2561" s="45">
        <v>0.25380000000000003</v>
      </c>
      <c r="N2561" s="54"/>
    </row>
    <row r="2562" spans="2:14" x14ac:dyDescent="0.2">
      <c r="B2562">
        <v>2553</v>
      </c>
      <c r="C2562" s="52">
        <f ca="1"/>
        <v>-0.9314850136615358</v>
      </c>
      <c r="D2562" s="52">
        <f ca="1">S0*EXP((μ-0.5*σ*σ)*T+σ*SQRT(T)*$C2562)</f>
        <v>0.49767756990444867</v>
      </c>
      <c r="E2562" s="52">
        <f t="shared" ca="1" si="118"/>
        <v>3.6722430095551317E-2</v>
      </c>
      <c r="F2562" s="17">
        <f t="shared" ca="1" si="119"/>
        <v>1</v>
      </c>
      <c r="H2562" s="17">
        <v>2553</v>
      </c>
      <c r="I2562" s="45">
        <v>0.67010771017638959</v>
      </c>
      <c r="J2562" s="45">
        <v>1.8185963819304554E-2</v>
      </c>
      <c r="K2562" s="45">
        <v>0.24379999999999999</v>
      </c>
      <c r="N2562" s="54"/>
    </row>
    <row r="2563" spans="2:14" x14ac:dyDescent="0.2">
      <c r="B2563">
        <v>2554</v>
      </c>
      <c r="C2563" s="52">
        <f ca="1"/>
        <v>0.60777418547812778</v>
      </c>
      <c r="D2563" s="52">
        <f ca="1">S0*EXP((μ-0.5*σ*σ)*T+σ*SQRT(T)*$C2563)</f>
        <v>0.76162454101398358</v>
      </c>
      <c r="E2563" s="52">
        <f t="shared" ca="1" si="118"/>
        <v>0</v>
      </c>
      <c r="F2563" s="17">
        <f t="shared" ca="1" si="119"/>
        <v>0</v>
      </c>
      <c r="H2563" s="17">
        <v>2554</v>
      </c>
      <c r="I2563" s="45">
        <v>0.66895073210676204</v>
      </c>
      <c r="J2563" s="45">
        <v>1.773931132912946E-2</v>
      </c>
      <c r="K2563" s="45">
        <v>0.247</v>
      </c>
      <c r="N2563" s="54"/>
    </row>
    <row r="2564" spans="2:14" x14ac:dyDescent="0.2">
      <c r="B2564">
        <v>2555</v>
      </c>
      <c r="C2564" s="52">
        <f ca="1"/>
        <v>-3.3240014256516723E-2</v>
      </c>
      <c r="D2564" s="52">
        <f ca="1">S0*EXP((μ-0.5*σ*σ)*T+σ*SQRT(T)*$C2564)</f>
        <v>0.63794784976586072</v>
      </c>
      <c r="E2564" s="52">
        <f t="shared" ca="1" si="118"/>
        <v>0</v>
      </c>
      <c r="F2564" s="17">
        <f t="shared" ca="1" si="119"/>
        <v>0</v>
      </c>
      <c r="H2564" s="17">
        <v>2555</v>
      </c>
      <c r="I2564" s="45">
        <v>0.67020562622590985</v>
      </c>
      <c r="J2564" s="45">
        <v>1.8425675009346592E-2</v>
      </c>
      <c r="K2564" s="45">
        <v>0.24260000000000001</v>
      </c>
      <c r="N2564" s="54"/>
    </row>
    <row r="2565" spans="2:14" x14ac:dyDescent="0.2">
      <c r="B2565">
        <v>2556</v>
      </c>
      <c r="C2565" s="52">
        <f ca="1"/>
        <v>1.4800998128098186E-2</v>
      </c>
      <c r="D2565" s="52">
        <f ca="1">S0*EXP((μ-0.5*σ*σ)*T+σ*SQRT(T)*$C2565)</f>
        <v>0.6464763640001282</v>
      </c>
      <c r="E2565" s="52">
        <f t="shared" ca="1" si="118"/>
        <v>0</v>
      </c>
      <c r="F2565" s="17">
        <f t="shared" ca="1" si="119"/>
        <v>0</v>
      </c>
      <c r="H2565" s="17">
        <v>2556</v>
      </c>
      <c r="I2565" s="45">
        <v>0.67153451686450827</v>
      </c>
      <c r="J2565" s="45">
        <v>1.9114551394436418E-2</v>
      </c>
      <c r="K2565" s="45">
        <v>0.24740000000000001</v>
      </c>
      <c r="N2565" s="54"/>
    </row>
    <row r="2566" spans="2:14" x14ac:dyDescent="0.2">
      <c r="B2566">
        <v>2557</v>
      </c>
      <c r="C2566" s="52">
        <f ca="1"/>
        <v>-0.10028687993757003</v>
      </c>
      <c r="D2566" s="52">
        <f ca="1">S0*EXP((μ-0.5*σ*σ)*T+σ*SQRT(T)*$C2566)</f>
        <v>0.62623306258182676</v>
      </c>
      <c r="E2566" s="52">
        <f t="shared" ca="1" si="118"/>
        <v>0</v>
      </c>
      <c r="F2566" s="17">
        <f t="shared" ca="1" si="119"/>
        <v>0</v>
      </c>
      <c r="H2566" s="17">
        <v>2557</v>
      </c>
      <c r="I2566" s="45">
        <v>0.67157163452530166</v>
      </c>
      <c r="J2566" s="45">
        <v>1.9491193135121244E-2</v>
      </c>
      <c r="K2566" s="45">
        <v>0.249</v>
      </c>
      <c r="N2566" s="54"/>
    </row>
    <row r="2567" spans="2:14" x14ac:dyDescent="0.2">
      <c r="B2567">
        <v>2558</v>
      </c>
      <c r="C2567" s="52">
        <f ca="1"/>
        <v>-1.3021956979033935</v>
      </c>
      <c r="D2567" s="52">
        <f ca="1">S0*EXP((μ-0.5*σ*σ)*T+σ*SQRT(T)*$C2567)</f>
        <v>0.44920346264509159</v>
      </c>
      <c r="E2567" s="52">
        <f t="shared" ca="1" si="118"/>
        <v>8.5196537354908397E-2</v>
      </c>
      <c r="F2567" s="17">
        <f t="shared" ca="1" si="119"/>
        <v>1</v>
      </c>
      <c r="H2567" s="17">
        <v>2558</v>
      </c>
      <c r="I2567" s="45">
        <v>0.67244739892193794</v>
      </c>
      <c r="J2567" s="45">
        <v>2.0145531446351082E-2</v>
      </c>
      <c r="K2567" s="45">
        <v>0.25240000000000001</v>
      </c>
      <c r="N2567" s="54"/>
    </row>
    <row r="2568" spans="2:14" x14ac:dyDescent="0.2">
      <c r="B2568">
        <v>2559</v>
      </c>
      <c r="C2568" s="52">
        <f ca="1"/>
        <v>0.27727468452899245</v>
      </c>
      <c r="D2568" s="52">
        <f ca="1">S0*EXP((μ-0.5*σ*σ)*T+σ*SQRT(T)*$C2568)</f>
        <v>0.69512584306674641</v>
      </c>
      <c r="E2568" s="52">
        <f t="shared" ca="1" si="118"/>
        <v>0</v>
      </c>
      <c r="F2568" s="17">
        <f t="shared" ca="1" si="119"/>
        <v>0</v>
      </c>
      <c r="H2568" s="17">
        <v>2559</v>
      </c>
      <c r="I2568" s="45">
        <v>0.671559526918171</v>
      </c>
      <c r="J2568" s="45">
        <v>1.9489077033600598E-2</v>
      </c>
      <c r="K2568" s="45">
        <v>0.25219999999999998</v>
      </c>
      <c r="N2568" s="54"/>
    </row>
    <row r="2569" spans="2:14" x14ac:dyDescent="0.2">
      <c r="B2569">
        <v>2560</v>
      </c>
      <c r="C2569" s="52">
        <f ca="1"/>
        <v>1.5138699787008827</v>
      </c>
      <c r="D2569" s="52">
        <f ca="1">S0*EXP((μ-0.5*σ*σ)*T+σ*SQRT(T)*$C2569)</f>
        <v>0.97840925443275373</v>
      </c>
      <c r="E2569" s="52">
        <f t="shared" ca="1" si="118"/>
        <v>0</v>
      </c>
      <c r="F2569" s="17">
        <f t="shared" ca="1" si="119"/>
        <v>0</v>
      </c>
      <c r="H2569" s="17">
        <v>2560</v>
      </c>
      <c r="I2569" s="45">
        <v>0.67152220609351232</v>
      </c>
      <c r="J2569" s="45">
        <v>1.9496365889387222E-2</v>
      </c>
      <c r="K2569" s="45">
        <v>0.253</v>
      </c>
      <c r="N2569" s="54"/>
    </row>
    <row r="2570" spans="2:14" x14ac:dyDescent="0.2">
      <c r="B2570">
        <v>2561</v>
      </c>
      <c r="C2570" s="52">
        <f ca="1"/>
        <v>-1.0447725365381075</v>
      </c>
      <c r="D2570" s="52">
        <f ca="1">S0*EXP((μ-0.5*σ*σ)*T+σ*SQRT(T)*$C2570)</f>
        <v>0.48233363466796081</v>
      </c>
      <c r="E2570" s="52">
        <f t="shared" ref="E2570:E2633" ca="1" si="120">MAX(0,CP*(D2570-K))</f>
        <v>5.2066365332039177E-2</v>
      </c>
      <c r="F2570" s="17">
        <f t="shared" ref="F2570:F2633" ca="1" si="121">(CP*(D2570-K)&gt;0)*1</f>
        <v>1</v>
      </c>
      <c r="H2570" s="17">
        <v>2561</v>
      </c>
      <c r="I2570" s="45">
        <v>0.67075591945118718</v>
      </c>
      <c r="J2570" s="45">
        <v>1.9162792305194246E-2</v>
      </c>
      <c r="K2570" s="45">
        <v>0.25600000000000001</v>
      </c>
      <c r="N2570" s="54"/>
    </row>
    <row r="2571" spans="2:14" x14ac:dyDescent="0.2">
      <c r="B2571">
        <v>2562</v>
      </c>
      <c r="C2571" s="52">
        <f ca="1"/>
        <v>-0.19673225644092107</v>
      </c>
      <c r="D2571" s="52">
        <f ca="1">S0*EXP((μ-0.5*σ*σ)*T+σ*SQRT(T)*$C2571)</f>
        <v>0.60975788495107375</v>
      </c>
      <c r="E2571" s="52">
        <f t="shared" ca="1" si="120"/>
        <v>0</v>
      </c>
      <c r="F2571" s="17">
        <f t="shared" ca="1" si="121"/>
        <v>0</v>
      </c>
      <c r="H2571" s="17">
        <v>2562</v>
      </c>
      <c r="I2571" s="45">
        <v>0.66988811287709593</v>
      </c>
      <c r="J2571" s="45">
        <v>1.823102731974479E-2</v>
      </c>
      <c r="K2571" s="45">
        <v>0.246</v>
      </c>
      <c r="N2571" s="54"/>
    </row>
    <row r="2572" spans="2:14" x14ac:dyDescent="0.2">
      <c r="B2572">
        <v>2563</v>
      </c>
      <c r="C2572" s="52">
        <f ca="1"/>
        <v>-2.9265860894570368</v>
      </c>
      <c r="D2572" s="52">
        <f ca="1">S0*EXP((μ-0.5*σ*σ)*T+σ*SQRT(T)*$C2572)</f>
        <v>0.28670150242129494</v>
      </c>
      <c r="E2572" s="52">
        <f t="shared" ca="1" si="120"/>
        <v>0.24769849757870505</v>
      </c>
      <c r="F2572" s="17">
        <f t="shared" ca="1" si="121"/>
        <v>1</v>
      </c>
      <c r="H2572" s="17">
        <v>2563</v>
      </c>
      <c r="I2572" s="45">
        <v>0.67166414281707709</v>
      </c>
      <c r="J2572" s="45">
        <v>1.9610250159299042E-2</v>
      </c>
      <c r="K2572" s="45">
        <v>0.25119999999999998</v>
      </c>
      <c r="N2572" s="54"/>
    </row>
    <row r="2573" spans="2:14" x14ac:dyDescent="0.2">
      <c r="B2573">
        <v>2564</v>
      </c>
      <c r="C2573" s="52">
        <f ca="1"/>
        <v>-1.236872512355248</v>
      </c>
      <c r="D2573" s="52">
        <f ca="1">S0*EXP((μ-0.5*σ*σ)*T+σ*SQRT(T)*$C2573)</f>
        <v>0.45738861182178908</v>
      </c>
      <c r="E2573" s="52">
        <f t="shared" ca="1" si="120"/>
        <v>7.7011388178210904E-2</v>
      </c>
      <c r="F2573" s="17">
        <f t="shared" ca="1" si="121"/>
        <v>1</v>
      </c>
      <c r="H2573" s="17">
        <v>2564</v>
      </c>
      <c r="I2573" s="45">
        <v>0.67124271842624772</v>
      </c>
      <c r="J2573" s="45">
        <v>1.9127677402871988E-2</v>
      </c>
      <c r="K2573" s="45">
        <v>0.24260000000000001</v>
      </c>
      <c r="N2573" s="54"/>
    </row>
    <row r="2574" spans="2:14" x14ac:dyDescent="0.2">
      <c r="B2574">
        <v>2565</v>
      </c>
      <c r="C2574" s="52">
        <f ca="1"/>
        <v>-0.5744052928589275</v>
      </c>
      <c r="D2574" s="52">
        <f ca="1">S0*EXP((μ-0.5*σ*σ)*T+σ*SQRT(T)*$C2574)</f>
        <v>0.54930885564567844</v>
      </c>
      <c r="E2574" s="52">
        <f t="shared" ca="1" si="120"/>
        <v>0</v>
      </c>
      <c r="F2574" s="17">
        <f t="shared" ca="1" si="121"/>
        <v>0</v>
      </c>
      <c r="H2574" s="17">
        <v>2565</v>
      </c>
      <c r="I2574" s="45">
        <v>0.67106115328613769</v>
      </c>
      <c r="J2574" s="45">
        <v>1.9399440412651316E-2</v>
      </c>
      <c r="K2574" s="45">
        <v>0.25440000000000002</v>
      </c>
      <c r="N2574" s="54"/>
    </row>
    <row r="2575" spans="2:14" x14ac:dyDescent="0.2">
      <c r="B2575">
        <v>2566</v>
      </c>
      <c r="C2575" s="52">
        <f ca="1"/>
        <v>-0.34968544322986567</v>
      </c>
      <c r="D2575" s="52">
        <f ca="1">S0*EXP((μ-0.5*σ*σ)*T+σ*SQRT(T)*$C2575)</f>
        <v>0.58451400113662766</v>
      </c>
      <c r="E2575" s="52">
        <f t="shared" ca="1" si="120"/>
        <v>0</v>
      </c>
      <c r="F2575" s="17">
        <f t="shared" ca="1" si="121"/>
        <v>0</v>
      </c>
      <c r="H2575" s="17">
        <v>2566</v>
      </c>
      <c r="I2575" s="45">
        <v>0.67052481976876965</v>
      </c>
      <c r="J2575" s="45">
        <v>1.8637389612815233E-2</v>
      </c>
      <c r="K2575" s="45">
        <v>0.25219999999999998</v>
      </c>
      <c r="N2575" s="54"/>
    </row>
    <row r="2576" spans="2:14" x14ac:dyDescent="0.2">
      <c r="B2576">
        <v>2567</v>
      </c>
      <c r="C2576" s="52">
        <f ca="1"/>
        <v>-1.3809044199982445</v>
      </c>
      <c r="D2576" s="52">
        <f ca="1">S0*EXP((μ-0.5*σ*σ)*T+σ*SQRT(T)*$C2576)</f>
        <v>0.43953540945213343</v>
      </c>
      <c r="E2576" s="52">
        <f t="shared" ca="1" si="120"/>
        <v>9.4864590547866556E-2</v>
      </c>
      <c r="F2576" s="17">
        <f t="shared" ca="1" si="121"/>
        <v>1</v>
      </c>
      <c r="H2576" s="17">
        <v>2567</v>
      </c>
      <c r="I2576" s="45">
        <v>0.66994210491020889</v>
      </c>
      <c r="J2576" s="45">
        <v>1.8212839480857352E-2</v>
      </c>
      <c r="K2576" s="45">
        <v>0.24079999999999999</v>
      </c>
      <c r="N2576" s="54"/>
    </row>
    <row r="2577" spans="2:14" x14ac:dyDescent="0.2">
      <c r="B2577">
        <v>2568</v>
      </c>
      <c r="C2577" s="52">
        <f ca="1"/>
        <v>0.43975443816991944</v>
      </c>
      <c r="D2577" s="52">
        <f ca="1">S0*EXP((μ-0.5*σ*σ)*T+σ*SQRT(T)*$C2577)</f>
        <v>0.72705896747987064</v>
      </c>
      <c r="E2577" s="52">
        <f t="shared" ca="1" si="120"/>
        <v>0</v>
      </c>
      <c r="F2577" s="17">
        <f t="shared" ca="1" si="121"/>
        <v>0</v>
      </c>
      <c r="H2577" s="17">
        <v>2568</v>
      </c>
      <c r="I2577" s="45">
        <v>0.67239984232268923</v>
      </c>
      <c r="J2577" s="45">
        <v>1.9990929028227449E-2</v>
      </c>
      <c r="K2577" s="45">
        <v>0.25480000000000003</v>
      </c>
      <c r="N2577" s="54"/>
    </row>
    <row r="2578" spans="2:14" x14ac:dyDescent="0.2">
      <c r="B2578">
        <v>2569</v>
      </c>
      <c r="C2578" s="52">
        <f ca="1"/>
        <v>-0.5248349884307647</v>
      </c>
      <c r="D2578" s="52">
        <f ca="1">S0*EXP((μ-0.5*σ*σ)*T+σ*SQRT(T)*$C2578)</f>
        <v>0.55688775676541657</v>
      </c>
      <c r="E2578" s="52">
        <f t="shared" ca="1" si="120"/>
        <v>0</v>
      </c>
      <c r="F2578" s="17">
        <f t="shared" ca="1" si="121"/>
        <v>0</v>
      </c>
      <c r="H2578" s="17">
        <v>2569</v>
      </c>
      <c r="I2578" s="45">
        <v>0.67080760928721639</v>
      </c>
      <c r="J2578" s="45">
        <v>1.9032121867878067E-2</v>
      </c>
      <c r="K2578" s="45">
        <v>0.247</v>
      </c>
      <c r="N2578" s="54"/>
    </row>
    <row r="2579" spans="2:14" x14ac:dyDescent="0.2">
      <c r="B2579">
        <v>2570</v>
      </c>
      <c r="C2579" s="52">
        <f ca="1"/>
        <v>0.32743401958839741</v>
      </c>
      <c r="D2579" s="52">
        <f ca="1">S0*EXP((μ-0.5*σ*σ)*T+σ*SQRT(T)*$C2579)</f>
        <v>0.70483136060001128</v>
      </c>
      <c r="E2579" s="52">
        <f t="shared" ca="1" si="120"/>
        <v>0</v>
      </c>
      <c r="F2579" s="17">
        <f t="shared" ca="1" si="121"/>
        <v>0</v>
      </c>
      <c r="H2579" s="17">
        <v>2570</v>
      </c>
      <c r="I2579" s="45">
        <v>0.67073820341358836</v>
      </c>
      <c r="J2579" s="45">
        <v>1.8473250206109324E-2</v>
      </c>
      <c r="K2579" s="45">
        <v>0.2424</v>
      </c>
      <c r="N2579" s="54"/>
    </row>
    <row r="2580" spans="2:14" x14ac:dyDescent="0.2">
      <c r="B2580">
        <v>2571</v>
      </c>
      <c r="C2580" s="52">
        <f ca="1"/>
        <v>1.9010039631945792</v>
      </c>
      <c r="D2580" s="52">
        <f ca="1">S0*EXP((μ-0.5*σ*σ)*T+σ*SQRT(T)*$C2580)</f>
        <v>1.0889230543478823</v>
      </c>
      <c r="E2580" s="52">
        <f t="shared" ca="1" si="120"/>
        <v>0</v>
      </c>
      <c r="F2580" s="17">
        <f t="shared" ca="1" si="121"/>
        <v>0</v>
      </c>
      <c r="H2580" s="17">
        <v>2571</v>
      </c>
      <c r="I2580" s="45">
        <v>0.67027146237543445</v>
      </c>
      <c r="J2580" s="45">
        <v>1.8672333671404692E-2</v>
      </c>
      <c r="K2580" s="45">
        <v>0.249</v>
      </c>
      <c r="N2580" s="54"/>
    </row>
    <row r="2581" spans="2:14" x14ac:dyDescent="0.2">
      <c r="B2581">
        <v>2572</v>
      </c>
      <c r="C2581" s="52">
        <f ca="1"/>
        <v>-0.3183273803441255</v>
      </c>
      <c r="D2581" s="52">
        <f ca="1">S0*EXP((μ-0.5*σ*σ)*T+σ*SQRT(T)*$C2581)</f>
        <v>0.5896028194249624</v>
      </c>
      <c r="E2581" s="52">
        <f t="shared" ca="1" si="120"/>
        <v>0</v>
      </c>
      <c r="F2581" s="17">
        <f t="shared" ca="1" si="121"/>
        <v>0</v>
      </c>
      <c r="H2581" s="17">
        <v>2572</v>
      </c>
      <c r="I2581" s="45">
        <v>0.6699912263115283</v>
      </c>
      <c r="J2581" s="45">
        <v>1.8378143513206047E-2</v>
      </c>
      <c r="K2581" s="45">
        <v>0.25080000000000002</v>
      </c>
      <c r="N2581" s="54"/>
    </row>
    <row r="2582" spans="2:14" x14ac:dyDescent="0.2">
      <c r="B2582">
        <v>2573</v>
      </c>
      <c r="C2582" s="52">
        <f ca="1"/>
        <v>1.2349889496896935</v>
      </c>
      <c r="D2582" s="52">
        <f ca="1">S0*EXP((μ-0.5*σ*σ)*T+σ*SQRT(T)*$C2582)</f>
        <v>0.90581605840871326</v>
      </c>
      <c r="E2582" s="52">
        <f t="shared" ca="1" si="120"/>
        <v>0</v>
      </c>
      <c r="F2582" s="17">
        <f t="shared" ca="1" si="121"/>
        <v>0</v>
      </c>
      <c r="H2582" s="17">
        <v>2573</v>
      </c>
      <c r="I2582" s="45">
        <v>0.67108296018593183</v>
      </c>
      <c r="J2582" s="45">
        <v>1.8837375922826187E-2</v>
      </c>
      <c r="K2582" s="45">
        <v>0.24440000000000001</v>
      </c>
      <c r="N2582" s="54"/>
    </row>
    <row r="2583" spans="2:14" x14ac:dyDescent="0.2">
      <c r="B2583">
        <v>2574</v>
      </c>
      <c r="C2583" s="52">
        <f ca="1"/>
        <v>6.7407850238742448E-2</v>
      </c>
      <c r="D2583" s="52">
        <f ca="1">S0*EXP((μ-0.5*σ*σ)*T+σ*SQRT(T)*$C2583)</f>
        <v>0.65594627120294779</v>
      </c>
      <c r="E2583" s="52">
        <f t="shared" ca="1" si="120"/>
        <v>0</v>
      </c>
      <c r="F2583" s="17">
        <f t="shared" ca="1" si="121"/>
        <v>0</v>
      </c>
      <c r="H2583" s="17">
        <v>2574</v>
      </c>
      <c r="I2583" s="45">
        <v>0.67041854020111957</v>
      </c>
      <c r="J2583" s="45">
        <v>1.8658932464929372E-2</v>
      </c>
      <c r="K2583" s="45">
        <v>0.2412</v>
      </c>
      <c r="N2583" s="54"/>
    </row>
    <row r="2584" spans="2:14" x14ac:dyDescent="0.2">
      <c r="B2584">
        <v>2575</v>
      </c>
      <c r="C2584" s="52">
        <f ca="1"/>
        <v>-4.9103648906313521E-3</v>
      </c>
      <c r="D2584" s="52">
        <f ca="1">S0*EXP((μ-0.5*σ*σ)*T+σ*SQRT(T)*$C2584)</f>
        <v>0.64296338332049552</v>
      </c>
      <c r="E2584" s="52">
        <f t="shared" ca="1" si="120"/>
        <v>0</v>
      </c>
      <c r="F2584" s="17">
        <f t="shared" ca="1" si="121"/>
        <v>0</v>
      </c>
      <c r="H2584" s="17">
        <v>2575</v>
      </c>
      <c r="I2584" s="45">
        <v>0.67035751131499388</v>
      </c>
      <c r="J2584" s="45">
        <v>1.8433959999481202E-2</v>
      </c>
      <c r="K2584" s="45">
        <v>0.2366</v>
      </c>
      <c r="N2584" s="54"/>
    </row>
    <row r="2585" spans="2:14" x14ac:dyDescent="0.2">
      <c r="B2585">
        <v>2576</v>
      </c>
      <c r="C2585" s="52">
        <f ca="1"/>
        <v>2.0859638052045115</v>
      </c>
      <c r="D2585" s="52">
        <f ca="1">S0*EXP((μ-0.5*σ*σ)*T+σ*SQRT(T)*$C2585)</f>
        <v>1.1460463909374088</v>
      </c>
      <c r="E2585" s="52">
        <f t="shared" ca="1" si="120"/>
        <v>0</v>
      </c>
      <c r="F2585" s="17">
        <f t="shared" ca="1" si="121"/>
        <v>0</v>
      </c>
      <c r="H2585" s="17">
        <v>2576</v>
      </c>
      <c r="I2585" s="45">
        <v>0.66989525861014665</v>
      </c>
      <c r="J2585" s="45">
        <v>1.8175412452423823E-2</v>
      </c>
      <c r="K2585" s="45">
        <v>0.2402</v>
      </c>
      <c r="N2585" s="54"/>
    </row>
    <row r="2586" spans="2:14" x14ac:dyDescent="0.2">
      <c r="B2586">
        <v>2577</v>
      </c>
      <c r="C2586" s="52">
        <f ca="1"/>
        <v>-1.3294617386675147</v>
      </c>
      <c r="D2586" s="52">
        <f ca="1">S0*EXP((μ-0.5*σ*σ)*T+σ*SQRT(T)*$C2586)</f>
        <v>0.44583044480425477</v>
      </c>
      <c r="E2586" s="52">
        <f t="shared" ca="1" si="120"/>
        <v>8.856955519574522E-2</v>
      </c>
      <c r="F2586" s="17">
        <f t="shared" ca="1" si="121"/>
        <v>1</v>
      </c>
      <c r="H2586" s="17">
        <v>2577</v>
      </c>
      <c r="I2586" s="45">
        <v>0.67177398200177518</v>
      </c>
      <c r="J2586" s="45">
        <v>1.9335397922383965E-2</v>
      </c>
      <c r="K2586" s="45">
        <v>0.24379999999999999</v>
      </c>
      <c r="N2586" s="54"/>
    </row>
    <row r="2587" spans="2:14" x14ac:dyDescent="0.2">
      <c r="B2587">
        <v>2578</v>
      </c>
      <c r="C2587" s="52">
        <f ca="1"/>
        <v>-0.26825009407392758</v>
      </c>
      <c r="D2587" s="52">
        <f ca="1">S0*EXP((μ-0.5*σ*σ)*T+σ*SQRT(T)*$C2587)</f>
        <v>0.59782143930391751</v>
      </c>
      <c r="E2587" s="52">
        <f t="shared" ca="1" si="120"/>
        <v>0</v>
      </c>
      <c r="F2587" s="17">
        <f t="shared" ca="1" si="121"/>
        <v>0</v>
      </c>
      <c r="H2587" s="17">
        <v>2578</v>
      </c>
      <c r="I2587" s="45">
        <v>0.67188426225959219</v>
      </c>
      <c r="J2587" s="45">
        <v>1.9656048074363962E-2</v>
      </c>
      <c r="K2587" s="45">
        <v>0.25019999999999998</v>
      </c>
      <c r="N2587" s="54"/>
    </row>
    <row r="2588" spans="2:14" x14ac:dyDescent="0.2">
      <c r="B2588">
        <v>2579</v>
      </c>
      <c r="C2588" s="52">
        <f ca="1"/>
        <v>-0.61316491531559381</v>
      </c>
      <c r="D2588" s="52">
        <f ca="1">S0*EXP((μ-0.5*σ*σ)*T+σ*SQRT(T)*$C2588)</f>
        <v>0.54345474763426838</v>
      </c>
      <c r="E2588" s="52">
        <f t="shared" ca="1" si="120"/>
        <v>0</v>
      </c>
      <c r="F2588" s="17">
        <f t="shared" ca="1" si="121"/>
        <v>0</v>
      </c>
      <c r="H2588" s="17">
        <v>2579</v>
      </c>
      <c r="I2588" s="45">
        <v>0.67131612161794185</v>
      </c>
      <c r="J2588" s="45">
        <v>1.9133050891631968E-2</v>
      </c>
      <c r="K2588" s="45">
        <v>0.2472</v>
      </c>
      <c r="N2588" s="54"/>
    </row>
    <row r="2589" spans="2:14" x14ac:dyDescent="0.2">
      <c r="B2589">
        <v>2580</v>
      </c>
      <c r="C2589" s="52">
        <f ca="1"/>
        <v>1.4379434695993867</v>
      </c>
      <c r="D2589" s="52">
        <f ca="1">S0*EXP((μ-0.5*σ*σ)*T+σ*SQRT(T)*$C2589)</f>
        <v>0.95808786161914761</v>
      </c>
      <c r="E2589" s="52">
        <f t="shared" ca="1" si="120"/>
        <v>0</v>
      </c>
      <c r="F2589" s="17">
        <f t="shared" ca="1" si="121"/>
        <v>0</v>
      </c>
      <c r="H2589" s="17">
        <v>2580</v>
      </c>
      <c r="I2589" s="45">
        <v>0.67202950786419346</v>
      </c>
      <c r="J2589" s="45">
        <v>1.9916549396025083E-2</v>
      </c>
      <c r="K2589" s="45">
        <v>0.251</v>
      </c>
      <c r="N2589" s="54"/>
    </row>
    <row r="2590" spans="2:14" x14ac:dyDescent="0.2">
      <c r="B2590">
        <v>2581</v>
      </c>
      <c r="C2590" s="52">
        <f ca="1"/>
        <v>0.7372323515429321</v>
      </c>
      <c r="D2590" s="52">
        <f ca="1">S0*EXP((μ-0.5*σ*σ)*T+σ*SQRT(T)*$C2590)</f>
        <v>0.78937394144671058</v>
      </c>
      <c r="E2590" s="52">
        <f t="shared" ca="1" si="120"/>
        <v>0</v>
      </c>
      <c r="F2590" s="17">
        <f t="shared" ca="1" si="121"/>
        <v>0</v>
      </c>
      <c r="H2590" s="17">
        <v>2581</v>
      </c>
      <c r="I2590" s="45">
        <v>0.67045875156923618</v>
      </c>
      <c r="J2590" s="45">
        <v>1.8513524784671755E-2</v>
      </c>
      <c r="K2590" s="45">
        <v>0.24</v>
      </c>
      <c r="N2590" s="54"/>
    </row>
    <row r="2591" spans="2:14" x14ac:dyDescent="0.2">
      <c r="B2591">
        <v>2582</v>
      </c>
      <c r="C2591" s="52">
        <f ca="1"/>
        <v>1.8655811085335501</v>
      </c>
      <c r="D2591" s="52">
        <f ca="1">S0*EXP((μ-0.5*σ*σ)*T+σ*SQRT(T)*$C2591)</f>
        <v>1.0783123235863488</v>
      </c>
      <c r="E2591" s="52">
        <f t="shared" ca="1" si="120"/>
        <v>0</v>
      </c>
      <c r="F2591" s="17">
        <f t="shared" ca="1" si="121"/>
        <v>0</v>
      </c>
      <c r="H2591" s="17">
        <v>2582</v>
      </c>
      <c r="I2591" s="45">
        <v>0.67118592849317449</v>
      </c>
      <c r="J2591" s="45">
        <v>1.9276294167252631E-2</v>
      </c>
      <c r="K2591" s="45">
        <v>0.25</v>
      </c>
      <c r="N2591" s="54"/>
    </row>
    <row r="2592" spans="2:14" x14ac:dyDescent="0.2">
      <c r="B2592">
        <v>2583</v>
      </c>
      <c r="C2592" s="52">
        <f ca="1"/>
        <v>-0.88698002145332877</v>
      </c>
      <c r="D2592" s="52">
        <f ca="1">S0*EXP((μ-0.5*σ*σ)*T+σ*SQRT(T)*$C2592)</f>
        <v>0.50383812916085513</v>
      </c>
      <c r="E2592" s="52">
        <f t="shared" ca="1" si="120"/>
        <v>3.0561870839144856E-2</v>
      </c>
      <c r="F2592" s="17">
        <f t="shared" ca="1" si="121"/>
        <v>1</v>
      </c>
      <c r="H2592" s="17">
        <v>2583</v>
      </c>
      <c r="I2592" s="45">
        <v>0.67166113320718546</v>
      </c>
      <c r="J2592" s="45">
        <v>1.9345710123353947E-2</v>
      </c>
      <c r="K2592" s="45">
        <v>0.2492</v>
      </c>
      <c r="N2592" s="54"/>
    </row>
    <row r="2593" spans="2:14" x14ac:dyDescent="0.2">
      <c r="B2593">
        <v>2584</v>
      </c>
      <c r="C2593" s="52">
        <f ca="1"/>
        <v>0.40902156980229265</v>
      </c>
      <c r="D2593" s="52">
        <f ca="1">S0*EXP((μ-0.5*σ*σ)*T+σ*SQRT(T)*$C2593)</f>
        <v>0.72090835491923977</v>
      </c>
      <c r="E2593" s="52">
        <f t="shared" ca="1" si="120"/>
        <v>0</v>
      </c>
      <c r="F2593" s="17">
        <f t="shared" ca="1" si="121"/>
        <v>0</v>
      </c>
      <c r="H2593" s="17">
        <v>2584</v>
      </c>
      <c r="I2593" s="45">
        <v>0.66938636889911918</v>
      </c>
      <c r="J2593" s="45">
        <v>1.7850955681048025E-2</v>
      </c>
      <c r="K2593" s="45">
        <v>0.2432</v>
      </c>
      <c r="N2593" s="54"/>
    </row>
    <row r="2594" spans="2:14" x14ac:dyDescent="0.2">
      <c r="B2594">
        <v>2585</v>
      </c>
      <c r="C2594" s="52">
        <f ca="1"/>
        <v>0.93244974980922557</v>
      </c>
      <c r="D2594" s="52">
        <f ca="1">S0*EXP((μ-0.5*σ*σ)*T+σ*SQRT(T)*$C2594)</f>
        <v>0.83314241012308199</v>
      </c>
      <c r="E2594" s="52">
        <f t="shared" ca="1" si="120"/>
        <v>0</v>
      </c>
      <c r="F2594" s="17">
        <f t="shared" ca="1" si="121"/>
        <v>0</v>
      </c>
      <c r="H2594" s="17">
        <v>2585</v>
      </c>
      <c r="I2594" s="45">
        <v>0.67097514260674318</v>
      </c>
      <c r="J2594" s="45">
        <v>1.8889052876761611E-2</v>
      </c>
      <c r="K2594" s="45">
        <v>0.245</v>
      </c>
      <c r="N2594" s="54"/>
    </row>
    <row r="2595" spans="2:14" x14ac:dyDescent="0.2">
      <c r="B2595">
        <v>2586</v>
      </c>
      <c r="C2595" s="52">
        <f ca="1"/>
        <v>-1.3423384880708493</v>
      </c>
      <c r="D2595" s="52">
        <f ca="1">S0*EXP((μ-0.5*σ*σ)*T+σ*SQRT(T)*$C2595)</f>
        <v>0.44424630914444158</v>
      </c>
      <c r="E2595" s="52">
        <f t="shared" ca="1" si="120"/>
        <v>9.015369085555841E-2</v>
      </c>
      <c r="F2595" s="17">
        <f t="shared" ca="1" si="121"/>
        <v>1</v>
      </c>
      <c r="H2595" s="17">
        <v>2586</v>
      </c>
      <c r="I2595" s="45">
        <v>0.67016169105159495</v>
      </c>
      <c r="J2595" s="45">
        <v>1.8654795170700806E-2</v>
      </c>
      <c r="K2595" s="45">
        <v>0.24759999999999999</v>
      </c>
      <c r="N2595" s="54"/>
    </row>
    <row r="2596" spans="2:14" x14ac:dyDescent="0.2">
      <c r="B2596">
        <v>2587</v>
      </c>
      <c r="C2596" s="52">
        <f ca="1"/>
        <v>-0.34425802544283857</v>
      </c>
      <c r="D2596" s="52">
        <f ca="1">S0*EXP((μ-0.5*σ*σ)*T+σ*SQRT(T)*$C2596)</f>
        <v>0.58539161429044362</v>
      </c>
      <c r="E2596" s="52">
        <f t="shared" ca="1" si="120"/>
        <v>0</v>
      </c>
      <c r="F2596" s="17">
        <f t="shared" ca="1" si="121"/>
        <v>0</v>
      </c>
      <c r="H2596" s="17">
        <v>2587</v>
      </c>
      <c r="I2596" s="45">
        <v>0.67072617874392704</v>
      </c>
      <c r="J2596" s="45">
        <v>1.8484303232440272E-2</v>
      </c>
      <c r="K2596" s="45">
        <v>0.2382</v>
      </c>
      <c r="N2596" s="54"/>
    </row>
    <row r="2597" spans="2:14" x14ac:dyDescent="0.2">
      <c r="B2597">
        <v>2588</v>
      </c>
      <c r="C2597" s="52">
        <f ca="1"/>
        <v>0.65943478686943557</v>
      </c>
      <c r="D2597" s="52">
        <f ca="1">S0*EXP((μ-0.5*σ*σ)*T+σ*SQRT(T)*$C2597)</f>
        <v>0.77257908257213292</v>
      </c>
      <c r="E2597" s="52">
        <f t="shared" ca="1" si="120"/>
        <v>0</v>
      </c>
      <c r="F2597" s="17">
        <f t="shared" ca="1" si="121"/>
        <v>0</v>
      </c>
      <c r="H2597" s="17">
        <v>2588</v>
      </c>
      <c r="I2597" s="45">
        <v>0.67196772034885088</v>
      </c>
      <c r="J2597" s="45">
        <v>1.9697111248707301E-2</v>
      </c>
      <c r="K2597" s="45">
        <v>0.25359999999999999</v>
      </c>
      <c r="N2597" s="54"/>
    </row>
    <row r="2598" spans="2:14" x14ac:dyDescent="0.2">
      <c r="B2598">
        <v>2589</v>
      </c>
      <c r="C2598" s="52">
        <f ca="1"/>
        <v>-0.30292079682948475</v>
      </c>
      <c r="D2598" s="52">
        <f ca="1">S0*EXP((μ-0.5*σ*σ)*T+σ*SQRT(T)*$C2598)</f>
        <v>0.59211922215881774</v>
      </c>
      <c r="E2598" s="52">
        <f t="shared" ca="1" si="120"/>
        <v>0</v>
      </c>
      <c r="F2598" s="17">
        <f t="shared" ca="1" si="121"/>
        <v>0</v>
      </c>
      <c r="H2598" s="17">
        <v>2589</v>
      </c>
      <c r="I2598" s="45">
        <v>0.67166756160559093</v>
      </c>
      <c r="J2598" s="45">
        <v>1.9918761169038672E-2</v>
      </c>
      <c r="K2598" s="45">
        <v>0.25219999999999998</v>
      </c>
      <c r="N2598" s="54"/>
    </row>
    <row r="2599" spans="2:14" x14ac:dyDescent="0.2">
      <c r="B2599">
        <v>2590</v>
      </c>
      <c r="C2599" s="52">
        <f ca="1"/>
        <v>-0.19366044612847239</v>
      </c>
      <c r="D2599" s="52">
        <f ca="1">S0*EXP((μ-0.5*σ*σ)*T+σ*SQRT(T)*$C2599)</f>
        <v>0.61027587968446328</v>
      </c>
      <c r="E2599" s="52">
        <f t="shared" ca="1" si="120"/>
        <v>0</v>
      </c>
      <c r="F2599" s="17">
        <f t="shared" ca="1" si="121"/>
        <v>0</v>
      </c>
      <c r="H2599" s="17">
        <v>2590</v>
      </c>
      <c r="I2599" s="45">
        <v>0.67098732351648627</v>
      </c>
      <c r="J2599" s="45">
        <v>1.9044789624375072E-2</v>
      </c>
      <c r="K2599" s="45">
        <v>0.2392</v>
      </c>
      <c r="N2599" s="54"/>
    </row>
    <row r="2600" spans="2:14" x14ac:dyDescent="0.2">
      <c r="B2600">
        <v>2591</v>
      </c>
      <c r="C2600" s="52">
        <f ca="1"/>
        <v>1.0840333039386558</v>
      </c>
      <c r="D2600" s="52">
        <f ca="1">S0*EXP((μ-0.5*σ*σ)*T+σ*SQRT(T)*$C2600)</f>
        <v>0.86879501458350161</v>
      </c>
      <c r="E2600" s="52">
        <f t="shared" ca="1" si="120"/>
        <v>0</v>
      </c>
      <c r="F2600" s="17">
        <f t="shared" ca="1" si="121"/>
        <v>0</v>
      </c>
      <c r="H2600" s="17">
        <v>2591</v>
      </c>
      <c r="I2600" s="45">
        <v>0.67067718071308502</v>
      </c>
      <c r="J2600" s="45">
        <v>1.8928359144502385E-2</v>
      </c>
      <c r="K2600" s="45">
        <v>0.25040000000000001</v>
      </c>
      <c r="N2600" s="54"/>
    </row>
    <row r="2601" spans="2:14" x14ac:dyDescent="0.2">
      <c r="B2601">
        <v>2592</v>
      </c>
      <c r="C2601" s="52">
        <f ca="1"/>
        <v>1.2781653362125955</v>
      </c>
      <c r="D2601" s="52">
        <f ca="1">S0*EXP((μ-0.5*σ*σ)*T+σ*SQRT(T)*$C2601)</f>
        <v>0.91669207191090696</v>
      </c>
      <c r="E2601" s="52">
        <f t="shared" ca="1" si="120"/>
        <v>0</v>
      </c>
      <c r="F2601" s="17">
        <f t="shared" ca="1" si="121"/>
        <v>0</v>
      </c>
      <c r="H2601" s="17">
        <v>2592</v>
      </c>
      <c r="I2601" s="45">
        <v>0.67120632381179102</v>
      </c>
      <c r="J2601" s="45">
        <v>1.9286020648587896E-2</v>
      </c>
      <c r="K2601" s="45">
        <v>0.255</v>
      </c>
      <c r="N2601" s="54"/>
    </row>
    <row r="2602" spans="2:14" x14ac:dyDescent="0.2">
      <c r="B2602">
        <v>2593</v>
      </c>
      <c r="C2602" s="52">
        <f ca="1"/>
        <v>0.35194168278816834</v>
      </c>
      <c r="D2602" s="52">
        <f ca="1">S0*EXP((μ-0.5*σ*σ)*T+σ*SQRT(T)*$C2602)</f>
        <v>0.70962260346616013</v>
      </c>
      <c r="E2602" s="52">
        <f t="shared" ca="1" si="120"/>
        <v>0</v>
      </c>
      <c r="F2602" s="17">
        <f t="shared" ca="1" si="121"/>
        <v>0</v>
      </c>
      <c r="H2602" s="17">
        <v>2593</v>
      </c>
      <c r="I2602" s="45">
        <v>0.67128644021164918</v>
      </c>
      <c r="J2602" s="45">
        <v>1.9563071739200771E-2</v>
      </c>
      <c r="K2602" s="45">
        <v>0.25280000000000002</v>
      </c>
      <c r="N2602" s="54"/>
    </row>
    <row r="2603" spans="2:14" x14ac:dyDescent="0.2">
      <c r="B2603">
        <v>2594</v>
      </c>
      <c r="C2603" s="52">
        <f ca="1"/>
        <v>-0.69943117762242413</v>
      </c>
      <c r="D2603" s="52">
        <f ca="1">S0*EXP((μ-0.5*σ*σ)*T+σ*SQRT(T)*$C2603)</f>
        <v>0.5306483932938395</v>
      </c>
      <c r="E2603" s="52">
        <f t="shared" ca="1" si="120"/>
        <v>3.7516067061604819E-3</v>
      </c>
      <c r="F2603" s="17">
        <f t="shared" ca="1" si="121"/>
        <v>1</v>
      </c>
      <c r="H2603" s="17">
        <v>2594</v>
      </c>
      <c r="I2603" s="45">
        <v>0.67084599452320404</v>
      </c>
      <c r="J2603" s="45">
        <v>1.8830740884585022E-2</v>
      </c>
      <c r="K2603" s="45">
        <v>0.23680000000000001</v>
      </c>
      <c r="N2603" s="54"/>
    </row>
    <row r="2604" spans="2:14" x14ac:dyDescent="0.2">
      <c r="B2604">
        <v>2595</v>
      </c>
      <c r="C2604" s="52">
        <f ca="1"/>
        <v>-1.2501768345561581</v>
      </c>
      <c r="D2604" s="52">
        <f ca="1">S0*EXP((μ-0.5*σ*σ)*T+σ*SQRT(T)*$C2604)</f>
        <v>0.45570954161675153</v>
      </c>
      <c r="E2604" s="52">
        <f t="shared" ca="1" si="120"/>
        <v>7.8690458383248452E-2</v>
      </c>
      <c r="F2604" s="17">
        <f t="shared" ca="1" si="121"/>
        <v>1</v>
      </c>
      <c r="H2604" s="17">
        <v>2595</v>
      </c>
      <c r="I2604" s="45">
        <v>0.670803492603117</v>
      </c>
      <c r="J2604" s="45">
        <v>1.9020363434804319E-2</v>
      </c>
      <c r="K2604" s="45">
        <v>0.24740000000000001</v>
      </c>
      <c r="N2604" s="54"/>
    </row>
    <row r="2605" spans="2:14" x14ac:dyDescent="0.2">
      <c r="B2605">
        <v>2596</v>
      </c>
      <c r="C2605" s="52">
        <f ca="1"/>
        <v>0.2068716916890927</v>
      </c>
      <c r="D2605" s="52">
        <f ca="1">S0*EXP((μ-0.5*σ*σ)*T+σ*SQRT(T)*$C2605)</f>
        <v>0.68172832095048252</v>
      </c>
      <c r="E2605" s="52">
        <f t="shared" ca="1" si="120"/>
        <v>0</v>
      </c>
      <c r="F2605" s="17">
        <f t="shared" ca="1" si="121"/>
        <v>0</v>
      </c>
      <c r="H2605" s="17">
        <v>2596</v>
      </c>
      <c r="I2605" s="45">
        <v>0.67050390206264032</v>
      </c>
      <c r="J2605" s="45">
        <v>1.8600841943670038E-2</v>
      </c>
      <c r="K2605" s="45">
        <v>0.2452</v>
      </c>
      <c r="N2605" s="54"/>
    </row>
    <row r="2606" spans="2:14" x14ac:dyDescent="0.2">
      <c r="B2606">
        <v>2597</v>
      </c>
      <c r="C2606" s="52">
        <f ca="1"/>
        <v>-1.7104654926843155</v>
      </c>
      <c r="D2606" s="52">
        <f ca="1">S0*EXP((μ-0.5*σ*σ)*T+σ*SQRT(T)*$C2606)</f>
        <v>0.4012629250752619</v>
      </c>
      <c r="E2606" s="52">
        <f t="shared" ca="1" si="120"/>
        <v>0.13313707492473809</v>
      </c>
      <c r="F2606" s="17">
        <f t="shared" ca="1" si="121"/>
        <v>1</v>
      </c>
      <c r="H2606" s="17">
        <v>2597</v>
      </c>
      <c r="I2606" s="45">
        <v>0.66992898752328867</v>
      </c>
      <c r="J2606" s="45">
        <v>1.8281047468908879E-2</v>
      </c>
      <c r="K2606" s="45">
        <v>0.24360000000000001</v>
      </c>
      <c r="N2606" s="54"/>
    </row>
    <row r="2607" spans="2:14" x14ac:dyDescent="0.2">
      <c r="B2607">
        <v>2598</v>
      </c>
      <c r="C2607" s="52">
        <f ca="1"/>
        <v>-0.18539461750219691</v>
      </c>
      <c r="D2607" s="52">
        <f ca="1">S0*EXP((μ-0.5*σ*σ)*T+σ*SQRT(T)*$C2607)</f>
        <v>0.61167192008887949</v>
      </c>
      <c r="E2607" s="52">
        <f t="shared" ca="1" si="120"/>
        <v>0</v>
      </c>
      <c r="F2607" s="17">
        <f t="shared" ca="1" si="121"/>
        <v>0</v>
      </c>
      <c r="H2607" s="17">
        <v>2598</v>
      </c>
      <c r="I2607" s="45">
        <v>0.67159956853058922</v>
      </c>
      <c r="J2607" s="45">
        <v>1.9381585983777549E-2</v>
      </c>
      <c r="K2607" s="45">
        <v>0.25019999999999998</v>
      </c>
      <c r="N2607" s="54"/>
    </row>
    <row r="2608" spans="2:14" x14ac:dyDescent="0.2">
      <c r="B2608">
        <v>2599</v>
      </c>
      <c r="C2608" s="52">
        <f ca="1"/>
        <v>-0.70817001653167089</v>
      </c>
      <c r="D2608" s="52">
        <f ca="1">S0*EXP((μ-0.5*σ*σ)*T+σ*SQRT(T)*$C2608)</f>
        <v>0.52936805347502902</v>
      </c>
      <c r="E2608" s="52">
        <f t="shared" ca="1" si="120"/>
        <v>5.031946524970965E-3</v>
      </c>
      <c r="F2608" s="17">
        <f t="shared" ca="1" si="121"/>
        <v>1</v>
      </c>
      <c r="H2608" s="17">
        <v>2599</v>
      </c>
      <c r="I2608" s="45">
        <v>0.67068281084066761</v>
      </c>
      <c r="J2608" s="45">
        <v>1.889924069095314E-2</v>
      </c>
      <c r="K2608" s="45">
        <v>0.2482</v>
      </c>
      <c r="N2608" s="54"/>
    </row>
    <row r="2609" spans="2:14" x14ac:dyDescent="0.2">
      <c r="B2609">
        <v>2600</v>
      </c>
      <c r="C2609" s="52">
        <f ca="1"/>
        <v>0.20738358723822653</v>
      </c>
      <c r="D2609" s="52">
        <f ca="1">S0*EXP((μ-0.5*σ*σ)*T+σ*SQRT(T)*$C2609)</f>
        <v>0.68182479545109975</v>
      </c>
      <c r="E2609" s="52">
        <f t="shared" ca="1" si="120"/>
        <v>0</v>
      </c>
      <c r="F2609" s="17">
        <f t="shared" ca="1" si="121"/>
        <v>0</v>
      </c>
      <c r="H2609" s="17">
        <v>2600</v>
      </c>
      <c r="I2609" s="45">
        <v>0.67151258224618138</v>
      </c>
      <c r="J2609" s="45">
        <v>1.9281941994915945E-2</v>
      </c>
      <c r="K2609" s="45">
        <v>0.24679999999999999</v>
      </c>
      <c r="N2609" s="54"/>
    </row>
    <row r="2610" spans="2:14" x14ac:dyDescent="0.2">
      <c r="B2610">
        <v>2601</v>
      </c>
      <c r="C2610" s="52">
        <f ca="1"/>
        <v>2.5433569243809595</v>
      </c>
      <c r="D2610" s="52">
        <f ca="1">S0*EXP((μ-0.5*σ*σ)*T+σ*SQRT(T)*$C2610)</f>
        <v>1.3005099120312154</v>
      </c>
      <c r="E2610" s="52">
        <f t="shared" ca="1" si="120"/>
        <v>0</v>
      </c>
      <c r="F2610" s="17">
        <f t="shared" ca="1" si="121"/>
        <v>0</v>
      </c>
      <c r="H2610" s="17">
        <v>2601</v>
      </c>
      <c r="I2610" s="45">
        <v>0.67187996224350499</v>
      </c>
      <c r="J2610" s="45">
        <v>1.9492652524432871E-2</v>
      </c>
      <c r="K2610" s="45">
        <v>0.24979999999999999</v>
      </c>
      <c r="N2610" s="54"/>
    </row>
    <row r="2611" spans="2:14" x14ac:dyDescent="0.2">
      <c r="B2611">
        <v>2602</v>
      </c>
      <c r="C2611" s="52">
        <f ca="1"/>
        <v>-1.058382104644906</v>
      </c>
      <c r="D2611" s="52">
        <f ca="1">S0*EXP((μ-0.5*σ*σ)*T+σ*SQRT(T)*$C2611)</f>
        <v>0.48052244332590277</v>
      </c>
      <c r="E2611" s="52">
        <f t="shared" ca="1" si="120"/>
        <v>5.3877556674097216E-2</v>
      </c>
      <c r="F2611" s="17">
        <f t="shared" ca="1" si="121"/>
        <v>1</v>
      </c>
      <c r="H2611" s="17">
        <v>2602</v>
      </c>
      <c r="I2611" s="45">
        <v>0.67035149384918136</v>
      </c>
      <c r="J2611" s="45">
        <v>1.8657982780413057E-2</v>
      </c>
      <c r="K2611" s="45">
        <v>0.23980000000000001</v>
      </c>
      <c r="N2611" s="54"/>
    </row>
    <row r="2612" spans="2:14" x14ac:dyDescent="0.2">
      <c r="B2612">
        <v>2603</v>
      </c>
      <c r="C2612" s="52">
        <f ca="1"/>
        <v>2.5496804002494153</v>
      </c>
      <c r="D2612" s="52">
        <f ca="1">S0*EXP((μ-0.5*σ*σ)*T+σ*SQRT(T)*$C2612)</f>
        <v>1.3027852100349431</v>
      </c>
      <c r="E2612" s="52">
        <f t="shared" ca="1" si="120"/>
        <v>0</v>
      </c>
      <c r="F2612" s="17">
        <f t="shared" ca="1" si="121"/>
        <v>0</v>
      </c>
      <c r="H2612" s="17">
        <v>2603</v>
      </c>
      <c r="I2612" s="45">
        <v>0.6716801038147121</v>
      </c>
      <c r="J2612" s="45">
        <v>1.9636335798192857E-2</v>
      </c>
      <c r="K2612" s="45">
        <v>0.24740000000000001</v>
      </c>
      <c r="N2612" s="54"/>
    </row>
    <row r="2613" spans="2:14" x14ac:dyDescent="0.2">
      <c r="B2613">
        <v>2604</v>
      </c>
      <c r="C2613" s="52">
        <f ca="1"/>
        <v>-1.835392303457015</v>
      </c>
      <c r="D2613" s="52">
        <f ca="1">S0*EXP((μ-0.5*σ*σ)*T+σ*SQRT(T)*$C2613)</f>
        <v>0.38764231803262905</v>
      </c>
      <c r="E2613" s="52">
        <f t="shared" ca="1" si="120"/>
        <v>0.14675768196737093</v>
      </c>
      <c r="F2613" s="17">
        <f t="shared" ca="1" si="121"/>
        <v>1</v>
      </c>
      <c r="H2613" s="17">
        <v>2604</v>
      </c>
      <c r="I2613" s="45">
        <v>0.67033861779864656</v>
      </c>
      <c r="J2613" s="45">
        <v>1.8574533821282102E-2</v>
      </c>
      <c r="K2613" s="45">
        <v>0.2424</v>
      </c>
      <c r="N2613" s="54"/>
    </row>
    <row r="2614" spans="2:14" x14ac:dyDescent="0.2">
      <c r="B2614">
        <v>2605</v>
      </c>
      <c r="C2614" s="52">
        <f ca="1"/>
        <v>7.2878722065521296E-5</v>
      </c>
      <c r="D2614" s="52">
        <f ca="1">S0*EXP((μ-0.5*σ*σ)*T+σ*SQRT(T)*$C2614)</f>
        <v>0.64384969534740732</v>
      </c>
      <c r="E2614" s="52">
        <f t="shared" ca="1" si="120"/>
        <v>0</v>
      </c>
      <c r="F2614" s="17">
        <f t="shared" ca="1" si="121"/>
        <v>0</v>
      </c>
      <c r="H2614" s="17">
        <v>2605</v>
      </c>
      <c r="I2614" s="45">
        <v>0.6703614507811485</v>
      </c>
      <c r="J2614" s="45">
        <v>1.8734998631266698E-2</v>
      </c>
      <c r="K2614" s="45">
        <v>0.24479999999999999</v>
      </c>
      <c r="N2614" s="54"/>
    </row>
    <row r="2615" spans="2:14" x14ac:dyDescent="0.2">
      <c r="B2615">
        <v>2606</v>
      </c>
      <c r="C2615" s="52">
        <f ca="1"/>
        <v>0.6281081692106808</v>
      </c>
      <c r="D2615" s="52">
        <f ca="1">S0*EXP((μ-0.5*σ*σ)*T+σ*SQRT(T)*$C2615)</f>
        <v>0.76591766739909029</v>
      </c>
      <c r="E2615" s="52">
        <f t="shared" ca="1" si="120"/>
        <v>0</v>
      </c>
      <c r="F2615" s="17">
        <f t="shared" ca="1" si="121"/>
        <v>0</v>
      </c>
      <c r="H2615" s="17">
        <v>2606</v>
      </c>
      <c r="I2615" s="45">
        <v>0.67162685412868439</v>
      </c>
      <c r="J2615" s="45">
        <v>1.9369615444925922E-2</v>
      </c>
      <c r="K2615" s="45">
        <v>0.24779999999999999</v>
      </c>
      <c r="N2615" s="54"/>
    </row>
    <row r="2616" spans="2:14" x14ac:dyDescent="0.2">
      <c r="B2616">
        <v>2607</v>
      </c>
      <c r="C2616" s="52">
        <f ca="1"/>
        <v>0.90849856448039612</v>
      </c>
      <c r="D2616" s="52">
        <f ca="1">S0*EXP((μ-0.5*σ*σ)*T+σ*SQRT(T)*$C2616)</f>
        <v>0.82764448955001257</v>
      </c>
      <c r="E2616" s="52">
        <f t="shared" ca="1" si="120"/>
        <v>0</v>
      </c>
      <c r="F2616" s="17">
        <f t="shared" ca="1" si="121"/>
        <v>0</v>
      </c>
      <c r="H2616" s="17">
        <v>2607</v>
      </c>
      <c r="I2616" s="45">
        <v>0.67094032692964534</v>
      </c>
      <c r="J2616" s="45">
        <v>1.8709536320095158E-2</v>
      </c>
      <c r="K2616" s="45">
        <v>0.24979999999999999</v>
      </c>
      <c r="N2616" s="54"/>
    </row>
    <row r="2617" spans="2:14" x14ac:dyDescent="0.2">
      <c r="B2617">
        <v>2608</v>
      </c>
      <c r="C2617" s="52">
        <f ca="1"/>
        <v>-0.30744090057640566</v>
      </c>
      <c r="D2617" s="52">
        <f ca="1">S0*EXP((μ-0.5*σ*σ)*T+σ*SQRT(T)*$C2617)</f>
        <v>0.59137982907009823</v>
      </c>
      <c r="E2617" s="52">
        <f t="shared" ca="1" si="120"/>
        <v>0</v>
      </c>
      <c r="F2617" s="17">
        <f t="shared" ca="1" si="121"/>
        <v>0</v>
      </c>
      <c r="H2617" s="17">
        <v>2608</v>
      </c>
      <c r="I2617" s="45">
        <v>0.67086366738502778</v>
      </c>
      <c r="J2617" s="45">
        <v>1.8711610512159079E-2</v>
      </c>
      <c r="K2617" s="45">
        <v>0.24740000000000001</v>
      </c>
      <c r="N2617" s="54"/>
    </row>
    <row r="2618" spans="2:14" x14ac:dyDescent="0.2">
      <c r="B2618">
        <v>2609</v>
      </c>
      <c r="C2618" s="52">
        <f ca="1"/>
        <v>-2.2086738319042989</v>
      </c>
      <c r="D2618" s="52">
        <f ca="1">S0*EXP((μ-0.5*σ*σ)*T+σ*SQRT(T)*$C2618)</f>
        <v>0.34963715010619445</v>
      </c>
      <c r="E2618" s="52">
        <f t="shared" ca="1" si="120"/>
        <v>0.18476284989380554</v>
      </c>
      <c r="F2618" s="17">
        <f t="shared" ca="1" si="121"/>
        <v>1</v>
      </c>
      <c r="H2618" s="17">
        <v>2609</v>
      </c>
      <c r="I2618" s="45">
        <v>0.67044644862714187</v>
      </c>
      <c r="J2618" s="45">
        <v>1.8491771734547722E-2</v>
      </c>
      <c r="K2618" s="45">
        <v>0.2384</v>
      </c>
      <c r="N2618" s="54"/>
    </row>
    <row r="2619" spans="2:14" x14ac:dyDescent="0.2">
      <c r="B2619">
        <v>2610</v>
      </c>
      <c r="C2619" s="52">
        <f ca="1"/>
        <v>-1.0241030076734452</v>
      </c>
      <c r="D2619" s="52">
        <f ca="1">S0*EXP((μ-0.5*σ*σ)*T+σ*SQRT(T)*$C2619)</f>
        <v>0.48509744705259877</v>
      </c>
      <c r="E2619" s="52">
        <f t="shared" ca="1" si="120"/>
        <v>4.9302552947401213E-2</v>
      </c>
      <c r="F2619" s="17">
        <f t="shared" ca="1" si="121"/>
        <v>1</v>
      </c>
      <c r="H2619" s="17">
        <v>2610</v>
      </c>
      <c r="I2619" s="45">
        <v>0.67218952682009625</v>
      </c>
      <c r="J2619" s="45">
        <v>1.9881356551362261E-2</v>
      </c>
      <c r="K2619" s="45">
        <v>0.25</v>
      </c>
      <c r="N2619" s="54"/>
    </row>
    <row r="2620" spans="2:14" x14ac:dyDescent="0.2">
      <c r="B2620">
        <v>2611</v>
      </c>
      <c r="C2620" s="52">
        <f ca="1"/>
        <v>-0.68723393362704444</v>
      </c>
      <c r="D2620" s="52">
        <f ca="1">S0*EXP((μ-0.5*σ*σ)*T+σ*SQRT(T)*$C2620)</f>
        <v>0.53244060806070836</v>
      </c>
      <c r="E2620" s="52">
        <f t="shared" ca="1" si="120"/>
        <v>1.9593919392916215E-3</v>
      </c>
      <c r="F2620" s="17">
        <f t="shared" ca="1" si="121"/>
        <v>1</v>
      </c>
      <c r="H2620" s="17">
        <v>2611</v>
      </c>
      <c r="I2620" s="45">
        <v>0.67142771704388726</v>
      </c>
      <c r="J2620" s="45">
        <v>1.9488387926021564E-2</v>
      </c>
      <c r="K2620" s="45">
        <v>0.24940000000000001</v>
      </c>
      <c r="N2620" s="54"/>
    </row>
    <row r="2621" spans="2:14" x14ac:dyDescent="0.2">
      <c r="B2621">
        <v>2612</v>
      </c>
      <c r="C2621" s="52">
        <f ca="1"/>
        <v>1.877587535117053</v>
      </c>
      <c r="D2621" s="52">
        <f ca="1">S0*EXP((μ-0.5*σ*σ)*T+σ*SQRT(T)*$C2621)</f>
        <v>1.081897151923205</v>
      </c>
      <c r="E2621" s="52">
        <f t="shared" ca="1" si="120"/>
        <v>0</v>
      </c>
      <c r="F2621" s="17">
        <f t="shared" ca="1" si="121"/>
        <v>0</v>
      </c>
      <c r="H2621" s="17">
        <v>2612</v>
      </c>
      <c r="I2621" s="45">
        <v>0.67107633671884537</v>
      </c>
      <c r="J2621" s="45">
        <v>1.9203266637267666E-2</v>
      </c>
      <c r="K2621" s="45">
        <v>0.24340000000000001</v>
      </c>
      <c r="N2621" s="54"/>
    </row>
    <row r="2622" spans="2:14" x14ac:dyDescent="0.2">
      <c r="B2622">
        <v>2613</v>
      </c>
      <c r="C2622" s="52">
        <f ca="1"/>
        <v>-1.4748593851092608</v>
      </c>
      <c r="D2622" s="52">
        <f ca="1">S0*EXP((μ-0.5*σ*σ)*T+σ*SQRT(T)*$C2622)</f>
        <v>0.42826667515592987</v>
      </c>
      <c r="E2622" s="52">
        <f t="shared" ca="1" si="120"/>
        <v>0.10613332484407012</v>
      </c>
      <c r="F2622" s="17">
        <f t="shared" ca="1" si="121"/>
        <v>1</v>
      </c>
      <c r="H2622" s="17">
        <v>2613</v>
      </c>
      <c r="I2622" s="45">
        <v>0.67089466971126577</v>
      </c>
      <c r="J2622" s="45">
        <v>1.906020048696961E-2</v>
      </c>
      <c r="K2622" s="45">
        <v>0.247</v>
      </c>
      <c r="N2622" s="54"/>
    </row>
    <row r="2623" spans="2:14" x14ac:dyDescent="0.2">
      <c r="B2623">
        <v>2614</v>
      </c>
      <c r="C2623" s="52">
        <f ca="1"/>
        <v>-0.234887252047704</v>
      </c>
      <c r="D2623" s="52">
        <f ca="1">S0*EXP((μ-0.5*σ*σ)*T+σ*SQRT(T)*$C2623)</f>
        <v>0.60336039437568767</v>
      </c>
      <c r="E2623" s="52">
        <f t="shared" ca="1" si="120"/>
        <v>0</v>
      </c>
      <c r="F2623" s="17">
        <f t="shared" ca="1" si="121"/>
        <v>0</v>
      </c>
      <c r="H2623" s="17">
        <v>2614</v>
      </c>
      <c r="I2623" s="45">
        <v>0.67166498903134797</v>
      </c>
      <c r="J2623" s="45">
        <v>1.9560933642081123E-2</v>
      </c>
      <c r="K2623" s="45">
        <v>0.25080000000000002</v>
      </c>
      <c r="N2623" s="54"/>
    </row>
    <row r="2624" spans="2:14" x14ac:dyDescent="0.2">
      <c r="B2624">
        <v>2615</v>
      </c>
      <c r="C2624" s="52">
        <f ca="1"/>
        <v>-8.0012834334886609E-2</v>
      </c>
      <c r="D2624" s="52">
        <f ca="1">S0*EXP((μ-0.5*σ*σ)*T+σ*SQRT(T)*$C2624)</f>
        <v>0.62975257971177978</v>
      </c>
      <c r="E2624" s="52">
        <f t="shared" ca="1" si="120"/>
        <v>0</v>
      </c>
      <c r="F2624" s="17">
        <f t="shared" ca="1" si="121"/>
        <v>0</v>
      </c>
      <c r="H2624" s="17">
        <v>2615</v>
      </c>
      <c r="I2624" s="45">
        <v>0.6705611900676326</v>
      </c>
      <c r="J2624" s="45">
        <v>1.8799876707027985E-2</v>
      </c>
      <c r="K2624" s="45">
        <v>0.24540000000000001</v>
      </c>
      <c r="N2624" s="54"/>
    </row>
    <row r="2625" spans="2:14" x14ac:dyDescent="0.2">
      <c r="B2625">
        <v>2616</v>
      </c>
      <c r="C2625" s="52">
        <f ca="1"/>
        <v>9.7981756764379535E-2</v>
      </c>
      <c r="D2625" s="52">
        <f ca="1">S0*EXP((μ-0.5*σ*σ)*T+σ*SQRT(T)*$C2625)</f>
        <v>0.66151357424756407</v>
      </c>
      <c r="E2625" s="52">
        <f t="shared" ca="1" si="120"/>
        <v>0</v>
      </c>
      <c r="F2625" s="17">
        <f t="shared" ca="1" si="121"/>
        <v>0</v>
      </c>
      <c r="H2625" s="17">
        <v>2616</v>
      </c>
      <c r="I2625" s="45">
        <v>0.67094695940489757</v>
      </c>
      <c r="J2625" s="45">
        <v>1.8945897774509151E-2</v>
      </c>
      <c r="K2625" s="45">
        <v>0.24060000000000001</v>
      </c>
      <c r="N2625" s="54"/>
    </row>
    <row r="2626" spans="2:14" x14ac:dyDescent="0.2">
      <c r="B2626">
        <v>2617</v>
      </c>
      <c r="C2626" s="52">
        <f ca="1"/>
        <v>-0.33817912465163324</v>
      </c>
      <c r="D2626" s="52">
        <f ca="1">S0*EXP((μ-0.5*σ*σ)*T+σ*SQRT(T)*$C2626)</f>
        <v>0.58637613673420308</v>
      </c>
      <c r="E2626" s="52">
        <f t="shared" ca="1" si="120"/>
        <v>0</v>
      </c>
      <c r="F2626" s="17">
        <f t="shared" ca="1" si="121"/>
        <v>0</v>
      </c>
      <c r="H2626" s="17">
        <v>2617</v>
      </c>
      <c r="I2626" s="45">
        <v>0.67095566131111151</v>
      </c>
      <c r="J2626" s="45">
        <v>1.9080062301687958E-2</v>
      </c>
      <c r="K2626" s="45">
        <v>0.248</v>
      </c>
      <c r="N2626" s="54"/>
    </row>
    <row r="2627" spans="2:14" x14ac:dyDescent="0.2">
      <c r="B2627">
        <v>2618</v>
      </c>
      <c r="C2627" s="52">
        <f ca="1"/>
        <v>1.7990487958499386</v>
      </c>
      <c r="D2627" s="52">
        <f ca="1">S0*EXP((μ-0.5*σ*σ)*T+σ*SQRT(T)*$C2627)</f>
        <v>1.0586615919078</v>
      </c>
      <c r="E2627" s="52">
        <f t="shared" ca="1" si="120"/>
        <v>0</v>
      </c>
      <c r="F2627" s="17">
        <f t="shared" ca="1" si="121"/>
        <v>0</v>
      </c>
      <c r="H2627" s="17">
        <v>2618</v>
      </c>
      <c r="I2627" s="45">
        <v>0.67152490855220293</v>
      </c>
      <c r="J2627" s="45">
        <v>1.9405760221341398E-2</v>
      </c>
      <c r="K2627" s="45">
        <v>0.24</v>
      </c>
      <c r="N2627" s="54"/>
    </row>
    <row r="2628" spans="2:14" x14ac:dyDescent="0.2">
      <c r="B2628">
        <v>2619</v>
      </c>
      <c r="C2628" s="52">
        <f ca="1"/>
        <v>-1.7078150418157332</v>
      </c>
      <c r="D2628" s="52">
        <f ca="1">S0*EXP((μ-0.5*σ*σ)*T+σ*SQRT(T)*$C2628)</f>
        <v>0.40155702642783625</v>
      </c>
      <c r="E2628" s="52">
        <f t="shared" ca="1" si="120"/>
        <v>0.13284297357216374</v>
      </c>
      <c r="F2628" s="17">
        <f t="shared" ca="1" si="121"/>
        <v>1</v>
      </c>
      <c r="H2628" s="17">
        <v>2619</v>
      </c>
      <c r="I2628" s="45">
        <v>0.66986522974179297</v>
      </c>
      <c r="J2628" s="45">
        <v>1.8225729506159426E-2</v>
      </c>
      <c r="K2628" s="45">
        <v>0.24579999999999999</v>
      </c>
      <c r="N2628" s="54"/>
    </row>
    <row r="2629" spans="2:14" x14ac:dyDescent="0.2">
      <c r="B2629">
        <v>2620</v>
      </c>
      <c r="C2629" s="52">
        <f ca="1"/>
        <v>0.25820646262129415</v>
      </c>
      <c r="D2629" s="52">
        <f ca="1">S0*EXP((μ-0.5*σ*σ)*T+σ*SQRT(T)*$C2629)</f>
        <v>0.69147142139987106</v>
      </c>
      <c r="E2629" s="52">
        <f t="shared" ca="1" si="120"/>
        <v>0</v>
      </c>
      <c r="F2629" s="17">
        <f t="shared" ca="1" si="121"/>
        <v>0</v>
      </c>
      <c r="H2629" s="17">
        <v>2620</v>
      </c>
      <c r="I2629" s="45">
        <v>0.67160620636693158</v>
      </c>
      <c r="J2629" s="45">
        <v>1.9661924429688098E-2</v>
      </c>
      <c r="K2629" s="45">
        <v>0.2492</v>
      </c>
      <c r="N2629" s="54"/>
    </row>
    <row r="2630" spans="2:14" x14ac:dyDescent="0.2">
      <c r="B2630">
        <v>2621</v>
      </c>
      <c r="C2630" s="52">
        <f ca="1"/>
        <v>1.1559008095301309</v>
      </c>
      <c r="D2630" s="52">
        <f ca="1">S0*EXP((μ-0.5*σ*σ)*T+σ*SQRT(T)*$C2630)</f>
        <v>0.88622753226277284</v>
      </c>
      <c r="E2630" s="52">
        <f t="shared" ca="1" si="120"/>
        <v>0</v>
      </c>
      <c r="F2630" s="17">
        <f t="shared" ca="1" si="121"/>
        <v>0</v>
      </c>
      <c r="H2630" s="17">
        <v>2621</v>
      </c>
      <c r="I2630" s="45">
        <v>0.66960436594281714</v>
      </c>
      <c r="J2630" s="45">
        <v>1.8217068468117114E-2</v>
      </c>
      <c r="K2630" s="45">
        <v>0.24260000000000001</v>
      </c>
      <c r="N2630" s="54"/>
    </row>
    <row r="2631" spans="2:14" x14ac:dyDescent="0.2">
      <c r="B2631">
        <v>2622</v>
      </c>
      <c r="C2631" s="52">
        <f ca="1"/>
        <v>-0.69154715129960742</v>
      </c>
      <c r="D2631" s="52">
        <f ca="1">S0*EXP((μ-0.5*σ*σ)*T+σ*SQRT(T)*$C2631)</f>
        <v>0.53180615019387112</v>
      </c>
      <c r="E2631" s="52">
        <f t="shared" ca="1" si="120"/>
        <v>2.5938498061288673E-3</v>
      </c>
      <c r="F2631" s="17">
        <f t="shared" ca="1" si="121"/>
        <v>1</v>
      </c>
      <c r="H2631" s="17">
        <v>2622</v>
      </c>
      <c r="I2631" s="45">
        <v>0.6711907750509829</v>
      </c>
      <c r="J2631" s="45">
        <v>1.878498636067517E-2</v>
      </c>
      <c r="K2631" s="45">
        <v>0.24340000000000001</v>
      </c>
      <c r="N2631" s="54"/>
    </row>
    <row r="2632" spans="2:14" x14ac:dyDescent="0.2">
      <c r="B2632">
        <v>2623</v>
      </c>
      <c r="C2632" s="52">
        <f ca="1"/>
        <v>-1.4714307419780228</v>
      </c>
      <c r="D2632" s="52">
        <f ca="1">S0*EXP((μ-0.5*σ*σ)*T+σ*SQRT(T)*$C2632)</f>
        <v>0.42867277377596513</v>
      </c>
      <c r="E2632" s="52">
        <f t="shared" ca="1" si="120"/>
        <v>0.10572722622403485</v>
      </c>
      <c r="F2632" s="17">
        <f t="shared" ca="1" si="121"/>
        <v>1</v>
      </c>
      <c r="H2632" s="17">
        <v>2623</v>
      </c>
      <c r="I2632" s="45">
        <v>0.67113897272906775</v>
      </c>
      <c r="J2632" s="45">
        <v>1.8978225901481936E-2</v>
      </c>
      <c r="K2632" s="45">
        <v>0.24759999999999999</v>
      </c>
      <c r="N2632" s="54"/>
    </row>
    <row r="2633" spans="2:14" x14ac:dyDescent="0.2">
      <c r="B2633">
        <v>2624</v>
      </c>
      <c r="C2633" s="52">
        <f ca="1"/>
        <v>0.38783853913802174</v>
      </c>
      <c r="D2633" s="52">
        <f ca="1">S0*EXP((μ-0.5*σ*σ)*T+σ*SQRT(T)*$C2633)</f>
        <v>0.71669928295025309</v>
      </c>
      <c r="E2633" s="52">
        <f t="shared" ca="1" si="120"/>
        <v>0</v>
      </c>
      <c r="F2633" s="17">
        <f t="shared" ca="1" si="121"/>
        <v>0</v>
      </c>
      <c r="H2633" s="17">
        <v>2624</v>
      </c>
      <c r="I2633" s="45">
        <v>0.66961935742182011</v>
      </c>
      <c r="J2633" s="45">
        <v>1.8062141251304727E-2</v>
      </c>
      <c r="K2633" s="45">
        <v>0.24079999999999999</v>
      </c>
      <c r="N2633" s="54"/>
    </row>
    <row r="2634" spans="2:14" x14ac:dyDescent="0.2">
      <c r="B2634">
        <v>2625</v>
      </c>
      <c r="C2634" s="52">
        <f ca="1"/>
        <v>1.0196615138539766</v>
      </c>
      <c r="D2634" s="52">
        <f ca="1">S0*EXP((μ-0.5*σ*σ)*T+σ*SQRT(T)*$C2634)</f>
        <v>0.85347201671196682</v>
      </c>
      <c r="E2634" s="52">
        <f t="shared" ref="E2634:E2697" ca="1" si="122">MAX(0,CP*(D2634-K))</f>
        <v>0</v>
      </c>
      <c r="F2634" s="17">
        <f t="shared" ref="F2634:F2697" ca="1" si="123">(CP*(D2634-K)&gt;0)*1</f>
        <v>0</v>
      </c>
      <c r="H2634" s="17">
        <v>2625</v>
      </c>
      <c r="I2634" s="45">
        <v>0.6713787147433683</v>
      </c>
      <c r="J2634" s="45">
        <v>1.9448282797734123E-2</v>
      </c>
      <c r="K2634" s="45">
        <v>0.24840000000000001</v>
      </c>
      <c r="N2634" s="54"/>
    </row>
    <row r="2635" spans="2:14" x14ac:dyDescent="0.2">
      <c r="B2635">
        <v>2626</v>
      </c>
      <c r="C2635" s="52">
        <f ca="1"/>
        <v>0.46046003202669744</v>
      </c>
      <c r="D2635" s="52">
        <f ca="1">S0*EXP((μ-0.5*σ*σ)*T+σ*SQRT(T)*$C2635)</f>
        <v>0.73123236666183766</v>
      </c>
      <c r="E2635" s="52">
        <f t="shared" ca="1" si="122"/>
        <v>0</v>
      </c>
      <c r="F2635" s="17">
        <f t="shared" ca="1" si="123"/>
        <v>0</v>
      </c>
      <c r="H2635" s="17">
        <v>2626</v>
      </c>
      <c r="I2635" s="45">
        <v>0.67052358123317657</v>
      </c>
      <c r="J2635" s="45">
        <v>1.86734078255495E-2</v>
      </c>
      <c r="K2635" s="45">
        <v>0.2432</v>
      </c>
      <c r="N2635" s="54"/>
    </row>
    <row r="2636" spans="2:14" x14ac:dyDescent="0.2">
      <c r="B2636">
        <v>2627</v>
      </c>
      <c r="C2636" s="52">
        <f ca="1"/>
        <v>-0.39303169490075912</v>
      </c>
      <c r="D2636" s="52">
        <f ca="1">S0*EXP((μ-0.5*σ*σ)*T+σ*SQRT(T)*$C2636)</f>
        <v>0.57755196520519725</v>
      </c>
      <c r="E2636" s="52">
        <f t="shared" ca="1" si="122"/>
        <v>0</v>
      </c>
      <c r="F2636" s="17">
        <f t="shared" ca="1" si="123"/>
        <v>0</v>
      </c>
      <c r="H2636" s="17">
        <v>2627</v>
      </c>
      <c r="I2636" s="45">
        <v>0.67219407056249725</v>
      </c>
      <c r="J2636" s="45">
        <v>1.9810753617581285E-2</v>
      </c>
      <c r="K2636" s="45">
        <v>0.25</v>
      </c>
      <c r="N2636" s="54"/>
    </row>
    <row r="2637" spans="2:14" x14ac:dyDescent="0.2">
      <c r="B2637">
        <v>2628</v>
      </c>
      <c r="C2637" s="52">
        <f ca="1"/>
        <v>-0.55656564894770533</v>
      </c>
      <c r="D2637" s="52">
        <f ca="1">S0*EXP((μ-0.5*σ*σ)*T+σ*SQRT(T)*$C2637)</f>
        <v>0.55202443936476542</v>
      </c>
      <c r="E2637" s="52">
        <f t="shared" ca="1" si="122"/>
        <v>0</v>
      </c>
      <c r="F2637" s="17">
        <f t="shared" ca="1" si="123"/>
        <v>0</v>
      </c>
      <c r="H2637" s="17">
        <v>2628</v>
      </c>
      <c r="I2637" s="45">
        <v>0.66953215610670491</v>
      </c>
      <c r="J2637" s="45">
        <v>1.8067408953633832E-2</v>
      </c>
      <c r="K2637" s="45">
        <v>0.2412</v>
      </c>
      <c r="N2637" s="54"/>
    </row>
    <row r="2638" spans="2:14" x14ac:dyDescent="0.2">
      <c r="B2638">
        <v>2629</v>
      </c>
      <c r="C2638" s="52">
        <f ca="1"/>
        <v>0.8981737395402154</v>
      </c>
      <c r="D2638" s="52">
        <f ca="1">S0*EXP((μ-0.5*σ*σ)*T+σ*SQRT(T)*$C2638)</f>
        <v>0.82528566287565319</v>
      </c>
      <c r="E2638" s="52">
        <f t="shared" ca="1" si="122"/>
        <v>0</v>
      </c>
      <c r="F2638" s="17">
        <f t="shared" ca="1" si="123"/>
        <v>0</v>
      </c>
      <c r="H2638" s="17">
        <v>2629</v>
      </c>
      <c r="I2638" s="45">
        <v>0.67119730076795237</v>
      </c>
      <c r="J2638" s="45">
        <v>1.9142057909828189E-2</v>
      </c>
      <c r="K2638" s="45">
        <v>0.24579999999999999</v>
      </c>
      <c r="N2638" s="54"/>
    </row>
    <row r="2639" spans="2:14" x14ac:dyDescent="0.2">
      <c r="B2639">
        <v>2630</v>
      </c>
      <c r="C2639" s="52">
        <f ca="1"/>
        <v>6.5186353361627272E-2</v>
      </c>
      <c r="D2639" s="52">
        <f ca="1">S0*EXP((μ-0.5*σ*σ)*T+σ*SQRT(T)*$C2639)</f>
        <v>0.65554358221394571</v>
      </c>
      <c r="E2639" s="52">
        <f t="shared" ca="1" si="122"/>
        <v>0</v>
      </c>
      <c r="F2639" s="17">
        <f t="shared" ca="1" si="123"/>
        <v>0</v>
      </c>
      <c r="H2639" s="17">
        <v>2630</v>
      </c>
      <c r="I2639" s="45">
        <v>0.67147135742756558</v>
      </c>
      <c r="J2639" s="45">
        <v>1.9400784509664096E-2</v>
      </c>
      <c r="K2639" s="45">
        <v>0.2462</v>
      </c>
      <c r="N2639" s="54"/>
    </row>
    <row r="2640" spans="2:14" x14ac:dyDescent="0.2">
      <c r="B2640">
        <v>2631</v>
      </c>
      <c r="C2640" s="52">
        <f ca="1"/>
        <v>1.4392518079400338</v>
      </c>
      <c r="D2640" s="52">
        <f ca="1">S0*EXP((μ-0.5*σ*σ)*T+σ*SQRT(T)*$C2640)</f>
        <v>0.95843443329449152</v>
      </c>
      <c r="E2640" s="52">
        <f t="shared" ca="1" si="122"/>
        <v>0</v>
      </c>
      <c r="F2640" s="17">
        <f t="shared" ca="1" si="123"/>
        <v>0</v>
      </c>
      <c r="H2640" s="17">
        <v>2631</v>
      </c>
      <c r="I2640" s="45">
        <v>0.67105288458190571</v>
      </c>
      <c r="J2640" s="45">
        <v>1.9160111747250783E-2</v>
      </c>
      <c r="K2640" s="45">
        <v>0.25159999999999999</v>
      </c>
      <c r="N2640" s="54"/>
    </row>
    <row r="2641" spans="2:14" x14ac:dyDescent="0.2">
      <c r="B2641">
        <v>2632</v>
      </c>
      <c r="C2641" s="52">
        <f ca="1"/>
        <v>0.57058924358790153</v>
      </c>
      <c r="D2641" s="52">
        <f ca="1">S0*EXP((μ-0.5*σ*σ)*T+σ*SQRT(T)*$C2641)</f>
        <v>0.75383580496517422</v>
      </c>
      <c r="E2641" s="52">
        <f t="shared" ca="1" si="122"/>
        <v>0</v>
      </c>
      <c r="F2641" s="17">
        <f t="shared" ca="1" si="123"/>
        <v>0</v>
      </c>
      <c r="H2641" s="17">
        <v>2632</v>
      </c>
      <c r="I2641" s="45">
        <v>0.67058727458440537</v>
      </c>
      <c r="J2641" s="45">
        <v>1.8901140719597982E-2</v>
      </c>
      <c r="K2641" s="45">
        <v>0.2442</v>
      </c>
      <c r="N2641" s="54"/>
    </row>
    <row r="2642" spans="2:14" x14ac:dyDescent="0.2">
      <c r="B2642">
        <v>2633</v>
      </c>
      <c r="C2642" s="52">
        <f ca="1"/>
        <v>-0.25157776078524918</v>
      </c>
      <c r="D2642" s="52">
        <f ca="1">S0*EXP((μ-0.5*σ*σ)*T+σ*SQRT(T)*$C2642)</f>
        <v>0.60058302267102426</v>
      </c>
      <c r="E2642" s="52">
        <f t="shared" ca="1" si="122"/>
        <v>0</v>
      </c>
      <c r="F2642" s="17">
        <f t="shared" ca="1" si="123"/>
        <v>0</v>
      </c>
      <c r="H2642" s="17">
        <v>2633</v>
      </c>
      <c r="I2642" s="45">
        <v>0.66927014929798834</v>
      </c>
      <c r="J2642" s="45">
        <v>1.7793013695073266E-2</v>
      </c>
      <c r="K2642" s="45">
        <v>0.2412</v>
      </c>
      <c r="N2642" s="54"/>
    </row>
    <row r="2643" spans="2:14" x14ac:dyDescent="0.2">
      <c r="B2643">
        <v>2634</v>
      </c>
      <c r="C2643" s="52">
        <f ca="1"/>
        <v>0.86946172112188325</v>
      </c>
      <c r="D2643" s="52">
        <f ca="1">S0*EXP((μ-0.5*σ*σ)*T+σ*SQRT(T)*$C2643)</f>
        <v>0.81876134965509018</v>
      </c>
      <c r="E2643" s="52">
        <f t="shared" ca="1" si="122"/>
        <v>0</v>
      </c>
      <c r="F2643" s="17">
        <f t="shared" ca="1" si="123"/>
        <v>0</v>
      </c>
      <c r="H2643" s="17">
        <v>2634</v>
      </c>
      <c r="I2643" s="45">
        <v>0.67136761280048896</v>
      </c>
      <c r="J2643" s="45">
        <v>1.9276624276078229E-2</v>
      </c>
      <c r="K2643" s="45">
        <v>0.24579999999999999</v>
      </c>
      <c r="N2643" s="54"/>
    </row>
    <row r="2644" spans="2:14" x14ac:dyDescent="0.2">
      <c r="B2644">
        <v>2635</v>
      </c>
      <c r="C2644" s="52">
        <f ca="1"/>
        <v>0.97130978888077413</v>
      </c>
      <c r="D2644" s="52">
        <f ca="1">S0*EXP((μ-0.5*σ*σ)*T+σ*SQRT(T)*$C2644)</f>
        <v>0.84214041697551678</v>
      </c>
      <c r="E2644" s="52">
        <f t="shared" ca="1" si="122"/>
        <v>0</v>
      </c>
      <c r="F2644" s="17">
        <f t="shared" ca="1" si="123"/>
        <v>0</v>
      </c>
      <c r="H2644" s="17">
        <v>2635</v>
      </c>
      <c r="I2644" s="45">
        <v>0.6704764101162578</v>
      </c>
      <c r="J2644" s="45">
        <v>1.8634650968733832E-2</v>
      </c>
      <c r="K2644" s="45">
        <v>0.24879999999999999</v>
      </c>
      <c r="N2644" s="54"/>
    </row>
    <row r="2645" spans="2:14" x14ac:dyDescent="0.2">
      <c r="B2645">
        <v>2636</v>
      </c>
      <c r="C2645" s="52">
        <f ca="1"/>
        <v>-2.4993157424039527</v>
      </c>
      <c r="D2645" s="52">
        <f ca="1">S0*EXP((μ-0.5*σ*σ)*T+σ*SQRT(T)*$C2645)</f>
        <v>0.32264512307122606</v>
      </c>
      <c r="E2645" s="52">
        <f t="shared" ca="1" si="122"/>
        <v>0.21175487692877393</v>
      </c>
      <c r="F2645" s="17">
        <f t="shared" ca="1" si="123"/>
        <v>1</v>
      </c>
      <c r="H2645" s="17">
        <v>2636</v>
      </c>
      <c r="I2645" s="45">
        <v>0.67154155024268736</v>
      </c>
      <c r="J2645" s="45">
        <v>1.9619434003825497E-2</v>
      </c>
      <c r="K2645" s="45">
        <v>0.25140000000000001</v>
      </c>
      <c r="N2645" s="54"/>
    </row>
    <row r="2646" spans="2:14" x14ac:dyDescent="0.2">
      <c r="B2646">
        <v>2637</v>
      </c>
      <c r="C2646" s="52">
        <f ca="1"/>
        <v>-1.0333341077752016</v>
      </c>
      <c r="D2646" s="52">
        <f ca="1">S0*EXP((μ-0.5*σ*σ)*T+σ*SQRT(T)*$C2646)</f>
        <v>0.48386116496151038</v>
      </c>
      <c r="E2646" s="52">
        <f t="shared" ca="1" si="122"/>
        <v>5.0538835038489605E-2</v>
      </c>
      <c r="F2646" s="17">
        <f t="shared" ca="1" si="123"/>
        <v>1</v>
      </c>
      <c r="H2646" s="17">
        <v>2637</v>
      </c>
      <c r="I2646" s="45">
        <v>0.67105278555019698</v>
      </c>
      <c r="J2646" s="45">
        <v>1.8985763931918781E-2</v>
      </c>
      <c r="K2646" s="45">
        <v>0.24479999999999999</v>
      </c>
      <c r="N2646" s="54"/>
    </row>
    <row r="2647" spans="2:14" x14ac:dyDescent="0.2">
      <c r="B2647">
        <v>2638</v>
      </c>
      <c r="C2647" s="52">
        <f ca="1"/>
        <v>0.6124402901406435</v>
      </c>
      <c r="D2647" s="52">
        <f ca="1">S0*EXP((μ-0.5*σ*σ)*T+σ*SQRT(T)*$C2647)</f>
        <v>0.76260756620575143</v>
      </c>
      <c r="E2647" s="52">
        <f t="shared" ca="1" si="122"/>
        <v>0</v>
      </c>
      <c r="F2647" s="17">
        <f t="shared" ca="1" si="123"/>
        <v>0</v>
      </c>
      <c r="H2647" s="17">
        <v>2638</v>
      </c>
      <c r="I2647" s="45">
        <v>0.67008433134133383</v>
      </c>
      <c r="J2647" s="45">
        <v>1.8367374279744938E-2</v>
      </c>
      <c r="K2647" s="45">
        <v>0.24679999999999999</v>
      </c>
      <c r="N2647" s="54"/>
    </row>
    <row r="2648" spans="2:14" x14ac:dyDescent="0.2">
      <c r="B2648">
        <v>2639</v>
      </c>
      <c r="C2648" s="52">
        <f ca="1"/>
        <v>3.2851586266876178</v>
      </c>
      <c r="D2648" s="52">
        <f ca="1">S0*EXP((μ-0.5*σ*σ)*T+σ*SQRT(T)*$C2648)</f>
        <v>1.5965012821993394</v>
      </c>
      <c r="E2648" s="52">
        <f t="shared" ca="1" si="122"/>
        <v>0</v>
      </c>
      <c r="F2648" s="17">
        <f t="shared" ca="1" si="123"/>
        <v>0</v>
      </c>
      <c r="H2648" s="17">
        <v>2639</v>
      </c>
      <c r="I2648" s="45">
        <v>0.67171734916996451</v>
      </c>
      <c r="J2648" s="45">
        <v>1.9516484962315821E-2</v>
      </c>
      <c r="K2648" s="45">
        <v>0.25180000000000002</v>
      </c>
      <c r="N2648" s="54"/>
    </row>
    <row r="2649" spans="2:14" x14ac:dyDescent="0.2">
      <c r="B2649">
        <v>2640</v>
      </c>
      <c r="C2649" s="52">
        <f ca="1"/>
        <v>-0.31649734025274484</v>
      </c>
      <c r="D2649" s="52">
        <f ca="1">S0*EXP((μ-0.5*σ*σ)*T+σ*SQRT(T)*$C2649)</f>
        <v>0.5899011646786988</v>
      </c>
      <c r="E2649" s="52">
        <f t="shared" ca="1" si="122"/>
        <v>0</v>
      </c>
      <c r="F2649" s="17">
        <f t="shared" ca="1" si="123"/>
        <v>0</v>
      </c>
      <c r="H2649" s="17">
        <v>2640</v>
      </c>
      <c r="I2649" s="45">
        <v>0.67139525957101431</v>
      </c>
      <c r="J2649" s="45">
        <v>1.9116774186373014E-2</v>
      </c>
      <c r="K2649" s="45">
        <v>0.249</v>
      </c>
      <c r="N2649" s="54"/>
    </row>
    <row r="2650" spans="2:14" x14ac:dyDescent="0.2">
      <c r="B2650">
        <v>2641</v>
      </c>
      <c r="C2650" s="52">
        <f ca="1"/>
        <v>-0.75032987378929916</v>
      </c>
      <c r="D2650" s="52">
        <f ca="1">S0*EXP((μ-0.5*σ*σ)*T+σ*SQRT(T)*$C2650)</f>
        <v>0.52323442128961895</v>
      </c>
      <c r="E2650" s="52">
        <f t="shared" ca="1" si="122"/>
        <v>1.1165578710381041E-2</v>
      </c>
      <c r="F2650" s="17">
        <f t="shared" ca="1" si="123"/>
        <v>1</v>
      </c>
      <c r="H2650" s="17">
        <v>2641</v>
      </c>
      <c r="I2650" s="45">
        <v>0.67189740545373355</v>
      </c>
      <c r="J2650" s="45">
        <v>1.916656299911082E-2</v>
      </c>
      <c r="K2650" s="45">
        <v>0.2404</v>
      </c>
      <c r="N2650" s="54"/>
    </row>
    <row r="2651" spans="2:14" x14ac:dyDescent="0.2">
      <c r="B2651">
        <v>2642</v>
      </c>
      <c r="C2651" s="52">
        <f ca="1"/>
        <v>-0.64314882928764006</v>
      </c>
      <c r="D2651" s="52">
        <f ca="1">S0*EXP((μ-0.5*σ*σ)*T+σ*SQRT(T)*$C2651)</f>
        <v>0.53896892348961856</v>
      </c>
      <c r="E2651" s="52">
        <f t="shared" ca="1" si="122"/>
        <v>0</v>
      </c>
      <c r="F2651" s="17">
        <f t="shared" ca="1" si="123"/>
        <v>0</v>
      </c>
      <c r="H2651" s="17">
        <v>2642</v>
      </c>
      <c r="I2651" s="45">
        <v>0.67150762435097744</v>
      </c>
      <c r="J2651" s="45">
        <v>1.9532676567906214E-2</v>
      </c>
      <c r="K2651" s="45">
        <v>0.25180000000000002</v>
      </c>
      <c r="N2651" s="54"/>
    </row>
    <row r="2652" spans="2:14" x14ac:dyDescent="0.2">
      <c r="B2652">
        <v>2643</v>
      </c>
      <c r="C2652" s="52">
        <f ca="1"/>
        <v>-0.99164633031887783</v>
      </c>
      <c r="D2652" s="52">
        <f ca="1">S0*EXP((μ-0.5*σ*σ)*T+σ*SQRT(T)*$C2652)</f>
        <v>0.4894693638525674</v>
      </c>
      <c r="E2652" s="52">
        <f t="shared" ca="1" si="122"/>
        <v>4.493063614743259E-2</v>
      </c>
      <c r="F2652" s="17">
        <f t="shared" ca="1" si="123"/>
        <v>1</v>
      </c>
      <c r="H2652" s="17">
        <v>2643</v>
      </c>
      <c r="I2652" s="45">
        <v>0.67114789882759707</v>
      </c>
      <c r="J2652" s="45">
        <v>1.9140051560607885E-2</v>
      </c>
      <c r="K2652" s="45">
        <v>0.25140000000000001</v>
      </c>
      <c r="N2652" s="54"/>
    </row>
    <row r="2653" spans="2:14" x14ac:dyDescent="0.2">
      <c r="B2653">
        <v>2644</v>
      </c>
      <c r="C2653" s="52">
        <f ca="1"/>
        <v>0.58538023539448003</v>
      </c>
      <c r="D2653" s="52">
        <f ca="1">S0*EXP((μ-0.5*σ*σ)*T+σ*SQRT(T)*$C2653)</f>
        <v>0.75692433148294436</v>
      </c>
      <c r="E2653" s="52">
        <f t="shared" ca="1" si="122"/>
        <v>0</v>
      </c>
      <c r="F2653" s="17">
        <f t="shared" ca="1" si="123"/>
        <v>0</v>
      </c>
      <c r="H2653" s="17">
        <v>2644</v>
      </c>
      <c r="I2653" s="45">
        <v>0.67024380134908357</v>
      </c>
      <c r="J2653" s="45">
        <v>1.8599343687164829E-2</v>
      </c>
      <c r="K2653" s="45">
        <v>0.245</v>
      </c>
      <c r="N2653" s="54"/>
    </row>
    <row r="2654" spans="2:14" x14ac:dyDescent="0.2">
      <c r="B2654">
        <v>2645</v>
      </c>
      <c r="C2654" s="52">
        <f ca="1"/>
        <v>0.82236395179138155</v>
      </c>
      <c r="D2654" s="52">
        <f ca="1">S0*EXP((μ-0.5*σ*σ)*T+σ*SQRT(T)*$C2654)</f>
        <v>0.80817069653303353</v>
      </c>
      <c r="E2654" s="52">
        <f t="shared" ca="1" si="122"/>
        <v>0</v>
      </c>
      <c r="F2654" s="17">
        <f t="shared" ca="1" si="123"/>
        <v>0</v>
      </c>
      <c r="H2654" s="17">
        <v>2645</v>
      </c>
      <c r="I2654" s="45">
        <v>0.67132681985637277</v>
      </c>
      <c r="J2654" s="45">
        <v>1.9324198463846917E-2</v>
      </c>
      <c r="K2654" s="45">
        <v>0.24660000000000001</v>
      </c>
      <c r="N2654" s="54"/>
    </row>
    <row r="2655" spans="2:14" x14ac:dyDescent="0.2">
      <c r="B2655">
        <v>2646</v>
      </c>
      <c r="C2655" s="52">
        <f ca="1"/>
        <v>2.2896363391464289</v>
      </c>
      <c r="D2655" s="52">
        <f ca="1">S0*EXP((μ-0.5*σ*σ)*T+σ*SQRT(T)*$C2655)</f>
        <v>1.212421753569503</v>
      </c>
      <c r="E2655" s="52">
        <f t="shared" ca="1" si="122"/>
        <v>0</v>
      </c>
      <c r="F2655" s="17">
        <f t="shared" ca="1" si="123"/>
        <v>0</v>
      </c>
      <c r="H2655" s="17">
        <v>2646</v>
      </c>
      <c r="I2655" s="45">
        <v>0.67068009525154615</v>
      </c>
      <c r="J2655" s="45">
        <v>1.8928946018797518E-2</v>
      </c>
      <c r="K2655" s="45">
        <v>0.25259999999999999</v>
      </c>
      <c r="N2655" s="54"/>
    </row>
    <row r="2656" spans="2:14" x14ac:dyDescent="0.2">
      <c r="B2656">
        <v>2647</v>
      </c>
      <c r="C2656" s="52">
        <f ca="1"/>
        <v>-0.1621325125578118</v>
      </c>
      <c r="D2656" s="52">
        <f ca="1">S0*EXP((μ-0.5*σ*σ)*T+σ*SQRT(T)*$C2656)</f>
        <v>0.6156178899946263</v>
      </c>
      <c r="E2656" s="52">
        <f t="shared" ca="1" si="122"/>
        <v>0</v>
      </c>
      <c r="F2656" s="17">
        <f t="shared" ca="1" si="123"/>
        <v>0</v>
      </c>
      <c r="H2656" s="17">
        <v>2647</v>
      </c>
      <c r="I2656" s="45">
        <v>0.670970027345694</v>
      </c>
      <c r="J2656" s="45">
        <v>1.8906244560137977E-2</v>
      </c>
      <c r="K2656" s="45">
        <v>0.2452</v>
      </c>
      <c r="N2656" s="54"/>
    </row>
    <row r="2657" spans="2:14" x14ac:dyDescent="0.2">
      <c r="B2657">
        <v>2648</v>
      </c>
      <c r="C2657" s="52">
        <f ca="1"/>
        <v>0.45965228852418161</v>
      </c>
      <c r="D2657" s="52">
        <f ca="1">S0*EXP((μ-0.5*σ*σ)*T+σ*SQRT(T)*$C2657)</f>
        <v>0.73106911052467549</v>
      </c>
      <c r="E2657" s="52">
        <f t="shared" ca="1" si="122"/>
        <v>0</v>
      </c>
      <c r="F2657" s="17">
        <f t="shared" ca="1" si="123"/>
        <v>0</v>
      </c>
      <c r="H2657" s="17">
        <v>2648</v>
      </c>
      <c r="I2657" s="45">
        <v>0.67062455878461058</v>
      </c>
      <c r="J2657" s="45">
        <v>1.8530311542917479E-2</v>
      </c>
      <c r="K2657" s="45">
        <v>0.24060000000000001</v>
      </c>
      <c r="N2657" s="54"/>
    </row>
    <row r="2658" spans="2:14" x14ac:dyDescent="0.2">
      <c r="B2658">
        <v>2649</v>
      </c>
      <c r="C2658" s="52">
        <f ca="1"/>
        <v>2.4466476486599449E-2</v>
      </c>
      <c r="D2658" s="52">
        <f ca="1">S0*EXP((μ-0.5*σ*σ)*T+σ*SQRT(T)*$C2658)</f>
        <v>0.64820596305920353</v>
      </c>
      <c r="E2658" s="52">
        <f t="shared" ca="1" si="122"/>
        <v>0</v>
      </c>
      <c r="F2658" s="17">
        <f t="shared" ca="1" si="123"/>
        <v>0</v>
      </c>
      <c r="H2658" s="17">
        <v>2649</v>
      </c>
      <c r="I2658" s="45">
        <v>0.67025294129550173</v>
      </c>
      <c r="J2658" s="45">
        <v>1.8732394189986876E-2</v>
      </c>
      <c r="K2658" s="45">
        <v>0.24640000000000001</v>
      </c>
      <c r="N2658" s="54"/>
    </row>
    <row r="2659" spans="2:14" x14ac:dyDescent="0.2">
      <c r="B2659">
        <v>2650</v>
      </c>
      <c r="C2659" s="52">
        <f ca="1"/>
        <v>0.5470239843567285</v>
      </c>
      <c r="D2659" s="52">
        <f ca="1">S0*EXP((μ-0.5*σ*σ)*T+σ*SQRT(T)*$C2659)</f>
        <v>0.7489411246594927</v>
      </c>
      <c r="E2659" s="52">
        <f t="shared" ca="1" si="122"/>
        <v>0</v>
      </c>
      <c r="F2659" s="17">
        <f t="shared" ca="1" si="123"/>
        <v>0</v>
      </c>
      <c r="H2659" s="17">
        <v>2650</v>
      </c>
      <c r="I2659" s="45">
        <v>0.67139574373447808</v>
      </c>
      <c r="J2659" s="45">
        <v>1.9458236190672256E-2</v>
      </c>
      <c r="K2659" s="45">
        <v>0.246</v>
      </c>
      <c r="N2659" s="54"/>
    </row>
    <row r="2660" spans="2:14" x14ac:dyDescent="0.2">
      <c r="B2660">
        <v>2651</v>
      </c>
      <c r="C2660" s="52">
        <f ca="1"/>
        <v>-0.24082709972893918</v>
      </c>
      <c r="D2660" s="52">
        <f ca="1">S0*EXP((μ-0.5*σ*σ)*T+σ*SQRT(T)*$C2660)</f>
        <v>0.6023705094077525</v>
      </c>
      <c r="E2660" s="52">
        <f t="shared" ca="1" si="122"/>
        <v>0</v>
      </c>
      <c r="F2660" s="17">
        <f t="shared" ca="1" si="123"/>
        <v>0</v>
      </c>
      <c r="H2660" s="17">
        <v>2651</v>
      </c>
      <c r="I2660" s="45">
        <v>0.66923753481236303</v>
      </c>
      <c r="J2660" s="45">
        <v>1.7735581472885214E-2</v>
      </c>
      <c r="K2660" s="45">
        <v>0.23280000000000001</v>
      </c>
      <c r="N2660" s="54"/>
    </row>
    <row r="2661" spans="2:14" x14ac:dyDescent="0.2">
      <c r="B2661">
        <v>2652</v>
      </c>
      <c r="C2661" s="52">
        <f ca="1"/>
        <v>-0.27046081648310089</v>
      </c>
      <c r="D2661" s="52">
        <f ca="1">S0*EXP((μ-0.5*σ*σ)*T+σ*SQRT(T)*$C2661)</f>
        <v>0.59745621293468987</v>
      </c>
      <c r="E2661" s="52">
        <f t="shared" ca="1" si="122"/>
        <v>0</v>
      </c>
      <c r="F2661" s="17">
        <f t="shared" ca="1" si="123"/>
        <v>0</v>
      </c>
      <c r="H2661" s="17">
        <v>2652</v>
      </c>
      <c r="I2661" s="45">
        <v>0.67039356556880636</v>
      </c>
      <c r="J2661" s="45">
        <v>1.8612591891759976E-2</v>
      </c>
      <c r="K2661" s="45">
        <v>0.24099999999999999</v>
      </c>
      <c r="N2661" s="54"/>
    </row>
    <row r="2662" spans="2:14" x14ac:dyDescent="0.2">
      <c r="B2662">
        <v>2653</v>
      </c>
      <c r="C2662" s="52">
        <f ca="1"/>
        <v>-1.0922477687215086</v>
      </c>
      <c r="D2662" s="52">
        <f ca="1">S0*EXP((μ-0.5*σ*σ)*T+σ*SQRT(T)*$C2662)</f>
        <v>0.47604498923697108</v>
      </c>
      <c r="E2662" s="52">
        <f t="shared" ca="1" si="122"/>
        <v>5.8355010763028903E-2</v>
      </c>
      <c r="F2662" s="17">
        <f t="shared" ca="1" si="123"/>
        <v>1</v>
      </c>
      <c r="H2662" s="17">
        <v>2653</v>
      </c>
      <c r="I2662" s="45">
        <v>0.67052228002660663</v>
      </c>
      <c r="J2662" s="45">
        <v>1.8627495056474683E-2</v>
      </c>
      <c r="K2662" s="45">
        <v>0.24440000000000001</v>
      </c>
      <c r="N2662" s="54"/>
    </row>
    <row r="2663" spans="2:14" x14ac:dyDescent="0.2">
      <c r="B2663">
        <v>2654</v>
      </c>
      <c r="C2663" s="52">
        <f ca="1"/>
        <v>-1.0076368844261507</v>
      </c>
      <c r="D2663" s="52">
        <f ca="1">S0*EXP((μ-0.5*σ*σ)*T+σ*SQRT(T)*$C2663)</f>
        <v>0.48731053285604903</v>
      </c>
      <c r="E2663" s="52">
        <f t="shared" ca="1" si="122"/>
        <v>4.7089467143950958E-2</v>
      </c>
      <c r="F2663" s="17">
        <f t="shared" ca="1" si="123"/>
        <v>1</v>
      </c>
      <c r="H2663" s="17">
        <v>2654</v>
      </c>
      <c r="I2663" s="45">
        <v>0.67132028558671741</v>
      </c>
      <c r="J2663" s="45">
        <v>1.9173866598914562E-2</v>
      </c>
      <c r="K2663" s="45">
        <v>0.2414</v>
      </c>
      <c r="N2663" s="54"/>
    </row>
    <row r="2664" spans="2:14" x14ac:dyDescent="0.2">
      <c r="B2664">
        <v>2655</v>
      </c>
      <c r="C2664" s="52">
        <f ca="1"/>
        <v>-0.30453947416662358</v>
      </c>
      <c r="D2664" s="52">
        <f ca="1">S0*EXP((μ-0.5*σ*σ)*T+σ*SQRT(T)*$C2664)</f>
        <v>0.59185433469322224</v>
      </c>
      <c r="E2664" s="52">
        <f t="shared" ca="1" si="122"/>
        <v>0</v>
      </c>
      <c r="F2664" s="17">
        <f t="shared" ca="1" si="123"/>
        <v>0</v>
      </c>
      <c r="H2664" s="17">
        <v>2655</v>
      </c>
      <c r="I2664" s="45">
        <v>0.67072536546229578</v>
      </c>
      <c r="J2664" s="45">
        <v>1.8873394692165146E-2</v>
      </c>
      <c r="K2664" s="45">
        <v>0.247</v>
      </c>
      <c r="N2664" s="54"/>
    </row>
    <row r="2665" spans="2:14" x14ac:dyDescent="0.2">
      <c r="B2665">
        <v>2656</v>
      </c>
      <c r="C2665" s="52">
        <f ca="1"/>
        <v>-0.43048424818643516</v>
      </c>
      <c r="D2665" s="52">
        <f ca="1">S0*EXP((μ-0.5*σ*σ)*T+σ*SQRT(T)*$C2665)</f>
        <v>0.57160335639257021</v>
      </c>
      <c r="E2665" s="52">
        <f t="shared" ca="1" si="122"/>
        <v>0</v>
      </c>
      <c r="F2665" s="17">
        <f t="shared" ca="1" si="123"/>
        <v>0</v>
      </c>
      <c r="H2665" s="17">
        <v>2656</v>
      </c>
      <c r="I2665" s="45">
        <v>0.67177101978234877</v>
      </c>
      <c r="J2665" s="45">
        <v>1.9249605880965272E-2</v>
      </c>
      <c r="K2665" s="45">
        <v>0.248</v>
      </c>
      <c r="N2665" s="54"/>
    </row>
    <row r="2666" spans="2:14" x14ac:dyDescent="0.2">
      <c r="B2666">
        <v>2657</v>
      </c>
      <c r="C2666" s="52">
        <f ca="1"/>
        <v>-0.44517471451258822</v>
      </c>
      <c r="D2666" s="52">
        <f ca="1">S0*EXP((μ-0.5*σ*σ)*T+σ*SQRT(T)*$C2666)</f>
        <v>0.56928682625617377</v>
      </c>
      <c r="E2666" s="52">
        <f t="shared" ca="1" si="122"/>
        <v>0</v>
      </c>
      <c r="F2666" s="17">
        <f t="shared" ca="1" si="123"/>
        <v>0</v>
      </c>
      <c r="H2666" s="17">
        <v>2657</v>
      </c>
      <c r="I2666" s="45">
        <v>0.66959154595759252</v>
      </c>
      <c r="J2666" s="45">
        <v>1.7789749539068957E-2</v>
      </c>
      <c r="K2666" s="45">
        <v>0.23300000000000001</v>
      </c>
      <c r="N2666" s="54"/>
    </row>
    <row r="2667" spans="2:14" x14ac:dyDescent="0.2">
      <c r="B2667">
        <v>2658</v>
      </c>
      <c r="C2667" s="52">
        <f ca="1"/>
        <v>2.2689783918053559</v>
      </c>
      <c r="D2667" s="52">
        <f ca="1">S0*EXP((μ-0.5*σ*σ)*T+σ*SQRT(T)*$C2667)</f>
        <v>1.2055179158793705</v>
      </c>
      <c r="E2667" s="52">
        <f t="shared" ca="1" si="122"/>
        <v>0</v>
      </c>
      <c r="F2667" s="17">
        <f t="shared" ca="1" si="123"/>
        <v>0</v>
      </c>
      <c r="H2667" s="17">
        <v>2658</v>
      </c>
      <c r="I2667" s="45">
        <v>0.67027387732470001</v>
      </c>
      <c r="J2667" s="45">
        <v>1.8475395992008065E-2</v>
      </c>
      <c r="K2667" s="45">
        <v>0.24540000000000001</v>
      </c>
      <c r="N2667" s="54"/>
    </row>
    <row r="2668" spans="2:14" x14ac:dyDescent="0.2">
      <c r="B2668">
        <v>2659</v>
      </c>
      <c r="C2668" s="52">
        <f ca="1"/>
        <v>-0.20984771057233328</v>
      </c>
      <c r="D2668" s="52">
        <f ca="1">S0*EXP((μ-0.5*σ*σ)*T+σ*SQRT(T)*$C2668)</f>
        <v>0.60755118725237778</v>
      </c>
      <c r="E2668" s="52">
        <f t="shared" ca="1" si="122"/>
        <v>0</v>
      </c>
      <c r="F2668" s="17">
        <f t="shared" ca="1" si="123"/>
        <v>0</v>
      </c>
      <c r="H2668" s="17">
        <v>2659</v>
      </c>
      <c r="I2668" s="45">
        <v>0.66977354566119418</v>
      </c>
      <c r="J2668" s="45">
        <v>1.8116871556370116E-2</v>
      </c>
      <c r="K2668" s="45">
        <v>0.23799999999999999</v>
      </c>
      <c r="N2668" s="54"/>
    </row>
    <row r="2669" spans="2:14" x14ac:dyDescent="0.2">
      <c r="B2669">
        <v>2660</v>
      </c>
      <c r="C2669" s="52">
        <f ca="1"/>
        <v>0.61112701333800912</v>
      </c>
      <c r="D2669" s="52">
        <f ca="1">S0*EXP((μ-0.5*σ*σ)*T+σ*SQRT(T)*$C2669)</f>
        <v>0.76233076519244136</v>
      </c>
      <c r="E2669" s="52">
        <f t="shared" ca="1" si="122"/>
        <v>0</v>
      </c>
      <c r="F2669" s="17">
        <f t="shared" ca="1" si="123"/>
        <v>0</v>
      </c>
      <c r="H2669" s="17">
        <v>2660</v>
      </c>
      <c r="I2669" s="45">
        <v>0.67068301355167803</v>
      </c>
      <c r="J2669" s="45">
        <v>1.8846363841715449E-2</v>
      </c>
      <c r="K2669" s="45">
        <v>0.2472</v>
      </c>
      <c r="N2669" s="54"/>
    </row>
    <row r="2670" spans="2:14" x14ac:dyDescent="0.2">
      <c r="B2670">
        <v>2661</v>
      </c>
      <c r="C2670" s="52">
        <f ca="1"/>
        <v>-0.3822230865074997</v>
      </c>
      <c r="D2670" s="52">
        <f ca="1">S0*EXP((μ-0.5*σ*σ)*T+σ*SQRT(T)*$C2670)</f>
        <v>0.57928018484055332</v>
      </c>
      <c r="E2670" s="52">
        <f t="shared" ca="1" si="122"/>
        <v>0</v>
      </c>
      <c r="F2670" s="17">
        <f t="shared" ca="1" si="123"/>
        <v>0</v>
      </c>
      <c r="H2670" s="17">
        <v>2661</v>
      </c>
      <c r="I2670" s="45">
        <v>0.6697600390443782</v>
      </c>
      <c r="J2670" s="45">
        <v>1.8150228677865258E-2</v>
      </c>
      <c r="K2670" s="45">
        <v>0.24560000000000001</v>
      </c>
      <c r="N2670" s="54"/>
    </row>
    <row r="2671" spans="2:14" x14ac:dyDescent="0.2">
      <c r="B2671">
        <v>2662</v>
      </c>
      <c r="C2671" s="52">
        <f ca="1"/>
        <v>1.1572951971391947</v>
      </c>
      <c r="D2671" s="52">
        <f ca="1">S0*EXP((μ-0.5*σ*σ)*T+σ*SQRT(T)*$C2671)</f>
        <v>0.88656919811682056</v>
      </c>
      <c r="E2671" s="52">
        <f t="shared" ca="1" si="122"/>
        <v>0</v>
      </c>
      <c r="F2671" s="17">
        <f t="shared" ca="1" si="123"/>
        <v>0</v>
      </c>
      <c r="H2671" s="17">
        <v>2662</v>
      </c>
      <c r="I2671" s="45">
        <v>0.67152784759043416</v>
      </c>
      <c r="J2671" s="45">
        <v>1.9375010327449173E-2</v>
      </c>
      <c r="K2671" s="45">
        <v>0.24660000000000001</v>
      </c>
      <c r="N2671" s="54"/>
    </row>
    <row r="2672" spans="2:14" x14ac:dyDescent="0.2">
      <c r="B2672">
        <v>2663</v>
      </c>
      <c r="C2672" s="52">
        <f ca="1"/>
        <v>-0.24191792257262096</v>
      </c>
      <c r="D2672" s="52">
        <f ca="1">S0*EXP((μ-0.5*σ*σ)*T+σ*SQRT(T)*$C2672)</f>
        <v>0.6021888986497318</v>
      </c>
      <c r="E2672" s="52">
        <f t="shared" ca="1" si="122"/>
        <v>0</v>
      </c>
      <c r="F2672" s="17">
        <f t="shared" ca="1" si="123"/>
        <v>0</v>
      </c>
      <c r="H2672" s="17">
        <v>2663</v>
      </c>
      <c r="I2672" s="45">
        <v>0.67059907258905527</v>
      </c>
      <c r="J2672" s="45">
        <v>1.8541539434692077E-2</v>
      </c>
      <c r="K2672" s="45">
        <v>0.24379999999999999</v>
      </c>
      <c r="N2672" s="54"/>
    </row>
    <row r="2673" spans="2:14" x14ac:dyDescent="0.2">
      <c r="B2673">
        <v>2664</v>
      </c>
      <c r="C2673" s="52">
        <f ca="1"/>
        <v>-0.57838818274133064</v>
      </c>
      <c r="D2673" s="52">
        <f ca="1">S0*EXP((μ-0.5*σ*σ)*T+σ*SQRT(T)*$C2673)</f>
        <v>0.54870439926760317</v>
      </c>
      <c r="E2673" s="52">
        <f t="shared" ca="1" si="122"/>
        <v>0</v>
      </c>
      <c r="F2673" s="17">
        <f t="shared" ca="1" si="123"/>
        <v>0</v>
      </c>
      <c r="H2673" s="17">
        <v>2664</v>
      </c>
      <c r="I2673" s="45">
        <v>0.6718349997116051</v>
      </c>
      <c r="J2673" s="45">
        <v>1.962228607340806E-2</v>
      </c>
      <c r="K2673" s="45">
        <v>0.25140000000000001</v>
      </c>
      <c r="N2673" s="54"/>
    </row>
    <row r="2674" spans="2:14" x14ac:dyDescent="0.2">
      <c r="B2674">
        <v>2665</v>
      </c>
      <c r="C2674" s="52">
        <f ca="1"/>
        <v>1.367884440335789</v>
      </c>
      <c r="D2674" s="52">
        <f ca="1">S0*EXP((μ-0.5*σ*σ)*T+σ*SQRT(T)*$C2674)</f>
        <v>0.9397114817461667</v>
      </c>
      <c r="E2674" s="52">
        <f t="shared" ca="1" si="122"/>
        <v>0</v>
      </c>
      <c r="F2674" s="17">
        <f t="shared" ca="1" si="123"/>
        <v>0</v>
      </c>
      <c r="H2674" s="17">
        <v>2665</v>
      </c>
      <c r="I2674" s="45">
        <v>0.67083005173242294</v>
      </c>
      <c r="J2674" s="45">
        <v>1.8700910986843577E-2</v>
      </c>
      <c r="K2674" s="45">
        <v>0.24099999999999999</v>
      </c>
      <c r="N2674" s="54"/>
    </row>
    <row r="2675" spans="2:14" x14ac:dyDescent="0.2">
      <c r="B2675">
        <v>2666</v>
      </c>
      <c r="C2675" s="52">
        <f ca="1"/>
        <v>0.14883793070336493</v>
      </c>
      <c r="D2675" s="52">
        <f ca="1">S0*EXP((μ-0.5*σ*σ)*T+σ*SQRT(T)*$C2675)</f>
        <v>0.67087900729299355</v>
      </c>
      <c r="E2675" s="52">
        <f t="shared" ca="1" si="122"/>
        <v>0</v>
      </c>
      <c r="F2675" s="17">
        <f t="shared" ca="1" si="123"/>
        <v>0</v>
      </c>
      <c r="H2675" s="17">
        <v>2666</v>
      </c>
      <c r="I2675" s="45">
        <v>0.67081601459073359</v>
      </c>
      <c r="J2675" s="45">
        <v>1.9046834019323843E-2</v>
      </c>
      <c r="K2675" s="45">
        <v>0.24299999999999999</v>
      </c>
      <c r="N2675" s="54"/>
    </row>
    <row r="2676" spans="2:14" x14ac:dyDescent="0.2">
      <c r="B2676">
        <v>2667</v>
      </c>
      <c r="C2676" s="52">
        <f ca="1"/>
        <v>0.42569893865984559</v>
      </c>
      <c r="D2676" s="52">
        <f ca="1">S0*EXP((μ-0.5*σ*σ)*T+σ*SQRT(T)*$C2676)</f>
        <v>0.72423953556480614</v>
      </c>
      <c r="E2676" s="52">
        <f t="shared" ca="1" si="122"/>
        <v>0</v>
      </c>
      <c r="F2676" s="17">
        <f t="shared" ca="1" si="123"/>
        <v>0</v>
      </c>
      <c r="H2676" s="17">
        <v>2667</v>
      </c>
      <c r="I2676" s="45">
        <v>0.67066102410209183</v>
      </c>
      <c r="J2676" s="45">
        <v>1.8644493131860434E-2</v>
      </c>
      <c r="K2676" s="45">
        <v>0.24959999999999999</v>
      </c>
      <c r="N2676" s="54"/>
    </row>
    <row r="2677" spans="2:14" x14ac:dyDescent="0.2">
      <c r="B2677">
        <v>2668</v>
      </c>
      <c r="C2677" s="52">
        <f ca="1"/>
        <v>-1.2941026463325125</v>
      </c>
      <c r="D2677" s="52">
        <f ca="1">S0*EXP((μ-0.5*σ*σ)*T+σ*SQRT(T)*$C2677)</f>
        <v>0.45020953777547745</v>
      </c>
      <c r="E2677" s="52">
        <f t="shared" ca="1" si="122"/>
        <v>8.4190462224522533E-2</v>
      </c>
      <c r="F2677" s="17">
        <f t="shared" ca="1" si="123"/>
        <v>1</v>
      </c>
      <c r="H2677" s="17">
        <v>2668</v>
      </c>
      <c r="I2677" s="45">
        <v>0.67081206216670042</v>
      </c>
      <c r="J2677" s="45">
        <v>1.864603693767114E-2</v>
      </c>
      <c r="K2677" s="45">
        <v>0.24160000000000001</v>
      </c>
      <c r="N2677" s="54"/>
    </row>
    <row r="2678" spans="2:14" x14ac:dyDescent="0.2">
      <c r="B2678">
        <v>2669</v>
      </c>
      <c r="C2678" s="52">
        <f ca="1"/>
        <v>-8.5965581153374118E-2</v>
      </c>
      <c r="D2678" s="52">
        <f ca="1">S0*EXP((μ-0.5*σ*σ)*T+σ*SQRT(T)*$C2678)</f>
        <v>0.62871715335735567</v>
      </c>
      <c r="E2678" s="52">
        <f t="shared" ca="1" si="122"/>
        <v>0</v>
      </c>
      <c r="F2678" s="17">
        <f t="shared" ca="1" si="123"/>
        <v>0</v>
      </c>
      <c r="H2678" s="17">
        <v>2669</v>
      </c>
      <c r="I2678" s="45">
        <v>0.67096947217179137</v>
      </c>
      <c r="J2678" s="45">
        <v>1.9156651048564677E-2</v>
      </c>
      <c r="K2678" s="45">
        <v>0.24479999999999999</v>
      </c>
      <c r="N2678" s="54"/>
    </row>
    <row r="2679" spans="2:14" x14ac:dyDescent="0.2">
      <c r="B2679">
        <v>2670</v>
      </c>
      <c r="C2679" s="52">
        <f ca="1"/>
        <v>1.0999957940783149</v>
      </c>
      <c r="D2679" s="52">
        <f ca="1">S0*EXP((μ-0.5*σ*σ)*T+σ*SQRT(T)*$C2679)</f>
        <v>0.8726370875604933</v>
      </c>
      <c r="E2679" s="52">
        <f t="shared" ca="1" si="122"/>
        <v>0</v>
      </c>
      <c r="F2679" s="17">
        <f t="shared" ca="1" si="123"/>
        <v>0</v>
      </c>
      <c r="H2679" s="17">
        <v>2670</v>
      </c>
      <c r="I2679" s="45">
        <v>0.67167739787921243</v>
      </c>
      <c r="J2679" s="45">
        <v>1.953088385672987E-2</v>
      </c>
      <c r="K2679" s="45">
        <v>0.24959999999999999</v>
      </c>
      <c r="N2679" s="54"/>
    </row>
    <row r="2680" spans="2:14" x14ac:dyDescent="0.2">
      <c r="B2680">
        <v>2671</v>
      </c>
      <c r="C2680" s="52">
        <f ca="1"/>
        <v>0.53195710368735205</v>
      </c>
      <c r="D2680" s="52">
        <f ca="1">S0*EXP((μ-0.5*σ*σ)*T+σ*SQRT(T)*$C2680)</f>
        <v>0.74582829002478146</v>
      </c>
      <c r="E2680" s="52">
        <f t="shared" ca="1" si="122"/>
        <v>0</v>
      </c>
      <c r="F2680" s="17">
        <f t="shared" ca="1" si="123"/>
        <v>0</v>
      </c>
      <c r="H2680" s="17">
        <v>2671</v>
      </c>
      <c r="I2680" s="45">
        <v>0.66967626118785073</v>
      </c>
      <c r="J2680" s="45">
        <v>1.7974917674557805E-2</v>
      </c>
      <c r="K2680" s="45">
        <v>0.23499999999999999</v>
      </c>
      <c r="N2680" s="54"/>
    </row>
    <row r="2681" spans="2:14" x14ac:dyDescent="0.2">
      <c r="B2681">
        <v>2672</v>
      </c>
      <c r="C2681" s="52">
        <f ca="1"/>
        <v>0.13847442730319962</v>
      </c>
      <c r="D2681" s="52">
        <f ca="1">S0*EXP((μ-0.5*σ*σ)*T+σ*SQRT(T)*$C2681)</f>
        <v>0.66895981725081122</v>
      </c>
      <c r="E2681" s="52">
        <f t="shared" ca="1" si="122"/>
        <v>0</v>
      </c>
      <c r="F2681" s="17">
        <f t="shared" ca="1" si="123"/>
        <v>0</v>
      </c>
      <c r="H2681" s="17">
        <v>2672</v>
      </c>
      <c r="I2681" s="45">
        <v>0.67105790884891325</v>
      </c>
      <c r="J2681" s="45">
        <v>1.9002662004136608E-2</v>
      </c>
      <c r="K2681" s="45">
        <v>0.24440000000000001</v>
      </c>
      <c r="N2681" s="54"/>
    </row>
    <row r="2682" spans="2:14" x14ac:dyDescent="0.2">
      <c r="B2682">
        <v>2673</v>
      </c>
      <c r="C2682" s="52">
        <f ca="1"/>
        <v>-1.3749417749268111</v>
      </c>
      <c r="D2682" s="52">
        <f ca="1">S0*EXP((μ-0.5*σ*σ)*T+σ*SQRT(T)*$C2682)</f>
        <v>0.44026047941590191</v>
      </c>
      <c r="E2682" s="52">
        <f t="shared" ca="1" si="122"/>
        <v>9.413952058409808E-2</v>
      </c>
      <c r="F2682" s="17">
        <f t="shared" ca="1" si="123"/>
        <v>1</v>
      </c>
      <c r="H2682" s="17">
        <v>2673</v>
      </c>
      <c r="I2682" s="45">
        <v>0.6709224939513907</v>
      </c>
      <c r="J2682" s="45">
        <v>1.8889988119629008E-2</v>
      </c>
      <c r="K2682" s="45">
        <v>0.2482</v>
      </c>
      <c r="N2682" s="54"/>
    </row>
    <row r="2683" spans="2:14" x14ac:dyDescent="0.2">
      <c r="B2683">
        <v>2674</v>
      </c>
      <c r="C2683" s="52">
        <f ca="1"/>
        <v>9.6196680786699101E-2</v>
      </c>
      <c r="D2683" s="52">
        <f ca="1">S0*EXP((μ-0.5*σ*σ)*T+σ*SQRT(T)*$C2683)</f>
        <v>0.66118722888907777</v>
      </c>
      <c r="E2683" s="52">
        <f t="shared" ca="1" si="122"/>
        <v>0</v>
      </c>
      <c r="F2683" s="17">
        <f t="shared" ca="1" si="123"/>
        <v>0</v>
      </c>
      <c r="H2683" s="17">
        <v>2674</v>
      </c>
      <c r="I2683" s="45">
        <v>0.67055433890523386</v>
      </c>
      <c r="J2683" s="45">
        <v>1.8649822947762688E-2</v>
      </c>
      <c r="K2683" s="45">
        <v>0.24979999999999999</v>
      </c>
      <c r="N2683" s="54"/>
    </row>
    <row r="2684" spans="2:14" x14ac:dyDescent="0.2">
      <c r="B2684">
        <v>2675</v>
      </c>
      <c r="C2684" s="52">
        <f ca="1"/>
        <v>1.7836062963800365</v>
      </c>
      <c r="D2684" s="52">
        <f ca="1">S0*EXP((μ-0.5*σ*σ)*T+σ*SQRT(T)*$C2684)</f>
        <v>1.0541519999858182</v>
      </c>
      <c r="E2684" s="52">
        <f t="shared" ca="1" si="122"/>
        <v>0</v>
      </c>
      <c r="F2684" s="17">
        <f t="shared" ca="1" si="123"/>
        <v>0</v>
      </c>
      <c r="H2684" s="17">
        <v>2675</v>
      </c>
      <c r="I2684" s="45">
        <v>0.67112910085411581</v>
      </c>
      <c r="J2684" s="45">
        <v>1.9344579944695788E-2</v>
      </c>
      <c r="K2684" s="45">
        <v>0.24879999999999999</v>
      </c>
      <c r="N2684" s="54"/>
    </row>
    <row r="2685" spans="2:14" x14ac:dyDescent="0.2">
      <c r="B2685">
        <v>2676</v>
      </c>
      <c r="C2685" s="52">
        <f ca="1"/>
        <v>-1.3290223200204458</v>
      </c>
      <c r="D2685" s="52">
        <f ca="1">S0*EXP((μ-0.5*σ*σ)*T+σ*SQRT(T)*$C2685)</f>
        <v>0.44588460293965759</v>
      </c>
      <c r="E2685" s="52">
        <f t="shared" ca="1" si="122"/>
        <v>8.8515397060342393E-2</v>
      </c>
      <c r="F2685" s="17">
        <f t="shared" ca="1" si="123"/>
        <v>1</v>
      </c>
      <c r="H2685" s="17">
        <v>2676</v>
      </c>
      <c r="I2685" s="45">
        <v>0.67074910184626302</v>
      </c>
      <c r="J2685" s="45">
        <v>1.8960944657065874E-2</v>
      </c>
      <c r="K2685" s="45">
        <v>0.24959999999999999</v>
      </c>
      <c r="N2685" s="54"/>
    </row>
    <row r="2686" spans="2:14" x14ac:dyDescent="0.2">
      <c r="B2686">
        <v>2677</v>
      </c>
      <c r="C2686" s="52">
        <f ca="1"/>
        <v>-0.36142443683405223</v>
      </c>
      <c r="D2686" s="52">
        <f ca="1">S0*EXP((μ-0.5*σ*σ)*T+σ*SQRT(T)*$C2686)</f>
        <v>0.58262030433561762</v>
      </c>
      <c r="E2686" s="52">
        <f t="shared" ca="1" si="122"/>
        <v>0</v>
      </c>
      <c r="F2686" s="17">
        <f t="shared" ca="1" si="123"/>
        <v>0</v>
      </c>
      <c r="H2686" s="17">
        <v>2677</v>
      </c>
      <c r="I2686" s="45">
        <v>0.67092357124240132</v>
      </c>
      <c r="J2686" s="45">
        <v>1.9099154391779102E-2</v>
      </c>
      <c r="K2686" s="45">
        <v>0.24179999999999999</v>
      </c>
      <c r="N2686" s="54"/>
    </row>
    <row r="2687" spans="2:14" x14ac:dyDescent="0.2">
      <c r="B2687">
        <v>2678</v>
      </c>
      <c r="C2687" s="52">
        <f ca="1"/>
        <v>0.72704863584938118</v>
      </c>
      <c r="D2687" s="52">
        <f ca="1">S0*EXP((μ-0.5*σ*σ)*T+σ*SQRT(T)*$C2687)</f>
        <v>0.78715489177505338</v>
      </c>
      <c r="E2687" s="52">
        <f t="shared" ca="1" si="122"/>
        <v>0</v>
      </c>
      <c r="F2687" s="17">
        <f t="shared" ca="1" si="123"/>
        <v>0</v>
      </c>
      <c r="H2687" s="17">
        <v>2678</v>
      </c>
      <c r="I2687" s="45">
        <v>0.6705319900701725</v>
      </c>
      <c r="J2687" s="45">
        <v>1.8726120657025079E-2</v>
      </c>
      <c r="K2687" s="45">
        <v>0.24479999999999999</v>
      </c>
      <c r="N2687" s="54"/>
    </row>
    <row r="2688" spans="2:14" x14ac:dyDescent="0.2">
      <c r="B2688">
        <v>2679</v>
      </c>
      <c r="C2688" s="52">
        <f ca="1"/>
        <v>-1.603651345759304</v>
      </c>
      <c r="D2688" s="52">
        <f ca="1">S0*EXP((μ-0.5*σ*σ)*T+σ*SQRT(T)*$C2688)</f>
        <v>0.4132876290796072</v>
      </c>
      <c r="E2688" s="52">
        <f t="shared" ca="1" si="122"/>
        <v>0.12111237092039279</v>
      </c>
      <c r="F2688" s="17">
        <f t="shared" ca="1" si="123"/>
        <v>1</v>
      </c>
      <c r="H2688" s="17">
        <v>2679</v>
      </c>
      <c r="I2688" s="45">
        <v>0.67140657174199092</v>
      </c>
      <c r="J2688" s="45">
        <v>1.9826995979601116E-2</v>
      </c>
      <c r="K2688" s="45">
        <v>0.2606</v>
      </c>
      <c r="N2688" s="54"/>
    </row>
    <row r="2689" spans="2:14" x14ac:dyDescent="0.2">
      <c r="B2689">
        <v>2680</v>
      </c>
      <c r="C2689" s="52">
        <f ca="1"/>
        <v>0.78810331888873109</v>
      </c>
      <c r="D2689" s="52">
        <f ca="1">S0*EXP((μ-0.5*σ*σ)*T+σ*SQRT(T)*$C2689)</f>
        <v>0.80055284195456589</v>
      </c>
      <c r="E2689" s="52">
        <f t="shared" ca="1" si="122"/>
        <v>0</v>
      </c>
      <c r="F2689" s="17">
        <f t="shared" ca="1" si="123"/>
        <v>0</v>
      </c>
      <c r="H2689" s="17">
        <v>2680</v>
      </c>
      <c r="I2689" s="45">
        <v>0.670592523252589</v>
      </c>
      <c r="J2689" s="45">
        <v>1.8694162286495314E-2</v>
      </c>
      <c r="K2689" s="45">
        <v>0.24660000000000001</v>
      </c>
      <c r="N2689" s="54"/>
    </row>
    <row r="2690" spans="2:14" x14ac:dyDescent="0.2">
      <c r="B2690">
        <v>2681</v>
      </c>
      <c r="C2690" s="52">
        <f ca="1"/>
        <v>-0.54174177839420967</v>
      </c>
      <c r="D2690" s="52">
        <f ca="1">S0*EXP((μ-0.5*σ*σ)*T+σ*SQRT(T)*$C2690)</f>
        <v>0.55429116612052243</v>
      </c>
      <c r="E2690" s="52">
        <f t="shared" ca="1" si="122"/>
        <v>0</v>
      </c>
      <c r="F2690" s="17">
        <f t="shared" ca="1" si="123"/>
        <v>0</v>
      </c>
      <c r="H2690" s="17">
        <v>2681</v>
      </c>
      <c r="I2690" s="45">
        <v>0.67074099688239985</v>
      </c>
      <c r="J2690" s="45">
        <v>1.8910311592811247E-2</v>
      </c>
      <c r="K2690" s="45">
        <v>0.2472</v>
      </c>
      <c r="N2690" s="54"/>
    </row>
    <row r="2691" spans="2:14" x14ac:dyDescent="0.2">
      <c r="B2691">
        <v>2682</v>
      </c>
      <c r="C2691" s="52">
        <f ca="1"/>
        <v>-0.11076892083719141</v>
      </c>
      <c r="D2691" s="52">
        <f ca="1">S0*EXP((μ-0.5*σ*σ)*T+σ*SQRT(T)*$C2691)</f>
        <v>0.62442113049514181</v>
      </c>
      <c r="E2691" s="52">
        <f t="shared" ca="1" si="122"/>
        <v>0</v>
      </c>
      <c r="F2691" s="17">
        <f t="shared" ca="1" si="123"/>
        <v>0</v>
      </c>
      <c r="H2691" s="17">
        <v>2682</v>
      </c>
      <c r="I2691" s="45">
        <v>0.67062525134411921</v>
      </c>
      <c r="J2691" s="45">
        <v>1.9191499815061758E-2</v>
      </c>
      <c r="K2691" s="45">
        <v>0.25459999999999999</v>
      </c>
      <c r="N2691" s="54"/>
    </row>
    <row r="2692" spans="2:14" x14ac:dyDescent="0.2">
      <c r="B2692">
        <v>2683</v>
      </c>
      <c r="C2692" s="52">
        <f ca="1"/>
        <v>-1.1679245189244116</v>
      </c>
      <c r="D2692" s="52">
        <f ca="1">S0*EXP((μ-0.5*σ*σ)*T+σ*SQRT(T)*$C2692)</f>
        <v>0.46618980158223178</v>
      </c>
      <c r="E2692" s="52">
        <f t="shared" ca="1" si="122"/>
        <v>6.8210198417768209E-2</v>
      </c>
      <c r="F2692" s="17">
        <f t="shared" ca="1" si="123"/>
        <v>1</v>
      </c>
      <c r="H2692" s="17">
        <v>2683</v>
      </c>
      <c r="I2692" s="45">
        <v>0.67148432811272185</v>
      </c>
      <c r="J2692" s="45">
        <v>1.9560120195572406E-2</v>
      </c>
      <c r="K2692" s="45">
        <v>0.25340000000000001</v>
      </c>
      <c r="N2692" s="54"/>
    </row>
    <row r="2693" spans="2:14" x14ac:dyDescent="0.2">
      <c r="B2693">
        <v>2684</v>
      </c>
      <c r="C2693" s="52">
        <f ca="1"/>
        <v>-1.779068871474536</v>
      </c>
      <c r="D2693" s="52">
        <f ca="1">S0*EXP((μ-0.5*σ*σ)*T+σ*SQRT(T)*$C2693)</f>
        <v>0.39372499428740548</v>
      </c>
      <c r="E2693" s="52">
        <f t="shared" ca="1" si="122"/>
        <v>0.1406750057125945</v>
      </c>
      <c r="F2693" s="17">
        <f t="shared" ca="1" si="123"/>
        <v>1</v>
      </c>
      <c r="H2693" s="17">
        <v>2684</v>
      </c>
      <c r="I2693" s="45">
        <v>0.672780480963734</v>
      </c>
      <c r="J2693" s="45">
        <v>2.0494806812169083E-2</v>
      </c>
      <c r="K2693" s="45">
        <v>0.26240000000000002</v>
      </c>
      <c r="N2693" s="54"/>
    </row>
    <row r="2694" spans="2:14" x14ac:dyDescent="0.2">
      <c r="B2694">
        <v>2685</v>
      </c>
      <c r="C2694" s="52">
        <f ca="1"/>
        <v>7.3053692389683497E-2</v>
      </c>
      <c r="D2694" s="52">
        <f ca="1">S0*EXP((μ-0.5*σ*σ)*T+σ*SQRT(T)*$C2694)</f>
        <v>0.65697080211352599</v>
      </c>
      <c r="E2694" s="52">
        <f t="shared" ca="1" si="122"/>
        <v>0</v>
      </c>
      <c r="F2694" s="17">
        <f t="shared" ca="1" si="123"/>
        <v>0</v>
      </c>
      <c r="H2694" s="17">
        <v>2685</v>
      </c>
      <c r="I2694" s="45">
        <v>0.66977708004382308</v>
      </c>
      <c r="J2694" s="45">
        <v>1.84071062876488E-2</v>
      </c>
      <c r="K2694" s="45">
        <v>0.24160000000000001</v>
      </c>
      <c r="N2694" s="54"/>
    </row>
    <row r="2695" spans="2:14" x14ac:dyDescent="0.2">
      <c r="B2695">
        <v>2686</v>
      </c>
      <c r="C2695" s="52">
        <f ca="1"/>
        <v>0.25325073240212059</v>
      </c>
      <c r="D2695" s="52">
        <f ca="1">S0*EXP((μ-0.5*σ*σ)*T+σ*SQRT(T)*$C2695)</f>
        <v>0.69052480598586197</v>
      </c>
      <c r="E2695" s="52">
        <f t="shared" ca="1" si="122"/>
        <v>0</v>
      </c>
      <c r="F2695" s="17">
        <f t="shared" ca="1" si="123"/>
        <v>0</v>
      </c>
      <c r="H2695" s="17">
        <v>2686</v>
      </c>
      <c r="I2695" s="45">
        <v>0.67049603253899193</v>
      </c>
      <c r="J2695" s="45">
        <v>1.8854330812260706E-2</v>
      </c>
      <c r="K2695" s="45">
        <v>0.25159999999999999</v>
      </c>
      <c r="N2695" s="54"/>
    </row>
    <row r="2696" spans="2:14" x14ac:dyDescent="0.2">
      <c r="B2696">
        <v>2687</v>
      </c>
      <c r="C2696" s="52">
        <f ca="1"/>
        <v>-5.2548888250831607E-2</v>
      </c>
      <c r="D2696" s="52">
        <f ca="1">S0*EXP((μ-0.5*σ*σ)*T+σ*SQRT(T)*$C2696)</f>
        <v>0.63455181037836672</v>
      </c>
      <c r="E2696" s="52">
        <f t="shared" ca="1" si="122"/>
        <v>0</v>
      </c>
      <c r="F2696" s="17">
        <f t="shared" ca="1" si="123"/>
        <v>0</v>
      </c>
      <c r="H2696" s="17">
        <v>2687</v>
      </c>
      <c r="I2696" s="45">
        <v>0.67220264962842813</v>
      </c>
      <c r="J2696" s="45">
        <v>1.9653531059229998E-2</v>
      </c>
      <c r="K2696" s="45">
        <v>0.2472</v>
      </c>
      <c r="N2696" s="54"/>
    </row>
    <row r="2697" spans="2:14" x14ac:dyDescent="0.2">
      <c r="B2697">
        <v>2688</v>
      </c>
      <c r="C2697" s="52">
        <f ca="1"/>
        <v>-0.31595019004048325</v>
      </c>
      <c r="D2697" s="52">
        <f ca="1">S0*EXP((μ-0.5*σ*σ)*T+σ*SQRT(T)*$C2697)</f>
        <v>0.58999039404146869</v>
      </c>
      <c r="E2697" s="52">
        <f t="shared" ca="1" si="122"/>
        <v>0</v>
      </c>
      <c r="F2697" s="17">
        <f t="shared" ca="1" si="123"/>
        <v>0</v>
      </c>
      <c r="H2697" s="17">
        <v>2688</v>
      </c>
      <c r="I2697" s="45">
        <v>0.67108699140073436</v>
      </c>
      <c r="J2697" s="45">
        <v>1.9063129148761227E-2</v>
      </c>
      <c r="K2697" s="45">
        <v>0.24859999999999999</v>
      </c>
      <c r="N2697" s="54"/>
    </row>
    <row r="2698" spans="2:14" x14ac:dyDescent="0.2">
      <c r="B2698">
        <v>2689</v>
      </c>
      <c r="C2698" s="52">
        <f ca="1"/>
        <v>-0.47598887567367743</v>
      </c>
      <c r="D2698" s="52">
        <f ca="1">S0*EXP((μ-0.5*σ*σ)*T+σ*SQRT(T)*$C2698)</f>
        <v>0.56445821491086312</v>
      </c>
      <c r="E2698" s="52">
        <f t="shared" ref="E2698:E2761" ca="1" si="124">MAX(0,CP*(D2698-K))</f>
        <v>0</v>
      </c>
      <c r="F2698" s="17">
        <f t="shared" ref="F2698:F2761" ca="1" si="125">(CP*(D2698-K)&gt;0)*1</f>
        <v>0</v>
      </c>
      <c r="H2698" s="17">
        <v>2689</v>
      </c>
      <c r="I2698" s="45">
        <v>0.67027081452968784</v>
      </c>
      <c r="J2698" s="45">
        <v>1.8428284608622756E-2</v>
      </c>
      <c r="K2698" s="45">
        <v>0.2382</v>
      </c>
      <c r="N2698" s="54"/>
    </row>
    <row r="2699" spans="2:14" x14ac:dyDescent="0.2">
      <c r="B2699">
        <v>2690</v>
      </c>
      <c r="C2699" s="52">
        <f ca="1"/>
        <v>-1.2313343918548583</v>
      </c>
      <c r="D2699" s="52">
        <f ca="1">S0*EXP((μ-0.5*σ*σ)*T+σ*SQRT(T)*$C2699)</f>
        <v>0.45808937189102666</v>
      </c>
      <c r="E2699" s="52">
        <f t="shared" ca="1" si="124"/>
        <v>7.6310628108973322E-2</v>
      </c>
      <c r="F2699" s="17">
        <f t="shared" ca="1" si="125"/>
        <v>1</v>
      </c>
      <c r="H2699" s="17">
        <v>2690</v>
      </c>
      <c r="I2699" s="45">
        <v>0.67187966329538718</v>
      </c>
      <c r="J2699" s="45">
        <v>1.9597857585926776E-2</v>
      </c>
      <c r="K2699" s="45">
        <v>0.2462</v>
      </c>
      <c r="N2699" s="54"/>
    </row>
    <row r="2700" spans="2:14" x14ac:dyDescent="0.2">
      <c r="B2700">
        <v>2691</v>
      </c>
      <c r="C2700" s="52">
        <f ca="1"/>
        <v>-3.9572406340254898E-2</v>
      </c>
      <c r="D2700" s="52">
        <f ca="1">S0*EXP((μ-0.5*σ*σ)*T+σ*SQRT(T)*$C2700)</f>
        <v>0.63683211223785996</v>
      </c>
      <c r="E2700" s="52">
        <f t="shared" ca="1" si="124"/>
        <v>0</v>
      </c>
      <c r="F2700" s="17">
        <f t="shared" ca="1" si="125"/>
        <v>0</v>
      </c>
      <c r="H2700" s="17">
        <v>2691</v>
      </c>
      <c r="I2700" s="45">
        <v>0.67073601625681423</v>
      </c>
      <c r="J2700" s="45">
        <v>1.8630440636677778E-2</v>
      </c>
      <c r="K2700" s="45">
        <v>0.24199999999999999</v>
      </c>
      <c r="N2700" s="54"/>
    </row>
    <row r="2701" spans="2:14" x14ac:dyDescent="0.2">
      <c r="B2701">
        <v>2692</v>
      </c>
      <c r="C2701" s="52">
        <f ca="1"/>
        <v>0.38355141130194703</v>
      </c>
      <c r="D2701" s="52">
        <f ca="1">S0*EXP((μ-0.5*σ*σ)*T+σ*SQRT(T)*$C2701)</f>
        <v>0.71585042463071358</v>
      </c>
      <c r="E2701" s="52">
        <f t="shared" ca="1" si="124"/>
        <v>0</v>
      </c>
      <c r="F2701" s="17">
        <f t="shared" ca="1" si="125"/>
        <v>0</v>
      </c>
      <c r="H2701" s="17">
        <v>2692</v>
      </c>
      <c r="I2701" s="45">
        <v>0.66982735999402376</v>
      </c>
      <c r="J2701" s="45">
        <v>1.8272255252938026E-2</v>
      </c>
      <c r="K2701" s="45">
        <v>0.2462</v>
      </c>
      <c r="N2701" s="54"/>
    </row>
    <row r="2702" spans="2:14" x14ac:dyDescent="0.2">
      <c r="B2702">
        <v>2693</v>
      </c>
      <c r="C2702" s="52">
        <f ca="1"/>
        <v>0.26106825069180012</v>
      </c>
      <c r="D2702" s="52">
        <f ca="1">S0*EXP((μ-0.5*σ*σ)*T+σ*SQRT(T)*$C2702)</f>
        <v>0.6920186548306746</v>
      </c>
      <c r="E2702" s="52">
        <f t="shared" ca="1" si="124"/>
        <v>0</v>
      </c>
      <c r="F2702" s="17">
        <f t="shared" ca="1" si="125"/>
        <v>0</v>
      </c>
      <c r="H2702" s="17">
        <v>2693</v>
      </c>
      <c r="I2702" s="45">
        <v>0.67063296053124644</v>
      </c>
      <c r="J2702" s="45">
        <v>1.870103418355382E-2</v>
      </c>
      <c r="K2702" s="45">
        <v>0.2492</v>
      </c>
      <c r="N2702" s="54"/>
    </row>
    <row r="2703" spans="2:14" x14ac:dyDescent="0.2">
      <c r="B2703">
        <v>2694</v>
      </c>
      <c r="C2703" s="52">
        <f ca="1"/>
        <v>0.53193211767109805</v>
      </c>
      <c r="D2703" s="52">
        <f ca="1">S0*EXP((μ-0.5*σ*σ)*T+σ*SQRT(T)*$C2703)</f>
        <v>0.74582313864590533</v>
      </c>
      <c r="E2703" s="52">
        <f t="shared" ca="1" si="124"/>
        <v>0</v>
      </c>
      <c r="F2703" s="17">
        <f t="shared" ca="1" si="125"/>
        <v>0</v>
      </c>
      <c r="H2703" s="17">
        <v>2694</v>
      </c>
      <c r="I2703" s="45">
        <v>0.67114658498781687</v>
      </c>
      <c r="J2703" s="45">
        <v>1.9312337569894349E-2</v>
      </c>
      <c r="K2703" s="45">
        <v>0.2492</v>
      </c>
      <c r="N2703" s="54"/>
    </row>
    <row r="2704" spans="2:14" x14ac:dyDescent="0.2">
      <c r="B2704">
        <v>2695</v>
      </c>
      <c r="C2704" s="52">
        <f ca="1"/>
        <v>0.18947314660678954</v>
      </c>
      <c r="D2704" s="52">
        <f ca="1">S0*EXP((μ-0.5*σ*σ)*T+σ*SQRT(T)*$C2704)</f>
        <v>0.67845740462283566</v>
      </c>
      <c r="E2704" s="52">
        <f t="shared" ca="1" si="124"/>
        <v>0</v>
      </c>
      <c r="F2704" s="17">
        <f t="shared" ca="1" si="125"/>
        <v>0</v>
      </c>
      <c r="H2704" s="17">
        <v>2695</v>
      </c>
      <c r="I2704" s="45">
        <v>0.6719468374373595</v>
      </c>
      <c r="J2704" s="45">
        <v>1.971661937215061E-2</v>
      </c>
      <c r="K2704" s="45">
        <v>0.24560000000000001</v>
      </c>
      <c r="N2704" s="54"/>
    </row>
    <row r="2705" spans="2:14" x14ac:dyDescent="0.2">
      <c r="B2705">
        <v>2696</v>
      </c>
      <c r="C2705" s="52">
        <f ca="1"/>
        <v>2.5867233996526822</v>
      </c>
      <c r="D2705" s="52">
        <f ca="1">S0*EXP((μ-0.5*σ*σ)*T+σ*SQRT(T)*$C2705)</f>
        <v>1.3161941222391005</v>
      </c>
      <c r="E2705" s="52">
        <f t="shared" ca="1" si="124"/>
        <v>0</v>
      </c>
      <c r="F2705" s="17">
        <f t="shared" ca="1" si="125"/>
        <v>0</v>
      </c>
      <c r="H2705" s="17">
        <v>2696</v>
      </c>
      <c r="I2705" s="45">
        <v>0.67075496059039375</v>
      </c>
      <c r="J2705" s="45">
        <v>1.8592228866539492E-2</v>
      </c>
      <c r="K2705" s="45">
        <v>0.2402</v>
      </c>
      <c r="N2705" s="54"/>
    </row>
    <row r="2706" spans="2:14" x14ac:dyDescent="0.2">
      <c r="B2706">
        <v>2697</v>
      </c>
      <c r="C2706" s="52">
        <f ca="1"/>
        <v>0.49506372729619003</v>
      </c>
      <c r="D2706" s="52">
        <f ca="1">S0*EXP((μ-0.5*σ*σ)*T+σ*SQRT(T)*$C2706)</f>
        <v>0.73826059404257627</v>
      </c>
      <c r="E2706" s="52">
        <f t="shared" ca="1" si="124"/>
        <v>0</v>
      </c>
      <c r="F2706" s="17">
        <f t="shared" ca="1" si="125"/>
        <v>0</v>
      </c>
      <c r="H2706" s="17">
        <v>2697</v>
      </c>
      <c r="I2706" s="45">
        <v>0.67059359015692976</v>
      </c>
      <c r="J2706" s="45">
        <v>1.8806455460020251E-2</v>
      </c>
      <c r="K2706" s="45">
        <v>0.24360000000000001</v>
      </c>
      <c r="N2706" s="54"/>
    </row>
    <row r="2707" spans="2:14" x14ac:dyDescent="0.2">
      <c r="B2707">
        <v>2698</v>
      </c>
      <c r="C2707" s="52">
        <f ca="1"/>
        <v>0.30138915047521297</v>
      </c>
      <c r="D2707" s="52">
        <f ca="1">S0*EXP((μ-0.5*σ*σ)*T+σ*SQRT(T)*$C2707)</f>
        <v>0.69977504615228159</v>
      </c>
      <c r="E2707" s="52">
        <f t="shared" ca="1" si="124"/>
        <v>0</v>
      </c>
      <c r="F2707" s="17">
        <f t="shared" ca="1" si="125"/>
        <v>0</v>
      </c>
      <c r="H2707" s="17">
        <v>2698</v>
      </c>
      <c r="I2707" s="45">
        <v>0.67044202004466724</v>
      </c>
      <c r="J2707" s="45">
        <v>1.8608826823271259E-2</v>
      </c>
      <c r="K2707" s="45">
        <v>0.246</v>
      </c>
      <c r="N2707" s="54"/>
    </row>
    <row r="2708" spans="2:14" x14ac:dyDescent="0.2">
      <c r="B2708">
        <v>2699</v>
      </c>
      <c r="C2708" s="52">
        <f ca="1"/>
        <v>0.15103321849672088</v>
      </c>
      <c r="D2708" s="52">
        <f ca="1">S0*EXP((μ-0.5*σ*σ)*T+σ*SQRT(T)*$C2708)</f>
        <v>0.67128625305084055</v>
      </c>
      <c r="E2708" s="52">
        <f t="shared" ca="1" si="124"/>
        <v>0</v>
      </c>
      <c r="F2708" s="17">
        <f t="shared" ca="1" si="125"/>
        <v>0</v>
      </c>
      <c r="H2708" s="17">
        <v>2699</v>
      </c>
      <c r="I2708" s="45">
        <v>0.6697854677600984</v>
      </c>
      <c r="J2708" s="45">
        <v>1.7995722203297038E-2</v>
      </c>
      <c r="K2708" s="45">
        <v>0.24299999999999999</v>
      </c>
      <c r="N2708" s="54"/>
    </row>
    <row r="2709" spans="2:14" x14ac:dyDescent="0.2">
      <c r="B2709">
        <v>2700</v>
      </c>
      <c r="C2709" s="52">
        <f ca="1"/>
        <v>-0.25476793817670906</v>
      </c>
      <c r="D2709" s="52">
        <f ca="1">S0*EXP((μ-0.5*σ*σ)*T+σ*SQRT(T)*$C2709)</f>
        <v>0.60005362073542268</v>
      </c>
      <c r="E2709" s="52">
        <f t="shared" ca="1" si="124"/>
        <v>0</v>
      </c>
      <c r="F2709" s="17">
        <f t="shared" ca="1" si="125"/>
        <v>0</v>
      </c>
      <c r="H2709" s="17">
        <v>2700</v>
      </c>
      <c r="I2709" s="45">
        <v>0.66958149780422116</v>
      </c>
      <c r="J2709" s="45">
        <v>1.8039798938290254E-2</v>
      </c>
      <c r="K2709" s="45">
        <v>0.24099999999999999</v>
      </c>
      <c r="N2709" s="54"/>
    </row>
    <row r="2710" spans="2:14" x14ac:dyDescent="0.2">
      <c r="B2710">
        <v>2701</v>
      </c>
      <c r="C2710" s="52">
        <f ca="1"/>
        <v>-0.99801248186933467</v>
      </c>
      <c r="D2710" s="52">
        <f ca="1">S0*EXP((μ-0.5*σ*σ)*T+σ*SQRT(T)*$C2710)</f>
        <v>0.48860874763229695</v>
      </c>
      <c r="E2710" s="52">
        <f t="shared" ca="1" si="124"/>
        <v>4.5791252367703039E-2</v>
      </c>
      <c r="F2710" s="17">
        <f t="shared" ca="1" si="125"/>
        <v>1</v>
      </c>
      <c r="H2710" s="17">
        <v>2701</v>
      </c>
      <c r="I2710" s="45">
        <v>0.67094613316960572</v>
      </c>
      <c r="J2710" s="45">
        <v>1.8937703418851339E-2</v>
      </c>
      <c r="K2710" s="45">
        <v>0.24360000000000001</v>
      </c>
      <c r="N2710" s="54"/>
    </row>
    <row r="2711" spans="2:14" x14ac:dyDescent="0.2">
      <c r="B2711">
        <v>2702</v>
      </c>
      <c r="C2711" s="52">
        <f ca="1"/>
        <v>0.51818766421513784</v>
      </c>
      <c r="D2711" s="52">
        <f ca="1">S0*EXP((μ-0.5*σ*σ)*T+σ*SQRT(T)*$C2711)</f>
        <v>0.7429948242847747</v>
      </c>
      <c r="E2711" s="52">
        <f t="shared" ca="1" si="124"/>
        <v>0</v>
      </c>
      <c r="F2711" s="17">
        <f t="shared" ca="1" si="125"/>
        <v>0</v>
      </c>
      <c r="H2711" s="17">
        <v>2702</v>
      </c>
      <c r="I2711" s="45">
        <v>0.67127167424551726</v>
      </c>
      <c r="J2711" s="45">
        <v>1.9289273476284917E-2</v>
      </c>
      <c r="K2711" s="45">
        <v>0.25280000000000002</v>
      </c>
      <c r="N2711" s="54"/>
    </row>
    <row r="2712" spans="2:14" x14ac:dyDescent="0.2">
      <c r="B2712">
        <v>2703</v>
      </c>
      <c r="C2712" s="52">
        <f ca="1"/>
        <v>3.1970086705490129E-3</v>
      </c>
      <c r="D2712" s="52">
        <f ca="1">S0*EXP((μ-0.5*σ*σ)*T+σ*SQRT(T)*$C2712)</f>
        <v>0.64440597125472887</v>
      </c>
      <c r="E2712" s="52">
        <f t="shared" ca="1" si="124"/>
        <v>0</v>
      </c>
      <c r="F2712" s="17">
        <f t="shared" ca="1" si="125"/>
        <v>0</v>
      </c>
      <c r="H2712" s="17">
        <v>2703</v>
      </c>
      <c r="I2712" s="45">
        <v>0.6706060616582733</v>
      </c>
      <c r="J2712" s="45">
        <v>1.8663276448914363E-2</v>
      </c>
      <c r="K2712" s="45">
        <v>0.25040000000000001</v>
      </c>
      <c r="N2712" s="54"/>
    </row>
    <row r="2713" spans="2:14" x14ac:dyDescent="0.2">
      <c r="B2713">
        <v>2704</v>
      </c>
      <c r="C2713" s="52">
        <f ca="1"/>
        <v>-2.1206592753526978</v>
      </c>
      <c r="D2713" s="52">
        <f ca="1">S0*EXP((μ-0.5*σ*σ)*T+σ*SQRT(T)*$C2713)</f>
        <v>0.3582481804821086</v>
      </c>
      <c r="E2713" s="52">
        <f t="shared" ca="1" si="124"/>
        <v>0.17615181951789138</v>
      </c>
      <c r="F2713" s="17">
        <f t="shared" ca="1" si="125"/>
        <v>1</v>
      </c>
      <c r="H2713" s="17">
        <v>2704</v>
      </c>
      <c r="I2713" s="45">
        <v>0.67034626361575689</v>
      </c>
      <c r="J2713" s="45">
        <v>1.8214809800323219E-2</v>
      </c>
      <c r="K2713" s="45">
        <v>0.2394</v>
      </c>
      <c r="N2713" s="54"/>
    </row>
    <row r="2714" spans="2:14" x14ac:dyDescent="0.2">
      <c r="B2714">
        <v>2705</v>
      </c>
      <c r="C2714" s="52">
        <f ca="1"/>
        <v>0.67148454979082195</v>
      </c>
      <c r="D2714" s="52">
        <f ca="1">S0*EXP((μ-0.5*σ*σ)*T+σ*SQRT(T)*$C2714)</f>
        <v>0.77515679269010518</v>
      </c>
      <c r="E2714" s="52">
        <f t="shared" ca="1" si="124"/>
        <v>0</v>
      </c>
      <c r="F2714" s="17">
        <f t="shared" ca="1" si="125"/>
        <v>0</v>
      </c>
      <c r="H2714" s="17">
        <v>2705</v>
      </c>
      <c r="I2714" s="45">
        <v>0.67006456442109896</v>
      </c>
      <c r="J2714" s="45">
        <v>1.8149624066200746E-2</v>
      </c>
      <c r="K2714" s="45">
        <v>0.2422</v>
      </c>
      <c r="N2714" s="54"/>
    </row>
    <row r="2715" spans="2:14" x14ac:dyDescent="0.2">
      <c r="B2715">
        <v>2706</v>
      </c>
      <c r="C2715" s="52">
        <f ca="1"/>
        <v>-0.96197547932331917</v>
      </c>
      <c r="D2715" s="52">
        <f ca="1">S0*EXP((μ-0.5*σ*σ)*T+σ*SQRT(T)*$C2715)</f>
        <v>0.49350049469860519</v>
      </c>
      <c r="E2715" s="52">
        <f t="shared" ca="1" si="124"/>
        <v>4.0899505301394801E-2</v>
      </c>
      <c r="F2715" s="17">
        <f t="shared" ca="1" si="125"/>
        <v>1</v>
      </c>
      <c r="H2715" s="17">
        <v>2706</v>
      </c>
      <c r="I2715" s="45">
        <v>0.67178274762196111</v>
      </c>
      <c r="J2715" s="45">
        <v>1.9809155896000245E-2</v>
      </c>
      <c r="K2715" s="45">
        <v>0.25019999999999998</v>
      </c>
      <c r="N2715" s="54"/>
    </row>
    <row r="2716" spans="2:14" x14ac:dyDescent="0.2">
      <c r="B2716">
        <v>2707</v>
      </c>
      <c r="C2716" s="52">
        <f ca="1"/>
        <v>1.0325297936443998</v>
      </c>
      <c r="D2716" s="52">
        <f ca="1">S0*EXP((μ-0.5*σ*σ)*T+σ*SQRT(T)*$C2716)</f>
        <v>0.85651340290916556</v>
      </c>
      <c r="E2716" s="52">
        <f t="shared" ca="1" si="124"/>
        <v>0</v>
      </c>
      <c r="F2716" s="17">
        <f t="shared" ca="1" si="125"/>
        <v>0</v>
      </c>
      <c r="H2716" s="17">
        <v>2707</v>
      </c>
      <c r="I2716" s="45">
        <v>0.66983079687065594</v>
      </c>
      <c r="J2716" s="45">
        <v>1.7900626430965155E-2</v>
      </c>
      <c r="K2716" s="45">
        <v>0.23599999999999999</v>
      </c>
      <c r="N2716" s="54"/>
    </row>
    <row r="2717" spans="2:14" x14ac:dyDescent="0.2">
      <c r="B2717">
        <v>2708</v>
      </c>
      <c r="C2717" s="52">
        <f ca="1"/>
        <v>2.8628234324934327</v>
      </c>
      <c r="D2717" s="52">
        <f ca="1">S0*EXP((μ-0.5*σ*σ)*T+σ*SQRT(T)*$C2717)</f>
        <v>1.4205830092449541</v>
      </c>
      <c r="E2717" s="52">
        <f t="shared" ca="1" si="124"/>
        <v>0</v>
      </c>
      <c r="F2717" s="17">
        <f t="shared" ca="1" si="125"/>
        <v>0</v>
      </c>
      <c r="H2717" s="17">
        <v>2708</v>
      </c>
      <c r="I2717" s="45">
        <v>0.67058202342974726</v>
      </c>
      <c r="J2717" s="45">
        <v>1.8594114061435532E-2</v>
      </c>
      <c r="K2717" s="45">
        <v>0.24340000000000001</v>
      </c>
      <c r="N2717" s="54"/>
    </row>
    <row r="2718" spans="2:14" x14ac:dyDescent="0.2">
      <c r="B2718">
        <v>2709</v>
      </c>
      <c r="C2718" s="52">
        <f ca="1"/>
        <v>1.1070555605819135</v>
      </c>
      <c r="D2718" s="52">
        <f ca="1">S0*EXP((μ-0.5*σ*σ)*T+σ*SQRT(T)*$C2718)</f>
        <v>0.87434174441208345</v>
      </c>
      <c r="E2718" s="52">
        <f t="shared" ca="1" si="124"/>
        <v>0</v>
      </c>
      <c r="F2718" s="17">
        <f t="shared" ca="1" si="125"/>
        <v>0</v>
      </c>
      <c r="H2718" s="17">
        <v>2709</v>
      </c>
      <c r="I2718" s="45">
        <v>0.67070157674202213</v>
      </c>
      <c r="J2718" s="45">
        <v>1.8767105605354512E-2</v>
      </c>
      <c r="K2718" s="45">
        <v>0.2482</v>
      </c>
      <c r="N2718" s="54"/>
    </row>
    <row r="2719" spans="2:14" x14ac:dyDescent="0.2">
      <c r="B2719">
        <v>2710</v>
      </c>
      <c r="C2719" s="52">
        <f ca="1"/>
        <v>0.68119794476998141</v>
      </c>
      <c r="D2719" s="52">
        <f ca="1">S0*EXP((μ-0.5*σ*σ)*T+σ*SQRT(T)*$C2719)</f>
        <v>0.77724096163330447</v>
      </c>
      <c r="E2719" s="52">
        <f t="shared" ca="1" si="124"/>
        <v>0</v>
      </c>
      <c r="F2719" s="17">
        <f t="shared" ca="1" si="125"/>
        <v>0</v>
      </c>
      <c r="H2719" s="17">
        <v>2710</v>
      </c>
      <c r="I2719" s="45">
        <v>0.67145502701029103</v>
      </c>
      <c r="J2719" s="45">
        <v>1.9492423280077623E-2</v>
      </c>
      <c r="K2719" s="45">
        <v>0.24440000000000001</v>
      </c>
      <c r="N2719" s="54"/>
    </row>
    <row r="2720" spans="2:14" x14ac:dyDescent="0.2">
      <c r="B2720">
        <v>2711</v>
      </c>
      <c r="C2720" s="52">
        <f ca="1"/>
        <v>0.51453114204875572</v>
      </c>
      <c r="D2720" s="52">
        <f ca="1">S0*EXP((μ-0.5*σ*σ)*T+σ*SQRT(T)*$C2720)</f>
        <v>0.74224419820252296</v>
      </c>
      <c r="E2720" s="52">
        <f t="shared" ca="1" si="124"/>
        <v>0</v>
      </c>
      <c r="F2720" s="17">
        <f t="shared" ca="1" si="125"/>
        <v>0</v>
      </c>
      <c r="H2720" s="17">
        <v>2711</v>
      </c>
      <c r="I2720" s="45">
        <v>0.67209758936877706</v>
      </c>
      <c r="J2720" s="45">
        <v>1.9785813623957729E-2</v>
      </c>
      <c r="K2720" s="45">
        <v>0.25540000000000002</v>
      </c>
      <c r="N2720" s="54"/>
    </row>
    <row r="2721" spans="2:14" x14ac:dyDescent="0.2">
      <c r="B2721">
        <v>2712</v>
      </c>
      <c r="C2721" s="52">
        <f ca="1"/>
        <v>1.2468749281245761</v>
      </c>
      <c r="D2721" s="52">
        <f ca="1">S0*EXP((μ-0.5*σ*σ)*T+σ*SQRT(T)*$C2721)</f>
        <v>0.90879716665030663</v>
      </c>
      <c r="E2721" s="52">
        <f t="shared" ca="1" si="124"/>
        <v>0</v>
      </c>
      <c r="F2721" s="17">
        <f t="shared" ca="1" si="125"/>
        <v>0</v>
      </c>
      <c r="H2721" s="17">
        <v>2712</v>
      </c>
      <c r="I2721" s="45">
        <v>0.67035682535180474</v>
      </c>
      <c r="J2721" s="45">
        <v>1.8385364305966177E-2</v>
      </c>
      <c r="K2721" s="45">
        <v>0.24260000000000001</v>
      </c>
      <c r="N2721" s="54"/>
    </row>
    <row r="2722" spans="2:14" x14ac:dyDescent="0.2">
      <c r="B2722">
        <v>2713</v>
      </c>
      <c r="C2722" s="52">
        <f ca="1"/>
        <v>-1.3336984525508631</v>
      </c>
      <c r="D2722" s="52">
        <f ca="1">S0*EXP((μ-0.5*σ*σ)*T+σ*SQRT(T)*$C2722)</f>
        <v>0.4453086092213196</v>
      </c>
      <c r="E2722" s="52">
        <f t="shared" ca="1" si="124"/>
        <v>8.909139077868039E-2</v>
      </c>
      <c r="F2722" s="17">
        <f t="shared" ca="1" si="125"/>
        <v>1</v>
      </c>
      <c r="H2722" s="17">
        <v>2713</v>
      </c>
      <c r="I2722" s="45">
        <v>0.67112700085836763</v>
      </c>
      <c r="J2722" s="45">
        <v>1.8965249339338981E-2</v>
      </c>
      <c r="K2722" s="45">
        <v>0.24660000000000001</v>
      </c>
      <c r="N2722" s="54"/>
    </row>
    <row r="2723" spans="2:14" x14ac:dyDescent="0.2">
      <c r="B2723">
        <v>2714</v>
      </c>
      <c r="C2723" s="52">
        <f ca="1"/>
        <v>-3.9665056195240599E-2</v>
      </c>
      <c r="D2723" s="52">
        <f ca="1">S0*EXP((μ-0.5*σ*σ)*T+σ*SQRT(T)*$C2723)</f>
        <v>0.63681580226422907</v>
      </c>
      <c r="E2723" s="52">
        <f t="shared" ca="1" si="124"/>
        <v>0</v>
      </c>
      <c r="F2723" s="17">
        <f t="shared" ca="1" si="125"/>
        <v>0</v>
      </c>
      <c r="H2723" s="17">
        <v>2714</v>
      </c>
      <c r="I2723" s="45">
        <v>0.67084910134122644</v>
      </c>
      <c r="J2723" s="45">
        <v>1.8981348674524796E-2</v>
      </c>
      <c r="K2723" s="45">
        <v>0.2422</v>
      </c>
      <c r="N2723" s="54"/>
    </row>
    <row r="2724" spans="2:14" x14ac:dyDescent="0.2">
      <c r="B2724">
        <v>2715</v>
      </c>
      <c r="C2724" s="52">
        <f ca="1"/>
        <v>-0.72903188921303297</v>
      </c>
      <c r="D2724" s="52">
        <f ca="1">S0*EXP((μ-0.5*σ*σ)*T+σ*SQRT(T)*$C2724)</f>
        <v>0.52632402664031896</v>
      </c>
      <c r="E2724" s="52">
        <f t="shared" ca="1" si="124"/>
        <v>8.0759733596810213E-3</v>
      </c>
      <c r="F2724" s="17">
        <f t="shared" ca="1" si="125"/>
        <v>1</v>
      </c>
      <c r="H2724" s="17">
        <v>2715</v>
      </c>
      <c r="I2724" s="45">
        <v>0.67062795475628811</v>
      </c>
      <c r="J2724" s="45">
        <v>1.8836224513078065E-2</v>
      </c>
      <c r="K2724" s="45">
        <v>0.2472</v>
      </c>
      <c r="N2724" s="54"/>
    </row>
    <row r="2725" spans="2:14" x14ac:dyDescent="0.2">
      <c r="B2725">
        <v>2716</v>
      </c>
      <c r="C2725" s="52">
        <f ca="1"/>
        <v>5.0366747546186592E-2</v>
      </c>
      <c r="D2725" s="52">
        <f ca="1">S0*EXP((μ-0.5*σ*σ)*T+σ*SQRT(T)*$C2725)</f>
        <v>0.65286356195064243</v>
      </c>
      <c r="E2725" s="52">
        <f t="shared" ca="1" si="124"/>
        <v>0</v>
      </c>
      <c r="F2725" s="17">
        <f t="shared" ca="1" si="125"/>
        <v>0</v>
      </c>
      <c r="H2725" s="17">
        <v>2716</v>
      </c>
      <c r="I2725" s="45">
        <v>0.67242442782143108</v>
      </c>
      <c r="J2725" s="45">
        <v>2.0134316200071247E-2</v>
      </c>
      <c r="K2725" s="45">
        <v>0.25440000000000002</v>
      </c>
      <c r="N2725" s="54"/>
    </row>
    <row r="2726" spans="2:14" x14ac:dyDescent="0.2">
      <c r="B2726">
        <v>2717</v>
      </c>
      <c r="C2726" s="52">
        <f ca="1"/>
        <v>0.780845393819523</v>
      </c>
      <c r="D2726" s="52">
        <f ca="1">S0*EXP((μ-0.5*σ*σ)*T+σ*SQRT(T)*$C2726)</f>
        <v>0.798948281774288</v>
      </c>
      <c r="E2726" s="52">
        <f t="shared" ca="1" si="124"/>
        <v>0</v>
      </c>
      <c r="F2726" s="17">
        <f t="shared" ca="1" si="125"/>
        <v>0</v>
      </c>
      <c r="H2726" s="17">
        <v>2717</v>
      </c>
      <c r="I2726" s="45">
        <v>0.67133165964583452</v>
      </c>
      <c r="J2726" s="45">
        <v>1.9079071225629726E-2</v>
      </c>
      <c r="K2726" s="45">
        <v>0.24399999999999999</v>
      </c>
      <c r="N2726" s="54"/>
    </row>
    <row r="2727" spans="2:14" x14ac:dyDescent="0.2">
      <c r="B2727">
        <v>2718</v>
      </c>
      <c r="C2727" s="52">
        <f ca="1"/>
        <v>0.82583800748725822</v>
      </c>
      <c r="D2727" s="52">
        <f ca="1">S0*EXP((μ-0.5*σ*σ)*T+σ*SQRT(T)*$C2727)</f>
        <v>0.80894718954242961</v>
      </c>
      <c r="E2727" s="52">
        <f t="shared" ca="1" si="124"/>
        <v>0</v>
      </c>
      <c r="F2727" s="17">
        <f t="shared" ca="1" si="125"/>
        <v>0</v>
      </c>
      <c r="H2727" s="17">
        <v>2718</v>
      </c>
      <c r="I2727" s="45">
        <v>0.67224928907246762</v>
      </c>
      <c r="J2727" s="45">
        <v>2.0153357934031741E-2</v>
      </c>
      <c r="K2727" s="45">
        <v>0.254</v>
      </c>
      <c r="N2727" s="54"/>
    </row>
    <row r="2728" spans="2:14" x14ac:dyDescent="0.2">
      <c r="B2728">
        <v>2719</v>
      </c>
      <c r="C2728" s="52">
        <f ca="1"/>
        <v>-0.29685177858111594</v>
      </c>
      <c r="D2728" s="52">
        <f ca="1">S0*EXP((μ-0.5*σ*σ)*T+σ*SQRT(T)*$C2728)</f>
        <v>0.59311343891510804</v>
      </c>
      <c r="E2728" s="52">
        <f t="shared" ca="1" si="124"/>
        <v>0</v>
      </c>
      <c r="F2728" s="17">
        <f t="shared" ca="1" si="125"/>
        <v>0</v>
      </c>
      <c r="H2728" s="17">
        <v>2719</v>
      </c>
      <c r="I2728" s="45">
        <v>0.67185000530076144</v>
      </c>
      <c r="J2728" s="45">
        <v>1.9640830775368094E-2</v>
      </c>
      <c r="K2728" s="45">
        <v>0.25700000000000001</v>
      </c>
      <c r="N2728" s="54"/>
    </row>
    <row r="2729" spans="2:14" x14ac:dyDescent="0.2">
      <c r="B2729">
        <v>2720</v>
      </c>
      <c r="C2729" s="52">
        <f ca="1"/>
        <v>0.30496945095058764</v>
      </c>
      <c r="D2729" s="52">
        <f ca="1">S0*EXP((μ-0.5*σ*σ)*T+σ*SQRT(T)*$C2729)</f>
        <v>0.70046796437126913</v>
      </c>
      <c r="E2729" s="52">
        <f t="shared" ca="1" si="124"/>
        <v>0</v>
      </c>
      <c r="F2729" s="17">
        <f t="shared" ca="1" si="125"/>
        <v>0</v>
      </c>
      <c r="H2729" s="17">
        <v>2720</v>
      </c>
      <c r="I2729" s="45">
        <v>0.67116853651191066</v>
      </c>
      <c r="J2729" s="45">
        <v>1.8859390105568717E-2</v>
      </c>
      <c r="K2729" s="45">
        <v>0.24540000000000001</v>
      </c>
      <c r="N2729" s="54"/>
    </row>
    <row r="2730" spans="2:14" x14ac:dyDescent="0.2">
      <c r="B2730">
        <v>2721</v>
      </c>
      <c r="C2730" s="52">
        <f ca="1"/>
        <v>-0.2754731489184174</v>
      </c>
      <c r="D2730" s="52">
        <f ca="1">S0*EXP((μ-0.5*σ*σ)*T+σ*SQRT(T)*$C2730)</f>
        <v>0.59662896777933827</v>
      </c>
      <c r="E2730" s="52">
        <f t="shared" ca="1" si="124"/>
        <v>0</v>
      </c>
      <c r="F2730" s="17">
        <f t="shared" ca="1" si="125"/>
        <v>0</v>
      </c>
      <c r="H2730" s="17">
        <v>2721</v>
      </c>
      <c r="I2730" s="45">
        <v>0.67108391497229503</v>
      </c>
      <c r="J2730" s="45">
        <v>1.917127193272512E-2</v>
      </c>
      <c r="K2730" s="45">
        <v>0.25359999999999999</v>
      </c>
      <c r="N2730" s="54"/>
    </row>
    <row r="2731" spans="2:14" x14ac:dyDescent="0.2">
      <c r="B2731">
        <v>2722</v>
      </c>
      <c r="C2731" s="52">
        <f ca="1"/>
        <v>0.11423238642512852</v>
      </c>
      <c r="D2731" s="52">
        <f ca="1">S0*EXP((μ-0.5*σ*σ)*T+σ*SQRT(T)*$C2731)</f>
        <v>0.66449191174901068</v>
      </c>
      <c r="E2731" s="52">
        <f t="shared" ca="1" si="124"/>
        <v>0</v>
      </c>
      <c r="F2731" s="17">
        <f t="shared" ca="1" si="125"/>
        <v>0</v>
      </c>
      <c r="H2731" s="17">
        <v>2722</v>
      </c>
      <c r="I2731" s="45">
        <v>0.67051590334170674</v>
      </c>
      <c r="J2731" s="45">
        <v>1.8412676693291982E-2</v>
      </c>
      <c r="K2731" s="45">
        <v>0.24</v>
      </c>
      <c r="N2731" s="54"/>
    </row>
    <row r="2732" spans="2:14" x14ac:dyDescent="0.2">
      <c r="B2732">
        <v>2723</v>
      </c>
      <c r="C2732" s="52">
        <f ca="1"/>
        <v>0.45968684802084803</v>
      </c>
      <c r="D2732" s="52">
        <f ca="1">S0*EXP((μ-0.5*σ*σ)*T+σ*SQRT(T)*$C2732)</f>
        <v>0.73107609473065716</v>
      </c>
      <c r="E2732" s="52">
        <f t="shared" ca="1" si="124"/>
        <v>0</v>
      </c>
      <c r="F2732" s="17">
        <f t="shared" ca="1" si="125"/>
        <v>0</v>
      </c>
      <c r="H2732" s="17">
        <v>2723</v>
      </c>
      <c r="I2732" s="45">
        <v>0.67096330503869994</v>
      </c>
      <c r="J2732" s="45">
        <v>1.9161330716703888E-2</v>
      </c>
      <c r="K2732" s="45">
        <v>0.25419999999999998</v>
      </c>
      <c r="N2732" s="54"/>
    </row>
    <row r="2733" spans="2:14" x14ac:dyDescent="0.2">
      <c r="B2733">
        <v>2724</v>
      </c>
      <c r="C2733" s="52">
        <f ca="1"/>
        <v>-1.2794144204734768</v>
      </c>
      <c r="D2733" s="52">
        <f ca="1">S0*EXP((μ-0.5*σ*σ)*T+σ*SQRT(T)*$C2733)</f>
        <v>0.4520412411149573</v>
      </c>
      <c r="E2733" s="52">
        <f t="shared" ca="1" si="124"/>
        <v>8.2358758885042682E-2</v>
      </c>
      <c r="F2733" s="17">
        <f t="shared" ca="1" si="125"/>
        <v>1</v>
      </c>
      <c r="H2733" s="17">
        <v>2724</v>
      </c>
      <c r="I2733" s="45">
        <v>0.67156620652745158</v>
      </c>
      <c r="J2733" s="45">
        <v>1.9439119044057308E-2</v>
      </c>
      <c r="K2733" s="45">
        <v>0.2462</v>
      </c>
      <c r="N2733" s="54"/>
    </row>
    <row r="2734" spans="2:14" x14ac:dyDescent="0.2">
      <c r="B2734">
        <v>2725</v>
      </c>
      <c r="C2734" s="52">
        <f ca="1"/>
        <v>1.5141003471573313</v>
      </c>
      <c r="D2734" s="52">
        <f ca="1">S0*EXP((μ-0.5*σ*σ)*T+σ*SQRT(T)*$C2734)</f>
        <v>0.97847156282058367</v>
      </c>
      <c r="E2734" s="52">
        <f t="shared" ca="1" si="124"/>
        <v>0</v>
      </c>
      <c r="F2734" s="17">
        <f t="shared" ca="1" si="125"/>
        <v>0</v>
      </c>
      <c r="H2734" s="17">
        <v>2725</v>
      </c>
      <c r="I2734" s="45">
        <v>0.67162910415233945</v>
      </c>
      <c r="J2734" s="45">
        <v>1.9433623433133762E-2</v>
      </c>
      <c r="K2734" s="45">
        <v>0.24299999999999999</v>
      </c>
      <c r="N2734" s="54"/>
    </row>
    <row r="2735" spans="2:14" x14ac:dyDescent="0.2">
      <c r="B2735">
        <v>2726</v>
      </c>
      <c r="C2735" s="52">
        <f ca="1"/>
        <v>-5.9300699569422945E-2</v>
      </c>
      <c r="D2735" s="52">
        <f ca="1">S0*EXP((μ-0.5*σ*σ)*T+σ*SQRT(T)*$C2735)</f>
        <v>0.6333685746315092</v>
      </c>
      <c r="E2735" s="52">
        <f t="shared" ca="1" si="124"/>
        <v>0</v>
      </c>
      <c r="F2735" s="17">
        <f t="shared" ca="1" si="125"/>
        <v>0</v>
      </c>
      <c r="H2735" s="17">
        <v>2726</v>
      </c>
      <c r="I2735" s="45">
        <v>0.67063705834279064</v>
      </c>
      <c r="J2735" s="45">
        <v>1.8578383385036767E-2</v>
      </c>
      <c r="K2735" s="45">
        <v>0.247</v>
      </c>
      <c r="N2735" s="54"/>
    </row>
    <row r="2736" spans="2:14" x14ac:dyDescent="0.2">
      <c r="B2736">
        <v>2727</v>
      </c>
      <c r="C2736" s="52">
        <f ca="1"/>
        <v>0.84383257037556825</v>
      </c>
      <c r="D2736" s="52">
        <f ca="1">S0*EXP((μ-0.5*σ*σ)*T+σ*SQRT(T)*$C2736)</f>
        <v>0.8129811458809898</v>
      </c>
      <c r="E2736" s="52">
        <f t="shared" ca="1" si="124"/>
        <v>0</v>
      </c>
      <c r="F2736" s="17">
        <f t="shared" ca="1" si="125"/>
        <v>0</v>
      </c>
      <c r="H2736" s="17">
        <v>2727</v>
      </c>
      <c r="I2736" s="45">
        <v>0.67047621886021391</v>
      </c>
      <c r="J2736" s="45">
        <v>1.8854787152037301E-2</v>
      </c>
      <c r="K2736" s="45">
        <v>0.24440000000000001</v>
      </c>
      <c r="N2736" s="54"/>
    </row>
    <row r="2737" spans="2:14" x14ac:dyDescent="0.2">
      <c r="B2737">
        <v>2728</v>
      </c>
      <c r="C2737" s="52">
        <f ca="1"/>
        <v>-0.63242299626245424</v>
      </c>
      <c r="D2737" s="52">
        <f ca="1">S0*EXP((μ-0.5*σ*σ)*T+σ*SQRT(T)*$C2737)</f>
        <v>0.54056932101952382</v>
      </c>
      <c r="E2737" s="52">
        <f t="shared" ca="1" si="124"/>
        <v>0</v>
      </c>
      <c r="F2737" s="17">
        <f t="shared" ca="1" si="125"/>
        <v>0</v>
      </c>
      <c r="H2737" s="17">
        <v>2728</v>
      </c>
      <c r="I2737" s="45">
        <v>0.67054046597094574</v>
      </c>
      <c r="J2737" s="45">
        <v>1.8537317745637903E-2</v>
      </c>
      <c r="K2737" s="45">
        <v>0.246</v>
      </c>
      <c r="N2737" s="54"/>
    </row>
    <row r="2738" spans="2:14" x14ac:dyDescent="0.2">
      <c r="B2738">
        <v>2729</v>
      </c>
      <c r="C2738" s="52">
        <f ca="1"/>
        <v>-0.59493722358984269</v>
      </c>
      <c r="D2738" s="52">
        <f ca="1">S0*EXP((μ-0.5*σ*σ)*T+σ*SQRT(T)*$C2738)</f>
        <v>0.54619997796779507</v>
      </c>
      <c r="E2738" s="52">
        <f t="shared" ca="1" si="124"/>
        <v>0</v>
      </c>
      <c r="F2738" s="17">
        <f t="shared" ca="1" si="125"/>
        <v>0</v>
      </c>
      <c r="H2738" s="17">
        <v>2729</v>
      </c>
      <c r="I2738" s="45">
        <v>0.66983504898352619</v>
      </c>
      <c r="J2738" s="45">
        <v>1.7935152837108066E-2</v>
      </c>
      <c r="K2738" s="45">
        <v>0.2382</v>
      </c>
      <c r="N2738" s="54"/>
    </row>
    <row r="2739" spans="2:14" x14ac:dyDescent="0.2">
      <c r="B2739">
        <v>2730</v>
      </c>
      <c r="C2739" s="52">
        <f ca="1"/>
        <v>1.3030591578204374</v>
      </c>
      <c r="D2739" s="52">
        <f ca="1">S0*EXP((μ-0.5*σ*σ)*T+σ*SQRT(T)*$C2739)</f>
        <v>0.923022007889299</v>
      </c>
      <c r="E2739" s="52">
        <f t="shared" ca="1" si="124"/>
        <v>0</v>
      </c>
      <c r="F2739" s="17">
        <f t="shared" ca="1" si="125"/>
        <v>0</v>
      </c>
      <c r="H2739" s="17">
        <v>2730</v>
      </c>
      <c r="I2739" s="45">
        <v>0.66985081012642533</v>
      </c>
      <c r="J2739" s="45">
        <v>1.8201226181788398E-2</v>
      </c>
      <c r="K2739" s="45">
        <v>0.24579999999999999</v>
      </c>
      <c r="N2739" s="54"/>
    </row>
    <row r="2740" spans="2:14" x14ac:dyDescent="0.2">
      <c r="B2740">
        <v>2731</v>
      </c>
      <c r="C2740" s="52">
        <f ca="1"/>
        <v>0.54627528774140444</v>
      </c>
      <c r="D2740" s="52">
        <f ca="1">S0*EXP((μ-0.5*σ*σ)*T+σ*SQRT(T)*$C2740)</f>
        <v>0.74878613678253814</v>
      </c>
      <c r="E2740" s="52">
        <f t="shared" ca="1" si="124"/>
        <v>0</v>
      </c>
      <c r="F2740" s="17">
        <f t="shared" ca="1" si="125"/>
        <v>0</v>
      </c>
      <c r="H2740" s="17">
        <v>2731</v>
      </c>
      <c r="I2740" s="45">
        <v>0.67148368594872065</v>
      </c>
      <c r="J2740" s="45">
        <v>1.9461600483713058E-2</v>
      </c>
      <c r="K2740" s="45">
        <v>0.25119999999999998</v>
      </c>
      <c r="N2740" s="54"/>
    </row>
    <row r="2741" spans="2:14" x14ac:dyDescent="0.2">
      <c r="B2741">
        <v>2732</v>
      </c>
      <c r="C2741" s="52">
        <f ca="1"/>
        <v>-1.3650325439963025</v>
      </c>
      <c r="D2741" s="52">
        <f ca="1">S0*EXP((μ-0.5*σ*σ)*T+σ*SQRT(T)*$C2741)</f>
        <v>0.44146810895200689</v>
      </c>
      <c r="E2741" s="52">
        <f t="shared" ca="1" si="124"/>
        <v>9.2931891047993098E-2</v>
      </c>
      <c r="F2741" s="17">
        <f t="shared" ca="1" si="125"/>
        <v>1</v>
      </c>
      <c r="H2741" s="17">
        <v>2732</v>
      </c>
      <c r="I2741" s="45">
        <v>0.67078596908917698</v>
      </c>
      <c r="J2741" s="45">
        <v>1.8892270990520741E-2</v>
      </c>
      <c r="K2741" s="45">
        <v>0.2472</v>
      </c>
      <c r="N2741" s="54"/>
    </row>
    <row r="2742" spans="2:14" x14ac:dyDescent="0.2">
      <c r="B2742">
        <v>2733</v>
      </c>
      <c r="C2742" s="52">
        <f ca="1"/>
        <v>0.41041202176330077</v>
      </c>
      <c r="D2742" s="52">
        <f ca="1">S0*EXP((μ-0.5*σ*σ)*T+σ*SQRT(T)*$C2742)</f>
        <v>0.72118550093291245</v>
      </c>
      <c r="E2742" s="52">
        <f t="shared" ca="1" si="124"/>
        <v>0</v>
      </c>
      <c r="F2742" s="17">
        <f t="shared" ca="1" si="125"/>
        <v>0</v>
      </c>
      <c r="H2742" s="17">
        <v>2733</v>
      </c>
      <c r="I2742" s="45">
        <v>0.67088980470244308</v>
      </c>
      <c r="J2742" s="45">
        <v>1.8688631087178744E-2</v>
      </c>
      <c r="K2742" s="45">
        <v>0.24460000000000001</v>
      </c>
      <c r="N2742" s="54"/>
    </row>
    <row r="2743" spans="2:14" x14ac:dyDescent="0.2">
      <c r="B2743">
        <v>2734</v>
      </c>
      <c r="C2743" s="52">
        <f ca="1"/>
        <v>-0.10973215425019914</v>
      </c>
      <c r="D2743" s="52">
        <f ca="1">S0*EXP((μ-0.5*σ*σ)*T+σ*SQRT(T)*$C2743)</f>
        <v>0.62460011273568228</v>
      </c>
      <c r="E2743" s="52">
        <f t="shared" ca="1" si="124"/>
        <v>0</v>
      </c>
      <c r="F2743" s="17">
        <f t="shared" ca="1" si="125"/>
        <v>0</v>
      </c>
      <c r="H2743" s="17">
        <v>2734</v>
      </c>
      <c r="I2743" s="45">
        <v>0.66998118652731553</v>
      </c>
      <c r="J2743" s="45">
        <v>1.8023821818740696E-2</v>
      </c>
      <c r="K2743" s="45">
        <v>0.2424</v>
      </c>
      <c r="N2743" s="54"/>
    </row>
    <row r="2744" spans="2:14" x14ac:dyDescent="0.2">
      <c r="B2744">
        <v>2735</v>
      </c>
      <c r="C2744" s="52">
        <f ca="1"/>
        <v>-1.172321714446944</v>
      </c>
      <c r="D2744" s="52">
        <f ca="1">S0*EXP((μ-0.5*σ*σ)*T+σ*SQRT(T)*$C2744)</f>
        <v>0.46562347917443553</v>
      </c>
      <c r="E2744" s="52">
        <f t="shared" ca="1" si="124"/>
        <v>6.8776520825564458E-2</v>
      </c>
      <c r="F2744" s="17">
        <f t="shared" ca="1" si="125"/>
        <v>1</v>
      </c>
      <c r="H2744" s="17">
        <v>2735</v>
      </c>
      <c r="I2744" s="45">
        <v>0.67246739485728724</v>
      </c>
      <c r="J2744" s="45">
        <v>2.0112551266031623E-2</v>
      </c>
      <c r="K2744" s="45">
        <v>0.247</v>
      </c>
      <c r="N2744" s="54"/>
    </row>
    <row r="2745" spans="2:14" x14ac:dyDescent="0.2">
      <c r="B2745">
        <v>2736</v>
      </c>
      <c r="C2745" s="52">
        <f ca="1"/>
        <v>-1.7644078001681012</v>
      </c>
      <c r="D2745" s="52">
        <f ca="1">S0*EXP((μ-0.5*σ*σ)*T+σ*SQRT(T)*$C2745)</f>
        <v>0.39532391954928053</v>
      </c>
      <c r="E2745" s="52">
        <f t="shared" ca="1" si="124"/>
        <v>0.13907608045071945</v>
      </c>
      <c r="F2745" s="17">
        <f t="shared" ca="1" si="125"/>
        <v>1</v>
      </c>
      <c r="H2745" s="17">
        <v>2736</v>
      </c>
      <c r="I2745" s="45">
        <v>0.6698174338197751</v>
      </c>
      <c r="J2745" s="45">
        <v>1.80602654678109E-2</v>
      </c>
      <c r="K2745" s="45">
        <v>0.2422</v>
      </c>
      <c r="N2745" s="54"/>
    </row>
    <row r="2746" spans="2:14" x14ac:dyDescent="0.2">
      <c r="B2746">
        <v>2737</v>
      </c>
      <c r="C2746" s="52">
        <f ca="1"/>
        <v>1.1271274152402515</v>
      </c>
      <c r="D2746" s="52">
        <f ca="1">S0*EXP((μ-0.5*σ*σ)*T+σ*SQRT(T)*$C2746)</f>
        <v>0.87920652481170203</v>
      </c>
      <c r="E2746" s="52">
        <f t="shared" ca="1" si="124"/>
        <v>0</v>
      </c>
      <c r="F2746" s="17">
        <f t="shared" ca="1" si="125"/>
        <v>0</v>
      </c>
      <c r="H2746" s="17">
        <v>2737</v>
      </c>
      <c r="I2746" s="45">
        <v>0.671237798748887</v>
      </c>
      <c r="J2746" s="45">
        <v>1.9249815507072908E-2</v>
      </c>
      <c r="K2746" s="45">
        <v>0.24540000000000001</v>
      </c>
      <c r="N2746" s="54"/>
    </row>
    <row r="2747" spans="2:14" x14ac:dyDescent="0.2">
      <c r="B2747">
        <v>2738</v>
      </c>
      <c r="C2747" s="52">
        <f ca="1"/>
        <v>-0.202709694212408</v>
      </c>
      <c r="D2747" s="52">
        <f ca="1">S0*EXP((μ-0.5*σ*σ)*T+σ*SQRT(T)*$C2747)</f>
        <v>0.60875117849256588</v>
      </c>
      <c r="E2747" s="52">
        <f t="shared" ca="1" si="124"/>
        <v>0</v>
      </c>
      <c r="F2747" s="17">
        <f t="shared" ca="1" si="125"/>
        <v>0</v>
      </c>
      <c r="H2747" s="17">
        <v>2738</v>
      </c>
      <c r="I2747" s="45">
        <v>0.67119533217072724</v>
      </c>
      <c r="J2747" s="45">
        <v>1.9263182929361734E-2</v>
      </c>
      <c r="K2747" s="45">
        <v>0.25019999999999998</v>
      </c>
      <c r="N2747" s="54"/>
    </row>
    <row r="2748" spans="2:14" x14ac:dyDescent="0.2">
      <c r="B2748">
        <v>2739</v>
      </c>
      <c r="C2748" s="52">
        <f ca="1"/>
        <v>0.31625380869467384</v>
      </c>
      <c r="D2748" s="52">
        <f ca="1">S0*EXP((μ-0.5*σ*σ)*T+σ*SQRT(T)*$C2748)</f>
        <v>0.70265638995313195</v>
      </c>
      <c r="E2748" s="52">
        <f t="shared" ca="1" si="124"/>
        <v>0</v>
      </c>
      <c r="F2748" s="17">
        <f t="shared" ca="1" si="125"/>
        <v>0</v>
      </c>
      <c r="H2748" s="17">
        <v>2739</v>
      </c>
      <c r="I2748" s="45">
        <v>0.67137963973276749</v>
      </c>
      <c r="J2748" s="45">
        <v>1.9351099844393111E-2</v>
      </c>
      <c r="K2748" s="45">
        <v>0.2452</v>
      </c>
      <c r="N2748" s="54"/>
    </row>
    <row r="2749" spans="2:14" x14ac:dyDescent="0.2">
      <c r="B2749">
        <v>2740</v>
      </c>
      <c r="C2749" s="52">
        <f ca="1"/>
        <v>0.5472069334710935</v>
      </c>
      <c r="D2749" s="52">
        <f ca="1">S0*EXP((μ-0.5*σ*σ)*T+σ*SQRT(T)*$C2749)</f>
        <v>0.74897900187925415</v>
      </c>
      <c r="E2749" s="52">
        <f t="shared" ca="1" si="124"/>
        <v>0</v>
      </c>
      <c r="F2749" s="17">
        <f t="shared" ca="1" si="125"/>
        <v>0</v>
      </c>
      <c r="H2749" s="17">
        <v>2740</v>
      </c>
      <c r="I2749" s="45">
        <v>0.67035641458735529</v>
      </c>
      <c r="J2749" s="45">
        <v>1.8608957165224579E-2</v>
      </c>
      <c r="K2749" s="45">
        <v>0.24260000000000001</v>
      </c>
      <c r="N2749" s="54"/>
    </row>
    <row r="2750" spans="2:14" x14ac:dyDescent="0.2">
      <c r="B2750">
        <v>2741</v>
      </c>
      <c r="C2750" s="52">
        <f ca="1"/>
        <v>0.52032645898859431</v>
      </c>
      <c r="D2750" s="52">
        <f ca="1">S0*EXP((μ-0.5*σ*σ)*T+σ*SQRT(T)*$C2750)</f>
        <v>0.74343423679300269</v>
      </c>
      <c r="E2750" s="52">
        <f t="shared" ca="1" si="124"/>
        <v>0</v>
      </c>
      <c r="F2750" s="17">
        <f t="shared" ca="1" si="125"/>
        <v>0</v>
      </c>
      <c r="H2750" s="17">
        <v>2741</v>
      </c>
      <c r="I2750" s="45">
        <v>0.67140384337703851</v>
      </c>
      <c r="J2750" s="45">
        <v>1.9129731472083692E-2</v>
      </c>
      <c r="K2750" s="45">
        <v>0.252</v>
      </c>
      <c r="N2750" s="54"/>
    </row>
    <row r="2751" spans="2:14" x14ac:dyDescent="0.2">
      <c r="B2751">
        <v>2742</v>
      </c>
      <c r="C2751" s="52">
        <f ca="1"/>
        <v>0.32733673045165684</v>
      </c>
      <c r="D2751" s="52">
        <f ca="1">S0*EXP((μ-0.5*σ*σ)*T+σ*SQRT(T)*$C2751)</f>
        <v>0.70481240520447952</v>
      </c>
      <c r="E2751" s="52">
        <f t="shared" ca="1" si="124"/>
        <v>0</v>
      </c>
      <c r="F2751" s="17">
        <f t="shared" ca="1" si="125"/>
        <v>0</v>
      </c>
      <c r="H2751" s="17">
        <v>2742</v>
      </c>
      <c r="I2751" s="45">
        <v>0.67222936709976</v>
      </c>
      <c r="J2751" s="45">
        <v>1.9955015665029843E-2</v>
      </c>
      <c r="K2751" s="45">
        <v>0.25559999999999999</v>
      </c>
      <c r="N2751" s="54"/>
    </row>
    <row r="2752" spans="2:14" x14ac:dyDescent="0.2">
      <c r="B2752">
        <v>2743</v>
      </c>
      <c r="C2752" s="52">
        <f ca="1"/>
        <v>-0.96088220645486022</v>
      </c>
      <c r="D2752" s="52">
        <f ca="1">S0*EXP((μ-0.5*σ*σ)*T+σ*SQRT(T)*$C2752)</f>
        <v>0.49364966106535063</v>
      </c>
      <c r="E2752" s="52">
        <f t="shared" ca="1" si="124"/>
        <v>4.0750338934649355E-2</v>
      </c>
      <c r="F2752" s="17">
        <f t="shared" ca="1" si="125"/>
        <v>1</v>
      </c>
      <c r="H2752" s="17">
        <v>2743</v>
      </c>
      <c r="I2752" s="45">
        <v>0.67040823773233504</v>
      </c>
      <c r="J2752" s="45">
        <v>1.864267812109863E-2</v>
      </c>
      <c r="K2752" s="45">
        <v>0.24360000000000001</v>
      </c>
      <c r="N2752" s="54"/>
    </row>
    <row r="2753" spans="2:14" x14ac:dyDescent="0.2">
      <c r="B2753">
        <v>2744</v>
      </c>
      <c r="C2753" s="52">
        <f ca="1"/>
        <v>-0.88223610871366986</v>
      </c>
      <c r="D2753" s="52">
        <f ca="1">S0*EXP((μ-0.5*σ*σ)*T+σ*SQRT(T)*$C2753)</f>
        <v>0.50449928164852853</v>
      </c>
      <c r="E2753" s="52">
        <f t="shared" ca="1" si="124"/>
        <v>2.9900718351471456E-2</v>
      </c>
      <c r="F2753" s="17">
        <f t="shared" ca="1" si="125"/>
        <v>1</v>
      </c>
      <c r="H2753" s="17">
        <v>2744</v>
      </c>
      <c r="I2753" s="45">
        <v>0.67053067961880819</v>
      </c>
      <c r="J2753" s="45">
        <v>1.8658910940844466E-2</v>
      </c>
      <c r="K2753" s="45">
        <v>0.24099999999999999</v>
      </c>
      <c r="N2753" s="54"/>
    </row>
    <row r="2754" spans="2:14" x14ac:dyDescent="0.2">
      <c r="B2754">
        <v>2745</v>
      </c>
      <c r="C2754" s="52">
        <f ca="1"/>
        <v>0.75181098944680425</v>
      </c>
      <c r="D2754" s="52">
        <f ca="1">S0*EXP((μ-0.5*σ*σ)*T+σ*SQRT(T)*$C2754)</f>
        <v>0.79256154466069417</v>
      </c>
      <c r="E2754" s="52">
        <f t="shared" ca="1" si="124"/>
        <v>0</v>
      </c>
      <c r="F2754" s="17">
        <f t="shared" ca="1" si="125"/>
        <v>0</v>
      </c>
      <c r="H2754" s="17">
        <v>2745</v>
      </c>
      <c r="I2754" s="45">
        <v>0.6698342413553644</v>
      </c>
      <c r="J2754" s="45">
        <v>1.7936595374610783E-2</v>
      </c>
      <c r="K2754" s="45">
        <v>0.23580000000000001</v>
      </c>
      <c r="N2754" s="54"/>
    </row>
    <row r="2755" spans="2:14" x14ac:dyDescent="0.2">
      <c r="B2755">
        <v>2746</v>
      </c>
      <c r="C2755" s="52">
        <f ca="1"/>
        <v>1.7135087991314359</v>
      </c>
      <c r="D2755" s="52">
        <f ca="1">S0*EXP((μ-0.5*σ*σ)*T+σ*SQRT(T)*$C2755)</f>
        <v>1.0339220898213721</v>
      </c>
      <c r="E2755" s="52">
        <f t="shared" ca="1" si="124"/>
        <v>0</v>
      </c>
      <c r="F2755" s="17">
        <f t="shared" ca="1" si="125"/>
        <v>0</v>
      </c>
      <c r="H2755" s="17">
        <v>2746</v>
      </c>
      <c r="I2755" s="45">
        <v>0.67145262895282998</v>
      </c>
      <c r="J2755" s="45">
        <v>1.9349919361346168E-2</v>
      </c>
      <c r="K2755" s="45">
        <v>0.24940000000000001</v>
      </c>
      <c r="N2755" s="54"/>
    </row>
    <row r="2756" spans="2:14" x14ac:dyDescent="0.2">
      <c r="B2756">
        <v>2747</v>
      </c>
      <c r="C2756" s="52">
        <f ca="1"/>
        <v>0.14528526379677281</v>
      </c>
      <c r="D2756" s="52">
        <f ca="1">S0*EXP((μ-0.5*σ*σ)*T+σ*SQRT(T)*$C2756)</f>
        <v>0.67022047878895086</v>
      </c>
      <c r="E2756" s="52">
        <f t="shared" ca="1" si="124"/>
        <v>0</v>
      </c>
      <c r="F2756" s="17">
        <f t="shared" ca="1" si="125"/>
        <v>0</v>
      </c>
      <c r="H2756" s="17">
        <v>2747</v>
      </c>
      <c r="I2756" s="45">
        <v>0.67118630958257552</v>
      </c>
      <c r="J2756" s="45">
        <v>1.9362279912513485E-2</v>
      </c>
      <c r="K2756" s="45">
        <v>0.253</v>
      </c>
      <c r="N2756" s="54"/>
    </row>
    <row r="2757" spans="2:14" x14ac:dyDescent="0.2">
      <c r="B2757">
        <v>2748</v>
      </c>
      <c r="C2757" s="52">
        <f ca="1"/>
        <v>-2.2927937219822301</v>
      </c>
      <c r="D2757" s="52">
        <f ca="1">S0*EXP((μ-0.5*σ*σ)*T+σ*SQRT(T)*$C2757)</f>
        <v>0.34160067234439068</v>
      </c>
      <c r="E2757" s="52">
        <f t="shared" ca="1" si="124"/>
        <v>0.19279932765560931</v>
      </c>
      <c r="F2757" s="17">
        <f t="shared" ca="1" si="125"/>
        <v>1</v>
      </c>
      <c r="H2757" s="17">
        <v>2748</v>
      </c>
      <c r="I2757" s="45">
        <v>0.67083392023142863</v>
      </c>
      <c r="J2757" s="45">
        <v>1.8775449586352903E-2</v>
      </c>
      <c r="K2757" s="45">
        <v>0.24260000000000001</v>
      </c>
      <c r="N2757" s="54"/>
    </row>
    <row r="2758" spans="2:14" x14ac:dyDescent="0.2">
      <c r="B2758">
        <v>2749</v>
      </c>
      <c r="C2758" s="52">
        <f ca="1"/>
        <v>0.40449293967777827</v>
      </c>
      <c r="D2758" s="52">
        <f ca="1">S0*EXP((μ-0.5*σ*σ)*T+σ*SQRT(T)*$C2758)</f>
        <v>0.72000644280125081</v>
      </c>
      <c r="E2758" s="52">
        <f t="shared" ca="1" si="124"/>
        <v>0</v>
      </c>
      <c r="F2758" s="17">
        <f t="shared" ca="1" si="125"/>
        <v>0</v>
      </c>
      <c r="H2758" s="17">
        <v>2749</v>
      </c>
      <c r="I2758" s="45">
        <v>0.6713334199176364</v>
      </c>
      <c r="J2758" s="45">
        <v>1.9225521452897392E-2</v>
      </c>
      <c r="K2758" s="45">
        <v>0.24179999999999999</v>
      </c>
      <c r="N2758" s="54"/>
    </row>
    <row r="2759" spans="2:14" x14ac:dyDescent="0.2">
      <c r="B2759">
        <v>2750</v>
      </c>
      <c r="C2759" s="52">
        <f ca="1"/>
        <v>-0.17805001999478787</v>
      </c>
      <c r="D2759" s="52">
        <f ca="1">S0*EXP((μ-0.5*σ*σ)*T+σ*SQRT(T)*$C2759)</f>
        <v>0.61291505027471216</v>
      </c>
      <c r="E2759" s="52">
        <f t="shared" ca="1" si="124"/>
        <v>0</v>
      </c>
      <c r="F2759" s="17">
        <f t="shared" ca="1" si="125"/>
        <v>0</v>
      </c>
      <c r="H2759" s="17">
        <v>2750</v>
      </c>
      <c r="I2759" s="45">
        <v>0.67103471823050276</v>
      </c>
      <c r="J2759" s="45">
        <v>1.9156714474247119E-2</v>
      </c>
      <c r="K2759" s="45">
        <v>0.24679999999999999</v>
      </c>
      <c r="N2759" s="54"/>
    </row>
    <row r="2760" spans="2:14" x14ac:dyDescent="0.2">
      <c r="B2760">
        <v>2751</v>
      </c>
      <c r="C2760" s="52">
        <f ca="1"/>
        <v>0.85049678394569905</v>
      </c>
      <c r="D2760" s="52">
        <f ca="1">S0*EXP((μ-0.5*σ*σ)*T+σ*SQRT(T)*$C2760)</f>
        <v>0.81448020442314129</v>
      </c>
      <c r="E2760" s="52">
        <f t="shared" ca="1" si="124"/>
        <v>0</v>
      </c>
      <c r="F2760" s="17">
        <f t="shared" ca="1" si="125"/>
        <v>0</v>
      </c>
      <c r="H2760" s="17">
        <v>2751</v>
      </c>
      <c r="I2760" s="45">
        <v>0.67055617127993927</v>
      </c>
      <c r="J2760" s="45">
        <v>1.8795316101113166E-2</v>
      </c>
      <c r="K2760" s="45">
        <v>0.24199999999999999</v>
      </c>
      <c r="N2760" s="54"/>
    </row>
    <row r="2761" spans="2:14" x14ac:dyDescent="0.2">
      <c r="B2761">
        <v>2752</v>
      </c>
      <c r="C2761" s="52">
        <f ca="1"/>
        <v>-0.46565014062387333</v>
      </c>
      <c r="D2761" s="52">
        <f ca="1">S0*EXP((μ-0.5*σ*σ)*T+σ*SQRT(T)*$C2761)</f>
        <v>0.56607372275897094</v>
      </c>
      <c r="E2761" s="52">
        <f t="shared" ca="1" si="124"/>
        <v>0</v>
      </c>
      <c r="F2761" s="17">
        <f t="shared" ca="1" si="125"/>
        <v>0</v>
      </c>
      <c r="H2761" s="17">
        <v>2752</v>
      </c>
      <c r="I2761" s="45">
        <v>0.67071338704757977</v>
      </c>
      <c r="J2761" s="45">
        <v>1.9230532188642343E-2</v>
      </c>
      <c r="K2761" s="45">
        <v>0.25140000000000001</v>
      </c>
      <c r="N2761" s="54"/>
    </row>
    <row r="2762" spans="2:14" x14ac:dyDescent="0.2">
      <c r="B2762">
        <v>2753</v>
      </c>
      <c r="C2762" s="52">
        <f ca="1"/>
        <v>-0.86097958497516458</v>
      </c>
      <c r="D2762" s="52">
        <f ca="1">S0*EXP((μ-0.5*σ*σ)*T+σ*SQRT(T)*$C2762)</f>
        <v>0.50747244312440876</v>
      </c>
      <c r="E2762" s="52">
        <f t="shared" ref="E2762:E2825" ca="1" si="126">MAX(0,CP*(D2762-K))</f>
        <v>2.692755687559123E-2</v>
      </c>
      <c r="F2762" s="17">
        <f t="shared" ref="F2762:F2825" ca="1" si="127">(CP*(D2762-K)&gt;0)*1</f>
        <v>1</v>
      </c>
      <c r="H2762" s="17">
        <v>2753</v>
      </c>
      <c r="I2762" s="45">
        <v>0.67262858334045261</v>
      </c>
      <c r="J2762" s="45">
        <v>2.0197519679486277E-2</v>
      </c>
      <c r="K2762" s="45">
        <v>0.25259999999999999</v>
      </c>
      <c r="N2762" s="54"/>
    </row>
    <row r="2763" spans="2:14" x14ac:dyDescent="0.2">
      <c r="B2763">
        <v>2754</v>
      </c>
      <c r="C2763" s="52">
        <f ca="1"/>
        <v>-2.8519664393234712E-2</v>
      </c>
      <c r="D2763" s="52">
        <f ca="1">S0*EXP((μ-0.5*σ*σ)*T+σ*SQRT(T)*$C2763)</f>
        <v>0.63878082457162866</v>
      </c>
      <c r="E2763" s="52">
        <f t="shared" ca="1" si="126"/>
        <v>0</v>
      </c>
      <c r="F2763" s="17">
        <f t="shared" ca="1" si="127"/>
        <v>0</v>
      </c>
      <c r="H2763" s="17">
        <v>2754</v>
      </c>
      <c r="I2763" s="45">
        <v>0.6712106628189215</v>
      </c>
      <c r="J2763" s="45">
        <v>1.8832082216399988E-2</v>
      </c>
      <c r="K2763" s="45">
        <v>0.24179999999999999</v>
      </c>
      <c r="N2763" s="54"/>
    </row>
    <row r="2764" spans="2:14" x14ac:dyDescent="0.2">
      <c r="B2764">
        <v>2755</v>
      </c>
      <c r="C2764" s="52">
        <f ca="1"/>
        <v>1.040281118946065</v>
      </c>
      <c r="D2764" s="52">
        <f ca="1">S0*EXP((μ-0.5*σ*σ)*T+σ*SQRT(T)*$C2764)</f>
        <v>0.85835063751459173</v>
      </c>
      <c r="E2764" s="52">
        <f t="shared" ca="1" si="126"/>
        <v>0</v>
      </c>
      <c r="F2764" s="17">
        <f t="shared" ca="1" si="127"/>
        <v>0</v>
      </c>
      <c r="H2764" s="17">
        <v>2755</v>
      </c>
      <c r="I2764" s="45">
        <v>0.67096550715564918</v>
      </c>
      <c r="J2764" s="45">
        <v>1.891608252035348E-2</v>
      </c>
      <c r="K2764" s="45">
        <v>0.24679999999999999</v>
      </c>
      <c r="N2764" s="54"/>
    </row>
    <row r="2765" spans="2:14" x14ac:dyDescent="0.2">
      <c r="B2765">
        <v>2756</v>
      </c>
      <c r="C2765" s="52">
        <f ca="1"/>
        <v>-0.62599073278733608</v>
      </c>
      <c r="D2765" s="52">
        <f ca="1">S0*EXP((μ-0.5*σ*σ)*T+σ*SQRT(T)*$C2765)</f>
        <v>0.54153135520697981</v>
      </c>
      <c r="E2765" s="52">
        <f t="shared" ca="1" si="126"/>
        <v>0</v>
      </c>
      <c r="F2765" s="17">
        <f t="shared" ca="1" si="127"/>
        <v>0</v>
      </c>
      <c r="H2765" s="17">
        <v>2756</v>
      </c>
      <c r="I2765" s="45">
        <v>0.67056067398751762</v>
      </c>
      <c r="J2765" s="45">
        <v>1.8719713400723533E-2</v>
      </c>
      <c r="K2765" s="45">
        <v>0.24859999999999999</v>
      </c>
      <c r="N2765" s="54"/>
    </row>
    <row r="2766" spans="2:14" x14ac:dyDescent="0.2">
      <c r="B2766">
        <v>2757</v>
      </c>
      <c r="C2766" s="52">
        <f ca="1"/>
        <v>-0.52830383127663338</v>
      </c>
      <c r="D2766" s="52">
        <f ca="1">S0*EXP((μ-0.5*σ*σ)*T+σ*SQRT(T)*$C2766)</f>
        <v>0.55635401251397376</v>
      </c>
      <c r="E2766" s="52">
        <f t="shared" ca="1" si="126"/>
        <v>0</v>
      </c>
      <c r="F2766" s="17">
        <f t="shared" ca="1" si="127"/>
        <v>0</v>
      </c>
      <c r="H2766" s="17">
        <v>2757</v>
      </c>
      <c r="I2766" s="45">
        <v>0.67115366780502927</v>
      </c>
      <c r="J2766" s="45">
        <v>1.9256339695259122E-2</v>
      </c>
      <c r="K2766" s="45">
        <v>0.24840000000000001</v>
      </c>
      <c r="N2766" s="54"/>
    </row>
    <row r="2767" spans="2:14" x14ac:dyDescent="0.2">
      <c r="B2767">
        <v>2758</v>
      </c>
      <c r="C2767" s="52">
        <f ca="1"/>
        <v>1.4407699399213327</v>
      </c>
      <c r="D2767" s="52">
        <f ca="1">S0*EXP((μ-0.5*σ*σ)*T+σ*SQRT(T)*$C2767)</f>
        <v>0.95883673529358859</v>
      </c>
      <c r="E2767" s="52">
        <f t="shared" ca="1" si="126"/>
        <v>0</v>
      </c>
      <c r="F2767" s="17">
        <f t="shared" ca="1" si="127"/>
        <v>0</v>
      </c>
      <c r="H2767" s="17">
        <v>2758</v>
      </c>
      <c r="I2767" s="45">
        <v>0.67096612054525295</v>
      </c>
      <c r="J2767" s="45">
        <v>1.8957314125755582E-2</v>
      </c>
      <c r="K2767" s="45">
        <v>0.23880000000000001</v>
      </c>
      <c r="N2767" s="54"/>
    </row>
    <row r="2768" spans="2:14" x14ac:dyDescent="0.2">
      <c r="B2768">
        <v>2759</v>
      </c>
      <c r="C2768" s="52">
        <f ca="1"/>
        <v>1.231176460108742</v>
      </c>
      <c r="D2768" s="52">
        <f ca="1">S0*EXP((μ-0.5*σ*σ)*T+σ*SQRT(T)*$C2768)</f>
        <v>0.90486192528637666</v>
      </c>
      <c r="E2768" s="52">
        <f t="shared" ca="1" si="126"/>
        <v>0</v>
      </c>
      <c r="F2768" s="17">
        <f t="shared" ca="1" si="127"/>
        <v>0</v>
      </c>
      <c r="H2768" s="17">
        <v>2759</v>
      </c>
      <c r="I2768" s="45">
        <v>0.67073234029782902</v>
      </c>
      <c r="J2768" s="45">
        <v>1.8685261761958897E-2</v>
      </c>
      <c r="K2768" s="45">
        <v>0.2442</v>
      </c>
      <c r="N2768" s="54"/>
    </row>
    <row r="2769" spans="2:14" x14ac:dyDescent="0.2">
      <c r="B2769">
        <v>2760</v>
      </c>
      <c r="C2769" s="52">
        <f ca="1"/>
        <v>-0.68110494237359254</v>
      </c>
      <c r="D2769" s="52">
        <f ca="1">S0*EXP((μ-0.5*σ*σ)*T+σ*SQRT(T)*$C2769)</f>
        <v>0.53334346148256151</v>
      </c>
      <c r="E2769" s="52">
        <f t="shared" ca="1" si="126"/>
        <v>1.0565385174384767E-3</v>
      </c>
      <c r="F2769" s="17">
        <f t="shared" ca="1" si="127"/>
        <v>1</v>
      </c>
      <c r="H2769" s="17">
        <v>2760</v>
      </c>
      <c r="I2769" s="45">
        <v>0.67156430538140999</v>
      </c>
      <c r="J2769" s="45">
        <v>1.9485254190214556E-2</v>
      </c>
      <c r="K2769" s="45">
        <v>0.25</v>
      </c>
      <c r="N2769" s="54"/>
    </row>
    <row r="2770" spans="2:14" x14ac:dyDescent="0.2">
      <c r="B2770">
        <v>2761</v>
      </c>
      <c r="C2770" s="52">
        <f ca="1"/>
        <v>0.31223928043901206</v>
      </c>
      <c r="D2770" s="52">
        <f ca="1">S0*EXP((μ-0.5*σ*σ)*T+σ*SQRT(T)*$C2770)</f>
        <v>0.70187705225416841</v>
      </c>
      <c r="E2770" s="52">
        <f t="shared" ca="1" si="126"/>
        <v>0</v>
      </c>
      <c r="F2770" s="17">
        <f t="shared" ca="1" si="127"/>
        <v>0</v>
      </c>
      <c r="H2770" s="17">
        <v>2761</v>
      </c>
      <c r="I2770" s="45">
        <v>0.67178360306822438</v>
      </c>
      <c r="J2770" s="45">
        <v>1.9893245892671864E-2</v>
      </c>
      <c r="K2770" s="45">
        <v>0.25659999999999999</v>
      </c>
      <c r="N2770" s="54"/>
    </row>
    <row r="2771" spans="2:14" x14ac:dyDescent="0.2">
      <c r="B2771">
        <v>2762</v>
      </c>
      <c r="C2771" s="52">
        <f ca="1"/>
        <v>0.7771536742948596</v>
      </c>
      <c r="D2771" s="52">
        <f ca="1">S0*EXP((μ-0.5*σ*σ)*T+σ*SQRT(T)*$C2771)</f>
        <v>0.79813336190841688</v>
      </c>
      <c r="E2771" s="52">
        <f t="shared" ca="1" si="126"/>
        <v>0</v>
      </c>
      <c r="F2771" s="17">
        <f t="shared" ca="1" si="127"/>
        <v>0</v>
      </c>
      <c r="H2771" s="17">
        <v>2762</v>
      </c>
      <c r="I2771" s="45">
        <v>0.67118064384021503</v>
      </c>
      <c r="J2771" s="45">
        <v>1.9085862983377031E-2</v>
      </c>
      <c r="K2771" s="45">
        <v>0.249</v>
      </c>
      <c r="N2771" s="54"/>
    </row>
    <row r="2772" spans="2:14" x14ac:dyDescent="0.2">
      <c r="B2772">
        <v>2763</v>
      </c>
      <c r="C2772" s="52">
        <f ca="1"/>
        <v>0.22615600868133634</v>
      </c>
      <c r="D2772" s="52">
        <f ca="1">S0*EXP((μ-0.5*σ*σ)*T+σ*SQRT(T)*$C2772)</f>
        <v>0.68537219036878183</v>
      </c>
      <c r="E2772" s="52">
        <f t="shared" ca="1" si="126"/>
        <v>0</v>
      </c>
      <c r="F2772" s="17">
        <f t="shared" ca="1" si="127"/>
        <v>0</v>
      </c>
      <c r="H2772" s="17">
        <v>2763</v>
      </c>
      <c r="I2772" s="45">
        <v>0.67098469016354956</v>
      </c>
      <c r="J2772" s="45">
        <v>1.9061576287060181E-2</v>
      </c>
      <c r="K2772" s="45">
        <v>0.2492</v>
      </c>
      <c r="N2772" s="54"/>
    </row>
    <row r="2773" spans="2:14" x14ac:dyDescent="0.2">
      <c r="B2773">
        <v>2764</v>
      </c>
      <c r="C2773" s="52">
        <f ca="1"/>
        <v>-0.47093019491755289</v>
      </c>
      <c r="D2773" s="52">
        <f ca="1">S0*EXP((μ-0.5*σ*σ)*T+σ*SQRT(T)*$C2773)</f>
        <v>0.56524809630347195</v>
      </c>
      <c r="E2773" s="52">
        <f t="shared" ca="1" si="126"/>
        <v>0</v>
      </c>
      <c r="F2773" s="17">
        <f t="shared" ca="1" si="127"/>
        <v>0</v>
      </c>
      <c r="H2773" s="17">
        <v>2764</v>
      </c>
      <c r="I2773" s="45">
        <v>0.67125940226032854</v>
      </c>
      <c r="J2773" s="45">
        <v>1.9159889482503415E-2</v>
      </c>
      <c r="K2773" s="45">
        <v>0.24299999999999999</v>
      </c>
      <c r="N2773" s="54"/>
    </row>
    <row r="2774" spans="2:14" x14ac:dyDescent="0.2">
      <c r="B2774">
        <v>2765</v>
      </c>
      <c r="C2774" s="52">
        <f ca="1"/>
        <v>0.43600862991126449</v>
      </c>
      <c r="D2774" s="52">
        <f ca="1">S0*EXP((μ-0.5*σ*σ)*T+σ*SQRT(T)*$C2774)</f>
        <v>0.72630651431797144</v>
      </c>
      <c r="E2774" s="52">
        <f t="shared" ca="1" si="126"/>
        <v>0</v>
      </c>
      <c r="F2774" s="17">
        <f t="shared" ca="1" si="127"/>
        <v>0</v>
      </c>
      <c r="H2774" s="17">
        <v>2765</v>
      </c>
      <c r="I2774" s="45">
        <v>0.67126315916635382</v>
      </c>
      <c r="J2774" s="45">
        <v>1.929131923458725E-2</v>
      </c>
      <c r="K2774" s="45">
        <v>0.24640000000000001</v>
      </c>
      <c r="N2774" s="54"/>
    </row>
    <row r="2775" spans="2:14" x14ac:dyDescent="0.2">
      <c r="B2775">
        <v>2766</v>
      </c>
      <c r="C2775" s="52">
        <f ca="1"/>
        <v>0.14103662522575752</v>
      </c>
      <c r="D2775" s="52">
        <f ca="1">S0*EXP((μ-0.5*σ*σ)*T+σ*SQRT(T)*$C2775)</f>
        <v>0.66943379247117585</v>
      </c>
      <c r="E2775" s="52">
        <f t="shared" ca="1" si="126"/>
        <v>0</v>
      </c>
      <c r="F2775" s="17">
        <f t="shared" ca="1" si="127"/>
        <v>0</v>
      </c>
      <c r="H2775" s="17">
        <v>2766</v>
      </c>
      <c r="I2775" s="45">
        <v>0.67113891586704244</v>
      </c>
      <c r="J2775" s="45">
        <v>1.9183258437741445E-2</v>
      </c>
      <c r="K2775" s="45">
        <v>0.2482</v>
      </c>
      <c r="N2775" s="54"/>
    </row>
    <row r="2776" spans="2:14" x14ac:dyDescent="0.2">
      <c r="B2776">
        <v>2767</v>
      </c>
      <c r="C2776" s="52">
        <f ca="1"/>
        <v>-0.52483539157972581</v>
      </c>
      <c r="D2776" s="52">
        <f ca="1">S0*EXP((μ-0.5*σ*σ)*T+σ*SQRT(T)*$C2776)</f>
        <v>0.55688769470391031</v>
      </c>
      <c r="E2776" s="52">
        <f t="shared" ca="1" si="126"/>
        <v>0</v>
      </c>
      <c r="F2776" s="17">
        <f t="shared" ca="1" si="127"/>
        <v>0</v>
      </c>
      <c r="H2776" s="17">
        <v>2767</v>
      </c>
      <c r="I2776" s="45">
        <v>0.67148664211009623</v>
      </c>
      <c r="J2776" s="45">
        <v>1.9324090143866685E-2</v>
      </c>
      <c r="K2776" s="45">
        <v>0.25359999999999999</v>
      </c>
      <c r="N2776" s="54"/>
    </row>
    <row r="2777" spans="2:14" x14ac:dyDescent="0.2">
      <c r="B2777">
        <v>2768</v>
      </c>
      <c r="C2777" s="52">
        <f ca="1"/>
        <v>-0.3970663489981896</v>
      </c>
      <c r="D2777" s="52">
        <f ca="1">S0*EXP((μ-0.5*σ*σ)*T+σ*SQRT(T)*$C2777)</f>
        <v>0.57690817504990599</v>
      </c>
      <c r="E2777" s="52">
        <f t="shared" ca="1" si="126"/>
        <v>0</v>
      </c>
      <c r="F2777" s="17">
        <f t="shared" ca="1" si="127"/>
        <v>0</v>
      </c>
      <c r="H2777" s="17">
        <v>2768</v>
      </c>
      <c r="I2777" s="45">
        <v>0.67166504178980024</v>
      </c>
      <c r="J2777" s="45">
        <v>1.9443580002824059E-2</v>
      </c>
      <c r="K2777" s="45">
        <v>0.24840000000000001</v>
      </c>
      <c r="N2777" s="54"/>
    </row>
    <row r="2778" spans="2:14" x14ac:dyDescent="0.2">
      <c r="B2778">
        <v>2769</v>
      </c>
      <c r="C2778" s="52">
        <f ca="1"/>
        <v>0.22437885202400729</v>
      </c>
      <c r="D2778" s="52">
        <f ca="1">S0*EXP((μ-0.5*σ*σ)*T+σ*SQRT(T)*$C2778)</f>
        <v>0.68503557445714869</v>
      </c>
      <c r="E2778" s="52">
        <f t="shared" ca="1" si="126"/>
        <v>0</v>
      </c>
      <c r="F2778" s="17">
        <f t="shared" ca="1" si="127"/>
        <v>0</v>
      </c>
      <c r="H2778" s="17">
        <v>2769</v>
      </c>
      <c r="I2778" s="45">
        <v>0.66891836493952639</v>
      </c>
      <c r="J2778" s="45">
        <v>1.7662506703899405E-2</v>
      </c>
      <c r="K2778" s="45">
        <v>0.2412</v>
      </c>
      <c r="N2778" s="54"/>
    </row>
    <row r="2779" spans="2:14" x14ac:dyDescent="0.2">
      <c r="B2779">
        <v>2770</v>
      </c>
      <c r="C2779" s="52">
        <f ca="1"/>
        <v>-0.87715363956157444</v>
      </c>
      <c r="D2779" s="52">
        <f ca="1">S0*EXP((μ-0.5*σ*σ)*T+σ*SQRT(T)*$C2779)</f>
        <v>0.50520858096981314</v>
      </c>
      <c r="E2779" s="52">
        <f t="shared" ca="1" si="126"/>
        <v>2.9191419030186849E-2</v>
      </c>
      <c r="F2779" s="17">
        <f t="shared" ca="1" si="127"/>
        <v>1</v>
      </c>
      <c r="H2779" s="17">
        <v>2770</v>
      </c>
      <c r="I2779" s="45">
        <v>0.67056800978316788</v>
      </c>
      <c r="J2779" s="45">
        <v>1.8872912030001604E-2</v>
      </c>
      <c r="K2779" s="45">
        <v>0.24660000000000001</v>
      </c>
      <c r="N2779" s="54"/>
    </row>
    <row r="2780" spans="2:14" x14ac:dyDescent="0.2">
      <c r="B2780">
        <v>2771</v>
      </c>
      <c r="C2780" s="52">
        <f ca="1"/>
        <v>1.271261201414736</v>
      </c>
      <c r="D2780" s="52">
        <f ca="1">S0*EXP((μ-0.5*σ*σ)*T+σ*SQRT(T)*$C2780)</f>
        <v>0.91494420848948133</v>
      </c>
      <c r="E2780" s="52">
        <f t="shared" ca="1" si="126"/>
        <v>0</v>
      </c>
      <c r="F2780" s="17">
        <f t="shared" ca="1" si="127"/>
        <v>0</v>
      </c>
      <c r="H2780" s="17">
        <v>2771</v>
      </c>
      <c r="I2780" s="45">
        <v>0.67078721877916414</v>
      </c>
      <c r="J2780" s="45">
        <v>1.8883308511797592E-2</v>
      </c>
      <c r="K2780" s="45">
        <v>0.2482</v>
      </c>
      <c r="N2780" s="54"/>
    </row>
    <row r="2781" spans="2:14" x14ac:dyDescent="0.2">
      <c r="B2781">
        <v>2772</v>
      </c>
      <c r="C2781" s="52">
        <f ca="1"/>
        <v>-0.41567979419995404</v>
      </c>
      <c r="D2781" s="52">
        <f ca="1">S0*EXP((μ-0.5*σ*σ)*T+σ*SQRT(T)*$C2781)</f>
        <v>0.57394739764284897</v>
      </c>
      <c r="E2781" s="52">
        <f t="shared" ca="1" si="126"/>
        <v>0</v>
      </c>
      <c r="F2781" s="17">
        <f t="shared" ca="1" si="127"/>
        <v>0</v>
      </c>
      <c r="H2781" s="17">
        <v>2772</v>
      </c>
      <c r="I2781" s="45">
        <v>0.6711907206097395</v>
      </c>
      <c r="J2781" s="45">
        <v>1.9065743100150804E-2</v>
      </c>
      <c r="K2781" s="45">
        <v>0.24679999999999999</v>
      </c>
      <c r="N2781" s="54"/>
    </row>
    <row r="2782" spans="2:14" x14ac:dyDescent="0.2">
      <c r="B2782">
        <v>2773</v>
      </c>
      <c r="C2782" s="52">
        <f ca="1"/>
        <v>2.0145080819681307</v>
      </c>
      <c r="D2782" s="52">
        <f ca="1">S0*EXP((μ-0.5*σ*σ)*T+σ*SQRT(T)*$C2782)</f>
        <v>1.1236310082269372</v>
      </c>
      <c r="E2782" s="52">
        <f t="shared" ca="1" si="126"/>
        <v>0</v>
      </c>
      <c r="F2782" s="17">
        <f t="shared" ca="1" si="127"/>
        <v>0</v>
      </c>
      <c r="H2782" s="17">
        <v>2773</v>
      </c>
      <c r="I2782" s="45">
        <v>0.6709999411025952</v>
      </c>
      <c r="J2782" s="45">
        <v>1.9074399347538393E-2</v>
      </c>
      <c r="K2782" s="45">
        <v>0.24959999999999999</v>
      </c>
      <c r="N2782" s="54"/>
    </row>
    <row r="2783" spans="2:14" x14ac:dyDescent="0.2">
      <c r="B2783">
        <v>2774</v>
      </c>
      <c r="C2783" s="52">
        <f ca="1"/>
        <v>-0.73737023006828961</v>
      </c>
      <c r="D2783" s="52">
        <f ca="1">S0*EXP((μ-0.5*σ*σ)*T+σ*SQRT(T)*$C2783)</f>
        <v>0.52511225290153529</v>
      </c>
      <c r="E2783" s="52">
        <f t="shared" ca="1" si="126"/>
        <v>9.2877470984646937E-3</v>
      </c>
      <c r="F2783" s="17">
        <f t="shared" ca="1" si="127"/>
        <v>1</v>
      </c>
      <c r="H2783" s="17">
        <v>2774</v>
      </c>
      <c r="I2783" s="45">
        <v>0.67144925601285854</v>
      </c>
      <c r="J2783" s="45">
        <v>1.9532102987408401E-2</v>
      </c>
      <c r="K2783" s="45">
        <v>0.2432</v>
      </c>
      <c r="N2783" s="54"/>
    </row>
    <row r="2784" spans="2:14" x14ac:dyDescent="0.2">
      <c r="B2784">
        <v>2775</v>
      </c>
      <c r="C2784" s="52">
        <f ca="1"/>
        <v>1.1673547274272784</v>
      </c>
      <c r="D2784" s="52">
        <f ca="1">S0*EXP((μ-0.5*σ*σ)*T+σ*SQRT(T)*$C2784)</f>
        <v>0.88903798409437784</v>
      </c>
      <c r="E2784" s="52">
        <f t="shared" ca="1" si="126"/>
        <v>0</v>
      </c>
      <c r="F2784" s="17">
        <f t="shared" ca="1" si="127"/>
        <v>0</v>
      </c>
      <c r="H2784" s="17">
        <v>2775</v>
      </c>
      <c r="I2784" s="45">
        <v>0.67124801228289432</v>
      </c>
      <c r="J2784" s="45">
        <v>1.9009628457813729E-2</v>
      </c>
      <c r="K2784" s="45">
        <v>0.24440000000000001</v>
      </c>
      <c r="N2784" s="54"/>
    </row>
    <row r="2785" spans="2:14" x14ac:dyDescent="0.2">
      <c r="B2785">
        <v>2776</v>
      </c>
      <c r="C2785" s="52">
        <f ca="1"/>
        <v>0.42401783298591117</v>
      </c>
      <c r="D2785" s="52">
        <f ca="1">S0*EXP((μ-0.5*σ*σ)*T+σ*SQRT(T)*$C2785)</f>
        <v>0.72390305075942085</v>
      </c>
      <c r="E2785" s="52">
        <f t="shared" ca="1" si="126"/>
        <v>0</v>
      </c>
      <c r="F2785" s="17">
        <f t="shared" ca="1" si="127"/>
        <v>0</v>
      </c>
      <c r="H2785" s="17">
        <v>2776</v>
      </c>
      <c r="I2785" s="45">
        <v>0.67089578895529856</v>
      </c>
      <c r="J2785" s="45">
        <v>1.912656196271971E-2</v>
      </c>
      <c r="K2785" s="45">
        <v>0.24959999999999999</v>
      </c>
      <c r="N2785" s="54"/>
    </row>
    <row r="2786" spans="2:14" x14ac:dyDescent="0.2">
      <c r="B2786">
        <v>2777</v>
      </c>
      <c r="C2786" s="52">
        <f ca="1"/>
        <v>0.70162318915777966</v>
      </c>
      <c r="D2786" s="52">
        <f ca="1">S0*EXP((μ-0.5*σ*σ)*T+σ*SQRT(T)*$C2786)</f>
        <v>0.78164183323424308</v>
      </c>
      <c r="E2786" s="52">
        <f t="shared" ca="1" si="126"/>
        <v>0</v>
      </c>
      <c r="F2786" s="17">
        <f t="shared" ca="1" si="127"/>
        <v>0</v>
      </c>
      <c r="H2786" s="17">
        <v>2777</v>
      </c>
      <c r="I2786" s="45">
        <v>0.67051117339084654</v>
      </c>
      <c r="J2786" s="45">
        <v>1.8452818854300713E-2</v>
      </c>
      <c r="K2786" s="45">
        <v>0.2392</v>
      </c>
      <c r="N2786" s="54"/>
    </row>
    <row r="2787" spans="2:14" x14ac:dyDescent="0.2">
      <c r="B2787">
        <v>2778</v>
      </c>
      <c r="C2787" s="52">
        <f ca="1"/>
        <v>-0.84934697332469777</v>
      </c>
      <c r="D2787" s="52">
        <f ca="1">S0*EXP((μ-0.5*σ*σ)*T+σ*SQRT(T)*$C2787)</f>
        <v>0.50910691430840327</v>
      </c>
      <c r="E2787" s="52">
        <f t="shared" ca="1" si="126"/>
        <v>2.5293085691596717E-2</v>
      </c>
      <c r="F2787" s="17">
        <f t="shared" ca="1" si="127"/>
        <v>1</v>
      </c>
      <c r="H2787" s="17">
        <v>2778</v>
      </c>
      <c r="I2787" s="45">
        <v>0.67104036314770432</v>
      </c>
      <c r="J2787" s="45">
        <v>1.8979836818959744E-2</v>
      </c>
      <c r="K2787" s="45">
        <v>0.24979999999999999</v>
      </c>
      <c r="N2787" s="54"/>
    </row>
    <row r="2788" spans="2:14" x14ac:dyDescent="0.2">
      <c r="B2788">
        <v>2779</v>
      </c>
      <c r="C2788" s="52">
        <f ca="1"/>
        <v>-0.42859711860991079</v>
      </c>
      <c r="D2788" s="52">
        <f ca="1">S0*EXP((μ-0.5*σ*σ)*T+σ*SQRT(T)*$C2788)</f>
        <v>0.57190161905909698</v>
      </c>
      <c r="E2788" s="52">
        <f t="shared" ca="1" si="126"/>
        <v>0</v>
      </c>
      <c r="F2788" s="17">
        <f t="shared" ca="1" si="127"/>
        <v>0</v>
      </c>
      <c r="H2788" s="17">
        <v>2779</v>
      </c>
      <c r="I2788" s="45">
        <v>0.67002043160688685</v>
      </c>
      <c r="J2788" s="45">
        <v>1.8336932396742701E-2</v>
      </c>
      <c r="K2788" s="45">
        <v>0.248</v>
      </c>
      <c r="N2788" s="54"/>
    </row>
    <row r="2789" spans="2:14" x14ac:dyDescent="0.2">
      <c r="B2789">
        <v>2780</v>
      </c>
      <c r="C2789" s="52">
        <f ca="1"/>
        <v>-1.6525608710506547</v>
      </c>
      <c r="D2789" s="52">
        <f ca="1">S0*EXP((μ-0.5*σ*σ)*T+σ*SQRT(T)*$C2789)</f>
        <v>0.40773750857540914</v>
      </c>
      <c r="E2789" s="52">
        <f t="shared" ca="1" si="126"/>
        <v>0.12666249142459085</v>
      </c>
      <c r="F2789" s="17">
        <f t="shared" ca="1" si="127"/>
        <v>1</v>
      </c>
      <c r="H2789" s="17">
        <v>2780</v>
      </c>
      <c r="I2789" s="45">
        <v>0.67048203201463907</v>
      </c>
      <c r="J2789" s="45">
        <v>1.8348161520968433E-2</v>
      </c>
      <c r="K2789" s="45">
        <v>0.24640000000000001</v>
      </c>
      <c r="N2789" s="54"/>
    </row>
    <row r="2790" spans="2:14" x14ac:dyDescent="0.2">
      <c r="B2790">
        <v>2781</v>
      </c>
      <c r="C2790" s="52">
        <f ca="1"/>
        <v>-0.41960597433213059</v>
      </c>
      <c r="D2790" s="52">
        <f ca="1">S0*EXP((μ-0.5*σ*σ)*T+σ*SQRT(T)*$C2790)</f>
        <v>0.57332481676107905</v>
      </c>
      <c r="E2790" s="52">
        <f t="shared" ca="1" si="126"/>
        <v>0</v>
      </c>
      <c r="F2790" s="17">
        <f t="shared" ca="1" si="127"/>
        <v>0</v>
      </c>
      <c r="H2790" s="17">
        <v>2781</v>
      </c>
      <c r="I2790" s="45">
        <v>0.67172539576149282</v>
      </c>
      <c r="J2790" s="45">
        <v>1.9838157393777374E-2</v>
      </c>
      <c r="K2790" s="45">
        <v>0.252</v>
      </c>
      <c r="N2790" s="54"/>
    </row>
    <row r="2791" spans="2:14" x14ac:dyDescent="0.2">
      <c r="B2791">
        <v>2782</v>
      </c>
      <c r="C2791" s="52">
        <f ca="1"/>
        <v>-4.2767492409693561E-2</v>
      </c>
      <c r="D2791" s="52">
        <f ca="1">S0*EXP((μ-0.5*σ*σ)*T+σ*SQRT(T)*$C2791)</f>
        <v>0.63626989408723755</v>
      </c>
      <c r="E2791" s="52">
        <f t="shared" ca="1" si="126"/>
        <v>0</v>
      </c>
      <c r="F2791" s="17">
        <f t="shared" ca="1" si="127"/>
        <v>0</v>
      </c>
      <c r="H2791" s="17">
        <v>2782</v>
      </c>
      <c r="I2791" s="45">
        <v>0.67014726463938601</v>
      </c>
      <c r="J2791" s="45">
        <v>1.8346975087355371E-2</v>
      </c>
      <c r="K2791" s="45">
        <v>0.23960000000000001</v>
      </c>
      <c r="N2791" s="54"/>
    </row>
    <row r="2792" spans="2:14" x14ac:dyDescent="0.2">
      <c r="B2792">
        <v>2783</v>
      </c>
      <c r="C2792" s="52">
        <f ca="1"/>
        <v>0.73484103571075188</v>
      </c>
      <c r="D2792" s="52">
        <f ca="1">S0*EXP((μ-0.5*σ*σ)*T+σ*SQRT(T)*$C2792)</f>
        <v>0.78885230814197582</v>
      </c>
      <c r="E2792" s="52">
        <f t="shared" ca="1" si="126"/>
        <v>0</v>
      </c>
      <c r="F2792" s="17">
        <f t="shared" ca="1" si="127"/>
        <v>0</v>
      </c>
      <c r="H2792" s="17">
        <v>2783</v>
      </c>
      <c r="I2792" s="45">
        <v>0.6697584467310751</v>
      </c>
      <c r="J2792" s="45">
        <v>1.8146315407041178E-2</v>
      </c>
      <c r="K2792" s="45">
        <v>0.24260000000000001</v>
      </c>
      <c r="N2792" s="54"/>
    </row>
    <row r="2793" spans="2:14" x14ac:dyDescent="0.2">
      <c r="B2793">
        <v>2784</v>
      </c>
      <c r="C2793" s="52">
        <f ca="1"/>
        <v>-1.9641227517243489</v>
      </c>
      <c r="D2793" s="52">
        <f ca="1">S0*EXP((μ-0.5*σ*σ)*T+σ*SQRT(T)*$C2793)</f>
        <v>0.37409050959210399</v>
      </c>
      <c r="E2793" s="52">
        <f t="shared" ca="1" si="126"/>
        <v>0.16030949040789599</v>
      </c>
      <c r="F2793" s="17">
        <f t="shared" ca="1" si="127"/>
        <v>1</v>
      </c>
      <c r="H2793" s="17">
        <v>2784</v>
      </c>
      <c r="I2793" s="45">
        <v>0.67081316296058324</v>
      </c>
      <c r="J2793" s="45">
        <v>1.8905548747236451E-2</v>
      </c>
      <c r="K2793" s="45">
        <v>0.24640000000000001</v>
      </c>
      <c r="N2793" s="54"/>
    </row>
    <row r="2794" spans="2:14" x14ac:dyDescent="0.2">
      <c r="B2794">
        <v>2785</v>
      </c>
      <c r="C2794" s="52">
        <f ca="1"/>
        <v>0.64617957591887998</v>
      </c>
      <c r="D2794" s="52">
        <f ca="1">S0*EXP((μ-0.5*σ*σ)*T+σ*SQRT(T)*$C2794)</f>
        <v>0.76975340054426844</v>
      </c>
      <c r="E2794" s="52">
        <f t="shared" ca="1" si="126"/>
        <v>0</v>
      </c>
      <c r="F2794" s="17">
        <f t="shared" ca="1" si="127"/>
        <v>0</v>
      </c>
      <c r="H2794" s="17">
        <v>2785</v>
      </c>
      <c r="I2794" s="45">
        <v>0.67245258653896156</v>
      </c>
      <c r="J2794" s="45">
        <v>2.0109596780393948E-2</v>
      </c>
      <c r="K2794" s="45">
        <v>0.24940000000000001</v>
      </c>
      <c r="N2794" s="54"/>
    </row>
    <row r="2795" spans="2:14" x14ac:dyDescent="0.2">
      <c r="B2795">
        <v>2786</v>
      </c>
      <c r="C2795" s="52">
        <f ca="1"/>
        <v>-1.3663684443901292</v>
      </c>
      <c r="D2795" s="52">
        <f ca="1">S0*EXP((μ-0.5*σ*σ)*T+σ*SQRT(T)*$C2795)</f>
        <v>0.44130511092448726</v>
      </c>
      <c r="E2795" s="52">
        <f t="shared" ca="1" si="126"/>
        <v>9.3094889075512721E-2</v>
      </c>
      <c r="F2795" s="17">
        <f t="shared" ca="1" si="127"/>
        <v>1</v>
      </c>
      <c r="H2795" s="17">
        <v>2786</v>
      </c>
      <c r="I2795" s="45">
        <v>0.67003681633232004</v>
      </c>
      <c r="J2795" s="45">
        <v>1.8355267038322479E-2</v>
      </c>
      <c r="K2795" s="45">
        <v>0.24199999999999999</v>
      </c>
      <c r="N2795" s="54"/>
    </row>
    <row r="2796" spans="2:14" x14ac:dyDescent="0.2">
      <c r="B2796">
        <v>2787</v>
      </c>
      <c r="C2796" s="52">
        <f ca="1"/>
        <v>-0.85940345914172911</v>
      </c>
      <c r="D2796" s="52">
        <f ca="1">S0*EXP((μ-0.5*σ*σ)*T+σ*SQRT(T)*$C2796)</f>
        <v>0.50769359319695373</v>
      </c>
      <c r="E2796" s="52">
        <f t="shared" ca="1" si="126"/>
        <v>2.6706406803046256E-2</v>
      </c>
      <c r="F2796" s="17">
        <f t="shared" ca="1" si="127"/>
        <v>1</v>
      </c>
      <c r="H2796" s="17">
        <v>2787</v>
      </c>
      <c r="I2796" s="45">
        <v>0.6713684285137379</v>
      </c>
      <c r="J2796" s="45">
        <v>1.9423036370219256E-2</v>
      </c>
      <c r="K2796" s="45">
        <v>0.24779999999999999</v>
      </c>
      <c r="N2796" s="54"/>
    </row>
    <row r="2797" spans="2:14" x14ac:dyDescent="0.2">
      <c r="B2797">
        <v>2788</v>
      </c>
      <c r="C2797" s="52">
        <f ca="1"/>
        <v>-0.37972197694618592</v>
      </c>
      <c r="D2797" s="52">
        <f ca="1">S0*EXP((μ-0.5*σ*σ)*T+σ*SQRT(T)*$C2797)</f>
        <v>0.57968083069466825</v>
      </c>
      <c r="E2797" s="52">
        <f t="shared" ca="1" si="126"/>
        <v>0</v>
      </c>
      <c r="F2797" s="17">
        <f t="shared" ca="1" si="127"/>
        <v>0</v>
      </c>
      <c r="H2797" s="17">
        <v>2788</v>
      </c>
      <c r="I2797" s="45">
        <v>0.67021207418380935</v>
      </c>
      <c r="J2797" s="45">
        <v>1.851201815072747E-2</v>
      </c>
      <c r="K2797" s="45">
        <v>0.24959999999999999</v>
      </c>
      <c r="N2797" s="54"/>
    </row>
    <row r="2798" spans="2:14" x14ac:dyDescent="0.2">
      <c r="B2798">
        <v>2789</v>
      </c>
      <c r="C2798" s="52">
        <f ca="1"/>
        <v>-1.5413893464691459</v>
      </c>
      <c r="D2798" s="52">
        <f ca="1">S0*EXP((μ-0.5*σ*σ)*T+σ*SQRT(T)*$C2798)</f>
        <v>0.42046238817799791</v>
      </c>
      <c r="E2798" s="52">
        <f t="shared" ca="1" si="126"/>
        <v>0.11393761182200207</v>
      </c>
      <c r="F2798" s="17">
        <f t="shared" ca="1" si="127"/>
        <v>1</v>
      </c>
      <c r="H2798" s="17">
        <v>2789</v>
      </c>
      <c r="I2798" s="45">
        <v>0.67079852122797046</v>
      </c>
      <c r="J2798" s="45">
        <v>1.8778689548670329E-2</v>
      </c>
      <c r="K2798" s="45">
        <v>0.24560000000000001</v>
      </c>
      <c r="N2798" s="54"/>
    </row>
    <row r="2799" spans="2:14" x14ac:dyDescent="0.2">
      <c r="B2799">
        <v>2790</v>
      </c>
      <c r="C2799" s="52">
        <f ca="1"/>
        <v>-0.87183662610075185</v>
      </c>
      <c r="D2799" s="52">
        <f ca="1">S0*EXP((μ-0.5*σ*σ)*T+σ*SQRT(T)*$C2799)</f>
        <v>0.5059516801825702</v>
      </c>
      <c r="E2799" s="52">
        <f t="shared" ca="1" si="126"/>
        <v>2.844831981742979E-2</v>
      </c>
      <c r="F2799" s="17">
        <f t="shared" ca="1" si="127"/>
        <v>1</v>
      </c>
      <c r="H2799" s="17">
        <v>2790</v>
      </c>
      <c r="I2799" s="45">
        <v>0.67284775824462295</v>
      </c>
      <c r="J2799" s="45">
        <v>2.0216764263115177E-2</v>
      </c>
      <c r="K2799" s="45">
        <v>0.25340000000000001</v>
      </c>
      <c r="N2799" s="54"/>
    </row>
    <row r="2800" spans="2:14" x14ac:dyDescent="0.2">
      <c r="B2800">
        <v>2791</v>
      </c>
      <c r="C2800" s="52">
        <f ca="1"/>
        <v>-2.103437588359228</v>
      </c>
      <c r="D2800" s="52">
        <f ca="1">S0*EXP((μ-0.5*σ*σ)*T+σ*SQRT(T)*$C2800)</f>
        <v>0.35995773508045537</v>
      </c>
      <c r="E2800" s="52">
        <f t="shared" ca="1" si="126"/>
        <v>0.17444226491954462</v>
      </c>
      <c r="F2800" s="17">
        <f t="shared" ca="1" si="127"/>
        <v>1</v>
      </c>
      <c r="H2800" s="17">
        <v>2791</v>
      </c>
      <c r="I2800" s="45">
        <v>0.67065398482317284</v>
      </c>
      <c r="J2800" s="45">
        <v>1.8645527917384802E-2</v>
      </c>
      <c r="K2800" s="45">
        <v>0.24560000000000001</v>
      </c>
      <c r="N2800" s="54"/>
    </row>
    <row r="2801" spans="2:14" x14ac:dyDescent="0.2">
      <c r="B2801">
        <v>2792</v>
      </c>
      <c r="C2801" s="52">
        <f ca="1"/>
        <v>-0.46689634901949778</v>
      </c>
      <c r="D2801" s="52">
        <f ca="1">S0*EXP((μ-0.5*σ*σ)*T+σ*SQRT(T)*$C2801)</f>
        <v>0.56587874818211514</v>
      </c>
      <c r="E2801" s="52">
        <f t="shared" ca="1" si="126"/>
        <v>0</v>
      </c>
      <c r="F2801" s="17">
        <f t="shared" ca="1" si="127"/>
        <v>0</v>
      </c>
      <c r="H2801" s="17">
        <v>2792</v>
      </c>
      <c r="I2801" s="45">
        <v>0.6711029340315795</v>
      </c>
      <c r="J2801" s="45">
        <v>1.9547660274908341E-2</v>
      </c>
      <c r="K2801" s="45">
        <v>0.25159999999999999</v>
      </c>
      <c r="N2801" s="54"/>
    </row>
    <row r="2802" spans="2:14" x14ac:dyDescent="0.2">
      <c r="B2802">
        <v>2793</v>
      </c>
      <c r="C2802" s="52">
        <f ca="1"/>
        <v>1.2154441292545004</v>
      </c>
      <c r="D2802" s="52">
        <f ca="1">S0*EXP((μ-0.5*σ*σ)*T+σ*SQRT(T)*$C2802)</f>
        <v>0.90093529066038758</v>
      </c>
      <c r="E2802" s="52">
        <f t="shared" ca="1" si="126"/>
        <v>0</v>
      </c>
      <c r="F2802" s="17">
        <f t="shared" ca="1" si="127"/>
        <v>0</v>
      </c>
      <c r="H2802" s="17">
        <v>2793</v>
      </c>
      <c r="I2802" s="45">
        <v>0.66996073328678574</v>
      </c>
      <c r="J2802" s="45">
        <v>1.8362261692890555E-2</v>
      </c>
      <c r="K2802" s="45">
        <v>0.23760000000000001</v>
      </c>
      <c r="N2802" s="54"/>
    </row>
    <row r="2803" spans="2:14" x14ac:dyDescent="0.2">
      <c r="B2803">
        <v>2794</v>
      </c>
      <c r="C2803" s="52">
        <f ca="1"/>
        <v>-1.6948348367674808</v>
      </c>
      <c r="D2803" s="52">
        <f ca="1">S0*EXP((μ-0.5*σ*σ)*T+σ*SQRT(T)*$C2803)</f>
        <v>0.40300046163647935</v>
      </c>
      <c r="E2803" s="52">
        <f t="shared" ca="1" si="126"/>
        <v>0.13139953836352064</v>
      </c>
      <c r="F2803" s="17">
        <f t="shared" ca="1" si="127"/>
        <v>1</v>
      </c>
      <c r="H2803" s="17">
        <v>2794</v>
      </c>
      <c r="I2803" s="45">
        <v>0.67104193659055722</v>
      </c>
      <c r="J2803" s="45">
        <v>1.8857568781407211E-2</v>
      </c>
      <c r="K2803" s="45">
        <v>0.2432</v>
      </c>
      <c r="N2803" s="54"/>
    </row>
    <row r="2804" spans="2:14" x14ac:dyDescent="0.2">
      <c r="B2804">
        <v>2795</v>
      </c>
      <c r="C2804" s="52">
        <f ca="1"/>
        <v>0.39559224261415715</v>
      </c>
      <c r="D2804" s="52">
        <f ca="1">S0*EXP((μ-0.5*σ*σ)*T+σ*SQRT(T)*$C2804)</f>
        <v>0.71823708626046567</v>
      </c>
      <c r="E2804" s="52">
        <f t="shared" ca="1" si="126"/>
        <v>0</v>
      </c>
      <c r="F2804" s="17">
        <f t="shared" ca="1" si="127"/>
        <v>0</v>
      </c>
      <c r="H2804" s="17">
        <v>2795</v>
      </c>
      <c r="I2804" s="45">
        <v>0.67171999124258819</v>
      </c>
      <c r="J2804" s="45">
        <v>1.9829190845556656E-2</v>
      </c>
      <c r="K2804" s="45">
        <v>0.25180000000000002</v>
      </c>
      <c r="N2804" s="54"/>
    </row>
    <row r="2805" spans="2:14" x14ac:dyDescent="0.2">
      <c r="B2805">
        <v>2796</v>
      </c>
      <c r="C2805" s="52">
        <f ca="1"/>
        <v>-1.5287061519762155</v>
      </c>
      <c r="D2805" s="52">
        <f ca="1">S0*EXP((μ-0.5*σ*σ)*T+σ*SQRT(T)*$C2805)</f>
        <v>0.42193913647197467</v>
      </c>
      <c r="E2805" s="52">
        <f t="shared" ca="1" si="126"/>
        <v>0.11246086352802531</v>
      </c>
      <c r="F2805" s="17">
        <f t="shared" ca="1" si="127"/>
        <v>1</v>
      </c>
      <c r="H2805" s="17">
        <v>2796</v>
      </c>
      <c r="I2805" s="45">
        <v>0.67073540369992002</v>
      </c>
      <c r="J2805" s="45">
        <v>1.860016548700389E-2</v>
      </c>
      <c r="K2805" s="45">
        <v>0.24660000000000001</v>
      </c>
      <c r="N2805" s="54"/>
    </row>
    <row r="2806" spans="2:14" x14ac:dyDescent="0.2">
      <c r="B2806">
        <v>2797</v>
      </c>
      <c r="C2806" s="52">
        <f ca="1"/>
        <v>-1.1120620212564329</v>
      </c>
      <c r="D2806" s="52">
        <f ca="1">S0*EXP((μ-0.5*σ*σ)*T+σ*SQRT(T)*$C2806)</f>
        <v>0.47344467415201241</v>
      </c>
      <c r="E2806" s="52">
        <f t="shared" ca="1" si="126"/>
        <v>6.0955325847987574E-2</v>
      </c>
      <c r="F2806" s="17">
        <f t="shared" ca="1" si="127"/>
        <v>1</v>
      </c>
      <c r="H2806" s="17">
        <v>2797</v>
      </c>
      <c r="I2806" s="45">
        <v>0.67106989711614917</v>
      </c>
      <c r="J2806" s="45">
        <v>1.8827895292621435E-2</v>
      </c>
      <c r="K2806" s="45">
        <v>0.2452</v>
      </c>
      <c r="N2806" s="54"/>
    </row>
    <row r="2807" spans="2:14" x14ac:dyDescent="0.2">
      <c r="B2807">
        <v>2798</v>
      </c>
      <c r="C2807" s="52">
        <f ca="1"/>
        <v>0.28312517916553132</v>
      </c>
      <c r="D2807" s="52">
        <f ca="1">S0*EXP((μ-0.5*σ*σ)*T+σ*SQRT(T)*$C2807)</f>
        <v>0.69625095666746428</v>
      </c>
      <c r="E2807" s="52">
        <f t="shared" ca="1" si="126"/>
        <v>0</v>
      </c>
      <c r="F2807" s="17">
        <f t="shared" ca="1" si="127"/>
        <v>0</v>
      </c>
      <c r="H2807" s="17">
        <v>2798</v>
      </c>
      <c r="I2807" s="45">
        <v>0.67159024195399308</v>
      </c>
      <c r="J2807" s="45">
        <v>1.9335021512881669E-2</v>
      </c>
      <c r="K2807" s="45">
        <v>0.2452</v>
      </c>
      <c r="N2807" s="54"/>
    </row>
    <row r="2808" spans="2:14" x14ac:dyDescent="0.2">
      <c r="B2808">
        <v>2799</v>
      </c>
      <c r="C2808" s="52">
        <f ca="1"/>
        <v>0.16149708132638932</v>
      </c>
      <c r="D2808" s="52">
        <f ca="1">S0*EXP((μ-0.5*σ*σ)*T+σ*SQRT(T)*$C2808)</f>
        <v>0.67323079436354083</v>
      </c>
      <c r="E2808" s="52">
        <f t="shared" ca="1" si="126"/>
        <v>0</v>
      </c>
      <c r="F2808" s="17">
        <f t="shared" ca="1" si="127"/>
        <v>0</v>
      </c>
      <c r="H2808" s="17">
        <v>2799</v>
      </c>
      <c r="I2808" s="45">
        <v>0.6706555865011965</v>
      </c>
      <c r="J2808" s="45">
        <v>1.8931271370029899E-2</v>
      </c>
      <c r="K2808" s="45">
        <v>0.24360000000000001</v>
      </c>
      <c r="N2808" s="54"/>
    </row>
    <row r="2809" spans="2:14" x14ac:dyDescent="0.2">
      <c r="B2809">
        <v>2800</v>
      </c>
      <c r="C2809" s="52">
        <f ca="1"/>
        <v>-2.1842238801352649</v>
      </c>
      <c r="D2809" s="52">
        <f ca="1">S0*EXP((μ-0.5*σ*σ)*T+σ*SQRT(T)*$C2809)</f>
        <v>0.35200826813841618</v>
      </c>
      <c r="E2809" s="52">
        <f t="shared" ca="1" si="126"/>
        <v>0.18239173186158381</v>
      </c>
      <c r="F2809" s="17">
        <f t="shared" ca="1" si="127"/>
        <v>1</v>
      </c>
      <c r="H2809" s="17">
        <v>2800</v>
      </c>
      <c r="I2809" s="45">
        <v>0.67138965719967014</v>
      </c>
      <c r="J2809" s="45">
        <v>1.9016680622057483E-2</v>
      </c>
      <c r="K2809" s="45">
        <v>0.25059999999999999</v>
      </c>
      <c r="N2809" s="54"/>
    </row>
    <row r="2810" spans="2:14" x14ac:dyDescent="0.2">
      <c r="B2810">
        <v>2801</v>
      </c>
      <c r="C2810" s="52">
        <f ca="1"/>
        <v>-3.6778634334556332E-2</v>
      </c>
      <c r="D2810" s="52">
        <f ca="1">S0*EXP((μ-0.5*σ*σ)*T+σ*SQRT(T)*$C2810)</f>
        <v>0.63732412090018331</v>
      </c>
      <c r="E2810" s="52">
        <f t="shared" ca="1" si="126"/>
        <v>0</v>
      </c>
      <c r="F2810" s="17">
        <f t="shared" ca="1" si="127"/>
        <v>0</v>
      </c>
      <c r="H2810" s="17">
        <v>2801</v>
      </c>
      <c r="I2810" s="45">
        <v>0.66915048444644798</v>
      </c>
      <c r="J2810" s="45">
        <v>1.7531132644233456E-2</v>
      </c>
      <c r="K2810" s="45">
        <v>0.23319999999999999</v>
      </c>
      <c r="N2810" s="54"/>
    </row>
    <row r="2811" spans="2:14" x14ac:dyDescent="0.2">
      <c r="B2811">
        <v>2802</v>
      </c>
      <c r="C2811" s="52">
        <f ca="1"/>
        <v>0.10895385732310803</v>
      </c>
      <c r="D2811" s="52">
        <f ca="1">S0*EXP((μ-0.5*σ*σ)*T+σ*SQRT(T)*$C2811)</f>
        <v>0.66352302073558522</v>
      </c>
      <c r="E2811" s="52">
        <f t="shared" ca="1" si="126"/>
        <v>0</v>
      </c>
      <c r="F2811" s="17">
        <f t="shared" ca="1" si="127"/>
        <v>0</v>
      </c>
      <c r="H2811" s="17">
        <v>2802</v>
      </c>
      <c r="I2811" s="45">
        <v>0.67172608228694086</v>
      </c>
      <c r="J2811" s="45">
        <v>1.9606040040637897E-2</v>
      </c>
      <c r="K2811" s="45">
        <v>0.25700000000000001</v>
      </c>
      <c r="N2811" s="54"/>
    </row>
    <row r="2812" spans="2:14" x14ac:dyDescent="0.2">
      <c r="B2812">
        <v>2803</v>
      </c>
      <c r="C2812" s="52">
        <f ca="1"/>
        <v>-2.1586133078300933</v>
      </c>
      <c r="D2812" s="52">
        <f ca="1">S0*EXP((μ-0.5*σ*σ)*T+σ*SQRT(T)*$C2812)</f>
        <v>0.35450918636309986</v>
      </c>
      <c r="E2812" s="52">
        <f t="shared" ca="1" si="126"/>
        <v>0.17989081363690013</v>
      </c>
      <c r="F2812" s="17">
        <f t="shared" ca="1" si="127"/>
        <v>1</v>
      </c>
      <c r="H2812" s="17">
        <v>2803</v>
      </c>
      <c r="I2812" s="45">
        <v>0.67127745007708228</v>
      </c>
      <c r="J2812" s="45">
        <v>1.9295193364706704E-2</v>
      </c>
      <c r="K2812" s="45">
        <v>0.25480000000000003</v>
      </c>
      <c r="N2812" s="54"/>
    </row>
    <row r="2813" spans="2:14" x14ac:dyDescent="0.2">
      <c r="B2813">
        <v>2804</v>
      </c>
      <c r="C2813" s="52">
        <f ca="1"/>
        <v>-0.27800999393390213</v>
      </c>
      <c r="D2813" s="52">
        <f ca="1">S0*EXP((μ-0.5*σ*σ)*T+σ*SQRT(T)*$C2813)</f>
        <v>0.59621071857468089</v>
      </c>
      <c r="E2813" s="52">
        <f t="shared" ca="1" si="126"/>
        <v>0</v>
      </c>
      <c r="F2813" s="17">
        <f t="shared" ca="1" si="127"/>
        <v>0</v>
      </c>
      <c r="H2813" s="17">
        <v>2804</v>
      </c>
      <c r="I2813" s="45">
        <v>0.67167905677680018</v>
      </c>
      <c r="J2813" s="45">
        <v>1.9529591304448389E-2</v>
      </c>
      <c r="K2813" s="45">
        <v>0.24640000000000001</v>
      </c>
      <c r="N2813" s="54"/>
    </row>
    <row r="2814" spans="2:14" x14ac:dyDescent="0.2">
      <c r="B2814">
        <v>2805</v>
      </c>
      <c r="C2814" s="52">
        <f ca="1"/>
        <v>-0.24942853337066484</v>
      </c>
      <c r="D2814" s="52">
        <f ca="1">S0*EXP((μ-0.5*σ*σ)*T+σ*SQRT(T)*$C2814)</f>
        <v>0.60093994487160984</v>
      </c>
      <c r="E2814" s="52">
        <f t="shared" ca="1" si="126"/>
        <v>0</v>
      </c>
      <c r="F2814" s="17">
        <f t="shared" ca="1" si="127"/>
        <v>0</v>
      </c>
      <c r="H2814" s="17">
        <v>2805</v>
      </c>
      <c r="I2814" s="45">
        <v>0.66965031261013042</v>
      </c>
      <c r="J2814" s="45">
        <v>1.8158242017426478E-2</v>
      </c>
      <c r="K2814" s="45">
        <v>0.2394</v>
      </c>
      <c r="N2814" s="54"/>
    </row>
    <row r="2815" spans="2:14" x14ac:dyDescent="0.2">
      <c r="B2815">
        <v>2806</v>
      </c>
      <c r="C2815" s="52">
        <f ca="1"/>
        <v>-1.5619564510277912</v>
      </c>
      <c r="D2815" s="52">
        <f ca="1">S0*EXP((μ-0.5*σ*σ)*T+σ*SQRT(T)*$C2815)</f>
        <v>0.41807866706585595</v>
      </c>
      <c r="E2815" s="52">
        <f t="shared" ca="1" si="126"/>
        <v>0.11632133293414404</v>
      </c>
      <c r="F2815" s="17">
        <f t="shared" ca="1" si="127"/>
        <v>1</v>
      </c>
      <c r="H2815" s="17">
        <v>2806</v>
      </c>
      <c r="I2815" s="45">
        <v>0.67183342971693549</v>
      </c>
      <c r="J2815" s="45">
        <v>1.9926966334201837E-2</v>
      </c>
      <c r="K2815" s="45">
        <v>0.25440000000000002</v>
      </c>
      <c r="N2815" s="54"/>
    </row>
    <row r="2816" spans="2:14" x14ac:dyDescent="0.2">
      <c r="B2816">
        <v>2807</v>
      </c>
      <c r="C2816" s="52">
        <f ca="1"/>
        <v>-0.7745241867416689</v>
      </c>
      <c r="D2816" s="52">
        <f ca="1">S0*EXP((μ-0.5*σ*σ)*T+σ*SQRT(T)*$C2816)</f>
        <v>0.51974665616672422</v>
      </c>
      <c r="E2816" s="52">
        <f t="shared" ca="1" si="126"/>
        <v>1.4653343833275767E-2</v>
      </c>
      <c r="F2816" s="17">
        <f t="shared" ca="1" si="127"/>
        <v>1</v>
      </c>
      <c r="H2816" s="17">
        <v>2807</v>
      </c>
      <c r="I2816" s="45">
        <v>0.6702997451744277</v>
      </c>
      <c r="J2816" s="45">
        <v>1.8259091259355324E-2</v>
      </c>
      <c r="K2816" s="45">
        <v>0.24399999999999999</v>
      </c>
      <c r="N2816" s="54"/>
    </row>
    <row r="2817" spans="2:14" x14ac:dyDescent="0.2">
      <c r="B2817">
        <v>2808</v>
      </c>
      <c r="C2817" s="52">
        <f ca="1"/>
        <v>1.4588898151161076</v>
      </c>
      <c r="D2817" s="52">
        <f ca="1">S0*EXP((μ-0.5*σ*σ)*T+σ*SQRT(T)*$C2817)</f>
        <v>0.9636515227028255</v>
      </c>
      <c r="E2817" s="52">
        <f t="shared" ca="1" si="126"/>
        <v>0</v>
      </c>
      <c r="F2817" s="17">
        <f t="shared" ca="1" si="127"/>
        <v>0</v>
      </c>
      <c r="H2817" s="17">
        <v>2808</v>
      </c>
      <c r="I2817" s="45">
        <v>0.67042241950236314</v>
      </c>
      <c r="J2817" s="45">
        <v>1.8703465817603373E-2</v>
      </c>
      <c r="K2817" s="45">
        <v>0.2402</v>
      </c>
      <c r="N2817" s="54"/>
    </row>
    <row r="2818" spans="2:14" x14ac:dyDescent="0.2">
      <c r="B2818">
        <v>2809</v>
      </c>
      <c r="C2818" s="52">
        <f ca="1"/>
        <v>-1.5983421280250152</v>
      </c>
      <c r="D2818" s="52">
        <f ca="1">S0*EXP((μ-0.5*σ*σ)*T+σ*SQRT(T)*$C2818)</f>
        <v>0.41389463202308274</v>
      </c>
      <c r="E2818" s="52">
        <f t="shared" ca="1" si="126"/>
        <v>0.12050536797691724</v>
      </c>
      <c r="F2818" s="17">
        <f t="shared" ca="1" si="127"/>
        <v>1</v>
      </c>
      <c r="H2818" s="17">
        <v>2809</v>
      </c>
      <c r="I2818" s="45">
        <v>0.67053048681889205</v>
      </c>
      <c r="J2818" s="45">
        <v>1.8299820741809979E-2</v>
      </c>
      <c r="K2818" s="45">
        <v>0.2414</v>
      </c>
      <c r="N2818" s="54"/>
    </row>
    <row r="2819" spans="2:14" x14ac:dyDescent="0.2">
      <c r="B2819">
        <v>2810</v>
      </c>
      <c r="C2819" s="52">
        <f ca="1"/>
        <v>1.2909016350144473</v>
      </c>
      <c r="D2819" s="52">
        <f ca="1">S0*EXP((μ-0.5*σ*σ)*T+σ*SQRT(T)*$C2819)</f>
        <v>0.91992518262686729</v>
      </c>
      <c r="E2819" s="52">
        <f t="shared" ca="1" si="126"/>
        <v>0</v>
      </c>
      <c r="F2819" s="17">
        <f t="shared" ca="1" si="127"/>
        <v>0</v>
      </c>
      <c r="H2819" s="17">
        <v>2810</v>
      </c>
      <c r="I2819" s="45">
        <v>0.67185906518727523</v>
      </c>
      <c r="J2819" s="45">
        <v>1.9287523981355081E-2</v>
      </c>
      <c r="K2819" s="45">
        <v>0.24479999999999999</v>
      </c>
      <c r="N2819" s="54"/>
    </row>
    <row r="2820" spans="2:14" x14ac:dyDescent="0.2">
      <c r="B2820">
        <v>2811</v>
      </c>
      <c r="C2820" s="52">
        <f ca="1"/>
        <v>0.15422407908273233</v>
      </c>
      <c r="D2820" s="52">
        <f ca="1">S0*EXP((μ-0.5*σ*σ)*T+σ*SQRT(T)*$C2820)</f>
        <v>0.67187862741487381</v>
      </c>
      <c r="E2820" s="52">
        <f t="shared" ca="1" si="126"/>
        <v>0</v>
      </c>
      <c r="F2820" s="17">
        <f t="shared" ca="1" si="127"/>
        <v>0</v>
      </c>
      <c r="H2820" s="17">
        <v>2811</v>
      </c>
      <c r="I2820" s="45">
        <v>0.67005728339649984</v>
      </c>
      <c r="J2820" s="45">
        <v>1.7925881671750091E-2</v>
      </c>
      <c r="K2820" s="45">
        <v>0.24740000000000001</v>
      </c>
      <c r="N2820" s="54"/>
    </row>
    <row r="2821" spans="2:14" x14ac:dyDescent="0.2">
      <c r="B2821">
        <v>2812</v>
      </c>
      <c r="C2821" s="52">
        <f ca="1"/>
        <v>-1.401435178321788</v>
      </c>
      <c r="D2821" s="52">
        <f ca="1">S0*EXP((μ-0.5*σ*σ)*T+σ*SQRT(T)*$C2821)</f>
        <v>0.43704794906803879</v>
      </c>
      <c r="E2821" s="52">
        <f t="shared" ca="1" si="126"/>
        <v>9.7352050931961198E-2</v>
      </c>
      <c r="F2821" s="17">
        <f t="shared" ca="1" si="127"/>
        <v>1</v>
      </c>
      <c r="H2821" s="17">
        <v>2812</v>
      </c>
      <c r="I2821" s="45">
        <v>0.66976642704757861</v>
      </c>
      <c r="J2821" s="45">
        <v>1.8014760949495473E-2</v>
      </c>
      <c r="K2821" s="45">
        <v>0.2404</v>
      </c>
      <c r="N2821" s="54"/>
    </row>
    <row r="2822" spans="2:14" x14ac:dyDescent="0.2">
      <c r="B2822">
        <v>2813</v>
      </c>
      <c r="C2822" s="52">
        <f ca="1"/>
        <v>-0.30033395065387525</v>
      </c>
      <c r="D2822" s="52">
        <f ca="1">S0*EXP((μ-0.5*σ*σ)*T+σ*SQRT(T)*$C2822)</f>
        <v>0.59254279116612196</v>
      </c>
      <c r="E2822" s="52">
        <f t="shared" ca="1" si="126"/>
        <v>0</v>
      </c>
      <c r="F2822" s="17">
        <f t="shared" ca="1" si="127"/>
        <v>0</v>
      </c>
      <c r="H2822" s="17">
        <v>2813</v>
      </c>
      <c r="I2822" s="45">
        <v>0.67048503045251562</v>
      </c>
      <c r="J2822" s="45">
        <v>1.8855033118427126E-2</v>
      </c>
      <c r="K2822" s="45">
        <v>0.247</v>
      </c>
      <c r="N2822" s="54"/>
    </row>
    <row r="2823" spans="2:14" x14ac:dyDescent="0.2">
      <c r="B2823">
        <v>2814</v>
      </c>
      <c r="C2823" s="52">
        <f ca="1"/>
        <v>0.60528141374757416</v>
      </c>
      <c r="D2823" s="52">
        <f ca="1">S0*EXP((μ-0.5*σ*σ)*T+σ*SQRT(T)*$C2823)</f>
        <v>0.76109989915492904</v>
      </c>
      <c r="E2823" s="52">
        <f t="shared" ca="1" si="126"/>
        <v>0</v>
      </c>
      <c r="F2823" s="17">
        <f t="shared" ca="1" si="127"/>
        <v>0</v>
      </c>
      <c r="H2823" s="17">
        <v>2814</v>
      </c>
      <c r="I2823" s="45">
        <v>0.66985473246465121</v>
      </c>
      <c r="J2823" s="45">
        <v>1.8390383284476813E-2</v>
      </c>
      <c r="K2823" s="45">
        <v>0.24340000000000001</v>
      </c>
      <c r="N2823" s="54"/>
    </row>
    <row r="2824" spans="2:14" x14ac:dyDescent="0.2">
      <c r="B2824">
        <v>2815</v>
      </c>
      <c r="C2824" s="52">
        <f ca="1"/>
        <v>0.34733158677963127</v>
      </c>
      <c r="D2824" s="52">
        <f ca="1">S0*EXP((μ-0.5*σ*σ)*T+σ*SQRT(T)*$C2824)</f>
        <v>0.70871885029627613</v>
      </c>
      <c r="E2824" s="52">
        <f t="shared" ca="1" si="126"/>
        <v>0</v>
      </c>
      <c r="F2824" s="17">
        <f t="shared" ca="1" si="127"/>
        <v>0</v>
      </c>
      <c r="H2824" s="17">
        <v>2815</v>
      </c>
      <c r="I2824" s="45">
        <v>0.66986513709337925</v>
      </c>
      <c r="J2824" s="45">
        <v>1.8377895784358004E-2</v>
      </c>
      <c r="K2824" s="45">
        <v>0.2472</v>
      </c>
      <c r="N2824" s="54"/>
    </row>
    <row r="2825" spans="2:14" x14ac:dyDescent="0.2">
      <c r="B2825">
        <v>2816</v>
      </c>
      <c r="C2825" s="52">
        <f ca="1"/>
        <v>0.37741073513212947</v>
      </c>
      <c r="D2825" s="52">
        <f ca="1">S0*EXP((μ-0.5*σ*σ)*T+σ*SQRT(T)*$C2825)</f>
        <v>0.71463631178917042</v>
      </c>
      <c r="E2825" s="52">
        <f t="shared" ca="1" si="126"/>
        <v>0</v>
      </c>
      <c r="F2825" s="17">
        <f t="shared" ca="1" si="127"/>
        <v>0</v>
      </c>
      <c r="H2825" s="17">
        <v>2816</v>
      </c>
      <c r="I2825" s="45">
        <v>0.67165035298704079</v>
      </c>
      <c r="J2825" s="45">
        <v>1.9358946168249399E-2</v>
      </c>
      <c r="K2825" s="45">
        <v>0.24379999999999999</v>
      </c>
      <c r="N2825" s="54"/>
    </row>
    <row r="2826" spans="2:14" x14ac:dyDescent="0.2">
      <c r="B2826">
        <v>2817</v>
      </c>
      <c r="C2826" s="52">
        <f ca="1"/>
        <v>-0.26942730552833294</v>
      </c>
      <c r="D2826" s="52">
        <f ca="1">S0*EXP((μ-0.5*σ*σ)*T+σ*SQRT(T)*$C2826)</f>
        <v>0.59762692818826235</v>
      </c>
      <c r="E2826" s="52">
        <f t="shared" ref="E2826:E2889" ca="1" si="128">MAX(0,CP*(D2826-K))</f>
        <v>0</v>
      </c>
      <c r="F2826" s="17">
        <f t="shared" ref="F2826:F2889" ca="1" si="129">(CP*(D2826-K)&gt;0)*1</f>
        <v>0</v>
      </c>
      <c r="H2826" s="17">
        <v>2817</v>
      </c>
      <c r="I2826" s="45">
        <v>0.67040191981460817</v>
      </c>
      <c r="J2826" s="45">
        <v>1.8288186583704218E-2</v>
      </c>
      <c r="K2826" s="45">
        <v>0.24360000000000001</v>
      </c>
      <c r="N2826" s="54"/>
    </row>
    <row r="2827" spans="2:14" x14ac:dyDescent="0.2">
      <c r="B2827">
        <v>2818</v>
      </c>
      <c r="C2827" s="52">
        <f ca="1"/>
        <v>-0.79811136840663954</v>
      </c>
      <c r="D2827" s="52">
        <f ca="1">S0*EXP((μ-0.5*σ*σ)*T+σ*SQRT(T)*$C2827)</f>
        <v>0.51636879504629063</v>
      </c>
      <c r="E2827" s="52">
        <f t="shared" ca="1" si="128"/>
        <v>1.8031204953709357E-2</v>
      </c>
      <c r="F2827" s="17">
        <f t="shared" ca="1" si="129"/>
        <v>1</v>
      </c>
      <c r="H2827" s="17">
        <v>2818</v>
      </c>
      <c r="I2827" s="45">
        <v>0.66971885720065061</v>
      </c>
      <c r="J2827" s="45">
        <v>1.8219026150617098E-2</v>
      </c>
      <c r="K2827" s="45">
        <v>0.24</v>
      </c>
      <c r="N2827" s="54"/>
    </row>
    <row r="2828" spans="2:14" x14ac:dyDescent="0.2">
      <c r="B2828">
        <v>2819</v>
      </c>
      <c r="C2828" s="52">
        <f ca="1"/>
        <v>9.7013711275011752E-2</v>
      </c>
      <c r="D2828" s="52">
        <f ca="1">S0*EXP((μ-0.5*σ*σ)*T+σ*SQRT(T)*$C2828)</f>
        <v>0.66133657739616725</v>
      </c>
      <c r="E2828" s="52">
        <f t="shared" ca="1" si="128"/>
        <v>0</v>
      </c>
      <c r="F2828" s="17">
        <f t="shared" ca="1" si="129"/>
        <v>0</v>
      </c>
      <c r="H2828" s="17">
        <v>2819</v>
      </c>
      <c r="I2828" s="45">
        <v>0.67049355206003403</v>
      </c>
      <c r="J2828" s="45">
        <v>1.8833032354251704E-2</v>
      </c>
      <c r="K2828" s="45">
        <v>0.24859999999999999</v>
      </c>
      <c r="N2828" s="54"/>
    </row>
    <row r="2829" spans="2:14" x14ac:dyDescent="0.2">
      <c r="B2829">
        <v>2820</v>
      </c>
      <c r="C2829" s="52">
        <f ca="1"/>
        <v>-0.55372171226198796</v>
      </c>
      <c r="D2829" s="52">
        <f ca="1">S0*EXP((μ-0.5*σ*σ)*T+σ*SQRT(T)*$C2829)</f>
        <v>0.55245858763362721</v>
      </c>
      <c r="E2829" s="52">
        <f t="shared" ca="1" si="128"/>
        <v>0</v>
      </c>
      <c r="F2829" s="17">
        <f t="shared" ca="1" si="129"/>
        <v>0</v>
      </c>
      <c r="H2829" s="17">
        <v>2820</v>
      </c>
      <c r="I2829" s="45">
        <v>0.67165622925819313</v>
      </c>
      <c r="J2829" s="45">
        <v>1.950557886300032E-2</v>
      </c>
      <c r="K2829" s="45">
        <v>0.25140000000000001</v>
      </c>
      <c r="N2829" s="54"/>
    </row>
    <row r="2830" spans="2:14" x14ac:dyDescent="0.2">
      <c r="B2830">
        <v>2821</v>
      </c>
      <c r="C2830" s="52">
        <f ca="1"/>
        <v>-0.42242134180140339</v>
      </c>
      <c r="D2830" s="52">
        <f ca="1">S0*EXP((μ-0.5*σ*σ)*T+σ*SQRT(T)*$C2830)</f>
        <v>0.5728787950852936</v>
      </c>
      <c r="E2830" s="52">
        <f t="shared" ca="1" si="128"/>
        <v>0</v>
      </c>
      <c r="F2830" s="17">
        <f t="shared" ca="1" si="129"/>
        <v>0</v>
      </c>
      <c r="H2830" s="17">
        <v>2821</v>
      </c>
      <c r="I2830" s="45">
        <v>0.67112380107518133</v>
      </c>
      <c r="J2830" s="45">
        <v>1.9065604354739439E-2</v>
      </c>
      <c r="K2830" s="45">
        <v>0.24340000000000001</v>
      </c>
      <c r="N2830" s="54"/>
    </row>
    <row r="2831" spans="2:14" x14ac:dyDescent="0.2">
      <c r="B2831">
        <v>2822</v>
      </c>
      <c r="C2831" s="52">
        <f ca="1"/>
        <v>-0.12428428778960345</v>
      </c>
      <c r="D2831" s="52">
        <f ca="1">S0*EXP((μ-0.5*σ*σ)*T+σ*SQRT(T)*$C2831)</f>
        <v>0.62209259144074824</v>
      </c>
      <c r="E2831" s="52">
        <f t="shared" ca="1" si="128"/>
        <v>0</v>
      </c>
      <c r="F2831" s="17">
        <f t="shared" ca="1" si="129"/>
        <v>0</v>
      </c>
      <c r="H2831" s="17">
        <v>2822</v>
      </c>
      <c r="I2831" s="45">
        <v>0.67052278520728292</v>
      </c>
      <c r="J2831" s="45">
        <v>1.8550157223099675E-2</v>
      </c>
      <c r="K2831" s="45">
        <v>0.24079999999999999</v>
      </c>
      <c r="N2831" s="54"/>
    </row>
    <row r="2832" spans="2:14" x14ac:dyDescent="0.2">
      <c r="B2832">
        <v>2823</v>
      </c>
      <c r="C2832" s="52">
        <f ca="1"/>
        <v>0.97685694030048609</v>
      </c>
      <c r="D2832" s="52">
        <f ca="1">S0*EXP((μ-0.5*σ*σ)*T+σ*SQRT(T)*$C2832)</f>
        <v>0.84343275663658557</v>
      </c>
      <c r="E2832" s="52">
        <f t="shared" ca="1" si="128"/>
        <v>0</v>
      </c>
      <c r="F2832" s="17">
        <f t="shared" ca="1" si="129"/>
        <v>0</v>
      </c>
      <c r="H2832" s="17">
        <v>2823</v>
      </c>
      <c r="I2832" s="45">
        <v>0.67030145664070462</v>
      </c>
      <c r="J2832" s="45">
        <v>1.8610230824891851E-2</v>
      </c>
      <c r="K2832" s="45">
        <v>0.246</v>
      </c>
      <c r="N2832" s="54"/>
    </row>
    <row r="2833" spans="2:14" x14ac:dyDescent="0.2">
      <c r="B2833">
        <v>2824</v>
      </c>
      <c r="C2833" s="52">
        <f ca="1"/>
        <v>0.58428591121657603</v>
      </c>
      <c r="D2833" s="52">
        <f ca="1">S0*EXP((μ-0.5*σ*σ)*T+σ*SQRT(T)*$C2833)</f>
        <v>0.7566953913685176</v>
      </c>
      <c r="E2833" s="52">
        <f t="shared" ca="1" si="128"/>
        <v>0</v>
      </c>
      <c r="F2833" s="17">
        <f t="shared" ca="1" si="129"/>
        <v>0</v>
      </c>
      <c r="H2833" s="17">
        <v>2824</v>
      </c>
      <c r="I2833" s="45">
        <v>0.6709223279625004</v>
      </c>
      <c r="J2833" s="45">
        <v>1.9115455005991377E-2</v>
      </c>
      <c r="K2833" s="45">
        <v>0.24879999999999999</v>
      </c>
      <c r="N2833" s="54"/>
    </row>
    <row r="2834" spans="2:14" x14ac:dyDescent="0.2">
      <c r="B2834">
        <v>2825</v>
      </c>
      <c r="C2834" s="52">
        <f ca="1"/>
        <v>1.5402352414891822</v>
      </c>
      <c r="D2834" s="52">
        <f ca="1">S0*EXP((μ-0.5*σ*σ)*T+σ*SQRT(T)*$C2834)</f>
        <v>0.98556616112760176</v>
      </c>
      <c r="E2834" s="52">
        <f t="shared" ca="1" si="128"/>
        <v>0</v>
      </c>
      <c r="F2834" s="17">
        <f t="shared" ca="1" si="129"/>
        <v>0</v>
      </c>
      <c r="H2834" s="17">
        <v>2825</v>
      </c>
      <c r="I2834" s="45">
        <v>0.66971479383493604</v>
      </c>
      <c r="J2834" s="45">
        <v>1.7942039614390573E-2</v>
      </c>
      <c r="K2834" s="45">
        <v>0.24079999999999999</v>
      </c>
      <c r="N2834" s="54"/>
    </row>
    <row r="2835" spans="2:14" x14ac:dyDescent="0.2">
      <c r="B2835">
        <v>2826</v>
      </c>
      <c r="C2835" s="52">
        <f ca="1"/>
        <v>-0.47923418459721967</v>
      </c>
      <c r="D2835" s="52">
        <f ca="1">S0*EXP((μ-0.5*σ*σ)*T+σ*SQRT(T)*$C2835)</f>
        <v>0.56395206149322274</v>
      </c>
      <c r="E2835" s="52">
        <f t="shared" ca="1" si="128"/>
        <v>0</v>
      </c>
      <c r="F2835" s="17">
        <f t="shared" ca="1" si="129"/>
        <v>0</v>
      </c>
      <c r="H2835" s="17">
        <v>2826</v>
      </c>
      <c r="I2835" s="45">
        <v>0.67048786626051138</v>
      </c>
      <c r="J2835" s="45">
        <v>1.8750484547793607E-2</v>
      </c>
      <c r="K2835" s="45">
        <v>0.24640000000000001</v>
      </c>
      <c r="N2835" s="54"/>
    </row>
    <row r="2836" spans="2:14" x14ac:dyDescent="0.2">
      <c r="B2836">
        <v>2827</v>
      </c>
      <c r="C2836" s="52">
        <f ca="1"/>
        <v>-0.77097114349276141</v>
      </c>
      <c r="D2836" s="52">
        <f ca="1">S0*EXP((μ-0.5*σ*σ)*T+σ*SQRT(T)*$C2836)</f>
        <v>0.52025738998321713</v>
      </c>
      <c r="E2836" s="52">
        <f t="shared" ca="1" si="128"/>
        <v>1.4142610016782853E-2</v>
      </c>
      <c r="F2836" s="17">
        <f t="shared" ca="1" si="129"/>
        <v>1</v>
      </c>
      <c r="H2836" s="17">
        <v>2827</v>
      </c>
      <c r="I2836" s="45">
        <v>0.6711463605033372</v>
      </c>
      <c r="J2836" s="45">
        <v>1.9359862354757486E-2</v>
      </c>
      <c r="K2836" s="45">
        <v>0.25019999999999998</v>
      </c>
      <c r="N2836" s="54"/>
    </row>
    <row r="2837" spans="2:14" x14ac:dyDescent="0.2">
      <c r="B2837">
        <v>2828</v>
      </c>
      <c r="C2837" s="52">
        <f ca="1"/>
        <v>1.3727119749963286</v>
      </c>
      <c r="D2837" s="52">
        <f ca="1">S0*EXP((μ-0.5*σ*σ)*T+σ*SQRT(T)*$C2837)</f>
        <v>0.94096635212591684</v>
      </c>
      <c r="E2837" s="52">
        <f t="shared" ca="1" si="128"/>
        <v>0</v>
      </c>
      <c r="F2837" s="17">
        <f t="shared" ca="1" si="129"/>
        <v>0</v>
      </c>
      <c r="H2837" s="17">
        <v>2828</v>
      </c>
      <c r="I2837" s="45">
        <v>0.67072417460017963</v>
      </c>
      <c r="J2837" s="45">
        <v>1.8922320920366734E-2</v>
      </c>
      <c r="K2837" s="45">
        <v>0.24940000000000001</v>
      </c>
      <c r="N2837" s="54"/>
    </row>
    <row r="2838" spans="2:14" x14ac:dyDescent="0.2">
      <c r="B2838">
        <v>2829</v>
      </c>
      <c r="C2838" s="52">
        <f ca="1"/>
        <v>-0.55845681152276083</v>
      </c>
      <c r="D2838" s="52">
        <f ca="1">S0*EXP((μ-0.5*σ*σ)*T+σ*SQRT(T)*$C2838)</f>
        <v>0.55173592809838212</v>
      </c>
      <c r="E2838" s="52">
        <f t="shared" ca="1" si="128"/>
        <v>0</v>
      </c>
      <c r="F2838" s="17">
        <f t="shared" ca="1" si="129"/>
        <v>0</v>
      </c>
      <c r="H2838" s="17">
        <v>2829</v>
      </c>
      <c r="I2838" s="45">
        <v>0.67084931478591037</v>
      </c>
      <c r="J2838" s="45">
        <v>1.8993708121537618E-2</v>
      </c>
      <c r="K2838" s="45">
        <v>0.24840000000000001</v>
      </c>
      <c r="N2838" s="54"/>
    </row>
    <row r="2839" spans="2:14" x14ac:dyDescent="0.2">
      <c r="B2839">
        <v>2830</v>
      </c>
      <c r="C2839" s="52">
        <f ca="1"/>
        <v>-0.93121618777582316</v>
      </c>
      <c r="D2839" s="52">
        <f ca="1">S0*EXP((μ-0.5*σ*σ)*T+σ*SQRT(T)*$C2839)</f>
        <v>0.49771455480129545</v>
      </c>
      <c r="E2839" s="52">
        <f t="shared" ca="1" si="128"/>
        <v>3.6685445198704536E-2</v>
      </c>
      <c r="F2839" s="17">
        <f t="shared" ca="1" si="129"/>
        <v>1</v>
      </c>
      <c r="H2839" s="17">
        <v>2830</v>
      </c>
      <c r="I2839" s="45">
        <v>0.66962767501423115</v>
      </c>
      <c r="J2839" s="45">
        <v>1.8075130066762014E-2</v>
      </c>
      <c r="K2839" s="45">
        <v>0.24399999999999999</v>
      </c>
      <c r="N2839" s="54"/>
    </row>
    <row r="2840" spans="2:14" x14ac:dyDescent="0.2">
      <c r="B2840">
        <v>2831</v>
      </c>
      <c r="C2840" s="52">
        <f ca="1"/>
        <v>-1.6454487363535051</v>
      </c>
      <c r="D2840" s="52">
        <f ca="1">S0*EXP((μ-0.5*σ*σ)*T+σ*SQRT(T)*$C2840)</f>
        <v>0.40853991934109174</v>
      </c>
      <c r="E2840" s="52">
        <f t="shared" ca="1" si="128"/>
        <v>0.12586008065890825</v>
      </c>
      <c r="F2840" s="17">
        <f t="shared" ca="1" si="129"/>
        <v>1</v>
      </c>
      <c r="H2840" s="17">
        <v>2831</v>
      </c>
      <c r="I2840" s="45">
        <v>0.67092243057428291</v>
      </c>
      <c r="J2840" s="45">
        <v>1.9037807596438205E-2</v>
      </c>
      <c r="K2840" s="45">
        <v>0.2482</v>
      </c>
      <c r="N2840" s="54"/>
    </row>
    <row r="2841" spans="2:14" x14ac:dyDescent="0.2">
      <c r="B2841">
        <v>2832</v>
      </c>
      <c r="C2841" s="52">
        <f ca="1"/>
        <v>7.2842934455270264E-2</v>
      </c>
      <c r="D2841" s="52">
        <f ca="1">S0*EXP((μ-0.5*σ*σ)*T+σ*SQRT(T)*$C2841)</f>
        <v>0.65693252788259326</v>
      </c>
      <c r="E2841" s="52">
        <f t="shared" ca="1" si="128"/>
        <v>0</v>
      </c>
      <c r="F2841" s="17">
        <f t="shared" ca="1" si="129"/>
        <v>0</v>
      </c>
      <c r="H2841" s="17">
        <v>2832</v>
      </c>
      <c r="I2841" s="45">
        <v>0.67108878995024523</v>
      </c>
      <c r="J2841" s="45">
        <v>1.9005632518971305E-2</v>
      </c>
      <c r="K2841" s="45">
        <v>0.24779999999999999</v>
      </c>
      <c r="N2841" s="54"/>
    </row>
    <row r="2842" spans="2:14" x14ac:dyDescent="0.2">
      <c r="B2842">
        <v>2833</v>
      </c>
      <c r="C2842" s="52">
        <f ca="1"/>
        <v>0.54612352082914406</v>
      </c>
      <c r="D2842" s="52">
        <f ca="1">S0*EXP((μ-0.5*σ*σ)*T+σ*SQRT(T)*$C2842)</f>
        <v>0.7487547233853592</v>
      </c>
      <c r="E2842" s="52">
        <f t="shared" ca="1" si="128"/>
        <v>0</v>
      </c>
      <c r="F2842" s="17">
        <f t="shared" ca="1" si="129"/>
        <v>0</v>
      </c>
      <c r="H2842" s="17">
        <v>2833</v>
      </c>
      <c r="I2842" s="45">
        <v>0.670653014859245</v>
      </c>
      <c r="J2842" s="45">
        <v>1.8391512911612541E-2</v>
      </c>
      <c r="K2842" s="45">
        <v>0.24679999999999999</v>
      </c>
      <c r="N2842" s="54"/>
    </row>
    <row r="2843" spans="2:14" x14ac:dyDescent="0.2">
      <c r="B2843">
        <v>2834</v>
      </c>
      <c r="C2843" s="52">
        <f ca="1"/>
        <v>0.80592419367286872</v>
      </c>
      <c r="D2843" s="52">
        <f ca="1">S0*EXP((μ-0.5*σ*σ)*T+σ*SQRT(T)*$C2843)</f>
        <v>0.80450631069361955</v>
      </c>
      <c r="E2843" s="52">
        <f t="shared" ca="1" si="128"/>
        <v>0</v>
      </c>
      <c r="F2843" s="17">
        <f t="shared" ca="1" si="129"/>
        <v>0</v>
      </c>
      <c r="H2843" s="17">
        <v>2834</v>
      </c>
      <c r="I2843" s="45">
        <v>0.67233610665517629</v>
      </c>
      <c r="J2843" s="45">
        <v>1.9970360716063243E-2</v>
      </c>
      <c r="K2843" s="45">
        <v>0.2472</v>
      </c>
      <c r="N2843" s="54"/>
    </row>
    <row r="2844" spans="2:14" x14ac:dyDescent="0.2">
      <c r="B2844">
        <v>2835</v>
      </c>
      <c r="C2844" s="52">
        <f ca="1"/>
        <v>-1.8968572923627247E-2</v>
      </c>
      <c r="D2844" s="52">
        <f ca="1">S0*EXP((μ-0.5*σ*σ)*T+σ*SQRT(T)*$C2844)</f>
        <v>0.64046958265992904</v>
      </c>
      <c r="E2844" s="52">
        <f t="shared" ca="1" si="128"/>
        <v>0</v>
      </c>
      <c r="F2844" s="17">
        <f t="shared" ca="1" si="129"/>
        <v>0</v>
      </c>
      <c r="H2844" s="17">
        <v>2835</v>
      </c>
      <c r="I2844" s="45">
        <v>0.67106211545421435</v>
      </c>
      <c r="J2844" s="45">
        <v>1.8903720428401896E-2</v>
      </c>
      <c r="K2844" s="45">
        <v>0.2482</v>
      </c>
      <c r="N2844" s="54"/>
    </row>
    <row r="2845" spans="2:14" x14ac:dyDescent="0.2">
      <c r="B2845">
        <v>2836</v>
      </c>
      <c r="C2845" s="52">
        <f ca="1"/>
        <v>0.82106452035036015</v>
      </c>
      <c r="D2845" s="52">
        <f ca="1">S0*EXP((μ-0.5*σ*σ)*T+σ*SQRT(T)*$C2845)</f>
        <v>0.80788044963041028</v>
      </c>
      <c r="E2845" s="52">
        <f t="shared" ca="1" si="128"/>
        <v>0</v>
      </c>
      <c r="F2845" s="17">
        <f t="shared" ca="1" si="129"/>
        <v>0</v>
      </c>
      <c r="H2845" s="17">
        <v>2836</v>
      </c>
      <c r="I2845" s="45">
        <v>0.6714463375318398</v>
      </c>
      <c r="J2845" s="45">
        <v>1.9311018916635829E-2</v>
      </c>
      <c r="K2845" s="45">
        <v>0.24460000000000001</v>
      </c>
      <c r="N2845" s="54"/>
    </row>
    <row r="2846" spans="2:14" x14ac:dyDescent="0.2">
      <c r="B2846">
        <v>2837</v>
      </c>
      <c r="C2846" s="52">
        <f ca="1"/>
        <v>0.61641705457620377</v>
      </c>
      <c r="D2846" s="52">
        <f ca="1">S0*EXP((μ-0.5*σ*σ)*T+σ*SQRT(T)*$C2846)</f>
        <v>0.7634463669965833</v>
      </c>
      <c r="E2846" s="52">
        <f t="shared" ca="1" si="128"/>
        <v>0</v>
      </c>
      <c r="F2846" s="17">
        <f t="shared" ca="1" si="129"/>
        <v>0</v>
      </c>
      <c r="H2846" s="17">
        <v>2837</v>
      </c>
      <c r="I2846" s="45">
        <v>0.67011939630096051</v>
      </c>
      <c r="J2846" s="45">
        <v>1.8345409498398399E-2</v>
      </c>
      <c r="K2846" s="45">
        <v>0.2402</v>
      </c>
      <c r="N2846" s="54"/>
    </row>
    <row r="2847" spans="2:14" x14ac:dyDescent="0.2">
      <c r="B2847">
        <v>2838</v>
      </c>
      <c r="C2847" s="52">
        <f ca="1"/>
        <v>0.98462587199416696</v>
      </c>
      <c r="D2847" s="52">
        <f ca="1">S0*EXP((μ-0.5*σ*σ)*T+σ*SQRT(T)*$C2847)</f>
        <v>0.84524604683669091</v>
      </c>
      <c r="E2847" s="52">
        <f t="shared" ca="1" si="128"/>
        <v>0</v>
      </c>
      <c r="F2847" s="17">
        <f t="shared" ca="1" si="129"/>
        <v>0</v>
      </c>
      <c r="H2847" s="17">
        <v>2838</v>
      </c>
      <c r="I2847" s="45">
        <v>0.66982907648146006</v>
      </c>
      <c r="J2847" s="45">
        <v>1.8219025557215367E-2</v>
      </c>
      <c r="K2847" s="45">
        <v>0.24399999999999999</v>
      </c>
      <c r="N2847" s="54"/>
    </row>
    <row r="2848" spans="2:14" x14ac:dyDescent="0.2">
      <c r="B2848">
        <v>2839</v>
      </c>
      <c r="C2848" s="52">
        <f ca="1"/>
        <v>-6.9809201201652599E-2</v>
      </c>
      <c r="D2848" s="52">
        <f ca="1">S0*EXP((μ-0.5*σ*σ)*T+σ*SQRT(T)*$C2848)</f>
        <v>0.63153137735507581</v>
      </c>
      <c r="E2848" s="52">
        <f t="shared" ca="1" si="128"/>
        <v>0</v>
      </c>
      <c r="F2848" s="17">
        <f t="shared" ca="1" si="129"/>
        <v>0</v>
      </c>
      <c r="H2848" s="17">
        <v>2839</v>
      </c>
      <c r="I2848" s="45">
        <v>0.67153087108976239</v>
      </c>
      <c r="J2848" s="45">
        <v>1.9237706826926913E-2</v>
      </c>
      <c r="K2848" s="45">
        <v>0.2414</v>
      </c>
      <c r="N2848" s="54"/>
    </row>
    <row r="2849" spans="2:14" x14ac:dyDescent="0.2">
      <c r="B2849">
        <v>2840</v>
      </c>
      <c r="C2849" s="52">
        <f ca="1"/>
        <v>-1.5137182669396232</v>
      </c>
      <c r="D2849" s="52">
        <f ca="1">S0*EXP((μ-0.5*σ*σ)*T+σ*SQRT(T)*$C2849)</f>
        <v>0.42369091527342984</v>
      </c>
      <c r="E2849" s="52">
        <f t="shared" ca="1" si="128"/>
        <v>0.11070908472657015</v>
      </c>
      <c r="F2849" s="17">
        <f t="shared" ca="1" si="129"/>
        <v>1</v>
      </c>
      <c r="H2849" s="17">
        <v>2840</v>
      </c>
      <c r="I2849" s="45">
        <v>0.6702834017585132</v>
      </c>
      <c r="J2849" s="45">
        <v>1.8456005676047778E-2</v>
      </c>
      <c r="K2849" s="45">
        <v>0.24299999999999999</v>
      </c>
      <c r="N2849" s="54"/>
    </row>
    <row r="2850" spans="2:14" x14ac:dyDescent="0.2">
      <c r="B2850">
        <v>2841</v>
      </c>
      <c r="C2850" s="52">
        <f ca="1"/>
        <v>4.5528906517214023E-2</v>
      </c>
      <c r="D2850" s="52">
        <f ca="1">S0*EXP((μ-0.5*σ*σ)*T+σ*SQRT(T)*$C2850)</f>
        <v>0.65199104719800316</v>
      </c>
      <c r="E2850" s="52">
        <f t="shared" ca="1" si="128"/>
        <v>0</v>
      </c>
      <c r="F2850" s="17">
        <f t="shared" ca="1" si="129"/>
        <v>0</v>
      </c>
      <c r="H2850" s="17">
        <v>2841</v>
      </c>
      <c r="I2850" s="45">
        <v>0.67183919669966208</v>
      </c>
      <c r="J2850" s="45">
        <v>1.9558454544769725E-2</v>
      </c>
      <c r="K2850" s="45">
        <v>0.24840000000000001</v>
      </c>
      <c r="N2850" s="54"/>
    </row>
    <row r="2851" spans="2:14" x14ac:dyDescent="0.2">
      <c r="B2851">
        <v>2842</v>
      </c>
      <c r="C2851" s="52">
        <f ca="1"/>
        <v>-3.0825297458363319</v>
      </c>
      <c r="D2851" s="52">
        <f ca="1">S0*EXP((μ-0.5*σ*σ)*T+σ*SQRT(T)*$C2851)</f>
        <v>0.27460500411355948</v>
      </c>
      <c r="E2851" s="52">
        <f t="shared" ca="1" si="128"/>
        <v>0.25979499588644051</v>
      </c>
      <c r="F2851" s="17">
        <f t="shared" ca="1" si="129"/>
        <v>1</v>
      </c>
      <c r="H2851" s="17">
        <v>2842</v>
      </c>
      <c r="I2851" s="45">
        <v>0.67282631017951744</v>
      </c>
      <c r="J2851" s="45">
        <v>2.0236357019714747E-2</v>
      </c>
      <c r="K2851" s="45">
        <v>0.25219999999999998</v>
      </c>
      <c r="N2851" s="54"/>
    </row>
    <row r="2852" spans="2:14" x14ac:dyDescent="0.2">
      <c r="B2852">
        <v>2843</v>
      </c>
      <c r="C2852" s="52">
        <f ca="1"/>
        <v>-1.9799217771229907</v>
      </c>
      <c r="D2852" s="52">
        <f ca="1">S0*EXP((μ-0.5*σ*σ)*T+σ*SQRT(T)*$C2852)</f>
        <v>0.37246028254673152</v>
      </c>
      <c r="E2852" s="52">
        <f t="shared" ca="1" si="128"/>
        <v>0.16193971745326846</v>
      </c>
      <c r="F2852" s="17">
        <f t="shared" ca="1" si="129"/>
        <v>1</v>
      </c>
      <c r="H2852" s="17">
        <v>2843</v>
      </c>
      <c r="I2852" s="45">
        <v>0.67093153459135235</v>
      </c>
      <c r="J2852" s="45">
        <v>1.9080804865772103E-2</v>
      </c>
      <c r="K2852" s="45">
        <v>0.25019999999999998</v>
      </c>
      <c r="N2852" s="54"/>
    </row>
    <row r="2853" spans="2:14" x14ac:dyDescent="0.2">
      <c r="B2853">
        <v>2844</v>
      </c>
      <c r="C2853" s="52">
        <f ca="1"/>
        <v>-0.4408035132401783</v>
      </c>
      <c r="D2853" s="52">
        <f ca="1">S0*EXP((μ-0.5*σ*σ)*T+σ*SQRT(T)*$C2853)</f>
        <v>0.56997513529790866</v>
      </c>
      <c r="E2853" s="52">
        <f t="shared" ca="1" si="128"/>
        <v>0</v>
      </c>
      <c r="F2853" s="17">
        <f t="shared" ca="1" si="129"/>
        <v>0</v>
      </c>
      <c r="H2853" s="17">
        <v>2844</v>
      </c>
      <c r="I2853" s="45">
        <v>0.67034685830791541</v>
      </c>
      <c r="J2853" s="45">
        <v>1.8463573689649859E-2</v>
      </c>
      <c r="K2853" s="45">
        <v>0.24099999999999999</v>
      </c>
      <c r="N2853" s="54"/>
    </row>
    <row r="2854" spans="2:14" x14ac:dyDescent="0.2">
      <c r="B2854">
        <v>2845</v>
      </c>
      <c r="C2854" s="52">
        <f ca="1"/>
        <v>0.58227895730301915</v>
      </c>
      <c r="D2854" s="52">
        <f ca="1">S0*EXP((μ-0.5*σ*σ)*T+σ*SQRT(T)*$C2854)</f>
        <v>0.75627570279468437</v>
      </c>
      <c r="E2854" s="52">
        <f t="shared" ca="1" si="128"/>
        <v>0</v>
      </c>
      <c r="F2854" s="17">
        <f t="shared" ca="1" si="129"/>
        <v>0</v>
      </c>
      <c r="H2854" s="17">
        <v>2845</v>
      </c>
      <c r="I2854" s="45">
        <v>0.6712333826011454</v>
      </c>
      <c r="J2854" s="45">
        <v>1.9070573243186333E-2</v>
      </c>
      <c r="K2854" s="45">
        <v>0.24479999999999999</v>
      </c>
      <c r="N2854" s="54"/>
    </row>
    <row r="2855" spans="2:14" x14ac:dyDescent="0.2">
      <c r="B2855">
        <v>2846</v>
      </c>
      <c r="C2855" s="52">
        <f ca="1"/>
        <v>0.36121704582148884</v>
      </c>
      <c r="D2855" s="52">
        <f ca="1">S0*EXP((μ-0.5*σ*σ)*T+σ*SQRT(T)*$C2855)</f>
        <v>0.71144441885479848</v>
      </c>
      <c r="E2855" s="52">
        <f t="shared" ca="1" si="128"/>
        <v>0</v>
      </c>
      <c r="F2855" s="17">
        <f t="shared" ca="1" si="129"/>
        <v>0</v>
      </c>
      <c r="H2855" s="17">
        <v>2846</v>
      </c>
      <c r="I2855" s="45">
        <v>0.67288433859887131</v>
      </c>
      <c r="J2855" s="45">
        <v>2.0027930298002518E-2</v>
      </c>
      <c r="K2855" s="45">
        <v>0.2472</v>
      </c>
      <c r="N2855" s="54"/>
    </row>
    <row r="2856" spans="2:14" x14ac:dyDescent="0.2">
      <c r="B2856">
        <v>2847</v>
      </c>
      <c r="C2856" s="52">
        <f ca="1"/>
        <v>-1.0085030981869867</v>
      </c>
      <c r="D2856" s="52">
        <f ca="1">S0*EXP((μ-0.5*σ*σ)*T+σ*SQRT(T)*$C2856)</f>
        <v>0.4871938604902567</v>
      </c>
      <c r="E2856" s="52">
        <f t="shared" ca="1" si="128"/>
        <v>4.7206139509743283E-2</v>
      </c>
      <c r="F2856" s="17">
        <f t="shared" ca="1" si="129"/>
        <v>1</v>
      </c>
      <c r="H2856" s="17">
        <v>2847</v>
      </c>
      <c r="I2856" s="45">
        <v>0.67170649896206491</v>
      </c>
      <c r="J2856" s="45">
        <v>1.9605378131623896E-2</v>
      </c>
      <c r="K2856" s="45">
        <v>0.25519999999999998</v>
      </c>
      <c r="N2856" s="54"/>
    </row>
    <row r="2857" spans="2:14" x14ac:dyDescent="0.2">
      <c r="B2857">
        <v>2848</v>
      </c>
      <c r="C2857" s="52">
        <f ca="1"/>
        <v>1.0277722061051189</v>
      </c>
      <c r="D2857" s="52">
        <f ca="1">S0*EXP((μ-0.5*σ*σ)*T+σ*SQRT(T)*$C2857)</f>
        <v>0.8553876980963262</v>
      </c>
      <c r="E2857" s="52">
        <f t="shared" ca="1" si="128"/>
        <v>0</v>
      </c>
      <c r="F2857" s="17">
        <f t="shared" ca="1" si="129"/>
        <v>0</v>
      </c>
      <c r="H2857" s="17">
        <v>2848</v>
      </c>
      <c r="I2857" s="45">
        <v>0.67152120458235731</v>
      </c>
      <c r="J2857" s="45">
        <v>1.9510989992255982E-2</v>
      </c>
      <c r="K2857" s="45">
        <v>0.25259999999999999</v>
      </c>
      <c r="N2857" s="54"/>
    </row>
    <row r="2858" spans="2:14" x14ac:dyDescent="0.2">
      <c r="B2858">
        <v>2849</v>
      </c>
      <c r="C2858" s="52">
        <f ca="1"/>
        <v>-0.43129632367532006</v>
      </c>
      <c r="D2858" s="52">
        <f ca="1">S0*EXP((μ-0.5*σ*σ)*T+σ*SQRT(T)*$C2858)</f>
        <v>0.57147505494711848</v>
      </c>
      <c r="E2858" s="52">
        <f t="shared" ca="1" si="128"/>
        <v>0</v>
      </c>
      <c r="F2858" s="17">
        <f t="shared" ca="1" si="129"/>
        <v>0</v>
      </c>
      <c r="H2858" s="17">
        <v>2849</v>
      </c>
      <c r="I2858" s="45">
        <v>0.67022414774370465</v>
      </c>
      <c r="J2858" s="45">
        <v>1.8626251806428566E-2</v>
      </c>
      <c r="K2858" s="45">
        <v>0.25519999999999998</v>
      </c>
      <c r="N2858" s="54"/>
    </row>
    <row r="2859" spans="2:14" x14ac:dyDescent="0.2">
      <c r="B2859">
        <v>2850</v>
      </c>
      <c r="C2859" s="52">
        <f ca="1"/>
        <v>0.72930145591466944</v>
      </c>
      <c r="D2859" s="52">
        <f ca="1">S0*EXP((μ-0.5*σ*σ)*T+σ*SQRT(T)*$C2859)</f>
        <v>0.78764524728792829</v>
      </c>
      <c r="E2859" s="52">
        <f t="shared" ca="1" si="128"/>
        <v>0</v>
      </c>
      <c r="F2859" s="17">
        <f t="shared" ca="1" si="129"/>
        <v>0</v>
      </c>
      <c r="H2859" s="17">
        <v>2850</v>
      </c>
      <c r="I2859" s="45">
        <v>0.67065134790289116</v>
      </c>
      <c r="J2859" s="45">
        <v>1.8885575728538009E-2</v>
      </c>
      <c r="K2859" s="45">
        <v>0.24740000000000001</v>
      </c>
      <c r="N2859" s="54"/>
    </row>
    <row r="2860" spans="2:14" x14ac:dyDescent="0.2">
      <c r="B2860">
        <v>2851</v>
      </c>
      <c r="C2860" s="52">
        <f ca="1"/>
        <v>-1.3071650546543832</v>
      </c>
      <c r="D2860" s="52">
        <f ca="1">S0*EXP((μ-0.5*σ*σ)*T+σ*SQRT(T)*$C2860)</f>
        <v>0.44858681917929399</v>
      </c>
      <c r="E2860" s="52">
        <f t="shared" ca="1" si="128"/>
        <v>8.5813180820705992E-2</v>
      </c>
      <c r="F2860" s="17">
        <f t="shared" ca="1" si="129"/>
        <v>1</v>
      </c>
      <c r="H2860" s="17">
        <v>2851</v>
      </c>
      <c r="I2860" s="45">
        <v>0.67041818094589267</v>
      </c>
      <c r="J2860" s="45">
        <v>1.8723562843062758E-2</v>
      </c>
      <c r="K2860" s="45">
        <v>0.24399999999999999</v>
      </c>
      <c r="N2860" s="54"/>
    </row>
    <row r="2861" spans="2:14" x14ac:dyDescent="0.2">
      <c r="B2861">
        <v>2852</v>
      </c>
      <c r="C2861" s="52">
        <f ca="1"/>
        <v>-2.1086262803338505</v>
      </c>
      <c r="D2861" s="52">
        <f ca="1">S0*EXP((μ-0.5*σ*σ)*T+σ*SQRT(T)*$C2861)</f>
        <v>0.35944180945426946</v>
      </c>
      <c r="E2861" s="52">
        <f t="shared" ca="1" si="128"/>
        <v>0.17495819054573053</v>
      </c>
      <c r="F2861" s="17">
        <f t="shared" ca="1" si="129"/>
        <v>1</v>
      </c>
      <c r="H2861" s="17">
        <v>2852</v>
      </c>
      <c r="I2861" s="45">
        <v>0.66993712181831155</v>
      </c>
      <c r="J2861" s="45">
        <v>1.8236011403830805E-2</v>
      </c>
      <c r="K2861" s="45">
        <v>0.2422</v>
      </c>
      <c r="N2861" s="54"/>
    </row>
    <row r="2862" spans="2:14" x14ac:dyDescent="0.2">
      <c r="B2862">
        <v>2853</v>
      </c>
      <c r="C2862" s="52">
        <f ca="1"/>
        <v>-0.77442817596526803</v>
      </c>
      <c r="D2862" s="52">
        <f ca="1">S0*EXP((μ-0.5*σ*σ)*T+σ*SQRT(T)*$C2862)</f>
        <v>0.51976045068600996</v>
      </c>
      <c r="E2862" s="52">
        <f t="shared" ca="1" si="128"/>
        <v>1.463954931399003E-2</v>
      </c>
      <c r="F2862" s="17">
        <f t="shared" ca="1" si="129"/>
        <v>1</v>
      </c>
      <c r="H2862" s="17">
        <v>2853</v>
      </c>
      <c r="I2862" s="45">
        <v>0.67114411369703431</v>
      </c>
      <c r="J2862" s="45">
        <v>1.9179706914732718E-2</v>
      </c>
      <c r="K2862" s="45">
        <v>0.2422</v>
      </c>
      <c r="N2862" s="54"/>
    </row>
    <row r="2863" spans="2:14" x14ac:dyDescent="0.2">
      <c r="B2863">
        <v>2854</v>
      </c>
      <c r="C2863" s="52">
        <f ca="1"/>
        <v>-4.3749819266141125E-2</v>
      </c>
      <c r="D2863" s="52">
        <f ca="1">S0*EXP((μ-0.5*σ*σ)*T+σ*SQRT(T)*$C2863)</f>
        <v>0.63609714031089393</v>
      </c>
      <c r="E2863" s="52">
        <f t="shared" ca="1" si="128"/>
        <v>0</v>
      </c>
      <c r="F2863" s="17">
        <f t="shared" ca="1" si="129"/>
        <v>0</v>
      </c>
      <c r="H2863" s="17">
        <v>2854</v>
      </c>
      <c r="I2863" s="45">
        <v>0.67153908341552349</v>
      </c>
      <c r="J2863" s="45">
        <v>1.93541217553195E-2</v>
      </c>
      <c r="K2863" s="45">
        <v>0.24460000000000001</v>
      </c>
      <c r="N2863" s="54"/>
    </row>
    <row r="2864" spans="2:14" x14ac:dyDescent="0.2">
      <c r="B2864">
        <v>2855</v>
      </c>
      <c r="C2864" s="52">
        <f ca="1"/>
        <v>1.2524511797605693</v>
      </c>
      <c r="D2864" s="52">
        <f ca="1">S0*EXP((μ-0.5*σ*σ)*T+σ*SQRT(T)*$C2864)</f>
        <v>0.91019911888135052</v>
      </c>
      <c r="E2864" s="52">
        <f t="shared" ca="1" si="128"/>
        <v>0</v>
      </c>
      <c r="F2864" s="17">
        <f t="shared" ca="1" si="129"/>
        <v>0</v>
      </c>
      <c r="H2864" s="17">
        <v>2855</v>
      </c>
      <c r="I2864" s="45">
        <v>0.67125984894129065</v>
      </c>
      <c r="J2864" s="45">
        <v>1.9274685933146556E-2</v>
      </c>
      <c r="K2864" s="45">
        <v>0.247</v>
      </c>
      <c r="N2864" s="54"/>
    </row>
    <row r="2865" spans="2:14" x14ac:dyDescent="0.2">
      <c r="B2865">
        <v>2856</v>
      </c>
      <c r="C2865" s="52">
        <f ca="1"/>
        <v>0.53666090651780418</v>
      </c>
      <c r="D2865" s="52">
        <f ca="1">S0*EXP((μ-0.5*σ*σ)*T+σ*SQRT(T)*$C2865)</f>
        <v>0.74679870941840798</v>
      </c>
      <c r="E2865" s="52">
        <f t="shared" ca="1" si="128"/>
        <v>0</v>
      </c>
      <c r="F2865" s="17">
        <f t="shared" ca="1" si="129"/>
        <v>0</v>
      </c>
      <c r="H2865" s="17">
        <v>2856</v>
      </c>
      <c r="I2865" s="45">
        <v>0.67035794900684909</v>
      </c>
      <c r="J2865" s="45">
        <v>1.8641654375676706E-2</v>
      </c>
      <c r="K2865" s="45">
        <v>0.2392</v>
      </c>
      <c r="N2865" s="54"/>
    </row>
    <row r="2866" spans="2:14" x14ac:dyDescent="0.2">
      <c r="B2866">
        <v>2857</v>
      </c>
      <c r="C2866" s="52">
        <f ca="1"/>
        <v>0.42385953067458504</v>
      </c>
      <c r="D2866" s="52">
        <f ca="1">S0*EXP((μ-0.5*σ*σ)*T+σ*SQRT(T)*$C2866)</f>
        <v>0.72387137352326059</v>
      </c>
      <c r="E2866" s="52">
        <f t="shared" ca="1" si="128"/>
        <v>0</v>
      </c>
      <c r="F2866" s="17">
        <f t="shared" ca="1" si="129"/>
        <v>0</v>
      </c>
      <c r="H2866" s="17">
        <v>2857</v>
      </c>
      <c r="I2866" s="45">
        <v>0.67123631929407979</v>
      </c>
      <c r="J2866" s="45">
        <v>1.9405146676847698E-2</v>
      </c>
      <c r="K2866" s="45">
        <v>0.25040000000000001</v>
      </c>
      <c r="N2866" s="54"/>
    </row>
    <row r="2867" spans="2:14" x14ac:dyDescent="0.2">
      <c r="B2867">
        <v>2858</v>
      </c>
      <c r="C2867" s="52">
        <f ca="1"/>
        <v>-0.20670015545557263</v>
      </c>
      <c r="D2867" s="52">
        <f ca="1">S0*EXP((μ-0.5*σ*σ)*T+σ*SQRT(T)*$C2867)</f>
        <v>0.60808003942166489</v>
      </c>
      <c r="E2867" s="52">
        <f t="shared" ca="1" si="128"/>
        <v>0</v>
      </c>
      <c r="F2867" s="17">
        <f t="shared" ca="1" si="129"/>
        <v>0</v>
      </c>
      <c r="H2867" s="17">
        <v>2858</v>
      </c>
      <c r="I2867" s="45">
        <v>0.67111653695241846</v>
      </c>
      <c r="J2867" s="45">
        <v>1.914571227349458E-2</v>
      </c>
      <c r="K2867" s="45">
        <v>0.25140000000000001</v>
      </c>
      <c r="N2867" s="54"/>
    </row>
    <row r="2868" spans="2:14" x14ac:dyDescent="0.2">
      <c r="B2868">
        <v>2859</v>
      </c>
      <c r="C2868" s="52">
        <f ca="1"/>
        <v>-0.33720332516620483</v>
      </c>
      <c r="D2868" s="52">
        <f ca="1">S0*EXP((μ-0.5*σ*σ)*T+σ*SQRT(T)*$C2868)</f>
        <v>0.58653432875346612</v>
      </c>
      <c r="E2868" s="52">
        <f t="shared" ca="1" si="128"/>
        <v>0</v>
      </c>
      <c r="F2868" s="17">
        <f t="shared" ca="1" si="129"/>
        <v>0</v>
      </c>
      <c r="H2868" s="17">
        <v>2859</v>
      </c>
      <c r="I2868" s="45">
        <v>0.67117750720304892</v>
      </c>
      <c r="J2868" s="45">
        <v>1.9344606101929718E-2</v>
      </c>
      <c r="K2868" s="45">
        <v>0.2482</v>
      </c>
      <c r="N2868" s="54"/>
    </row>
    <row r="2869" spans="2:14" x14ac:dyDescent="0.2">
      <c r="B2869">
        <v>2860</v>
      </c>
      <c r="C2869" s="52">
        <f ca="1"/>
        <v>-1.7450022976445534</v>
      </c>
      <c r="D2869" s="52">
        <f ca="1">S0*EXP((μ-0.5*σ*σ)*T+σ*SQRT(T)*$C2869)</f>
        <v>0.39745025840046844</v>
      </c>
      <c r="E2869" s="52">
        <f t="shared" ca="1" si="128"/>
        <v>0.13694974159953155</v>
      </c>
      <c r="F2869" s="17">
        <f t="shared" ca="1" si="129"/>
        <v>1</v>
      </c>
      <c r="H2869" s="17">
        <v>2860</v>
      </c>
      <c r="I2869" s="45">
        <v>0.66995772099795314</v>
      </c>
      <c r="J2869" s="45">
        <v>1.853466566969993E-2</v>
      </c>
      <c r="K2869" s="45">
        <v>0.2442</v>
      </c>
      <c r="N2869" s="54"/>
    </row>
    <row r="2870" spans="2:14" x14ac:dyDescent="0.2">
      <c r="B2870">
        <v>2861</v>
      </c>
      <c r="C2870" s="52">
        <f ca="1"/>
        <v>-0.2620818172582961</v>
      </c>
      <c r="D2870" s="52">
        <f ca="1">S0*EXP((μ-0.5*σ*σ)*T+σ*SQRT(T)*$C2870)</f>
        <v>0.59884166151950891</v>
      </c>
      <c r="E2870" s="52">
        <f t="shared" ca="1" si="128"/>
        <v>0</v>
      </c>
      <c r="F2870" s="17">
        <f t="shared" ca="1" si="129"/>
        <v>0</v>
      </c>
      <c r="H2870" s="17">
        <v>2861</v>
      </c>
      <c r="I2870" s="45">
        <v>0.66978811113277947</v>
      </c>
      <c r="J2870" s="45">
        <v>1.8201773703373964E-2</v>
      </c>
      <c r="K2870" s="45">
        <v>0.24679999999999999</v>
      </c>
      <c r="N2870" s="54"/>
    </row>
    <row r="2871" spans="2:14" x14ac:dyDescent="0.2">
      <c r="B2871">
        <v>2862</v>
      </c>
      <c r="C2871" s="52">
        <f ca="1"/>
        <v>0.18636718285884729</v>
      </c>
      <c r="D2871" s="52">
        <f ca="1">S0*EXP((μ-0.5*σ*σ)*T+σ*SQRT(T)*$C2871)</f>
        <v>0.67787513831080592</v>
      </c>
      <c r="E2871" s="52">
        <f t="shared" ca="1" si="128"/>
        <v>0</v>
      </c>
      <c r="F2871" s="17">
        <f t="shared" ca="1" si="129"/>
        <v>0</v>
      </c>
      <c r="H2871" s="17">
        <v>2862</v>
      </c>
      <c r="I2871" s="45">
        <v>0.67022981198385856</v>
      </c>
      <c r="J2871" s="45">
        <v>1.8453807969130081E-2</v>
      </c>
      <c r="K2871" s="45">
        <v>0.23960000000000001</v>
      </c>
      <c r="N2871" s="54"/>
    </row>
    <row r="2872" spans="2:14" x14ac:dyDescent="0.2">
      <c r="B2872">
        <v>2863</v>
      </c>
      <c r="C2872" s="52">
        <f ca="1"/>
        <v>1.5848955947896985</v>
      </c>
      <c r="D2872" s="52">
        <f ca="1">S0*EXP((μ-0.5*σ*σ)*T+σ*SQRT(T)*$C2872)</f>
        <v>0.99780895747625842</v>
      </c>
      <c r="E2872" s="52">
        <f t="shared" ca="1" si="128"/>
        <v>0</v>
      </c>
      <c r="F2872" s="17">
        <f t="shared" ca="1" si="129"/>
        <v>0</v>
      </c>
      <c r="H2872" s="17">
        <v>2863</v>
      </c>
      <c r="I2872" s="45">
        <v>0.67113799045702449</v>
      </c>
      <c r="J2872" s="45">
        <v>1.9191985995123281E-2</v>
      </c>
      <c r="K2872" s="45">
        <v>0.24379999999999999</v>
      </c>
      <c r="N2872" s="54"/>
    </row>
    <row r="2873" spans="2:14" x14ac:dyDescent="0.2">
      <c r="B2873">
        <v>2864</v>
      </c>
      <c r="C2873" s="52">
        <f ca="1"/>
        <v>-1.7632582356960014</v>
      </c>
      <c r="D2873" s="52">
        <f ca="1">S0*EXP((μ-0.5*σ*σ)*T+σ*SQRT(T)*$C2873)</f>
        <v>0.39544956435929268</v>
      </c>
      <c r="E2873" s="52">
        <f t="shared" ca="1" si="128"/>
        <v>0.1389504356407073</v>
      </c>
      <c r="F2873" s="17">
        <f t="shared" ca="1" si="129"/>
        <v>1</v>
      </c>
      <c r="H2873" s="17">
        <v>2864</v>
      </c>
      <c r="I2873" s="45">
        <v>0.66995578351854401</v>
      </c>
      <c r="J2873" s="45">
        <v>1.8280990247503712E-2</v>
      </c>
      <c r="K2873" s="45">
        <v>0.24360000000000001</v>
      </c>
      <c r="N2873" s="54"/>
    </row>
    <row r="2874" spans="2:14" x14ac:dyDescent="0.2">
      <c r="B2874">
        <v>2865</v>
      </c>
      <c r="C2874" s="52">
        <f ca="1"/>
        <v>-2.0304865817589177</v>
      </c>
      <c r="D2874" s="52">
        <f ca="1">S0*EXP((μ-0.5*σ*σ)*T+σ*SQRT(T)*$C2874)</f>
        <v>0.36729033986472809</v>
      </c>
      <c r="E2874" s="52">
        <f t="shared" ca="1" si="128"/>
        <v>0.1671096601352719</v>
      </c>
      <c r="F2874" s="17">
        <f t="shared" ca="1" si="129"/>
        <v>1</v>
      </c>
      <c r="H2874" s="17">
        <v>2865</v>
      </c>
      <c r="I2874" s="45">
        <v>0.67027609393185328</v>
      </c>
      <c r="J2874" s="45">
        <v>1.8378226934890596E-2</v>
      </c>
      <c r="K2874" s="45">
        <v>0.24779999999999999</v>
      </c>
      <c r="N2874" s="54"/>
    </row>
    <row r="2875" spans="2:14" x14ac:dyDescent="0.2">
      <c r="B2875">
        <v>2866</v>
      </c>
      <c r="C2875" s="52">
        <f ca="1"/>
        <v>-0.98906889598445902</v>
      </c>
      <c r="D2875" s="52">
        <f ca="1">S0*EXP((μ-0.5*σ*σ)*T+σ*SQRT(T)*$C2875)</f>
        <v>0.48981822850592205</v>
      </c>
      <c r="E2875" s="52">
        <f t="shared" ca="1" si="128"/>
        <v>4.4581771494077937E-2</v>
      </c>
      <c r="F2875" s="17">
        <f t="shared" ca="1" si="129"/>
        <v>1</v>
      </c>
      <c r="H2875" s="17">
        <v>2866</v>
      </c>
      <c r="I2875" s="45">
        <v>0.67061907431895162</v>
      </c>
      <c r="J2875" s="45">
        <v>1.8422673743334977E-2</v>
      </c>
      <c r="K2875" s="45">
        <v>0.24560000000000001</v>
      </c>
      <c r="N2875" s="54"/>
    </row>
    <row r="2876" spans="2:14" x14ac:dyDescent="0.2">
      <c r="B2876">
        <v>2867</v>
      </c>
      <c r="C2876" s="52">
        <f ca="1"/>
        <v>-0.37221912836765475</v>
      </c>
      <c r="D2876" s="52">
        <f ca="1">S0*EXP((μ-0.5*σ*σ)*T+σ*SQRT(T)*$C2876)</f>
        <v>0.58088435451574982</v>
      </c>
      <c r="E2876" s="52">
        <f t="shared" ca="1" si="128"/>
        <v>0</v>
      </c>
      <c r="F2876" s="17">
        <f t="shared" ca="1" si="129"/>
        <v>0</v>
      </c>
      <c r="H2876" s="17">
        <v>2867</v>
      </c>
      <c r="I2876" s="45">
        <v>0.67115934645051722</v>
      </c>
      <c r="J2876" s="45">
        <v>1.8936985101161916E-2</v>
      </c>
      <c r="K2876" s="45">
        <v>0.23880000000000001</v>
      </c>
      <c r="N2876" s="54"/>
    </row>
    <row r="2877" spans="2:14" x14ac:dyDescent="0.2">
      <c r="B2877">
        <v>2868</v>
      </c>
      <c r="C2877" s="52">
        <f ca="1"/>
        <v>0.14425266170143941</v>
      </c>
      <c r="D2877" s="52">
        <f ca="1">S0*EXP((μ-0.5*σ*σ)*T+σ*SQRT(T)*$C2877)</f>
        <v>0.67002919514545045</v>
      </c>
      <c r="E2877" s="52">
        <f t="shared" ca="1" si="128"/>
        <v>0</v>
      </c>
      <c r="F2877" s="17">
        <f t="shared" ca="1" si="129"/>
        <v>0</v>
      </c>
      <c r="H2877" s="17">
        <v>2868</v>
      </c>
      <c r="I2877" s="45">
        <v>0.67117568329121235</v>
      </c>
      <c r="J2877" s="45">
        <v>1.9093978813834664E-2</v>
      </c>
      <c r="K2877" s="45">
        <v>0.24959999999999999</v>
      </c>
      <c r="N2877" s="54"/>
    </row>
    <row r="2878" spans="2:14" x14ac:dyDescent="0.2">
      <c r="B2878">
        <v>2869</v>
      </c>
      <c r="C2878" s="52">
        <f ca="1"/>
        <v>0.23590214580972887</v>
      </c>
      <c r="D2878" s="52">
        <f ca="1">S0*EXP((μ-0.5*σ*σ)*T+σ*SQRT(T)*$C2878)</f>
        <v>0.6872211748940853</v>
      </c>
      <c r="E2878" s="52">
        <f t="shared" ca="1" si="128"/>
        <v>0</v>
      </c>
      <c r="F2878" s="17">
        <f t="shared" ca="1" si="129"/>
        <v>0</v>
      </c>
      <c r="H2878" s="17">
        <v>2869</v>
      </c>
      <c r="I2878" s="45">
        <v>0.67082215834079195</v>
      </c>
      <c r="J2878" s="45">
        <v>1.9080531266539066E-2</v>
      </c>
      <c r="K2878" s="45">
        <v>0.251</v>
      </c>
      <c r="N2878" s="54"/>
    </row>
    <row r="2879" spans="2:14" x14ac:dyDescent="0.2">
      <c r="B2879">
        <v>2870</v>
      </c>
      <c r="C2879" s="52">
        <f ca="1"/>
        <v>0.69301603415664725</v>
      </c>
      <c r="D2879" s="52">
        <f ca="1">S0*EXP((μ-0.5*σ*σ)*T+σ*SQRT(T)*$C2879)</f>
        <v>0.77978428549052292</v>
      </c>
      <c r="E2879" s="52">
        <f t="shared" ca="1" si="128"/>
        <v>0</v>
      </c>
      <c r="F2879" s="17">
        <f t="shared" ca="1" si="129"/>
        <v>0</v>
      </c>
      <c r="H2879" s="17">
        <v>2870</v>
      </c>
      <c r="I2879" s="45">
        <v>0.67049764718922156</v>
      </c>
      <c r="J2879" s="45">
        <v>1.8993649216143309E-2</v>
      </c>
      <c r="K2879" s="45">
        <v>0.2482</v>
      </c>
      <c r="N2879" s="54"/>
    </row>
    <row r="2880" spans="2:14" x14ac:dyDescent="0.2">
      <c r="B2880">
        <v>2871</v>
      </c>
      <c r="C2880" s="52">
        <f ca="1"/>
        <v>-1.1910361651269743</v>
      </c>
      <c r="D2880" s="52">
        <f ca="1">S0*EXP((μ-0.5*σ*σ)*T+σ*SQRT(T)*$C2880)</f>
        <v>0.46322089729294669</v>
      </c>
      <c r="E2880" s="52">
        <f t="shared" ca="1" si="128"/>
        <v>7.1179102707053299E-2</v>
      </c>
      <c r="F2880" s="17">
        <f t="shared" ca="1" si="129"/>
        <v>1</v>
      </c>
      <c r="H2880" s="17">
        <v>2871</v>
      </c>
      <c r="I2880" s="45">
        <v>0.67129357155244773</v>
      </c>
      <c r="J2880" s="45">
        <v>1.9231036254073623E-2</v>
      </c>
      <c r="K2880" s="45">
        <v>0.24759999999999999</v>
      </c>
      <c r="N2880" s="54"/>
    </row>
    <row r="2881" spans="2:14" x14ac:dyDescent="0.2">
      <c r="B2881">
        <v>2872</v>
      </c>
      <c r="C2881" s="52">
        <f ca="1"/>
        <v>-1.3863422742747868</v>
      </c>
      <c r="D2881" s="52">
        <f ca="1">S0*EXP((μ-0.5*σ*σ)*T+σ*SQRT(T)*$C2881)</f>
        <v>0.43887519628683541</v>
      </c>
      <c r="E2881" s="52">
        <f t="shared" ca="1" si="128"/>
        <v>9.5524803713164574E-2</v>
      </c>
      <c r="F2881" s="17">
        <f t="shared" ca="1" si="129"/>
        <v>1</v>
      </c>
      <c r="H2881" s="17">
        <v>2872</v>
      </c>
      <c r="I2881" s="45">
        <v>0.67135953528829262</v>
      </c>
      <c r="J2881" s="45">
        <v>1.9222277622308572E-2</v>
      </c>
      <c r="K2881" s="45">
        <v>0.251</v>
      </c>
      <c r="N2881" s="54"/>
    </row>
    <row r="2882" spans="2:14" x14ac:dyDescent="0.2">
      <c r="B2882">
        <v>2873</v>
      </c>
      <c r="C2882" s="52">
        <f ca="1"/>
        <v>7.0945017692164436E-2</v>
      </c>
      <c r="D2882" s="52">
        <f ca="1">S0*EXP((μ-0.5*σ*σ)*T+σ*SQRT(T)*$C2882)</f>
        <v>0.65658796132068964</v>
      </c>
      <c r="E2882" s="52">
        <f t="shared" ca="1" si="128"/>
        <v>0</v>
      </c>
      <c r="F2882" s="17">
        <f t="shared" ca="1" si="129"/>
        <v>0</v>
      </c>
      <c r="H2882" s="17">
        <v>2873</v>
      </c>
      <c r="I2882" s="45">
        <v>0.67092090172041408</v>
      </c>
      <c r="J2882" s="45">
        <v>1.8970465120580284E-2</v>
      </c>
      <c r="K2882" s="45">
        <v>0.24179999999999999</v>
      </c>
      <c r="N2882" s="54"/>
    </row>
    <row r="2883" spans="2:14" x14ac:dyDescent="0.2">
      <c r="B2883">
        <v>2874</v>
      </c>
      <c r="C2883" s="52">
        <f ca="1"/>
        <v>0.13668023684782077</v>
      </c>
      <c r="D2883" s="52">
        <f ca="1">S0*EXP((μ-0.5*σ*σ)*T+σ*SQRT(T)*$C2883)</f>
        <v>0.66862811379146003</v>
      </c>
      <c r="E2883" s="52">
        <f t="shared" ca="1" si="128"/>
        <v>0</v>
      </c>
      <c r="F2883" s="17">
        <f t="shared" ca="1" si="129"/>
        <v>0</v>
      </c>
      <c r="H2883" s="17">
        <v>2874</v>
      </c>
      <c r="I2883" s="45">
        <v>0.67168776649798079</v>
      </c>
      <c r="J2883" s="45">
        <v>1.957673197769565E-2</v>
      </c>
      <c r="K2883" s="45">
        <v>0.25219999999999998</v>
      </c>
      <c r="N2883" s="54"/>
    </row>
    <row r="2884" spans="2:14" x14ac:dyDescent="0.2">
      <c r="B2884">
        <v>2875</v>
      </c>
      <c r="C2884" s="52">
        <f ca="1"/>
        <v>-0.52519659919664419</v>
      </c>
      <c r="D2884" s="52">
        <f ca="1">S0*EXP((μ-0.5*σ*σ)*T+σ*SQRT(T)*$C2884)</f>
        <v>0.55683209250571597</v>
      </c>
      <c r="E2884" s="52">
        <f t="shared" ca="1" si="128"/>
        <v>0</v>
      </c>
      <c r="F2884" s="17">
        <f t="shared" ca="1" si="129"/>
        <v>0</v>
      </c>
      <c r="H2884" s="17">
        <v>2875</v>
      </c>
      <c r="I2884" s="45">
        <v>0.66966669123311595</v>
      </c>
      <c r="J2884" s="45">
        <v>1.7927884012732206E-2</v>
      </c>
      <c r="K2884" s="45">
        <v>0.23799999999999999</v>
      </c>
      <c r="N2884" s="54"/>
    </row>
    <row r="2885" spans="2:14" x14ac:dyDescent="0.2">
      <c r="B2885">
        <v>2876</v>
      </c>
      <c r="C2885" s="52">
        <f ca="1"/>
        <v>-0.40185726434812963</v>
      </c>
      <c r="D2885" s="52">
        <f ca="1">S0*EXP((μ-0.5*σ*σ)*T+σ*SQRT(T)*$C2885)</f>
        <v>0.57614464389595887</v>
      </c>
      <c r="E2885" s="52">
        <f t="shared" ca="1" si="128"/>
        <v>0</v>
      </c>
      <c r="F2885" s="17">
        <f t="shared" ca="1" si="129"/>
        <v>0</v>
      </c>
      <c r="H2885" s="17">
        <v>2876</v>
      </c>
      <c r="I2885" s="45">
        <v>0.66939376891870006</v>
      </c>
      <c r="J2885" s="45">
        <v>1.7579055767020752E-2</v>
      </c>
      <c r="K2885" s="45">
        <v>0.24</v>
      </c>
      <c r="N2885" s="54"/>
    </row>
    <row r="2886" spans="2:14" x14ac:dyDescent="0.2">
      <c r="B2886">
        <v>2877</v>
      </c>
      <c r="C2886" s="52">
        <f ca="1"/>
        <v>1.4666823316517608</v>
      </c>
      <c r="D2886" s="52">
        <f ca="1">S0*EXP((μ-0.5*σ*σ)*T+σ*SQRT(T)*$C2886)</f>
        <v>0.96572956655601327</v>
      </c>
      <c r="E2886" s="52">
        <f t="shared" ca="1" si="128"/>
        <v>0</v>
      </c>
      <c r="F2886" s="17">
        <f t="shared" ca="1" si="129"/>
        <v>0</v>
      </c>
      <c r="H2886" s="17">
        <v>2877</v>
      </c>
      <c r="I2886" s="45">
        <v>0.67120702943263699</v>
      </c>
      <c r="J2886" s="45">
        <v>1.9241301613027534E-2</v>
      </c>
      <c r="K2886" s="45">
        <v>0.25180000000000002</v>
      </c>
      <c r="N2886" s="54"/>
    </row>
    <row r="2887" spans="2:14" x14ac:dyDescent="0.2">
      <c r="B2887">
        <v>2878</v>
      </c>
      <c r="C2887" s="52">
        <f ca="1"/>
        <v>-1.1343186453026917</v>
      </c>
      <c r="D2887" s="52">
        <f ca="1">S0*EXP((μ-0.5*σ*σ)*T+σ*SQRT(T)*$C2887)</f>
        <v>0.47054076955892921</v>
      </c>
      <c r="E2887" s="52">
        <f t="shared" ca="1" si="128"/>
        <v>6.385923044107078E-2</v>
      </c>
      <c r="F2887" s="17">
        <f t="shared" ca="1" si="129"/>
        <v>1</v>
      </c>
      <c r="H2887" s="17">
        <v>2878</v>
      </c>
      <c r="I2887" s="45">
        <v>0.67004688045692629</v>
      </c>
      <c r="J2887" s="45">
        <v>1.8378770763748945E-2</v>
      </c>
      <c r="K2887" s="45">
        <v>0.2432</v>
      </c>
      <c r="N2887" s="54"/>
    </row>
    <row r="2888" spans="2:14" x14ac:dyDescent="0.2">
      <c r="B2888">
        <v>2879</v>
      </c>
      <c r="C2888" s="52">
        <f ca="1"/>
        <v>1.6064455592852172</v>
      </c>
      <c r="D2888" s="52">
        <f ca="1">S0*EXP((μ-0.5*σ*σ)*T+σ*SQRT(T)*$C2888)</f>
        <v>1.0037707559502607</v>
      </c>
      <c r="E2888" s="52">
        <f t="shared" ca="1" si="128"/>
        <v>0</v>
      </c>
      <c r="F2888" s="17">
        <f t="shared" ca="1" si="129"/>
        <v>0</v>
      </c>
      <c r="H2888" s="17">
        <v>2879</v>
      </c>
      <c r="I2888" s="45">
        <v>0.67135159368242714</v>
      </c>
      <c r="J2888" s="45">
        <v>1.9179370560738419E-2</v>
      </c>
      <c r="K2888" s="45">
        <v>0.24640000000000001</v>
      </c>
      <c r="N2888" s="54"/>
    </row>
    <row r="2889" spans="2:14" x14ac:dyDescent="0.2">
      <c r="B2889">
        <v>2880</v>
      </c>
      <c r="C2889" s="52">
        <f ca="1"/>
        <v>-0.12113328901786539</v>
      </c>
      <c r="D2889" s="52">
        <f ca="1">S0*EXP((μ-0.5*σ*σ)*T+σ*SQRT(T)*$C2889)</f>
        <v>0.62263469410589312</v>
      </c>
      <c r="E2889" s="52">
        <f t="shared" ca="1" si="128"/>
        <v>0</v>
      </c>
      <c r="F2889" s="17">
        <f t="shared" ca="1" si="129"/>
        <v>0</v>
      </c>
      <c r="H2889" s="17">
        <v>2880</v>
      </c>
      <c r="I2889" s="45">
        <v>0.66953258798077508</v>
      </c>
      <c r="J2889" s="45">
        <v>1.8080926093773847E-2</v>
      </c>
      <c r="K2889" s="45">
        <v>0.24440000000000001</v>
      </c>
      <c r="N2889" s="54"/>
    </row>
    <row r="2890" spans="2:14" x14ac:dyDescent="0.2">
      <c r="B2890">
        <v>2881</v>
      </c>
      <c r="C2890" s="52">
        <f ca="1"/>
        <v>0.59047087838320622</v>
      </c>
      <c r="D2890" s="52">
        <f ca="1">S0*EXP((μ-0.5*σ*σ)*T+σ*SQRT(T)*$C2890)</f>
        <v>0.75799023976844304</v>
      </c>
      <c r="E2890" s="52">
        <f t="shared" ref="E2890:E2953" ca="1" si="130">MAX(0,CP*(D2890-K))</f>
        <v>0</v>
      </c>
      <c r="F2890" s="17">
        <f t="shared" ref="F2890:F2953" ca="1" si="131">(CP*(D2890-K)&gt;0)*1</f>
        <v>0</v>
      </c>
      <c r="H2890" s="17">
        <v>2881</v>
      </c>
      <c r="I2890" s="45">
        <v>0.67005021546829446</v>
      </c>
      <c r="J2890" s="45">
        <v>1.820924690325898E-2</v>
      </c>
      <c r="K2890" s="45">
        <v>0.24660000000000001</v>
      </c>
      <c r="N2890" s="54"/>
    </row>
    <row r="2891" spans="2:14" x14ac:dyDescent="0.2">
      <c r="B2891">
        <v>2882</v>
      </c>
      <c r="C2891" s="52">
        <f ca="1"/>
        <v>-0.83544399029713645</v>
      </c>
      <c r="D2891" s="52">
        <f ca="1">S0*EXP((μ-0.5*σ*σ)*T+σ*SQRT(T)*$C2891)</f>
        <v>0.51106729729726363</v>
      </c>
      <c r="E2891" s="52">
        <f t="shared" ca="1" si="130"/>
        <v>2.3332702702736352E-2</v>
      </c>
      <c r="F2891" s="17">
        <f t="shared" ca="1" si="131"/>
        <v>1</v>
      </c>
      <c r="H2891" s="17">
        <v>2882</v>
      </c>
      <c r="I2891" s="45">
        <v>0.67071879576301785</v>
      </c>
      <c r="J2891" s="45">
        <v>1.847316566842902E-2</v>
      </c>
      <c r="K2891" s="45">
        <v>0.24360000000000001</v>
      </c>
      <c r="N2891" s="54"/>
    </row>
    <row r="2892" spans="2:14" x14ac:dyDescent="0.2">
      <c r="B2892">
        <v>2883</v>
      </c>
      <c r="C2892" s="52">
        <f ca="1"/>
        <v>-6.4120174784037171E-2</v>
      </c>
      <c r="D2892" s="52">
        <f ca="1">S0*EXP((μ-0.5*σ*σ)*T+σ*SQRT(T)*$C2892)</f>
        <v>0.63252532507756121</v>
      </c>
      <c r="E2892" s="52">
        <f t="shared" ca="1" si="130"/>
        <v>0</v>
      </c>
      <c r="F2892" s="17">
        <f t="shared" ca="1" si="131"/>
        <v>0</v>
      </c>
      <c r="H2892" s="17">
        <v>2883</v>
      </c>
      <c r="I2892" s="45">
        <v>0.67074773617240679</v>
      </c>
      <c r="J2892" s="45">
        <v>1.8799301093036205E-2</v>
      </c>
      <c r="K2892" s="45">
        <v>0.2422</v>
      </c>
      <c r="N2892" s="54"/>
    </row>
    <row r="2893" spans="2:14" x14ac:dyDescent="0.2">
      <c r="B2893">
        <v>2884</v>
      </c>
      <c r="C2893" s="52">
        <f ca="1"/>
        <v>0.68602311009674632</v>
      </c>
      <c r="D2893" s="52">
        <f ca="1">S0*EXP((μ-0.5*σ*σ)*T+σ*SQRT(T)*$C2893)</f>
        <v>0.77827836265389039</v>
      </c>
      <c r="E2893" s="52">
        <f t="shared" ca="1" si="130"/>
        <v>0</v>
      </c>
      <c r="F2893" s="17">
        <f t="shared" ca="1" si="131"/>
        <v>0</v>
      </c>
      <c r="H2893" s="17">
        <v>2884</v>
      </c>
      <c r="I2893" s="45">
        <v>0.67070258666440974</v>
      </c>
      <c r="J2893" s="45">
        <v>1.8857288133711857E-2</v>
      </c>
      <c r="K2893" s="45">
        <v>0.248</v>
      </c>
      <c r="N2893" s="54"/>
    </row>
    <row r="2894" spans="2:14" x14ac:dyDescent="0.2">
      <c r="B2894">
        <v>2885</v>
      </c>
      <c r="C2894" s="52">
        <f ca="1"/>
        <v>1.0419841608726843</v>
      </c>
      <c r="D2894" s="52">
        <f ca="1">S0*EXP((μ-0.5*σ*σ)*T+σ*SQRT(T)*$C2894)</f>
        <v>0.8587548236643826</v>
      </c>
      <c r="E2894" s="52">
        <f t="shared" ca="1" si="130"/>
        <v>0</v>
      </c>
      <c r="F2894" s="17">
        <f t="shared" ca="1" si="131"/>
        <v>0</v>
      </c>
      <c r="H2894" s="17">
        <v>2885</v>
      </c>
      <c r="I2894" s="45">
        <v>0.67167996998234536</v>
      </c>
      <c r="J2894" s="45">
        <v>1.9634346816274559E-2</v>
      </c>
      <c r="K2894" s="45">
        <v>0.25380000000000003</v>
      </c>
      <c r="N2894" s="54"/>
    </row>
    <row r="2895" spans="2:14" x14ac:dyDescent="0.2">
      <c r="B2895">
        <v>2886</v>
      </c>
      <c r="C2895" s="52">
        <f ca="1"/>
        <v>0.1179073305714972</v>
      </c>
      <c r="D2895" s="52">
        <f ca="1">S0*EXP((μ-0.5*σ*σ)*T+σ*SQRT(T)*$C2895)</f>
        <v>0.66516729482960624</v>
      </c>
      <c r="E2895" s="52">
        <f t="shared" ca="1" si="130"/>
        <v>0</v>
      </c>
      <c r="F2895" s="17">
        <f t="shared" ca="1" si="131"/>
        <v>0</v>
      </c>
      <c r="H2895" s="17">
        <v>2886</v>
      </c>
      <c r="I2895" s="45">
        <v>0.67029346315162841</v>
      </c>
      <c r="J2895" s="45">
        <v>1.8413426943599463E-2</v>
      </c>
      <c r="K2895" s="45">
        <v>0.2384</v>
      </c>
      <c r="N2895" s="54"/>
    </row>
    <row r="2896" spans="2:14" x14ac:dyDescent="0.2">
      <c r="B2896">
        <v>2887</v>
      </c>
      <c r="C2896" s="52">
        <f ca="1"/>
        <v>-0.18947081385901313</v>
      </c>
      <c r="D2896" s="52">
        <f ca="1">S0*EXP((μ-0.5*σ*σ)*T+σ*SQRT(T)*$C2896)</f>
        <v>0.61098308048999161</v>
      </c>
      <c r="E2896" s="52">
        <f t="shared" ca="1" si="130"/>
        <v>0</v>
      </c>
      <c r="F2896" s="17">
        <f t="shared" ca="1" si="131"/>
        <v>0</v>
      </c>
      <c r="H2896" s="17">
        <v>2887</v>
      </c>
      <c r="I2896" s="45">
        <v>0.6712221460475567</v>
      </c>
      <c r="J2896" s="45">
        <v>1.8959543490953253E-2</v>
      </c>
      <c r="K2896" s="45">
        <v>0.24859999999999999</v>
      </c>
      <c r="N2896" s="54"/>
    </row>
    <row r="2897" spans="2:14" x14ac:dyDescent="0.2">
      <c r="B2897">
        <v>2888</v>
      </c>
      <c r="C2897" s="52">
        <f ca="1"/>
        <v>-0.17983320371772232</v>
      </c>
      <c r="D2897" s="52">
        <f ca="1">S0*EXP((μ-0.5*σ*σ)*T+σ*SQRT(T)*$C2897)</f>
        <v>0.61261300053571965</v>
      </c>
      <c r="E2897" s="52">
        <f t="shared" ca="1" si="130"/>
        <v>0</v>
      </c>
      <c r="F2897" s="17">
        <f t="shared" ca="1" si="131"/>
        <v>0</v>
      </c>
      <c r="H2897" s="17">
        <v>2888</v>
      </c>
      <c r="I2897" s="45">
        <v>0.67106600891984147</v>
      </c>
      <c r="J2897" s="45">
        <v>1.918721545622764E-2</v>
      </c>
      <c r="K2897" s="45">
        <v>0.24440000000000001</v>
      </c>
      <c r="N2897" s="54"/>
    </row>
    <row r="2898" spans="2:14" x14ac:dyDescent="0.2">
      <c r="B2898">
        <v>2889</v>
      </c>
      <c r="C2898" s="52">
        <f ca="1"/>
        <v>0.52592407479568459</v>
      </c>
      <c r="D2898" s="52">
        <f ca="1">S0*EXP((μ-0.5*σ*σ)*T+σ*SQRT(T)*$C2898)</f>
        <v>0.74458548990073081</v>
      </c>
      <c r="E2898" s="52">
        <f t="shared" ca="1" si="130"/>
        <v>0</v>
      </c>
      <c r="F2898" s="17">
        <f t="shared" ca="1" si="131"/>
        <v>0</v>
      </c>
      <c r="H2898" s="17">
        <v>2889</v>
      </c>
      <c r="I2898" s="45">
        <v>0.67100971727623981</v>
      </c>
      <c r="J2898" s="45">
        <v>1.8876207225883557E-2</v>
      </c>
      <c r="K2898" s="45">
        <v>0.24460000000000001</v>
      </c>
      <c r="N2898" s="54"/>
    </row>
    <row r="2899" spans="2:14" x14ac:dyDescent="0.2">
      <c r="B2899">
        <v>2890</v>
      </c>
      <c r="C2899" s="52">
        <f ca="1"/>
        <v>0.26922950572791499</v>
      </c>
      <c r="D2899" s="52">
        <f ca="1">S0*EXP((μ-0.5*σ*σ)*T+σ*SQRT(T)*$C2899)</f>
        <v>0.69358163640256809</v>
      </c>
      <c r="E2899" s="52">
        <f t="shared" ca="1" si="130"/>
        <v>0</v>
      </c>
      <c r="F2899" s="17">
        <f t="shared" ca="1" si="131"/>
        <v>0</v>
      </c>
      <c r="H2899" s="17">
        <v>2890</v>
      </c>
      <c r="I2899" s="45">
        <v>0.67077407813556689</v>
      </c>
      <c r="J2899" s="45">
        <v>1.8775457003916314E-2</v>
      </c>
      <c r="K2899" s="45">
        <v>0.24640000000000001</v>
      </c>
      <c r="N2899" s="54"/>
    </row>
    <row r="2900" spans="2:14" x14ac:dyDescent="0.2">
      <c r="B2900">
        <v>2891</v>
      </c>
      <c r="C2900" s="52">
        <f ca="1"/>
        <v>-0.88185227011094514</v>
      </c>
      <c r="D2900" s="52">
        <f ca="1">S0*EXP((μ-0.5*σ*σ)*T+σ*SQRT(T)*$C2900)</f>
        <v>0.50455281462171009</v>
      </c>
      <c r="E2900" s="52">
        <f t="shared" ca="1" si="130"/>
        <v>2.9847185378289898E-2</v>
      </c>
      <c r="F2900" s="17">
        <f t="shared" ca="1" si="131"/>
        <v>1</v>
      </c>
      <c r="H2900" s="17">
        <v>2891</v>
      </c>
      <c r="I2900" s="45">
        <v>0.6712683802076479</v>
      </c>
      <c r="J2900" s="45">
        <v>1.9257415993158333E-2</v>
      </c>
      <c r="K2900" s="45">
        <v>0.25180000000000002</v>
      </c>
      <c r="N2900" s="54"/>
    </row>
    <row r="2901" spans="2:14" x14ac:dyDescent="0.2">
      <c r="B2901">
        <v>2892</v>
      </c>
      <c r="C2901" s="52">
        <f ca="1"/>
        <v>-0.80269531300061148</v>
      </c>
      <c r="D2901" s="52">
        <f ca="1">S0*EXP((μ-0.5*σ*σ)*T+σ*SQRT(T)*$C2901)</f>
        <v>0.51571489202872722</v>
      </c>
      <c r="E2901" s="52">
        <f t="shared" ca="1" si="130"/>
        <v>1.8685107971272763E-2</v>
      </c>
      <c r="F2901" s="17">
        <f t="shared" ca="1" si="131"/>
        <v>1</v>
      </c>
      <c r="H2901" s="17">
        <v>2892</v>
      </c>
      <c r="I2901" s="45">
        <v>0.6714864562866395</v>
      </c>
      <c r="J2901" s="45">
        <v>1.9175110087760471E-2</v>
      </c>
      <c r="K2901" s="45">
        <v>0.25240000000000001</v>
      </c>
      <c r="N2901" s="54"/>
    </row>
    <row r="2902" spans="2:14" x14ac:dyDescent="0.2">
      <c r="B2902">
        <v>2893</v>
      </c>
      <c r="C2902" s="52">
        <f ca="1"/>
        <v>2.2754091463693156</v>
      </c>
      <c r="D2902" s="52">
        <f ca="1">S0*EXP((μ-0.5*σ*σ)*T+σ*SQRT(T)*$C2902)</f>
        <v>1.2076628343978961</v>
      </c>
      <c r="E2902" s="52">
        <f t="shared" ca="1" si="130"/>
        <v>0</v>
      </c>
      <c r="F2902" s="17">
        <f t="shared" ca="1" si="131"/>
        <v>0</v>
      </c>
      <c r="H2902" s="17">
        <v>2893</v>
      </c>
      <c r="I2902" s="45">
        <v>0.67009487992967376</v>
      </c>
      <c r="J2902" s="45">
        <v>1.8446597500148404E-2</v>
      </c>
      <c r="K2902" s="45">
        <v>0.246</v>
      </c>
      <c r="N2902" s="54"/>
    </row>
    <row r="2903" spans="2:14" x14ac:dyDescent="0.2">
      <c r="B2903">
        <v>2894</v>
      </c>
      <c r="C2903" s="52">
        <f ca="1"/>
        <v>-2.9890404088213516</v>
      </c>
      <c r="D2903" s="52">
        <f ca="1">S0*EXP((μ-0.5*σ*σ)*T+σ*SQRT(T)*$C2903)</f>
        <v>0.28179425397522501</v>
      </c>
      <c r="E2903" s="52">
        <f t="shared" ca="1" si="130"/>
        <v>0.25260574602477498</v>
      </c>
      <c r="F2903" s="17">
        <f t="shared" ca="1" si="131"/>
        <v>1</v>
      </c>
      <c r="H2903" s="17">
        <v>2894</v>
      </c>
      <c r="I2903" s="45">
        <v>0.67087374614479367</v>
      </c>
      <c r="J2903" s="45">
        <v>1.8977504751599521E-2</v>
      </c>
      <c r="K2903" s="45">
        <v>0.24260000000000001</v>
      </c>
      <c r="N2903" s="54"/>
    </row>
    <row r="2904" spans="2:14" x14ac:dyDescent="0.2">
      <c r="B2904">
        <v>2895</v>
      </c>
      <c r="C2904" s="52">
        <f ca="1"/>
        <v>-0.88861078935062177</v>
      </c>
      <c r="D2904" s="52">
        <f ca="1">S0*EXP((μ-0.5*σ*σ)*T+σ*SQRT(T)*$C2904)</f>
        <v>0.50361105149556984</v>
      </c>
      <c r="E2904" s="52">
        <f t="shared" ca="1" si="130"/>
        <v>3.0788948504430147E-2</v>
      </c>
      <c r="F2904" s="17">
        <f t="shared" ca="1" si="131"/>
        <v>1</v>
      </c>
      <c r="H2904" s="17">
        <v>2895</v>
      </c>
      <c r="I2904" s="45">
        <v>0.670662166755851</v>
      </c>
      <c r="J2904" s="45">
        <v>1.8979516323573611E-2</v>
      </c>
      <c r="K2904" s="45">
        <v>0.24679999999999999</v>
      </c>
      <c r="N2904" s="54"/>
    </row>
    <row r="2905" spans="2:14" x14ac:dyDescent="0.2">
      <c r="B2905">
        <v>2896</v>
      </c>
      <c r="C2905" s="52">
        <f ca="1"/>
        <v>-1.0266250405570598</v>
      </c>
      <c r="D2905" s="52">
        <f ca="1">S0*EXP((μ-0.5*σ*σ)*T+σ*SQRT(T)*$C2905)</f>
        <v>0.48475936861271074</v>
      </c>
      <c r="E2905" s="52">
        <f t="shared" ca="1" si="130"/>
        <v>4.9640631387289247E-2</v>
      </c>
      <c r="F2905" s="17">
        <f t="shared" ca="1" si="131"/>
        <v>1</v>
      </c>
      <c r="H2905" s="17">
        <v>2896</v>
      </c>
      <c r="I2905" s="45">
        <v>0.67096874286386976</v>
      </c>
      <c r="J2905" s="45">
        <v>1.8870654819551767E-2</v>
      </c>
      <c r="K2905" s="45">
        <v>0.24979999999999999</v>
      </c>
      <c r="N2905" s="54"/>
    </row>
    <row r="2906" spans="2:14" x14ac:dyDescent="0.2">
      <c r="B2906">
        <v>2897</v>
      </c>
      <c r="C2906" s="52">
        <f ca="1"/>
        <v>-0.59080301500462473</v>
      </c>
      <c r="D2906" s="52">
        <f ca="1">S0*EXP((μ-0.5*σ*σ)*T+σ*SQRT(T)*$C2906)</f>
        <v>0.54682454832833671</v>
      </c>
      <c r="E2906" s="52">
        <f t="shared" ca="1" si="130"/>
        <v>0</v>
      </c>
      <c r="F2906" s="17">
        <f t="shared" ca="1" si="131"/>
        <v>0</v>
      </c>
      <c r="H2906" s="17">
        <v>2897</v>
      </c>
      <c r="I2906" s="45">
        <v>0.67032790698758871</v>
      </c>
      <c r="J2906" s="45">
        <v>1.8646923394042E-2</v>
      </c>
      <c r="K2906" s="45">
        <v>0.25080000000000002</v>
      </c>
      <c r="N2906" s="54"/>
    </row>
    <row r="2907" spans="2:14" x14ac:dyDescent="0.2">
      <c r="B2907">
        <v>2898</v>
      </c>
      <c r="C2907" s="52">
        <f ca="1"/>
        <v>0.92647807044565855</v>
      </c>
      <c r="D2907" s="52">
        <f ca="1">S0*EXP((μ-0.5*σ*σ)*T+σ*SQRT(T)*$C2907)</f>
        <v>0.83176822122603422</v>
      </c>
      <c r="E2907" s="52">
        <f t="shared" ca="1" si="130"/>
        <v>0</v>
      </c>
      <c r="F2907" s="17">
        <f t="shared" ca="1" si="131"/>
        <v>0</v>
      </c>
      <c r="H2907" s="17">
        <v>2898</v>
      </c>
      <c r="I2907" s="45">
        <v>0.67095788240142518</v>
      </c>
      <c r="J2907" s="45">
        <v>1.8874928809786959E-2</v>
      </c>
      <c r="K2907" s="45">
        <v>0.25019999999999998</v>
      </c>
      <c r="N2907" s="54"/>
    </row>
    <row r="2908" spans="2:14" x14ac:dyDescent="0.2">
      <c r="B2908">
        <v>2899</v>
      </c>
      <c r="C2908" s="52">
        <f ca="1"/>
        <v>0.42393115321120461</v>
      </c>
      <c r="D2908" s="52">
        <f ca="1">S0*EXP((μ-0.5*σ*σ)*T+σ*SQRT(T)*$C2908)</f>
        <v>0.72388570544808462</v>
      </c>
      <c r="E2908" s="52">
        <f t="shared" ca="1" si="130"/>
        <v>0</v>
      </c>
      <c r="F2908" s="17">
        <f t="shared" ca="1" si="131"/>
        <v>0</v>
      </c>
      <c r="H2908" s="17">
        <v>2899</v>
      </c>
      <c r="I2908" s="45">
        <v>0.6707102055162304</v>
      </c>
      <c r="J2908" s="45">
        <v>1.8791981435839246E-2</v>
      </c>
      <c r="K2908" s="45">
        <v>0.24279999999999999</v>
      </c>
      <c r="N2908" s="54"/>
    </row>
    <row r="2909" spans="2:14" x14ac:dyDescent="0.2">
      <c r="B2909">
        <v>2900</v>
      </c>
      <c r="C2909" s="52">
        <f ca="1"/>
        <v>0.65071286781019044</v>
      </c>
      <c r="D2909" s="52">
        <f ca="1">S0*EXP((μ-0.5*σ*σ)*T+σ*SQRT(T)*$C2909)</f>
        <v>0.77071862111241285</v>
      </c>
      <c r="E2909" s="52">
        <f t="shared" ca="1" si="130"/>
        <v>0</v>
      </c>
      <c r="F2909" s="17">
        <f t="shared" ca="1" si="131"/>
        <v>0</v>
      </c>
      <c r="H2909" s="17">
        <v>2900</v>
      </c>
      <c r="I2909" s="45">
        <v>0.67095203361437139</v>
      </c>
      <c r="J2909" s="45">
        <v>1.8993903078254954E-2</v>
      </c>
      <c r="K2909" s="45">
        <v>0.24979999999999999</v>
      </c>
      <c r="N2909" s="54"/>
    </row>
    <row r="2910" spans="2:14" x14ac:dyDescent="0.2">
      <c r="B2910">
        <v>2901</v>
      </c>
      <c r="C2910" s="52">
        <f ca="1"/>
        <v>0.40775872436660959</v>
      </c>
      <c r="D2910" s="52">
        <f ca="1">S0*EXP((μ-0.5*σ*σ)*T+σ*SQRT(T)*$C2910)</f>
        <v>0.72065673583495604</v>
      </c>
      <c r="E2910" s="52">
        <f t="shared" ca="1" si="130"/>
        <v>0</v>
      </c>
      <c r="F2910" s="17">
        <f t="shared" ca="1" si="131"/>
        <v>0</v>
      </c>
      <c r="H2910" s="17">
        <v>2901</v>
      </c>
      <c r="I2910" s="45">
        <v>0.6708199013827657</v>
      </c>
      <c r="J2910" s="45">
        <v>1.8871495686130408E-2</v>
      </c>
      <c r="K2910" s="45">
        <v>0.25040000000000001</v>
      </c>
      <c r="N2910" s="54"/>
    </row>
    <row r="2911" spans="2:14" x14ac:dyDescent="0.2">
      <c r="B2911">
        <v>2902</v>
      </c>
      <c r="C2911" s="52">
        <f ca="1"/>
        <v>-0.86733856557043465</v>
      </c>
      <c r="D2911" s="52">
        <f ca="1">S0*EXP((μ-0.5*σ*σ)*T+σ*SQRT(T)*$C2911)</f>
        <v>0.50658117693051807</v>
      </c>
      <c r="E2911" s="52">
        <f t="shared" ca="1" si="130"/>
        <v>2.7818823069481913E-2</v>
      </c>
      <c r="F2911" s="17">
        <f t="shared" ca="1" si="131"/>
        <v>1</v>
      </c>
      <c r="H2911" s="17">
        <v>2902</v>
      </c>
      <c r="I2911" s="45">
        <v>0.67152120757755196</v>
      </c>
      <c r="J2911" s="45">
        <v>1.9201923602410957E-2</v>
      </c>
      <c r="K2911" s="45">
        <v>0.24560000000000001</v>
      </c>
      <c r="N2911" s="54"/>
    </row>
    <row r="2912" spans="2:14" x14ac:dyDescent="0.2">
      <c r="B2912">
        <v>2903</v>
      </c>
      <c r="C2912" s="52">
        <f ca="1"/>
        <v>-1.8047365222879324</v>
      </c>
      <c r="D2912" s="52">
        <f ca="1">S0*EXP((μ-0.5*σ*σ)*T+σ*SQRT(T)*$C2912)</f>
        <v>0.39094125601774304</v>
      </c>
      <c r="E2912" s="52">
        <f t="shared" ca="1" si="130"/>
        <v>0.14345874398225694</v>
      </c>
      <c r="F2912" s="17">
        <f t="shared" ca="1" si="131"/>
        <v>1</v>
      </c>
      <c r="H2912" s="17">
        <v>2903</v>
      </c>
      <c r="I2912" s="45">
        <v>0.6718483685824741</v>
      </c>
      <c r="J2912" s="45">
        <v>1.9787771584799309E-2</v>
      </c>
      <c r="K2912" s="45">
        <v>0.24560000000000001</v>
      </c>
      <c r="N2912" s="54"/>
    </row>
    <row r="2913" spans="2:14" x14ac:dyDescent="0.2">
      <c r="B2913">
        <v>2904</v>
      </c>
      <c r="C2913" s="52">
        <f ca="1"/>
        <v>-1.3939602811947867</v>
      </c>
      <c r="D2913" s="52">
        <f ca="1">S0*EXP((μ-0.5*σ*σ)*T+σ*SQRT(T)*$C2913)</f>
        <v>0.43795195691055178</v>
      </c>
      <c r="E2913" s="52">
        <f t="shared" ca="1" si="130"/>
        <v>9.644804308944821E-2</v>
      </c>
      <c r="F2913" s="17">
        <f t="shared" ca="1" si="131"/>
        <v>1</v>
      </c>
      <c r="H2913" s="17">
        <v>2904</v>
      </c>
      <c r="I2913" s="45">
        <v>0.67164205110209318</v>
      </c>
      <c r="J2913" s="45">
        <v>1.9547465998806603E-2</v>
      </c>
      <c r="K2913" s="45">
        <v>0.248</v>
      </c>
      <c r="N2913" s="54"/>
    </row>
    <row r="2914" spans="2:14" x14ac:dyDescent="0.2">
      <c r="B2914">
        <v>2905</v>
      </c>
      <c r="C2914" s="52">
        <f ca="1"/>
        <v>-0.20788232035330639</v>
      </c>
      <c r="D2914" s="52">
        <f ca="1">S0*EXP((μ-0.5*σ*σ)*T+σ*SQRT(T)*$C2914)</f>
        <v>0.60788135813227062</v>
      </c>
      <c r="E2914" s="52">
        <f t="shared" ca="1" si="130"/>
        <v>0</v>
      </c>
      <c r="F2914" s="17">
        <f t="shared" ca="1" si="131"/>
        <v>0</v>
      </c>
      <c r="H2914" s="17">
        <v>2905</v>
      </c>
      <c r="I2914" s="45">
        <v>0.67103372734685685</v>
      </c>
      <c r="J2914" s="45">
        <v>1.9432479937371613E-2</v>
      </c>
      <c r="K2914" s="45">
        <v>0.25340000000000001</v>
      </c>
      <c r="N2914" s="54"/>
    </row>
    <row r="2915" spans="2:14" x14ac:dyDescent="0.2">
      <c r="B2915">
        <v>2906</v>
      </c>
      <c r="C2915" s="52">
        <f ca="1"/>
        <v>0.91239508789522594</v>
      </c>
      <c r="D2915" s="52">
        <f ca="1">S0*EXP((μ-0.5*σ*σ)*T+σ*SQRT(T)*$C2915)</f>
        <v>0.82853644703840046</v>
      </c>
      <c r="E2915" s="52">
        <f t="shared" ca="1" si="130"/>
        <v>0</v>
      </c>
      <c r="F2915" s="17">
        <f t="shared" ca="1" si="131"/>
        <v>0</v>
      </c>
      <c r="H2915" s="17">
        <v>2906</v>
      </c>
      <c r="I2915" s="45">
        <v>0.6712249433039964</v>
      </c>
      <c r="J2915" s="45">
        <v>1.8977935884357668E-2</v>
      </c>
      <c r="K2915" s="45">
        <v>0.24779999999999999</v>
      </c>
      <c r="N2915" s="54"/>
    </row>
    <row r="2916" spans="2:14" x14ac:dyDescent="0.2">
      <c r="B2916">
        <v>2907</v>
      </c>
      <c r="C2916" s="52">
        <f ca="1"/>
        <v>6.7449782346969472E-3</v>
      </c>
      <c r="D2916" s="52">
        <f ca="1">S0*EXP((μ-0.5*σ*σ)*T+σ*SQRT(T)*$C2916)</f>
        <v>0.64503829800289558</v>
      </c>
      <c r="E2916" s="52">
        <f t="shared" ca="1" si="130"/>
        <v>0</v>
      </c>
      <c r="F2916" s="17">
        <f t="shared" ca="1" si="131"/>
        <v>0</v>
      </c>
      <c r="H2916" s="17">
        <v>2907</v>
      </c>
      <c r="I2916" s="45">
        <v>0.67026820666895348</v>
      </c>
      <c r="J2916" s="45">
        <v>1.8528676438009137E-2</v>
      </c>
      <c r="K2916" s="45">
        <v>0.24379999999999999</v>
      </c>
      <c r="N2916" s="54"/>
    </row>
    <row r="2917" spans="2:14" x14ac:dyDescent="0.2">
      <c r="B2917">
        <v>2908</v>
      </c>
      <c r="C2917" s="52">
        <f ca="1"/>
        <v>0.19715243815518976</v>
      </c>
      <c r="D2917" s="52">
        <f ca="1">S0*EXP((μ-0.5*σ*σ)*T+σ*SQRT(T)*$C2917)</f>
        <v>0.67989916772784142</v>
      </c>
      <c r="E2917" s="52">
        <f t="shared" ca="1" si="130"/>
        <v>0</v>
      </c>
      <c r="F2917" s="17">
        <f t="shared" ca="1" si="131"/>
        <v>0</v>
      </c>
      <c r="H2917" s="17">
        <v>2908</v>
      </c>
      <c r="I2917" s="45">
        <v>0.66951434629388928</v>
      </c>
      <c r="J2917" s="45">
        <v>1.771730610901447E-2</v>
      </c>
      <c r="K2917" s="45">
        <v>0.23899999999999999</v>
      </c>
      <c r="N2917" s="54"/>
    </row>
    <row r="2918" spans="2:14" x14ac:dyDescent="0.2">
      <c r="B2918">
        <v>2909</v>
      </c>
      <c r="C2918" s="52">
        <f ca="1"/>
        <v>1.5728732791245206</v>
      </c>
      <c r="D2918" s="52">
        <f ca="1">S0*EXP((μ-0.5*σ*σ)*T+σ*SQRT(T)*$C2918)</f>
        <v>0.99449838432401605</v>
      </c>
      <c r="E2918" s="52">
        <f t="shared" ca="1" si="130"/>
        <v>0</v>
      </c>
      <c r="F2918" s="17">
        <f t="shared" ca="1" si="131"/>
        <v>0</v>
      </c>
      <c r="H2918" s="17">
        <v>2909</v>
      </c>
      <c r="I2918" s="45">
        <v>0.67201898897829837</v>
      </c>
      <c r="J2918" s="45">
        <v>1.9694207694729064E-2</v>
      </c>
      <c r="K2918" s="45">
        <v>0.24859999999999999</v>
      </c>
      <c r="N2918" s="54"/>
    </row>
    <row r="2919" spans="2:14" x14ac:dyDescent="0.2">
      <c r="B2919">
        <v>2910</v>
      </c>
      <c r="C2919" s="52">
        <f ca="1"/>
        <v>-5.5407733966010814E-2</v>
      </c>
      <c r="D2919" s="52">
        <f ca="1">S0*EXP((μ-0.5*σ*σ)*T+σ*SQRT(T)*$C2919)</f>
        <v>0.6340505362018769</v>
      </c>
      <c r="E2919" s="52">
        <f t="shared" ca="1" si="130"/>
        <v>0</v>
      </c>
      <c r="F2919" s="17">
        <f t="shared" ca="1" si="131"/>
        <v>0</v>
      </c>
      <c r="H2919" s="17">
        <v>2910</v>
      </c>
      <c r="I2919" s="45">
        <v>0.67084975282146886</v>
      </c>
      <c r="J2919" s="45">
        <v>1.9104406878633906E-2</v>
      </c>
      <c r="K2919" s="45">
        <v>0.2412</v>
      </c>
      <c r="N2919" s="54"/>
    </row>
    <row r="2920" spans="2:14" x14ac:dyDescent="0.2">
      <c r="B2920">
        <v>2911</v>
      </c>
      <c r="C2920" s="52">
        <f ca="1"/>
        <v>1.0798999236284859</v>
      </c>
      <c r="D2920" s="52">
        <f ca="1">S0*EXP((μ-0.5*σ*σ)*T+σ*SQRT(T)*$C2920)</f>
        <v>0.86780289569198743</v>
      </c>
      <c r="E2920" s="52">
        <f t="shared" ca="1" si="130"/>
        <v>0</v>
      </c>
      <c r="F2920" s="17">
        <f t="shared" ca="1" si="131"/>
        <v>0</v>
      </c>
      <c r="H2920" s="17">
        <v>2911</v>
      </c>
      <c r="I2920" s="45">
        <v>0.67104961306032096</v>
      </c>
      <c r="J2920" s="45">
        <v>1.8915531914452135E-2</v>
      </c>
      <c r="K2920" s="45">
        <v>0.24679999999999999</v>
      </c>
      <c r="N2920" s="54"/>
    </row>
    <row r="2921" spans="2:14" x14ac:dyDescent="0.2">
      <c r="B2921">
        <v>2912</v>
      </c>
      <c r="C2921" s="52">
        <f ca="1"/>
        <v>0.68142001222494786</v>
      </c>
      <c r="D2921" s="52">
        <f ca="1">S0*EXP((μ-0.5*σ*σ)*T+σ*SQRT(T)*$C2921)</f>
        <v>0.77728867532803214</v>
      </c>
      <c r="E2921" s="52">
        <f t="shared" ca="1" si="130"/>
        <v>0</v>
      </c>
      <c r="F2921" s="17">
        <f t="shared" ca="1" si="131"/>
        <v>0</v>
      </c>
      <c r="H2921" s="17">
        <v>2912</v>
      </c>
      <c r="I2921" s="45">
        <v>0.67063722609467458</v>
      </c>
      <c r="J2921" s="45">
        <v>1.8706185128410463E-2</v>
      </c>
      <c r="K2921" s="45">
        <v>0.249</v>
      </c>
      <c r="N2921" s="54"/>
    </row>
    <row r="2922" spans="2:14" x14ac:dyDescent="0.2">
      <c r="B2922">
        <v>2913</v>
      </c>
      <c r="C2922" s="52">
        <f ca="1"/>
        <v>-1.3805272603398717</v>
      </c>
      <c r="D2922" s="52">
        <f ca="1">S0*EXP((μ-0.5*σ*σ)*T+σ*SQRT(T)*$C2922)</f>
        <v>0.4395812374478052</v>
      </c>
      <c r="E2922" s="52">
        <f t="shared" ca="1" si="130"/>
        <v>9.4818762552194791E-2</v>
      </c>
      <c r="F2922" s="17">
        <f t="shared" ca="1" si="131"/>
        <v>1</v>
      </c>
      <c r="H2922" s="17">
        <v>2913</v>
      </c>
      <c r="I2922" s="45">
        <v>0.67082104906112983</v>
      </c>
      <c r="J2922" s="45">
        <v>1.8934307157930538E-2</v>
      </c>
      <c r="K2922" s="45">
        <v>0.25180000000000002</v>
      </c>
      <c r="N2922" s="54"/>
    </row>
    <row r="2923" spans="2:14" x14ac:dyDescent="0.2">
      <c r="B2923">
        <v>2914</v>
      </c>
      <c r="C2923" s="52">
        <f ca="1"/>
        <v>-0.92668933608791826</v>
      </c>
      <c r="D2923" s="52">
        <f ca="1">S0*EXP((μ-0.5*σ*σ)*T+σ*SQRT(T)*$C2923)</f>
        <v>0.49833776921435802</v>
      </c>
      <c r="E2923" s="52">
        <f t="shared" ca="1" si="130"/>
        <v>3.6062230785641969E-2</v>
      </c>
      <c r="F2923" s="17">
        <f t="shared" ca="1" si="131"/>
        <v>1</v>
      </c>
      <c r="H2923" s="17">
        <v>2914</v>
      </c>
      <c r="I2923" s="45">
        <v>0.67069369148487257</v>
      </c>
      <c r="J2923" s="45">
        <v>1.8912359217669109E-2</v>
      </c>
      <c r="K2923" s="45">
        <v>0.24379999999999999</v>
      </c>
      <c r="N2923" s="54"/>
    </row>
    <row r="2924" spans="2:14" x14ac:dyDescent="0.2">
      <c r="B2924">
        <v>2915</v>
      </c>
      <c r="C2924" s="52">
        <f ca="1"/>
        <v>0.84903913547309273</v>
      </c>
      <c r="D2924" s="52">
        <f ca="1">S0*EXP((μ-0.5*σ*σ)*T+σ*SQRT(T)*$C2924)</f>
        <v>0.81415208271592798</v>
      </c>
      <c r="E2924" s="52">
        <f t="shared" ca="1" si="130"/>
        <v>0</v>
      </c>
      <c r="F2924" s="17">
        <f t="shared" ca="1" si="131"/>
        <v>0</v>
      </c>
      <c r="H2924" s="17">
        <v>2915</v>
      </c>
      <c r="I2924" s="45">
        <v>0.6712370463711419</v>
      </c>
      <c r="J2924" s="45">
        <v>1.9250950085372667E-2</v>
      </c>
      <c r="K2924" s="45">
        <v>0.249</v>
      </c>
      <c r="N2924" s="54"/>
    </row>
    <row r="2925" spans="2:14" x14ac:dyDescent="0.2">
      <c r="B2925">
        <v>2916</v>
      </c>
      <c r="C2925" s="52">
        <f ca="1"/>
        <v>-0.57737486107993707</v>
      </c>
      <c r="D2925" s="52">
        <f ca="1">S0*EXP((μ-0.5*σ*σ)*T+σ*SQRT(T)*$C2925)</f>
        <v>0.54885812115857413</v>
      </c>
      <c r="E2925" s="52">
        <f t="shared" ca="1" si="130"/>
        <v>0</v>
      </c>
      <c r="F2925" s="17">
        <f t="shared" ca="1" si="131"/>
        <v>0</v>
      </c>
      <c r="H2925" s="17">
        <v>2916</v>
      </c>
      <c r="I2925" s="45">
        <v>0.67052793394791954</v>
      </c>
      <c r="J2925" s="45">
        <v>1.8798209746999816E-2</v>
      </c>
      <c r="K2925" s="45">
        <v>0.24740000000000001</v>
      </c>
      <c r="N2925" s="54"/>
    </row>
    <row r="2926" spans="2:14" x14ac:dyDescent="0.2">
      <c r="B2926">
        <v>2917</v>
      </c>
      <c r="C2926" s="52">
        <f ca="1"/>
        <v>0.50829103122954977</v>
      </c>
      <c r="D2926" s="52">
        <f ca="1">S0*EXP((μ-0.5*σ*σ)*T+σ*SQRT(T)*$C2926)</f>
        <v>0.74096495323430067</v>
      </c>
      <c r="E2926" s="52">
        <f t="shared" ca="1" si="130"/>
        <v>0</v>
      </c>
      <c r="F2926" s="17">
        <f t="shared" ca="1" si="131"/>
        <v>0</v>
      </c>
      <c r="H2926" s="17">
        <v>2917</v>
      </c>
      <c r="I2926" s="45">
        <v>0.67113272879172414</v>
      </c>
      <c r="J2926" s="45">
        <v>1.9073845205183453E-2</v>
      </c>
      <c r="K2926" s="45">
        <v>0.24840000000000001</v>
      </c>
      <c r="N2926" s="54"/>
    </row>
    <row r="2927" spans="2:14" x14ac:dyDescent="0.2">
      <c r="B2927">
        <v>2918</v>
      </c>
      <c r="C2927" s="52">
        <f ca="1"/>
        <v>-1.2866578296432767</v>
      </c>
      <c r="D2927" s="52">
        <f ca="1">S0*EXP((μ-0.5*σ*σ)*T+σ*SQRT(T)*$C2927)</f>
        <v>0.45113701827096764</v>
      </c>
      <c r="E2927" s="52">
        <f t="shared" ca="1" si="130"/>
        <v>8.3262981729032348E-2</v>
      </c>
      <c r="F2927" s="17">
        <f t="shared" ca="1" si="131"/>
        <v>1</v>
      </c>
      <c r="H2927" s="17">
        <v>2918</v>
      </c>
      <c r="I2927" s="45">
        <v>0.6707767777714112</v>
      </c>
      <c r="J2927" s="45">
        <v>1.8474971549858422E-2</v>
      </c>
      <c r="K2927" s="45">
        <v>0.23980000000000001</v>
      </c>
      <c r="N2927" s="54"/>
    </row>
    <row r="2928" spans="2:14" x14ac:dyDescent="0.2">
      <c r="B2928">
        <v>2919</v>
      </c>
      <c r="C2928" s="52">
        <f ca="1"/>
        <v>-0.85083754295476133</v>
      </c>
      <c r="D2928" s="52">
        <f ca="1">S0*EXP((μ-0.5*σ*σ)*T+σ*SQRT(T)*$C2928)</f>
        <v>0.50889718413550544</v>
      </c>
      <c r="E2928" s="52">
        <f t="shared" ca="1" si="130"/>
        <v>2.5502815864494544E-2</v>
      </c>
      <c r="F2928" s="17">
        <f t="shared" ca="1" si="131"/>
        <v>1</v>
      </c>
      <c r="H2928" s="17">
        <v>2919</v>
      </c>
      <c r="I2928" s="45">
        <v>0.67137549544100217</v>
      </c>
      <c r="J2928" s="45">
        <v>1.9333341835493654E-2</v>
      </c>
      <c r="K2928" s="45">
        <v>0.25440000000000002</v>
      </c>
      <c r="N2928" s="54"/>
    </row>
    <row r="2929" spans="2:14" x14ac:dyDescent="0.2">
      <c r="B2929">
        <v>2920</v>
      </c>
      <c r="C2929" s="52">
        <f ca="1"/>
        <v>1.1266386820263017</v>
      </c>
      <c r="D2929" s="52">
        <f ca="1">S0*EXP((μ-0.5*σ*σ)*T+σ*SQRT(T)*$C2929)</f>
        <v>0.87908775049462096</v>
      </c>
      <c r="E2929" s="52">
        <f t="shared" ca="1" si="130"/>
        <v>0</v>
      </c>
      <c r="F2929" s="17">
        <f t="shared" ca="1" si="131"/>
        <v>0</v>
      </c>
      <c r="H2929" s="17">
        <v>2920</v>
      </c>
      <c r="I2929" s="45">
        <v>0.67027613147145071</v>
      </c>
      <c r="J2929" s="45">
        <v>1.8272973500138442E-2</v>
      </c>
      <c r="K2929" s="45">
        <v>0.24399999999999999</v>
      </c>
      <c r="N2929" s="54"/>
    </row>
    <row r="2930" spans="2:14" x14ac:dyDescent="0.2">
      <c r="B2930">
        <v>2921</v>
      </c>
      <c r="C2930" s="52">
        <f ca="1"/>
        <v>1.8221929835233568</v>
      </c>
      <c r="D2930" s="52">
        <f ca="1">S0*EXP((μ-0.5*σ*σ)*T+σ*SQRT(T)*$C2930)</f>
        <v>1.0654564161565512</v>
      </c>
      <c r="E2930" s="52">
        <f t="shared" ca="1" si="130"/>
        <v>0</v>
      </c>
      <c r="F2930" s="17">
        <f t="shared" ca="1" si="131"/>
        <v>0</v>
      </c>
      <c r="H2930" s="17">
        <v>2921</v>
      </c>
      <c r="I2930" s="45">
        <v>0.67060998754500445</v>
      </c>
      <c r="J2930" s="45">
        <v>1.8671408986259533E-2</v>
      </c>
      <c r="K2930" s="45">
        <v>0.2462</v>
      </c>
      <c r="N2930" s="54"/>
    </row>
    <row r="2931" spans="2:14" x14ac:dyDescent="0.2">
      <c r="B2931">
        <v>2922</v>
      </c>
      <c r="C2931" s="52">
        <f ca="1"/>
        <v>0.85976735966596307</v>
      </c>
      <c r="D2931" s="52">
        <f ca="1">S0*EXP((μ-0.5*σ*σ)*T+σ*SQRT(T)*$C2931)</f>
        <v>0.81657014029536501</v>
      </c>
      <c r="E2931" s="52">
        <f t="shared" ca="1" si="130"/>
        <v>0</v>
      </c>
      <c r="F2931" s="17">
        <f t="shared" ca="1" si="131"/>
        <v>0</v>
      </c>
      <c r="H2931" s="17">
        <v>2922</v>
      </c>
      <c r="I2931" s="45">
        <v>0.67093398154318806</v>
      </c>
      <c r="J2931" s="45">
        <v>1.8795226244810736E-2</v>
      </c>
      <c r="K2931" s="45">
        <v>0.24979999999999999</v>
      </c>
      <c r="N2931" s="54"/>
    </row>
    <row r="2932" spans="2:14" x14ac:dyDescent="0.2">
      <c r="B2932">
        <v>2923</v>
      </c>
      <c r="C2932" s="52">
        <f ca="1"/>
        <v>0.36096251698104437</v>
      </c>
      <c r="D2932" s="52">
        <f ca="1">S0*EXP((μ-0.5*σ*σ)*T+σ*SQRT(T)*$C2932)</f>
        <v>0.7113943633530273</v>
      </c>
      <c r="E2932" s="52">
        <f t="shared" ca="1" si="130"/>
        <v>0</v>
      </c>
      <c r="F2932" s="17">
        <f t="shared" ca="1" si="131"/>
        <v>0</v>
      </c>
      <c r="H2932" s="17">
        <v>2923</v>
      </c>
      <c r="I2932" s="45">
        <v>0.67085477401893445</v>
      </c>
      <c r="J2932" s="45">
        <v>1.8746593604394193E-2</v>
      </c>
      <c r="K2932" s="45">
        <v>0.24340000000000001</v>
      </c>
      <c r="N2932" s="54"/>
    </row>
    <row r="2933" spans="2:14" x14ac:dyDescent="0.2">
      <c r="B2933">
        <v>2924</v>
      </c>
      <c r="C2933" s="52">
        <f ca="1"/>
        <v>0.58346674835356471</v>
      </c>
      <c r="D2933" s="52">
        <f ca="1">S0*EXP((μ-0.5*σ*σ)*T+σ*SQRT(T)*$C2933)</f>
        <v>0.75652406220465707</v>
      </c>
      <c r="E2933" s="52">
        <f t="shared" ca="1" si="130"/>
        <v>0</v>
      </c>
      <c r="F2933" s="17">
        <f t="shared" ca="1" si="131"/>
        <v>0</v>
      </c>
      <c r="H2933" s="17">
        <v>2924</v>
      </c>
      <c r="I2933" s="45">
        <v>0.67096335957219155</v>
      </c>
      <c r="J2933" s="45">
        <v>1.8975486994524331E-2</v>
      </c>
      <c r="K2933" s="45">
        <v>0.24940000000000001</v>
      </c>
      <c r="N2933" s="54"/>
    </row>
    <row r="2934" spans="2:14" x14ac:dyDescent="0.2">
      <c r="B2934">
        <v>2925</v>
      </c>
      <c r="C2934" s="52">
        <f ca="1"/>
        <v>-1.5315085593953353</v>
      </c>
      <c r="D2934" s="52">
        <f ca="1">S0*EXP((μ-0.5*σ*σ)*T+σ*SQRT(T)*$C2934)</f>
        <v>0.42161239670298889</v>
      </c>
      <c r="E2934" s="52">
        <f t="shared" ca="1" si="130"/>
        <v>0.1127876032970111</v>
      </c>
      <c r="F2934" s="17">
        <f t="shared" ca="1" si="131"/>
        <v>1</v>
      </c>
      <c r="H2934" s="17">
        <v>2925</v>
      </c>
      <c r="I2934" s="45">
        <v>0.67166910490317822</v>
      </c>
      <c r="J2934" s="45">
        <v>1.9322321712246751E-2</v>
      </c>
      <c r="K2934" s="45">
        <v>0.24740000000000001</v>
      </c>
      <c r="N2934" s="54"/>
    </row>
    <row r="2935" spans="2:14" x14ac:dyDescent="0.2">
      <c r="B2935">
        <v>2926</v>
      </c>
      <c r="C2935" s="52">
        <f ca="1"/>
        <v>0.8418662023441259</v>
      </c>
      <c r="D2935" s="52">
        <f ca="1">S0*EXP((μ-0.5*σ*σ)*T+σ*SQRT(T)*$C2935)</f>
        <v>0.81253935538209665</v>
      </c>
      <c r="E2935" s="52">
        <f t="shared" ca="1" si="130"/>
        <v>0</v>
      </c>
      <c r="F2935" s="17">
        <f t="shared" ca="1" si="131"/>
        <v>0</v>
      </c>
      <c r="H2935" s="17">
        <v>2926</v>
      </c>
      <c r="I2935" s="45">
        <v>0.67144052514344899</v>
      </c>
      <c r="J2935" s="45">
        <v>1.9677417799193096E-2</v>
      </c>
      <c r="K2935" s="45">
        <v>0.25059999999999999</v>
      </c>
      <c r="N2935" s="54"/>
    </row>
    <row r="2936" spans="2:14" x14ac:dyDescent="0.2">
      <c r="B2936">
        <v>2927</v>
      </c>
      <c r="C2936" s="52">
        <f ca="1"/>
        <v>0.87728703522804363</v>
      </c>
      <c r="D2936" s="52">
        <f ca="1">S0*EXP((μ-0.5*σ*σ)*T+σ*SQRT(T)*$C2936)</f>
        <v>0.82053438766290576</v>
      </c>
      <c r="E2936" s="52">
        <f t="shared" ca="1" si="130"/>
        <v>0</v>
      </c>
      <c r="F2936" s="17">
        <f t="shared" ca="1" si="131"/>
        <v>0</v>
      </c>
      <c r="H2936" s="17">
        <v>2927</v>
      </c>
      <c r="I2936" s="45">
        <v>0.67078229167595582</v>
      </c>
      <c r="J2936" s="45">
        <v>1.9196845268307113E-2</v>
      </c>
      <c r="K2936" s="45">
        <v>0.24840000000000001</v>
      </c>
      <c r="N2936" s="54"/>
    </row>
    <row r="2937" spans="2:14" x14ac:dyDescent="0.2">
      <c r="B2937">
        <v>2928</v>
      </c>
      <c r="C2937" s="52">
        <f ca="1"/>
        <v>-0.22182056986264326</v>
      </c>
      <c r="D2937" s="52">
        <f ca="1">S0*EXP((μ-0.5*σ*σ)*T+σ*SQRT(T)*$C2937)</f>
        <v>0.60554370653233935</v>
      </c>
      <c r="E2937" s="52">
        <f t="shared" ca="1" si="130"/>
        <v>0</v>
      </c>
      <c r="F2937" s="17">
        <f t="shared" ca="1" si="131"/>
        <v>0</v>
      </c>
      <c r="H2937" s="17">
        <v>2928</v>
      </c>
      <c r="I2937" s="45">
        <v>0.67119471623468763</v>
      </c>
      <c r="J2937" s="45">
        <v>1.9371059806835952E-2</v>
      </c>
      <c r="K2937" s="45">
        <v>0.25240000000000001</v>
      </c>
      <c r="N2937" s="54"/>
    </row>
    <row r="2938" spans="2:14" x14ac:dyDescent="0.2">
      <c r="B2938">
        <v>2929</v>
      </c>
      <c r="C2938" s="52">
        <f ca="1"/>
        <v>-0.7985418752220268</v>
      </c>
      <c r="D2938" s="52">
        <f ca="1">S0*EXP((μ-0.5*σ*σ)*T+σ*SQRT(T)*$C2938)</f>
        <v>0.51630734767610076</v>
      </c>
      <c r="E2938" s="52">
        <f t="shared" ca="1" si="130"/>
        <v>1.8092652323899228E-2</v>
      </c>
      <c r="F2938" s="17">
        <f t="shared" ca="1" si="131"/>
        <v>1</v>
      </c>
      <c r="H2938" s="17">
        <v>2929</v>
      </c>
      <c r="I2938" s="45">
        <v>0.67110380804053482</v>
      </c>
      <c r="J2938" s="45">
        <v>1.9024753479372634E-2</v>
      </c>
      <c r="K2938" s="45">
        <v>0.25159999999999999</v>
      </c>
      <c r="N2938" s="54"/>
    </row>
    <row r="2939" spans="2:14" x14ac:dyDescent="0.2">
      <c r="B2939">
        <v>2930</v>
      </c>
      <c r="C2939" s="52">
        <f ca="1"/>
        <v>1.3480209844617446</v>
      </c>
      <c r="D2939" s="52">
        <f ca="1">S0*EXP((μ-0.5*σ*σ)*T+σ*SQRT(T)*$C2939)</f>
        <v>0.93456575552539267</v>
      </c>
      <c r="E2939" s="52">
        <f t="shared" ca="1" si="130"/>
        <v>0</v>
      </c>
      <c r="F2939" s="17">
        <f t="shared" ca="1" si="131"/>
        <v>0</v>
      </c>
      <c r="H2939" s="17">
        <v>2930</v>
      </c>
      <c r="I2939" s="45">
        <v>0.6710316912650911</v>
      </c>
      <c r="J2939" s="45">
        <v>1.9042911880027887E-2</v>
      </c>
      <c r="K2939" s="45">
        <v>0.2472</v>
      </c>
      <c r="N2939" s="54"/>
    </row>
    <row r="2940" spans="2:14" x14ac:dyDescent="0.2">
      <c r="B2940">
        <v>2931</v>
      </c>
      <c r="C2940" s="52">
        <f ca="1"/>
        <v>-1.3212869190718757</v>
      </c>
      <c r="D2940" s="52">
        <f ca="1">S0*EXP((μ-0.5*σ*σ)*T+σ*SQRT(T)*$C2940)</f>
        <v>0.44683906537204804</v>
      </c>
      <c r="E2940" s="52">
        <f t="shared" ca="1" si="130"/>
        <v>8.7560934627951947E-2</v>
      </c>
      <c r="F2940" s="17">
        <f t="shared" ca="1" si="131"/>
        <v>1</v>
      </c>
      <c r="H2940" s="17">
        <v>2931</v>
      </c>
      <c r="I2940" s="45">
        <v>0.67112481023153137</v>
      </c>
      <c r="J2940" s="45">
        <v>1.903471257324589E-2</v>
      </c>
      <c r="K2940" s="45">
        <v>0.248</v>
      </c>
      <c r="N2940" s="54"/>
    </row>
    <row r="2941" spans="2:14" x14ac:dyDescent="0.2">
      <c r="B2941">
        <v>2932</v>
      </c>
      <c r="C2941" s="52">
        <f ca="1"/>
        <v>-0.41369530518456005</v>
      </c>
      <c r="D2941" s="52">
        <f ca="1">S0*EXP((μ-0.5*σ*σ)*T+σ*SQRT(T)*$C2941)</f>
        <v>0.57426233852510633</v>
      </c>
      <c r="E2941" s="52">
        <f t="shared" ca="1" si="130"/>
        <v>0</v>
      </c>
      <c r="F2941" s="17">
        <f t="shared" ca="1" si="131"/>
        <v>0</v>
      </c>
      <c r="H2941" s="17">
        <v>2932</v>
      </c>
      <c r="I2941" s="45">
        <v>0.66994560801962444</v>
      </c>
      <c r="J2941" s="45">
        <v>1.8062882809449333E-2</v>
      </c>
      <c r="K2941" s="45">
        <v>0.2422</v>
      </c>
      <c r="N2941" s="54"/>
    </row>
    <row r="2942" spans="2:14" x14ac:dyDescent="0.2">
      <c r="B2942">
        <v>2933</v>
      </c>
      <c r="C2942" s="52">
        <f ca="1"/>
        <v>-0.45614122017856001</v>
      </c>
      <c r="D2942" s="52">
        <f ca="1">S0*EXP((μ-0.5*σ*σ)*T+σ*SQRT(T)*$C2942)</f>
        <v>0.5675636471982265</v>
      </c>
      <c r="E2942" s="52">
        <f t="shared" ca="1" si="130"/>
        <v>0</v>
      </c>
      <c r="F2942" s="17">
        <f t="shared" ca="1" si="131"/>
        <v>0</v>
      </c>
      <c r="H2942" s="17">
        <v>2933</v>
      </c>
      <c r="I2942" s="45">
        <v>0.66956011029239759</v>
      </c>
      <c r="J2942" s="45">
        <v>1.8054722509723231E-2</v>
      </c>
      <c r="K2942" s="45">
        <v>0.24460000000000001</v>
      </c>
      <c r="N2942" s="54"/>
    </row>
    <row r="2943" spans="2:14" x14ac:dyDescent="0.2">
      <c r="B2943">
        <v>2934</v>
      </c>
      <c r="C2943" s="52">
        <f ca="1"/>
        <v>-0.224670628258824</v>
      </c>
      <c r="D2943" s="52">
        <f ca="1">S0*EXP((μ-0.5*σ*σ)*T+σ*SQRT(T)*$C2943)</f>
        <v>0.60506681752986058</v>
      </c>
      <c r="E2943" s="52">
        <f t="shared" ca="1" si="130"/>
        <v>0</v>
      </c>
      <c r="F2943" s="17">
        <f t="shared" ca="1" si="131"/>
        <v>0</v>
      </c>
      <c r="H2943" s="17">
        <v>2934</v>
      </c>
      <c r="I2943" s="45">
        <v>0.67083988281728524</v>
      </c>
      <c r="J2943" s="45">
        <v>1.9041615600614865E-2</v>
      </c>
      <c r="K2943" s="45">
        <v>0.24759999999999999</v>
      </c>
      <c r="N2943" s="54"/>
    </row>
    <row r="2944" spans="2:14" x14ac:dyDescent="0.2">
      <c r="B2944">
        <v>2935</v>
      </c>
      <c r="C2944" s="52">
        <f ca="1"/>
        <v>0.51358346474865157</v>
      </c>
      <c r="D2944" s="52">
        <f ca="1">S0*EXP((μ-0.5*σ*σ)*T+σ*SQRT(T)*$C2944)</f>
        <v>0.74204977883457957</v>
      </c>
      <c r="E2944" s="52">
        <f t="shared" ca="1" si="130"/>
        <v>0</v>
      </c>
      <c r="F2944" s="17">
        <f t="shared" ca="1" si="131"/>
        <v>0</v>
      </c>
      <c r="H2944" s="17">
        <v>2935</v>
      </c>
      <c r="I2944" s="45">
        <v>0.66996485587531573</v>
      </c>
      <c r="J2944" s="45">
        <v>1.8099636371947565E-2</v>
      </c>
      <c r="K2944" s="45">
        <v>0.2404</v>
      </c>
      <c r="N2944" s="54"/>
    </row>
    <row r="2945" spans="2:14" x14ac:dyDescent="0.2">
      <c r="B2945">
        <v>2936</v>
      </c>
      <c r="C2945" s="52">
        <f ca="1"/>
        <v>-0.43286315026280298</v>
      </c>
      <c r="D2945" s="52">
        <f ca="1">S0*EXP((μ-0.5*σ*σ)*T+σ*SQRT(T)*$C2945)</f>
        <v>0.57122759023142011</v>
      </c>
      <c r="E2945" s="52">
        <f t="shared" ca="1" si="130"/>
        <v>0</v>
      </c>
      <c r="F2945" s="17">
        <f t="shared" ca="1" si="131"/>
        <v>0</v>
      </c>
      <c r="H2945" s="17">
        <v>2936</v>
      </c>
      <c r="I2945" s="45">
        <v>0.67034012800612242</v>
      </c>
      <c r="J2945" s="45">
        <v>1.8650732295964707E-2</v>
      </c>
      <c r="K2945" s="45">
        <v>0.2472</v>
      </c>
      <c r="N2945" s="54"/>
    </row>
    <row r="2946" spans="2:14" x14ac:dyDescent="0.2">
      <c r="B2946">
        <v>2937</v>
      </c>
      <c r="C2946" s="52">
        <f ca="1"/>
        <v>-1.5214972419881816</v>
      </c>
      <c r="D2946" s="52">
        <f ca="1">S0*EXP((μ-0.5*σ*σ)*T+σ*SQRT(T)*$C2946)</f>
        <v>0.42278080547324254</v>
      </c>
      <c r="E2946" s="52">
        <f t="shared" ca="1" si="130"/>
        <v>0.11161919452675745</v>
      </c>
      <c r="F2946" s="17">
        <f t="shared" ca="1" si="131"/>
        <v>1</v>
      </c>
      <c r="H2946" s="17">
        <v>2937</v>
      </c>
      <c r="I2946" s="45">
        <v>0.67013551155797857</v>
      </c>
      <c r="J2946" s="45">
        <v>1.8313507164561323E-2</v>
      </c>
      <c r="K2946" s="45">
        <v>0.24479999999999999</v>
      </c>
      <c r="N2946" s="54"/>
    </row>
    <row r="2947" spans="2:14" x14ac:dyDescent="0.2">
      <c r="B2947">
        <v>2938</v>
      </c>
      <c r="C2947" s="52">
        <f ca="1"/>
        <v>-1.6157282127040888</v>
      </c>
      <c r="D2947" s="52">
        <f ca="1">S0*EXP((μ-0.5*σ*σ)*T+σ*SQRT(T)*$C2947)</f>
        <v>0.41191019419350333</v>
      </c>
      <c r="E2947" s="52">
        <f t="shared" ca="1" si="130"/>
        <v>0.12248980580649665</v>
      </c>
      <c r="F2947" s="17">
        <f t="shared" ca="1" si="131"/>
        <v>1</v>
      </c>
      <c r="H2947" s="17">
        <v>2938</v>
      </c>
      <c r="I2947" s="45">
        <v>0.67060359812460946</v>
      </c>
      <c r="J2947" s="45">
        <v>1.8757881587265074E-2</v>
      </c>
      <c r="K2947" s="45">
        <v>0.25159999999999999</v>
      </c>
      <c r="N2947" s="54"/>
    </row>
    <row r="2948" spans="2:14" x14ac:dyDescent="0.2">
      <c r="B2948">
        <v>2939</v>
      </c>
      <c r="C2948" s="52">
        <f ca="1"/>
        <v>1.342773767790906</v>
      </c>
      <c r="D2948" s="52">
        <f ca="1">S0*EXP((μ-0.5*σ*σ)*T+σ*SQRT(T)*$C2948)</f>
        <v>0.93321114935736205</v>
      </c>
      <c r="E2948" s="52">
        <f t="shared" ca="1" si="130"/>
        <v>0</v>
      </c>
      <c r="F2948" s="17">
        <f t="shared" ca="1" si="131"/>
        <v>0</v>
      </c>
      <c r="H2948" s="17">
        <v>2939</v>
      </c>
      <c r="I2948" s="45">
        <v>0.67095132544194824</v>
      </c>
      <c r="J2948" s="45">
        <v>1.9403591442304729E-2</v>
      </c>
      <c r="K2948" s="45">
        <v>0.25059999999999999</v>
      </c>
      <c r="N2948" s="54"/>
    </row>
    <row r="2949" spans="2:14" x14ac:dyDescent="0.2">
      <c r="B2949">
        <v>2940</v>
      </c>
      <c r="C2949" s="52">
        <f ca="1"/>
        <v>-0.90884542708016414</v>
      </c>
      <c r="D2949" s="52">
        <f ca="1">S0*EXP((μ-0.5*σ*σ)*T+σ*SQRT(T)*$C2949)</f>
        <v>0.50080196082287265</v>
      </c>
      <c r="E2949" s="52">
        <f t="shared" ca="1" si="130"/>
        <v>3.3598039177127337E-2</v>
      </c>
      <c r="F2949" s="17">
        <f t="shared" ca="1" si="131"/>
        <v>1</v>
      </c>
      <c r="H2949" s="17">
        <v>2940</v>
      </c>
      <c r="I2949" s="45">
        <v>0.66946662647186417</v>
      </c>
      <c r="J2949" s="45">
        <v>1.7489956272807694E-2</v>
      </c>
      <c r="K2949" s="45">
        <v>0.23419999999999999</v>
      </c>
      <c r="N2949" s="54"/>
    </row>
    <row r="2950" spans="2:14" x14ac:dyDescent="0.2">
      <c r="B2950">
        <v>2941</v>
      </c>
      <c r="C2950" s="52">
        <f ca="1"/>
        <v>0.32725861194896849</v>
      </c>
      <c r="D2950" s="52">
        <f ca="1">S0*EXP((μ-0.5*σ*σ)*T+σ*SQRT(T)*$C2950)</f>
        <v>0.70479718530155078</v>
      </c>
      <c r="E2950" s="52">
        <f t="shared" ca="1" si="130"/>
        <v>0</v>
      </c>
      <c r="F2950" s="17">
        <f t="shared" ca="1" si="131"/>
        <v>0</v>
      </c>
      <c r="H2950" s="17">
        <v>2941</v>
      </c>
      <c r="I2950" s="45">
        <v>0.67134237409080055</v>
      </c>
      <c r="J2950" s="45">
        <v>1.9395549190946403E-2</v>
      </c>
      <c r="K2950" s="45">
        <v>0.24859999999999999</v>
      </c>
      <c r="N2950" s="54"/>
    </row>
    <row r="2951" spans="2:14" x14ac:dyDescent="0.2">
      <c r="B2951">
        <v>2942</v>
      </c>
      <c r="C2951" s="52">
        <f ca="1"/>
        <v>-0.32310282154126974</v>
      </c>
      <c r="D2951" s="52">
        <f ca="1">S0*EXP((μ-0.5*σ*σ)*T+σ*SQRT(T)*$C2951)</f>
        <v>0.58882500578744523</v>
      </c>
      <c r="E2951" s="52">
        <f t="shared" ca="1" si="130"/>
        <v>0</v>
      </c>
      <c r="F2951" s="17">
        <f t="shared" ca="1" si="131"/>
        <v>0</v>
      </c>
      <c r="H2951" s="17">
        <v>2942</v>
      </c>
      <c r="I2951" s="45">
        <v>0.67194248889810559</v>
      </c>
      <c r="J2951" s="45">
        <v>1.9759946561598376E-2</v>
      </c>
      <c r="K2951" s="45">
        <v>0.25280000000000002</v>
      </c>
      <c r="N2951" s="54"/>
    </row>
    <row r="2952" spans="2:14" x14ac:dyDescent="0.2">
      <c r="B2952">
        <v>2943</v>
      </c>
      <c r="C2952" s="52">
        <f ca="1"/>
        <v>-0.99368413386678389</v>
      </c>
      <c r="D2952" s="52">
        <f ca="1">S0*EXP((μ-0.5*σ*σ)*T+σ*SQRT(T)*$C2952)</f>
        <v>0.48919371598723144</v>
      </c>
      <c r="E2952" s="52">
        <f t="shared" ca="1" si="130"/>
        <v>4.5206284012768549E-2</v>
      </c>
      <c r="F2952" s="17">
        <f t="shared" ca="1" si="131"/>
        <v>1</v>
      </c>
      <c r="H2952" s="17">
        <v>2943</v>
      </c>
      <c r="I2952" s="45">
        <v>0.67163510694746686</v>
      </c>
      <c r="J2952" s="45">
        <v>1.9238609965191073E-2</v>
      </c>
      <c r="K2952" s="45">
        <v>0.23680000000000001</v>
      </c>
      <c r="N2952" s="54"/>
    </row>
    <row r="2953" spans="2:14" x14ac:dyDescent="0.2">
      <c r="B2953">
        <v>2944</v>
      </c>
      <c r="C2953" s="52">
        <f ca="1"/>
        <v>-4.763626253558975E-3</v>
      </c>
      <c r="D2953" s="52">
        <f ca="1">S0*EXP((μ-0.5*σ*σ)*T+σ*SQRT(T)*$C2953)</f>
        <v>0.642989464585488</v>
      </c>
      <c r="E2953" s="52">
        <f t="shared" ca="1" si="130"/>
        <v>0</v>
      </c>
      <c r="F2953" s="17">
        <f t="shared" ca="1" si="131"/>
        <v>0</v>
      </c>
      <c r="H2953" s="17">
        <v>2944</v>
      </c>
      <c r="I2953" s="45">
        <v>0.67162273074916479</v>
      </c>
      <c r="J2953" s="45">
        <v>1.9635253443919743E-2</v>
      </c>
      <c r="K2953" s="45">
        <v>0.251</v>
      </c>
      <c r="N2953" s="54"/>
    </row>
    <row r="2954" spans="2:14" x14ac:dyDescent="0.2">
      <c r="B2954">
        <v>2945</v>
      </c>
      <c r="C2954" s="52">
        <f ca="1"/>
        <v>8.7113809485069416E-2</v>
      </c>
      <c r="D2954" s="52">
        <f ca="1">S0*EXP((μ-0.5*σ*σ)*T+σ*SQRT(T)*$C2954)</f>
        <v>0.65952920173290697</v>
      </c>
      <c r="E2954" s="52">
        <f t="shared" ref="E2954:E3017" ca="1" si="132">MAX(0,CP*(D2954-K))</f>
        <v>0</v>
      </c>
      <c r="F2954" s="17">
        <f t="shared" ref="F2954:F3017" ca="1" si="133">(CP*(D2954-K)&gt;0)*1</f>
        <v>0</v>
      </c>
      <c r="H2954" s="17">
        <v>2945</v>
      </c>
      <c r="I2954" s="45">
        <v>0.67099901175969856</v>
      </c>
      <c r="J2954" s="45">
        <v>1.9148285081349831E-2</v>
      </c>
      <c r="K2954" s="45">
        <v>0.24640000000000001</v>
      </c>
      <c r="N2954" s="54"/>
    </row>
    <row r="2955" spans="2:14" x14ac:dyDescent="0.2">
      <c r="B2955">
        <v>2946</v>
      </c>
      <c r="C2955" s="52">
        <f ca="1"/>
        <v>-1.1408617590511216</v>
      </c>
      <c r="D2955" s="52">
        <f ca="1">S0*EXP((μ-0.5*σ*σ)*T+σ*SQRT(T)*$C2955)</f>
        <v>0.46969045786994362</v>
      </c>
      <c r="E2955" s="52">
        <f t="shared" ca="1" si="132"/>
        <v>6.4709542130056363E-2</v>
      </c>
      <c r="F2955" s="17">
        <f t="shared" ca="1" si="133"/>
        <v>1</v>
      </c>
      <c r="H2955" s="17">
        <v>2946</v>
      </c>
      <c r="I2955" s="45">
        <v>0.67128927138270356</v>
      </c>
      <c r="J2955" s="45">
        <v>1.913127094600885E-2</v>
      </c>
      <c r="K2955" s="45">
        <v>0.2462</v>
      </c>
      <c r="N2955" s="54"/>
    </row>
    <row r="2956" spans="2:14" x14ac:dyDescent="0.2">
      <c r="B2956">
        <v>2947</v>
      </c>
      <c r="C2956" s="52">
        <f ca="1"/>
        <v>0.32762044069136315</v>
      </c>
      <c r="D2956" s="52">
        <f ca="1">S0*EXP((μ-0.5*σ*σ)*T+σ*SQRT(T)*$C2956)</f>
        <v>0.70486768350749374</v>
      </c>
      <c r="E2956" s="52">
        <f t="shared" ca="1" si="132"/>
        <v>0</v>
      </c>
      <c r="F2956" s="17">
        <f t="shared" ca="1" si="133"/>
        <v>0</v>
      </c>
      <c r="H2956" s="17">
        <v>2947</v>
      </c>
      <c r="I2956" s="45">
        <v>0.67040502584677386</v>
      </c>
      <c r="J2956" s="45">
        <v>1.8696281507153398E-2</v>
      </c>
      <c r="K2956" s="45">
        <v>0.246</v>
      </c>
      <c r="N2956" s="54"/>
    </row>
    <row r="2957" spans="2:14" x14ac:dyDescent="0.2">
      <c r="B2957">
        <v>2948</v>
      </c>
      <c r="C2957" s="52">
        <f ca="1"/>
        <v>-0.74623839596340857</v>
      </c>
      <c r="D2957" s="52">
        <f ca="1">S0*EXP((μ-0.5*σ*σ)*T+σ*SQRT(T)*$C2957)</f>
        <v>0.52382654336238244</v>
      </c>
      <c r="E2957" s="52">
        <f t="shared" ca="1" si="132"/>
        <v>1.0573456637617551E-2</v>
      </c>
      <c r="F2957" s="17">
        <f t="shared" ca="1" si="133"/>
        <v>1</v>
      </c>
      <c r="H2957" s="17">
        <v>2948</v>
      </c>
      <c r="I2957" s="45">
        <v>0.67109900167078895</v>
      </c>
      <c r="J2957" s="45">
        <v>1.9264518846638993E-2</v>
      </c>
      <c r="K2957" s="45">
        <v>0.24859999999999999</v>
      </c>
      <c r="N2957" s="54"/>
    </row>
    <row r="2958" spans="2:14" x14ac:dyDescent="0.2">
      <c r="B2958">
        <v>2949</v>
      </c>
      <c r="C2958" s="52">
        <f ca="1"/>
        <v>-0.13623908290570572</v>
      </c>
      <c r="D2958" s="52">
        <f ca="1">S0*EXP((μ-0.5*σ*σ)*T+σ*SQRT(T)*$C2958)</f>
        <v>0.62004015894990949</v>
      </c>
      <c r="E2958" s="52">
        <f t="shared" ca="1" si="132"/>
        <v>0</v>
      </c>
      <c r="F2958" s="17">
        <f t="shared" ca="1" si="133"/>
        <v>0</v>
      </c>
      <c r="H2958" s="17">
        <v>2949</v>
      </c>
      <c r="I2958" s="45">
        <v>0.67021052316365215</v>
      </c>
      <c r="J2958" s="45">
        <v>1.8672603445677994E-2</v>
      </c>
      <c r="K2958" s="45">
        <v>0.24260000000000001</v>
      </c>
      <c r="N2958" s="54"/>
    </row>
    <row r="2959" spans="2:14" x14ac:dyDescent="0.2">
      <c r="B2959">
        <v>2950</v>
      </c>
      <c r="C2959" s="52">
        <f ca="1"/>
        <v>0.71065432116188521</v>
      </c>
      <c r="D2959" s="52">
        <f ca="1">S0*EXP((μ-0.5*σ*σ)*T+σ*SQRT(T)*$C2959)</f>
        <v>0.78359563873179794</v>
      </c>
      <c r="E2959" s="52">
        <f t="shared" ca="1" si="132"/>
        <v>0</v>
      </c>
      <c r="F2959" s="17">
        <f t="shared" ca="1" si="133"/>
        <v>0</v>
      </c>
      <c r="H2959" s="17">
        <v>2950</v>
      </c>
      <c r="I2959" s="45">
        <v>0.66977266643044442</v>
      </c>
      <c r="J2959" s="45">
        <v>1.8036974999283223E-2</v>
      </c>
      <c r="K2959" s="45">
        <v>0.23860000000000001</v>
      </c>
      <c r="N2959" s="54"/>
    </row>
    <row r="2960" spans="2:14" x14ac:dyDescent="0.2">
      <c r="B2960">
        <v>2951</v>
      </c>
      <c r="C2960" s="52">
        <f ca="1"/>
        <v>-1.2579132537822146</v>
      </c>
      <c r="D2960" s="52">
        <f ca="1">S0*EXP((μ-0.5*σ*σ)*T+σ*SQRT(T)*$C2960)</f>
        <v>0.45473600356404875</v>
      </c>
      <c r="E2960" s="52">
        <f t="shared" ca="1" si="132"/>
        <v>7.9663996435951234E-2</v>
      </c>
      <c r="F2960" s="17">
        <f t="shared" ca="1" si="133"/>
        <v>1</v>
      </c>
      <c r="H2960" s="17">
        <v>2951</v>
      </c>
      <c r="I2960" s="45">
        <v>0.67001083022354146</v>
      </c>
      <c r="J2960" s="45">
        <v>1.8332446430185098E-2</v>
      </c>
      <c r="K2960" s="45">
        <v>0.2412</v>
      </c>
      <c r="N2960" s="54"/>
    </row>
    <row r="2961" spans="2:14" x14ac:dyDescent="0.2">
      <c r="B2961">
        <v>2952</v>
      </c>
      <c r="C2961" s="52">
        <f ca="1"/>
        <v>0.25265283272026418</v>
      </c>
      <c r="D2961" s="52">
        <f ca="1">S0*EXP((μ-0.5*σ*σ)*T+σ*SQRT(T)*$C2961)</f>
        <v>0.69041068622856483</v>
      </c>
      <c r="E2961" s="52">
        <f t="shared" ca="1" si="132"/>
        <v>0</v>
      </c>
      <c r="F2961" s="17">
        <f t="shared" ca="1" si="133"/>
        <v>0</v>
      </c>
      <c r="H2961" s="17">
        <v>2952</v>
      </c>
      <c r="I2961" s="45">
        <v>0.67016009271129051</v>
      </c>
      <c r="J2961" s="45">
        <v>1.84622245673743E-2</v>
      </c>
      <c r="K2961" s="45">
        <v>0.24160000000000001</v>
      </c>
      <c r="N2961" s="54"/>
    </row>
    <row r="2962" spans="2:14" x14ac:dyDescent="0.2">
      <c r="B2962">
        <v>2953</v>
      </c>
      <c r="C2962" s="52">
        <f ca="1"/>
        <v>0.39378634805188917</v>
      </c>
      <c r="D2962" s="52">
        <f ca="1">S0*EXP((μ-0.5*σ*σ)*T+σ*SQRT(T)*$C2962)</f>
        <v>0.71787862606171005</v>
      </c>
      <c r="E2962" s="52">
        <f t="shared" ca="1" si="132"/>
        <v>0</v>
      </c>
      <c r="F2962" s="17">
        <f t="shared" ca="1" si="133"/>
        <v>0</v>
      </c>
      <c r="H2962" s="17">
        <v>2953</v>
      </c>
      <c r="I2962" s="45">
        <v>0.67217799629441266</v>
      </c>
      <c r="J2962" s="45">
        <v>1.9558996174842552E-2</v>
      </c>
      <c r="K2962" s="45">
        <v>0.24640000000000001</v>
      </c>
      <c r="N2962" s="54"/>
    </row>
    <row r="2963" spans="2:14" x14ac:dyDescent="0.2">
      <c r="B2963">
        <v>2954</v>
      </c>
      <c r="C2963" s="52">
        <f ca="1"/>
        <v>1.5874736647326713</v>
      </c>
      <c r="D2963" s="52">
        <f ca="1">S0*EXP((μ-0.5*σ*σ)*T+σ*SQRT(T)*$C2963)</f>
        <v>0.99852031180338763</v>
      </c>
      <c r="E2963" s="52">
        <f t="shared" ca="1" si="132"/>
        <v>0</v>
      </c>
      <c r="F2963" s="17">
        <f t="shared" ca="1" si="133"/>
        <v>0</v>
      </c>
      <c r="H2963" s="17">
        <v>2954</v>
      </c>
      <c r="I2963" s="45">
        <v>0.67235062051199335</v>
      </c>
      <c r="J2963" s="45">
        <v>1.9911725791046348E-2</v>
      </c>
      <c r="K2963" s="45">
        <v>0.24979999999999999</v>
      </c>
      <c r="N2963" s="54"/>
    </row>
    <row r="2964" spans="2:14" x14ac:dyDescent="0.2">
      <c r="B2964">
        <v>2955</v>
      </c>
      <c r="C2964" s="52">
        <f ca="1"/>
        <v>-0.1718172024385653</v>
      </c>
      <c r="D2964" s="52">
        <f ca="1">S0*EXP((μ-0.5*σ*σ)*T+σ*SQRT(T)*$C2964)</f>
        <v>0.61397198461970404</v>
      </c>
      <c r="E2964" s="52">
        <f t="shared" ca="1" si="132"/>
        <v>0</v>
      </c>
      <c r="F2964" s="17">
        <f t="shared" ca="1" si="133"/>
        <v>0</v>
      </c>
      <c r="H2964" s="17">
        <v>2955</v>
      </c>
      <c r="I2964" s="45">
        <v>0.67140823843762532</v>
      </c>
      <c r="J2964" s="45">
        <v>1.9597274365871466E-2</v>
      </c>
      <c r="K2964" s="45">
        <v>0.252</v>
      </c>
      <c r="N2964" s="54"/>
    </row>
    <row r="2965" spans="2:14" x14ac:dyDescent="0.2">
      <c r="B2965">
        <v>2956</v>
      </c>
      <c r="C2965" s="52">
        <f ca="1"/>
        <v>-1.3820081667881572</v>
      </c>
      <c r="D2965" s="52">
        <f ca="1">S0*EXP((μ-0.5*σ*σ)*T+σ*SQRT(T)*$C2965)</f>
        <v>0.43940132260131626</v>
      </c>
      <c r="E2965" s="52">
        <f t="shared" ca="1" si="132"/>
        <v>9.4998677398683729E-2</v>
      </c>
      <c r="F2965" s="17">
        <f t="shared" ca="1" si="133"/>
        <v>1</v>
      </c>
      <c r="H2965" s="17">
        <v>2956</v>
      </c>
      <c r="I2965" s="45">
        <v>0.67093742315209315</v>
      </c>
      <c r="J2965" s="45">
        <v>1.8784866244308602E-2</v>
      </c>
      <c r="K2965" s="45">
        <v>0.246</v>
      </c>
      <c r="N2965" s="54"/>
    </row>
    <row r="2966" spans="2:14" x14ac:dyDescent="0.2">
      <c r="B2966">
        <v>2957</v>
      </c>
      <c r="C2966" s="52">
        <f ca="1"/>
        <v>-2.2288800666123136</v>
      </c>
      <c r="D2966" s="52">
        <f ca="1">S0*EXP((μ-0.5*σ*σ)*T+σ*SQRT(T)*$C2966)</f>
        <v>0.34768963990748786</v>
      </c>
      <c r="E2966" s="52">
        <f t="shared" ca="1" si="132"/>
        <v>0.18671036009251213</v>
      </c>
      <c r="F2966" s="17">
        <f t="shared" ca="1" si="133"/>
        <v>1</v>
      </c>
      <c r="H2966" s="17">
        <v>2957</v>
      </c>
      <c r="I2966" s="45">
        <v>0.67175998256459213</v>
      </c>
      <c r="J2966" s="45">
        <v>1.9354050303785168E-2</v>
      </c>
      <c r="K2966" s="45">
        <v>0.25340000000000001</v>
      </c>
      <c r="N2966" s="54"/>
    </row>
    <row r="2967" spans="2:14" x14ac:dyDescent="0.2">
      <c r="B2967">
        <v>2958</v>
      </c>
      <c r="C2967" s="52">
        <f ca="1"/>
        <v>1.9452025896971652</v>
      </c>
      <c r="D2967" s="52">
        <f ca="1">S0*EXP((μ-0.5*σ*σ)*T+σ*SQRT(T)*$C2967)</f>
        <v>1.1023090562013877</v>
      </c>
      <c r="E2967" s="52">
        <f t="shared" ca="1" si="132"/>
        <v>0</v>
      </c>
      <c r="F2967" s="17">
        <f t="shared" ca="1" si="133"/>
        <v>0</v>
      </c>
      <c r="H2967" s="17">
        <v>2958</v>
      </c>
      <c r="I2967" s="45">
        <v>0.67009919143212782</v>
      </c>
      <c r="J2967" s="45">
        <v>1.8561014671492602E-2</v>
      </c>
      <c r="K2967" s="45">
        <v>0.25180000000000002</v>
      </c>
      <c r="N2967" s="54"/>
    </row>
    <row r="2968" spans="2:14" x14ac:dyDescent="0.2">
      <c r="B2968">
        <v>2959</v>
      </c>
      <c r="C2968" s="52">
        <f ca="1"/>
        <v>1.5934816550466067</v>
      </c>
      <c r="D2968" s="52">
        <f ca="1">S0*EXP((μ-0.5*σ*σ)*T+σ*SQRT(T)*$C2968)</f>
        <v>1.0001800360488153</v>
      </c>
      <c r="E2968" s="52">
        <f t="shared" ca="1" si="132"/>
        <v>0</v>
      </c>
      <c r="F2968" s="17">
        <f t="shared" ca="1" si="133"/>
        <v>0</v>
      </c>
      <c r="H2968" s="17">
        <v>2959</v>
      </c>
      <c r="I2968" s="45">
        <v>0.67042150964163294</v>
      </c>
      <c r="J2968" s="45">
        <v>1.8449376495129864E-2</v>
      </c>
      <c r="K2968" s="45">
        <v>0.24299999999999999</v>
      </c>
      <c r="N2968" s="54"/>
    </row>
    <row r="2969" spans="2:14" x14ac:dyDescent="0.2">
      <c r="B2969">
        <v>2960</v>
      </c>
      <c r="C2969" s="52">
        <f ca="1"/>
        <v>1.1267841533938532</v>
      </c>
      <c r="D2969" s="52">
        <f ca="1">S0*EXP((μ-0.5*σ*σ)*T+σ*SQRT(T)*$C2969)</f>
        <v>0.87912310197492527</v>
      </c>
      <c r="E2969" s="52">
        <f t="shared" ca="1" si="132"/>
        <v>0</v>
      </c>
      <c r="F2969" s="17">
        <f t="shared" ca="1" si="133"/>
        <v>0</v>
      </c>
      <c r="H2969" s="17">
        <v>2960</v>
      </c>
      <c r="I2969" s="45">
        <v>0.6711897655123974</v>
      </c>
      <c r="J2969" s="45">
        <v>1.905993932355593E-2</v>
      </c>
      <c r="K2969" s="45">
        <v>0.23860000000000001</v>
      </c>
      <c r="N2969" s="54"/>
    </row>
    <row r="2970" spans="2:14" x14ac:dyDescent="0.2">
      <c r="B2970">
        <v>2961</v>
      </c>
      <c r="C2970" s="52">
        <f ca="1"/>
        <v>0.42791144874710713</v>
      </c>
      <c r="D2970" s="52">
        <f ca="1">S0*EXP((μ-0.5*σ*σ)*T+σ*SQRT(T)*$C2970)</f>
        <v>0.72468262299135289</v>
      </c>
      <c r="E2970" s="52">
        <f t="shared" ca="1" si="132"/>
        <v>0</v>
      </c>
      <c r="F2970" s="17">
        <f t="shared" ca="1" si="133"/>
        <v>0</v>
      </c>
      <c r="H2970" s="17">
        <v>2961</v>
      </c>
      <c r="I2970" s="45">
        <v>0.66991560135015837</v>
      </c>
      <c r="J2970" s="45">
        <v>1.8184877389537769E-2</v>
      </c>
      <c r="K2970" s="45">
        <v>0.24540000000000001</v>
      </c>
      <c r="N2970" s="54"/>
    </row>
    <row r="2971" spans="2:14" x14ac:dyDescent="0.2">
      <c r="B2971">
        <v>2962</v>
      </c>
      <c r="C2971" s="52">
        <f ca="1"/>
        <v>-0.13960465418303525</v>
      </c>
      <c r="D2971" s="52">
        <f ca="1">S0*EXP((μ-0.5*σ*σ)*T+σ*SQRT(T)*$C2971)</f>
        <v>0.61946357078279879</v>
      </c>
      <c r="E2971" s="52">
        <f t="shared" ca="1" si="132"/>
        <v>0</v>
      </c>
      <c r="F2971" s="17">
        <f t="shared" ca="1" si="133"/>
        <v>0</v>
      </c>
      <c r="H2971" s="17">
        <v>2962</v>
      </c>
      <c r="I2971" s="45">
        <v>0.67213955606015363</v>
      </c>
      <c r="J2971" s="45">
        <v>1.9907238000764278E-2</v>
      </c>
      <c r="K2971" s="45">
        <v>0.2492</v>
      </c>
      <c r="N2971" s="54"/>
    </row>
    <row r="2972" spans="2:14" x14ac:dyDescent="0.2">
      <c r="B2972">
        <v>2963</v>
      </c>
      <c r="C2972" s="52">
        <f ca="1"/>
        <v>1.3240219701223972</v>
      </c>
      <c r="D2972" s="52">
        <f ca="1">S0*EXP((μ-0.5*σ*σ)*T+σ*SQRT(T)*$C2972)</f>
        <v>0.92838626588081108</v>
      </c>
      <c r="E2972" s="52">
        <f t="shared" ca="1" si="132"/>
        <v>0</v>
      </c>
      <c r="F2972" s="17">
        <f t="shared" ca="1" si="133"/>
        <v>0</v>
      </c>
      <c r="H2972" s="17">
        <v>2963</v>
      </c>
      <c r="I2972" s="45">
        <v>0.67106498272931914</v>
      </c>
      <c r="J2972" s="45">
        <v>1.9288036282040569E-2</v>
      </c>
      <c r="K2972" s="45">
        <v>0.25219999999999998</v>
      </c>
      <c r="N2972" s="54"/>
    </row>
    <row r="2973" spans="2:14" x14ac:dyDescent="0.2">
      <c r="B2973">
        <v>2964</v>
      </c>
      <c r="C2973" s="52">
        <f ca="1"/>
        <v>-0.13768641504325987</v>
      </c>
      <c r="D2973" s="52">
        <f ca="1">S0*EXP((μ-0.5*σ*σ)*T+σ*SQRT(T)*$C2973)</f>
        <v>0.61979213691240476</v>
      </c>
      <c r="E2973" s="52">
        <f t="shared" ca="1" si="132"/>
        <v>0</v>
      </c>
      <c r="F2973" s="17">
        <f t="shared" ca="1" si="133"/>
        <v>0</v>
      </c>
      <c r="H2973" s="17">
        <v>2964</v>
      </c>
      <c r="I2973" s="45">
        <v>0.67130487781523096</v>
      </c>
      <c r="J2973" s="45">
        <v>1.9321245552205199E-2</v>
      </c>
      <c r="K2973" s="45">
        <v>0.24779999999999999</v>
      </c>
      <c r="N2973" s="54"/>
    </row>
    <row r="2974" spans="2:14" x14ac:dyDescent="0.2">
      <c r="B2974">
        <v>2965</v>
      </c>
      <c r="C2974" s="52">
        <f ca="1"/>
        <v>-0.40962191222530792</v>
      </c>
      <c r="D2974" s="52">
        <f ca="1">S0*EXP((μ-0.5*σ*σ)*T+σ*SQRT(T)*$C2974)</f>
        <v>0.57490933259502608</v>
      </c>
      <c r="E2974" s="52">
        <f t="shared" ca="1" si="132"/>
        <v>0</v>
      </c>
      <c r="F2974" s="17">
        <f t="shared" ca="1" si="133"/>
        <v>0</v>
      </c>
      <c r="H2974" s="17">
        <v>2965</v>
      </c>
      <c r="I2974" s="45">
        <v>0.6719899979689038</v>
      </c>
      <c r="J2974" s="45">
        <v>1.9935112153292307E-2</v>
      </c>
      <c r="K2974" s="45">
        <v>0.25719999999999998</v>
      </c>
      <c r="N2974" s="54"/>
    </row>
    <row r="2975" spans="2:14" x14ac:dyDescent="0.2">
      <c r="B2975">
        <v>2966</v>
      </c>
      <c r="C2975" s="52">
        <f ca="1"/>
        <v>-1.1072271086764998</v>
      </c>
      <c r="D2975" s="52">
        <f ca="1">S0*EXP((μ-0.5*σ*σ)*T+σ*SQRT(T)*$C2975)</f>
        <v>0.47407786880504249</v>
      </c>
      <c r="E2975" s="52">
        <f t="shared" ca="1" si="132"/>
        <v>6.0322131194957496E-2</v>
      </c>
      <c r="F2975" s="17">
        <f t="shared" ca="1" si="133"/>
        <v>1</v>
      </c>
      <c r="H2975" s="17">
        <v>2966</v>
      </c>
      <c r="I2975" s="45">
        <v>0.67106579623099949</v>
      </c>
      <c r="J2975" s="45">
        <v>1.925765772481032E-2</v>
      </c>
      <c r="K2975" s="45">
        <v>0.246</v>
      </c>
      <c r="N2975" s="54"/>
    </row>
    <row r="2976" spans="2:14" x14ac:dyDescent="0.2">
      <c r="B2976">
        <v>2967</v>
      </c>
      <c r="C2976" s="52">
        <f ca="1"/>
        <v>1.0874893685687841</v>
      </c>
      <c r="D2976" s="52">
        <f ca="1">S0*EXP((μ-0.5*σ*σ)*T+σ*SQRT(T)*$C2976)</f>
        <v>0.86962543070062781</v>
      </c>
      <c r="E2976" s="52">
        <f t="shared" ca="1" si="132"/>
        <v>0</v>
      </c>
      <c r="F2976" s="17">
        <f t="shared" ca="1" si="133"/>
        <v>0</v>
      </c>
      <c r="H2976" s="17">
        <v>2967</v>
      </c>
      <c r="I2976" s="45">
        <v>0.67010114463697878</v>
      </c>
      <c r="J2976" s="45">
        <v>1.8430326364806737E-2</v>
      </c>
      <c r="K2976" s="45">
        <v>0.2414</v>
      </c>
      <c r="N2976" s="54"/>
    </row>
    <row r="2977" spans="2:14" x14ac:dyDescent="0.2">
      <c r="B2977">
        <v>2968</v>
      </c>
      <c r="C2977" s="52">
        <f ca="1"/>
        <v>-1.0065675705527368</v>
      </c>
      <c r="D2977" s="52">
        <f ca="1">S0*EXP((μ-0.5*σ*σ)*T+σ*SQRT(T)*$C2977)</f>
        <v>0.48745459978900585</v>
      </c>
      <c r="E2977" s="52">
        <f t="shared" ca="1" si="132"/>
        <v>4.6945400210994137E-2</v>
      </c>
      <c r="F2977" s="17">
        <f t="shared" ca="1" si="133"/>
        <v>1</v>
      </c>
      <c r="H2977" s="17">
        <v>2968</v>
      </c>
      <c r="I2977" s="45">
        <v>0.67048579401918706</v>
      </c>
      <c r="J2977" s="45">
        <v>1.8470939145472931E-2</v>
      </c>
      <c r="K2977" s="45">
        <v>0.2432</v>
      </c>
      <c r="N2977" s="54"/>
    </row>
    <row r="2978" spans="2:14" x14ac:dyDescent="0.2">
      <c r="B2978">
        <v>2969</v>
      </c>
      <c r="C2978" s="52">
        <f ca="1"/>
        <v>1.4333657021171482</v>
      </c>
      <c r="D2978" s="52">
        <f ca="1">S0*EXP((μ-0.5*σ*σ)*T+σ*SQRT(T)*$C2978)</f>
        <v>0.95687622209698209</v>
      </c>
      <c r="E2978" s="52">
        <f t="shared" ca="1" si="132"/>
        <v>0</v>
      </c>
      <c r="F2978" s="17">
        <f t="shared" ca="1" si="133"/>
        <v>0</v>
      </c>
      <c r="H2978" s="17">
        <v>2969</v>
      </c>
      <c r="I2978" s="45">
        <v>0.66937357805006203</v>
      </c>
      <c r="J2978" s="45">
        <v>1.7802414398581257E-2</v>
      </c>
      <c r="K2978" s="45">
        <v>0.2402</v>
      </c>
      <c r="N2978" s="54"/>
    </row>
    <row r="2979" spans="2:14" x14ac:dyDescent="0.2">
      <c r="B2979">
        <v>2970</v>
      </c>
      <c r="C2979" s="52">
        <f ca="1"/>
        <v>0.83836761093381784</v>
      </c>
      <c r="D2979" s="52">
        <f ca="1">S0*EXP((μ-0.5*σ*σ)*T+σ*SQRT(T)*$C2979)</f>
        <v>0.81175390860653251</v>
      </c>
      <c r="E2979" s="52">
        <f t="shared" ca="1" si="132"/>
        <v>0</v>
      </c>
      <c r="F2979" s="17">
        <f t="shared" ca="1" si="133"/>
        <v>0</v>
      </c>
      <c r="H2979" s="17">
        <v>2970</v>
      </c>
      <c r="I2979" s="45">
        <v>0.67186199228840771</v>
      </c>
      <c r="J2979" s="45">
        <v>1.9629945356021354E-2</v>
      </c>
      <c r="K2979" s="45">
        <v>0.251</v>
      </c>
      <c r="N2979" s="54"/>
    </row>
    <row r="2980" spans="2:14" x14ac:dyDescent="0.2">
      <c r="B2980">
        <v>2971</v>
      </c>
      <c r="C2980" s="52">
        <f ca="1"/>
        <v>-0.2116240532915431</v>
      </c>
      <c r="D2980" s="52">
        <f ca="1">S0*EXP((μ-0.5*σ*σ)*T+σ*SQRT(T)*$C2980)</f>
        <v>0.60725292923087348</v>
      </c>
      <c r="E2980" s="52">
        <f t="shared" ca="1" si="132"/>
        <v>0</v>
      </c>
      <c r="F2980" s="17">
        <f t="shared" ca="1" si="133"/>
        <v>0</v>
      </c>
      <c r="H2980" s="17">
        <v>2971</v>
      </c>
      <c r="I2980" s="45">
        <v>0.67155894537748817</v>
      </c>
      <c r="J2980" s="45">
        <v>1.9681409338316753E-2</v>
      </c>
      <c r="K2980" s="45">
        <v>0.25119999999999998</v>
      </c>
      <c r="N2980" s="54"/>
    </row>
    <row r="2981" spans="2:14" x14ac:dyDescent="0.2">
      <c r="B2981">
        <v>2972</v>
      </c>
      <c r="C2981" s="52">
        <f ca="1"/>
        <v>1.5536270143826993</v>
      </c>
      <c r="D2981" s="52">
        <f ca="1">S0*EXP((μ-0.5*σ*σ)*T+σ*SQRT(T)*$C2981)</f>
        <v>0.98922141117450069</v>
      </c>
      <c r="E2981" s="52">
        <f t="shared" ca="1" si="132"/>
        <v>0</v>
      </c>
      <c r="F2981" s="17">
        <f t="shared" ca="1" si="133"/>
        <v>0</v>
      </c>
      <c r="H2981" s="17">
        <v>2972</v>
      </c>
      <c r="I2981" s="45">
        <v>0.67060691123053984</v>
      </c>
      <c r="J2981" s="45">
        <v>1.8704850330250399E-2</v>
      </c>
      <c r="K2981" s="45">
        <v>0.24460000000000001</v>
      </c>
      <c r="N2981" s="54"/>
    </row>
    <row r="2982" spans="2:14" x14ac:dyDescent="0.2">
      <c r="B2982">
        <v>2973</v>
      </c>
      <c r="C2982" s="52">
        <f ca="1"/>
        <v>0.32808227961931213</v>
      </c>
      <c r="D2982" s="52">
        <f ca="1">S0*EXP((μ-0.5*σ*σ)*T+σ*SQRT(T)*$C2982)</f>
        <v>0.70495767780284291</v>
      </c>
      <c r="E2982" s="52">
        <f t="shared" ca="1" si="132"/>
        <v>0</v>
      </c>
      <c r="F2982" s="17">
        <f t="shared" ca="1" si="133"/>
        <v>0</v>
      </c>
      <c r="H2982" s="17">
        <v>2973</v>
      </c>
      <c r="I2982" s="45">
        <v>0.67112974262380298</v>
      </c>
      <c r="J2982" s="45">
        <v>1.958538066078603E-2</v>
      </c>
      <c r="K2982" s="45">
        <v>0.25640000000000002</v>
      </c>
      <c r="N2982" s="54"/>
    </row>
    <row r="2983" spans="2:14" x14ac:dyDescent="0.2">
      <c r="B2983">
        <v>2974</v>
      </c>
      <c r="C2983" s="52">
        <f ca="1"/>
        <v>-1.0097362825201623</v>
      </c>
      <c r="D2983" s="52">
        <f ca="1">S0*EXP((μ-0.5*σ*σ)*T+σ*SQRT(T)*$C2983)</f>
        <v>0.4870278081863656</v>
      </c>
      <c r="E2983" s="52">
        <f t="shared" ca="1" si="132"/>
        <v>4.737219181363439E-2</v>
      </c>
      <c r="F2983" s="17">
        <f t="shared" ca="1" si="133"/>
        <v>1</v>
      </c>
      <c r="H2983" s="17">
        <v>2974</v>
      </c>
      <c r="I2983" s="45">
        <v>0.67117768253472077</v>
      </c>
      <c r="J2983" s="45">
        <v>1.8965521520773118E-2</v>
      </c>
      <c r="K2983" s="45">
        <v>0.24879999999999999</v>
      </c>
      <c r="N2983" s="54"/>
    </row>
    <row r="2984" spans="2:14" x14ac:dyDescent="0.2">
      <c r="B2984">
        <v>2975</v>
      </c>
      <c r="C2984" s="52">
        <f ca="1"/>
        <v>-0.10286418291434475</v>
      </c>
      <c r="D2984" s="52">
        <f ca="1">S0*EXP((μ-0.5*σ*σ)*T+σ*SQRT(T)*$C2984)</f>
        <v>0.62578706151999242</v>
      </c>
      <c r="E2984" s="52">
        <f t="shared" ca="1" si="132"/>
        <v>0</v>
      </c>
      <c r="F2984" s="17">
        <f t="shared" ca="1" si="133"/>
        <v>0</v>
      </c>
      <c r="H2984" s="17">
        <v>2975</v>
      </c>
      <c r="I2984" s="45">
        <v>0.67088009813672511</v>
      </c>
      <c r="J2984" s="45">
        <v>1.8995036202285306E-2</v>
      </c>
      <c r="K2984" s="45">
        <v>0.24740000000000001</v>
      </c>
      <c r="N2984" s="54"/>
    </row>
    <row r="2985" spans="2:14" x14ac:dyDescent="0.2">
      <c r="B2985">
        <v>2976</v>
      </c>
      <c r="C2985" s="52">
        <f ca="1"/>
        <v>0.806860071688417</v>
      </c>
      <c r="D2985" s="52">
        <f ca="1">S0*EXP((μ-0.5*σ*σ)*T+σ*SQRT(T)*$C2985)</f>
        <v>0.80471446912247713</v>
      </c>
      <c r="E2985" s="52">
        <f t="shared" ca="1" si="132"/>
        <v>0</v>
      </c>
      <c r="F2985" s="17">
        <f t="shared" ca="1" si="133"/>
        <v>0</v>
      </c>
      <c r="H2985" s="17">
        <v>2976</v>
      </c>
      <c r="I2985" s="45">
        <v>0.67175758637249949</v>
      </c>
      <c r="J2985" s="45">
        <v>1.9679695300486088E-2</v>
      </c>
      <c r="K2985" s="45">
        <v>0.249</v>
      </c>
      <c r="N2985" s="54"/>
    </row>
    <row r="2986" spans="2:14" x14ac:dyDescent="0.2">
      <c r="B2986">
        <v>2977</v>
      </c>
      <c r="C2986" s="52">
        <f ca="1"/>
        <v>-1.0816327259970866</v>
      </c>
      <c r="D2986" s="52">
        <f ca="1">S0*EXP((μ-0.5*σ*σ)*T+σ*SQRT(T)*$C2986)</f>
        <v>0.47744391995579044</v>
      </c>
      <c r="E2986" s="52">
        <f t="shared" ca="1" si="132"/>
        <v>5.6956080044209545E-2</v>
      </c>
      <c r="F2986" s="17">
        <f t="shared" ca="1" si="133"/>
        <v>1</v>
      </c>
      <c r="H2986" s="17">
        <v>2977</v>
      </c>
      <c r="I2986" s="45">
        <v>0.67173489919377949</v>
      </c>
      <c r="J2986" s="45">
        <v>1.9441714140524889E-2</v>
      </c>
      <c r="K2986" s="45">
        <v>0.25580000000000003</v>
      </c>
      <c r="N2986" s="54"/>
    </row>
    <row r="2987" spans="2:14" x14ac:dyDescent="0.2">
      <c r="B2987">
        <v>2978</v>
      </c>
      <c r="C2987" s="52">
        <f ca="1"/>
        <v>0.26958536924769699</v>
      </c>
      <c r="D2987" s="52">
        <f ca="1">S0*EXP((μ-0.5*σ*σ)*T+σ*SQRT(T)*$C2987)</f>
        <v>0.6936498689426992</v>
      </c>
      <c r="E2987" s="52">
        <f t="shared" ca="1" si="132"/>
        <v>0</v>
      </c>
      <c r="F2987" s="17">
        <f t="shared" ca="1" si="133"/>
        <v>0</v>
      </c>
      <c r="H2987" s="17">
        <v>2978</v>
      </c>
      <c r="I2987" s="45">
        <v>0.67130583267482147</v>
      </c>
      <c r="J2987" s="45">
        <v>1.962361397314543E-2</v>
      </c>
      <c r="K2987" s="45">
        <v>0.25440000000000002</v>
      </c>
      <c r="N2987" s="54"/>
    </row>
    <row r="2988" spans="2:14" x14ac:dyDescent="0.2">
      <c r="B2988">
        <v>2979</v>
      </c>
      <c r="C2988" s="52">
        <f ca="1"/>
        <v>-1.8810267207578741</v>
      </c>
      <c r="D2988" s="52">
        <f ca="1">S0*EXP((μ-0.5*σ*σ)*T+σ*SQRT(T)*$C2988)</f>
        <v>0.38278298777946679</v>
      </c>
      <c r="E2988" s="52">
        <f t="shared" ca="1" si="132"/>
        <v>0.1516170122205332</v>
      </c>
      <c r="F2988" s="17">
        <f t="shared" ca="1" si="133"/>
        <v>1</v>
      </c>
      <c r="H2988" s="17">
        <v>2979</v>
      </c>
      <c r="I2988" s="45">
        <v>0.67133310846206296</v>
      </c>
      <c r="J2988" s="45">
        <v>1.9116539631851295E-2</v>
      </c>
      <c r="K2988" s="45">
        <v>0.24679999999999999</v>
      </c>
      <c r="N2988" s="54"/>
    </row>
    <row r="2989" spans="2:14" x14ac:dyDescent="0.2">
      <c r="B2989">
        <v>2980</v>
      </c>
      <c r="C2989" s="52">
        <f ca="1"/>
        <v>-2.7953666627763722E-4</v>
      </c>
      <c r="D2989" s="52">
        <f ca="1">S0*EXP((μ-0.5*σ*σ)*T+σ*SQRT(T)*$C2989)</f>
        <v>0.64378697516307293</v>
      </c>
      <c r="E2989" s="52">
        <f t="shared" ca="1" si="132"/>
        <v>0</v>
      </c>
      <c r="F2989" s="17">
        <f t="shared" ca="1" si="133"/>
        <v>0</v>
      </c>
      <c r="H2989" s="17">
        <v>2980</v>
      </c>
      <c r="I2989" s="45">
        <v>0.67165944512924047</v>
      </c>
      <c r="J2989" s="45">
        <v>1.9497427065176116E-2</v>
      </c>
      <c r="K2989" s="45">
        <v>0.25359999999999999</v>
      </c>
      <c r="N2989" s="54"/>
    </row>
    <row r="2990" spans="2:14" x14ac:dyDescent="0.2">
      <c r="B2990">
        <v>2981</v>
      </c>
      <c r="C2990" s="52">
        <f ca="1"/>
        <v>-0.32310273518830179</v>
      </c>
      <c r="D2990" s="52">
        <f ca="1">S0*EXP((μ-0.5*σ*σ)*T+σ*SQRT(T)*$C2990)</f>
        <v>0.5888250198431505</v>
      </c>
      <c r="E2990" s="52">
        <f t="shared" ca="1" si="132"/>
        <v>0</v>
      </c>
      <c r="F2990" s="17">
        <f t="shared" ca="1" si="133"/>
        <v>0</v>
      </c>
      <c r="H2990" s="17">
        <v>2981</v>
      </c>
      <c r="I2990" s="45">
        <v>0.66970378149910303</v>
      </c>
      <c r="J2990" s="45">
        <v>1.8087263160986345E-2</v>
      </c>
      <c r="K2990" s="45">
        <v>0.2414</v>
      </c>
      <c r="N2990" s="54"/>
    </row>
    <row r="2991" spans="2:14" x14ac:dyDescent="0.2">
      <c r="B2991">
        <v>2982</v>
      </c>
      <c r="C2991" s="52">
        <f ca="1"/>
        <v>0.14498145191413719</v>
      </c>
      <c r="D2991" s="52">
        <f ca="1">S0*EXP((μ-0.5*σ*σ)*T+σ*SQRT(T)*$C2991)</f>
        <v>0.67016419370284419</v>
      </c>
      <c r="E2991" s="52">
        <f t="shared" ca="1" si="132"/>
        <v>0</v>
      </c>
      <c r="F2991" s="17">
        <f t="shared" ca="1" si="133"/>
        <v>0</v>
      </c>
      <c r="H2991" s="17">
        <v>2982</v>
      </c>
      <c r="I2991" s="45">
        <v>0.67049776054017485</v>
      </c>
      <c r="J2991" s="45">
        <v>1.8543000415312882E-2</v>
      </c>
      <c r="K2991" s="45">
        <v>0.24460000000000001</v>
      </c>
      <c r="N2991" s="54"/>
    </row>
    <row r="2992" spans="2:14" x14ac:dyDescent="0.2">
      <c r="B2992">
        <v>2983</v>
      </c>
      <c r="C2992" s="52">
        <f ca="1"/>
        <v>-0.35879606892731408</v>
      </c>
      <c r="D2992" s="52">
        <f ca="1">S0*EXP((μ-0.5*σ*σ)*T+σ*SQRT(T)*$C2992)</f>
        <v>0.58304377046047351</v>
      </c>
      <c r="E2992" s="52">
        <f t="shared" ca="1" si="132"/>
        <v>0</v>
      </c>
      <c r="F2992" s="17">
        <f t="shared" ca="1" si="133"/>
        <v>0</v>
      </c>
      <c r="H2992" s="17">
        <v>2983</v>
      </c>
      <c r="I2992" s="45">
        <v>0.67157337648260096</v>
      </c>
      <c r="J2992" s="45">
        <v>1.9469309177107263E-2</v>
      </c>
      <c r="K2992" s="45">
        <v>0.25180000000000002</v>
      </c>
      <c r="N2992" s="54"/>
    </row>
    <row r="2993" spans="2:14" x14ac:dyDescent="0.2">
      <c r="B2993">
        <v>2984</v>
      </c>
      <c r="C2993" s="52">
        <f ca="1"/>
        <v>0.22373805909262354</v>
      </c>
      <c r="D2993" s="52">
        <f ca="1">S0*EXP((μ-0.5*σ*σ)*T+σ*SQRT(T)*$C2993)</f>
        <v>0.68491424074200269</v>
      </c>
      <c r="E2993" s="52">
        <f t="shared" ca="1" si="132"/>
        <v>0</v>
      </c>
      <c r="F2993" s="17">
        <f t="shared" ca="1" si="133"/>
        <v>0</v>
      </c>
      <c r="H2993" s="17">
        <v>2984</v>
      </c>
      <c r="I2993" s="45">
        <v>0.67050272726414861</v>
      </c>
      <c r="J2993" s="45">
        <v>1.8671236689299396E-2</v>
      </c>
      <c r="K2993" s="45">
        <v>0.2424</v>
      </c>
      <c r="N2993" s="54"/>
    </row>
    <row r="2994" spans="2:14" x14ac:dyDescent="0.2">
      <c r="B2994">
        <v>2985</v>
      </c>
      <c r="C2994" s="52">
        <f ca="1"/>
        <v>0.18033110947052011</v>
      </c>
      <c r="D2994" s="52">
        <f ca="1">S0*EXP((μ-0.5*σ*σ)*T+σ*SQRT(T)*$C2994)</f>
        <v>0.67674500138544369</v>
      </c>
      <c r="E2994" s="52">
        <f t="shared" ca="1" si="132"/>
        <v>0</v>
      </c>
      <c r="F2994" s="17">
        <f t="shared" ca="1" si="133"/>
        <v>0</v>
      </c>
      <c r="H2994" s="17">
        <v>2985</v>
      </c>
      <c r="I2994" s="45">
        <v>0.67368816030703293</v>
      </c>
      <c r="J2994" s="45">
        <v>2.0761608595237947E-2</v>
      </c>
      <c r="K2994" s="45">
        <v>0.25119999999999998</v>
      </c>
      <c r="N2994" s="54"/>
    </row>
    <row r="2995" spans="2:14" x14ac:dyDescent="0.2">
      <c r="B2995">
        <v>2986</v>
      </c>
      <c r="C2995" s="52">
        <f ca="1"/>
        <v>1.3184034392954085</v>
      </c>
      <c r="D2995" s="52">
        <f ca="1">S0*EXP((μ-0.5*σ*σ)*T+σ*SQRT(T)*$C2995)</f>
        <v>0.92694546694323532</v>
      </c>
      <c r="E2995" s="52">
        <f t="shared" ca="1" si="132"/>
        <v>0</v>
      </c>
      <c r="F2995" s="17">
        <f t="shared" ca="1" si="133"/>
        <v>0</v>
      </c>
      <c r="H2995" s="17">
        <v>2986</v>
      </c>
      <c r="I2995" s="45">
        <v>0.67156732918704831</v>
      </c>
      <c r="J2995" s="45">
        <v>1.9249245026167847E-2</v>
      </c>
      <c r="K2995" s="45">
        <v>0.24640000000000001</v>
      </c>
      <c r="N2995" s="54"/>
    </row>
    <row r="2996" spans="2:14" x14ac:dyDescent="0.2">
      <c r="B2996">
        <v>2987</v>
      </c>
      <c r="C2996" s="52">
        <f ca="1"/>
        <v>-0.84112343100122544</v>
      </c>
      <c r="D2996" s="52">
        <f ca="1">S0*EXP((μ-0.5*σ*σ)*T+σ*SQRT(T)*$C2996)</f>
        <v>0.51026556032685655</v>
      </c>
      <c r="E2996" s="52">
        <f t="shared" ca="1" si="132"/>
        <v>2.4134439673143437E-2</v>
      </c>
      <c r="F2996" s="17">
        <f t="shared" ca="1" si="133"/>
        <v>1</v>
      </c>
      <c r="H2996" s="17">
        <v>2987</v>
      </c>
      <c r="I2996" s="45">
        <v>0.67040648077447418</v>
      </c>
      <c r="J2996" s="45">
        <v>1.8671302246651117E-2</v>
      </c>
      <c r="K2996" s="45">
        <v>0.24740000000000001</v>
      </c>
      <c r="N2996" s="54"/>
    </row>
    <row r="2997" spans="2:14" x14ac:dyDescent="0.2">
      <c r="B2997">
        <v>2988</v>
      </c>
      <c r="C2997" s="52">
        <f ca="1"/>
        <v>-1.7512372786832552E-2</v>
      </c>
      <c r="D2997" s="52">
        <f ca="1">S0*EXP((μ-0.5*σ*σ)*T+σ*SQRT(T)*$C2997)</f>
        <v>0.64072744986429886</v>
      </c>
      <c r="E2997" s="52">
        <f t="shared" ca="1" si="132"/>
        <v>0</v>
      </c>
      <c r="F2997" s="17">
        <f t="shared" ca="1" si="133"/>
        <v>0</v>
      </c>
      <c r="H2997" s="17">
        <v>2988</v>
      </c>
      <c r="I2997" s="45">
        <v>0.67135150516367481</v>
      </c>
      <c r="J2997" s="45">
        <v>1.952280102660545E-2</v>
      </c>
      <c r="K2997" s="45">
        <v>0.255</v>
      </c>
      <c r="N2997" s="54"/>
    </row>
    <row r="2998" spans="2:14" x14ac:dyDescent="0.2">
      <c r="B2998">
        <v>2989</v>
      </c>
      <c r="C2998" s="52">
        <f ca="1"/>
        <v>-0.71981426913241298</v>
      </c>
      <c r="D2998" s="52">
        <f ca="1">S0*EXP((μ-0.5*σ*σ)*T+σ*SQRT(T)*$C2998)</f>
        <v>0.52766683656151803</v>
      </c>
      <c r="E2998" s="52">
        <f t="shared" ca="1" si="132"/>
        <v>6.7331634384819594E-3</v>
      </c>
      <c r="F2998" s="17">
        <f t="shared" ca="1" si="133"/>
        <v>1</v>
      </c>
      <c r="H2998" s="17">
        <v>2989</v>
      </c>
      <c r="I2998" s="45">
        <v>0.67108869335588917</v>
      </c>
      <c r="J2998" s="45">
        <v>1.9125517413607653E-2</v>
      </c>
      <c r="K2998" s="45">
        <v>0.247</v>
      </c>
      <c r="N2998" s="54"/>
    </row>
    <row r="2999" spans="2:14" x14ac:dyDescent="0.2">
      <c r="B2999">
        <v>2990</v>
      </c>
      <c r="C2999" s="52">
        <f ca="1"/>
        <v>-1.1472374830769176</v>
      </c>
      <c r="D2999" s="52">
        <f ca="1">S0*EXP((μ-0.5*σ*σ)*T+σ*SQRT(T)*$C2999)</f>
        <v>0.4688633775009326</v>
      </c>
      <c r="E2999" s="52">
        <f t="shared" ca="1" si="132"/>
        <v>6.5536622499067387E-2</v>
      </c>
      <c r="F2999" s="17">
        <f t="shared" ca="1" si="133"/>
        <v>1</v>
      </c>
      <c r="H2999" s="17">
        <v>2990</v>
      </c>
      <c r="I2999" s="45">
        <v>0.67157734249583678</v>
      </c>
      <c r="J2999" s="45">
        <v>1.9604191480462458E-2</v>
      </c>
      <c r="K2999" s="45">
        <v>0.25359999999999999</v>
      </c>
      <c r="N2999" s="54"/>
    </row>
    <row r="3000" spans="2:14" x14ac:dyDescent="0.2">
      <c r="B3000">
        <v>2991</v>
      </c>
      <c r="C3000" s="52">
        <f ca="1"/>
        <v>-0.68438873890113494</v>
      </c>
      <c r="D3000" s="52">
        <f ca="1">S0*EXP((μ-0.5*σ*σ)*T+σ*SQRT(T)*$C3000)</f>
        <v>0.53285953962753552</v>
      </c>
      <c r="E3000" s="52">
        <f t="shared" ca="1" si="132"/>
        <v>1.5404603724644694E-3</v>
      </c>
      <c r="F3000" s="17">
        <f t="shared" ca="1" si="133"/>
        <v>1</v>
      </c>
      <c r="H3000" s="17">
        <v>2991</v>
      </c>
      <c r="I3000" s="45">
        <v>0.67161612860190667</v>
      </c>
      <c r="J3000" s="45">
        <v>1.9383303812814886E-2</v>
      </c>
      <c r="K3000" s="45">
        <v>0.24840000000000001</v>
      </c>
      <c r="N3000" s="54"/>
    </row>
    <row r="3001" spans="2:14" x14ac:dyDescent="0.2">
      <c r="B3001">
        <v>2992</v>
      </c>
      <c r="C3001" s="52">
        <f ca="1"/>
        <v>-0.53466036236503134</v>
      </c>
      <c r="D3001" s="52">
        <f ca="1">S0*EXP((μ-0.5*σ*σ)*T+σ*SQRT(T)*$C3001)</f>
        <v>0.55537727241619372</v>
      </c>
      <c r="E3001" s="52">
        <f t="shared" ca="1" si="132"/>
        <v>0</v>
      </c>
      <c r="F3001" s="17">
        <f t="shared" ca="1" si="133"/>
        <v>0</v>
      </c>
      <c r="H3001" s="17">
        <v>2992</v>
      </c>
      <c r="I3001" s="45">
        <v>0.67218944269223979</v>
      </c>
      <c r="J3001" s="45">
        <v>2.0256041347107609E-2</v>
      </c>
      <c r="K3001" s="45">
        <v>0.25979999999999998</v>
      </c>
      <c r="N3001" s="54"/>
    </row>
    <row r="3002" spans="2:14" x14ac:dyDescent="0.2">
      <c r="B3002">
        <v>2993</v>
      </c>
      <c r="C3002" s="52">
        <f ca="1"/>
        <v>-0.18232664362610268</v>
      </c>
      <c r="D3002" s="52">
        <f ca="1">S0*EXP((μ-0.5*σ*σ)*T+σ*SQRT(T)*$C3002)</f>
        <v>0.61219089157367879</v>
      </c>
      <c r="E3002" s="52">
        <f t="shared" ca="1" si="132"/>
        <v>0</v>
      </c>
      <c r="F3002" s="17">
        <f t="shared" ca="1" si="133"/>
        <v>0</v>
      </c>
      <c r="H3002" s="17">
        <v>2993</v>
      </c>
      <c r="I3002" s="45">
        <v>0.67211127043367058</v>
      </c>
      <c r="J3002" s="45">
        <v>1.9912186227524473E-2</v>
      </c>
      <c r="K3002" s="45">
        <v>0.25480000000000003</v>
      </c>
      <c r="N3002" s="54"/>
    </row>
    <row r="3003" spans="2:14" x14ac:dyDescent="0.2">
      <c r="B3003">
        <v>2994</v>
      </c>
      <c r="C3003" s="52">
        <f ca="1"/>
        <v>-0.57173669285000928</v>
      </c>
      <c r="D3003" s="52">
        <f ca="1">S0*EXP((μ-0.5*σ*σ)*T+σ*SQRT(T)*$C3003)</f>
        <v>0.54971422358969291</v>
      </c>
      <c r="E3003" s="52">
        <f t="shared" ca="1" si="132"/>
        <v>0</v>
      </c>
      <c r="F3003" s="17">
        <f t="shared" ca="1" si="133"/>
        <v>0</v>
      </c>
      <c r="H3003" s="17">
        <v>2994</v>
      </c>
      <c r="I3003" s="45">
        <v>0.67113258056320269</v>
      </c>
      <c r="J3003" s="45">
        <v>1.8982670977177485E-2</v>
      </c>
      <c r="K3003" s="45">
        <v>0.24859999999999999</v>
      </c>
      <c r="N3003" s="54"/>
    </row>
    <row r="3004" spans="2:14" x14ac:dyDescent="0.2">
      <c r="B3004">
        <v>2995</v>
      </c>
      <c r="C3004" s="52">
        <f ca="1"/>
        <v>0.27523329510033828</v>
      </c>
      <c r="D3004" s="52">
        <f ca="1">S0*EXP((μ-0.5*σ*σ)*T+σ*SQRT(T)*$C3004)</f>
        <v>0.69473368975562</v>
      </c>
      <c r="E3004" s="52">
        <f t="shared" ca="1" si="132"/>
        <v>0</v>
      </c>
      <c r="F3004" s="17">
        <f t="shared" ca="1" si="133"/>
        <v>0</v>
      </c>
      <c r="H3004" s="17">
        <v>2995</v>
      </c>
      <c r="I3004" s="45">
        <v>0.66982702605730227</v>
      </c>
      <c r="J3004" s="45">
        <v>1.7952857934255616E-2</v>
      </c>
      <c r="K3004" s="45">
        <v>0.2356</v>
      </c>
      <c r="N3004" s="54"/>
    </row>
    <row r="3005" spans="2:14" x14ac:dyDescent="0.2">
      <c r="B3005">
        <v>2996</v>
      </c>
      <c r="C3005" s="52">
        <f ca="1"/>
        <v>1.1037664957545772</v>
      </c>
      <c r="D3005" s="52">
        <f ca="1">S0*EXP((μ-0.5*σ*σ)*T+σ*SQRT(T)*$C3005)</f>
        <v>0.87354715028130347</v>
      </c>
      <c r="E3005" s="52">
        <f t="shared" ca="1" si="132"/>
        <v>0</v>
      </c>
      <c r="F3005" s="17">
        <f t="shared" ca="1" si="133"/>
        <v>0</v>
      </c>
      <c r="H3005" s="17">
        <v>2996</v>
      </c>
      <c r="I3005" s="45">
        <v>0.67103788480080562</v>
      </c>
      <c r="J3005" s="45">
        <v>1.9307751642958955E-2</v>
      </c>
      <c r="K3005" s="45">
        <v>0.25280000000000002</v>
      </c>
      <c r="N3005" s="54"/>
    </row>
    <row r="3006" spans="2:14" x14ac:dyDescent="0.2">
      <c r="B3006">
        <v>2997</v>
      </c>
      <c r="C3006" s="52">
        <f ca="1"/>
        <v>-1.217696562971319</v>
      </c>
      <c r="D3006" s="52">
        <f ca="1">S0*EXP((μ-0.5*σ*σ)*T+σ*SQRT(T)*$C3006)</f>
        <v>0.4598196004006998</v>
      </c>
      <c r="E3006" s="52">
        <f t="shared" ca="1" si="132"/>
        <v>7.4580399599300184E-2</v>
      </c>
      <c r="F3006" s="17">
        <f t="shared" ca="1" si="133"/>
        <v>1</v>
      </c>
      <c r="H3006" s="17">
        <v>2997</v>
      </c>
      <c r="I3006" s="45">
        <v>0.6712361482889484</v>
      </c>
      <c r="J3006" s="45">
        <v>1.9243026442831136E-2</v>
      </c>
      <c r="K3006" s="45">
        <v>0.251</v>
      </c>
      <c r="N3006" s="54"/>
    </row>
    <row r="3007" spans="2:14" x14ac:dyDescent="0.2">
      <c r="B3007">
        <v>2998</v>
      </c>
      <c r="C3007" s="52">
        <f ca="1"/>
        <v>0.72157907826925305</v>
      </c>
      <c r="D3007" s="52">
        <f ca="1">S0*EXP((μ-0.5*σ*σ)*T+σ*SQRT(T)*$C3007)</f>
        <v>0.78596564155098403</v>
      </c>
      <c r="E3007" s="52">
        <f t="shared" ca="1" si="132"/>
        <v>0</v>
      </c>
      <c r="F3007" s="17">
        <f t="shared" ca="1" si="133"/>
        <v>0</v>
      </c>
      <c r="H3007" s="17">
        <v>2998</v>
      </c>
      <c r="I3007" s="45">
        <v>0.67023689888918581</v>
      </c>
      <c r="J3007" s="45">
        <v>1.83485124398403E-2</v>
      </c>
      <c r="K3007" s="45">
        <v>0.23899999999999999</v>
      </c>
      <c r="N3007" s="54"/>
    </row>
    <row r="3008" spans="2:14" x14ac:dyDescent="0.2">
      <c r="B3008">
        <v>2999</v>
      </c>
      <c r="C3008" s="52">
        <f ca="1"/>
        <v>-0.82691498613028569</v>
      </c>
      <c r="D3008" s="52">
        <f ca="1">S0*EXP((μ-0.5*σ*σ)*T+σ*SQRT(T)*$C3008)</f>
        <v>0.51227365918324019</v>
      </c>
      <c r="E3008" s="52">
        <f t="shared" ca="1" si="132"/>
        <v>2.2126340816759793E-2</v>
      </c>
      <c r="F3008" s="17">
        <f t="shared" ca="1" si="133"/>
        <v>1</v>
      </c>
      <c r="H3008" s="17">
        <v>2999</v>
      </c>
      <c r="I3008" s="45">
        <v>0.67052444880478212</v>
      </c>
      <c r="J3008" s="45">
        <v>1.8739522792933096E-2</v>
      </c>
      <c r="K3008" s="45">
        <v>0.24679999999999999</v>
      </c>
      <c r="N3008" s="54"/>
    </row>
    <row r="3009" spans="2:14" x14ac:dyDescent="0.2">
      <c r="B3009">
        <v>3000</v>
      </c>
      <c r="C3009" s="52">
        <f ca="1"/>
        <v>0.48872159340773319</v>
      </c>
      <c r="D3009" s="52">
        <f ca="1">S0*EXP((μ-0.5*σ*σ)*T+σ*SQRT(T)*$C3009)</f>
        <v>0.73696743013466559</v>
      </c>
      <c r="E3009" s="52">
        <f t="shared" ca="1" si="132"/>
        <v>0</v>
      </c>
      <c r="F3009" s="17">
        <f t="shared" ca="1" si="133"/>
        <v>0</v>
      </c>
      <c r="H3009" s="17">
        <v>3000</v>
      </c>
      <c r="I3009" s="45">
        <v>0.67110254377896061</v>
      </c>
      <c r="J3009" s="45">
        <v>1.9022782352325903E-2</v>
      </c>
      <c r="K3009" s="45">
        <v>0.247</v>
      </c>
      <c r="N3009" s="54"/>
    </row>
    <row r="3010" spans="2:14" x14ac:dyDescent="0.2">
      <c r="B3010">
        <v>3001</v>
      </c>
      <c r="C3010" s="52">
        <f ca="1"/>
        <v>0.58511977745927879</v>
      </c>
      <c r="D3010" s="52">
        <f ca="1">S0*EXP((μ-0.5*σ*σ)*T+σ*SQRT(T)*$C3010)</f>
        <v>0.75686983561839338</v>
      </c>
      <c r="E3010" s="52">
        <f t="shared" ca="1" si="132"/>
        <v>0</v>
      </c>
      <c r="F3010" s="17">
        <f t="shared" ca="1" si="133"/>
        <v>0</v>
      </c>
      <c r="H3010" s="17">
        <v>3001</v>
      </c>
      <c r="I3010" s="45">
        <v>0.67006138512287872</v>
      </c>
      <c r="J3010" s="45">
        <v>1.8319469134600922E-2</v>
      </c>
      <c r="K3010" s="45">
        <v>0.24279999999999999</v>
      </c>
      <c r="N3010" s="54"/>
    </row>
    <row r="3011" spans="2:14" x14ac:dyDescent="0.2">
      <c r="B3011">
        <v>3002</v>
      </c>
      <c r="C3011" s="52">
        <f ca="1"/>
        <v>1.4370502601964124</v>
      </c>
      <c r="D3011" s="52">
        <f ca="1">S0*EXP((μ-0.5*σ*σ)*T+σ*SQRT(T)*$C3011)</f>
        <v>0.95785132731697764</v>
      </c>
      <c r="E3011" s="52">
        <f t="shared" ca="1" si="132"/>
        <v>0</v>
      </c>
      <c r="F3011" s="17">
        <f t="shared" ca="1" si="133"/>
        <v>0</v>
      </c>
      <c r="H3011" s="17">
        <v>3002</v>
      </c>
      <c r="I3011" s="45">
        <v>0.67192512751571798</v>
      </c>
      <c r="J3011" s="45">
        <v>1.9943673775004948E-2</v>
      </c>
      <c r="K3011" s="45">
        <v>0.24840000000000001</v>
      </c>
      <c r="N3011" s="54"/>
    </row>
    <row r="3012" spans="2:14" x14ac:dyDescent="0.2">
      <c r="B3012">
        <v>3003</v>
      </c>
      <c r="C3012" s="52">
        <f ca="1"/>
        <v>-1.3640490901402258</v>
      </c>
      <c r="D3012" s="52">
        <f ca="1">S0*EXP((μ-0.5*σ*σ)*T+σ*SQRT(T)*$C3012)</f>
        <v>0.44158814217855358</v>
      </c>
      <c r="E3012" s="52">
        <f t="shared" ca="1" si="132"/>
        <v>9.2811857821446409E-2</v>
      </c>
      <c r="F3012" s="17">
        <f t="shared" ca="1" si="133"/>
        <v>1</v>
      </c>
      <c r="H3012" s="17">
        <v>3003</v>
      </c>
      <c r="I3012" s="45">
        <v>0.67015811305087103</v>
      </c>
      <c r="J3012" s="45">
        <v>1.8345810779044826E-2</v>
      </c>
      <c r="K3012" s="45">
        <v>0.24</v>
      </c>
      <c r="N3012" s="54"/>
    </row>
    <row r="3013" spans="2:14" x14ac:dyDescent="0.2">
      <c r="B3013">
        <v>3004</v>
      </c>
      <c r="C3013" s="52">
        <f ca="1"/>
        <v>0.90542870191872593</v>
      </c>
      <c r="D3013" s="52">
        <f ca="1">S0*EXP((μ-0.5*σ*σ)*T+σ*SQRT(T)*$C3013)</f>
        <v>0.82694244023175079</v>
      </c>
      <c r="E3013" s="52">
        <f t="shared" ca="1" si="132"/>
        <v>0</v>
      </c>
      <c r="F3013" s="17">
        <f t="shared" ca="1" si="133"/>
        <v>0</v>
      </c>
      <c r="H3013" s="17">
        <v>3004</v>
      </c>
      <c r="I3013" s="45">
        <v>0.67202036075350902</v>
      </c>
      <c r="J3013" s="45">
        <v>1.9867550715286453E-2</v>
      </c>
      <c r="K3013" s="45">
        <v>0.24979999999999999</v>
      </c>
      <c r="N3013" s="54"/>
    </row>
    <row r="3014" spans="2:14" x14ac:dyDescent="0.2">
      <c r="B3014">
        <v>3005</v>
      </c>
      <c r="C3014" s="52">
        <f ca="1"/>
        <v>-6.5555336469843004E-2</v>
      </c>
      <c r="D3014" s="52">
        <f ca="1">S0*EXP((μ-0.5*σ*σ)*T+σ*SQRT(T)*$C3014)</f>
        <v>0.63227443601603395</v>
      </c>
      <c r="E3014" s="52">
        <f t="shared" ca="1" si="132"/>
        <v>0</v>
      </c>
      <c r="F3014" s="17">
        <f t="shared" ca="1" si="133"/>
        <v>0</v>
      </c>
      <c r="H3014" s="17">
        <v>3005</v>
      </c>
      <c r="I3014" s="45">
        <v>0.67196572917951258</v>
      </c>
      <c r="J3014" s="45">
        <v>1.9856631979919208E-2</v>
      </c>
      <c r="K3014" s="45">
        <v>0.249</v>
      </c>
      <c r="N3014" s="54"/>
    </row>
    <row r="3015" spans="2:14" x14ac:dyDescent="0.2">
      <c r="B3015">
        <v>3006</v>
      </c>
      <c r="C3015" s="52">
        <f ca="1"/>
        <v>-1.2878169118573393</v>
      </c>
      <c r="D3015" s="52">
        <f ca="1">S0*EXP((μ-0.5*σ*σ)*T+σ*SQRT(T)*$C3015)</f>
        <v>0.45099249351174409</v>
      </c>
      <c r="E3015" s="52">
        <f t="shared" ca="1" si="132"/>
        <v>8.34075064882559E-2</v>
      </c>
      <c r="F3015" s="17">
        <f t="shared" ca="1" si="133"/>
        <v>1</v>
      </c>
      <c r="H3015" s="17">
        <v>3006</v>
      </c>
      <c r="I3015" s="45">
        <v>0.67016853724330416</v>
      </c>
      <c r="J3015" s="45">
        <v>1.8278326084328458E-2</v>
      </c>
      <c r="K3015" s="45">
        <v>0.2432</v>
      </c>
      <c r="N3015" s="54"/>
    </row>
    <row r="3016" spans="2:14" x14ac:dyDescent="0.2">
      <c r="B3016">
        <v>3007</v>
      </c>
      <c r="C3016" s="52">
        <f ca="1"/>
        <v>-0.19558352234089346</v>
      </c>
      <c r="D3016" s="52">
        <f ca="1">S0*EXP((μ-0.5*σ*σ)*T+σ*SQRT(T)*$C3016)</f>
        <v>0.60995154276116736</v>
      </c>
      <c r="E3016" s="52">
        <f t="shared" ca="1" si="132"/>
        <v>0</v>
      </c>
      <c r="F3016" s="17">
        <f t="shared" ca="1" si="133"/>
        <v>0</v>
      </c>
      <c r="H3016" s="17">
        <v>3007</v>
      </c>
      <c r="I3016" s="45">
        <v>0.66978762403174519</v>
      </c>
      <c r="J3016" s="45">
        <v>1.8106463242153186E-2</v>
      </c>
      <c r="K3016" s="45">
        <v>0.2384</v>
      </c>
      <c r="N3016" s="54"/>
    </row>
    <row r="3017" spans="2:14" x14ac:dyDescent="0.2">
      <c r="B3017">
        <v>3008</v>
      </c>
      <c r="C3017" s="52">
        <f ca="1"/>
        <v>0.15902319495163075</v>
      </c>
      <c r="D3017" s="52">
        <f ca="1">S0*EXP((μ-0.5*σ*σ)*T+σ*SQRT(T)*$C3017)</f>
        <v>0.67277055437202349</v>
      </c>
      <c r="E3017" s="52">
        <f t="shared" ca="1" si="132"/>
        <v>0</v>
      </c>
      <c r="F3017" s="17">
        <f t="shared" ca="1" si="133"/>
        <v>0</v>
      </c>
      <c r="H3017" s="17">
        <v>3008</v>
      </c>
      <c r="I3017" s="45">
        <v>0.67181210167633376</v>
      </c>
      <c r="J3017" s="45">
        <v>1.9823151711936951E-2</v>
      </c>
      <c r="K3017" s="45">
        <v>0.25559999999999999</v>
      </c>
      <c r="N3017" s="54"/>
    </row>
    <row r="3018" spans="2:14" x14ac:dyDescent="0.2">
      <c r="B3018">
        <v>3009</v>
      </c>
      <c r="C3018" s="52">
        <f ca="1"/>
        <v>-1.408712353683649</v>
      </c>
      <c r="D3018" s="52">
        <f ca="1">S0*EXP((μ-0.5*σ*σ)*T+σ*SQRT(T)*$C3018)</f>
        <v>0.43616964620519721</v>
      </c>
      <c r="E3018" s="52">
        <f t="shared" ref="E3018:E3081" ca="1" si="134">MAX(0,CP*(D3018-K))</f>
        <v>9.8230353794802772E-2</v>
      </c>
      <c r="F3018" s="17">
        <f t="shared" ref="F3018:F3081" ca="1" si="135">(CP*(D3018-K)&gt;0)*1</f>
        <v>1</v>
      </c>
      <c r="H3018" s="17">
        <v>3009</v>
      </c>
      <c r="I3018" s="45">
        <v>0.6702564815246238</v>
      </c>
      <c r="J3018" s="45">
        <v>1.8490352976964282E-2</v>
      </c>
      <c r="K3018" s="45">
        <v>0.25059999999999999</v>
      </c>
      <c r="N3018" s="54"/>
    </row>
    <row r="3019" spans="2:14" x14ac:dyDescent="0.2">
      <c r="B3019">
        <v>3010</v>
      </c>
      <c r="C3019" s="52">
        <f ca="1"/>
        <v>0.50418676307023536</v>
      </c>
      <c r="D3019" s="52">
        <f ca="1">S0*EXP((μ-0.5*σ*σ)*T+σ*SQRT(T)*$C3019)</f>
        <v>0.7401247658129565</v>
      </c>
      <c r="E3019" s="52">
        <f t="shared" ca="1" si="134"/>
        <v>0</v>
      </c>
      <c r="F3019" s="17">
        <f t="shared" ca="1" si="135"/>
        <v>0</v>
      </c>
      <c r="H3019" s="17">
        <v>3010</v>
      </c>
      <c r="I3019" s="45">
        <v>0.67167916926726889</v>
      </c>
      <c r="J3019" s="45">
        <v>1.9794922454663029E-2</v>
      </c>
      <c r="K3019" s="45">
        <v>0.25979999999999998</v>
      </c>
      <c r="N3019" s="54"/>
    </row>
    <row r="3020" spans="2:14" x14ac:dyDescent="0.2">
      <c r="B3020">
        <v>3011</v>
      </c>
      <c r="C3020" s="52">
        <f ca="1"/>
        <v>1.2814976308021604</v>
      </c>
      <c r="D3020" s="52">
        <f ca="1">S0*EXP((μ-0.5*σ*σ)*T+σ*SQRT(T)*$C3020)</f>
        <v>0.91753687603775458</v>
      </c>
      <c r="E3020" s="52">
        <f t="shared" ca="1" si="134"/>
        <v>0</v>
      </c>
      <c r="F3020" s="17">
        <f t="shared" ca="1" si="135"/>
        <v>0</v>
      </c>
      <c r="H3020" s="17">
        <v>3011</v>
      </c>
      <c r="I3020" s="45">
        <v>0.67095596584410122</v>
      </c>
      <c r="J3020" s="45">
        <v>1.8972423829161117E-2</v>
      </c>
      <c r="K3020" s="45">
        <v>0.25259999999999999</v>
      </c>
      <c r="N3020" s="54"/>
    </row>
    <row r="3021" spans="2:14" x14ac:dyDescent="0.2">
      <c r="B3021">
        <v>3012</v>
      </c>
      <c r="C3021" s="52">
        <f ca="1"/>
        <v>0.93145092278342334</v>
      </c>
      <c r="D3021" s="52">
        <f ca="1">S0*EXP((μ-0.5*σ*σ)*T+σ*SQRT(T)*$C3021)</f>
        <v>0.83291240437259928</v>
      </c>
      <c r="E3021" s="52">
        <f t="shared" ca="1" si="134"/>
        <v>0</v>
      </c>
      <c r="F3021" s="17">
        <f t="shared" ca="1" si="135"/>
        <v>0</v>
      </c>
      <c r="H3021" s="17">
        <v>3012</v>
      </c>
      <c r="I3021" s="45">
        <v>0.67129413570092011</v>
      </c>
      <c r="J3021" s="45">
        <v>1.9463701615749642E-2</v>
      </c>
      <c r="K3021" s="45">
        <v>0.25340000000000001</v>
      </c>
      <c r="N3021" s="54"/>
    </row>
    <row r="3022" spans="2:14" x14ac:dyDescent="0.2">
      <c r="B3022">
        <v>3013</v>
      </c>
      <c r="C3022" s="52">
        <f ca="1"/>
        <v>0.14933016979583941</v>
      </c>
      <c r="D3022" s="52">
        <f ca="1">S0*EXP((μ-0.5*σ*σ)*T+σ*SQRT(T)*$C3022)</f>
        <v>0.67097030060718976</v>
      </c>
      <c r="E3022" s="52">
        <f t="shared" ca="1" si="134"/>
        <v>0</v>
      </c>
      <c r="F3022" s="17">
        <f t="shared" ca="1" si="135"/>
        <v>0</v>
      </c>
      <c r="H3022" s="17">
        <v>3013</v>
      </c>
      <c r="I3022" s="45">
        <v>0.67145615810428638</v>
      </c>
      <c r="J3022" s="45">
        <v>1.9510866179699392E-2</v>
      </c>
      <c r="K3022" s="45">
        <v>0.25219999999999998</v>
      </c>
      <c r="N3022" s="54"/>
    </row>
    <row r="3023" spans="2:14" x14ac:dyDescent="0.2">
      <c r="B3023">
        <v>3014</v>
      </c>
      <c r="C3023" s="52">
        <f ca="1"/>
        <v>0.25508648601064782</v>
      </c>
      <c r="D3023" s="52">
        <f ca="1">S0*EXP((μ-0.5*σ*σ)*T+σ*SQRT(T)*$C3023)</f>
        <v>0.69087530999960645</v>
      </c>
      <c r="E3023" s="52">
        <f t="shared" ca="1" si="134"/>
        <v>0</v>
      </c>
      <c r="F3023" s="17">
        <f t="shared" ca="1" si="135"/>
        <v>0</v>
      </c>
      <c r="H3023" s="17">
        <v>3014</v>
      </c>
      <c r="I3023" s="45">
        <v>0.66994597348356666</v>
      </c>
      <c r="J3023" s="45">
        <v>1.8347913296270862E-2</v>
      </c>
      <c r="K3023" s="45">
        <v>0.24279999999999999</v>
      </c>
      <c r="N3023" s="54"/>
    </row>
    <row r="3024" spans="2:14" x14ac:dyDescent="0.2">
      <c r="B3024">
        <v>3015</v>
      </c>
      <c r="C3024" s="52">
        <f ca="1"/>
        <v>-0.27699415280833212</v>
      </c>
      <c r="D3024" s="52">
        <f ca="1">S0*EXP((μ-0.5*σ*σ)*T+σ*SQRT(T)*$C3024)</f>
        <v>0.59637816491924478</v>
      </c>
      <c r="E3024" s="52">
        <f t="shared" ca="1" si="134"/>
        <v>0</v>
      </c>
      <c r="F3024" s="17">
        <f t="shared" ca="1" si="135"/>
        <v>0</v>
      </c>
      <c r="H3024" s="17">
        <v>3015</v>
      </c>
      <c r="I3024" s="45">
        <v>0.67080617325720526</v>
      </c>
      <c r="J3024" s="45">
        <v>1.8839482476762433E-2</v>
      </c>
      <c r="K3024" s="45">
        <v>0.2382</v>
      </c>
      <c r="N3024" s="54"/>
    </row>
    <row r="3025" spans="2:14" x14ac:dyDescent="0.2">
      <c r="B3025">
        <v>3016</v>
      </c>
      <c r="C3025" s="52">
        <f ca="1"/>
        <v>0.69512825869147155</v>
      </c>
      <c r="D3025" s="52">
        <f ca="1">S0*EXP((μ-0.5*σ*σ)*T+σ*SQRT(T)*$C3025)</f>
        <v>0.78023972476545445</v>
      </c>
      <c r="E3025" s="52">
        <f t="shared" ca="1" si="134"/>
        <v>0</v>
      </c>
      <c r="F3025" s="17">
        <f t="shared" ca="1" si="135"/>
        <v>0</v>
      </c>
      <c r="H3025" s="17">
        <v>3016</v>
      </c>
      <c r="I3025" s="45">
        <v>0.67044666070036596</v>
      </c>
      <c r="J3025" s="45">
        <v>1.8769531457140547E-2</v>
      </c>
      <c r="K3025" s="45">
        <v>0.24379999999999999</v>
      </c>
      <c r="N3025" s="54"/>
    </row>
    <row r="3026" spans="2:14" x14ac:dyDescent="0.2">
      <c r="B3026">
        <v>3017</v>
      </c>
      <c r="C3026" s="52">
        <f ca="1"/>
        <v>-4.8680979187998449E-2</v>
      </c>
      <c r="D3026" s="52">
        <f ca="1">S0*EXP((μ-0.5*σ*σ)*T+σ*SQRT(T)*$C3026)</f>
        <v>0.63523064606034974</v>
      </c>
      <c r="E3026" s="52">
        <f t="shared" ca="1" si="134"/>
        <v>0</v>
      </c>
      <c r="F3026" s="17">
        <f t="shared" ca="1" si="135"/>
        <v>0</v>
      </c>
      <c r="H3026" s="17">
        <v>3017</v>
      </c>
      <c r="I3026" s="45">
        <v>0.67054251981733126</v>
      </c>
      <c r="J3026" s="45">
        <v>1.861283578510841E-2</v>
      </c>
      <c r="K3026" s="45">
        <v>0.24260000000000001</v>
      </c>
      <c r="N3026" s="54"/>
    </row>
    <row r="3027" spans="2:14" x14ac:dyDescent="0.2">
      <c r="B3027">
        <v>3018</v>
      </c>
      <c r="C3027" s="52">
        <f ca="1"/>
        <v>1.8066465259423818</v>
      </c>
      <c r="D3027" s="52">
        <f ca="1">S0*EXP((μ-0.5*σ*σ)*T+σ*SQRT(T)*$C3027)</f>
        <v>1.060887392664795</v>
      </c>
      <c r="E3027" s="52">
        <f t="shared" ca="1" si="134"/>
        <v>0</v>
      </c>
      <c r="F3027" s="17">
        <f t="shared" ca="1" si="135"/>
        <v>0</v>
      </c>
      <c r="H3027" s="17">
        <v>3018</v>
      </c>
      <c r="I3027" s="45">
        <v>0.67172469216468111</v>
      </c>
      <c r="J3027" s="45">
        <v>1.9810027637354281E-2</v>
      </c>
      <c r="K3027" s="45">
        <v>0.24840000000000001</v>
      </c>
      <c r="N3027" s="54"/>
    </row>
    <row r="3028" spans="2:14" x14ac:dyDescent="0.2">
      <c r="B3028">
        <v>3019</v>
      </c>
      <c r="C3028" s="52">
        <f ca="1"/>
        <v>-0.73645815005692894</v>
      </c>
      <c r="D3028" s="52">
        <f ca="1">S0*EXP((μ-0.5*σ*σ)*T+σ*SQRT(T)*$C3028)</f>
        <v>0.52524466539452352</v>
      </c>
      <c r="E3028" s="52">
        <f t="shared" ca="1" si="134"/>
        <v>9.1553346054764617E-3</v>
      </c>
      <c r="F3028" s="17">
        <f t="shared" ca="1" si="135"/>
        <v>1</v>
      </c>
      <c r="H3028" s="17">
        <v>3019</v>
      </c>
      <c r="I3028" s="45">
        <v>0.67106403314013374</v>
      </c>
      <c r="J3028" s="45">
        <v>1.904196948108795E-2</v>
      </c>
      <c r="K3028" s="45">
        <v>0.24879999999999999</v>
      </c>
      <c r="N3028" s="54"/>
    </row>
    <row r="3029" spans="2:14" x14ac:dyDescent="0.2">
      <c r="B3029">
        <v>3020</v>
      </c>
      <c r="C3029" s="52">
        <f ca="1"/>
        <v>-0.59987945939434362</v>
      </c>
      <c r="D3029" s="52">
        <f ca="1">S0*EXP((μ-0.5*σ*σ)*T+σ*SQRT(T)*$C3029)</f>
        <v>0.54545427197856522</v>
      </c>
      <c r="E3029" s="52">
        <f t="shared" ca="1" si="134"/>
        <v>0</v>
      </c>
      <c r="F3029" s="17">
        <f t="shared" ca="1" si="135"/>
        <v>0</v>
      </c>
      <c r="H3029" s="17">
        <v>3020</v>
      </c>
      <c r="I3029" s="45">
        <v>0.66988914625152229</v>
      </c>
      <c r="J3029" s="45">
        <v>1.8231706547549961E-2</v>
      </c>
      <c r="K3029" s="45">
        <v>0.2472</v>
      </c>
      <c r="N3029" s="54"/>
    </row>
    <row r="3030" spans="2:14" x14ac:dyDescent="0.2">
      <c r="B3030">
        <v>3021</v>
      </c>
      <c r="C3030" s="52">
        <f ca="1"/>
        <v>3.5307037886350014E-2</v>
      </c>
      <c r="D3030" s="52">
        <f ca="1">S0*EXP((μ-0.5*σ*σ)*T+σ*SQRT(T)*$C3030)</f>
        <v>0.65015134464840119</v>
      </c>
      <c r="E3030" s="52">
        <f t="shared" ca="1" si="134"/>
        <v>0</v>
      </c>
      <c r="F3030" s="17">
        <f t="shared" ca="1" si="135"/>
        <v>0</v>
      </c>
      <c r="H3030" s="17">
        <v>3021</v>
      </c>
      <c r="I3030" s="45">
        <v>0.67133741341801323</v>
      </c>
      <c r="J3030" s="45">
        <v>1.9159308575673384E-2</v>
      </c>
      <c r="K3030" s="45">
        <v>0.24479999999999999</v>
      </c>
      <c r="N3030" s="54"/>
    </row>
    <row r="3031" spans="2:14" x14ac:dyDescent="0.2">
      <c r="B3031">
        <v>3022</v>
      </c>
      <c r="C3031" s="52">
        <f ca="1"/>
        <v>0.74138220498113683</v>
      </c>
      <c r="D3031" s="52">
        <f ca="1">S0*EXP((μ-0.5*σ*σ)*T+σ*SQRT(T)*$C3031)</f>
        <v>0.79027999484055922</v>
      </c>
      <c r="E3031" s="52">
        <f t="shared" ca="1" si="134"/>
        <v>0</v>
      </c>
      <c r="F3031" s="17">
        <f t="shared" ca="1" si="135"/>
        <v>0</v>
      </c>
      <c r="H3031" s="17">
        <v>3022</v>
      </c>
      <c r="I3031" s="45">
        <v>0.67077238195933608</v>
      </c>
      <c r="J3031" s="45">
        <v>1.8898194615635872E-2</v>
      </c>
      <c r="K3031" s="45">
        <v>0.247</v>
      </c>
      <c r="N3031" s="54"/>
    </row>
    <row r="3032" spans="2:14" x14ac:dyDescent="0.2">
      <c r="B3032">
        <v>3023</v>
      </c>
      <c r="C3032" s="52">
        <f ca="1"/>
        <v>-0.8783093320862787</v>
      </c>
      <c r="D3032" s="52">
        <f ca="1">S0*EXP((μ-0.5*σ*σ)*T+σ*SQRT(T)*$C3032)</f>
        <v>0.50504720726335028</v>
      </c>
      <c r="E3032" s="52">
        <f t="shared" ca="1" si="134"/>
        <v>2.9352792736649702E-2</v>
      </c>
      <c r="F3032" s="17">
        <f t="shared" ca="1" si="135"/>
        <v>1</v>
      </c>
      <c r="H3032" s="17">
        <v>3023</v>
      </c>
      <c r="I3032" s="45">
        <v>0.6706978262480312</v>
      </c>
      <c r="J3032" s="45">
        <v>1.8991601618437867E-2</v>
      </c>
      <c r="K3032" s="45">
        <v>0.24560000000000001</v>
      </c>
      <c r="N3032" s="54"/>
    </row>
    <row r="3033" spans="2:14" x14ac:dyDescent="0.2">
      <c r="B3033">
        <v>3024</v>
      </c>
      <c r="C3033" s="52">
        <f ca="1"/>
        <v>0.24639033926597481</v>
      </c>
      <c r="D3033" s="52">
        <f ca="1">S0*EXP((μ-0.5*σ*σ)*T+σ*SQRT(T)*$C3033)</f>
        <v>0.68921651102257764</v>
      </c>
      <c r="E3033" s="52">
        <f t="shared" ca="1" si="134"/>
        <v>0</v>
      </c>
      <c r="F3033" s="17">
        <f t="shared" ca="1" si="135"/>
        <v>0</v>
      </c>
      <c r="H3033" s="17">
        <v>3024</v>
      </c>
      <c r="I3033" s="45">
        <v>0.67090810965968262</v>
      </c>
      <c r="J3033" s="45">
        <v>1.901604150191696E-2</v>
      </c>
      <c r="K3033" s="45">
        <v>0.24060000000000001</v>
      </c>
      <c r="N3033" s="54"/>
    </row>
    <row r="3034" spans="2:14" x14ac:dyDescent="0.2">
      <c r="B3034">
        <v>3025</v>
      </c>
      <c r="C3034" s="52">
        <f ca="1"/>
        <v>1.7374556933416221</v>
      </c>
      <c r="D3034" s="52">
        <f ca="1">S0*EXP((μ-0.5*σ*σ)*T+σ*SQRT(T)*$C3034)</f>
        <v>1.0407890475538986</v>
      </c>
      <c r="E3034" s="52">
        <f t="shared" ca="1" si="134"/>
        <v>0</v>
      </c>
      <c r="F3034" s="17">
        <f t="shared" ca="1" si="135"/>
        <v>0</v>
      </c>
      <c r="H3034" s="17">
        <v>3025</v>
      </c>
      <c r="I3034" s="45">
        <v>0.66995470105512023</v>
      </c>
      <c r="J3034" s="45">
        <v>1.8270987653613516E-2</v>
      </c>
      <c r="K3034" s="45">
        <v>0.24479999999999999</v>
      </c>
      <c r="N3034" s="54"/>
    </row>
    <row r="3035" spans="2:14" x14ac:dyDescent="0.2">
      <c r="B3035">
        <v>3026</v>
      </c>
      <c r="C3035" s="52">
        <f ca="1"/>
        <v>-8.586184390659507E-2</v>
      </c>
      <c r="D3035" s="52">
        <f ca="1">S0*EXP((μ-0.5*σ*σ)*T+σ*SQRT(T)*$C3035)</f>
        <v>0.62873518292763497</v>
      </c>
      <c r="E3035" s="52">
        <f t="shared" ca="1" si="134"/>
        <v>0</v>
      </c>
      <c r="F3035" s="17">
        <f t="shared" ca="1" si="135"/>
        <v>0</v>
      </c>
      <c r="H3035" s="17">
        <v>3026</v>
      </c>
      <c r="I3035" s="45">
        <v>0.67101400726604277</v>
      </c>
      <c r="J3035" s="45">
        <v>1.9117473045852297E-2</v>
      </c>
      <c r="K3035" s="45">
        <v>0.2462</v>
      </c>
      <c r="N3035" s="54"/>
    </row>
    <row r="3036" spans="2:14" x14ac:dyDescent="0.2">
      <c r="B3036">
        <v>3027</v>
      </c>
      <c r="C3036" s="52">
        <f ca="1"/>
        <v>0.38903244482613991</v>
      </c>
      <c r="D3036" s="52">
        <f ca="1">S0*EXP((μ-0.5*σ*σ)*T+σ*SQRT(T)*$C3036)</f>
        <v>0.71693585736869447</v>
      </c>
      <c r="E3036" s="52">
        <f t="shared" ca="1" si="134"/>
        <v>0</v>
      </c>
      <c r="F3036" s="17">
        <f t="shared" ca="1" si="135"/>
        <v>0</v>
      </c>
      <c r="H3036" s="17">
        <v>3027</v>
      </c>
      <c r="I3036" s="45">
        <v>0.67154059883142858</v>
      </c>
      <c r="J3036" s="45">
        <v>1.947127191116688E-2</v>
      </c>
      <c r="K3036" s="45">
        <v>0.24660000000000001</v>
      </c>
      <c r="N3036" s="54"/>
    </row>
    <row r="3037" spans="2:14" x14ac:dyDescent="0.2">
      <c r="B3037">
        <v>3028</v>
      </c>
      <c r="C3037" s="52">
        <f ca="1"/>
        <v>0.30022396809706592</v>
      </c>
      <c r="D3037" s="52">
        <f ca="1">S0*EXP((μ-0.5*σ*σ)*T+σ*SQRT(T)*$C3037)</f>
        <v>0.69954968889869473</v>
      </c>
      <c r="E3037" s="52">
        <f t="shared" ca="1" si="134"/>
        <v>0</v>
      </c>
      <c r="F3037" s="17">
        <f t="shared" ca="1" si="135"/>
        <v>0</v>
      </c>
      <c r="H3037" s="17">
        <v>3028</v>
      </c>
      <c r="I3037" s="45">
        <v>0.67146906195402012</v>
      </c>
      <c r="J3037" s="45">
        <v>1.9187687887632136E-2</v>
      </c>
      <c r="K3037" s="45">
        <v>0.2404</v>
      </c>
      <c r="N3037" s="54"/>
    </row>
    <row r="3038" spans="2:14" x14ac:dyDescent="0.2">
      <c r="B3038">
        <v>3029</v>
      </c>
      <c r="C3038" s="52">
        <f ca="1"/>
        <v>0.5961586472196605</v>
      </c>
      <c r="D3038" s="52">
        <f ca="1">S0*EXP((μ-0.5*σ*σ)*T+σ*SQRT(T)*$C3038)</f>
        <v>0.75918295326768503</v>
      </c>
      <c r="E3038" s="52">
        <f t="shared" ca="1" si="134"/>
        <v>0</v>
      </c>
      <c r="F3038" s="17">
        <f t="shared" ca="1" si="135"/>
        <v>0</v>
      </c>
      <c r="H3038" s="17">
        <v>3029</v>
      </c>
      <c r="I3038" s="45">
        <v>0.67074196326447311</v>
      </c>
      <c r="J3038" s="45">
        <v>1.8910088224233682E-2</v>
      </c>
      <c r="K3038" s="45">
        <v>0.2432</v>
      </c>
      <c r="N3038" s="54"/>
    </row>
    <row r="3039" spans="2:14" x14ac:dyDescent="0.2">
      <c r="B3039">
        <v>3030</v>
      </c>
      <c r="C3039" s="52">
        <f ca="1"/>
        <v>1.03776087721029</v>
      </c>
      <c r="D3039" s="52">
        <f ca="1">S0*EXP((μ-0.5*σ*σ)*T+σ*SQRT(T)*$C3039)</f>
        <v>0.85775285283212388</v>
      </c>
      <c r="E3039" s="52">
        <f t="shared" ca="1" si="134"/>
        <v>0</v>
      </c>
      <c r="F3039" s="17">
        <f t="shared" ca="1" si="135"/>
        <v>0</v>
      </c>
      <c r="H3039" s="17">
        <v>3030</v>
      </c>
      <c r="I3039" s="45">
        <v>0.67031885038450134</v>
      </c>
      <c r="J3039" s="45">
        <v>1.8492132209034031E-2</v>
      </c>
      <c r="K3039" s="45">
        <v>0.245</v>
      </c>
      <c r="N3039" s="54"/>
    </row>
    <row r="3040" spans="2:14" x14ac:dyDescent="0.2">
      <c r="B3040">
        <v>3031</v>
      </c>
      <c r="C3040" s="52">
        <f ca="1"/>
        <v>-2.8059133436915831</v>
      </c>
      <c r="D3040" s="52">
        <f ca="1">S0*EXP((μ-0.5*σ*σ)*T+σ*SQRT(T)*$C3040)</f>
        <v>0.29642655572830046</v>
      </c>
      <c r="E3040" s="52">
        <f t="shared" ca="1" si="134"/>
        <v>0.23797344427169953</v>
      </c>
      <c r="F3040" s="17">
        <f t="shared" ca="1" si="135"/>
        <v>1</v>
      </c>
      <c r="H3040" s="17">
        <v>3031</v>
      </c>
      <c r="I3040" s="45">
        <v>0.67222535370882841</v>
      </c>
      <c r="J3040" s="45">
        <v>2.016529947091325E-2</v>
      </c>
      <c r="K3040" s="45">
        <v>0.26</v>
      </c>
      <c r="N3040" s="54"/>
    </row>
    <row r="3041" spans="2:14" x14ac:dyDescent="0.2">
      <c r="B3041">
        <v>3032</v>
      </c>
      <c r="C3041" s="52">
        <f ca="1"/>
        <v>-0.21154248273807424</v>
      </c>
      <c r="D3041" s="52">
        <f ca="1">S0*EXP((μ-0.5*σ*σ)*T+σ*SQRT(T)*$C3041)</f>
        <v>0.6072666221816122</v>
      </c>
      <c r="E3041" s="52">
        <f t="shared" ca="1" si="134"/>
        <v>0</v>
      </c>
      <c r="F3041" s="17">
        <f t="shared" ca="1" si="135"/>
        <v>0</v>
      </c>
      <c r="H3041" s="17">
        <v>3032</v>
      </c>
      <c r="I3041" s="45">
        <v>0.6707186124984188</v>
      </c>
      <c r="J3041" s="45">
        <v>1.8620266157021306E-2</v>
      </c>
      <c r="K3041" s="45">
        <v>0.245</v>
      </c>
      <c r="N3041" s="54"/>
    </row>
    <row r="3042" spans="2:14" x14ac:dyDescent="0.2">
      <c r="B3042">
        <v>3033</v>
      </c>
      <c r="C3042" s="52">
        <f ca="1"/>
        <v>1.5525344777710308</v>
      </c>
      <c r="D3042" s="52">
        <f ca="1">S0*EXP((μ-0.5*σ*σ)*T+σ*SQRT(T)*$C3042)</f>
        <v>0.9889226989131783</v>
      </c>
      <c r="E3042" s="52">
        <f t="shared" ca="1" si="134"/>
        <v>0</v>
      </c>
      <c r="F3042" s="17">
        <f t="shared" ca="1" si="135"/>
        <v>0</v>
      </c>
      <c r="H3042" s="17">
        <v>3033</v>
      </c>
      <c r="I3042" s="45">
        <v>0.67034521779073175</v>
      </c>
      <c r="J3042" s="45">
        <v>1.8508491761715273E-2</v>
      </c>
      <c r="K3042" s="45">
        <v>0.24340000000000001</v>
      </c>
      <c r="N3042" s="54"/>
    </row>
    <row r="3043" spans="2:14" x14ac:dyDescent="0.2">
      <c r="B3043">
        <v>3034</v>
      </c>
      <c r="C3043" s="52">
        <f ca="1"/>
        <v>0.3534524553308333</v>
      </c>
      <c r="D3043" s="52">
        <f ca="1">S0*EXP((μ-0.5*σ*σ)*T+σ*SQRT(T)*$C3043)</f>
        <v>0.70991902266916751</v>
      </c>
      <c r="E3043" s="52">
        <f t="shared" ca="1" si="134"/>
        <v>0</v>
      </c>
      <c r="F3043" s="17">
        <f t="shared" ca="1" si="135"/>
        <v>0</v>
      </c>
      <c r="H3043" s="17">
        <v>3034</v>
      </c>
      <c r="I3043" s="45">
        <v>0.67150282147611884</v>
      </c>
      <c r="J3043" s="45">
        <v>1.9216589748706936E-2</v>
      </c>
      <c r="K3043" s="45">
        <v>0.24779999999999999</v>
      </c>
      <c r="N3043" s="54"/>
    </row>
    <row r="3044" spans="2:14" x14ac:dyDescent="0.2">
      <c r="B3044">
        <v>3035</v>
      </c>
      <c r="C3044" s="52">
        <f ca="1"/>
        <v>-1.2631872855042103</v>
      </c>
      <c r="D3044" s="52">
        <f ca="1">S0*EXP((μ-0.5*σ*σ)*T+σ*SQRT(T)*$C3044)</f>
        <v>0.45407352068855927</v>
      </c>
      <c r="E3044" s="52">
        <f t="shared" ca="1" si="134"/>
        <v>8.0326479311440713E-2</v>
      </c>
      <c r="F3044" s="17">
        <f t="shared" ca="1" si="135"/>
        <v>1</v>
      </c>
      <c r="H3044" s="17">
        <v>3035</v>
      </c>
      <c r="I3044" s="45">
        <v>0.67094441147182871</v>
      </c>
      <c r="J3044" s="45">
        <v>1.9197739926587361E-2</v>
      </c>
      <c r="K3044" s="45">
        <v>0.26019999999999999</v>
      </c>
      <c r="N3044" s="54"/>
    </row>
    <row r="3045" spans="2:14" x14ac:dyDescent="0.2">
      <c r="B3045">
        <v>3036</v>
      </c>
      <c r="C3045" s="52">
        <f ca="1"/>
        <v>3.8507912457894741E-2</v>
      </c>
      <c r="D3045" s="52">
        <f ca="1">S0*EXP((μ-0.5*σ*σ)*T+σ*SQRT(T)*$C3045)</f>
        <v>0.650726869915357</v>
      </c>
      <c r="E3045" s="52">
        <f t="shared" ca="1" si="134"/>
        <v>0</v>
      </c>
      <c r="F3045" s="17">
        <f t="shared" ca="1" si="135"/>
        <v>0</v>
      </c>
      <c r="H3045" s="17">
        <v>3036</v>
      </c>
      <c r="I3045" s="45">
        <v>0.66948115686074194</v>
      </c>
      <c r="J3045" s="45">
        <v>1.7871503931437466E-2</v>
      </c>
      <c r="K3045" s="45">
        <v>0.2382</v>
      </c>
      <c r="N3045" s="54"/>
    </row>
    <row r="3046" spans="2:14" x14ac:dyDescent="0.2">
      <c r="B3046">
        <v>3037</v>
      </c>
      <c r="C3046" s="52">
        <f ca="1"/>
        <v>2.2532627446328934</v>
      </c>
      <c r="D3046" s="52">
        <f ca="1">S0*EXP((μ-0.5*σ*σ)*T+σ*SQRT(T)*$C3046)</f>
        <v>1.2002921247628482</v>
      </c>
      <c r="E3046" s="52">
        <f t="shared" ca="1" si="134"/>
        <v>0</v>
      </c>
      <c r="F3046" s="17">
        <f t="shared" ca="1" si="135"/>
        <v>0</v>
      </c>
      <c r="H3046" s="17">
        <v>3037</v>
      </c>
      <c r="I3046" s="45">
        <v>0.67113186855271967</v>
      </c>
      <c r="J3046" s="45">
        <v>1.9132748492323319E-2</v>
      </c>
      <c r="K3046" s="45">
        <v>0.24199999999999999</v>
      </c>
      <c r="N3046" s="54"/>
    </row>
    <row r="3047" spans="2:14" x14ac:dyDescent="0.2">
      <c r="B3047">
        <v>3038</v>
      </c>
      <c r="C3047" s="52">
        <f ca="1"/>
        <v>-0.70100218043960616</v>
      </c>
      <c r="D3047" s="52">
        <f ca="1">S0*EXP((μ-0.5*σ*σ)*T+σ*SQRT(T)*$C3047)</f>
        <v>0.53041799532778655</v>
      </c>
      <c r="E3047" s="52">
        <f t="shared" ca="1" si="134"/>
        <v>3.982004672213435E-3</v>
      </c>
      <c r="F3047" s="17">
        <f t="shared" ca="1" si="135"/>
        <v>1</v>
      </c>
      <c r="H3047" s="17">
        <v>3038</v>
      </c>
      <c r="I3047" s="45">
        <v>0.66990186767079962</v>
      </c>
      <c r="J3047" s="45">
        <v>1.8373251631099149E-2</v>
      </c>
      <c r="K3047" s="45">
        <v>0.24679999999999999</v>
      </c>
      <c r="N3047" s="54"/>
    </row>
    <row r="3048" spans="2:14" x14ac:dyDescent="0.2">
      <c r="B3048">
        <v>3039</v>
      </c>
      <c r="C3048" s="52">
        <f ca="1"/>
        <v>0.42434176855392136</v>
      </c>
      <c r="D3048" s="52">
        <f ca="1">S0*EXP((μ-0.5*σ*σ)*T+σ*SQRT(T)*$C3048)</f>
        <v>0.72396787651831962</v>
      </c>
      <c r="E3048" s="52">
        <f t="shared" ca="1" si="134"/>
        <v>0</v>
      </c>
      <c r="F3048" s="17">
        <f t="shared" ca="1" si="135"/>
        <v>0</v>
      </c>
      <c r="H3048" s="17">
        <v>3039</v>
      </c>
      <c r="I3048" s="45">
        <v>0.67174868120095221</v>
      </c>
      <c r="J3048" s="45">
        <v>1.9645062888238869E-2</v>
      </c>
      <c r="K3048" s="45">
        <v>0.2462</v>
      </c>
      <c r="N3048" s="54"/>
    </row>
    <row r="3049" spans="2:14" x14ac:dyDescent="0.2">
      <c r="B3049">
        <v>3040</v>
      </c>
      <c r="C3049" s="52">
        <f ca="1"/>
        <v>1.3456499989623374</v>
      </c>
      <c r="D3049" s="52">
        <f ca="1">S0*EXP((μ-0.5*σ*σ)*T+σ*SQRT(T)*$C3049)</f>
        <v>0.93395342548093818</v>
      </c>
      <c r="E3049" s="52">
        <f t="shared" ca="1" si="134"/>
        <v>0</v>
      </c>
      <c r="F3049" s="17">
        <f t="shared" ca="1" si="135"/>
        <v>0</v>
      </c>
      <c r="H3049" s="17">
        <v>3040</v>
      </c>
      <c r="I3049" s="45">
        <v>0.67093398894066658</v>
      </c>
      <c r="J3049" s="45">
        <v>1.9034114710245721E-2</v>
      </c>
      <c r="K3049" s="45">
        <v>0.2576</v>
      </c>
      <c r="N3049" s="54"/>
    </row>
    <row r="3050" spans="2:14" x14ac:dyDescent="0.2">
      <c r="B3050">
        <v>3041</v>
      </c>
      <c r="C3050" s="52">
        <f ca="1"/>
        <v>-0.31635912325051707</v>
      </c>
      <c r="D3050" s="52">
        <f ca="1">S0*EXP((μ-0.5*σ*σ)*T+σ*SQRT(T)*$C3050)</f>
        <v>0.58992370386023985</v>
      </c>
      <c r="E3050" s="52">
        <f t="shared" ca="1" si="134"/>
        <v>0</v>
      </c>
      <c r="F3050" s="17">
        <f t="shared" ca="1" si="135"/>
        <v>0</v>
      </c>
      <c r="H3050" s="17">
        <v>3041</v>
      </c>
      <c r="I3050" s="45">
        <v>0.6702206183119972</v>
      </c>
      <c r="J3050" s="45">
        <v>1.8181665439132549E-2</v>
      </c>
      <c r="K3050" s="45">
        <v>0.23880000000000001</v>
      </c>
      <c r="N3050" s="54"/>
    </row>
    <row r="3051" spans="2:14" x14ac:dyDescent="0.2">
      <c r="B3051">
        <v>3042</v>
      </c>
      <c r="C3051" s="52">
        <f ca="1"/>
        <v>-0.92496981268012246</v>
      </c>
      <c r="D3051" s="52">
        <f ca="1">S0*EXP((μ-0.5*σ*σ)*T+σ*SQRT(T)*$C3051)</f>
        <v>0.49857470149728023</v>
      </c>
      <c r="E3051" s="52">
        <f t="shared" ca="1" si="134"/>
        <v>3.582529850271976E-2</v>
      </c>
      <c r="F3051" s="17">
        <f t="shared" ca="1" si="135"/>
        <v>1</v>
      </c>
      <c r="H3051" s="17">
        <v>3042</v>
      </c>
      <c r="I3051" s="45">
        <v>0.67227937283315276</v>
      </c>
      <c r="J3051" s="45">
        <v>1.9755404517669346E-2</v>
      </c>
      <c r="K3051" s="45">
        <v>0.247</v>
      </c>
      <c r="N3051" s="54"/>
    </row>
    <row r="3052" spans="2:14" x14ac:dyDescent="0.2">
      <c r="B3052">
        <v>3043</v>
      </c>
      <c r="C3052" s="52">
        <f ca="1"/>
        <v>-0.42363766301209305</v>
      </c>
      <c r="D3052" s="52">
        <f ca="1">S0*EXP((μ-0.5*σ*σ)*T+σ*SQRT(T)*$C3052)</f>
        <v>0.57268620800911763</v>
      </c>
      <c r="E3052" s="52">
        <f t="shared" ca="1" si="134"/>
        <v>0</v>
      </c>
      <c r="F3052" s="17">
        <f t="shared" ca="1" si="135"/>
        <v>0</v>
      </c>
      <c r="H3052" s="17">
        <v>3043</v>
      </c>
      <c r="I3052" s="45">
        <v>0.67108234347893059</v>
      </c>
      <c r="J3052" s="45">
        <v>1.9045388371217463E-2</v>
      </c>
      <c r="K3052" s="45">
        <v>0.25240000000000001</v>
      </c>
      <c r="N3052" s="54"/>
    </row>
    <row r="3053" spans="2:14" x14ac:dyDescent="0.2">
      <c r="B3053">
        <v>3044</v>
      </c>
      <c r="C3053" s="52">
        <f ca="1"/>
        <v>-0.55768721256775233</v>
      </c>
      <c r="D3053" s="52">
        <f ca="1">S0*EXP((μ-0.5*σ*σ)*T+σ*SQRT(T)*$C3053)</f>
        <v>0.55185331808518134</v>
      </c>
      <c r="E3053" s="52">
        <f t="shared" ca="1" si="134"/>
        <v>0</v>
      </c>
      <c r="F3053" s="17">
        <f t="shared" ca="1" si="135"/>
        <v>0</v>
      </c>
      <c r="H3053" s="17">
        <v>3044</v>
      </c>
      <c r="I3053" s="45">
        <v>0.672048780501045</v>
      </c>
      <c r="J3053" s="45">
        <v>1.9772836402890782E-2</v>
      </c>
      <c r="K3053" s="45">
        <v>0.25080000000000002</v>
      </c>
      <c r="N3053" s="54"/>
    </row>
    <row r="3054" spans="2:14" x14ac:dyDescent="0.2">
      <c r="B3054">
        <v>3045</v>
      </c>
      <c r="C3054" s="52">
        <f ca="1"/>
        <v>0.19587520048656326</v>
      </c>
      <c r="D3054" s="52">
        <f ca="1">S0*EXP((μ-0.5*σ*σ)*T+σ*SQRT(T)*$C3054)</f>
        <v>0.67965915808875144</v>
      </c>
      <c r="E3054" s="52">
        <f t="shared" ca="1" si="134"/>
        <v>0</v>
      </c>
      <c r="F3054" s="17">
        <f t="shared" ca="1" si="135"/>
        <v>0</v>
      </c>
      <c r="H3054" s="17">
        <v>3045</v>
      </c>
      <c r="I3054" s="45">
        <v>0.67180417425081174</v>
      </c>
      <c r="J3054" s="45">
        <v>1.9851632949775135E-2</v>
      </c>
      <c r="K3054" s="45">
        <v>0.26</v>
      </c>
      <c r="N3054" s="54"/>
    </row>
    <row r="3055" spans="2:14" x14ac:dyDescent="0.2">
      <c r="B3055">
        <v>3046</v>
      </c>
      <c r="C3055" s="52">
        <f ca="1"/>
        <v>1.1749074802606019</v>
      </c>
      <c r="D3055" s="52">
        <f ca="1">S0*EXP((μ-0.5*σ*σ)*T+σ*SQRT(T)*$C3055)</f>
        <v>0.8908960801249538</v>
      </c>
      <c r="E3055" s="52">
        <f t="shared" ca="1" si="134"/>
        <v>0</v>
      </c>
      <c r="F3055" s="17">
        <f t="shared" ca="1" si="135"/>
        <v>0</v>
      </c>
      <c r="H3055" s="17">
        <v>3046</v>
      </c>
      <c r="I3055" s="45">
        <v>0.67100087664332864</v>
      </c>
      <c r="J3055" s="45">
        <v>1.9145178716328363E-2</v>
      </c>
      <c r="K3055" s="45">
        <v>0.25040000000000001</v>
      </c>
      <c r="N3055" s="54"/>
    </row>
    <row r="3056" spans="2:14" x14ac:dyDescent="0.2">
      <c r="B3056">
        <v>3047</v>
      </c>
      <c r="C3056" s="52">
        <f ca="1"/>
        <v>0.45707431253846775</v>
      </c>
      <c r="D3056" s="52">
        <f ca="1">S0*EXP((μ-0.5*σ*σ)*T+σ*SQRT(T)*$C3056)</f>
        <v>0.73054830967293893</v>
      </c>
      <c r="E3056" s="52">
        <f t="shared" ca="1" si="134"/>
        <v>0</v>
      </c>
      <c r="F3056" s="17">
        <f t="shared" ca="1" si="135"/>
        <v>0</v>
      </c>
      <c r="H3056" s="17">
        <v>3047</v>
      </c>
      <c r="I3056" s="45">
        <v>0.67159842842094852</v>
      </c>
      <c r="J3056" s="45">
        <v>1.9361557745429674E-2</v>
      </c>
      <c r="K3056" s="45">
        <v>0.2472</v>
      </c>
      <c r="N3056" s="54"/>
    </row>
    <row r="3057" spans="2:14" x14ac:dyDescent="0.2">
      <c r="B3057">
        <v>3048</v>
      </c>
      <c r="C3057" s="52">
        <f ca="1"/>
        <v>2.5501479151694726</v>
      </c>
      <c r="D3057" s="52">
        <f ca="1">S0*EXP((μ-0.5*σ*σ)*T+σ*SQRT(T)*$C3057)</f>
        <v>1.3029535880867791</v>
      </c>
      <c r="E3057" s="52">
        <f t="shared" ca="1" si="134"/>
        <v>0</v>
      </c>
      <c r="F3057" s="17">
        <f t="shared" ca="1" si="135"/>
        <v>0</v>
      </c>
      <c r="H3057" s="17">
        <v>3048</v>
      </c>
      <c r="I3057" s="45">
        <v>0.66994259281454471</v>
      </c>
      <c r="J3057" s="45">
        <v>1.8228628470690462E-2</v>
      </c>
      <c r="K3057" s="45">
        <v>0.2402</v>
      </c>
      <c r="N3057" s="54"/>
    </row>
    <row r="3058" spans="2:14" x14ac:dyDescent="0.2">
      <c r="B3058">
        <v>3049</v>
      </c>
      <c r="C3058" s="52">
        <f ca="1"/>
        <v>-0.63199942252717367</v>
      </c>
      <c r="D3058" s="52">
        <f ca="1">S0*EXP((μ-0.5*σ*σ)*T+σ*SQRT(T)*$C3058)</f>
        <v>0.54063261974493049</v>
      </c>
      <c r="E3058" s="52">
        <f t="shared" ca="1" si="134"/>
        <v>0</v>
      </c>
      <c r="F3058" s="17">
        <f t="shared" ca="1" si="135"/>
        <v>0</v>
      </c>
      <c r="H3058" s="17">
        <v>3049</v>
      </c>
      <c r="I3058" s="45">
        <v>0.67094125686722039</v>
      </c>
      <c r="J3058" s="45">
        <v>1.9015210141450998E-2</v>
      </c>
      <c r="K3058" s="45">
        <v>0.25140000000000001</v>
      </c>
      <c r="N3058" s="54"/>
    </row>
    <row r="3059" spans="2:14" x14ac:dyDescent="0.2">
      <c r="B3059">
        <v>3050</v>
      </c>
      <c r="C3059" s="52">
        <f ca="1"/>
        <v>-1.7516156093258788E-2</v>
      </c>
      <c r="D3059" s="52">
        <f ca="1">S0*EXP((μ-0.5*σ*σ)*T+σ*SQRT(T)*$C3059)</f>
        <v>0.64072677977336334</v>
      </c>
      <c r="E3059" s="52">
        <f t="shared" ca="1" si="134"/>
        <v>0</v>
      </c>
      <c r="F3059" s="17">
        <f t="shared" ca="1" si="135"/>
        <v>0</v>
      </c>
      <c r="H3059" s="17">
        <v>3050</v>
      </c>
      <c r="I3059" s="45">
        <v>0.67067019316989596</v>
      </c>
      <c r="J3059" s="45">
        <v>1.8811434505574379E-2</v>
      </c>
      <c r="K3059" s="45">
        <v>0.24660000000000001</v>
      </c>
      <c r="N3059" s="54"/>
    </row>
    <row r="3060" spans="2:14" x14ac:dyDescent="0.2">
      <c r="B3060">
        <v>3051</v>
      </c>
      <c r="C3060" s="52">
        <f ca="1"/>
        <v>-0.51097359625160599</v>
      </c>
      <c r="D3060" s="52">
        <f ca="1">S0*EXP((μ-0.5*σ*σ)*T+σ*SQRT(T)*$C3060)</f>
        <v>0.55902569896844512</v>
      </c>
      <c r="E3060" s="52">
        <f t="shared" ca="1" si="134"/>
        <v>0</v>
      </c>
      <c r="F3060" s="17">
        <f t="shared" ca="1" si="135"/>
        <v>0</v>
      </c>
      <c r="H3060" s="17">
        <v>3051</v>
      </c>
      <c r="I3060" s="45">
        <v>0.67131135567395217</v>
      </c>
      <c r="J3060" s="45">
        <v>1.9194855743428774E-2</v>
      </c>
      <c r="K3060" s="45">
        <v>0.24660000000000001</v>
      </c>
      <c r="N3060" s="54"/>
    </row>
    <row r="3061" spans="2:14" x14ac:dyDescent="0.2">
      <c r="B3061">
        <v>3052</v>
      </c>
      <c r="C3061" s="52">
        <f ca="1"/>
        <v>1.1624727423687828</v>
      </c>
      <c r="D3061" s="52">
        <f ca="1">S0*EXP((μ-0.5*σ*σ)*T+σ*SQRT(T)*$C3061)</f>
        <v>0.88783900152745754</v>
      </c>
      <c r="E3061" s="52">
        <f t="shared" ca="1" si="134"/>
        <v>0</v>
      </c>
      <c r="F3061" s="17">
        <f t="shared" ca="1" si="135"/>
        <v>0</v>
      </c>
      <c r="H3061" s="17">
        <v>3052</v>
      </c>
      <c r="I3061" s="45">
        <v>0.67023817001602826</v>
      </c>
      <c r="J3061" s="45">
        <v>1.846542988173501E-2</v>
      </c>
      <c r="K3061" s="45">
        <v>0.24079999999999999</v>
      </c>
      <c r="N3061" s="54"/>
    </row>
    <row r="3062" spans="2:14" x14ac:dyDescent="0.2">
      <c r="B3062">
        <v>3053</v>
      </c>
      <c r="C3062" s="52">
        <f ca="1"/>
        <v>8.6760266553790946E-2</v>
      </c>
      <c r="D3062" s="52">
        <f ca="1">S0*EXP((μ-0.5*σ*σ)*T+σ*SQRT(T)*$C3062)</f>
        <v>0.65946474859173299</v>
      </c>
      <c r="E3062" s="52">
        <f t="shared" ca="1" si="134"/>
        <v>0</v>
      </c>
      <c r="F3062" s="17">
        <f t="shared" ca="1" si="135"/>
        <v>0</v>
      </c>
      <c r="H3062" s="17">
        <v>3053</v>
      </c>
      <c r="I3062" s="45">
        <v>0.67145800950244616</v>
      </c>
      <c r="J3062" s="45">
        <v>1.9096391428623065E-2</v>
      </c>
      <c r="K3062" s="45">
        <v>0.24840000000000001</v>
      </c>
      <c r="N3062" s="54"/>
    </row>
    <row r="3063" spans="2:14" x14ac:dyDescent="0.2">
      <c r="B3063">
        <v>3054</v>
      </c>
      <c r="C3063" s="52">
        <f ca="1"/>
        <v>2.5699445795228271E-3</v>
      </c>
      <c r="D3063" s="52">
        <f ca="1">S0*EXP((μ-0.5*σ*σ)*T+σ*SQRT(T)*$C3063)</f>
        <v>0.64429427902279357</v>
      </c>
      <c r="E3063" s="52">
        <f t="shared" ca="1" si="134"/>
        <v>0</v>
      </c>
      <c r="F3063" s="17">
        <f t="shared" ca="1" si="135"/>
        <v>0</v>
      </c>
      <c r="H3063" s="17">
        <v>3054</v>
      </c>
      <c r="I3063" s="45">
        <v>0.67074050236236282</v>
      </c>
      <c r="J3063" s="45">
        <v>1.908678678696496E-2</v>
      </c>
      <c r="K3063" s="45">
        <v>0.2492</v>
      </c>
      <c r="N3063" s="54"/>
    </row>
    <row r="3064" spans="2:14" x14ac:dyDescent="0.2">
      <c r="B3064">
        <v>3055</v>
      </c>
      <c r="C3064" s="52">
        <f ca="1"/>
        <v>-1.1537083666895578</v>
      </c>
      <c r="D3064" s="52">
        <f ca="1">S0*EXP((μ-0.5*σ*σ)*T+σ*SQRT(T)*$C3064)</f>
        <v>0.46802544187551498</v>
      </c>
      <c r="E3064" s="52">
        <f t="shared" ca="1" si="134"/>
        <v>6.6374558124485006E-2</v>
      </c>
      <c r="F3064" s="17">
        <f t="shared" ca="1" si="135"/>
        <v>1</v>
      </c>
      <c r="H3064" s="17">
        <v>3055</v>
      </c>
      <c r="I3064" s="45">
        <v>0.6707476346517488</v>
      </c>
      <c r="J3064" s="45">
        <v>1.8989931279424058E-2</v>
      </c>
      <c r="K3064" s="45">
        <v>0.24959999999999999</v>
      </c>
      <c r="N3064" s="54"/>
    </row>
    <row r="3065" spans="2:14" x14ac:dyDescent="0.2">
      <c r="B3065">
        <v>3056</v>
      </c>
      <c r="C3065" s="52">
        <f ca="1"/>
        <v>0.89592886856286136</v>
      </c>
      <c r="D3065" s="52">
        <f ca="1">S0*EXP((μ-0.5*σ*σ)*T+σ*SQRT(T)*$C3065)</f>
        <v>0.82477368633369852</v>
      </c>
      <c r="E3065" s="52">
        <f t="shared" ca="1" si="134"/>
        <v>0</v>
      </c>
      <c r="F3065" s="17">
        <f t="shared" ca="1" si="135"/>
        <v>0</v>
      </c>
      <c r="H3065" s="17">
        <v>3056</v>
      </c>
      <c r="I3065" s="45">
        <v>0.67050803087283994</v>
      </c>
      <c r="J3065" s="45">
        <v>1.8844078945464294E-2</v>
      </c>
      <c r="K3065" s="45">
        <v>0.24360000000000001</v>
      </c>
      <c r="N3065" s="54"/>
    </row>
    <row r="3066" spans="2:14" x14ac:dyDescent="0.2">
      <c r="B3066">
        <v>3057</v>
      </c>
      <c r="C3066" s="52">
        <f ca="1"/>
        <v>0.23666221376643079</v>
      </c>
      <c r="D3066" s="52">
        <f ca="1">S0*EXP((μ-0.5*σ*σ)*T+σ*SQRT(T)*$C3066)</f>
        <v>0.68736558038368256</v>
      </c>
      <c r="E3066" s="52">
        <f t="shared" ca="1" si="134"/>
        <v>0</v>
      </c>
      <c r="F3066" s="17">
        <f t="shared" ca="1" si="135"/>
        <v>0</v>
      </c>
      <c r="H3066" s="17">
        <v>3057</v>
      </c>
      <c r="I3066" s="45">
        <v>0.67041107182820547</v>
      </c>
      <c r="J3066" s="45">
        <v>1.8756572505306691E-2</v>
      </c>
      <c r="K3066" s="45">
        <v>0.24440000000000001</v>
      </c>
      <c r="N3066" s="54"/>
    </row>
    <row r="3067" spans="2:14" x14ac:dyDescent="0.2">
      <c r="B3067">
        <v>3058</v>
      </c>
      <c r="C3067" s="52">
        <f ca="1"/>
        <v>0.57103953549347386</v>
      </c>
      <c r="D3067" s="52">
        <f ca="1">S0*EXP((μ-0.5*σ*σ)*T+σ*SQRT(T)*$C3067)</f>
        <v>0.75392964476076618</v>
      </c>
      <c r="E3067" s="52">
        <f t="shared" ca="1" si="134"/>
        <v>0</v>
      </c>
      <c r="F3067" s="17">
        <f t="shared" ca="1" si="135"/>
        <v>0</v>
      </c>
      <c r="H3067" s="17">
        <v>3058</v>
      </c>
      <c r="I3067" s="45">
        <v>0.67068785004004794</v>
      </c>
      <c r="J3067" s="45">
        <v>1.8841803122804781E-2</v>
      </c>
      <c r="K3067" s="45">
        <v>0.247</v>
      </c>
      <c r="N3067" s="54"/>
    </row>
    <row r="3068" spans="2:14" x14ac:dyDescent="0.2">
      <c r="B3068">
        <v>3059</v>
      </c>
      <c r="C3068" s="52">
        <f ca="1"/>
        <v>1.8643827895742195</v>
      </c>
      <c r="D3068" s="52">
        <f ca="1">S0*EXP((μ-0.5*σ*σ)*T+σ*SQRT(T)*$C3068)</f>
        <v>1.0779551871242063</v>
      </c>
      <c r="E3068" s="52">
        <f t="shared" ca="1" si="134"/>
        <v>0</v>
      </c>
      <c r="F3068" s="17">
        <f t="shared" ca="1" si="135"/>
        <v>0</v>
      </c>
      <c r="H3068" s="17">
        <v>3059</v>
      </c>
      <c r="I3068" s="45">
        <v>0.67180393093527124</v>
      </c>
      <c r="J3068" s="45">
        <v>1.940567860471238E-2</v>
      </c>
      <c r="K3068" s="45">
        <v>0.245</v>
      </c>
      <c r="N3068" s="54"/>
    </row>
    <row r="3069" spans="2:14" x14ac:dyDescent="0.2">
      <c r="B3069">
        <v>3060</v>
      </c>
      <c r="C3069" s="52">
        <f ca="1"/>
        <v>-3.2362078906535934</v>
      </c>
      <c r="D3069" s="52">
        <f ca="1">S0*EXP((μ-0.5*σ*σ)*T+σ*SQRT(T)*$C3069)</f>
        <v>0.26318365084869644</v>
      </c>
      <c r="E3069" s="52">
        <f t="shared" ca="1" si="134"/>
        <v>0.27121634915130355</v>
      </c>
      <c r="F3069" s="17">
        <f t="shared" ca="1" si="135"/>
        <v>1</v>
      </c>
      <c r="H3069" s="17">
        <v>3060</v>
      </c>
      <c r="I3069" s="45">
        <v>0.67133539617456139</v>
      </c>
      <c r="J3069" s="45">
        <v>1.9188384460215299E-2</v>
      </c>
      <c r="K3069" s="45">
        <v>0.24740000000000001</v>
      </c>
      <c r="N3069" s="54"/>
    </row>
    <row r="3070" spans="2:14" x14ac:dyDescent="0.2">
      <c r="B3070">
        <v>3061</v>
      </c>
      <c r="C3070" s="52">
        <f ca="1"/>
        <v>0.65131208045789679</v>
      </c>
      <c r="D3070" s="52">
        <f ca="1">S0*EXP((μ-0.5*σ*σ)*T+σ*SQRT(T)*$C3070)</f>
        <v>0.77084629495060497</v>
      </c>
      <c r="E3070" s="52">
        <f t="shared" ca="1" si="134"/>
        <v>0</v>
      </c>
      <c r="F3070" s="17">
        <f t="shared" ca="1" si="135"/>
        <v>0</v>
      </c>
      <c r="H3070" s="17">
        <v>3061</v>
      </c>
      <c r="I3070" s="45">
        <v>0.67056750096241491</v>
      </c>
      <c r="J3070" s="45">
        <v>1.8594707623683426E-2</v>
      </c>
      <c r="K3070" s="45">
        <v>0.24479999999999999</v>
      </c>
      <c r="N3070" s="54"/>
    </row>
    <row r="3071" spans="2:14" x14ac:dyDescent="0.2">
      <c r="B3071">
        <v>3062</v>
      </c>
      <c r="C3071" s="52">
        <f ca="1"/>
        <v>0.79011808139396833</v>
      </c>
      <c r="D3071" s="52">
        <f ca="1">S0*EXP((μ-0.5*σ*σ)*T+σ*SQRT(T)*$C3071)</f>
        <v>0.80099883073181966</v>
      </c>
      <c r="E3071" s="52">
        <f t="shared" ca="1" si="134"/>
        <v>0</v>
      </c>
      <c r="F3071" s="17">
        <f t="shared" ca="1" si="135"/>
        <v>0</v>
      </c>
      <c r="H3071" s="17">
        <v>3062</v>
      </c>
      <c r="I3071" s="45">
        <v>0.67113799402247509</v>
      </c>
      <c r="J3071" s="45">
        <v>1.9315764395363949E-2</v>
      </c>
      <c r="K3071" s="45">
        <v>0.25080000000000002</v>
      </c>
      <c r="N3071" s="54"/>
    </row>
    <row r="3072" spans="2:14" x14ac:dyDescent="0.2">
      <c r="B3072">
        <v>3063</v>
      </c>
      <c r="C3072" s="52">
        <f ca="1"/>
        <v>-0.71457348459606795</v>
      </c>
      <c r="D3072" s="52">
        <f ca="1">S0*EXP((μ-0.5*σ*σ)*T+σ*SQRT(T)*$C3072)</f>
        <v>0.52843183377117153</v>
      </c>
      <c r="E3072" s="52">
        <f t="shared" ca="1" si="134"/>
        <v>5.9681662288284532E-3</v>
      </c>
      <c r="F3072" s="17">
        <f t="shared" ca="1" si="135"/>
        <v>1</v>
      </c>
      <c r="H3072" s="17">
        <v>3063</v>
      </c>
      <c r="I3072" s="45">
        <v>0.67008544554780924</v>
      </c>
      <c r="J3072" s="45">
        <v>1.8592510786363398E-2</v>
      </c>
      <c r="K3072" s="45">
        <v>0.2432</v>
      </c>
      <c r="N3072" s="54"/>
    </row>
    <row r="3073" spans="2:14" x14ac:dyDescent="0.2">
      <c r="B3073">
        <v>3064</v>
      </c>
      <c r="C3073" s="52">
        <f ca="1"/>
        <v>0.21927874902748337</v>
      </c>
      <c r="D3073" s="52">
        <f ca="1">S0*EXP((μ-0.5*σ*σ)*T+σ*SQRT(T)*$C3073)</f>
        <v>0.68407046829558193</v>
      </c>
      <c r="E3073" s="52">
        <f t="shared" ca="1" si="134"/>
        <v>0</v>
      </c>
      <c r="F3073" s="17">
        <f t="shared" ca="1" si="135"/>
        <v>0</v>
      </c>
      <c r="H3073" s="17">
        <v>3064</v>
      </c>
      <c r="I3073" s="45">
        <v>0.67065314224483186</v>
      </c>
      <c r="J3073" s="45">
        <v>1.8484166746797866E-2</v>
      </c>
      <c r="K3073" s="45">
        <v>0.23799999999999999</v>
      </c>
      <c r="N3073" s="54"/>
    </row>
    <row r="3074" spans="2:14" x14ac:dyDescent="0.2">
      <c r="B3074">
        <v>3065</v>
      </c>
      <c r="C3074" s="52">
        <f ca="1"/>
        <v>1.8255478265875291</v>
      </c>
      <c r="D3074" s="52">
        <f ca="1">S0*EXP((μ-0.5*σ*σ)*T+σ*SQRT(T)*$C3074)</f>
        <v>1.0664449656441388</v>
      </c>
      <c r="E3074" s="52">
        <f t="shared" ca="1" si="134"/>
        <v>0</v>
      </c>
      <c r="F3074" s="17">
        <f t="shared" ca="1" si="135"/>
        <v>0</v>
      </c>
      <c r="H3074" s="17">
        <v>3065</v>
      </c>
      <c r="I3074" s="45">
        <v>0.66973429545722096</v>
      </c>
      <c r="J3074" s="45">
        <v>1.8127810327460841E-2</v>
      </c>
      <c r="K3074" s="45">
        <v>0.24060000000000001</v>
      </c>
      <c r="N3074" s="54"/>
    </row>
    <row r="3075" spans="2:14" x14ac:dyDescent="0.2">
      <c r="B3075">
        <v>3066</v>
      </c>
      <c r="C3075" s="52">
        <f ca="1"/>
        <v>0.392345763034885</v>
      </c>
      <c r="D3075" s="52">
        <f ca="1">S0*EXP((μ-0.5*σ*σ)*T+σ*SQRT(T)*$C3075)</f>
        <v>0.71759280609266263</v>
      </c>
      <c r="E3075" s="52">
        <f t="shared" ca="1" si="134"/>
        <v>0</v>
      </c>
      <c r="F3075" s="17">
        <f t="shared" ca="1" si="135"/>
        <v>0</v>
      </c>
      <c r="H3075" s="17">
        <v>3066</v>
      </c>
      <c r="I3075" s="45">
        <v>0.67091188021618975</v>
      </c>
      <c r="J3075" s="45">
        <v>1.9016230243786833E-2</v>
      </c>
      <c r="K3075" s="45">
        <v>0.24940000000000001</v>
      </c>
      <c r="N3075" s="54"/>
    </row>
    <row r="3076" spans="2:14" x14ac:dyDescent="0.2">
      <c r="B3076">
        <v>3067</v>
      </c>
      <c r="C3076" s="52">
        <f ca="1"/>
        <v>0.21510133547877794</v>
      </c>
      <c r="D3076" s="52">
        <f ca="1">S0*EXP((μ-0.5*σ*σ)*T+σ*SQRT(T)*$C3076)</f>
        <v>0.6832809781685637</v>
      </c>
      <c r="E3076" s="52">
        <f t="shared" ca="1" si="134"/>
        <v>0</v>
      </c>
      <c r="F3076" s="17">
        <f t="shared" ca="1" si="135"/>
        <v>0</v>
      </c>
      <c r="H3076" s="17">
        <v>3067</v>
      </c>
      <c r="I3076" s="45">
        <v>0.67214185852684027</v>
      </c>
      <c r="J3076" s="45">
        <v>2.0020330776959132E-2</v>
      </c>
      <c r="K3076" s="45">
        <v>0.25519999999999998</v>
      </c>
      <c r="N3076" s="54"/>
    </row>
    <row r="3077" spans="2:14" x14ac:dyDescent="0.2">
      <c r="B3077">
        <v>3068</v>
      </c>
      <c r="C3077" s="52">
        <f ca="1"/>
        <v>1.2385244956017345</v>
      </c>
      <c r="D3077" s="52">
        <f ca="1">S0*EXP((μ-0.5*σ*σ)*T+σ*SQRT(T)*$C3077)</f>
        <v>0.90670178128711276</v>
      </c>
      <c r="E3077" s="52">
        <f t="shared" ca="1" si="134"/>
        <v>0</v>
      </c>
      <c r="F3077" s="17">
        <f t="shared" ca="1" si="135"/>
        <v>0</v>
      </c>
      <c r="H3077" s="17">
        <v>3068</v>
      </c>
      <c r="I3077" s="45">
        <v>0.67085926211895452</v>
      </c>
      <c r="J3077" s="45">
        <v>1.9102969171403136E-2</v>
      </c>
      <c r="K3077" s="45">
        <v>0.249</v>
      </c>
      <c r="N3077" s="54"/>
    </row>
    <row r="3078" spans="2:14" x14ac:dyDescent="0.2">
      <c r="B3078">
        <v>3069</v>
      </c>
      <c r="C3078" s="52">
        <f ca="1"/>
        <v>1.1770888222859879</v>
      </c>
      <c r="D3078" s="52">
        <f ca="1">S0*EXP((μ-0.5*σ*σ)*T+σ*SQRT(T)*$C3078)</f>
        <v>0.89143344698737992</v>
      </c>
      <c r="E3078" s="52">
        <f t="shared" ca="1" si="134"/>
        <v>0</v>
      </c>
      <c r="F3078" s="17">
        <f t="shared" ca="1" si="135"/>
        <v>0</v>
      </c>
      <c r="H3078" s="17">
        <v>3069</v>
      </c>
      <c r="I3078" s="45">
        <v>0.67056711995087903</v>
      </c>
      <c r="J3078" s="45">
        <v>1.8746357521767145E-2</v>
      </c>
      <c r="K3078" s="45">
        <v>0.24640000000000001</v>
      </c>
      <c r="N3078" s="54"/>
    </row>
    <row r="3079" spans="2:14" x14ac:dyDescent="0.2">
      <c r="B3079">
        <v>3070</v>
      </c>
      <c r="C3079" s="52">
        <f ca="1"/>
        <v>0.2421500490293782</v>
      </c>
      <c r="D3079" s="52">
        <f ca="1">S0*EXP((μ-0.5*σ*σ)*T+σ*SQRT(T)*$C3079)</f>
        <v>0.68840911636098812</v>
      </c>
      <c r="E3079" s="52">
        <f t="shared" ca="1" si="134"/>
        <v>0</v>
      </c>
      <c r="F3079" s="17">
        <f t="shared" ca="1" si="135"/>
        <v>0</v>
      </c>
      <c r="H3079" s="17">
        <v>3070</v>
      </c>
      <c r="I3079" s="45">
        <v>0.67079953276228965</v>
      </c>
      <c r="J3079" s="45">
        <v>1.8836202197874307E-2</v>
      </c>
      <c r="K3079" s="45">
        <v>0.24759999999999999</v>
      </c>
      <c r="N3079" s="54"/>
    </row>
    <row r="3080" spans="2:14" x14ac:dyDescent="0.2">
      <c r="B3080">
        <v>3071</v>
      </c>
      <c r="C3080" s="52">
        <f ca="1"/>
        <v>-0.37908558886339977</v>
      </c>
      <c r="D3080" s="52">
        <f ca="1">S0*EXP((μ-0.5*σ*σ)*T+σ*SQRT(T)*$C3080)</f>
        <v>0.57978281616426597</v>
      </c>
      <c r="E3080" s="52">
        <f t="shared" ca="1" si="134"/>
        <v>0</v>
      </c>
      <c r="F3080" s="17">
        <f t="shared" ca="1" si="135"/>
        <v>0</v>
      </c>
      <c r="H3080" s="17">
        <v>3071</v>
      </c>
      <c r="I3080" s="45">
        <v>0.67147136477789748</v>
      </c>
      <c r="J3080" s="45">
        <v>1.9504282812308687E-2</v>
      </c>
      <c r="K3080" s="45">
        <v>0.25640000000000002</v>
      </c>
      <c r="N3080" s="54"/>
    </row>
    <row r="3081" spans="2:14" x14ac:dyDescent="0.2">
      <c r="B3081">
        <v>3072</v>
      </c>
      <c r="C3081" s="52">
        <f ca="1"/>
        <v>1.6688827547187506</v>
      </c>
      <c r="D3081" s="52">
        <f ca="1">S0*EXP((μ-0.5*σ*σ)*T+σ*SQRT(T)*$C3081)</f>
        <v>1.0212458824485366</v>
      </c>
      <c r="E3081" s="52">
        <f t="shared" ca="1" si="134"/>
        <v>0</v>
      </c>
      <c r="F3081" s="17">
        <f t="shared" ca="1" si="135"/>
        <v>0</v>
      </c>
      <c r="H3081" s="17">
        <v>3072</v>
      </c>
      <c r="I3081" s="45">
        <v>0.67143535672000076</v>
      </c>
      <c r="J3081" s="45">
        <v>1.9542758732304922E-2</v>
      </c>
      <c r="K3081" s="45">
        <v>0.2586</v>
      </c>
      <c r="N3081" s="54"/>
    </row>
    <row r="3082" spans="2:14" x14ac:dyDescent="0.2">
      <c r="B3082">
        <v>3073</v>
      </c>
      <c r="C3082" s="52">
        <f ca="1"/>
        <v>-0.55307402557201568</v>
      </c>
      <c r="D3082" s="52">
        <f ca="1">S0*EXP((μ-0.5*σ*σ)*T+σ*SQRT(T)*$C3082)</f>
        <v>0.55255750959118943</v>
      </c>
      <c r="E3082" s="52">
        <f t="shared" ref="E3082:E3145" ca="1" si="136">MAX(0,CP*(D3082-K))</f>
        <v>0</v>
      </c>
      <c r="F3082" s="17">
        <f t="shared" ref="F3082:F3145" ca="1" si="137">(CP*(D3082-K)&gt;0)*1</f>
        <v>0</v>
      </c>
      <c r="H3082" s="17">
        <v>3073</v>
      </c>
      <c r="I3082" s="45">
        <v>0.67065402125846063</v>
      </c>
      <c r="J3082" s="45">
        <v>1.8702348281160013E-2</v>
      </c>
      <c r="K3082" s="45">
        <v>0.2452</v>
      </c>
      <c r="N3082" s="54"/>
    </row>
    <row r="3083" spans="2:14" x14ac:dyDescent="0.2">
      <c r="B3083">
        <v>3074</v>
      </c>
      <c r="C3083" s="52">
        <f ca="1"/>
        <v>-0.69765729476235572</v>
      </c>
      <c r="D3083" s="52">
        <f ca="1">S0*EXP((μ-0.5*σ*σ)*T+σ*SQRT(T)*$C3083)</f>
        <v>0.53090866526267622</v>
      </c>
      <c r="E3083" s="52">
        <f t="shared" ca="1" si="136"/>
        <v>3.4913347373237702E-3</v>
      </c>
      <c r="F3083" s="17">
        <f t="shared" ca="1" si="137"/>
        <v>1</v>
      </c>
      <c r="H3083" s="17">
        <v>3074</v>
      </c>
      <c r="I3083" s="45">
        <v>0.67164082556800675</v>
      </c>
      <c r="J3083" s="45">
        <v>1.9581856156494298E-2</v>
      </c>
      <c r="K3083" s="45">
        <v>0.24540000000000001</v>
      </c>
      <c r="N3083" s="54"/>
    </row>
    <row r="3084" spans="2:14" x14ac:dyDescent="0.2">
      <c r="B3084">
        <v>3075</v>
      </c>
      <c r="C3084" s="52">
        <f ca="1"/>
        <v>-1.8367780312827375</v>
      </c>
      <c r="D3084" s="52">
        <f ca="1">S0*EXP((μ-0.5*σ*σ)*T+σ*SQRT(T)*$C3084)</f>
        <v>0.38749385611572856</v>
      </c>
      <c r="E3084" s="52">
        <f t="shared" ca="1" si="136"/>
        <v>0.14690614388427142</v>
      </c>
      <c r="F3084" s="17">
        <f t="shared" ca="1" si="137"/>
        <v>1</v>
      </c>
      <c r="H3084" s="17">
        <v>3075</v>
      </c>
      <c r="I3084" s="45">
        <v>0.67101788178905986</v>
      </c>
      <c r="J3084" s="45">
        <v>1.9177455683812829E-2</v>
      </c>
      <c r="K3084" s="45">
        <v>0.2462</v>
      </c>
      <c r="N3084" s="54"/>
    </row>
    <row r="3085" spans="2:14" x14ac:dyDescent="0.2">
      <c r="B3085">
        <v>3076</v>
      </c>
      <c r="C3085" s="52">
        <f ca="1"/>
        <v>-1.7647164106049695</v>
      </c>
      <c r="D3085" s="52">
        <f ca="1">S0*EXP((μ-0.5*σ*σ)*T+σ*SQRT(T)*$C3085)</f>
        <v>0.39529019592057035</v>
      </c>
      <c r="E3085" s="52">
        <f t="shared" ca="1" si="136"/>
        <v>0.13910980407942963</v>
      </c>
      <c r="F3085" s="17">
        <f t="shared" ca="1" si="137"/>
        <v>1</v>
      </c>
      <c r="H3085" s="17">
        <v>3076</v>
      </c>
      <c r="I3085" s="45">
        <v>0.67165501111447634</v>
      </c>
      <c r="J3085" s="45">
        <v>1.9564749656688418E-2</v>
      </c>
      <c r="K3085" s="45">
        <v>0.247</v>
      </c>
      <c r="N3085" s="54"/>
    </row>
    <row r="3086" spans="2:14" x14ac:dyDescent="0.2">
      <c r="B3086">
        <v>3077</v>
      </c>
      <c r="C3086" s="52">
        <f ca="1"/>
        <v>0.38543616527021879</v>
      </c>
      <c r="D3086" s="52">
        <f ca="1">S0*EXP((μ-0.5*σ*σ)*T+σ*SQRT(T)*$C3086)</f>
        <v>0.71622348508552691</v>
      </c>
      <c r="E3086" s="52">
        <f t="shared" ca="1" si="136"/>
        <v>0</v>
      </c>
      <c r="F3086" s="17">
        <f t="shared" ca="1" si="137"/>
        <v>0</v>
      </c>
      <c r="H3086" s="17">
        <v>3077</v>
      </c>
      <c r="I3086" s="45">
        <v>0.67214502577220081</v>
      </c>
      <c r="J3086" s="45">
        <v>1.9842556746959013E-2</v>
      </c>
      <c r="K3086" s="45">
        <v>0.255</v>
      </c>
      <c r="N3086" s="54"/>
    </row>
    <row r="3087" spans="2:14" x14ac:dyDescent="0.2">
      <c r="B3087">
        <v>3078</v>
      </c>
      <c r="C3087" s="52">
        <f ca="1"/>
        <v>1.1551174520257927</v>
      </c>
      <c r="D3087" s="52">
        <f ca="1">S0*EXP((μ-0.5*σ*σ)*T+σ*SQRT(T)*$C3087)</f>
        <v>0.88603564447027194</v>
      </c>
      <c r="E3087" s="52">
        <f t="shared" ca="1" si="136"/>
        <v>0</v>
      </c>
      <c r="F3087" s="17">
        <f t="shared" ca="1" si="137"/>
        <v>0</v>
      </c>
      <c r="H3087" s="17">
        <v>3078</v>
      </c>
      <c r="I3087" s="45">
        <v>0.67069915422342241</v>
      </c>
      <c r="J3087" s="45">
        <v>1.8892277461948603E-2</v>
      </c>
      <c r="K3087" s="45">
        <v>0.24160000000000001</v>
      </c>
      <c r="N3087" s="54"/>
    </row>
    <row r="3088" spans="2:14" x14ac:dyDescent="0.2">
      <c r="B3088">
        <v>3079</v>
      </c>
      <c r="C3088" s="52">
        <f ca="1"/>
        <v>-0.61840709518523129</v>
      </c>
      <c r="D3088" s="52">
        <f ca="1">S0*EXP((μ-0.5*σ*σ)*T+σ*SQRT(T)*$C3088)</f>
        <v>0.54266779282219157</v>
      </c>
      <c r="E3088" s="52">
        <f t="shared" ca="1" si="136"/>
        <v>0</v>
      </c>
      <c r="F3088" s="17">
        <f t="shared" ca="1" si="137"/>
        <v>0</v>
      </c>
      <c r="H3088" s="17">
        <v>3079</v>
      </c>
      <c r="I3088" s="45">
        <v>0.67169640019800392</v>
      </c>
      <c r="J3088" s="45">
        <v>1.9511068120120687E-2</v>
      </c>
      <c r="K3088" s="45">
        <v>0.25119999999999998</v>
      </c>
      <c r="N3088" s="54"/>
    </row>
    <row r="3089" spans="2:14" x14ac:dyDescent="0.2">
      <c r="B3089">
        <v>3080</v>
      </c>
      <c r="C3089" s="52">
        <f ca="1"/>
        <v>-0.45214367220040358</v>
      </c>
      <c r="D3089" s="52">
        <f ca="1">S0*EXP((μ-0.5*σ*σ)*T+σ*SQRT(T)*$C3089)</f>
        <v>0.56819118133933155</v>
      </c>
      <c r="E3089" s="52">
        <f t="shared" ca="1" si="136"/>
        <v>0</v>
      </c>
      <c r="F3089" s="17">
        <f t="shared" ca="1" si="137"/>
        <v>0</v>
      </c>
      <c r="H3089" s="17">
        <v>3080</v>
      </c>
      <c r="I3089" s="45">
        <v>0.67153854972421545</v>
      </c>
      <c r="J3089" s="45">
        <v>1.9313986856551942E-2</v>
      </c>
      <c r="K3089" s="45">
        <v>0.24779999999999999</v>
      </c>
      <c r="N3089" s="54"/>
    </row>
    <row r="3090" spans="2:14" x14ac:dyDescent="0.2">
      <c r="B3090">
        <v>3081</v>
      </c>
      <c r="C3090" s="52">
        <f ca="1"/>
        <v>1.31286594646679</v>
      </c>
      <c r="D3090" s="52">
        <f ca="1">S0*EXP((μ-0.5*σ*σ)*T+σ*SQRT(T)*$C3090)</f>
        <v>0.92552763704773067</v>
      </c>
      <c r="E3090" s="52">
        <f t="shared" ca="1" si="136"/>
        <v>0</v>
      </c>
      <c r="F3090" s="17">
        <f t="shared" ca="1" si="137"/>
        <v>0</v>
      </c>
      <c r="H3090" s="17">
        <v>3081</v>
      </c>
      <c r="I3090" s="45">
        <v>0.6722831598302923</v>
      </c>
      <c r="J3090" s="45">
        <v>2.0082007417979723E-2</v>
      </c>
      <c r="K3090" s="45">
        <v>0.25340000000000001</v>
      </c>
      <c r="N3090" s="54"/>
    </row>
    <row r="3091" spans="2:14" x14ac:dyDescent="0.2">
      <c r="B3091">
        <v>3082</v>
      </c>
      <c r="C3091" s="52">
        <f ca="1"/>
        <v>-1.4668771160971947</v>
      </c>
      <c r="D3091" s="52">
        <f ca="1">S0*EXP((μ-0.5*σ*σ)*T+σ*SQRT(T)*$C3091)</f>
        <v>0.4292127140677473</v>
      </c>
      <c r="E3091" s="52">
        <f t="shared" ca="1" si="136"/>
        <v>0.10518728593225268</v>
      </c>
      <c r="F3091" s="17">
        <f t="shared" ca="1" si="137"/>
        <v>1</v>
      </c>
      <c r="H3091" s="17">
        <v>3082</v>
      </c>
      <c r="I3091" s="45">
        <v>0.67170545117438341</v>
      </c>
      <c r="J3091" s="45">
        <v>1.9612192143955029E-2</v>
      </c>
      <c r="K3091" s="45">
        <v>0.25040000000000001</v>
      </c>
      <c r="N3091" s="54"/>
    </row>
    <row r="3092" spans="2:14" x14ac:dyDescent="0.2">
      <c r="B3092">
        <v>3083</v>
      </c>
      <c r="C3092" s="52">
        <f ca="1"/>
        <v>-0.37055624818596783</v>
      </c>
      <c r="D3092" s="52">
        <f ca="1">S0*EXP((μ-0.5*σ*σ)*T+σ*SQRT(T)*$C3092)</f>
        <v>0.58115143341610676</v>
      </c>
      <c r="E3092" s="52">
        <f t="shared" ca="1" si="136"/>
        <v>0</v>
      </c>
      <c r="F3092" s="17">
        <f t="shared" ca="1" si="137"/>
        <v>0</v>
      </c>
      <c r="H3092" s="17">
        <v>3083</v>
      </c>
      <c r="I3092" s="45">
        <v>0.67005740308441353</v>
      </c>
      <c r="J3092" s="45">
        <v>1.8693510248473592E-2</v>
      </c>
      <c r="K3092" s="45">
        <v>0.25340000000000001</v>
      </c>
      <c r="N3092" s="54"/>
    </row>
    <row r="3093" spans="2:14" x14ac:dyDescent="0.2">
      <c r="B3093">
        <v>3084</v>
      </c>
      <c r="C3093" s="52">
        <f ca="1"/>
        <v>0.23288511948503268</v>
      </c>
      <c r="D3093" s="52">
        <f ca="1">S0*EXP((μ-0.5*σ*σ)*T+σ*SQRT(T)*$C3093)</f>
        <v>0.68664826850574923</v>
      </c>
      <c r="E3093" s="52">
        <f t="shared" ca="1" si="136"/>
        <v>0</v>
      </c>
      <c r="F3093" s="17">
        <f t="shared" ca="1" si="137"/>
        <v>0</v>
      </c>
      <c r="H3093" s="17">
        <v>3084</v>
      </c>
      <c r="I3093" s="45">
        <v>0.67220059415057454</v>
      </c>
      <c r="J3093" s="45">
        <v>2.0081613515103555E-2</v>
      </c>
      <c r="K3093" s="45">
        <v>0.2606</v>
      </c>
      <c r="N3093" s="54"/>
    </row>
    <row r="3094" spans="2:14" x14ac:dyDescent="0.2">
      <c r="B3094">
        <v>3085</v>
      </c>
      <c r="C3094" s="52">
        <f ca="1"/>
        <v>0.21343566677214351</v>
      </c>
      <c r="D3094" s="52">
        <f ca="1">S0*EXP((μ-0.5*σ*σ)*T+σ*SQRT(T)*$C3094)</f>
        <v>0.68296643728780304</v>
      </c>
      <c r="E3094" s="52">
        <f t="shared" ca="1" si="136"/>
        <v>0</v>
      </c>
      <c r="F3094" s="17">
        <f t="shared" ca="1" si="137"/>
        <v>0</v>
      </c>
      <c r="H3094" s="17">
        <v>3085</v>
      </c>
      <c r="I3094" s="45">
        <v>0.67102357389178469</v>
      </c>
      <c r="J3094" s="45">
        <v>1.9162349156662827E-2</v>
      </c>
      <c r="K3094" s="45">
        <v>0.25240000000000001</v>
      </c>
      <c r="N3094" s="54"/>
    </row>
    <row r="3095" spans="2:14" x14ac:dyDescent="0.2">
      <c r="B3095">
        <v>3086</v>
      </c>
      <c r="C3095" s="52">
        <f ca="1"/>
        <v>-0.89139185540573707</v>
      </c>
      <c r="D3095" s="52">
        <f ca="1">S0*EXP((μ-0.5*σ*σ)*T+σ*SQRT(T)*$C3095)</f>
        <v>0.50322403564624807</v>
      </c>
      <c r="E3095" s="52">
        <f t="shared" ca="1" si="136"/>
        <v>3.1175964353751917E-2</v>
      </c>
      <c r="F3095" s="17">
        <f t="shared" ca="1" si="137"/>
        <v>1</v>
      </c>
      <c r="H3095" s="17">
        <v>3086</v>
      </c>
      <c r="I3095" s="45">
        <v>0.67191645945820866</v>
      </c>
      <c r="J3095" s="45">
        <v>1.981827036051741E-2</v>
      </c>
      <c r="K3095" s="45">
        <v>0.252</v>
      </c>
      <c r="N3095" s="54"/>
    </row>
    <row r="3096" spans="2:14" x14ac:dyDescent="0.2">
      <c r="B3096">
        <v>3087</v>
      </c>
      <c r="C3096" s="52">
        <f ca="1"/>
        <v>-0.31853828475450535</v>
      </c>
      <c r="D3096" s="52">
        <f ca="1">S0*EXP((μ-0.5*σ*σ)*T+σ*SQRT(T)*$C3096)</f>
        <v>0.58956844608959169</v>
      </c>
      <c r="E3096" s="52">
        <f t="shared" ca="1" si="136"/>
        <v>0</v>
      </c>
      <c r="F3096" s="17">
        <f t="shared" ca="1" si="137"/>
        <v>0</v>
      </c>
      <c r="H3096" s="17">
        <v>3087</v>
      </c>
      <c r="I3096" s="45">
        <v>0.67252562484730583</v>
      </c>
      <c r="J3096" s="45">
        <v>2.0394715394279537E-2</v>
      </c>
      <c r="K3096" s="45">
        <v>0.25180000000000002</v>
      </c>
      <c r="N3096" s="54"/>
    </row>
    <row r="3097" spans="2:14" x14ac:dyDescent="0.2">
      <c r="B3097">
        <v>3088</v>
      </c>
      <c r="C3097" s="52">
        <f ca="1"/>
        <v>0.84780944130389702</v>
      </c>
      <c r="D3097" s="52">
        <f ca="1">S0*EXP((μ-0.5*σ*σ)*T+σ*SQRT(T)*$C3097)</f>
        <v>0.81387537710759439</v>
      </c>
      <c r="E3097" s="52">
        <f t="shared" ca="1" si="136"/>
        <v>0</v>
      </c>
      <c r="F3097" s="17">
        <f t="shared" ca="1" si="137"/>
        <v>0</v>
      </c>
      <c r="H3097" s="17">
        <v>3088</v>
      </c>
      <c r="I3097" s="45">
        <v>0.67139062173595354</v>
      </c>
      <c r="J3097" s="45">
        <v>1.9430899728503388E-2</v>
      </c>
      <c r="K3097" s="45">
        <v>0.25080000000000002</v>
      </c>
      <c r="N3097" s="54"/>
    </row>
    <row r="3098" spans="2:14" x14ac:dyDescent="0.2">
      <c r="B3098">
        <v>3089</v>
      </c>
      <c r="C3098" s="52">
        <f ca="1"/>
        <v>-2.037719925005121</v>
      </c>
      <c r="D3098" s="52">
        <f ca="1">S0*EXP((μ-0.5*σ*σ)*T+σ*SQRT(T)*$C3098)</f>
        <v>0.3665566650992475</v>
      </c>
      <c r="E3098" s="52">
        <f t="shared" ca="1" si="136"/>
        <v>0.16784333490075248</v>
      </c>
      <c r="F3098" s="17">
        <f t="shared" ca="1" si="137"/>
        <v>1</v>
      </c>
      <c r="H3098" s="17">
        <v>3089</v>
      </c>
      <c r="I3098" s="45">
        <v>0.67108222260394967</v>
      </c>
      <c r="J3098" s="45">
        <v>1.9088632857151479E-2</v>
      </c>
      <c r="K3098" s="45">
        <v>0.2414</v>
      </c>
      <c r="N3098" s="54"/>
    </row>
    <row r="3099" spans="2:14" x14ac:dyDescent="0.2">
      <c r="B3099">
        <v>3090</v>
      </c>
      <c r="C3099" s="52">
        <f ca="1"/>
        <v>-0.70048344492652925</v>
      </c>
      <c r="D3099" s="52">
        <f ca="1">S0*EXP((μ-0.5*σ*σ)*T+σ*SQRT(T)*$C3099)</f>
        <v>0.53049406026150236</v>
      </c>
      <c r="E3099" s="52">
        <f t="shared" ca="1" si="136"/>
        <v>3.9059397384976213E-3</v>
      </c>
      <c r="F3099" s="17">
        <f t="shared" ca="1" si="137"/>
        <v>1</v>
      </c>
      <c r="H3099" s="17">
        <v>3090</v>
      </c>
      <c r="I3099" s="45">
        <v>0.67165335882950916</v>
      </c>
      <c r="J3099" s="45">
        <v>1.949664698334707E-2</v>
      </c>
      <c r="K3099" s="45">
        <v>0.2462</v>
      </c>
      <c r="N3099" s="54"/>
    </row>
    <row r="3100" spans="2:14" x14ac:dyDescent="0.2">
      <c r="B3100">
        <v>3091</v>
      </c>
      <c r="C3100" s="52">
        <f ca="1"/>
        <v>-1.1443974060394888</v>
      </c>
      <c r="D3100" s="52">
        <f ca="1">S0*EXP((μ-0.5*σ*σ)*T+σ*SQRT(T)*$C3100)</f>
        <v>0.46923162181118461</v>
      </c>
      <c r="E3100" s="52">
        <f t="shared" ca="1" si="136"/>
        <v>6.5168378188815379E-2</v>
      </c>
      <c r="F3100" s="17">
        <f t="shared" ca="1" si="137"/>
        <v>1</v>
      </c>
      <c r="H3100" s="17">
        <v>3091</v>
      </c>
      <c r="I3100" s="45">
        <v>0.67129311628951649</v>
      </c>
      <c r="J3100" s="45">
        <v>1.8950249690728168E-2</v>
      </c>
      <c r="K3100" s="45">
        <v>0.23960000000000001</v>
      </c>
      <c r="N3100" s="54"/>
    </row>
    <row r="3101" spans="2:14" x14ac:dyDescent="0.2">
      <c r="B3101">
        <v>3092</v>
      </c>
      <c r="C3101" s="52">
        <f ca="1"/>
        <v>0.63105288109479607</v>
      </c>
      <c r="D3101" s="52">
        <f ca="1">S0*EXP((μ-0.5*σ*σ)*T+σ*SQRT(T)*$C3101)</f>
        <v>0.76654138900919067</v>
      </c>
      <c r="E3101" s="52">
        <f t="shared" ca="1" si="136"/>
        <v>0</v>
      </c>
      <c r="F3101" s="17">
        <f t="shared" ca="1" si="137"/>
        <v>0</v>
      </c>
      <c r="H3101" s="17">
        <v>3092</v>
      </c>
      <c r="I3101" s="45">
        <v>0.671353477506621</v>
      </c>
      <c r="J3101" s="45">
        <v>1.9474655842808098E-2</v>
      </c>
      <c r="K3101" s="45">
        <v>0.24779999999999999</v>
      </c>
      <c r="N3101" s="54"/>
    </row>
    <row r="3102" spans="2:14" x14ac:dyDescent="0.2">
      <c r="B3102">
        <v>3093</v>
      </c>
      <c r="C3102" s="52">
        <f ca="1"/>
        <v>-0.57122011217662361</v>
      </c>
      <c r="D3102" s="52">
        <f ca="1">S0*EXP((μ-0.5*σ*σ)*T+σ*SQRT(T)*$C3102)</f>
        <v>0.549792728217536</v>
      </c>
      <c r="E3102" s="52">
        <f t="shared" ca="1" si="136"/>
        <v>0</v>
      </c>
      <c r="F3102" s="17">
        <f t="shared" ca="1" si="137"/>
        <v>0</v>
      </c>
      <c r="H3102" s="17">
        <v>3093</v>
      </c>
      <c r="I3102" s="45">
        <v>0.67179460238126987</v>
      </c>
      <c r="J3102" s="45">
        <v>1.9650748743511273E-2</v>
      </c>
      <c r="K3102" s="45">
        <v>0.24340000000000001</v>
      </c>
      <c r="N3102" s="54"/>
    </row>
    <row r="3103" spans="2:14" x14ac:dyDescent="0.2">
      <c r="B3103">
        <v>3094</v>
      </c>
      <c r="C3103" s="52">
        <f ca="1"/>
        <v>-7.591187185036434E-2</v>
      </c>
      <c r="D3103" s="52">
        <f ca="1">S0*EXP((μ-0.5*σ*σ)*T+σ*SQRT(T)*$C3103)</f>
        <v>0.63046689683906465</v>
      </c>
      <c r="E3103" s="52">
        <f t="shared" ca="1" si="136"/>
        <v>0</v>
      </c>
      <c r="F3103" s="17">
        <f t="shared" ca="1" si="137"/>
        <v>0</v>
      </c>
      <c r="H3103" s="17">
        <v>3094</v>
      </c>
      <c r="I3103" s="45">
        <v>0.67129030104128229</v>
      </c>
      <c r="J3103" s="45">
        <v>1.9463061156166934E-2</v>
      </c>
      <c r="K3103" s="45">
        <v>0.25459999999999999</v>
      </c>
      <c r="N3103" s="54"/>
    </row>
    <row r="3104" spans="2:14" x14ac:dyDescent="0.2">
      <c r="B3104">
        <v>3095</v>
      </c>
      <c r="C3104" s="52">
        <f ca="1"/>
        <v>0.64499698365405944</v>
      </c>
      <c r="D3104" s="52">
        <f ca="1">S0*EXP((μ-0.5*σ*σ)*T+σ*SQRT(T)*$C3104)</f>
        <v>0.76950180393317702</v>
      </c>
      <c r="E3104" s="52">
        <f t="shared" ca="1" si="136"/>
        <v>0</v>
      </c>
      <c r="F3104" s="17">
        <f t="shared" ca="1" si="137"/>
        <v>0</v>
      </c>
      <c r="H3104" s="17">
        <v>3095</v>
      </c>
      <c r="I3104" s="45">
        <v>0.67190397557321846</v>
      </c>
      <c r="J3104" s="45">
        <v>1.9667282467381874E-2</v>
      </c>
      <c r="K3104" s="45">
        <v>0.25040000000000001</v>
      </c>
      <c r="N3104" s="54"/>
    </row>
    <row r="3105" spans="2:14" x14ac:dyDescent="0.2">
      <c r="B3105">
        <v>3096</v>
      </c>
      <c r="C3105" s="52">
        <f ca="1"/>
        <v>-0.42947397650647096</v>
      </c>
      <c r="D3105" s="52">
        <f ca="1">S0*EXP((μ-0.5*σ*σ)*T+σ*SQRT(T)*$C3105)</f>
        <v>0.57176301146297781</v>
      </c>
      <c r="E3105" s="52">
        <f t="shared" ca="1" si="136"/>
        <v>0</v>
      </c>
      <c r="F3105" s="17">
        <f t="shared" ca="1" si="137"/>
        <v>0</v>
      </c>
      <c r="H3105" s="17">
        <v>3096</v>
      </c>
      <c r="I3105" s="45">
        <v>0.67123854091926205</v>
      </c>
      <c r="J3105" s="45">
        <v>1.9454848438057486E-2</v>
      </c>
      <c r="K3105" s="45">
        <v>0.24640000000000001</v>
      </c>
      <c r="N3105" s="54"/>
    </row>
    <row r="3106" spans="2:14" x14ac:dyDescent="0.2">
      <c r="B3106">
        <v>3097</v>
      </c>
      <c r="C3106" s="52">
        <f ca="1"/>
        <v>0.47194154972122393</v>
      </c>
      <c r="D3106" s="52">
        <f ca="1">S0*EXP((μ-0.5*σ*σ)*T+σ*SQRT(T)*$C3106)</f>
        <v>0.7335568862273224</v>
      </c>
      <c r="E3106" s="52">
        <f t="shared" ca="1" si="136"/>
        <v>0</v>
      </c>
      <c r="F3106" s="17">
        <f t="shared" ca="1" si="137"/>
        <v>0</v>
      </c>
      <c r="H3106" s="17">
        <v>3097</v>
      </c>
      <c r="I3106" s="45">
        <v>0.67260238947996953</v>
      </c>
      <c r="J3106" s="45">
        <v>1.9905281984365898E-2</v>
      </c>
      <c r="K3106" s="45">
        <v>0.25019999999999998</v>
      </c>
      <c r="N3106" s="54"/>
    </row>
    <row r="3107" spans="2:14" x14ac:dyDescent="0.2">
      <c r="B3107">
        <v>3098</v>
      </c>
      <c r="C3107" s="52">
        <f ca="1"/>
        <v>0.53690067002913733</v>
      </c>
      <c r="D3107" s="52">
        <f ca="1">S0*EXP((μ-0.5*σ*σ)*T+σ*SQRT(T)*$C3107)</f>
        <v>0.74684820770468385</v>
      </c>
      <c r="E3107" s="52">
        <f t="shared" ca="1" si="136"/>
        <v>0</v>
      </c>
      <c r="F3107" s="17">
        <f t="shared" ca="1" si="137"/>
        <v>0</v>
      </c>
      <c r="H3107" s="17">
        <v>3098</v>
      </c>
      <c r="I3107" s="45">
        <v>0.67132853192813891</v>
      </c>
      <c r="J3107" s="45">
        <v>1.9307762971443342E-2</v>
      </c>
      <c r="K3107" s="45">
        <v>0.24199999999999999</v>
      </c>
      <c r="N3107" s="54"/>
    </row>
    <row r="3108" spans="2:14" x14ac:dyDescent="0.2">
      <c r="B3108">
        <v>3099</v>
      </c>
      <c r="C3108" s="52">
        <f ca="1"/>
        <v>1.0848247894991259</v>
      </c>
      <c r="D3108" s="52">
        <f ca="1">S0*EXP((μ-0.5*σ*σ)*T+σ*SQRT(T)*$C3108)</f>
        <v>0.86898512107604653</v>
      </c>
      <c r="E3108" s="52">
        <f t="shared" ca="1" si="136"/>
        <v>0</v>
      </c>
      <c r="F3108" s="17">
        <f t="shared" ca="1" si="137"/>
        <v>0</v>
      </c>
      <c r="H3108" s="17">
        <v>3099</v>
      </c>
      <c r="I3108" s="45">
        <v>0.67207978332690699</v>
      </c>
      <c r="J3108" s="45">
        <v>2.0066715651233583E-2</v>
      </c>
      <c r="K3108" s="45">
        <v>0.253</v>
      </c>
      <c r="N3108" s="54"/>
    </row>
    <row r="3109" spans="2:14" x14ac:dyDescent="0.2">
      <c r="B3109">
        <v>3100</v>
      </c>
      <c r="C3109" s="52">
        <f ca="1"/>
        <v>0.73789805428986988</v>
      </c>
      <c r="D3109" s="52">
        <f ca="1">S0*EXP((μ-0.5*σ*σ)*T+σ*SQRT(T)*$C3109)</f>
        <v>0.7895192168925238</v>
      </c>
      <c r="E3109" s="52">
        <f t="shared" ca="1" si="136"/>
        <v>0</v>
      </c>
      <c r="F3109" s="17">
        <f t="shared" ca="1" si="137"/>
        <v>0</v>
      </c>
      <c r="H3109" s="17">
        <v>3100</v>
      </c>
      <c r="I3109" s="45">
        <v>0.67071174254006838</v>
      </c>
      <c r="J3109" s="45">
        <v>1.887406042903458E-2</v>
      </c>
      <c r="K3109" s="45">
        <v>0.25059999999999999</v>
      </c>
      <c r="N3109" s="54"/>
    </row>
    <row r="3110" spans="2:14" x14ac:dyDescent="0.2">
      <c r="B3110">
        <v>3101</v>
      </c>
      <c r="C3110" s="52">
        <f ca="1"/>
        <v>-0.50169741677544044</v>
      </c>
      <c r="D3110" s="52">
        <f ca="1">S0*EXP((μ-0.5*σ*σ)*T+σ*SQRT(T)*$C3110)</f>
        <v>0.56046101314397345</v>
      </c>
      <c r="E3110" s="52">
        <f t="shared" ca="1" si="136"/>
        <v>0</v>
      </c>
      <c r="F3110" s="17">
        <f t="shared" ca="1" si="137"/>
        <v>0</v>
      </c>
      <c r="H3110" s="17">
        <v>3101</v>
      </c>
      <c r="I3110" s="45">
        <v>0.67070944461179871</v>
      </c>
      <c r="J3110" s="45">
        <v>1.8844389281300368E-2</v>
      </c>
      <c r="K3110" s="45">
        <v>0.24340000000000001</v>
      </c>
      <c r="N3110" s="54"/>
    </row>
    <row r="3111" spans="2:14" x14ac:dyDescent="0.2">
      <c r="B3111">
        <v>3102</v>
      </c>
      <c r="C3111" s="52">
        <f ca="1"/>
        <v>-0.55512736907908544</v>
      </c>
      <c r="D3111" s="52">
        <f ca="1">S0*EXP((μ-0.5*σ*σ)*T+σ*SQRT(T)*$C3111)</f>
        <v>0.55224396091795103</v>
      </c>
      <c r="E3111" s="52">
        <f t="shared" ca="1" si="136"/>
        <v>0</v>
      </c>
      <c r="F3111" s="17">
        <f t="shared" ca="1" si="137"/>
        <v>0</v>
      </c>
      <c r="H3111" s="17">
        <v>3102</v>
      </c>
      <c r="I3111" s="45">
        <v>0.66900079270177837</v>
      </c>
      <c r="J3111" s="45">
        <v>1.765392896336291E-2</v>
      </c>
      <c r="K3111" s="45">
        <v>0.2356</v>
      </c>
      <c r="N3111" s="54"/>
    </row>
    <row r="3112" spans="2:14" x14ac:dyDescent="0.2">
      <c r="B3112">
        <v>3103</v>
      </c>
      <c r="C3112" s="52">
        <f ca="1"/>
        <v>0.43591630634985723</v>
      </c>
      <c r="D3112" s="52">
        <f ca="1">S0*EXP((μ-0.5*σ*σ)*T+σ*SQRT(T)*$C3112)</f>
        <v>0.72628797831593073</v>
      </c>
      <c r="E3112" s="52">
        <f t="shared" ca="1" si="136"/>
        <v>0</v>
      </c>
      <c r="F3112" s="17">
        <f t="shared" ca="1" si="137"/>
        <v>0</v>
      </c>
      <c r="H3112" s="17">
        <v>3103</v>
      </c>
      <c r="I3112" s="45">
        <v>0.67226023539774082</v>
      </c>
      <c r="J3112" s="45">
        <v>1.9677305369939974E-2</v>
      </c>
      <c r="K3112" s="45">
        <v>0.25080000000000002</v>
      </c>
      <c r="N3112" s="54"/>
    </row>
    <row r="3113" spans="2:14" x14ac:dyDescent="0.2">
      <c r="B3113">
        <v>3104</v>
      </c>
      <c r="C3113" s="52">
        <f ca="1"/>
        <v>-2.261514105437624</v>
      </c>
      <c r="D3113" s="52">
        <f ca="1">S0*EXP((μ-0.5*σ*σ)*T+σ*SQRT(T)*$C3113)</f>
        <v>0.34456719875885278</v>
      </c>
      <c r="E3113" s="52">
        <f t="shared" ca="1" si="136"/>
        <v>0.18983280124114721</v>
      </c>
      <c r="F3113" s="17">
        <f t="shared" ca="1" si="137"/>
        <v>1</v>
      </c>
      <c r="H3113" s="17">
        <v>3104</v>
      </c>
      <c r="I3113" s="45">
        <v>0.67149102611722689</v>
      </c>
      <c r="J3113" s="45">
        <v>1.9275960918689071E-2</v>
      </c>
      <c r="K3113" s="45">
        <v>0.249</v>
      </c>
      <c r="N3113" s="54"/>
    </row>
    <row r="3114" spans="2:14" x14ac:dyDescent="0.2">
      <c r="B3114">
        <v>3105</v>
      </c>
      <c r="C3114" s="52">
        <f ca="1"/>
        <v>0.44086262634144724</v>
      </c>
      <c r="D3114" s="52">
        <f ca="1">S0*EXP((μ-0.5*σ*σ)*T+σ*SQRT(T)*$C3114)</f>
        <v>0.72728172829067594</v>
      </c>
      <c r="E3114" s="52">
        <f t="shared" ca="1" si="136"/>
        <v>0</v>
      </c>
      <c r="F3114" s="17">
        <f t="shared" ca="1" si="137"/>
        <v>0</v>
      </c>
      <c r="H3114" s="17">
        <v>3105</v>
      </c>
      <c r="I3114" s="45">
        <v>0.67074750236013392</v>
      </c>
      <c r="J3114" s="45">
        <v>1.8376172007709961E-2</v>
      </c>
      <c r="K3114" s="45">
        <v>0.24299999999999999</v>
      </c>
      <c r="N3114" s="54"/>
    </row>
    <row r="3115" spans="2:14" x14ac:dyDescent="0.2">
      <c r="B3115">
        <v>3106</v>
      </c>
      <c r="C3115" s="52">
        <f ca="1"/>
        <v>2.0231427771170134</v>
      </c>
      <c r="D3115" s="52">
        <f ca="1">S0*EXP((μ-0.5*σ*σ)*T+σ*SQRT(T)*$C3115)</f>
        <v>1.1263162182581246</v>
      </c>
      <c r="E3115" s="52">
        <f t="shared" ca="1" si="136"/>
        <v>0</v>
      </c>
      <c r="F3115" s="17">
        <f t="shared" ca="1" si="137"/>
        <v>0</v>
      </c>
      <c r="H3115" s="17">
        <v>3106</v>
      </c>
      <c r="I3115" s="45">
        <v>0.67120542179734544</v>
      </c>
      <c r="J3115" s="45">
        <v>1.9080667202739578E-2</v>
      </c>
      <c r="K3115" s="45">
        <v>0.2492</v>
      </c>
      <c r="N3115" s="54"/>
    </row>
    <row r="3116" spans="2:14" x14ac:dyDescent="0.2">
      <c r="B3116">
        <v>3107</v>
      </c>
      <c r="C3116" s="52">
        <f ca="1"/>
        <v>-0.61972112311558236</v>
      </c>
      <c r="D3116" s="52">
        <f ca="1">S0*EXP((μ-0.5*σ*σ)*T+σ*SQRT(T)*$C3116)</f>
        <v>0.5424707099461864</v>
      </c>
      <c r="E3116" s="52">
        <f t="shared" ca="1" si="136"/>
        <v>0</v>
      </c>
      <c r="F3116" s="17">
        <f t="shared" ca="1" si="137"/>
        <v>0</v>
      </c>
      <c r="H3116" s="17">
        <v>3107</v>
      </c>
      <c r="I3116" s="45">
        <v>0.67020587130333287</v>
      </c>
      <c r="J3116" s="45">
        <v>1.8547385088047791E-2</v>
      </c>
      <c r="K3116" s="45">
        <v>0.24460000000000001</v>
      </c>
      <c r="N3116" s="54"/>
    </row>
    <row r="3117" spans="2:14" x14ac:dyDescent="0.2">
      <c r="B3117">
        <v>3108</v>
      </c>
      <c r="C3117" s="52">
        <f ca="1"/>
        <v>-0.31082329338713593</v>
      </c>
      <c r="D3117" s="52">
        <f ca="1">S0*EXP((μ-0.5*σ*σ)*T+σ*SQRT(T)*$C3117)</f>
        <v>0.59082714537278658</v>
      </c>
      <c r="E3117" s="52">
        <f t="shared" ca="1" si="136"/>
        <v>0</v>
      </c>
      <c r="F3117" s="17">
        <f t="shared" ca="1" si="137"/>
        <v>0</v>
      </c>
      <c r="H3117" s="17">
        <v>3108</v>
      </c>
      <c r="I3117" s="45">
        <v>0.66987572986638044</v>
      </c>
      <c r="J3117" s="45">
        <v>1.8002348979458422E-2</v>
      </c>
      <c r="K3117" s="45">
        <v>0.23780000000000001</v>
      </c>
      <c r="N3117" s="54"/>
    </row>
    <row r="3118" spans="2:14" x14ac:dyDescent="0.2">
      <c r="B3118">
        <v>3109</v>
      </c>
      <c r="C3118" s="52">
        <f ca="1"/>
        <v>-1.0055934713829664</v>
      </c>
      <c r="D3118" s="52">
        <f ca="1">S0*EXP((μ-0.5*σ*σ)*T+σ*SQRT(T)*$C3118)</f>
        <v>0.48758587566986938</v>
      </c>
      <c r="E3118" s="52">
        <f t="shared" ca="1" si="136"/>
        <v>4.6814124330130602E-2</v>
      </c>
      <c r="F3118" s="17">
        <f t="shared" ca="1" si="137"/>
        <v>1</v>
      </c>
      <c r="H3118" s="17">
        <v>3109</v>
      </c>
      <c r="I3118" s="45">
        <v>0.67076227128348564</v>
      </c>
      <c r="J3118" s="45">
        <v>1.8733699714935357E-2</v>
      </c>
      <c r="K3118" s="45">
        <v>0.24759999999999999</v>
      </c>
      <c r="N3118" s="54"/>
    </row>
    <row r="3119" spans="2:14" x14ac:dyDescent="0.2">
      <c r="B3119">
        <v>3110</v>
      </c>
      <c r="C3119" s="52">
        <f ca="1"/>
        <v>1.0932685278122563</v>
      </c>
      <c r="D3119" s="52">
        <f ca="1">S0*EXP((μ-0.5*σ*σ)*T+σ*SQRT(T)*$C3119)</f>
        <v>0.87101580894638675</v>
      </c>
      <c r="E3119" s="52">
        <f t="shared" ca="1" si="136"/>
        <v>0</v>
      </c>
      <c r="F3119" s="17">
        <f t="shared" ca="1" si="137"/>
        <v>0</v>
      </c>
      <c r="H3119" s="17">
        <v>3110</v>
      </c>
      <c r="I3119" s="45">
        <v>0.67087728611652597</v>
      </c>
      <c r="J3119" s="45">
        <v>1.9106146743091884E-2</v>
      </c>
      <c r="K3119" s="45">
        <v>0.25679999999999997</v>
      </c>
      <c r="N3119" s="54"/>
    </row>
    <row r="3120" spans="2:14" x14ac:dyDescent="0.2">
      <c r="B3120">
        <v>3111</v>
      </c>
      <c r="C3120" s="52">
        <f ca="1"/>
        <v>-3.8902762881986817E-2</v>
      </c>
      <c r="D3120" s="52">
        <f ca="1">S0*EXP((μ-0.5*σ*σ)*T+σ*SQRT(T)*$C3120)</f>
        <v>0.63695000792119971</v>
      </c>
      <c r="E3120" s="52">
        <f t="shared" ca="1" si="136"/>
        <v>0</v>
      </c>
      <c r="F3120" s="17">
        <f t="shared" ca="1" si="137"/>
        <v>0</v>
      </c>
      <c r="H3120" s="17">
        <v>3111</v>
      </c>
      <c r="I3120" s="45">
        <v>0.67138682025898766</v>
      </c>
      <c r="J3120" s="45">
        <v>1.9371333887096547E-2</v>
      </c>
      <c r="K3120" s="45">
        <v>0.25119999999999998</v>
      </c>
      <c r="N3120" s="54"/>
    </row>
    <row r="3121" spans="2:14" x14ac:dyDescent="0.2">
      <c r="B3121">
        <v>3112</v>
      </c>
      <c r="C3121" s="52">
        <f ca="1"/>
        <v>-1.1194942628815305</v>
      </c>
      <c r="D3121" s="52">
        <f ca="1">S0*EXP((μ-0.5*σ*σ)*T+σ*SQRT(T)*$C3121)</f>
        <v>0.4724729743323155</v>
      </c>
      <c r="E3121" s="52">
        <f t="shared" ca="1" si="136"/>
        <v>6.1927025667684488E-2</v>
      </c>
      <c r="F3121" s="17">
        <f t="shared" ca="1" si="137"/>
        <v>1</v>
      </c>
      <c r="H3121" s="17">
        <v>3112</v>
      </c>
      <c r="I3121" s="45">
        <v>0.67179580791158378</v>
      </c>
      <c r="J3121" s="45">
        <v>1.9729582760904762E-2</v>
      </c>
      <c r="K3121" s="45">
        <v>0.25159999999999999</v>
      </c>
      <c r="N3121" s="54"/>
    </row>
    <row r="3122" spans="2:14" x14ac:dyDescent="0.2">
      <c r="B3122">
        <v>3113</v>
      </c>
      <c r="C3122" s="52">
        <f ca="1"/>
        <v>-1.1354892565463188</v>
      </c>
      <c r="D3122" s="52">
        <f ca="1">S0*EXP((μ-0.5*σ*σ)*T+σ*SQRT(T)*$C3122)</f>
        <v>0.47038852954830401</v>
      </c>
      <c r="E3122" s="52">
        <f t="shared" ca="1" si="136"/>
        <v>6.4011470451695973E-2</v>
      </c>
      <c r="F3122" s="17">
        <f t="shared" ca="1" si="137"/>
        <v>1</v>
      </c>
      <c r="H3122" s="17">
        <v>3113</v>
      </c>
      <c r="I3122" s="45">
        <v>0.67029724608779828</v>
      </c>
      <c r="J3122" s="45">
        <v>1.834242883133555E-2</v>
      </c>
      <c r="K3122" s="45">
        <v>0.24679999999999999</v>
      </c>
      <c r="N3122" s="54"/>
    </row>
    <row r="3123" spans="2:14" x14ac:dyDescent="0.2">
      <c r="B3123">
        <v>3114</v>
      </c>
      <c r="C3123" s="52">
        <f ca="1"/>
        <v>0.20020732463329508</v>
      </c>
      <c r="D3123" s="52">
        <f ca="1">S0*EXP((μ-0.5*σ*σ)*T+σ*SQRT(T)*$C3123)</f>
        <v>0.6804735646376816</v>
      </c>
      <c r="E3123" s="52">
        <f t="shared" ca="1" si="136"/>
        <v>0</v>
      </c>
      <c r="F3123" s="17">
        <f t="shared" ca="1" si="137"/>
        <v>0</v>
      </c>
      <c r="H3123" s="17">
        <v>3114</v>
      </c>
      <c r="I3123" s="45">
        <v>0.6713292550319534</v>
      </c>
      <c r="J3123" s="45">
        <v>1.9105688917308156E-2</v>
      </c>
      <c r="K3123" s="45">
        <v>0.2442</v>
      </c>
      <c r="N3123" s="54"/>
    </row>
    <row r="3124" spans="2:14" x14ac:dyDescent="0.2">
      <c r="B3124">
        <v>3115</v>
      </c>
      <c r="C3124" s="52">
        <f ca="1"/>
        <v>0.47545899212486131</v>
      </c>
      <c r="D3124" s="52">
        <f ca="1">S0*EXP((μ-0.5*σ*σ)*T+σ*SQRT(T)*$C3124)</f>
        <v>0.73427049646528386</v>
      </c>
      <c r="E3124" s="52">
        <f t="shared" ca="1" si="136"/>
        <v>0</v>
      </c>
      <c r="F3124" s="17">
        <f t="shared" ca="1" si="137"/>
        <v>0</v>
      </c>
      <c r="H3124" s="17">
        <v>3115</v>
      </c>
      <c r="I3124" s="45">
        <v>0.67091478897689572</v>
      </c>
      <c r="J3124" s="45">
        <v>1.9253275332167478E-2</v>
      </c>
      <c r="K3124" s="45">
        <v>0.25040000000000001</v>
      </c>
      <c r="N3124" s="54"/>
    </row>
    <row r="3125" spans="2:14" x14ac:dyDescent="0.2">
      <c r="B3125">
        <v>3116</v>
      </c>
      <c r="C3125" s="52">
        <f ca="1"/>
        <v>-0.65958294000630391</v>
      </c>
      <c r="D3125" s="52">
        <f ca="1">S0*EXP((μ-0.5*σ*σ)*T+σ*SQRT(T)*$C3125)</f>
        <v>0.53652598267377183</v>
      </c>
      <c r="E3125" s="52">
        <f t="shared" ca="1" si="136"/>
        <v>0</v>
      </c>
      <c r="F3125" s="17">
        <f t="shared" ca="1" si="137"/>
        <v>0</v>
      </c>
      <c r="H3125" s="17">
        <v>3116</v>
      </c>
      <c r="I3125" s="45">
        <v>0.67052705389379641</v>
      </c>
      <c r="J3125" s="45">
        <v>1.8675122899402138E-2</v>
      </c>
      <c r="K3125" s="45">
        <v>0.23499999999999999</v>
      </c>
      <c r="N3125" s="54"/>
    </row>
    <row r="3126" spans="2:14" x14ac:dyDescent="0.2">
      <c r="B3126">
        <v>3117</v>
      </c>
      <c r="C3126" s="52">
        <f ca="1"/>
        <v>0.28430930585818298</v>
      </c>
      <c r="D3126" s="52">
        <f ca="1">S0*EXP((μ-0.5*σ*σ)*T+σ*SQRT(T)*$C3126)</f>
        <v>0.69647889857527989</v>
      </c>
      <c r="E3126" s="52">
        <f t="shared" ca="1" si="136"/>
        <v>0</v>
      </c>
      <c r="F3126" s="17">
        <f t="shared" ca="1" si="137"/>
        <v>0</v>
      </c>
      <c r="H3126" s="17">
        <v>3117</v>
      </c>
      <c r="I3126" s="45">
        <v>0.67014147540244418</v>
      </c>
      <c r="J3126" s="45">
        <v>1.8123681777458555E-2</v>
      </c>
      <c r="K3126" s="45">
        <v>0.24160000000000001</v>
      </c>
      <c r="N3126" s="54"/>
    </row>
    <row r="3127" spans="2:14" x14ac:dyDescent="0.2">
      <c r="B3127">
        <v>3118</v>
      </c>
      <c r="C3127" s="52">
        <f ca="1"/>
        <v>0.75636211037644019</v>
      </c>
      <c r="D3127" s="52">
        <f ca="1">S0*EXP((μ-0.5*σ*σ)*T+σ*SQRT(T)*$C3127)</f>
        <v>0.79355927622200939</v>
      </c>
      <c r="E3127" s="52">
        <f t="shared" ca="1" si="136"/>
        <v>0</v>
      </c>
      <c r="F3127" s="17">
        <f t="shared" ca="1" si="137"/>
        <v>0</v>
      </c>
      <c r="H3127" s="17">
        <v>3118</v>
      </c>
      <c r="I3127" s="45">
        <v>0.67126026716888876</v>
      </c>
      <c r="J3127" s="45">
        <v>1.9399735538382784E-2</v>
      </c>
      <c r="K3127" s="45">
        <v>0.25180000000000002</v>
      </c>
      <c r="N3127" s="54"/>
    </row>
    <row r="3128" spans="2:14" x14ac:dyDescent="0.2">
      <c r="B3128">
        <v>3119</v>
      </c>
      <c r="C3128" s="52">
        <f ca="1"/>
        <v>1.4606087100789102</v>
      </c>
      <c r="D3128" s="52">
        <f ca="1">S0*EXP((μ-0.5*σ*σ)*T+σ*SQRT(T)*$C3128)</f>
        <v>0.96410951867240868</v>
      </c>
      <c r="E3128" s="52">
        <f t="shared" ca="1" si="136"/>
        <v>0</v>
      </c>
      <c r="F3128" s="17">
        <f t="shared" ca="1" si="137"/>
        <v>0</v>
      </c>
      <c r="H3128" s="17">
        <v>3119</v>
      </c>
      <c r="I3128" s="45">
        <v>0.66964929457739131</v>
      </c>
      <c r="J3128" s="45">
        <v>1.8131986143567595E-2</v>
      </c>
      <c r="K3128" s="45">
        <v>0.24640000000000001</v>
      </c>
      <c r="N3128" s="54"/>
    </row>
    <row r="3129" spans="2:14" x14ac:dyDescent="0.2">
      <c r="B3129">
        <v>3120</v>
      </c>
      <c r="C3129" s="52">
        <f ca="1"/>
        <v>-0.70711649087887585</v>
      </c>
      <c r="D3129" s="52">
        <f ca="1">S0*EXP((μ-0.5*σ*σ)*T+σ*SQRT(T)*$C3129)</f>
        <v>0.52952224311934382</v>
      </c>
      <c r="E3129" s="52">
        <f t="shared" ca="1" si="136"/>
        <v>4.87775688065617E-3</v>
      </c>
      <c r="F3129" s="17">
        <f t="shared" ca="1" si="137"/>
        <v>1</v>
      </c>
      <c r="H3129" s="17">
        <v>3120</v>
      </c>
      <c r="I3129" s="45">
        <v>0.67038882506722597</v>
      </c>
      <c r="J3129" s="45">
        <v>1.8512588981762831E-2</v>
      </c>
      <c r="K3129" s="45">
        <v>0.24540000000000001</v>
      </c>
      <c r="N3129" s="54"/>
    </row>
    <row r="3130" spans="2:14" x14ac:dyDescent="0.2">
      <c r="B3130">
        <v>3121</v>
      </c>
      <c r="C3130" s="52">
        <f ca="1"/>
        <v>-1.0974175731147</v>
      </c>
      <c r="D3130" s="52">
        <f ca="1">S0*EXP((μ-0.5*σ*σ)*T+σ*SQRT(T)*$C3130)</f>
        <v>0.47536515827078085</v>
      </c>
      <c r="E3130" s="52">
        <f t="shared" ca="1" si="136"/>
        <v>5.9034841729219134E-2</v>
      </c>
      <c r="F3130" s="17">
        <f t="shared" ca="1" si="137"/>
        <v>1</v>
      </c>
      <c r="H3130" s="17">
        <v>3121</v>
      </c>
      <c r="I3130" s="45">
        <v>0.67241743272796572</v>
      </c>
      <c r="J3130" s="45">
        <v>1.9959044919281532E-2</v>
      </c>
      <c r="K3130" s="45">
        <v>0.25159999999999999</v>
      </c>
      <c r="N3130" s="54"/>
    </row>
    <row r="3131" spans="2:14" x14ac:dyDescent="0.2">
      <c r="B3131">
        <v>3122</v>
      </c>
      <c r="C3131" s="52">
        <f ca="1"/>
        <v>-1.5021664709062481</v>
      </c>
      <c r="D3131" s="52">
        <f ca="1">S0*EXP((μ-0.5*σ*σ)*T+σ*SQRT(T)*$C3131)</f>
        <v>0.42504604660017775</v>
      </c>
      <c r="E3131" s="52">
        <f t="shared" ca="1" si="136"/>
        <v>0.10935395339982223</v>
      </c>
      <c r="F3131" s="17">
        <f t="shared" ca="1" si="137"/>
        <v>1</v>
      </c>
      <c r="H3131" s="17">
        <v>3122</v>
      </c>
      <c r="I3131" s="45">
        <v>0.67022530174549921</v>
      </c>
      <c r="J3131" s="45">
        <v>1.8318103241378871E-2</v>
      </c>
      <c r="K3131" s="45">
        <v>0.2364</v>
      </c>
      <c r="N3131" s="54"/>
    </row>
    <row r="3132" spans="2:14" x14ac:dyDescent="0.2">
      <c r="B3132">
        <v>3123</v>
      </c>
      <c r="C3132" s="52">
        <f ca="1"/>
        <v>0.2490793746497251</v>
      </c>
      <c r="D3132" s="52">
        <f ca="1">S0*EXP((μ-0.5*σ*σ)*T+σ*SQRT(T)*$C3132)</f>
        <v>0.68972902148471971</v>
      </c>
      <c r="E3132" s="52">
        <f t="shared" ca="1" si="136"/>
        <v>0</v>
      </c>
      <c r="F3132" s="17">
        <f t="shared" ca="1" si="137"/>
        <v>0</v>
      </c>
      <c r="H3132" s="17">
        <v>3123</v>
      </c>
      <c r="I3132" s="45">
        <v>0.67071324020640766</v>
      </c>
      <c r="J3132" s="45">
        <v>1.8550075337344173E-2</v>
      </c>
      <c r="K3132" s="45">
        <v>0.24779999999999999</v>
      </c>
      <c r="N3132" s="54"/>
    </row>
    <row r="3133" spans="2:14" x14ac:dyDescent="0.2">
      <c r="B3133">
        <v>3124</v>
      </c>
      <c r="C3133" s="52">
        <f ca="1"/>
        <v>-1.2885583831385117</v>
      </c>
      <c r="D3133" s="52">
        <f ca="1">S0*EXP((μ-0.5*σ*σ)*T+σ*SQRT(T)*$C3133)</f>
        <v>0.45090006451000747</v>
      </c>
      <c r="E3133" s="52">
        <f t="shared" ca="1" si="136"/>
        <v>8.3499935489992516E-2</v>
      </c>
      <c r="F3133" s="17">
        <f t="shared" ca="1" si="137"/>
        <v>1</v>
      </c>
      <c r="H3133" s="17">
        <v>3124</v>
      </c>
      <c r="I3133" s="45">
        <v>0.67161439327021311</v>
      </c>
      <c r="J3133" s="45">
        <v>1.9763570032940977E-2</v>
      </c>
      <c r="K3133" s="45">
        <v>0.24859999999999999</v>
      </c>
      <c r="N3133" s="54"/>
    </row>
    <row r="3134" spans="2:14" x14ac:dyDescent="0.2">
      <c r="B3134">
        <v>3125</v>
      </c>
      <c r="C3134" s="52">
        <f ca="1"/>
        <v>1.0641231946690073</v>
      </c>
      <c r="D3134" s="52">
        <f ca="1">S0*EXP((μ-0.5*σ*σ)*T+σ*SQRT(T)*$C3134)</f>
        <v>0.86402647383294384</v>
      </c>
      <c r="E3134" s="52">
        <f t="shared" ca="1" si="136"/>
        <v>0</v>
      </c>
      <c r="F3134" s="17">
        <f t="shared" ca="1" si="137"/>
        <v>0</v>
      </c>
      <c r="H3134" s="17">
        <v>3125</v>
      </c>
      <c r="I3134" s="45">
        <v>0.67024624945448497</v>
      </c>
      <c r="J3134" s="45">
        <v>1.8522800610031746E-2</v>
      </c>
      <c r="K3134" s="45">
        <v>0.24379999999999999</v>
      </c>
      <c r="N3134" s="54"/>
    </row>
    <row r="3135" spans="2:14" x14ac:dyDescent="0.2">
      <c r="B3135">
        <v>3126</v>
      </c>
      <c r="C3135" s="52">
        <f ca="1"/>
        <v>0.93749481339326846</v>
      </c>
      <c r="D3135" s="52">
        <f ca="1">S0*EXP((μ-0.5*σ*σ)*T+σ*SQRT(T)*$C3135)</f>
        <v>0.83430513745453672</v>
      </c>
      <c r="E3135" s="52">
        <f t="shared" ca="1" si="136"/>
        <v>0</v>
      </c>
      <c r="F3135" s="17">
        <f t="shared" ca="1" si="137"/>
        <v>0</v>
      </c>
      <c r="H3135" s="17">
        <v>3126</v>
      </c>
      <c r="I3135" s="45">
        <v>0.6710758154485108</v>
      </c>
      <c r="J3135" s="45">
        <v>1.9044985386705564E-2</v>
      </c>
      <c r="K3135" s="45">
        <v>0.2492</v>
      </c>
      <c r="N3135" s="54"/>
    </row>
    <row r="3136" spans="2:14" x14ac:dyDescent="0.2">
      <c r="B3136">
        <v>3127</v>
      </c>
      <c r="C3136" s="52">
        <f ca="1"/>
        <v>-0.75869331731557255</v>
      </c>
      <c r="D3136" s="52">
        <f ca="1">S0*EXP((μ-0.5*σ*σ)*T+σ*SQRT(T)*$C3136)</f>
        <v>0.52202613840105783</v>
      </c>
      <c r="E3136" s="52">
        <f t="shared" ca="1" si="136"/>
        <v>1.237386159894216E-2</v>
      </c>
      <c r="F3136" s="17">
        <f t="shared" ca="1" si="137"/>
        <v>1</v>
      </c>
      <c r="H3136" s="17">
        <v>3127</v>
      </c>
      <c r="I3136" s="45">
        <v>0.67168864036026532</v>
      </c>
      <c r="J3136" s="45">
        <v>1.9386155400600992E-2</v>
      </c>
      <c r="K3136" s="45">
        <v>0.252</v>
      </c>
      <c r="N3136" s="54"/>
    </row>
    <row r="3137" spans="2:14" x14ac:dyDescent="0.2">
      <c r="B3137">
        <v>3128</v>
      </c>
      <c r="C3137" s="52">
        <f ca="1"/>
        <v>-1.4692675037725762</v>
      </c>
      <c r="D3137" s="52">
        <f ca="1">S0*EXP((μ-0.5*σ*σ)*T+σ*SQRT(T)*$C3137)</f>
        <v>0.42892919219943493</v>
      </c>
      <c r="E3137" s="52">
        <f t="shared" ca="1" si="136"/>
        <v>0.10547080780056506</v>
      </c>
      <c r="F3137" s="17">
        <f t="shared" ca="1" si="137"/>
        <v>1</v>
      </c>
      <c r="H3137" s="17">
        <v>3128</v>
      </c>
      <c r="I3137" s="45">
        <v>0.67131453064897628</v>
      </c>
      <c r="J3137" s="45">
        <v>1.9335037692971981E-2</v>
      </c>
      <c r="K3137" s="45">
        <v>0.25480000000000003</v>
      </c>
      <c r="N3137" s="54"/>
    </row>
    <row r="3138" spans="2:14" x14ac:dyDescent="0.2">
      <c r="B3138">
        <v>3129</v>
      </c>
      <c r="C3138" s="52">
        <f ca="1"/>
        <v>0.18809505037013557</v>
      </c>
      <c r="D3138" s="52">
        <f ca="1">S0*EXP((μ-0.5*σ*σ)*T+σ*SQRT(T)*$C3138)</f>
        <v>0.67819899508725556</v>
      </c>
      <c r="E3138" s="52">
        <f t="shared" ca="1" si="136"/>
        <v>0</v>
      </c>
      <c r="F3138" s="17">
        <f t="shared" ca="1" si="137"/>
        <v>0</v>
      </c>
      <c r="H3138" s="17">
        <v>3129</v>
      </c>
      <c r="I3138" s="45">
        <v>0.67021546918674479</v>
      </c>
      <c r="J3138" s="45">
        <v>1.8735512492398458E-2</v>
      </c>
      <c r="K3138" s="45">
        <v>0.24640000000000001</v>
      </c>
      <c r="N3138" s="54"/>
    </row>
    <row r="3139" spans="2:14" x14ac:dyDescent="0.2">
      <c r="B3139">
        <v>3130</v>
      </c>
      <c r="C3139" s="52">
        <f ca="1"/>
        <v>-0.62110530779088891</v>
      </c>
      <c r="D3139" s="52">
        <f ca="1">S0*EXP((μ-0.5*σ*σ)*T+σ*SQRT(T)*$C3139)</f>
        <v>0.54226318210546764</v>
      </c>
      <c r="E3139" s="52">
        <f t="shared" ca="1" si="136"/>
        <v>0</v>
      </c>
      <c r="F3139" s="17">
        <f t="shared" ca="1" si="137"/>
        <v>0</v>
      </c>
      <c r="H3139" s="17">
        <v>3130</v>
      </c>
      <c r="I3139" s="45">
        <v>0.6706989883548885</v>
      </c>
      <c r="J3139" s="45">
        <v>1.8698321382319395E-2</v>
      </c>
      <c r="K3139" s="45">
        <v>0.2422</v>
      </c>
      <c r="N3139" s="54"/>
    </row>
    <row r="3140" spans="2:14" x14ac:dyDescent="0.2">
      <c r="B3140">
        <v>3131</v>
      </c>
      <c r="C3140" s="52">
        <f ca="1"/>
        <v>-1.0911239452804773</v>
      </c>
      <c r="D3140" s="52">
        <f ca="1">S0*EXP((μ-0.5*σ*σ)*T+σ*SQRT(T)*$C3140)</f>
        <v>0.47619290098430511</v>
      </c>
      <c r="E3140" s="52">
        <f t="shared" ca="1" si="136"/>
        <v>5.8207099015694874E-2</v>
      </c>
      <c r="F3140" s="17">
        <f t="shared" ca="1" si="137"/>
        <v>1</v>
      </c>
      <c r="H3140" s="17">
        <v>3131</v>
      </c>
      <c r="I3140" s="45">
        <v>0.66952734306113248</v>
      </c>
      <c r="J3140" s="45">
        <v>1.7880488315744163E-2</v>
      </c>
      <c r="K3140" s="45">
        <v>0.24360000000000001</v>
      </c>
      <c r="N3140" s="54"/>
    </row>
    <row r="3141" spans="2:14" x14ac:dyDescent="0.2">
      <c r="B3141">
        <v>3132</v>
      </c>
      <c r="C3141" s="52">
        <f ca="1"/>
        <v>1.5287312606973884</v>
      </c>
      <c r="D3141" s="52">
        <f ca="1">S0*EXP((μ-0.5*σ*σ)*T+σ*SQRT(T)*$C3141)</f>
        <v>0.98243696566229211</v>
      </c>
      <c r="E3141" s="52">
        <f t="shared" ca="1" si="136"/>
        <v>0</v>
      </c>
      <c r="F3141" s="17">
        <f t="shared" ca="1" si="137"/>
        <v>0</v>
      </c>
      <c r="H3141" s="17">
        <v>3132</v>
      </c>
      <c r="I3141" s="45">
        <v>0.67006583831363076</v>
      </c>
      <c r="J3141" s="45">
        <v>1.8416398412060778E-2</v>
      </c>
      <c r="K3141" s="45">
        <v>0.24179999999999999</v>
      </c>
      <c r="N3141" s="54"/>
    </row>
    <row r="3142" spans="2:14" x14ac:dyDescent="0.2">
      <c r="B3142">
        <v>3133</v>
      </c>
      <c r="C3142" s="52">
        <f ca="1"/>
        <v>1.98927201202777</v>
      </c>
      <c r="D3142" s="52">
        <f ca="1">S0*EXP((μ-0.5*σ*σ)*T+σ*SQRT(T)*$C3142)</f>
        <v>1.115819756995585</v>
      </c>
      <c r="E3142" s="52">
        <f t="shared" ca="1" si="136"/>
        <v>0</v>
      </c>
      <c r="F3142" s="17">
        <f t="shared" ca="1" si="137"/>
        <v>0</v>
      </c>
      <c r="H3142" s="17">
        <v>3133</v>
      </c>
      <c r="I3142" s="45">
        <v>0.67024570556087515</v>
      </c>
      <c r="J3142" s="45">
        <v>1.8588992695421757E-2</v>
      </c>
      <c r="K3142" s="45">
        <v>0.24460000000000001</v>
      </c>
      <c r="N3142" s="54"/>
    </row>
    <row r="3143" spans="2:14" x14ac:dyDescent="0.2">
      <c r="B3143">
        <v>3134</v>
      </c>
      <c r="C3143" s="52">
        <f ca="1"/>
        <v>1.1580982842698995</v>
      </c>
      <c r="D3143" s="52">
        <f ca="1">S0*EXP((μ-0.5*σ*σ)*T+σ*SQRT(T)*$C3143)</f>
        <v>0.88676603778961194</v>
      </c>
      <c r="E3143" s="52">
        <f t="shared" ca="1" si="136"/>
        <v>0</v>
      </c>
      <c r="F3143" s="17">
        <f t="shared" ca="1" si="137"/>
        <v>0</v>
      </c>
      <c r="H3143" s="17">
        <v>3134</v>
      </c>
      <c r="I3143" s="45">
        <v>0.67222527320525938</v>
      </c>
      <c r="J3143" s="45">
        <v>1.9911262556301036E-2</v>
      </c>
      <c r="K3143" s="45">
        <v>0.25219999999999998</v>
      </c>
      <c r="N3143" s="54"/>
    </row>
    <row r="3144" spans="2:14" x14ac:dyDescent="0.2">
      <c r="B3144">
        <v>3135</v>
      </c>
      <c r="C3144" s="52">
        <f ca="1"/>
        <v>-0.33748616176444984</v>
      </c>
      <c r="D3144" s="52">
        <f ca="1">S0*EXP((μ-0.5*σ*σ)*T+σ*SQRT(T)*$C3144)</f>
        <v>0.5864884722237933</v>
      </c>
      <c r="E3144" s="52">
        <f t="shared" ca="1" si="136"/>
        <v>0</v>
      </c>
      <c r="F3144" s="17">
        <f t="shared" ca="1" si="137"/>
        <v>0</v>
      </c>
      <c r="H3144" s="17">
        <v>3135</v>
      </c>
      <c r="I3144" s="45">
        <v>0.6709275364644679</v>
      </c>
      <c r="J3144" s="45">
        <v>1.8999494259135927E-2</v>
      </c>
      <c r="K3144" s="45">
        <v>0.248</v>
      </c>
      <c r="N3144" s="54"/>
    </row>
    <row r="3145" spans="2:14" x14ac:dyDescent="0.2">
      <c r="B3145">
        <v>3136</v>
      </c>
      <c r="C3145" s="52">
        <f ca="1"/>
        <v>-6.6012335227112653E-2</v>
      </c>
      <c r="D3145" s="52">
        <f ca="1">S0*EXP((μ-0.5*σ*σ)*T+σ*SQRT(T)*$C3145)</f>
        <v>0.6321945662647479</v>
      </c>
      <c r="E3145" s="52">
        <f t="shared" ca="1" si="136"/>
        <v>0</v>
      </c>
      <c r="F3145" s="17">
        <f t="shared" ca="1" si="137"/>
        <v>0</v>
      </c>
      <c r="H3145" s="17">
        <v>3136</v>
      </c>
      <c r="I3145" s="45">
        <v>0.67022347168137819</v>
      </c>
      <c r="J3145" s="45">
        <v>1.8765253780882448E-2</v>
      </c>
      <c r="K3145" s="45">
        <v>0.24460000000000001</v>
      </c>
      <c r="N3145" s="54"/>
    </row>
    <row r="3146" spans="2:14" x14ac:dyDescent="0.2">
      <c r="B3146">
        <v>3137</v>
      </c>
      <c r="C3146" s="52">
        <f ca="1"/>
        <v>-1.2331817027330338</v>
      </c>
      <c r="D3146" s="52">
        <f ca="1">S0*EXP((μ-0.5*σ*σ)*T+σ*SQRT(T)*$C3146)</f>
        <v>0.45785550516149748</v>
      </c>
      <c r="E3146" s="52">
        <f t="shared" ref="E3146:E3209" ca="1" si="138">MAX(0,CP*(D3146-K))</f>
        <v>7.6544494838502508E-2</v>
      </c>
      <c r="F3146" s="17">
        <f t="shared" ref="F3146:F3209" ca="1" si="139">(CP*(D3146-K)&gt;0)*1</f>
        <v>1</v>
      </c>
      <c r="H3146" s="17">
        <v>3137</v>
      </c>
      <c r="I3146" s="45">
        <v>0.67101287258417242</v>
      </c>
      <c r="J3146" s="45">
        <v>1.9122388541869199E-2</v>
      </c>
      <c r="K3146" s="45">
        <v>0.24479999999999999</v>
      </c>
      <c r="N3146" s="54"/>
    </row>
    <row r="3147" spans="2:14" x14ac:dyDescent="0.2">
      <c r="B3147">
        <v>3138</v>
      </c>
      <c r="C3147" s="52">
        <f ca="1"/>
        <v>-0.93857775145636935</v>
      </c>
      <c r="D3147" s="52">
        <f ca="1">S0*EXP((μ-0.5*σ*σ)*T+σ*SQRT(T)*$C3147)</f>
        <v>0.49670274770298967</v>
      </c>
      <c r="E3147" s="52">
        <f t="shared" ca="1" si="138"/>
        <v>3.769725229701032E-2</v>
      </c>
      <c r="F3147" s="17">
        <f t="shared" ca="1" si="139"/>
        <v>1</v>
      </c>
      <c r="H3147" s="17">
        <v>3138</v>
      </c>
      <c r="I3147" s="45">
        <v>0.67083666668648723</v>
      </c>
      <c r="J3147" s="45">
        <v>1.8939675290835935E-2</v>
      </c>
      <c r="K3147" s="45">
        <v>0.24759999999999999</v>
      </c>
      <c r="N3147" s="54"/>
    </row>
    <row r="3148" spans="2:14" x14ac:dyDescent="0.2">
      <c r="B3148">
        <v>3139</v>
      </c>
      <c r="C3148" s="52">
        <f ca="1"/>
        <v>-1.6296880796074553</v>
      </c>
      <c r="D3148" s="52">
        <f ca="1">S0*EXP((μ-0.5*σ*σ)*T+σ*SQRT(T)*$C3148)</f>
        <v>0.41032371183744154</v>
      </c>
      <c r="E3148" s="52">
        <f t="shared" ca="1" si="138"/>
        <v>0.12407628816255845</v>
      </c>
      <c r="F3148" s="17">
        <f t="shared" ca="1" si="139"/>
        <v>1</v>
      </c>
      <c r="H3148" s="17">
        <v>3139</v>
      </c>
      <c r="I3148" s="45">
        <v>0.67080566106677297</v>
      </c>
      <c r="J3148" s="45">
        <v>1.9027490388585758E-2</v>
      </c>
      <c r="K3148" s="45">
        <v>0.2482</v>
      </c>
      <c r="N3148" s="54"/>
    </row>
    <row r="3149" spans="2:14" x14ac:dyDescent="0.2">
      <c r="B3149">
        <v>3140</v>
      </c>
      <c r="C3149" s="52">
        <f ca="1"/>
        <v>7.3340868761744768E-2</v>
      </c>
      <c r="D3149" s="52">
        <f ca="1">S0*EXP((μ-0.5*σ*σ)*T+σ*SQRT(T)*$C3149)</f>
        <v>0.6570229577360478</v>
      </c>
      <c r="E3149" s="52">
        <f t="shared" ca="1" si="138"/>
        <v>0</v>
      </c>
      <c r="F3149" s="17">
        <f t="shared" ca="1" si="139"/>
        <v>0</v>
      </c>
      <c r="H3149" s="17">
        <v>3140</v>
      </c>
      <c r="I3149" s="45">
        <v>0.66994280639042136</v>
      </c>
      <c r="J3149" s="45">
        <v>1.8537034809248044E-2</v>
      </c>
      <c r="K3149" s="45">
        <v>0.25080000000000002</v>
      </c>
      <c r="N3149" s="54"/>
    </row>
    <row r="3150" spans="2:14" x14ac:dyDescent="0.2">
      <c r="B3150">
        <v>3141</v>
      </c>
      <c r="C3150" s="52">
        <f ca="1"/>
        <v>0.75070825567034583</v>
      </c>
      <c r="D3150" s="52">
        <f ca="1">S0*EXP((μ-0.5*σ*σ)*T+σ*SQRT(T)*$C3150)</f>
        <v>0.79231998378031243</v>
      </c>
      <c r="E3150" s="52">
        <f t="shared" ca="1" si="138"/>
        <v>0</v>
      </c>
      <c r="F3150" s="17">
        <f t="shared" ca="1" si="139"/>
        <v>0</v>
      </c>
      <c r="H3150" s="17">
        <v>3141</v>
      </c>
      <c r="I3150" s="45">
        <v>0.67116457760785775</v>
      </c>
      <c r="J3150" s="45">
        <v>1.8806550782772973E-2</v>
      </c>
      <c r="K3150" s="45">
        <v>0.2422</v>
      </c>
      <c r="N3150" s="54"/>
    </row>
    <row r="3151" spans="2:14" x14ac:dyDescent="0.2">
      <c r="B3151">
        <v>3142</v>
      </c>
      <c r="C3151" s="52">
        <f ca="1"/>
        <v>-0.6566258459370552</v>
      </c>
      <c r="D3151" s="52">
        <f ca="1">S0*EXP((μ-0.5*σ*σ)*T+σ*SQRT(T)*$C3151)</f>
        <v>0.53696473813685763</v>
      </c>
      <c r="E3151" s="52">
        <f t="shared" ca="1" si="138"/>
        <v>0</v>
      </c>
      <c r="F3151" s="17">
        <f t="shared" ca="1" si="139"/>
        <v>0</v>
      </c>
      <c r="H3151" s="17">
        <v>3142</v>
      </c>
      <c r="I3151" s="45">
        <v>0.6718913536187846</v>
      </c>
      <c r="J3151" s="45">
        <v>1.9828601943577211E-2</v>
      </c>
      <c r="K3151" s="45">
        <v>0.24879999999999999</v>
      </c>
      <c r="N3151" s="54"/>
    </row>
    <row r="3152" spans="2:14" x14ac:dyDescent="0.2">
      <c r="B3152">
        <v>3143</v>
      </c>
      <c r="C3152" s="52">
        <f ca="1"/>
        <v>0.12548234113089948</v>
      </c>
      <c r="D3152" s="52">
        <f ca="1">S0*EXP((μ-0.5*σ*σ)*T+σ*SQRT(T)*$C3152)</f>
        <v>0.66656160062699654</v>
      </c>
      <c r="E3152" s="52">
        <f t="shared" ca="1" si="138"/>
        <v>0</v>
      </c>
      <c r="F3152" s="17">
        <f t="shared" ca="1" si="139"/>
        <v>0</v>
      </c>
      <c r="H3152" s="17">
        <v>3143</v>
      </c>
      <c r="I3152" s="45">
        <v>0.67006142754461584</v>
      </c>
      <c r="J3152" s="45">
        <v>1.8467202843665778E-2</v>
      </c>
      <c r="K3152" s="45">
        <v>0.24540000000000001</v>
      </c>
      <c r="N3152" s="54"/>
    </row>
    <row r="3153" spans="2:14" x14ac:dyDescent="0.2">
      <c r="B3153">
        <v>3144</v>
      </c>
      <c r="C3153" s="52">
        <f ca="1"/>
        <v>0.93207147253857336</v>
      </c>
      <c r="D3153" s="52">
        <f ca="1">S0*EXP((μ-0.5*σ*σ)*T+σ*SQRT(T)*$C3153)</f>
        <v>0.83305529452862159</v>
      </c>
      <c r="E3153" s="52">
        <f t="shared" ca="1" si="138"/>
        <v>0</v>
      </c>
      <c r="F3153" s="17">
        <f t="shared" ca="1" si="139"/>
        <v>0</v>
      </c>
      <c r="H3153" s="17">
        <v>3144</v>
      </c>
      <c r="I3153" s="45">
        <v>0.67109683626674421</v>
      </c>
      <c r="J3153" s="45">
        <v>1.9390041767671905E-2</v>
      </c>
      <c r="K3153" s="45">
        <v>0.24979999999999999</v>
      </c>
      <c r="N3153" s="54"/>
    </row>
    <row r="3154" spans="2:14" x14ac:dyDescent="0.2">
      <c r="B3154">
        <v>3145</v>
      </c>
      <c r="C3154" s="52">
        <f ca="1"/>
        <v>-0.78797674044458332</v>
      </c>
      <c r="D3154" s="52">
        <f ca="1">S0*EXP((μ-0.5*σ*σ)*T+σ*SQRT(T)*$C3154)</f>
        <v>0.51781745151689429</v>
      </c>
      <c r="E3154" s="52">
        <f t="shared" ca="1" si="138"/>
        <v>1.6582548483105697E-2</v>
      </c>
      <c r="F3154" s="17">
        <f t="shared" ca="1" si="139"/>
        <v>1</v>
      </c>
      <c r="H3154" s="17">
        <v>3145</v>
      </c>
      <c r="I3154" s="45">
        <v>0.67225687681163915</v>
      </c>
      <c r="J3154" s="45">
        <v>1.9988618513844248E-2</v>
      </c>
      <c r="K3154" s="45">
        <v>0.251</v>
      </c>
      <c r="N3154" s="54"/>
    </row>
    <row r="3155" spans="2:14" x14ac:dyDescent="0.2">
      <c r="B3155">
        <v>3146</v>
      </c>
      <c r="C3155" s="52">
        <f ca="1"/>
        <v>-0.29395520319314888</v>
      </c>
      <c r="D3155" s="52">
        <f ca="1">S0*EXP((μ-0.5*σ*σ)*T+σ*SQRT(T)*$C3155)</f>
        <v>0.59358853954433632</v>
      </c>
      <c r="E3155" s="52">
        <f t="shared" ca="1" si="138"/>
        <v>0</v>
      </c>
      <c r="F3155" s="17">
        <f t="shared" ca="1" si="139"/>
        <v>0</v>
      </c>
      <c r="H3155" s="17">
        <v>3146</v>
      </c>
      <c r="I3155" s="45">
        <v>0.67116886048469582</v>
      </c>
      <c r="J3155" s="45">
        <v>1.9041871452570941E-2</v>
      </c>
      <c r="K3155" s="45">
        <v>0.24440000000000001</v>
      </c>
      <c r="N3155" s="54"/>
    </row>
    <row r="3156" spans="2:14" x14ac:dyDescent="0.2">
      <c r="B3156">
        <v>3147</v>
      </c>
      <c r="C3156" s="52">
        <f ca="1"/>
        <v>0.19422628864235544</v>
      </c>
      <c r="D3156" s="52">
        <f ca="1">S0*EXP((μ-0.5*σ*σ)*T+σ*SQRT(T)*$C3156)</f>
        <v>0.6793494313084838</v>
      </c>
      <c r="E3156" s="52">
        <f t="shared" ca="1" si="138"/>
        <v>0</v>
      </c>
      <c r="F3156" s="17">
        <f t="shared" ca="1" si="139"/>
        <v>0</v>
      </c>
      <c r="H3156" s="17">
        <v>3147</v>
      </c>
      <c r="I3156" s="45">
        <v>0.67165954198981415</v>
      </c>
      <c r="J3156" s="45">
        <v>1.9554582827956479E-2</v>
      </c>
      <c r="K3156" s="45">
        <v>0.24279999999999999</v>
      </c>
      <c r="N3156" s="54"/>
    </row>
    <row r="3157" spans="2:14" x14ac:dyDescent="0.2">
      <c r="B3157">
        <v>3148</v>
      </c>
      <c r="C3157" s="52">
        <f ca="1"/>
        <v>7.0817638844208851E-3</v>
      </c>
      <c r="D3157" s="52">
        <f ca="1">S0*EXP((μ-0.5*σ*σ)*T+σ*SQRT(T)*$C3157)</f>
        <v>0.64509835289860473</v>
      </c>
      <c r="E3157" s="52">
        <f t="shared" ca="1" si="138"/>
        <v>0</v>
      </c>
      <c r="F3157" s="17">
        <f t="shared" ca="1" si="139"/>
        <v>0</v>
      </c>
      <c r="H3157" s="17">
        <v>3148</v>
      </c>
      <c r="I3157" s="45">
        <v>0.67204080449384129</v>
      </c>
      <c r="J3157" s="45">
        <v>1.9929494799199112E-2</v>
      </c>
      <c r="K3157" s="45">
        <v>0.25119999999999998</v>
      </c>
      <c r="N3157" s="54"/>
    </row>
    <row r="3158" spans="2:14" x14ac:dyDescent="0.2">
      <c r="B3158">
        <v>3149</v>
      </c>
      <c r="C3158" s="52">
        <f ca="1"/>
        <v>0.29901527698430869</v>
      </c>
      <c r="D3158" s="52">
        <f ca="1">S0*EXP((μ-0.5*σ*σ)*T+σ*SQRT(T)*$C3158)</f>
        <v>0.69931599333563732</v>
      </c>
      <c r="E3158" s="52">
        <f t="shared" ca="1" si="138"/>
        <v>0</v>
      </c>
      <c r="F3158" s="17">
        <f t="shared" ca="1" si="139"/>
        <v>0</v>
      </c>
      <c r="H3158" s="17">
        <v>3149</v>
      </c>
      <c r="I3158" s="45">
        <v>0.67067506786634878</v>
      </c>
      <c r="J3158" s="45">
        <v>1.9021321903834355E-2</v>
      </c>
      <c r="K3158" s="45">
        <v>0.25040000000000001</v>
      </c>
      <c r="N3158" s="54"/>
    </row>
    <row r="3159" spans="2:14" x14ac:dyDescent="0.2">
      <c r="B3159">
        <v>3150</v>
      </c>
      <c r="C3159" s="52">
        <f ca="1"/>
        <v>-1.0603483736834858</v>
      </c>
      <c r="D3159" s="52">
        <f ca="1">S0*EXP((μ-0.5*σ*σ)*T+σ*SQRT(T)*$C3159)</f>
        <v>0.48026133079381228</v>
      </c>
      <c r="E3159" s="52">
        <f t="shared" ca="1" si="138"/>
        <v>5.4138669206187706E-2</v>
      </c>
      <c r="F3159" s="17">
        <f t="shared" ca="1" si="139"/>
        <v>1</v>
      </c>
      <c r="H3159" s="17">
        <v>3150</v>
      </c>
      <c r="I3159" s="45">
        <v>0.67048973643893217</v>
      </c>
      <c r="J3159" s="45">
        <v>1.8765551376303782E-2</v>
      </c>
      <c r="K3159" s="45">
        <v>0.25040000000000001</v>
      </c>
      <c r="N3159" s="54"/>
    </row>
    <row r="3160" spans="2:14" x14ac:dyDescent="0.2">
      <c r="B3160">
        <v>3151</v>
      </c>
      <c r="C3160" s="52">
        <f ca="1"/>
        <v>-1.6013488651173584</v>
      </c>
      <c r="D3160" s="52">
        <f ca="1">S0*EXP((μ-0.5*σ*σ)*T+σ*SQRT(T)*$C3160)</f>
        <v>0.41355076233124766</v>
      </c>
      <c r="E3160" s="52">
        <f t="shared" ca="1" si="138"/>
        <v>0.12084923766875233</v>
      </c>
      <c r="F3160" s="17">
        <f t="shared" ca="1" si="139"/>
        <v>1</v>
      </c>
      <c r="H3160" s="17">
        <v>3151</v>
      </c>
      <c r="I3160" s="45">
        <v>0.67065292373910568</v>
      </c>
      <c r="J3160" s="45">
        <v>1.8769746388299258E-2</v>
      </c>
      <c r="K3160" s="45">
        <v>0.2482</v>
      </c>
      <c r="N3160" s="54"/>
    </row>
    <row r="3161" spans="2:14" x14ac:dyDescent="0.2">
      <c r="B3161">
        <v>3152</v>
      </c>
      <c r="C3161" s="52">
        <f ca="1"/>
        <v>0.95800724812217464</v>
      </c>
      <c r="D3161" s="52">
        <f ca="1">S0*EXP((μ-0.5*σ*σ)*T+σ*SQRT(T)*$C3161)</f>
        <v>0.83904933893307698</v>
      </c>
      <c r="E3161" s="52">
        <f t="shared" ca="1" si="138"/>
        <v>0</v>
      </c>
      <c r="F3161" s="17">
        <f t="shared" ca="1" si="139"/>
        <v>0</v>
      </c>
      <c r="H3161" s="17">
        <v>3152</v>
      </c>
      <c r="I3161" s="45">
        <v>0.67018933498331257</v>
      </c>
      <c r="J3161" s="45">
        <v>1.8262733446442102E-2</v>
      </c>
      <c r="K3161" s="45">
        <v>0.24399999999999999</v>
      </c>
      <c r="N3161" s="54"/>
    </row>
    <row r="3162" spans="2:14" x14ac:dyDescent="0.2">
      <c r="B3162">
        <v>3153</v>
      </c>
      <c r="C3162" s="52">
        <f ca="1"/>
        <v>-0.70288085550756829</v>
      </c>
      <c r="D3162" s="52">
        <f ca="1">S0*EXP((μ-0.5*σ*σ)*T+σ*SQRT(T)*$C3162)</f>
        <v>0.53014260652499234</v>
      </c>
      <c r="E3162" s="52">
        <f t="shared" ca="1" si="138"/>
        <v>4.2573934750076425E-3</v>
      </c>
      <c r="F3162" s="17">
        <f t="shared" ca="1" si="139"/>
        <v>1</v>
      </c>
      <c r="H3162" s="17">
        <v>3153</v>
      </c>
      <c r="I3162" s="45">
        <v>0.67014637790083265</v>
      </c>
      <c r="J3162" s="45">
        <v>1.841971705489762E-2</v>
      </c>
      <c r="K3162" s="45">
        <v>0.24260000000000001</v>
      </c>
      <c r="N3162" s="54"/>
    </row>
    <row r="3163" spans="2:14" x14ac:dyDescent="0.2">
      <c r="B3163">
        <v>3154</v>
      </c>
      <c r="C3163" s="52">
        <f ca="1"/>
        <v>1.6881491088830435E-2</v>
      </c>
      <c r="D3163" s="52">
        <f ca="1">S0*EXP((μ-0.5*σ*σ)*T+σ*SQRT(T)*$C3163)</f>
        <v>0.64684826976857979</v>
      </c>
      <c r="E3163" s="52">
        <f t="shared" ca="1" si="138"/>
        <v>0</v>
      </c>
      <c r="F3163" s="17">
        <f t="shared" ca="1" si="139"/>
        <v>0</v>
      </c>
      <c r="H3163" s="17">
        <v>3154</v>
      </c>
      <c r="I3163" s="45">
        <v>0.67039098597660773</v>
      </c>
      <c r="J3163" s="45">
        <v>1.8377839413756276E-2</v>
      </c>
      <c r="K3163" s="45">
        <v>0.2424</v>
      </c>
      <c r="N3163" s="54"/>
    </row>
    <row r="3164" spans="2:14" x14ac:dyDescent="0.2">
      <c r="B3164">
        <v>3155</v>
      </c>
      <c r="C3164" s="52">
        <f ca="1"/>
        <v>-0.36096354305878842</v>
      </c>
      <c r="D3164" s="52">
        <f ca="1">S0*EXP((μ-0.5*σ*σ)*T+σ*SQRT(T)*$C3164)</f>
        <v>0.58269453840123286</v>
      </c>
      <c r="E3164" s="52">
        <f t="shared" ca="1" si="138"/>
        <v>0</v>
      </c>
      <c r="F3164" s="17">
        <f t="shared" ca="1" si="139"/>
        <v>0</v>
      </c>
      <c r="H3164" s="17">
        <v>3155</v>
      </c>
      <c r="I3164" s="45">
        <v>0.66964160176673571</v>
      </c>
      <c r="J3164" s="45">
        <v>1.8176489385657493E-2</v>
      </c>
      <c r="K3164" s="45">
        <v>0.2404</v>
      </c>
      <c r="N3164" s="54"/>
    </row>
    <row r="3165" spans="2:14" x14ac:dyDescent="0.2">
      <c r="B3165">
        <v>3156</v>
      </c>
      <c r="C3165" s="52">
        <f ca="1"/>
        <v>-0.68071560671403641</v>
      </c>
      <c r="D3165" s="52">
        <f ca="1">S0*EXP((μ-0.5*σ*σ)*T+σ*SQRT(T)*$C3165)</f>
        <v>0.53340086568015832</v>
      </c>
      <c r="E3165" s="52">
        <f t="shared" ca="1" si="138"/>
        <v>9.9913431984166579E-4</v>
      </c>
      <c r="F3165" s="17">
        <f t="shared" ca="1" si="139"/>
        <v>1</v>
      </c>
      <c r="H3165" s="17">
        <v>3156</v>
      </c>
      <c r="I3165" s="45">
        <v>0.67108408496758643</v>
      </c>
      <c r="J3165" s="45">
        <v>1.9260597288935834E-2</v>
      </c>
      <c r="K3165" s="45">
        <v>0.252</v>
      </c>
      <c r="N3165" s="54"/>
    </row>
    <row r="3166" spans="2:14" x14ac:dyDescent="0.2">
      <c r="B3166">
        <v>3157</v>
      </c>
      <c r="C3166" s="52">
        <f ca="1"/>
        <v>0.28331433346957691</v>
      </c>
      <c r="D3166" s="52">
        <f ca="1">S0*EXP((μ-0.5*σ*σ)*T+σ*SQRT(T)*$C3166)</f>
        <v>0.6962873634675355</v>
      </c>
      <c r="E3166" s="52">
        <f t="shared" ca="1" si="138"/>
        <v>0</v>
      </c>
      <c r="F3166" s="17">
        <f t="shared" ca="1" si="139"/>
        <v>0</v>
      </c>
      <c r="H3166" s="17">
        <v>3157</v>
      </c>
      <c r="I3166" s="45">
        <v>0.67148553666632549</v>
      </c>
      <c r="J3166" s="45">
        <v>1.9288378109381474E-2</v>
      </c>
      <c r="K3166" s="45">
        <v>0.245</v>
      </c>
      <c r="N3166" s="54"/>
    </row>
    <row r="3167" spans="2:14" x14ac:dyDescent="0.2">
      <c r="B3167">
        <v>3158</v>
      </c>
      <c r="C3167" s="52">
        <f ca="1"/>
        <v>0.25713583022001524</v>
      </c>
      <c r="D3167" s="52">
        <f ca="1">S0*EXP((μ-0.5*σ*σ)*T+σ*SQRT(T)*$C3167)</f>
        <v>0.69126680545425401</v>
      </c>
      <c r="E3167" s="52">
        <f t="shared" ca="1" si="138"/>
        <v>0</v>
      </c>
      <c r="F3167" s="17">
        <f t="shared" ca="1" si="139"/>
        <v>0</v>
      </c>
      <c r="H3167" s="17">
        <v>3158</v>
      </c>
      <c r="I3167" s="45">
        <v>0.67199828829930264</v>
      </c>
      <c r="J3167" s="45">
        <v>1.986194847954742E-2</v>
      </c>
      <c r="K3167" s="45">
        <v>0.248</v>
      </c>
      <c r="N3167" s="54"/>
    </row>
    <row r="3168" spans="2:14" x14ac:dyDescent="0.2">
      <c r="B3168">
        <v>3159</v>
      </c>
      <c r="C3168" s="52">
        <f ca="1"/>
        <v>0.70599375308993095</v>
      </c>
      <c r="D3168" s="52">
        <f ca="1">S0*EXP((μ-0.5*σ*σ)*T+σ*SQRT(T)*$C3168)</f>
        <v>0.78258675699609737</v>
      </c>
      <c r="E3168" s="52">
        <f t="shared" ca="1" si="138"/>
        <v>0</v>
      </c>
      <c r="F3168" s="17">
        <f t="shared" ca="1" si="139"/>
        <v>0</v>
      </c>
      <c r="H3168" s="17">
        <v>3159</v>
      </c>
      <c r="I3168" s="45">
        <v>0.66977573317946948</v>
      </c>
      <c r="J3168" s="45">
        <v>1.8038735507675721E-2</v>
      </c>
      <c r="K3168" s="45">
        <v>0.23780000000000001</v>
      </c>
      <c r="N3168" s="54"/>
    </row>
    <row r="3169" spans="2:14" x14ac:dyDescent="0.2">
      <c r="B3169">
        <v>3160</v>
      </c>
      <c r="C3169" s="52">
        <f ca="1"/>
        <v>1.1304786599122665</v>
      </c>
      <c r="D3169" s="52">
        <f ca="1">S0*EXP((μ-0.5*σ*σ)*T+σ*SQRT(T)*$C3169)</f>
        <v>0.88002139295564985</v>
      </c>
      <c r="E3169" s="52">
        <f t="shared" ca="1" si="138"/>
        <v>0</v>
      </c>
      <c r="F3169" s="17">
        <f t="shared" ca="1" si="139"/>
        <v>0</v>
      </c>
      <c r="H3169" s="17">
        <v>3160</v>
      </c>
      <c r="I3169" s="45">
        <v>0.67096086217380935</v>
      </c>
      <c r="J3169" s="45">
        <v>1.8913001329139287E-2</v>
      </c>
      <c r="K3169" s="45">
        <v>0.24340000000000001</v>
      </c>
      <c r="N3169" s="54"/>
    </row>
    <row r="3170" spans="2:14" x14ac:dyDescent="0.2">
      <c r="B3170">
        <v>3161</v>
      </c>
      <c r="C3170" s="52">
        <f ca="1"/>
        <v>0.12206055211232877</v>
      </c>
      <c r="D3170" s="52">
        <f ca="1">S0*EXP((μ-0.5*σ*σ)*T+σ*SQRT(T)*$C3170)</f>
        <v>0.6659314022807149</v>
      </c>
      <c r="E3170" s="52">
        <f t="shared" ca="1" si="138"/>
        <v>0</v>
      </c>
      <c r="F3170" s="17">
        <f t="shared" ca="1" si="139"/>
        <v>0</v>
      </c>
      <c r="H3170" s="17">
        <v>3161</v>
      </c>
      <c r="I3170" s="45">
        <v>0.66944504333176713</v>
      </c>
      <c r="J3170" s="45">
        <v>1.7734805048875302E-2</v>
      </c>
      <c r="K3170" s="45">
        <v>0.2366</v>
      </c>
      <c r="N3170" s="54"/>
    </row>
    <row r="3171" spans="2:14" x14ac:dyDescent="0.2">
      <c r="B3171">
        <v>3162</v>
      </c>
      <c r="C3171" s="52">
        <f ca="1"/>
        <v>0.33810898889142843</v>
      </c>
      <c r="D3171" s="52">
        <f ca="1">S0*EXP((μ-0.5*σ*σ)*T+σ*SQRT(T)*$C3171)</f>
        <v>0.70691432532471121</v>
      </c>
      <c r="E3171" s="52">
        <f t="shared" ca="1" si="138"/>
        <v>0</v>
      </c>
      <c r="F3171" s="17">
        <f t="shared" ca="1" si="139"/>
        <v>0</v>
      </c>
      <c r="H3171" s="17">
        <v>3162</v>
      </c>
      <c r="I3171" s="45">
        <v>0.67171346452362113</v>
      </c>
      <c r="J3171" s="45">
        <v>1.9748580034944674E-2</v>
      </c>
      <c r="K3171" s="45">
        <v>0.254</v>
      </c>
      <c r="N3171" s="54"/>
    </row>
    <row r="3172" spans="2:14" x14ac:dyDescent="0.2">
      <c r="B3172">
        <v>3163</v>
      </c>
      <c r="C3172" s="52">
        <f ca="1"/>
        <v>-0.71692990144841473</v>
      </c>
      <c r="D3172" s="52">
        <f ca="1">S0*EXP((μ-0.5*σ*σ)*T+σ*SQRT(T)*$C3172)</f>
        <v>0.52808773052119728</v>
      </c>
      <c r="E3172" s="52">
        <f t="shared" ca="1" si="138"/>
        <v>6.3122694788027012E-3</v>
      </c>
      <c r="F3172" s="17">
        <f t="shared" ca="1" si="139"/>
        <v>1</v>
      </c>
      <c r="H3172" s="17">
        <v>3163</v>
      </c>
      <c r="I3172" s="45">
        <v>0.67128761362497458</v>
      </c>
      <c r="J3172" s="45">
        <v>1.928961396014028E-2</v>
      </c>
      <c r="K3172" s="45">
        <v>0.25319999999999998</v>
      </c>
      <c r="N3172" s="54"/>
    </row>
    <row r="3173" spans="2:14" x14ac:dyDescent="0.2">
      <c r="B3173">
        <v>3164</v>
      </c>
      <c r="C3173" s="52">
        <f ca="1"/>
        <v>1.8434144581103853</v>
      </c>
      <c r="D3173" s="52">
        <f ca="1">S0*EXP((μ-0.5*σ*σ)*T+σ*SQRT(T)*$C3173)</f>
        <v>1.0717250780093113</v>
      </c>
      <c r="E3173" s="52">
        <f t="shared" ca="1" si="138"/>
        <v>0</v>
      </c>
      <c r="F3173" s="17">
        <f t="shared" ca="1" si="139"/>
        <v>0</v>
      </c>
      <c r="H3173" s="17">
        <v>3164</v>
      </c>
      <c r="I3173" s="45">
        <v>0.6699099753639326</v>
      </c>
      <c r="J3173" s="45">
        <v>1.838580881672176E-2</v>
      </c>
      <c r="K3173" s="45">
        <v>0.2402</v>
      </c>
      <c r="N3173" s="54"/>
    </row>
    <row r="3174" spans="2:14" x14ac:dyDescent="0.2">
      <c r="B3174">
        <v>3165</v>
      </c>
      <c r="C3174" s="52">
        <f ca="1"/>
        <v>-1.2619536243608329</v>
      </c>
      <c r="D3174" s="52">
        <f ca="1">S0*EXP((μ-0.5*σ*σ)*T+σ*SQRT(T)*$C3174)</f>
        <v>0.45422839708639562</v>
      </c>
      <c r="E3174" s="52">
        <f t="shared" ca="1" si="138"/>
        <v>8.0171602913604367E-2</v>
      </c>
      <c r="F3174" s="17">
        <f t="shared" ca="1" si="139"/>
        <v>1</v>
      </c>
      <c r="H3174" s="17">
        <v>3165</v>
      </c>
      <c r="I3174" s="45">
        <v>0.67098709757648445</v>
      </c>
      <c r="J3174" s="45">
        <v>1.9167016650137033E-2</v>
      </c>
      <c r="K3174" s="45">
        <v>0.25019999999999998</v>
      </c>
      <c r="N3174" s="54"/>
    </row>
    <row r="3175" spans="2:14" x14ac:dyDescent="0.2">
      <c r="B3175">
        <v>3166</v>
      </c>
      <c r="C3175" s="52">
        <f ca="1"/>
        <v>-0.94831310737543795</v>
      </c>
      <c r="D3175" s="52">
        <f ca="1">S0*EXP((μ-0.5*σ*σ)*T+σ*SQRT(T)*$C3175)</f>
        <v>0.49536783376009907</v>
      </c>
      <c r="E3175" s="52">
        <f t="shared" ca="1" si="138"/>
        <v>3.9032166239900912E-2</v>
      </c>
      <c r="F3175" s="17">
        <f t="shared" ca="1" si="139"/>
        <v>1</v>
      </c>
      <c r="H3175" s="17">
        <v>3166</v>
      </c>
      <c r="I3175" s="45">
        <v>0.6713905963592256</v>
      </c>
      <c r="J3175" s="45">
        <v>1.9547760375851816E-2</v>
      </c>
      <c r="K3175" s="45">
        <v>0.25319999999999998</v>
      </c>
      <c r="N3175" s="54"/>
    </row>
    <row r="3176" spans="2:14" x14ac:dyDescent="0.2">
      <c r="B3176">
        <v>3167</v>
      </c>
      <c r="C3176" s="52">
        <f ca="1"/>
        <v>0.1310939285948389</v>
      </c>
      <c r="D3176" s="52">
        <f ca="1">S0*EXP((μ-0.5*σ*σ)*T+σ*SQRT(T)*$C3176)</f>
        <v>0.66759639018396344</v>
      </c>
      <c r="E3176" s="52">
        <f t="shared" ca="1" si="138"/>
        <v>0</v>
      </c>
      <c r="F3176" s="17">
        <f t="shared" ca="1" si="139"/>
        <v>0</v>
      </c>
      <c r="H3176" s="17">
        <v>3167</v>
      </c>
      <c r="I3176" s="45">
        <v>0.67102490992992703</v>
      </c>
      <c r="J3176" s="45">
        <v>1.8972721742965989E-2</v>
      </c>
      <c r="K3176" s="45">
        <v>0.24179999999999999</v>
      </c>
      <c r="N3176" s="54"/>
    </row>
    <row r="3177" spans="2:14" x14ac:dyDescent="0.2">
      <c r="B3177">
        <v>3168</v>
      </c>
      <c r="C3177" s="52">
        <f ca="1"/>
        <v>-0.37295613672261113</v>
      </c>
      <c r="D3177" s="52">
        <f ca="1">S0*EXP((μ-0.5*σ*σ)*T+σ*SQRT(T)*$C3177)</f>
        <v>0.58076602121653498</v>
      </c>
      <c r="E3177" s="52">
        <f t="shared" ca="1" si="138"/>
        <v>0</v>
      </c>
      <c r="F3177" s="17">
        <f t="shared" ca="1" si="139"/>
        <v>0</v>
      </c>
      <c r="H3177" s="17">
        <v>3168</v>
      </c>
      <c r="I3177" s="45">
        <v>0.67064102703310269</v>
      </c>
      <c r="J3177" s="45">
        <v>1.8728051463204012E-2</v>
      </c>
      <c r="K3177" s="45">
        <v>0.2442</v>
      </c>
      <c r="N3177" s="54"/>
    </row>
    <row r="3178" spans="2:14" x14ac:dyDescent="0.2">
      <c r="B3178">
        <v>3169</v>
      </c>
      <c r="C3178" s="52">
        <f ca="1"/>
        <v>0.11549623425528793</v>
      </c>
      <c r="D3178" s="52">
        <f ca="1">S0*EXP((μ-0.5*σ*σ)*T+σ*SQRT(T)*$C3178)</f>
        <v>0.66472410493716982</v>
      </c>
      <c r="E3178" s="52">
        <f t="shared" ca="1" si="138"/>
        <v>0</v>
      </c>
      <c r="F3178" s="17">
        <f t="shared" ca="1" si="139"/>
        <v>0</v>
      </c>
      <c r="H3178" s="17">
        <v>3169</v>
      </c>
      <c r="I3178" s="45">
        <v>0.67049601644701329</v>
      </c>
      <c r="J3178" s="45">
        <v>1.8909945902510612E-2</v>
      </c>
      <c r="K3178" s="45">
        <v>0.2452</v>
      </c>
      <c r="N3178" s="54"/>
    </row>
    <row r="3179" spans="2:14" x14ac:dyDescent="0.2">
      <c r="B3179">
        <v>3170</v>
      </c>
      <c r="C3179" s="52">
        <f ca="1"/>
        <v>0.69196830172765589</v>
      </c>
      <c r="D3179" s="52">
        <f ca="1">S0*EXP((μ-0.5*σ*σ)*T+σ*SQRT(T)*$C3179)</f>
        <v>0.77955847136940781</v>
      </c>
      <c r="E3179" s="52">
        <f t="shared" ca="1" si="138"/>
        <v>0</v>
      </c>
      <c r="F3179" s="17">
        <f t="shared" ca="1" si="139"/>
        <v>0</v>
      </c>
      <c r="H3179" s="17">
        <v>3170</v>
      </c>
      <c r="I3179" s="45">
        <v>0.67135793627788054</v>
      </c>
      <c r="J3179" s="45">
        <v>1.9500547095137204E-2</v>
      </c>
      <c r="K3179" s="45">
        <v>0.25040000000000001</v>
      </c>
      <c r="N3179" s="54"/>
    </row>
    <row r="3180" spans="2:14" x14ac:dyDescent="0.2">
      <c r="B3180">
        <v>3171</v>
      </c>
      <c r="C3180" s="52">
        <f ca="1"/>
        <v>-0.16470304388000012</v>
      </c>
      <c r="D3180" s="52">
        <f ca="1">S0*EXP((μ-0.5*σ*σ)*T+σ*SQRT(T)*$C3180)</f>
        <v>0.61518060058155088</v>
      </c>
      <c r="E3180" s="52">
        <f t="shared" ca="1" si="138"/>
        <v>0</v>
      </c>
      <c r="F3180" s="17">
        <f t="shared" ca="1" si="139"/>
        <v>0</v>
      </c>
      <c r="H3180" s="17">
        <v>3171</v>
      </c>
      <c r="I3180" s="45">
        <v>0.66904752603227624</v>
      </c>
      <c r="J3180" s="45">
        <v>1.7502669595973127E-2</v>
      </c>
      <c r="K3180" s="45">
        <v>0.24260000000000001</v>
      </c>
      <c r="N3180" s="54"/>
    </row>
    <row r="3181" spans="2:14" x14ac:dyDescent="0.2">
      <c r="B3181">
        <v>3172</v>
      </c>
      <c r="C3181" s="52">
        <f ca="1"/>
        <v>-1.1244495012093174</v>
      </c>
      <c r="D3181" s="52">
        <f ca="1">S0*EXP((μ-0.5*σ*σ)*T+σ*SQRT(T)*$C3181)</f>
        <v>0.47182622911044947</v>
      </c>
      <c r="E3181" s="52">
        <f t="shared" ca="1" si="138"/>
        <v>6.2573770889550517E-2</v>
      </c>
      <c r="F3181" s="17">
        <f t="shared" ca="1" si="139"/>
        <v>1</v>
      </c>
      <c r="H3181" s="17">
        <v>3172</v>
      </c>
      <c r="I3181" s="45">
        <v>0.67141492546537307</v>
      </c>
      <c r="J3181" s="45">
        <v>1.9326029378834805E-2</v>
      </c>
      <c r="K3181" s="45">
        <v>0.25159999999999999</v>
      </c>
      <c r="N3181" s="54"/>
    </row>
    <row r="3182" spans="2:14" x14ac:dyDescent="0.2">
      <c r="B3182">
        <v>3173</v>
      </c>
      <c r="C3182" s="52">
        <f ca="1"/>
        <v>0.57949957063216295</v>
      </c>
      <c r="D3182" s="52">
        <f ca="1">S0*EXP((μ-0.5*σ*σ)*T+σ*SQRT(T)*$C3182)</f>
        <v>0.75569486961947741</v>
      </c>
      <c r="E3182" s="52">
        <f t="shared" ca="1" si="138"/>
        <v>0</v>
      </c>
      <c r="F3182" s="17">
        <f t="shared" ca="1" si="139"/>
        <v>0</v>
      </c>
      <c r="H3182" s="17">
        <v>3173</v>
      </c>
      <c r="I3182" s="45">
        <v>0.67278297097025375</v>
      </c>
      <c r="J3182" s="45">
        <v>2.0371958031880525E-2</v>
      </c>
      <c r="K3182" s="45">
        <v>0.252</v>
      </c>
      <c r="N3182" s="54"/>
    </row>
    <row r="3183" spans="2:14" x14ac:dyDescent="0.2">
      <c r="B3183">
        <v>3174</v>
      </c>
      <c r="C3183" s="52">
        <f ca="1"/>
        <v>-0.42880626294818786</v>
      </c>
      <c r="D3183" s="52">
        <f ca="1">S0*EXP((μ-0.5*σ*σ)*T+σ*SQRT(T)*$C3183)</f>
        <v>0.57186855592594599</v>
      </c>
      <c r="E3183" s="52">
        <f t="shared" ca="1" si="138"/>
        <v>0</v>
      </c>
      <c r="F3183" s="17">
        <f t="shared" ca="1" si="139"/>
        <v>0</v>
      </c>
      <c r="H3183" s="17">
        <v>3174</v>
      </c>
      <c r="I3183" s="45">
        <v>0.67122548532015758</v>
      </c>
      <c r="J3183" s="45">
        <v>1.9343435638733E-2</v>
      </c>
      <c r="K3183" s="45">
        <v>0.248</v>
      </c>
      <c r="N3183" s="54"/>
    </row>
    <row r="3184" spans="2:14" x14ac:dyDescent="0.2">
      <c r="B3184">
        <v>3175</v>
      </c>
      <c r="C3184" s="52">
        <f ca="1"/>
        <v>-0.63960486743848954</v>
      </c>
      <c r="D3184" s="52">
        <f ca="1">S0*EXP((μ-0.5*σ*σ)*T+σ*SQRT(T)*$C3184)</f>
        <v>0.53949719189101997</v>
      </c>
      <c r="E3184" s="52">
        <f t="shared" ca="1" si="138"/>
        <v>0</v>
      </c>
      <c r="F3184" s="17">
        <f t="shared" ca="1" si="139"/>
        <v>0</v>
      </c>
      <c r="H3184" s="17">
        <v>3175</v>
      </c>
      <c r="I3184" s="45">
        <v>0.66973105938615474</v>
      </c>
      <c r="J3184" s="45">
        <v>1.8016126773610731E-2</v>
      </c>
      <c r="K3184" s="45">
        <v>0.24440000000000001</v>
      </c>
      <c r="N3184" s="54"/>
    </row>
    <row r="3185" spans="2:14" x14ac:dyDescent="0.2">
      <c r="B3185">
        <v>3176</v>
      </c>
      <c r="C3185" s="52">
        <f ca="1"/>
        <v>0.38365055389492692</v>
      </c>
      <c r="D3185" s="52">
        <f ca="1">S0*EXP((μ-0.5*σ*σ)*T+σ*SQRT(T)*$C3185)</f>
        <v>0.71587004366532048</v>
      </c>
      <c r="E3185" s="52">
        <f t="shared" ca="1" si="138"/>
        <v>0</v>
      </c>
      <c r="F3185" s="17">
        <f t="shared" ca="1" si="139"/>
        <v>0</v>
      </c>
      <c r="H3185" s="17">
        <v>3176</v>
      </c>
      <c r="I3185" s="45">
        <v>0.67020784109023579</v>
      </c>
      <c r="J3185" s="45">
        <v>1.8165268489709684E-2</v>
      </c>
      <c r="K3185" s="45">
        <v>0.2374</v>
      </c>
      <c r="N3185" s="54"/>
    </row>
    <row r="3186" spans="2:14" x14ac:dyDescent="0.2">
      <c r="B3186">
        <v>3177</v>
      </c>
      <c r="C3186" s="52">
        <f ca="1"/>
        <v>-0.62158455957136816</v>
      </c>
      <c r="D3186" s="52">
        <f ca="1">S0*EXP((μ-0.5*σ*σ)*T+σ*SQRT(T)*$C3186)</f>
        <v>0.54219134741783215</v>
      </c>
      <c r="E3186" s="52">
        <f t="shared" ca="1" si="138"/>
        <v>0</v>
      </c>
      <c r="F3186" s="17">
        <f t="shared" ca="1" si="139"/>
        <v>0</v>
      </c>
      <c r="H3186" s="17">
        <v>3177</v>
      </c>
      <c r="I3186" s="45">
        <v>0.67230866263509248</v>
      </c>
      <c r="J3186" s="45">
        <v>1.9792791390553885E-2</v>
      </c>
      <c r="K3186" s="45">
        <v>0.25280000000000002</v>
      </c>
      <c r="N3186" s="54"/>
    </row>
    <row r="3187" spans="2:14" x14ac:dyDescent="0.2">
      <c r="B3187">
        <v>3178</v>
      </c>
      <c r="C3187" s="52">
        <f ca="1"/>
        <v>1.1875750645773719</v>
      </c>
      <c r="D3187" s="52">
        <f ca="1">S0*EXP((μ-0.5*σ*σ)*T+σ*SQRT(T)*$C3187)</f>
        <v>0.89402122810780493</v>
      </c>
      <c r="E3187" s="52">
        <f t="shared" ca="1" si="138"/>
        <v>0</v>
      </c>
      <c r="F3187" s="17">
        <f t="shared" ca="1" si="139"/>
        <v>0</v>
      </c>
      <c r="H3187" s="17">
        <v>3178</v>
      </c>
      <c r="I3187" s="45">
        <v>0.67004133693002688</v>
      </c>
      <c r="J3187" s="45">
        <v>1.8429181320545947E-2</v>
      </c>
      <c r="K3187" s="45">
        <v>0.24679999999999999</v>
      </c>
      <c r="N3187" s="54"/>
    </row>
    <row r="3188" spans="2:14" x14ac:dyDescent="0.2">
      <c r="B3188">
        <v>3179</v>
      </c>
      <c r="C3188" s="52">
        <f ca="1"/>
        <v>-0.74310333884226731</v>
      </c>
      <c r="D3188" s="52">
        <f ca="1">S0*EXP((μ-0.5*σ*σ)*T+σ*SQRT(T)*$C3188)</f>
        <v>0.52428070482674249</v>
      </c>
      <c r="E3188" s="52">
        <f t="shared" ca="1" si="138"/>
        <v>1.0119295173257492E-2</v>
      </c>
      <c r="F3188" s="17">
        <f t="shared" ca="1" si="139"/>
        <v>1</v>
      </c>
      <c r="H3188" s="17">
        <v>3179</v>
      </c>
      <c r="I3188" s="45">
        <v>0.67206068816754683</v>
      </c>
      <c r="J3188" s="45">
        <v>1.9856480381120846E-2</v>
      </c>
      <c r="K3188" s="45">
        <v>0.25140000000000001</v>
      </c>
      <c r="N3188" s="54"/>
    </row>
    <row r="3189" spans="2:14" x14ac:dyDescent="0.2">
      <c r="B3189">
        <v>3180</v>
      </c>
      <c r="C3189" s="52">
        <f ca="1"/>
        <v>0.7281412927354084</v>
      </c>
      <c r="D3189" s="52">
        <f ca="1">S0*EXP((μ-0.5*σ*σ)*T+σ*SQRT(T)*$C3189)</f>
        <v>0.78739268458436795</v>
      </c>
      <c r="E3189" s="52">
        <f t="shared" ca="1" si="138"/>
        <v>0</v>
      </c>
      <c r="F3189" s="17">
        <f t="shared" ca="1" si="139"/>
        <v>0</v>
      </c>
      <c r="H3189" s="17">
        <v>3180</v>
      </c>
      <c r="I3189" s="45">
        <v>0.67091819998014079</v>
      </c>
      <c r="J3189" s="45">
        <v>1.882618075767567E-2</v>
      </c>
      <c r="K3189" s="45">
        <v>0.24879999999999999</v>
      </c>
      <c r="N3189" s="54"/>
    </row>
    <row r="3190" spans="2:14" x14ac:dyDescent="0.2">
      <c r="B3190">
        <v>3181</v>
      </c>
      <c r="C3190" s="52">
        <f ca="1"/>
        <v>1.1729366695288075</v>
      </c>
      <c r="D3190" s="52">
        <f ca="1">S0*EXP((μ-0.5*σ*σ)*T+σ*SQRT(T)*$C3190)</f>
        <v>0.89041085554489996</v>
      </c>
      <c r="E3190" s="52">
        <f t="shared" ca="1" si="138"/>
        <v>0</v>
      </c>
      <c r="F3190" s="17">
        <f t="shared" ca="1" si="139"/>
        <v>0</v>
      </c>
      <c r="H3190" s="17">
        <v>3181</v>
      </c>
      <c r="I3190" s="45">
        <v>0.67162947303093024</v>
      </c>
      <c r="J3190" s="45">
        <v>1.9526559968572242E-2</v>
      </c>
      <c r="K3190" s="45">
        <v>0.24740000000000001</v>
      </c>
      <c r="N3190" s="54"/>
    </row>
    <row r="3191" spans="2:14" x14ac:dyDescent="0.2">
      <c r="B3191">
        <v>3182</v>
      </c>
      <c r="C3191" s="52">
        <f ca="1"/>
        <v>-1.122545085770845</v>
      </c>
      <c r="D3191" s="52">
        <f ca="1">S0*EXP((μ-0.5*σ*σ)*T+σ*SQRT(T)*$C3191)</f>
        <v>0.47207468380995027</v>
      </c>
      <c r="E3191" s="52">
        <f t="shared" ca="1" si="138"/>
        <v>6.2325316190049718E-2</v>
      </c>
      <c r="F3191" s="17">
        <f t="shared" ca="1" si="139"/>
        <v>1</v>
      </c>
      <c r="H3191" s="17">
        <v>3182</v>
      </c>
      <c r="I3191" s="45">
        <v>0.6717422085986392</v>
      </c>
      <c r="J3191" s="45">
        <v>1.9474911225174769E-2</v>
      </c>
      <c r="K3191" s="45">
        <v>0.24299999999999999</v>
      </c>
      <c r="N3191" s="54"/>
    </row>
    <row r="3192" spans="2:14" x14ac:dyDescent="0.2">
      <c r="B3192">
        <v>3183</v>
      </c>
      <c r="C3192" s="52">
        <f ca="1"/>
        <v>-0.46742690187116964</v>
      </c>
      <c r="D3192" s="52">
        <f ca="1">S0*EXP((μ-0.5*σ*σ)*T+σ*SQRT(T)*$C3192)</f>
        <v>0.56579576132594989</v>
      </c>
      <c r="E3192" s="52">
        <f t="shared" ca="1" si="138"/>
        <v>0</v>
      </c>
      <c r="F3192" s="17">
        <f t="shared" ca="1" si="139"/>
        <v>0</v>
      </c>
      <c r="H3192" s="17">
        <v>3183</v>
      </c>
      <c r="I3192" s="45">
        <v>0.67145775366476501</v>
      </c>
      <c r="J3192" s="45">
        <v>1.9525148660849229E-2</v>
      </c>
      <c r="K3192" s="45">
        <v>0.25340000000000001</v>
      </c>
      <c r="N3192" s="54"/>
    </row>
    <row r="3193" spans="2:14" x14ac:dyDescent="0.2">
      <c r="B3193">
        <v>3184</v>
      </c>
      <c r="C3193" s="52">
        <f ca="1"/>
        <v>-1.1921116377990089</v>
      </c>
      <c r="D3193" s="52">
        <f ca="1">S0*EXP((μ-0.5*σ*σ)*T+σ*SQRT(T)*$C3193)</f>
        <v>0.46308320422093535</v>
      </c>
      <c r="E3193" s="52">
        <f t="shared" ca="1" si="138"/>
        <v>7.1316795779064635E-2</v>
      </c>
      <c r="F3193" s="17">
        <f t="shared" ca="1" si="139"/>
        <v>1</v>
      </c>
      <c r="H3193" s="17">
        <v>3184</v>
      </c>
      <c r="I3193" s="45">
        <v>0.67105749220306632</v>
      </c>
      <c r="J3193" s="45">
        <v>1.8957824346934483E-2</v>
      </c>
      <c r="K3193" s="45">
        <v>0.245</v>
      </c>
      <c r="N3193" s="54"/>
    </row>
    <row r="3194" spans="2:14" x14ac:dyDescent="0.2">
      <c r="B3194">
        <v>3185</v>
      </c>
      <c r="C3194" s="52">
        <f ca="1"/>
        <v>-0.38910263073188678</v>
      </c>
      <c r="D3194" s="52">
        <f ca="1">S0*EXP((μ-0.5*σ*σ)*T+σ*SQRT(T)*$C3194)</f>
        <v>0.57817959735108182</v>
      </c>
      <c r="E3194" s="52">
        <f t="shared" ca="1" si="138"/>
        <v>0</v>
      </c>
      <c r="F3194" s="17">
        <f t="shared" ca="1" si="139"/>
        <v>0</v>
      </c>
      <c r="H3194" s="17">
        <v>3185</v>
      </c>
      <c r="I3194" s="45">
        <v>0.67155025654392242</v>
      </c>
      <c r="J3194" s="45">
        <v>1.9488338803104254E-2</v>
      </c>
      <c r="K3194" s="45">
        <v>0.247</v>
      </c>
      <c r="N3194" s="54"/>
    </row>
    <row r="3195" spans="2:14" x14ac:dyDescent="0.2">
      <c r="B3195">
        <v>3186</v>
      </c>
      <c r="C3195" s="52">
        <f ca="1"/>
        <v>0.60967898883813598</v>
      </c>
      <c r="D3195" s="52">
        <f ca="1">S0*EXP((μ-0.5*σ*σ)*T+σ*SQRT(T)*$C3195)</f>
        <v>0.76202567969628865</v>
      </c>
      <c r="E3195" s="52">
        <f t="shared" ca="1" si="138"/>
        <v>0</v>
      </c>
      <c r="F3195" s="17">
        <f t="shared" ca="1" si="139"/>
        <v>0</v>
      </c>
      <c r="H3195" s="17">
        <v>3186</v>
      </c>
      <c r="I3195" s="45">
        <v>0.67023118911350721</v>
      </c>
      <c r="J3195" s="45">
        <v>1.8163746860372115E-2</v>
      </c>
      <c r="K3195" s="45">
        <v>0.23319999999999999</v>
      </c>
      <c r="N3195" s="54"/>
    </row>
    <row r="3196" spans="2:14" x14ac:dyDescent="0.2">
      <c r="B3196">
        <v>3187</v>
      </c>
      <c r="C3196" s="52">
        <f ca="1"/>
        <v>-0.56086837391801214</v>
      </c>
      <c r="D3196" s="52">
        <f ca="1">S0*EXP((μ-0.5*σ*σ)*T+σ*SQRT(T)*$C3196)</f>
        <v>0.55136824459882472</v>
      </c>
      <c r="E3196" s="52">
        <f t="shared" ca="1" si="138"/>
        <v>0</v>
      </c>
      <c r="F3196" s="17">
        <f t="shared" ca="1" si="139"/>
        <v>0</v>
      </c>
      <c r="H3196" s="17">
        <v>3187</v>
      </c>
      <c r="I3196" s="45">
        <v>0.671343102917903</v>
      </c>
      <c r="J3196" s="45">
        <v>1.945537325958447E-2</v>
      </c>
      <c r="K3196" s="45">
        <v>0.25219999999999998</v>
      </c>
      <c r="N3196" s="54"/>
    </row>
    <row r="3197" spans="2:14" x14ac:dyDescent="0.2">
      <c r="B3197">
        <v>3188</v>
      </c>
      <c r="C3197" s="52">
        <f ca="1"/>
        <v>8.659050845166634E-2</v>
      </c>
      <c r="D3197" s="52">
        <f ca="1">S0*EXP((μ-0.5*σ*σ)*T+σ*SQRT(T)*$C3197)</f>
        <v>0.65943380284059905</v>
      </c>
      <c r="E3197" s="52">
        <f t="shared" ca="1" si="138"/>
        <v>0</v>
      </c>
      <c r="F3197" s="17">
        <f t="shared" ca="1" si="139"/>
        <v>0</v>
      </c>
      <c r="H3197" s="17">
        <v>3188</v>
      </c>
      <c r="I3197" s="45">
        <v>0.67120108366248921</v>
      </c>
      <c r="J3197" s="45">
        <v>1.9062265993448058E-2</v>
      </c>
      <c r="K3197" s="45">
        <v>0.252</v>
      </c>
      <c r="N3197" s="54"/>
    </row>
    <row r="3198" spans="2:14" x14ac:dyDescent="0.2">
      <c r="B3198">
        <v>3189</v>
      </c>
      <c r="C3198" s="52">
        <f ca="1"/>
        <v>0.26292560743910443</v>
      </c>
      <c r="D3198" s="52">
        <f ca="1">S0*EXP((μ-0.5*σ*σ)*T+σ*SQRT(T)*$C3198)</f>
        <v>0.69237405182219491</v>
      </c>
      <c r="E3198" s="52">
        <f t="shared" ca="1" si="138"/>
        <v>0</v>
      </c>
      <c r="F3198" s="17">
        <f t="shared" ca="1" si="139"/>
        <v>0</v>
      </c>
      <c r="H3198" s="17">
        <v>3189</v>
      </c>
      <c r="I3198" s="45">
        <v>0.67095617213483916</v>
      </c>
      <c r="J3198" s="45">
        <v>1.905808660268345E-2</v>
      </c>
      <c r="K3198" s="45">
        <v>0.245</v>
      </c>
      <c r="N3198" s="54"/>
    </row>
    <row r="3199" spans="2:14" x14ac:dyDescent="0.2">
      <c r="B3199">
        <v>3190</v>
      </c>
      <c r="C3199" s="52">
        <f ca="1"/>
        <v>-0.37121805984647804</v>
      </c>
      <c r="D3199" s="52">
        <f ca="1">S0*EXP((μ-0.5*σ*σ)*T+σ*SQRT(T)*$C3199)</f>
        <v>0.5810451236593912</v>
      </c>
      <c r="E3199" s="52">
        <f t="shared" ca="1" si="138"/>
        <v>0</v>
      </c>
      <c r="F3199" s="17">
        <f t="shared" ca="1" si="139"/>
        <v>0</v>
      </c>
      <c r="H3199" s="17">
        <v>3190</v>
      </c>
      <c r="I3199" s="45">
        <v>0.67063072210765018</v>
      </c>
      <c r="J3199" s="45">
        <v>1.8743094461753217E-2</v>
      </c>
      <c r="K3199" s="45">
        <v>0.24579999999999999</v>
      </c>
      <c r="N3199" s="54"/>
    </row>
    <row r="3200" spans="2:14" x14ac:dyDescent="0.2">
      <c r="B3200">
        <v>3191</v>
      </c>
      <c r="C3200" s="52">
        <f ca="1"/>
        <v>0.94090898863593242</v>
      </c>
      <c r="D3200" s="52">
        <f ca="1">S0*EXP((μ-0.5*σ*σ)*T+σ*SQRT(T)*$C3200)</f>
        <v>0.83509291719155143</v>
      </c>
      <c r="E3200" s="52">
        <f t="shared" ca="1" si="138"/>
        <v>0</v>
      </c>
      <c r="F3200" s="17">
        <f t="shared" ca="1" si="139"/>
        <v>0</v>
      </c>
      <c r="H3200" s="17">
        <v>3191</v>
      </c>
      <c r="I3200" s="45">
        <v>0.67030592409958911</v>
      </c>
      <c r="J3200" s="45">
        <v>1.8470531322621369E-2</v>
      </c>
      <c r="K3200" s="45">
        <v>0.24560000000000001</v>
      </c>
      <c r="N3200" s="54"/>
    </row>
    <row r="3201" spans="2:14" x14ac:dyDescent="0.2">
      <c r="B3201">
        <v>3192</v>
      </c>
      <c r="C3201" s="52">
        <f ca="1"/>
        <v>-0.92346740602005439</v>
      </c>
      <c r="D3201" s="52">
        <f ca="1">S0*EXP((μ-0.5*σ*σ)*T+σ*SQRT(T)*$C3201)</f>
        <v>0.49878180957955703</v>
      </c>
      <c r="E3201" s="52">
        <f t="shared" ca="1" si="138"/>
        <v>3.5618190420442952E-2</v>
      </c>
      <c r="F3201" s="17">
        <f t="shared" ca="1" si="139"/>
        <v>1</v>
      </c>
      <c r="H3201" s="17">
        <v>3192</v>
      </c>
      <c r="I3201" s="45">
        <v>0.67073459470122487</v>
      </c>
      <c r="J3201" s="45">
        <v>1.8745859950776191E-2</v>
      </c>
      <c r="K3201" s="45">
        <v>0.249</v>
      </c>
      <c r="N3201" s="54"/>
    </row>
    <row r="3202" spans="2:14" x14ac:dyDescent="0.2">
      <c r="B3202">
        <v>3193</v>
      </c>
      <c r="C3202" s="52">
        <f ca="1"/>
        <v>-1.2973886558800731</v>
      </c>
      <c r="D3202" s="52">
        <f ca="1">S0*EXP((μ-0.5*σ*σ)*T+σ*SQRT(T)*$C3202)</f>
        <v>0.44980077117682243</v>
      </c>
      <c r="E3202" s="52">
        <f t="shared" ca="1" si="138"/>
        <v>8.4599228823177552E-2</v>
      </c>
      <c r="F3202" s="17">
        <f t="shared" ca="1" si="139"/>
        <v>1</v>
      </c>
      <c r="H3202" s="17">
        <v>3193</v>
      </c>
      <c r="I3202" s="45">
        <v>0.67158994373480185</v>
      </c>
      <c r="J3202" s="45">
        <v>1.9503204253306379E-2</v>
      </c>
      <c r="K3202" s="45">
        <v>0.24840000000000001</v>
      </c>
      <c r="N3202" s="54"/>
    </row>
    <row r="3203" spans="2:14" x14ac:dyDescent="0.2">
      <c r="B3203">
        <v>3194</v>
      </c>
      <c r="C3203" s="52">
        <f ca="1"/>
        <v>1.5073181091693348</v>
      </c>
      <c r="D3203" s="52">
        <f ca="1">S0*EXP((μ-0.5*σ*σ)*T+σ*SQRT(T)*$C3203)</f>
        <v>0.97663881249862428</v>
      </c>
      <c r="E3203" s="52">
        <f t="shared" ca="1" si="138"/>
        <v>0</v>
      </c>
      <c r="F3203" s="17">
        <f t="shared" ca="1" si="139"/>
        <v>0</v>
      </c>
      <c r="H3203" s="17">
        <v>3194</v>
      </c>
      <c r="I3203" s="45">
        <v>0.67145534897717329</v>
      </c>
      <c r="J3203" s="45">
        <v>1.9260009155534993E-2</v>
      </c>
      <c r="K3203" s="45">
        <v>0.24299999999999999</v>
      </c>
      <c r="N3203" s="54"/>
    </row>
    <row r="3204" spans="2:14" x14ac:dyDescent="0.2">
      <c r="B3204">
        <v>3195</v>
      </c>
      <c r="C3204" s="52">
        <f ca="1"/>
        <v>1.118343263753578</v>
      </c>
      <c r="D3204" s="52">
        <f ca="1">S0*EXP((μ-0.5*σ*σ)*T+σ*SQRT(T)*$C3204)</f>
        <v>0.87707420341226539</v>
      </c>
      <c r="E3204" s="52">
        <f t="shared" ca="1" si="138"/>
        <v>0</v>
      </c>
      <c r="F3204" s="17">
        <f t="shared" ca="1" si="139"/>
        <v>0</v>
      </c>
      <c r="H3204" s="17">
        <v>3195</v>
      </c>
      <c r="I3204" s="45">
        <v>0.67131776415071032</v>
      </c>
      <c r="J3204" s="45">
        <v>1.9123597379029838E-2</v>
      </c>
      <c r="K3204" s="45">
        <v>0.25140000000000001</v>
      </c>
      <c r="N3204" s="54"/>
    </row>
    <row r="3205" spans="2:14" x14ac:dyDescent="0.2">
      <c r="B3205">
        <v>3196</v>
      </c>
      <c r="C3205" s="52">
        <f ca="1"/>
        <v>-0.17625769036499472</v>
      </c>
      <c r="D3205" s="52">
        <f ca="1">S0*EXP((μ-0.5*σ*σ)*T+σ*SQRT(T)*$C3205)</f>
        <v>0.61321879929353429</v>
      </c>
      <c r="E3205" s="52">
        <f t="shared" ca="1" si="138"/>
        <v>0</v>
      </c>
      <c r="F3205" s="17">
        <f t="shared" ca="1" si="139"/>
        <v>0</v>
      </c>
      <c r="H3205" s="17">
        <v>3196</v>
      </c>
      <c r="I3205" s="45">
        <v>0.67136292673507258</v>
      </c>
      <c r="J3205" s="45">
        <v>1.9278872508444036E-2</v>
      </c>
      <c r="K3205" s="45">
        <v>0.25359999999999999</v>
      </c>
      <c r="N3205" s="54"/>
    </row>
    <row r="3206" spans="2:14" x14ac:dyDescent="0.2">
      <c r="B3206">
        <v>3197</v>
      </c>
      <c r="C3206" s="52">
        <f ca="1"/>
        <v>-1.4192493973359943</v>
      </c>
      <c r="D3206" s="52">
        <f ca="1">S0*EXP((μ-0.5*σ*σ)*T+σ*SQRT(T)*$C3206)</f>
        <v>0.43490102784882617</v>
      </c>
      <c r="E3206" s="52">
        <f t="shared" ca="1" si="138"/>
        <v>9.9498972151173815E-2</v>
      </c>
      <c r="F3206" s="17">
        <f t="shared" ca="1" si="139"/>
        <v>1</v>
      </c>
      <c r="H3206" s="17">
        <v>3197</v>
      </c>
      <c r="I3206" s="45">
        <v>0.67088359800710629</v>
      </c>
      <c r="J3206" s="45">
        <v>1.9041425969531799E-2</v>
      </c>
      <c r="K3206" s="45">
        <v>0.2462</v>
      </c>
      <c r="N3206" s="54"/>
    </row>
    <row r="3207" spans="2:14" x14ac:dyDescent="0.2">
      <c r="B3207">
        <v>3198</v>
      </c>
      <c r="C3207" s="52">
        <f ca="1"/>
        <v>0.90061063575658695</v>
      </c>
      <c r="D3207" s="52">
        <f ca="1">S0*EXP((μ-0.5*σ*σ)*T+σ*SQRT(T)*$C3207)</f>
        <v>0.82584179341259323</v>
      </c>
      <c r="E3207" s="52">
        <f t="shared" ca="1" si="138"/>
        <v>0</v>
      </c>
      <c r="F3207" s="17">
        <f t="shared" ca="1" si="139"/>
        <v>0</v>
      </c>
      <c r="H3207" s="17">
        <v>3198</v>
      </c>
      <c r="I3207" s="45">
        <v>0.67115076146435526</v>
      </c>
      <c r="J3207" s="45">
        <v>1.9114742113452501E-2</v>
      </c>
      <c r="K3207" s="45">
        <v>0.24740000000000001</v>
      </c>
      <c r="N3207" s="54"/>
    </row>
    <row r="3208" spans="2:14" x14ac:dyDescent="0.2">
      <c r="B3208">
        <v>3199</v>
      </c>
      <c r="C3208" s="52">
        <f ca="1"/>
        <v>0.26653232277773259</v>
      </c>
      <c r="D3208" s="52">
        <f ca="1">S0*EXP((μ-0.5*σ*σ)*T+σ*SQRT(T)*$C3208)</f>
        <v>0.69306470225576222</v>
      </c>
      <c r="E3208" s="52">
        <f t="shared" ca="1" si="138"/>
        <v>0</v>
      </c>
      <c r="F3208" s="17">
        <f t="shared" ca="1" si="139"/>
        <v>0</v>
      </c>
      <c r="H3208" s="17">
        <v>3199</v>
      </c>
      <c r="I3208" s="45">
        <v>0.67049776444633769</v>
      </c>
      <c r="J3208" s="45">
        <v>1.8626448396631801E-2</v>
      </c>
      <c r="K3208" s="45">
        <v>0.24879999999999999</v>
      </c>
      <c r="N3208" s="54"/>
    </row>
    <row r="3209" spans="2:14" x14ac:dyDescent="0.2">
      <c r="B3209">
        <v>3200</v>
      </c>
      <c r="C3209" s="52">
        <f ca="1"/>
        <v>-1.6425196661464749</v>
      </c>
      <c r="D3209" s="52">
        <f ca="1">S0*EXP((μ-0.5*σ*σ)*T+σ*SQRT(T)*$C3209)</f>
        <v>0.40887084408083874</v>
      </c>
      <c r="E3209" s="52">
        <f t="shared" ca="1" si="138"/>
        <v>0.12552915591916125</v>
      </c>
      <c r="F3209" s="17">
        <f t="shared" ca="1" si="139"/>
        <v>1</v>
      </c>
      <c r="H3209" s="17">
        <v>3200</v>
      </c>
      <c r="I3209" s="45">
        <v>0.6698067073227677</v>
      </c>
      <c r="J3209" s="45">
        <v>1.8121671543425102E-2</v>
      </c>
      <c r="K3209" s="45">
        <v>0.23780000000000001</v>
      </c>
      <c r="N3209" s="54"/>
    </row>
    <row r="3210" spans="2:14" x14ac:dyDescent="0.2">
      <c r="B3210">
        <v>3201</v>
      </c>
      <c r="C3210" s="52">
        <f ca="1"/>
        <v>-0.70175526313799963</v>
      </c>
      <c r="D3210" s="52">
        <f ca="1">S0*EXP((μ-0.5*σ*σ)*T+σ*SQRT(T)*$C3210)</f>
        <v>0.53030758623596219</v>
      </c>
      <c r="E3210" s="52">
        <f t="shared" ref="E3210:E3273" ca="1" si="140">MAX(0,CP*(D3210-K))</f>
        <v>4.0924137640377944E-3</v>
      </c>
      <c r="F3210" s="17">
        <f t="shared" ref="F3210:F3273" ca="1" si="141">(CP*(D3210-K)&gt;0)*1</f>
        <v>1</v>
      </c>
      <c r="H3210" s="17">
        <v>3201</v>
      </c>
      <c r="I3210" s="45">
        <v>0.67095491921120942</v>
      </c>
      <c r="J3210" s="45">
        <v>1.9134805882025274E-2</v>
      </c>
      <c r="K3210" s="45">
        <v>0.253</v>
      </c>
      <c r="N3210" s="54"/>
    </row>
    <row r="3211" spans="2:14" x14ac:dyDescent="0.2">
      <c r="B3211">
        <v>3202</v>
      </c>
      <c r="C3211" s="52">
        <f ca="1"/>
        <v>-0.66961887866772518</v>
      </c>
      <c r="D3211" s="52">
        <f ca="1">S0*EXP((μ-0.5*σ*σ)*T+σ*SQRT(T)*$C3211)</f>
        <v>0.53503958302085441</v>
      </c>
      <c r="E3211" s="52">
        <f t="shared" ca="1" si="140"/>
        <v>0</v>
      </c>
      <c r="F3211" s="17">
        <f t="shared" ca="1" si="141"/>
        <v>0</v>
      </c>
      <c r="H3211" s="17">
        <v>3202</v>
      </c>
      <c r="I3211" s="45">
        <v>0.6717793576009794</v>
      </c>
      <c r="J3211" s="45">
        <v>1.950447270483251E-2</v>
      </c>
      <c r="K3211" s="45">
        <v>0.24660000000000001</v>
      </c>
      <c r="N3211" s="54"/>
    </row>
    <row r="3212" spans="2:14" x14ac:dyDescent="0.2">
      <c r="B3212">
        <v>3203</v>
      </c>
      <c r="C3212" s="52">
        <f ca="1"/>
        <v>-0.19488434757480722</v>
      </c>
      <c r="D3212" s="52">
        <f ca="1">S0*EXP((μ-0.5*σ*σ)*T+σ*SQRT(T)*$C3212)</f>
        <v>0.61006944231768856</v>
      </c>
      <c r="E3212" s="52">
        <f t="shared" ca="1" si="140"/>
        <v>0</v>
      </c>
      <c r="F3212" s="17">
        <f t="shared" ca="1" si="141"/>
        <v>0</v>
      </c>
      <c r="H3212" s="17">
        <v>3203</v>
      </c>
      <c r="I3212" s="45">
        <v>0.67189758812787082</v>
      </c>
      <c r="J3212" s="45">
        <v>1.9792531494999724E-2</v>
      </c>
      <c r="K3212" s="45">
        <v>0.25540000000000002</v>
      </c>
      <c r="N3212" s="54"/>
    </row>
    <row r="3213" spans="2:14" x14ac:dyDescent="0.2">
      <c r="B3213">
        <v>3204</v>
      </c>
      <c r="C3213" s="52">
        <f ca="1"/>
        <v>-0.41040427130592511</v>
      </c>
      <c r="D3213" s="52">
        <f ca="1">S0*EXP((μ-0.5*σ*σ)*T+σ*SQRT(T)*$C3213)</f>
        <v>0.57478501069275367</v>
      </c>
      <c r="E3213" s="52">
        <f t="shared" ca="1" si="140"/>
        <v>0</v>
      </c>
      <c r="F3213" s="17">
        <f t="shared" ca="1" si="141"/>
        <v>0</v>
      </c>
      <c r="H3213" s="17">
        <v>3204</v>
      </c>
      <c r="I3213" s="45">
        <v>0.67095790276606981</v>
      </c>
      <c r="J3213" s="45">
        <v>1.9093690068373199E-2</v>
      </c>
      <c r="K3213" s="45">
        <v>0.24399999999999999</v>
      </c>
      <c r="N3213" s="54"/>
    </row>
    <row r="3214" spans="2:14" x14ac:dyDescent="0.2">
      <c r="B3214">
        <v>3205</v>
      </c>
      <c r="C3214" s="52">
        <f ca="1"/>
        <v>0.15015294539569446</v>
      </c>
      <c r="D3214" s="52">
        <f ca="1">S0*EXP((μ-0.5*σ*σ)*T+σ*SQRT(T)*$C3214)</f>
        <v>0.67112292474102742</v>
      </c>
      <c r="E3214" s="52">
        <f t="shared" ca="1" si="140"/>
        <v>0</v>
      </c>
      <c r="F3214" s="17">
        <f t="shared" ca="1" si="141"/>
        <v>0</v>
      </c>
      <c r="H3214" s="17">
        <v>3205</v>
      </c>
      <c r="I3214" s="45">
        <v>0.67058573358084594</v>
      </c>
      <c r="J3214" s="45">
        <v>1.8927799415205279E-2</v>
      </c>
      <c r="K3214" s="45">
        <v>0.24779999999999999</v>
      </c>
      <c r="N3214" s="54"/>
    </row>
    <row r="3215" spans="2:14" x14ac:dyDescent="0.2">
      <c r="B3215">
        <v>3206</v>
      </c>
      <c r="C3215" s="52">
        <f ca="1"/>
        <v>0.11892168597437251</v>
      </c>
      <c r="D3215" s="52">
        <f ca="1">S0*EXP((μ-0.5*σ*σ)*T+σ*SQRT(T)*$C3215)</f>
        <v>0.66535383443162632</v>
      </c>
      <c r="E3215" s="52">
        <f t="shared" ca="1" si="140"/>
        <v>0</v>
      </c>
      <c r="F3215" s="17">
        <f t="shared" ca="1" si="141"/>
        <v>0</v>
      </c>
      <c r="H3215" s="17">
        <v>3206</v>
      </c>
      <c r="I3215" s="45">
        <v>0.67001574847278689</v>
      </c>
      <c r="J3215" s="45">
        <v>1.8580083200413731E-2</v>
      </c>
      <c r="K3215" s="45">
        <v>0.24299999999999999</v>
      </c>
      <c r="N3215" s="54"/>
    </row>
    <row r="3216" spans="2:14" x14ac:dyDescent="0.2">
      <c r="B3216">
        <v>3207</v>
      </c>
      <c r="C3216" s="52">
        <f ca="1"/>
        <v>1.9638943363235541</v>
      </c>
      <c r="D3216" s="52">
        <f ca="1">S0*EXP((μ-0.5*σ*σ)*T+σ*SQRT(T)*$C3216)</f>
        <v>1.1080194343271601</v>
      </c>
      <c r="E3216" s="52">
        <f t="shared" ca="1" si="140"/>
        <v>0</v>
      </c>
      <c r="F3216" s="17">
        <f t="shared" ca="1" si="141"/>
        <v>0</v>
      </c>
      <c r="H3216" s="17">
        <v>3207</v>
      </c>
      <c r="I3216" s="45">
        <v>0.67127773743825414</v>
      </c>
      <c r="J3216" s="45">
        <v>1.9114466519422772E-2</v>
      </c>
      <c r="K3216" s="45">
        <v>0.24379999999999999</v>
      </c>
      <c r="N3216" s="54"/>
    </row>
    <row r="3217" spans="2:14" x14ac:dyDescent="0.2">
      <c r="B3217">
        <v>3208</v>
      </c>
      <c r="C3217" s="52">
        <f ca="1"/>
        <v>2.2638725181014268</v>
      </c>
      <c r="D3217" s="52">
        <f ca="1">S0*EXP((μ-0.5*σ*σ)*T+σ*SQRT(T)*$C3217)</f>
        <v>1.2038176125426758</v>
      </c>
      <c r="E3217" s="52">
        <f t="shared" ca="1" si="140"/>
        <v>0</v>
      </c>
      <c r="F3217" s="17">
        <f t="shared" ca="1" si="141"/>
        <v>0</v>
      </c>
      <c r="H3217" s="17">
        <v>3208</v>
      </c>
      <c r="I3217" s="45">
        <v>0.67019376390764207</v>
      </c>
      <c r="J3217" s="45">
        <v>1.8773820539297281E-2</v>
      </c>
      <c r="K3217" s="45">
        <v>0.25019999999999998</v>
      </c>
      <c r="N3217" s="54"/>
    </row>
    <row r="3218" spans="2:14" x14ac:dyDescent="0.2">
      <c r="B3218">
        <v>3209</v>
      </c>
      <c r="C3218" s="52">
        <f ca="1"/>
        <v>0.7364203805439985</v>
      </c>
      <c r="D3218" s="52">
        <f ca="1">S0*EXP((μ-0.5*σ*σ)*T+σ*SQRT(T)*$C3218)</f>
        <v>0.78919678225655199</v>
      </c>
      <c r="E3218" s="52">
        <f t="shared" ca="1" si="140"/>
        <v>0</v>
      </c>
      <c r="F3218" s="17">
        <f t="shared" ca="1" si="141"/>
        <v>0</v>
      </c>
      <c r="H3218" s="17">
        <v>3209</v>
      </c>
      <c r="I3218" s="45">
        <v>0.67056657475460946</v>
      </c>
      <c r="J3218" s="45">
        <v>1.8613963730789471E-2</v>
      </c>
      <c r="K3218" s="45">
        <v>0.24579999999999999</v>
      </c>
      <c r="N3218" s="54"/>
    </row>
    <row r="3219" spans="2:14" x14ac:dyDescent="0.2">
      <c r="B3219">
        <v>3210</v>
      </c>
      <c r="C3219" s="52">
        <f ca="1"/>
        <v>-0.96516710805611206</v>
      </c>
      <c r="D3219" s="52">
        <f ca="1">S0*EXP((μ-0.5*σ*σ)*T+σ*SQRT(T)*$C3219)</f>
        <v>0.49306528605522615</v>
      </c>
      <c r="E3219" s="52">
        <f t="shared" ca="1" si="140"/>
        <v>4.1334713944773838E-2</v>
      </c>
      <c r="F3219" s="17">
        <f t="shared" ca="1" si="141"/>
        <v>1</v>
      </c>
      <c r="H3219" s="17">
        <v>3210</v>
      </c>
      <c r="I3219" s="45">
        <v>0.67217657025315225</v>
      </c>
      <c r="J3219" s="45">
        <v>1.9931115284842451E-2</v>
      </c>
      <c r="K3219" s="45">
        <v>0.25</v>
      </c>
      <c r="N3219" s="54"/>
    </row>
    <row r="3220" spans="2:14" x14ac:dyDescent="0.2">
      <c r="B3220">
        <v>3211</v>
      </c>
      <c r="C3220" s="52">
        <f ca="1"/>
        <v>-1.381592372074552</v>
      </c>
      <c r="D3220" s="52">
        <f ca="1">S0*EXP((μ-0.5*σ*σ)*T+σ*SQRT(T)*$C3220)</f>
        <v>0.43945182993054127</v>
      </c>
      <c r="E3220" s="52">
        <f t="shared" ca="1" si="140"/>
        <v>9.4948170069458715E-2</v>
      </c>
      <c r="F3220" s="17">
        <f t="shared" ca="1" si="141"/>
        <v>1</v>
      </c>
      <c r="H3220" s="17">
        <v>3211</v>
      </c>
      <c r="I3220" s="45">
        <v>0.67048081667851245</v>
      </c>
      <c r="J3220" s="45">
        <v>1.855059749437132E-2</v>
      </c>
      <c r="K3220" s="45">
        <v>0.2404</v>
      </c>
      <c r="N3220" s="54"/>
    </row>
    <row r="3221" spans="2:14" x14ac:dyDescent="0.2">
      <c r="B3221">
        <v>3212</v>
      </c>
      <c r="C3221" s="52">
        <f ca="1"/>
        <v>-0.11185352948696543</v>
      </c>
      <c r="D3221" s="52">
        <f ca="1">S0*EXP((μ-0.5*σ*σ)*T+σ*SQRT(T)*$C3221)</f>
        <v>0.62423394393089693</v>
      </c>
      <c r="E3221" s="52">
        <f t="shared" ca="1" si="140"/>
        <v>0</v>
      </c>
      <c r="F3221" s="17">
        <f t="shared" ca="1" si="141"/>
        <v>0</v>
      </c>
      <c r="H3221" s="17">
        <v>3212</v>
      </c>
      <c r="I3221" s="45">
        <v>0.67185513575679723</v>
      </c>
      <c r="J3221" s="45">
        <v>1.9500104613021679E-2</v>
      </c>
      <c r="K3221" s="45">
        <v>0.25159999999999999</v>
      </c>
      <c r="N3221" s="54"/>
    </row>
    <row r="3222" spans="2:14" x14ac:dyDescent="0.2">
      <c r="B3222">
        <v>3213</v>
      </c>
      <c r="C3222" s="52">
        <f ca="1"/>
        <v>-0.38689892954136401</v>
      </c>
      <c r="D3222" s="52">
        <f ca="1">S0*EXP((μ-0.5*σ*σ)*T+σ*SQRT(T)*$C3222)</f>
        <v>0.57853191701077145</v>
      </c>
      <c r="E3222" s="52">
        <f t="shared" ca="1" si="140"/>
        <v>0</v>
      </c>
      <c r="F3222" s="17">
        <f t="shared" ca="1" si="141"/>
        <v>0</v>
      </c>
      <c r="H3222" s="17">
        <v>3213</v>
      </c>
      <c r="I3222" s="45">
        <v>0.67125136199819446</v>
      </c>
      <c r="J3222" s="45">
        <v>1.9326022549008254E-2</v>
      </c>
      <c r="K3222" s="45">
        <v>0.2492</v>
      </c>
      <c r="N3222" s="54"/>
    </row>
    <row r="3223" spans="2:14" x14ac:dyDescent="0.2">
      <c r="B3223">
        <v>3214</v>
      </c>
      <c r="C3223" s="52">
        <f ca="1"/>
        <v>0.20230850557787103</v>
      </c>
      <c r="D3223" s="52">
        <f ca="1">S0*EXP((μ-0.5*σ*σ)*T+σ*SQRT(T)*$C3223)</f>
        <v>0.6808689221236055</v>
      </c>
      <c r="E3223" s="52">
        <f t="shared" ca="1" si="140"/>
        <v>0</v>
      </c>
      <c r="F3223" s="17">
        <f t="shared" ca="1" si="141"/>
        <v>0</v>
      </c>
      <c r="H3223" s="17">
        <v>3214</v>
      </c>
      <c r="I3223" s="45">
        <v>0.67038219380284669</v>
      </c>
      <c r="J3223" s="45">
        <v>1.8558323415623697E-2</v>
      </c>
      <c r="K3223" s="45">
        <v>0.2424</v>
      </c>
      <c r="N3223" s="54"/>
    </row>
    <row r="3224" spans="2:14" x14ac:dyDescent="0.2">
      <c r="B3224">
        <v>3215</v>
      </c>
      <c r="C3224" s="52">
        <f ca="1"/>
        <v>-1.0694181885306793</v>
      </c>
      <c r="D3224" s="52">
        <f ca="1">S0*EXP((μ-0.5*σ*σ)*T+σ*SQRT(T)*$C3224)</f>
        <v>0.47905873176940139</v>
      </c>
      <c r="E3224" s="52">
        <f t="shared" ca="1" si="140"/>
        <v>5.5341268230598595E-2</v>
      </c>
      <c r="F3224" s="17">
        <f t="shared" ca="1" si="141"/>
        <v>1</v>
      </c>
      <c r="H3224" s="17">
        <v>3215</v>
      </c>
      <c r="I3224" s="45">
        <v>0.67206985694944466</v>
      </c>
      <c r="J3224" s="45">
        <v>1.9711303479730109E-2</v>
      </c>
      <c r="K3224" s="45">
        <v>0.25159999999999999</v>
      </c>
      <c r="N3224" s="54"/>
    </row>
    <row r="3225" spans="2:14" x14ac:dyDescent="0.2">
      <c r="B3225">
        <v>3216</v>
      </c>
      <c r="C3225" s="52">
        <f ca="1"/>
        <v>-0.55878757462334361</v>
      </c>
      <c r="D3225" s="52">
        <f ca="1">S0*EXP((μ-0.5*σ*σ)*T+σ*SQRT(T)*$C3225)</f>
        <v>0.55168548316100807</v>
      </c>
      <c r="E3225" s="52">
        <f t="shared" ca="1" si="140"/>
        <v>0</v>
      </c>
      <c r="F3225" s="17">
        <f t="shared" ca="1" si="141"/>
        <v>0</v>
      </c>
      <c r="H3225" s="17">
        <v>3216</v>
      </c>
      <c r="I3225" s="45">
        <v>0.67038789133604726</v>
      </c>
      <c r="J3225" s="45">
        <v>1.8642808530309297E-2</v>
      </c>
      <c r="K3225" s="45">
        <v>0.24079999999999999</v>
      </c>
      <c r="N3225" s="54"/>
    </row>
    <row r="3226" spans="2:14" x14ac:dyDescent="0.2">
      <c r="B3226">
        <v>3217</v>
      </c>
      <c r="C3226" s="52">
        <f ca="1"/>
        <v>9.8730981856067185E-2</v>
      </c>
      <c r="D3226" s="52">
        <f ca="1">S0*EXP((μ-0.5*σ*σ)*T+σ*SQRT(T)*$C3226)</f>
        <v>0.6616505946282929</v>
      </c>
      <c r="E3226" s="52">
        <f t="shared" ca="1" si="140"/>
        <v>0</v>
      </c>
      <c r="F3226" s="17">
        <f t="shared" ca="1" si="141"/>
        <v>0</v>
      </c>
      <c r="H3226" s="17">
        <v>3217</v>
      </c>
      <c r="I3226" s="45">
        <v>0.67082205758474578</v>
      </c>
      <c r="J3226" s="45">
        <v>1.9013251755801718E-2</v>
      </c>
      <c r="K3226" s="45">
        <v>0.24959999999999999</v>
      </c>
      <c r="N3226" s="54"/>
    </row>
    <row r="3227" spans="2:14" x14ac:dyDescent="0.2">
      <c r="B3227">
        <v>3218</v>
      </c>
      <c r="C3227" s="52">
        <f ca="1"/>
        <v>0.56803274707813667</v>
      </c>
      <c r="D3227" s="52">
        <f ca="1">S0*EXP((μ-0.5*σ*σ)*T+σ*SQRT(T)*$C3227)</f>
        <v>0.75330325833775735</v>
      </c>
      <c r="E3227" s="52">
        <f t="shared" ca="1" si="140"/>
        <v>0</v>
      </c>
      <c r="F3227" s="17">
        <f t="shared" ca="1" si="141"/>
        <v>0</v>
      </c>
      <c r="H3227" s="17">
        <v>3218</v>
      </c>
      <c r="I3227" s="45">
        <v>0.67184602249687086</v>
      </c>
      <c r="J3227" s="45">
        <v>1.9737205335344076E-2</v>
      </c>
      <c r="K3227" s="45">
        <v>0.2472</v>
      </c>
      <c r="N3227" s="54"/>
    </row>
    <row r="3228" spans="2:14" x14ac:dyDescent="0.2">
      <c r="B3228">
        <v>3219</v>
      </c>
      <c r="C3228" s="52">
        <f ca="1"/>
        <v>0.72903387147792231</v>
      </c>
      <c r="D3228" s="52">
        <f ca="1">S0*EXP((μ-0.5*σ*σ)*T+σ*SQRT(T)*$C3228)</f>
        <v>0.78758698808118766</v>
      </c>
      <c r="E3228" s="52">
        <f t="shared" ca="1" si="140"/>
        <v>0</v>
      </c>
      <c r="F3228" s="17">
        <f t="shared" ca="1" si="141"/>
        <v>0</v>
      </c>
      <c r="H3228" s="17">
        <v>3219</v>
      </c>
      <c r="I3228" s="45">
        <v>0.67014644159466297</v>
      </c>
      <c r="J3228" s="45">
        <v>1.8618043930896715E-2</v>
      </c>
      <c r="K3228" s="45">
        <v>0.24740000000000001</v>
      </c>
      <c r="N3228" s="54"/>
    </row>
    <row r="3229" spans="2:14" x14ac:dyDescent="0.2">
      <c r="B3229">
        <v>3220</v>
      </c>
      <c r="C3229" s="52">
        <f ca="1"/>
        <v>-1.0021010500720129</v>
      </c>
      <c r="D3229" s="52">
        <f ca="1">S0*EXP((μ-0.5*σ*σ)*T+σ*SQRT(T)*$C3229)</f>
        <v>0.48805682753690238</v>
      </c>
      <c r="E3229" s="52">
        <f t="shared" ca="1" si="140"/>
        <v>4.6343172463097604E-2</v>
      </c>
      <c r="F3229" s="17">
        <f t="shared" ca="1" si="141"/>
        <v>1</v>
      </c>
      <c r="H3229" s="17">
        <v>3220</v>
      </c>
      <c r="I3229" s="45">
        <v>0.67084887416322259</v>
      </c>
      <c r="J3229" s="45">
        <v>1.8927081082975954E-2</v>
      </c>
      <c r="K3229" s="45">
        <v>0.248</v>
      </c>
      <c r="N3229" s="54"/>
    </row>
    <row r="3230" spans="2:14" x14ac:dyDescent="0.2">
      <c r="B3230">
        <v>3221</v>
      </c>
      <c r="C3230" s="52">
        <f ca="1"/>
        <v>-1.5075817051911209</v>
      </c>
      <c r="D3230" s="52">
        <f ca="1">S0*EXP((μ-0.5*σ*σ)*T+σ*SQRT(T)*$C3230)</f>
        <v>0.42441025126620202</v>
      </c>
      <c r="E3230" s="52">
        <f t="shared" ca="1" si="140"/>
        <v>0.10998974873379797</v>
      </c>
      <c r="F3230" s="17">
        <f t="shared" ca="1" si="141"/>
        <v>1</v>
      </c>
      <c r="H3230" s="17">
        <v>3221</v>
      </c>
      <c r="I3230" s="45">
        <v>0.67099816650454935</v>
      </c>
      <c r="J3230" s="45">
        <v>1.9089939006424105E-2</v>
      </c>
      <c r="K3230" s="45">
        <v>0.25219999999999998</v>
      </c>
      <c r="N3230" s="54"/>
    </row>
    <row r="3231" spans="2:14" x14ac:dyDescent="0.2">
      <c r="B3231">
        <v>3222</v>
      </c>
      <c r="C3231" s="52">
        <f ca="1"/>
        <v>0.99687434408394027</v>
      </c>
      <c r="D3231" s="52">
        <f ca="1">S0*EXP((μ-0.5*σ*σ)*T+σ*SQRT(T)*$C3231)</f>
        <v>0.84811279556233854</v>
      </c>
      <c r="E3231" s="52">
        <f t="shared" ca="1" si="140"/>
        <v>0</v>
      </c>
      <c r="F3231" s="17">
        <f t="shared" ca="1" si="141"/>
        <v>0</v>
      </c>
      <c r="H3231" s="17">
        <v>3222</v>
      </c>
      <c r="I3231" s="45">
        <v>0.67111883756522206</v>
      </c>
      <c r="J3231" s="45">
        <v>1.9109871675944828E-2</v>
      </c>
      <c r="K3231" s="45">
        <v>0.24879999999999999</v>
      </c>
      <c r="N3231" s="54"/>
    </row>
    <row r="3232" spans="2:14" x14ac:dyDescent="0.2">
      <c r="B3232">
        <v>3223</v>
      </c>
      <c r="C3232" s="52">
        <f ca="1"/>
        <v>-1.0440525098221656</v>
      </c>
      <c r="D3232" s="52">
        <f ca="1">S0*EXP((μ-0.5*σ*σ)*T+σ*SQRT(T)*$C3232)</f>
        <v>0.48242964732796517</v>
      </c>
      <c r="E3232" s="52">
        <f t="shared" ca="1" si="140"/>
        <v>5.1970352672034814E-2</v>
      </c>
      <c r="F3232" s="17">
        <f t="shared" ca="1" si="141"/>
        <v>1</v>
      </c>
      <c r="H3232" s="17">
        <v>3223</v>
      </c>
      <c r="I3232" s="45">
        <v>0.67011011969140011</v>
      </c>
      <c r="J3232" s="45">
        <v>1.812765112199749E-2</v>
      </c>
      <c r="K3232" s="45">
        <v>0.24379999999999999</v>
      </c>
      <c r="N3232" s="54"/>
    </row>
    <row r="3233" spans="2:14" x14ac:dyDescent="0.2">
      <c r="B3233">
        <v>3224</v>
      </c>
      <c r="C3233" s="52">
        <f ca="1"/>
        <v>0.56852488145698099</v>
      </c>
      <c r="D3233" s="52">
        <f ca="1">S0*EXP((μ-0.5*σ*σ)*T+σ*SQRT(T)*$C3233)</f>
        <v>0.75340574614791178</v>
      </c>
      <c r="E3233" s="52">
        <f t="shared" ca="1" si="140"/>
        <v>0</v>
      </c>
      <c r="F3233" s="17">
        <f t="shared" ca="1" si="141"/>
        <v>0</v>
      </c>
      <c r="H3233" s="17">
        <v>3224</v>
      </c>
      <c r="I3233" s="45">
        <v>0.67122237786922934</v>
      </c>
      <c r="J3233" s="45">
        <v>1.9078113689923588E-2</v>
      </c>
      <c r="K3233" s="45">
        <v>0.2424</v>
      </c>
      <c r="N3233" s="54"/>
    </row>
    <row r="3234" spans="2:14" x14ac:dyDescent="0.2">
      <c r="B3234">
        <v>3225</v>
      </c>
      <c r="C3234" s="52">
        <f ca="1"/>
        <v>-2.0882931146302712</v>
      </c>
      <c r="D3234" s="52">
        <f ca="1">S0*EXP((μ-0.5*σ*σ)*T+σ*SQRT(T)*$C3234)</f>
        <v>0.36146782986040754</v>
      </c>
      <c r="E3234" s="52">
        <f t="shared" ca="1" si="140"/>
        <v>0.17293217013959244</v>
      </c>
      <c r="F3234" s="17">
        <f t="shared" ca="1" si="141"/>
        <v>1</v>
      </c>
      <c r="H3234" s="17">
        <v>3225</v>
      </c>
      <c r="I3234" s="45">
        <v>0.66946710097223094</v>
      </c>
      <c r="J3234" s="45">
        <v>1.7815509298710074E-2</v>
      </c>
      <c r="K3234" s="45">
        <v>0.23519999999999999</v>
      </c>
      <c r="N3234" s="54"/>
    </row>
    <row r="3235" spans="2:14" x14ac:dyDescent="0.2">
      <c r="B3235">
        <v>3226</v>
      </c>
      <c r="C3235" s="52">
        <f ca="1"/>
        <v>-0.46797766958626902</v>
      </c>
      <c r="D3235" s="52">
        <f ca="1">S0*EXP((μ-0.5*σ*σ)*T+σ*SQRT(T)*$C3235)</f>
        <v>0.56570962541995773</v>
      </c>
      <c r="E3235" s="52">
        <f t="shared" ca="1" si="140"/>
        <v>0</v>
      </c>
      <c r="F3235" s="17">
        <f t="shared" ca="1" si="141"/>
        <v>0</v>
      </c>
      <c r="H3235" s="17">
        <v>3226</v>
      </c>
      <c r="I3235" s="45">
        <v>0.67096821343202961</v>
      </c>
      <c r="J3235" s="45">
        <v>1.8924123088748582E-2</v>
      </c>
      <c r="K3235" s="45">
        <v>0.24079999999999999</v>
      </c>
      <c r="N3235" s="54"/>
    </row>
    <row r="3236" spans="2:14" x14ac:dyDescent="0.2">
      <c r="B3236">
        <v>3227</v>
      </c>
      <c r="C3236" s="52">
        <f ca="1"/>
        <v>0.12307863331806698</v>
      </c>
      <c r="D3236" s="52">
        <f ca="1">S0*EXP((μ-0.5*σ*σ)*T+σ*SQRT(T)*$C3236)</f>
        <v>0.66611884222658369</v>
      </c>
      <c r="E3236" s="52">
        <f t="shared" ca="1" si="140"/>
        <v>0</v>
      </c>
      <c r="F3236" s="17">
        <f t="shared" ca="1" si="141"/>
        <v>0</v>
      </c>
      <c r="H3236" s="17">
        <v>3227</v>
      </c>
      <c r="I3236" s="45">
        <v>0.67099748165886008</v>
      </c>
      <c r="J3236" s="45">
        <v>1.8859807930165555E-2</v>
      </c>
      <c r="K3236" s="45">
        <v>0.248</v>
      </c>
      <c r="N3236" s="54"/>
    </row>
    <row r="3237" spans="2:14" x14ac:dyDescent="0.2">
      <c r="B3237">
        <v>3228</v>
      </c>
      <c r="C3237" s="52">
        <f ca="1"/>
        <v>-0.72736878209723854</v>
      </c>
      <c r="D3237" s="52">
        <f ca="1">S0*EXP((μ-0.5*σ*σ)*T+σ*SQRT(T)*$C3237)</f>
        <v>0.52656605283580715</v>
      </c>
      <c r="E3237" s="52">
        <f t="shared" ca="1" si="140"/>
        <v>7.8339471641928338E-3</v>
      </c>
      <c r="F3237" s="17">
        <f t="shared" ca="1" si="141"/>
        <v>1</v>
      </c>
      <c r="H3237" s="17">
        <v>3228</v>
      </c>
      <c r="I3237" s="45">
        <v>0.67174224028030338</v>
      </c>
      <c r="J3237" s="45">
        <v>1.9584760361586798E-2</v>
      </c>
      <c r="K3237" s="45">
        <v>0.24440000000000001</v>
      </c>
      <c r="N3237" s="54"/>
    </row>
    <row r="3238" spans="2:14" x14ac:dyDescent="0.2">
      <c r="B3238">
        <v>3229</v>
      </c>
      <c r="C3238" s="52">
        <f ca="1"/>
        <v>-1.1746491686897444</v>
      </c>
      <c r="D3238" s="52">
        <f ca="1">S0*EXP((μ-0.5*σ*σ)*T+σ*SQRT(T)*$C3238)</f>
        <v>0.46532400081628617</v>
      </c>
      <c r="E3238" s="52">
        <f t="shared" ca="1" si="140"/>
        <v>6.9075999183713821E-2</v>
      </c>
      <c r="F3238" s="17">
        <f t="shared" ca="1" si="141"/>
        <v>1</v>
      </c>
      <c r="H3238" s="17">
        <v>3229</v>
      </c>
      <c r="I3238" s="45">
        <v>0.67153204140899247</v>
      </c>
      <c r="J3238" s="45">
        <v>1.9353612892562877E-2</v>
      </c>
      <c r="K3238" s="45">
        <v>0.254</v>
      </c>
      <c r="N3238" s="54"/>
    </row>
    <row r="3239" spans="2:14" x14ac:dyDescent="0.2">
      <c r="B3239">
        <v>3230</v>
      </c>
      <c r="C3239" s="52">
        <f ca="1"/>
        <v>2.3135166590049323</v>
      </c>
      <c r="D3239" s="52">
        <f ca="1">S0*EXP((μ-0.5*σ*σ)*T+σ*SQRT(T)*$C3239)</f>
        <v>1.2204517845964484</v>
      </c>
      <c r="E3239" s="52">
        <f t="shared" ca="1" si="140"/>
        <v>0</v>
      </c>
      <c r="F3239" s="17">
        <f t="shared" ca="1" si="141"/>
        <v>0</v>
      </c>
      <c r="H3239" s="17">
        <v>3230</v>
      </c>
      <c r="I3239" s="45">
        <v>0.67156213544878196</v>
      </c>
      <c r="J3239" s="45">
        <v>1.9429412072237442E-2</v>
      </c>
      <c r="K3239" s="45">
        <v>0.24940000000000001</v>
      </c>
      <c r="N3239" s="54"/>
    </row>
    <row r="3240" spans="2:14" x14ac:dyDescent="0.2">
      <c r="B3240">
        <v>3231</v>
      </c>
      <c r="C3240" s="52">
        <f ca="1"/>
        <v>-0.20059019785262033</v>
      </c>
      <c r="D3240" s="52">
        <f ca="1">S0*EXP((μ-0.5*σ*σ)*T+σ*SQRT(T)*$C3240)</f>
        <v>0.60910794891626319</v>
      </c>
      <c r="E3240" s="52">
        <f t="shared" ca="1" si="140"/>
        <v>0</v>
      </c>
      <c r="F3240" s="17">
        <f t="shared" ca="1" si="141"/>
        <v>0</v>
      </c>
      <c r="H3240" s="17">
        <v>3231</v>
      </c>
      <c r="I3240" s="45">
        <v>0.66935051920678257</v>
      </c>
      <c r="J3240" s="45">
        <v>1.7775356730712063E-2</v>
      </c>
      <c r="K3240" s="45">
        <v>0.2412</v>
      </c>
      <c r="N3240" s="54"/>
    </row>
    <row r="3241" spans="2:14" x14ac:dyDescent="0.2">
      <c r="B3241">
        <v>3232</v>
      </c>
      <c r="C3241" s="52">
        <f ca="1"/>
        <v>-0.64367593946490953</v>
      </c>
      <c r="D3241" s="52">
        <f ca="1">S0*EXP((μ-0.5*σ*σ)*T+σ*SQRT(T)*$C3241)</f>
        <v>0.53889039583836307</v>
      </c>
      <c r="E3241" s="52">
        <f t="shared" ca="1" si="140"/>
        <v>0</v>
      </c>
      <c r="F3241" s="17">
        <f t="shared" ca="1" si="141"/>
        <v>0</v>
      </c>
      <c r="H3241" s="17">
        <v>3232</v>
      </c>
      <c r="I3241" s="45">
        <v>0.67028899560793509</v>
      </c>
      <c r="J3241" s="45">
        <v>1.8324882294490582E-2</v>
      </c>
      <c r="K3241" s="45">
        <v>0.2382</v>
      </c>
      <c r="N3241" s="54"/>
    </row>
    <row r="3242" spans="2:14" x14ac:dyDescent="0.2">
      <c r="B3242">
        <v>3233</v>
      </c>
      <c r="C3242" s="52">
        <f ca="1"/>
        <v>-1.9932944210949548</v>
      </c>
      <c r="D3242" s="52">
        <f ca="1">S0*EXP((μ-0.5*σ*σ)*T+σ*SQRT(T)*$C3242)</f>
        <v>0.37108597508011981</v>
      </c>
      <c r="E3242" s="52">
        <f t="shared" ca="1" si="140"/>
        <v>0.16331402491988017</v>
      </c>
      <c r="F3242" s="17">
        <f t="shared" ca="1" si="141"/>
        <v>1</v>
      </c>
      <c r="H3242" s="17">
        <v>3233</v>
      </c>
      <c r="I3242" s="45">
        <v>0.67153847191052263</v>
      </c>
      <c r="J3242" s="45">
        <v>1.967261431160356E-2</v>
      </c>
      <c r="K3242" s="45">
        <v>0.25600000000000001</v>
      </c>
      <c r="N3242" s="54"/>
    </row>
    <row r="3243" spans="2:14" x14ac:dyDescent="0.2">
      <c r="B3243">
        <v>3234</v>
      </c>
      <c r="C3243" s="52">
        <f ca="1"/>
        <v>0.54120625237211106</v>
      </c>
      <c r="D3243" s="52">
        <f ca="1">S0*EXP((μ-0.5*σ*σ)*T+σ*SQRT(T)*$C3243)</f>
        <v>0.74773763783864911</v>
      </c>
      <c r="E3243" s="52">
        <f t="shared" ca="1" si="140"/>
        <v>0</v>
      </c>
      <c r="F3243" s="17">
        <f t="shared" ca="1" si="141"/>
        <v>0</v>
      </c>
      <c r="H3243" s="17">
        <v>3234</v>
      </c>
      <c r="I3243" s="45">
        <v>0.67117820539240924</v>
      </c>
      <c r="J3243" s="45">
        <v>1.913761197059894E-2</v>
      </c>
      <c r="K3243" s="45">
        <v>0.24479999999999999</v>
      </c>
      <c r="N3243" s="54"/>
    </row>
    <row r="3244" spans="2:14" x14ac:dyDescent="0.2">
      <c r="B3244">
        <v>3235</v>
      </c>
      <c r="C3244" s="52">
        <f ca="1"/>
        <v>-0.42742372675137391</v>
      </c>
      <c r="D3244" s="52">
        <f ca="1">S0*EXP((μ-0.5*σ*σ)*T+σ*SQRT(T)*$C3244)</f>
        <v>0.5720871532501729</v>
      </c>
      <c r="E3244" s="52">
        <f t="shared" ca="1" si="140"/>
        <v>0</v>
      </c>
      <c r="F3244" s="17">
        <f t="shared" ca="1" si="141"/>
        <v>0</v>
      </c>
      <c r="H3244" s="17">
        <v>3235</v>
      </c>
      <c r="I3244" s="45">
        <v>0.66974340509950747</v>
      </c>
      <c r="J3244" s="45">
        <v>1.802634363011461E-2</v>
      </c>
      <c r="K3244" s="45">
        <v>0.2414</v>
      </c>
      <c r="N3244" s="54"/>
    </row>
    <row r="3245" spans="2:14" x14ac:dyDescent="0.2">
      <c r="B3245">
        <v>3236</v>
      </c>
      <c r="C3245" s="52">
        <f ca="1"/>
        <v>1.8770147949990216E-2</v>
      </c>
      <c r="D3245" s="52">
        <f ca="1">S0*EXP((μ-0.5*σ*σ)*T+σ*SQRT(T)*$C3245)</f>
        <v>0.64718606847169446</v>
      </c>
      <c r="E3245" s="52">
        <f t="shared" ca="1" si="140"/>
        <v>0</v>
      </c>
      <c r="F3245" s="17">
        <f t="shared" ca="1" si="141"/>
        <v>0</v>
      </c>
      <c r="H3245" s="17">
        <v>3236</v>
      </c>
      <c r="I3245" s="45">
        <v>0.6709455488677788</v>
      </c>
      <c r="J3245" s="45">
        <v>1.8628844836222222E-2</v>
      </c>
      <c r="K3245" s="45">
        <v>0.2452</v>
      </c>
      <c r="N3245" s="54"/>
    </row>
    <row r="3246" spans="2:14" x14ac:dyDescent="0.2">
      <c r="B3246">
        <v>3237</v>
      </c>
      <c r="C3246" s="52">
        <f ca="1"/>
        <v>-9.8982931380913478E-2</v>
      </c>
      <c r="D3246" s="52">
        <f ca="1">S0*EXP((μ-0.5*σ*σ)*T+σ*SQRT(T)*$C3246)</f>
        <v>0.62645883134126168</v>
      </c>
      <c r="E3246" s="52">
        <f t="shared" ca="1" si="140"/>
        <v>0</v>
      </c>
      <c r="F3246" s="17">
        <f t="shared" ca="1" si="141"/>
        <v>0</v>
      </c>
      <c r="H3246" s="17">
        <v>3237</v>
      </c>
      <c r="I3246" s="45">
        <v>0.67145552786569729</v>
      </c>
      <c r="J3246" s="45">
        <v>1.9580450015206405E-2</v>
      </c>
      <c r="K3246" s="45">
        <v>0.25319999999999998</v>
      </c>
      <c r="N3246" s="54"/>
    </row>
    <row r="3247" spans="2:14" x14ac:dyDescent="0.2">
      <c r="B3247">
        <v>3238</v>
      </c>
      <c r="C3247" s="52">
        <f ca="1"/>
        <v>-1.4364056334206625</v>
      </c>
      <c r="D3247" s="52">
        <f ca="1">S0*EXP((μ-0.5*σ*σ)*T+σ*SQRT(T)*$C3247)</f>
        <v>0.43284337480473062</v>
      </c>
      <c r="E3247" s="52">
        <f t="shared" ca="1" si="140"/>
        <v>0.10155662519526937</v>
      </c>
      <c r="F3247" s="17">
        <f t="shared" ca="1" si="141"/>
        <v>1</v>
      </c>
      <c r="H3247" s="17">
        <v>3238</v>
      </c>
      <c r="I3247" s="45">
        <v>0.67091207527563468</v>
      </c>
      <c r="J3247" s="45">
        <v>1.8922045381720674E-2</v>
      </c>
      <c r="K3247" s="45">
        <v>0.253</v>
      </c>
      <c r="N3247" s="54"/>
    </row>
    <row r="3248" spans="2:14" x14ac:dyDescent="0.2">
      <c r="B3248">
        <v>3239</v>
      </c>
      <c r="C3248" s="52">
        <f ca="1"/>
        <v>1.4085002567050726</v>
      </c>
      <c r="D3248" s="52">
        <f ca="1">S0*EXP((μ-0.5*σ*σ)*T+σ*SQRT(T)*$C3248)</f>
        <v>0.95032157377191351</v>
      </c>
      <c r="E3248" s="52">
        <f t="shared" ca="1" si="140"/>
        <v>0</v>
      </c>
      <c r="F3248" s="17">
        <f t="shared" ca="1" si="141"/>
        <v>0</v>
      </c>
      <c r="H3248" s="17">
        <v>3239</v>
      </c>
      <c r="I3248" s="45">
        <v>0.67098124100805423</v>
      </c>
      <c r="J3248" s="45">
        <v>1.9192149262084724E-2</v>
      </c>
      <c r="K3248" s="45">
        <v>0.24579999999999999</v>
      </c>
      <c r="N3248" s="54"/>
    </row>
    <row r="3249" spans="2:14" x14ac:dyDescent="0.2">
      <c r="B3249">
        <v>3240</v>
      </c>
      <c r="C3249" s="52">
        <f ca="1"/>
        <v>-1.1906104544324528E-3</v>
      </c>
      <c r="D3249" s="52">
        <f ca="1">S0*EXP((μ-0.5*σ*σ)*T+σ*SQRT(T)*$C3249)</f>
        <v>0.6436248575606035</v>
      </c>
      <c r="E3249" s="52">
        <f t="shared" ca="1" si="140"/>
        <v>0</v>
      </c>
      <c r="F3249" s="17">
        <f t="shared" ca="1" si="141"/>
        <v>0</v>
      </c>
      <c r="H3249" s="17">
        <v>3240</v>
      </c>
      <c r="I3249" s="45">
        <v>0.67047038285701233</v>
      </c>
      <c r="J3249" s="45">
        <v>1.851079124910408E-2</v>
      </c>
      <c r="K3249" s="45">
        <v>0.23980000000000001</v>
      </c>
      <c r="N3249" s="54"/>
    </row>
    <row r="3250" spans="2:14" x14ac:dyDescent="0.2">
      <c r="B3250">
        <v>3241</v>
      </c>
      <c r="C3250" s="52">
        <f ca="1"/>
        <v>1.0032458923280254</v>
      </c>
      <c r="D3250" s="52">
        <f ca="1">S0*EXP((μ-0.5*σ*σ)*T+σ*SQRT(T)*$C3250)</f>
        <v>0.84960789552782134</v>
      </c>
      <c r="E3250" s="52">
        <f t="shared" ca="1" si="140"/>
        <v>0</v>
      </c>
      <c r="F3250" s="17">
        <f t="shared" ca="1" si="141"/>
        <v>0</v>
      </c>
      <c r="H3250" s="17">
        <v>3241</v>
      </c>
      <c r="I3250" s="45">
        <v>0.67059248984157538</v>
      </c>
      <c r="J3250" s="45">
        <v>1.9004241529383046E-2</v>
      </c>
      <c r="K3250" s="45">
        <v>0.2482</v>
      </c>
      <c r="N3250" s="54"/>
    </row>
    <row r="3251" spans="2:14" x14ac:dyDescent="0.2">
      <c r="B3251">
        <v>3242</v>
      </c>
      <c r="C3251" s="52">
        <f ca="1"/>
        <v>-0.18751173674522861</v>
      </c>
      <c r="D3251" s="52">
        <f ca="1">S0*EXP((μ-0.5*σ*σ)*T+σ*SQRT(T)*$C3251)</f>
        <v>0.61131404958223057</v>
      </c>
      <c r="E3251" s="52">
        <f t="shared" ca="1" si="140"/>
        <v>0</v>
      </c>
      <c r="F3251" s="17">
        <f t="shared" ca="1" si="141"/>
        <v>0</v>
      </c>
      <c r="H3251" s="17">
        <v>3242</v>
      </c>
      <c r="I3251" s="45">
        <v>0.66951447161166622</v>
      </c>
      <c r="J3251" s="45">
        <v>1.8051157240757322E-2</v>
      </c>
      <c r="K3251" s="45">
        <v>0.24279999999999999</v>
      </c>
      <c r="N3251" s="54"/>
    </row>
    <row r="3252" spans="2:14" x14ac:dyDescent="0.2">
      <c r="B3252">
        <v>3243</v>
      </c>
      <c r="C3252" s="52">
        <f ca="1"/>
        <v>0.31796022302839622</v>
      </c>
      <c r="D3252" s="52">
        <f ca="1">S0*EXP((μ-0.5*σ*σ)*T+σ*SQRT(T)*$C3252)</f>
        <v>0.70298791706225361</v>
      </c>
      <c r="E3252" s="52">
        <f t="shared" ca="1" si="140"/>
        <v>0</v>
      </c>
      <c r="F3252" s="17">
        <f t="shared" ca="1" si="141"/>
        <v>0</v>
      </c>
      <c r="H3252" s="17">
        <v>3243</v>
      </c>
      <c r="I3252" s="45">
        <v>0.67042923478337657</v>
      </c>
      <c r="J3252" s="45">
        <v>1.8698677579195931E-2</v>
      </c>
      <c r="K3252" s="45">
        <v>0.24660000000000001</v>
      </c>
      <c r="N3252" s="54"/>
    </row>
    <row r="3253" spans="2:14" x14ac:dyDescent="0.2">
      <c r="B3253">
        <v>3244</v>
      </c>
      <c r="C3253" s="52">
        <f ca="1"/>
        <v>2.2358719175412114</v>
      </c>
      <c r="D3253" s="52">
        <f ca="1">S0*EXP((μ-0.5*σ*σ)*T+σ*SQRT(T)*$C3253)</f>
        <v>1.1945357001373782</v>
      </c>
      <c r="E3253" s="52">
        <f t="shared" ca="1" si="140"/>
        <v>0</v>
      </c>
      <c r="F3253" s="17">
        <f t="shared" ca="1" si="141"/>
        <v>0</v>
      </c>
      <c r="H3253" s="17">
        <v>3244</v>
      </c>
      <c r="I3253" s="45">
        <v>0.67008537583734473</v>
      </c>
      <c r="J3253" s="45">
        <v>1.8424899748568296E-2</v>
      </c>
      <c r="K3253" s="45">
        <v>0.25119999999999998</v>
      </c>
      <c r="N3253" s="54"/>
    </row>
    <row r="3254" spans="2:14" x14ac:dyDescent="0.2">
      <c r="B3254">
        <v>3245</v>
      </c>
      <c r="C3254" s="52">
        <f ca="1"/>
        <v>-1.8586575010153352</v>
      </c>
      <c r="D3254" s="52">
        <f ca="1">S0*EXP((μ-0.5*σ*σ)*T+σ*SQRT(T)*$C3254)</f>
        <v>0.38515729014280981</v>
      </c>
      <c r="E3254" s="52">
        <f t="shared" ca="1" si="140"/>
        <v>0.14924270985719018</v>
      </c>
      <c r="F3254" s="17">
        <f t="shared" ca="1" si="141"/>
        <v>1</v>
      </c>
      <c r="H3254" s="17">
        <v>3245</v>
      </c>
      <c r="I3254" s="45">
        <v>0.66995896959072154</v>
      </c>
      <c r="J3254" s="45">
        <v>1.8305852170617445E-2</v>
      </c>
      <c r="K3254" s="45">
        <v>0.2452</v>
      </c>
      <c r="N3254" s="54"/>
    </row>
    <row r="3255" spans="2:14" x14ac:dyDescent="0.2">
      <c r="B3255">
        <v>3246</v>
      </c>
      <c r="C3255" s="52">
        <f ca="1"/>
        <v>1.03801408012551</v>
      </c>
      <c r="D3255" s="52">
        <f ca="1">S0*EXP((μ-0.5*σ*σ)*T+σ*SQRT(T)*$C3255)</f>
        <v>0.85781289207315436</v>
      </c>
      <c r="E3255" s="52">
        <f t="shared" ca="1" si="140"/>
        <v>0</v>
      </c>
      <c r="F3255" s="17">
        <f t="shared" ca="1" si="141"/>
        <v>0</v>
      </c>
      <c r="H3255" s="17">
        <v>3246</v>
      </c>
      <c r="I3255" s="45">
        <v>0.67076766116155406</v>
      </c>
      <c r="J3255" s="45">
        <v>1.8817542093449761E-2</v>
      </c>
      <c r="K3255" s="45">
        <v>0.24759999999999999</v>
      </c>
      <c r="N3255" s="54"/>
    </row>
    <row r="3256" spans="2:14" x14ac:dyDescent="0.2">
      <c r="B3256">
        <v>3247</v>
      </c>
      <c r="C3256" s="52">
        <f ca="1"/>
        <v>-0.76243215786713003</v>
      </c>
      <c r="D3256" s="52">
        <f ca="1">S0*EXP((μ-0.5*σ*σ)*T+σ*SQRT(T)*$C3256)</f>
        <v>0.52148688374324004</v>
      </c>
      <c r="E3256" s="52">
        <f t="shared" ca="1" si="140"/>
        <v>1.2913116256759949E-2</v>
      </c>
      <c r="F3256" s="17">
        <f t="shared" ca="1" si="141"/>
        <v>1</v>
      </c>
      <c r="H3256" s="17">
        <v>3247</v>
      </c>
      <c r="I3256" s="45">
        <v>0.67003387768839218</v>
      </c>
      <c r="J3256" s="45">
        <v>1.7901804379956119E-2</v>
      </c>
      <c r="K3256" s="45">
        <v>0.23680000000000001</v>
      </c>
      <c r="N3256" s="54"/>
    </row>
    <row r="3257" spans="2:14" x14ac:dyDescent="0.2">
      <c r="B3257">
        <v>3248</v>
      </c>
      <c r="C3257" s="52">
        <f ca="1"/>
        <v>-0.21872470773222072</v>
      </c>
      <c r="D3257" s="52">
        <f ca="1">S0*EXP((μ-0.5*σ*σ)*T+σ*SQRT(T)*$C3257)</f>
        <v>0.606062150798516</v>
      </c>
      <c r="E3257" s="52">
        <f t="shared" ca="1" si="140"/>
        <v>0</v>
      </c>
      <c r="F3257" s="17">
        <f t="shared" ca="1" si="141"/>
        <v>0</v>
      </c>
      <c r="H3257" s="17">
        <v>3248</v>
      </c>
      <c r="I3257" s="45">
        <v>0.67185974307870133</v>
      </c>
      <c r="J3257" s="45">
        <v>1.9586297243068092E-2</v>
      </c>
      <c r="K3257" s="45">
        <v>0.24779999999999999</v>
      </c>
      <c r="N3257" s="54"/>
    </row>
    <row r="3258" spans="2:14" x14ac:dyDescent="0.2">
      <c r="B3258">
        <v>3249</v>
      </c>
      <c r="C3258" s="52">
        <f ca="1"/>
        <v>-0.72419032298677755</v>
      </c>
      <c r="D3258" s="52">
        <f ca="1">S0*EXP((μ-0.5*σ*σ)*T+σ*SQRT(T)*$C3258)</f>
        <v>0.5270289125829305</v>
      </c>
      <c r="E3258" s="52">
        <f t="shared" ca="1" si="140"/>
        <v>7.3710874170694884E-3</v>
      </c>
      <c r="F3258" s="17">
        <f t="shared" ca="1" si="141"/>
        <v>1</v>
      </c>
      <c r="H3258" s="17">
        <v>3249</v>
      </c>
      <c r="I3258" s="45">
        <v>0.67043460071871119</v>
      </c>
      <c r="J3258" s="45">
        <v>1.8658853068621365E-2</v>
      </c>
      <c r="K3258" s="45">
        <v>0.24660000000000001</v>
      </c>
      <c r="N3258" s="54"/>
    </row>
    <row r="3259" spans="2:14" x14ac:dyDescent="0.2">
      <c r="B3259">
        <v>3250</v>
      </c>
      <c r="C3259" s="52">
        <f ca="1"/>
        <v>-2.3076676196166157</v>
      </c>
      <c r="D3259" s="52">
        <f ca="1">S0*EXP((μ-0.5*σ*σ)*T+σ*SQRT(T)*$C3259)</f>
        <v>0.34019902065772972</v>
      </c>
      <c r="E3259" s="52">
        <f t="shared" ca="1" si="140"/>
        <v>0.19420097934227026</v>
      </c>
      <c r="F3259" s="17">
        <f t="shared" ca="1" si="141"/>
        <v>1</v>
      </c>
      <c r="H3259" s="17">
        <v>3250</v>
      </c>
      <c r="I3259" s="45">
        <v>0.67068625341027088</v>
      </c>
      <c r="J3259" s="45">
        <v>1.880523320757347E-2</v>
      </c>
      <c r="K3259" s="45">
        <v>0.2424</v>
      </c>
      <c r="N3259" s="54"/>
    </row>
    <row r="3260" spans="2:14" x14ac:dyDescent="0.2">
      <c r="B3260">
        <v>3251</v>
      </c>
      <c r="C3260" s="52">
        <f ca="1"/>
        <v>-1.6165061812401913</v>
      </c>
      <c r="D3260" s="52">
        <f ca="1">S0*EXP((μ-0.5*σ*σ)*T+σ*SQRT(T)*$C3260)</f>
        <v>0.41182162004273798</v>
      </c>
      <c r="E3260" s="52">
        <f t="shared" ca="1" si="140"/>
        <v>0.12257837995726201</v>
      </c>
      <c r="F3260" s="17">
        <f t="shared" ca="1" si="141"/>
        <v>1</v>
      </c>
      <c r="H3260" s="17">
        <v>3251</v>
      </c>
      <c r="I3260" s="45">
        <v>0.67069866685423363</v>
      </c>
      <c r="J3260" s="45">
        <v>1.8773202513685156E-2</v>
      </c>
      <c r="K3260" s="45">
        <v>0.248</v>
      </c>
      <c r="N3260" s="54"/>
    </row>
    <row r="3261" spans="2:14" x14ac:dyDescent="0.2">
      <c r="B3261">
        <v>3252</v>
      </c>
      <c r="C3261" s="52">
        <f ca="1"/>
        <v>-0.22108478011020988</v>
      </c>
      <c r="D3261" s="52">
        <f ca="1">S0*EXP((μ-0.5*σ*σ)*T+σ*SQRT(T)*$C3261)</f>
        <v>0.60566688435394955</v>
      </c>
      <c r="E3261" s="52">
        <f t="shared" ca="1" si="140"/>
        <v>0</v>
      </c>
      <c r="F3261" s="17">
        <f t="shared" ca="1" si="141"/>
        <v>0</v>
      </c>
      <c r="H3261" s="17">
        <v>3252</v>
      </c>
      <c r="I3261" s="45">
        <v>0.67119828402673898</v>
      </c>
      <c r="J3261" s="45">
        <v>1.8733583363170395E-2</v>
      </c>
      <c r="K3261" s="45">
        <v>0.24660000000000001</v>
      </c>
      <c r="N3261" s="54"/>
    </row>
    <row r="3262" spans="2:14" x14ac:dyDescent="0.2">
      <c r="B3262">
        <v>3253</v>
      </c>
      <c r="C3262" s="52">
        <f ca="1"/>
        <v>0.10871488936961263</v>
      </c>
      <c r="D3262" s="52">
        <f ca="1">S0*EXP((μ-0.5*σ*σ)*T+σ*SQRT(T)*$C3262)</f>
        <v>0.66347919083990092</v>
      </c>
      <c r="E3262" s="52">
        <f t="shared" ca="1" si="140"/>
        <v>0</v>
      </c>
      <c r="F3262" s="17">
        <f t="shared" ca="1" si="141"/>
        <v>0</v>
      </c>
      <c r="H3262" s="17">
        <v>3253</v>
      </c>
      <c r="I3262" s="45">
        <v>0.67113868854248326</v>
      </c>
      <c r="J3262" s="45">
        <v>1.9229699709432661E-2</v>
      </c>
      <c r="K3262" s="45">
        <v>0.2492</v>
      </c>
      <c r="N3262" s="54"/>
    </row>
    <row r="3263" spans="2:14" x14ac:dyDescent="0.2">
      <c r="B3263">
        <v>3254</v>
      </c>
      <c r="C3263" s="52">
        <f ca="1"/>
        <v>-1.1332947701221354</v>
      </c>
      <c r="D3263" s="52">
        <f ca="1">S0*EXP((μ-0.5*σ*σ)*T+σ*SQRT(T)*$C3263)</f>
        <v>0.47067396668579708</v>
      </c>
      <c r="E3263" s="52">
        <f t="shared" ca="1" si="140"/>
        <v>6.3726033314202901E-2</v>
      </c>
      <c r="F3263" s="17">
        <f t="shared" ca="1" si="141"/>
        <v>1</v>
      </c>
      <c r="H3263" s="17">
        <v>3254</v>
      </c>
      <c r="I3263" s="45">
        <v>0.67116528315922819</v>
      </c>
      <c r="J3263" s="45">
        <v>1.9184111498834405E-2</v>
      </c>
      <c r="K3263" s="45">
        <v>0.24940000000000001</v>
      </c>
      <c r="N3263" s="54"/>
    </row>
    <row r="3264" spans="2:14" x14ac:dyDescent="0.2">
      <c r="B3264">
        <v>3255</v>
      </c>
      <c r="C3264" s="52">
        <f ca="1"/>
        <v>1.1511993299720731</v>
      </c>
      <c r="D3264" s="52">
        <f ca="1">S0*EXP((μ-0.5*σ*σ)*T+σ*SQRT(T)*$C3264)</f>
        <v>0.88507650203501764</v>
      </c>
      <c r="E3264" s="52">
        <f t="shared" ca="1" si="140"/>
        <v>0</v>
      </c>
      <c r="F3264" s="17">
        <f t="shared" ca="1" si="141"/>
        <v>0</v>
      </c>
      <c r="H3264" s="17">
        <v>3255</v>
      </c>
      <c r="I3264" s="45">
        <v>0.66995957700029585</v>
      </c>
      <c r="J3264" s="45">
        <v>1.8264011364751094E-2</v>
      </c>
      <c r="K3264" s="45">
        <v>0.2422</v>
      </c>
      <c r="N3264" s="54"/>
    </row>
    <row r="3265" spans="2:14" x14ac:dyDescent="0.2">
      <c r="B3265">
        <v>3256</v>
      </c>
      <c r="C3265" s="52">
        <f ca="1"/>
        <v>0.40486859333302821</v>
      </c>
      <c r="D3265" s="52">
        <f ca="1">S0*EXP((μ-0.5*σ*σ)*T+σ*SQRT(T)*$C3265)</f>
        <v>0.72008121422889937</v>
      </c>
      <c r="E3265" s="52">
        <f t="shared" ca="1" si="140"/>
        <v>0</v>
      </c>
      <c r="F3265" s="17">
        <f t="shared" ca="1" si="141"/>
        <v>0</v>
      </c>
      <c r="H3265" s="17">
        <v>3256</v>
      </c>
      <c r="I3265" s="45">
        <v>0.67083680350831698</v>
      </c>
      <c r="J3265" s="45">
        <v>1.9093278153456284E-2</v>
      </c>
      <c r="K3265" s="45">
        <v>0.24560000000000001</v>
      </c>
      <c r="N3265" s="54"/>
    </row>
    <row r="3266" spans="2:14" x14ac:dyDescent="0.2">
      <c r="B3266">
        <v>3257</v>
      </c>
      <c r="C3266" s="52">
        <f ca="1"/>
        <v>2.0009074195569299E-2</v>
      </c>
      <c r="D3266" s="52">
        <f ca="1">S0*EXP((μ-0.5*σ*σ)*T+σ*SQRT(T)*$C3266)</f>
        <v>0.64740775438918685</v>
      </c>
      <c r="E3266" s="52">
        <f t="shared" ca="1" si="140"/>
        <v>0</v>
      </c>
      <c r="F3266" s="17">
        <f t="shared" ca="1" si="141"/>
        <v>0</v>
      </c>
      <c r="H3266" s="17">
        <v>3257</v>
      </c>
      <c r="I3266" s="45">
        <v>0.67039929734113735</v>
      </c>
      <c r="J3266" s="45">
        <v>1.8123030859983156E-2</v>
      </c>
      <c r="K3266" s="45">
        <v>0.2364</v>
      </c>
      <c r="N3266" s="54"/>
    </row>
    <row r="3267" spans="2:14" x14ac:dyDescent="0.2">
      <c r="B3267">
        <v>3258</v>
      </c>
      <c r="C3267" s="52">
        <f ca="1"/>
        <v>-0.98710334892457419</v>
      </c>
      <c r="D3267" s="52">
        <f ca="1">S0*EXP((μ-0.5*σ*σ)*T+σ*SQRT(T)*$C3267)</f>
        <v>0.49008443920251765</v>
      </c>
      <c r="E3267" s="52">
        <f t="shared" ca="1" si="140"/>
        <v>4.4315560797482334E-2</v>
      </c>
      <c r="F3267" s="17">
        <f t="shared" ca="1" si="141"/>
        <v>1</v>
      </c>
      <c r="H3267" s="17">
        <v>3258</v>
      </c>
      <c r="I3267" s="45">
        <v>0.67075704691633542</v>
      </c>
      <c r="J3267" s="45">
        <v>1.8687387542176675E-2</v>
      </c>
      <c r="K3267" s="45">
        <v>0.24340000000000001</v>
      </c>
      <c r="N3267" s="54"/>
    </row>
    <row r="3268" spans="2:14" x14ac:dyDescent="0.2">
      <c r="B3268">
        <v>3259</v>
      </c>
      <c r="C3268" s="52">
        <f ca="1"/>
        <v>-0.16155024827806799</v>
      </c>
      <c r="D3268" s="52">
        <f ca="1">S0*EXP((μ-0.5*σ*σ)*T+σ*SQRT(T)*$C3268)</f>
        <v>0.61571698584158929</v>
      </c>
      <c r="E3268" s="52">
        <f t="shared" ca="1" si="140"/>
        <v>0</v>
      </c>
      <c r="F3268" s="17">
        <f t="shared" ca="1" si="141"/>
        <v>0</v>
      </c>
      <c r="H3268" s="17">
        <v>3259</v>
      </c>
      <c r="I3268" s="45">
        <v>0.67173061162493952</v>
      </c>
      <c r="J3268" s="45">
        <v>1.9386517661201981E-2</v>
      </c>
      <c r="K3268" s="45">
        <v>0.247</v>
      </c>
      <c r="N3268" s="54"/>
    </row>
    <row r="3269" spans="2:14" x14ac:dyDescent="0.2">
      <c r="B3269">
        <v>3260</v>
      </c>
      <c r="C3269" s="52">
        <f ca="1"/>
        <v>0.34139658205547552</v>
      </c>
      <c r="D3269" s="52">
        <f ca="1">S0*EXP((μ-0.5*σ*σ)*T+σ*SQRT(T)*$C3269)</f>
        <v>0.70755705940866909</v>
      </c>
      <c r="E3269" s="52">
        <f t="shared" ca="1" si="140"/>
        <v>0</v>
      </c>
      <c r="F3269" s="17">
        <f t="shared" ca="1" si="141"/>
        <v>0</v>
      </c>
      <c r="H3269" s="17">
        <v>3260</v>
      </c>
      <c r="I3269" s="45">
        <v>0.66973846672795634</v>
      </c>
      <c r="J3269" s="45">
        <v>1.7954967757811621E-2</v>
      </c>
      <c r="K3269" s="45">
        <v>0.24460000000000001</v>
      </c>
      <c r="N3269" s="54"/>
    </row>
    <row r="3270" spans="2:14" x14ac:dyDescent="0.2">
      <c r="B3270">
        <v>3261</v>
      </c>
      <c r="C3270" s="52">
        <f ca="1"/>
        <v>-0.11292301426321673</v>
      </c>
      <c r="D3270" s="52">
        <f ca="1">S0*EXP((μ-0.5*σ*σ)*T+σ*SQRT(T)*$C3270)</f>
        <v>0.62404942245763573</v>
      </c>
      <c r="E3270" s="52">
        <f t="shared" ca="1" si="140"/>
        <v>0</v>
      </c>
      <c r="F3270" s="17">
        <f t="shared" ca="1" si="141"/>
        <v>0</v>
      </c>
      <c r="H3270" s="17">
        <v>3261</v>
      </c>
      <c r="I3270" s="45">
        <v>0.67183438797320971</v>
      </c>
      <c r="J3270" s="45">
        <v>1.9816384103871657E-2</v>
      </c>
      <c r="K3270" s="45">
        <v>0.25180000000000002</v>
      </c>
      <c r="N3270" s="54"/>
    </row>
    <row r="3271" spans="2:14" x14ac:dyDescent="0.2">
      <c r="B3271">
        <v>3262</v>
      </c>
      <c r="C3271" s="52">
        <f ca="1"/>
        <v>-5.4170645326803817E-2</v>
      </c>
      <c r="D3271" s="52">
        <f ca="1">S0*EXP((μ-0.5*σ*σ)*T+σ*SQRT(T)*$C3271)</f>
        <v>0.63426740050694497</v>
      </c>
      <c r="E3271" s="52">
        <f t="shared" ca="1" si="140"/>
        <v>0</v>
      </c>
      <c r="F3271" s="17">
        <f t="shared" ca="1" si="141"/>
        <v>0</v>
      </c>
      <c r="H3271" s="17">
        <v>3262</v>
      </c>
      <c r="I3271" s="45">
        <v>0.67101013197949755</v>
      </c>
      <c r="J3271" s="45">
        <v>1.9153749326123706E-2</v>
      </c>
      <c r="K3271" s="45">
        <v>0.252</v>
      </c>
      <c r="N3271" s="54"/>
    </row>
    <row r="3272" spans="2:14" x14ac:dyDescent="0.2">
      <c r="B3272">
        <v>3263</v>
      </c>
      <c r="C3272" s="52">
        <f ca="1"/>
        <v>-4.193769193539143E-2</v>
      </c>
      <c r="D3272" s="52">
        <f ca="1">S0*EXP((μ-0.5*σ*σ)*T+σ*SQRT(T)*$C3272)</f>
        <v>0.63641586085328072</v>
      </c>
      <c r="E3272" s="52">
        <f t="shared" ca="1" si="140"/>
        <v>0</v>
      </c>
      <c r="F3272" s="17">
        <f t="shared" ca="1" si="141"/>
        <v>0</v>
      </c>
      <c r="H3272" s="17">
        <v>3263</v>
      </c>
      <c r="I3272" s="45">
        <v>0.67171941114212186</v>
      </c>
      <c r="J3272" s="45">
        <v>1.9562057961323657E-2</v>
      </c>
      <c r="K3272" s="45">
        <v>0.25119999999999998</v>
      </c>
      <c r="N3272" s="54"/>
    </row>
    <row r="3273" spans="2:14" x14ac:dyDescent="0.2">
      <c r="B3273">
        <v>3264</v>
      </c>
      <c r="C3273" s="52">
        <f ca="1"/>
        <v>0.16833016614543186</v>
      </c>
      <c r="D3273" s="52">
        <f ca="1">S0*EXP((μ-0.5*σ*σ)*T+σ*SQRT(T)*$C3273)</f>
        <v>0.67450365289420477</v>
      </c>
      <c r="E3273" s="52">
        <f t="shared" ca="1" si="140"/>
        <v>0</v>
      </c>
      <c r="F3273" s="17">
        <f t="shared" ca="1" si="141"/>
        <v>0</v>
      </c>
      <c r="H3273" s="17">
        <v>3264</v>
      </c>
      <c r="I3273" s="45">
        <v>0.67063321896272632</v>
      </c>
      <c r="J3273" s="45">
        <v>1.8601619263260354E-2</v>
      </c>
      <c r="K3273" s="45">
        <v>0.24260000000000001</v>
      </c>
      <c r="N3273" s="54"/>
    </row>
    <row r="3274" spans="2:14" x14ac:dyDescent="0.2">
      <c r="B3274">
        <v>3265</v>
      </c>
      <c r="C3274" s="52">
        <f ca="1"/>
        <v>-2.2416652391451106</v>
      </c>
      <c r="D3274" s="52">
        <f ca="1">S0*EXP((μ-0.5*σ*σ)*T+σ*SQRT(T)*$C3274)</f>
        <v>0.34646299109897838</v>
      </c>
      <c r="E3274" s="52">
        <f t="shared" ref="E3274:E3337" ca="1" si="142">MAX(0,CP*(D3274-K))</f>
        <v>0.18793700890102161</v>
      </c>
      <c r="F3274" s="17">
        <f t="shared" ref="F3274:F3337" ca="1" si="143">(CP*(D3274-K)&gt;0)*1</f>
        <v>1</v>
      </c>
      <c r="H3274" s="17">
        <v>3265</v>
      </c>
      <c r="I3274" s="45">
        <v>0.67095739496175022</v>
      </c>
      <c r="J3274" s="45">
        <v>1.9006672983627553E-2</v>
      </c>
      <c r="K3274" s="45">
        <v>0.24840000000000001</v>
      </c>
      <c r="N3274" s="54"/>
    </row>
    <row r="3275" spans="2:14" x14ac:dyDescent="0.2">
      <c r="B3275">
        <v>3266</v>
      </c>
      <c r="C3275" s="52">
        <f ca="1"/>
        <v>-1.3786287482273334E-2</v>
      </c>
      <c r="D3275" s="52">
        <f ca="1">S0*EXP((μ-0.5*σ*σ)*T+σ*SQRT(T)*$C3275)</f>
        <v>0.64138774626330985</v>
      </c>
      <c r="E3275" s="52">
        <f t="shared" ca="1" si="142"/>
        <v>0</v>
      </c>
      <c r="F3275" s="17">
        <f t="shared" ca="1" si="143"/>
        <v>0</v>
      </c>
      <c r="H3275" s="17">
        <v>3266</v>
      </c>
      <c r="I3275" s="45">
        <v>0.67078920879039572</v>
      </c>
      <c r="J3275" s="45">
        <v>1.8783625711307421E-2</v>
      </c>
      <c r="K3275" s="45">
        <v>0.24399999999999999</v>
      </c>
      <c r="N3275" s="54"/>
    </row>
    <row r="3276" spans="2:14" x14ac:dyDescent="0.2">
      <c r="B3276">
        <v>3267</v>
      </c>
      <c r="C3276" s="52">
        <f ca="1"/>
        <v>0.62391250998003056</v>
      </c>
      <c r="D3276" s="52">
        <f ca="1">S0*EXP((μ-0.5*σ*σ)*T+σ*SQRT(T)*$C3276)</f>
        <v>0.76502985830258485</v>
      </c>
      <c r="E3276" s="52">
        <f t="shared" ca="1" si="142"/>
        <v>0</v>
      </c>
      <c r="F3276" s="17">
        <f t="shared" ca="1" si="143"/>
        <v>0</v>
      </c>
      <c r="H3276" s="17">
        <v>3267</v>
      </c>
      <c r="I3276" s="45">
        <v>0.670466765356031</v>
      </c>
      <c r="J3276" s="45">
        <v>1.8821947396802905E-2</v>
      </c>
      <c r="K3276" s="45">
        <v>0.251</v>
      </c>
      <c r="N3276" s="54"/>
    </row>
    <row r="3277" spans="2:14" x14ac:dyDescent="0.2">
      <c r="B3277">
        <v>3268</v>
      </c>
      <c r="C3277" s="52">
        <f ca="1"/>
        <v>-0.97799880761932789</v>
      </c>
      <c r="D3277" s="52">
        <f ca="1">S0*EXP((μ-0.5*σ*σ)*T+σ*SQRT(T)*$C3277)</f>
        <v>0.49131943288114416</v>
      </c>
      <c r="E3277" s="52">
        <f t="shared" ca="1" si="142"/>
        <v>4.3080567118855828E-2</v>
      </c>
      <c r="F3277" s="17">
        <f t="shared" ca="1" si="143"/>
        <v>1</v>
      </c>
      <c r="H3277" s="17">
        <v>3268</v>
      </c>
      <c r="I3277" s="45">
        <v>0.67020241289427551</v>
      </c>
      <c r="J3277" s="45">
        <v>1.8837750892265984E-2</v>
      </c>
      <c r="K3277" s="45">
        <v>0.24940000000000001</v>
      </c>
      <c r="N3277" s="54"/>
    </row>
    <row r="3278" spans="2:14" x14ac:dyDescent="0.2">
      <c r="B3278">
        <v>3269</v>
      </c>
      <c r="C3278" s="52">
        <f ca="1"/>
        <v>-8.9302781056720487E-2</v>
      </c>
      <c r="D3278" s="52">
        <f ca="1">S0*EXP((μ-0.5*σ*σ)*T+σ*SQRT(T)*$C3278)</f>
        <v>0.62813742259183902</v>
      </c>
      <c r="E3278" s="52">
        <f t="shared" ca="1" si="142"/>
        <v>0</v>
      </c>
      <c r="F3278" s="17">
        <f t="shared" ca="1" si="143"/>
        <v>0</v>
      </c>
      <c r="H3278" s="17">
        <v>3269</v>
      </c>
      <c r="I3278" s="45">
        <v>0.66984780112615938</v>
      </c>
      <c r="J3278" s="45">
        <v>1.8143874087119656E-2</v>
      </c>
      <c r="K3278" s="45">
        <v>0.246</v>
      </c>
      <c r="N3278" s="54"/>
    </row>
    <row r="3279" spans="2:14" x14ac:dyDescent="0.2">
      <c r="B3279">
        <v>3270</v>
      </c>
      <c r="C3279" s="52">
        <f ca="1"/>
        <v>-0.91100817970431491</v>
      </c>
      <c r="D3279" s="52">
        <f ca="1">S0*EXP((μ-0.5*σ*σ)*T+σ*SQRT(T)*$C3279)</f>
        <v>0.50050264327820393</v>
      </c>
      <c r="E3279" s="52">
        <f t="shared" ca="1" si="142"/>
        <v>3.3897356721796057E-2</v>
      </c>
      <c r="F3279" s="17">
        <f t="shared" ca="1" si="143"/>
        <v>1</v>
      </c>
      <c r="H3279" s="17">
        <v>3270</v>
      </c>
      <c r="I3279" s="45">
        <v>0.6708724461569302</v>
      </c>
      <c r="J3279" s="45">
        <v>1.9177216833382048E-2</v>
      </c>
      <c r="K3279" s="45">
        <v>0.25140000000000001</v>
      </c>
      <c r="N3279" s="54"/>
    </row>
    <row r="3280" spans="2:14" x14ac:dyDescent="0.2">
      <c r="B3280">
        <v>3271</v>
      </c>
      <c r="C3280" s="52">
        <f ca="1"/>
        <v>0.19951022414567954</v>
      </c>
      <c r="D3280" s="52">
        <f ca="1">S0*EXP((μ-0.5*σ*σ)*T+σ*SQRT(T)*$C3280)</f>
        <v>0.68034244917171838</v>
      </c>
      <c r="E3280" s="52">
        <f t="shared" ca="1" si="142"/>
        <v>0</v>
      </c>
      <c r="F3280" s="17">
        <f t="shared" ca="1" si="143"/>
        <v>0</v>
      </c>
      <c r="H3280" s="17">
        <v>3271</v>
      </c>
      <c r="I3280" s="45">
        <v>0.67173423818954714</v>
      </c>
      <c r="J3280" s="45">
        <v>1.954634700993952E-2</v>
      </c>
      <c r="K3280" s="45">
        <v>0.25159999999999999</v>
      </c>
      <c r="N3280" s="54"/>
    </row>
    <row r="3281" spans="2:14" x14ac:dyDescent="0.2">
      <c r="B3281">
        <v>3272</v>
      </c>
      <c r="C3281" s="52">
        <f ca="1"/>
        <v>-0.79467584119428569</v>
      </c>
      <c r="D3281" s="52">
        <f ca="1">S0*EXP((μ-0.5*σ*σ)*T+σ*SQRT(T)*$C3281)</f>
        <v>0.51685941899471732</v>
      </c>
      <c r="E3281" s="52">
        <f t="shared" ca="1" si="142"/>
        <v>1.7540581005282663E-2</v>
      </c>
      <c r="F3281" s="17">
        <f t="shared" ca="1" si="143"/>
        <v>1</v>
      </c>
      <c r="H3281" s="17">
        <v>3272</v>
      </c>
      <c r="I3281" s="45">
        <v>0.67068321495295091</v>
      </c>
      <c r="J3281" s="45">
        <v>1.858249927079425E-2</v>
      </c>
      <c r="K3281" s="45">
        <v>0.24540000000000001</v>
      </c>
      <c r="N3281" s="54"/>
    </row>
    <row r="3282" spans="2:14" x14ac:dyDescent="0.2">
      <c r="B3282">
        <v>3273</v>
      </c>
      <c r="C3282" s="52">
        <f ca="1"/>
        <v>-0.3684426240567909</v>
      </c>
      <c r="D3282" s="52">
        <f ca="1">S0*EXP((μ-0.5*σ*σ)*T+σ*SQRT(T)*$C3282)</f>
        <v>0.58149108455343546</v>
      </c>
      <c r="E3282" s="52">
        <f t="shared" ca="1" si="142"/>
        <v>0</v>
      </c>
      <c r="F3282" s="17">
        <f t="shared" ca="1" si="143"/>
        <v>0</v>
      </c>
      <c r="H3282" s="17">
        <v>3273</v>
      </c>
      <c r="I3282" s="45">
        <v>0.67014284903363952</v>
      </c>
      <c r="J3282" s="45">
        <v>1.8631440239300058E-2</v>
      </c>
      <c r="K3282" s="45">
        <v>0.24540000000000001</v>
      </c>
      <c r="N3282" s="54"/>
    </row>
    <row r="3283" spans="2:14" x14ac:dyDescent="0.2">
      <c r="B3283">
        <v>3274</v>
      </c>
      <c r="C3283" s="52">
        <f ca="1"/>
        <v>1.6822708491272782</v>
      </c>
      <c r="D3283" s="52">
        <f ca="1">S0*EXP((μ-0.5*σ*σ)*T+σ*SQRT(T)*$C3283)</f>
        <v>1.0250324184962845</v>
      </c>
      <c r="E3283" s="52">
        <f t="shared" ca="1" si="142"/>
        <v>0</v>
      </c>
      <c r="F3283" s="17">
        <f t="shared" ca="1" si="143"/>
        <v>0</v>
      </c>
      <c r="H3283" s="17">
        <v>3274</v>
      </c>
      <c r="I3283" s="45">
        <v>0.67064528932982026</v>
      </c>
      <c r="J3283" s="45">
        <v>1.886008278124866E-2</v>
      </c>
      <c r="K3283" s="45">
        <v>0.24759999999999999</v>
      </c>
      <c r="N3283" s="54"/>
    </row>
    <row r="3284" spans="2:14" x14ac:dyDescent="0.2">
      <c r="B3284">
        <v>3275</v>
      </c>
      <c r="C3284" s="52">
        <f ca="1"/>
        <v>-1.0156055533996589</v>
      </c>
      <c r="D3284" s="52">
        <f ca="1">S0*EXP((μ-0.5*σ*σ)*T+σ*SQRT(T)*$C3284)</f>
        <v>0.48623826703589546</v>
      </c>
      <c r="E3284" s="52">
        <f t="shared" ca="1" si="142"/>
        <v>4.8161732964104531E-2</v>
      </c>
      <c r="F3284" s="17">
        <f t="shared" ca="1" si="143"/>
        <v>1</v>
      </c>
      <c r="H3284" s="17">
        <v>3275</v>
      </c>
      <c r="I3284" s="45">
        <v>0.67141514509732025</v>
      </c>
      <c r="J3284" s="45">
        <v>1.941077057512415E-2</v>
      </c>
      <c r="K3284" s="45">
        <v>0.24779999999999999</v>
      </c>
      <c r="N3284" s="54"/>
    </row>
    <row r="3285" spans="2:14" x14ac:dyDescent="0.2">
      <c r="B3285">
        <v>3276</v>
      </c>
      <c r="C3285" s="52">
        <f ca="1"/>
        <v>1.7166705622144891</v>
      </c>
      <c r="D3285" s="52">
        <f ca="1">S0*EXP((μ-0.5*σ*σ)*T+σ*SQRT(T)*$C3285)</f>
        <v>1.0348261473432054</v>
      </c>
      <c r="E3285" s="52">
        <f t="shared" ca="1" si="142"/>
        <v>0</v>
      </c>
      <c r="F3285" s="17">
        <f t="shared" ca="1" si="143"/>
        <v>0</v>
      </c>
      <c r="H3285" s="17">
        <v>3276</v>
      </c>
      <c r="I3285" s="45">
        <v>0.67214922912133324</v>
      </c>
      <c r="J3285" s="45">
        <v>1.980904058199982E-2</v>
      </c>
      <c r="K3285" s="45">
        <v>0.25180000000000002</v>
      </c>
      <c r="N3285" s="54"/>
    </row>
    <row r="3286" spans="2:14" x14ac:dyDescent="0.2">
      <c r="B3286">
        <v>3277</v>
      </c>
      <c r="C3286" s="52">
        <f ca="1"/>
        <v>1.2477983700494066</v>
      </c>
      <c r="D3286" s="52">
        <f ca="1">S0*EXP((μ-0.5*σ*σ)*T+σ*SQRT(T)*$C3286)</f>
        <v>0.90902918434446123</v>
      </c>
      <c r="E3286" s="52">
        <f t="shared" ca="1" si="142"/>
        <v>0</v>
      </c>
      <c r="F3286" s="17">
        <f t="shared" ca="1" si="143"/>
        <v>0</v>
      </c>
      <c r="H3286" s="17">
        <v>3277</v>
      </c>
      <c r="I3286" s="45">
        <v>0.6707908208701</v>
      </c>
      <c r="J3286" s="45">
        <v>1.8856663075193687E-2</v>
      </c>
      <c r="K3286" s="45">
        <v>0.24940000000000001</v>
      </c>
      <c r="N3286" s="54"/>
    </row>
    <row r="3287" spans="2:14" x14ac:dyDescent="0.2">
      <c r="B3287">
        <v>3278</v>
      </c>
      <c r="C3287" s="52">
        <f ca="1"/>
        <v>-0.81293876414385546</v>
      </c>
      <c r="D3287" s="52">
        <f ca="1">S0*EXP((μ-0.5*σ*σ)*T+σ*SQRT(T)*$C3287)</f>
        <v>0.51425664748298006</v>
      </c>
      <c r="E3287" s="52">
        <f t="shared" ca="1" si="142"/>
        <v>2.014335251701993E-2</v>
      </c>
      <c r="F3287" s="17">
        <f t="shared" ca="1" si="143"/>
        <v>1</v>
      </c>
      <c r="H3287" s="17">
        <v>3278</v>
      </c>
      <c r="I3287" s="45">
        <v>0.67178552147896931</v>
      </c>
      <c r="J3287" s="45">
        <v>1.9619454554316768E-2</v>
      </c>
      <c r="K3287" s="45">
        <v>0.24879999999999999</v>
      </c>
      <c r="N3287" s="54"/>
    </row>
    <row r="3288" spans="2:14" x14ac:dyDescent="0.2">
      <c r="B3288">
        <v>3279</v>
      </c>
      <c r="C3288" s="52">
        <f ca="1"/>
        <v>0.77022195130813653</v>
      </c>
      <c r="D3288" s="52">
        <f ca="1">S0*EXP((μ-0.5*σ*σ)*T+σ*SQRT(T)*$C3288)</f>
        <v>0.79660548008561549</v>
      </c>
      <c r="E3288" s="52">
        <f t="shared" ca="1" si="142"/>
        <v>0</v>
      </c>
      <c r="F3288" s="17">
        <f t="shared" ca="1" si="143"/>
        <v>0</v>
      </c>
      <c r="H3288" s="17">
        <v>3279</v>
      </c>
      <c r="I3288" s="45">
        <v>0.67080730190797255</v>
      </c>
      <c r="J3288" s="45">
        <v>1.8880800818825542E-2</v>
      </c>
      <c r="K3288" s="45">
        <v>0.24360000000000001</v>
      </c>
      <c r="N3288" s="54"/>
    </row>
    <row r="3289" spans="2:14" x14ac:dyDescent="0.2">
      <c r="B3289">
        <v>3280</v>
      </c>
      <c r="C3289" s="52">
        <f ca="1"/>
        <v>-1.8233022007041515</v>
      </c>
      <c r="D3289" s="52">
        <f ca="1">S0*EXP((μ-0.5*σ*σ)*T+σ*SQRT(T)*$C3289)</f>
        <v>0.38894002377099901</v>
      </c>
      <c r="E3289" s="52">
        <f t="shared" ca="1" si="142"/>
        <v>0.14545997622900098</v>
      </c>
      <c r="F3289" s="17">
        <f t="shared" ca="1" si="143"/>
        <v>1</v>
      </c>
      <c r="H3289" s="17">
        <v>3280</v>
      </c>
      <c r="I3289" s="45">
        <v>0.66953764154594075</v>
      </c>
      <c r="J3289" s="45">
        <v>1.7681341269479227E-2</v>
      </c>
      <c r="K3289" s="45">
        <v>0.2374</v>
      </c>
      <c r="N3289" s="54"/>
    </row>
    <row r="3290" spans="2:14" x14ac:dyDescent="0.2">
      <c r="B3290">
        <v>3281</v>
      </c>
      <c r="C3290" s="52">
        <f ca="1"/>
        <v>0.60670375817624089</v>
      </c>
      <c r="D3290" s="52">
        <f ca="1">S0*EXP((μ-0.5*σ*σ)*T+σ*SQRT(T)*$C3290)</f>
        <v>0.76139920895956881</v>
      </c>
      <c r="E3290" s="52">
        <f t="shared" ca="1" si="142"/>
        <v>0</v>
      </c>
      <c r="F3290" s="17">
        <f t="shared" ca="1" si="143"/>
        <v>0</v>
      </c>
      <c r="H3290" s="17">
        <v>3281</v>
      </c>
      <c r="I3290" s="45">
        <v>0.67051743329281832</v>
      </c>
      <c r="J3290" s="45">
        <v>1.8803313382848349E-2</v>
      </c>
      <c r="K3290" s="45">
        <v>0.24560000000000001</v>
      </c>
      <c r="N3290" s="54"/>
    </row>
    <row r="3291" spans="2:14" x14ac:dyDescent="0.2">
      <c r="B3291">
        <v>3282</v>
      </c>
      <c r="C3291" s="52">
        <f ca="1"/>
        <v>-1.9830371613083638E-3</v>
      </c>
      <c r="D3291" s="52">
        <f ca="1">S0*EXP((μ-0.5*σ*σ)*T+σ*SQRT(T)*$C3291)</f>
        <v>0.64348388536338197</v>
      </c>
      <c r="E3291" s="52">
        <f t="shared" ca="1" si="142"/>
        <v>0</v>
      </c>
      <c r="F3291" s="17">
        <f t="shared" ca="1" si="143"/>
        <v>0</v>
      </c>
      <c r="H3291" s="17">
        <v>3282</v>
      </c>
      <c r="I3291" s="45">
        <v>0.67120417634676655</v>
      </c>
      <c r="J3291" s="45">
        <v>1.9564874384349434E-2</v>
      </c>
      <c r="K3291" s="45">
        <v>0.251</v>
      </c>
      <c r="N3291" s="54"/>
    </row>
    <row r="3292" spans="2:14" x14ac:dyDescent="0.2">
      <c r="B3292">
        <v>3283</v>
      </c>
      <c r="C3292" s="52">
        <f ca="1"/>
        <v>-0.95925103197954986</v>
      </c>
      <c r="D3292" s="52">
        <f ca="1">S0*EXP((μ-0.5*σ*σ)*T+σ*SQRT(T)*$C3292)</f>
        <v>0.49387230265771281</v>
      </c>
      <c r="E3292" s="52">
        <f t="shared" ca="1" si="142"/>
        <v>4.0527697342287172E-2</v>
      </c>
      <c r="F3292" s="17">
        <f t="shared" ca="1" si="143"/>
        <v>1</v>
      </c>
      <c r="H3292" s="17">
        <v>3283</v>
      </c>
      <c r="I3292" s="45">
        <v>0.67016790972235518</v>
      </c>
      <c r="J3292" s="45">
        <v>1.8306723591810091E-2</v>
      </c>
      <c r="K3292" s="45">
        <v>0.24440000000000001</v>
      </c>
      <c r="N3292" s="54"/>
    </row>
    <row r="3293" spans="2:14" x14ac:dyDescent="0.2">
      <c r="B3293">
        <v>3284</v>
      </c>
      <c r="C3293" s="52">
        <f ca="1"/>
        <v>0.53965835524163397</v>
      </c>
      <c r="D3293" s="52">
        <f ca="1">S0*EXP((μ-0.5*σ*σ)*T+σ*SQRT(T)*$C3293)</f>
        <v>0.74741775750004291</v>
      </c>
      <c r="E3293" s="52">
        <f t="shared" ca="1" si="142"/>
        <v>0</v>
      </c>
      <c r="F3293" s="17">
        <f t="shared" ca="1" si="143"/>
        <v>0</v>
      </c>
      <c r="H3293" s="17">
        <v>3284</v>
      </c>
      <c r="I3293" s="45">
        <v>0.67149981926091173</v>
      </c>
      <c r="J3293" s="45">
        <v>1.9550068296157325E-2</v>
      </c>
      <c r="K3293" s="45">
        <v>0.24959999999999999</v>
      </c>
      <c r="N3293" s="54"/>
    </row>
    <row r="3294" spans="2:14" x14ac:dyDescent="0.2">
      <c r="B3294">
        <v>3285</v>
      </c>
      <c r="C3294" s="52">
        <f ca="1"/>
        <v>1.1665087163915555</v>
      </c>
      <c r="D3294" s="52">
        <f ca="1">S0*EXP((μ-0.5*σ*σ)*T+σ*SQRT(T)*$C3294)</f>
        <v>0.88883009357488385</v>
      </c>
      <c r="E3294" s="52">
        <f t="shared" ca="1" si="142"/>
        <v>0</v>
      </c>
      <c r="F3294" s="17">
        <f t="shared" ca="1" si="143"/>
        <v>0</v>
      </c>
      <c r="H3294" s="17">
        <v>3285</v>
      </c>
      <c r="I3294" s="45">
        <v>0.67158716117716899</v>
      </c>
      <c r="J3294" s="45">
        <v>1.9552093431666553E-2</v>
      </c>
      <c r="K3294" s="45">
        <v>0.25159999999999999</v>
      </c>
      <c r="N3294" s="54"/>
    </row>
    <row r="3295" spans="2:14" x14ac:dyDescent="0.2">
      <c r="B3295">
        <v>3286</v>
      </c>
      <c r="C3295" s="52">
        <f ca="1"/>
        <v>-0.4322965163150968</v>
      </c>
      <c r="D3295" s="52">
        <f ca="1">S0*EXP((μ-0.5*σ*σ)*T+σ*SQRT(T)*$C3295)</f>
        <v>0.57131707207044469</v>
      </c>
      <c r="E3295" s="52">
        <f t="shared" ca="1" si="142"/>
        <v>0</v>
      </c>
      <c r="F3295" s="17">
        <f t="shared" ca="1" si="143"/>
        <v>0</v>
      </c>
      <c r="H3295" s="17">
        <v>3286</v>
      </c>
      <c r="I3295" s="45">
        <v>0.67019957897866567</v>
      </c>
      <c r="J3295" s="45">
        <v>1.8638321205284185E-2</v>
      </c>
      <c r="K3295" s="45">
        <v>0.2384</v>
      </c>
      <c r="N3295" s="54"/>
    </row>
    <row r="3296" spans="2:14" x14ac:dyDescent="0.2">
      <c r="B3296">
        <v>3287</v>
      </c>
      <c r="C3296" s="52">
        <f ca="1"/>
        <v>0.75888046706207057</v>
      </c>
      <c r="D3296" s="52">
        <f ca="1">S0*EXP((μ-0.5*σ*σ)*T+σ*SQRT(T)*$C3296)</f>
        <v>0.79411190934646902</v>
      </c>
      <c r="E3296" s="52">
        <f t="shared" ca="1" si="142"/>
        <v>0</v>
      </c>
      <c r="F3296" s="17">
        <f t="shared" ca="1" si="143"/>
        <v>0</v>
      </c>
      <c r="H3296" s="17">
        <v>3287</v>
      </c>
      <c r="I3296" s="45">
        <v>0.67135589423239861</v>
      </c>
      <c r="J3296" s="45">
        <v>1.9320144960994046E-2</v>
      </c>
      <c r="K3296" s="45">
        <v>0.2462</v>
      </c>
      <c r="N3296" s="54"/>
    </row>
    <row r="3297" spans="2:14" x14ac:dyDescent="0.2">
      <c r="B3297">
        <v>3288</v>
      </c>
      <c r="C3297" s="52">
        <f ca="1"/>
        <v>0.95023243603858276</v>
      </c>
      <c r="D3297" s="52">
        <f ca="1">S0*EXP((μ-0.5*σ*σ)*T+σ*SQRT(T)*$C3297)</f>
        <v>0.83724798143845869</v>
      </c>
      <c r="E3297" s="52">
        <f t="shared" ca="1" si="142"/>
        <v>0</v>
      </c>
      <c r="F3297" s="17">
        <f t="shared" ca="1" si="143"/>
        <v>0</v>
      </c>
      <c r="H3297" s="17">
        <v>3288</v>
      </c>
      <c r="I3297" s="45">
        <v>0.67074600293914333</v>
      </c>
      <c r="J3297" s="45">
        <v>1.87887455694037E-2</v>
      </c>
      <c r="K3297" s="45">
        <v>0.24640000000000001</v>
      </c>
      <c r="N3297" s="54"/>
    </row>
    <row r="3298" spans="2:14" x14ac:dyDescent="0.2">
      <c r="B3298">
        <v>3289</v>
      </c>
      <c r="C3298" s="52">
        <f ca="1"/>
        <v>-1.0637747780293123</v>
      </c>
      <c r="D3298" s="52">
        <f ca="1">S0*EXP((μ-0.5*σ*σ)*T+σ*SQRT(T)*$C3298)</f>
        <v>0.47980665723904381</v>
      </c>
      <c r="E3298" s="52">
        <f t="shared" ca="1" si="142"/>
        <v>5.4593342760956176E-2</v>
      </c>
      <c r="F3298" s="17">
        <f t="shared" ca="1" si="143"/>
        <v>1</v>
      </c>
      <c r="H3298" s="17">
        <v>3289</v>
      </c>
      <c r="I3298" s="45">
        <v>0.67071545572287528</v>
      </c>
      <c r="J3298" s="45">
        <v>1.8532247880665976E-2</v>
      </c>
      <c r="K3298" s="45">
        <v>0.24279999999999999</v>
      </c>
      <c r="N3298" s="54"/>
    </row>
    <row r="3299" spans="2:14" x14ac:dyDescent="0.2">
      <c r="B3299">
        <v>3290</v>
      </c>
      <c r="C3299" s="52">
        <f ca="1"/>
        <v>-3.6750122751535774E-2</v>
      </c>
      <c r="D3299" s="52">
        <f ca="1">S0*EXP((μ-0.5*σ*σ)*T+σ*SQRT(T)*$C3299)</f>
        <v>0.63732914400822882</v>
      </c>
      <c r="E3299" s="52">
        <f t="shared" ca="1" si="142"/>
        <v>0</v>
      </c>
      <c r="F3299" s="17">
        <f t="shared" ca="1" si="143"/>
        <v>0</v>
      </c>
      <c r="H3299" s="17">
        <v>3290</v>
      </c>
      <c r="I3299" s="45">
        <v>0.67142933023996865</v>
      </c>
      <c r="J3299" s="45">
        <v>1.9486547535514733E-2</v>
      </c>
      <c r="K3299" s="45">
        <v>0.249</v>
      </c>
      <c r="N3299" s="54"/>
    </row>
    <row r="3300" spans="2:14" x14ac:dyDescent="0.2">
      <c r="B3300">
        <v>3291</v>
      </c>
      <c r="C3300" s="52">
        <f ca="1"/>
        <v>-1.1078200525590045</v>
      </c>
      <c r="D3300" s="52">
        <f ca="1">S0*EXP((μ-0.5*σ*σ)*T+σ*SQRT(T)*$C3300)</f>
        <v>0.47400016955902269</v>
      </c>
      <c r="E3300" s="52">
        <f t="shared" ca="1" si="142"/>
        <v>6.0399830440977298E-2</v>
      </c>
      <c r="F3300" s="17">
        <f t="shared" ca="1" si="143"/>
        <v>1</v>
      </c>
      <c r="H3300" s="17">
        <v>3291</v>
      </c>
      <c r="I3300" s="45">
        <v>0.67209991796228385</v>
      </c>
      <c r="J3300" s="45">
        <v>1.9839858146444293E-2</v>
      </c>
      <c r="K3300" s="45">
        <v>0.24859999999999999</v>
      </c>
      <c r="N3300" s="54"/>
    </row>
    <row r="3301" spans="2:14" x14ac:dyDescent="0.2">
      <c r="B3301">
        <v>3292</v>
      </c>
      <c r="C3301" s="52">
        <f ca="1"/>
        <v>-1.0315335733739692</v>
      </c>
      <c r="D3301" s="52">
        <f ca="1">S0*EXP((μ-0.5*σ*σ)*T+σ*SQRT(T)*$C3301)</f>
        <v>0.48410205530807049</v>
      </c>
      <c r="E3301" s="52">
        <f t="shared" ca="1" si="142"/>
        <v>5.0297944691929497E-2</v>
      </c>
      <c r="F3301" s="17">
        <f t="shared" ca="1" si="143"/>
        <v>1</v>
      </c>
      <c r="H3301" s="17">
        <v>3292</v>
      </c>
      <c r="I3301" s="45">
        <v>0.67141392184245863</v>
      </c>
      <c r="J3301" s="45">
        <v>1.908500204808488E-2</v>
      </c>
      <c r="K3301" s="45">
        <v>0.24779999999999999</v>
      </c>
      <c r="N3301" s="54"/>
    </row>
    <row r="3302" spans="2:14" x14ac:dyDescent="0.2">
      <c r="B3302">
        <v>3293</v>
      </c>
      <c r="C3302" s="52">
        <f ca="1"/>
        <v>-0.85717709926939045</v>
      </c>
      <c r="D3302" s="52">
        <f ca="1">S0*EXP((μ-0.5*σ*σ)*T+σ*SQRT(T)*$C3302)</f>
        <v>0.5080061434235178</v>
      </c>
      <c r="E3302" s="52">
        <f t="shared" ca="1" si="142"/>
        <v>2.6393856576482189E-2</v>
      </c>
      <c r="F3302" s="17">
        <f t="shared" ca="1" si="143"/>
        <v>1</v>
      </c>
      <c r="H3302" s="17">
        <v>3293</v>
      </c>
      <c r="I3302" s="45">
        <v>0.6713436109656914</v>
      </c>
      <c r="J3302" s="45">
        <v>1.9274262748125218E-2</v>
      </c>
      <c r="K3302" s="45">
        <v>0.247</v>
      </c>
      <c r="N3302" s="54"/>
    </row>
    <row r="3303" spans="2:14" x14ac:dyDescent="0.2">
      <c r="B3303">
        <v>3294</v>
      </c>
      <c r="C3303" s="52">
        <f ca="1"/>
        <v>5.8794727397444749E-2</v>
      </c>
      <c r="D3303" s="52">
        <f ca="1">S0*EXP((μ-0.5*σ*σ)*T+σ*SQRT(T)*$C3303)</f>
        <v>0.65438635554586166</v>
      </c>
      <c r="E3303" s="52">
        <f t="shared" ca="1" si="142"/>
        <v>0</v>
      </c>
      <c r="F3303" s="17">
        <f t="shared" ca="1" si="143"/>
        <v>0</v>
      </c>
      <c r="H3303" s="17">
        <v>3294</v>
      </c>
      <c r="I3303" s="45">
        <v>0.67178145370043219</v>
      </c>
      <c r="J3303" s="45">
        <v>1.9677022876095927E-2</v>
      </c>
      <c r="K3303" s="45">
        <v>0.252</v>
      </c>
      <c r="N3303" s="54"/>
    </row>
    <row r="3304" spans="2:14" x14ac:dyDescent="0.2">
      <c r="B3304">
        <v>3295</v>
      </c>
      <c r="C3304" s="52">
        <f ca="1"/>
        <v>6.1739034562775824E-2</v>
      </c>
      <c r="D3304" s="52">
        <f ca="1">S0*EXP((μ-0.5*σ*σ)*T+σ*SQRT(T)*$C3304)</f>
        <v>0.65491917886274253</v>
      </c>
      <c r="E3304" s="52">
        <f t="shared" ca="1" si="142"/>
        <v>0</v>
      </c>
      <c r="F3304" s="17">
        <f t="shared" ca="1" si="143"/>
        <v>0</v>
      </c>
      <c r="H3304" s="17">
        <v>3295</v>
      </c>
      <c r="I3304" s="45">
        <v>0.6715418703366276</v>
      </c>
      <c r="J3304" s="45">
        <v>1.9632743142212354E-2</v>
      </c>
      <c r="K3304" s="45">
        <v>0.247</v>
      </c>
      <c r="N3304" s="54"/>
    </row>
    <row r="3305" spans="2:14" x14ac:dyDescent="0.2">
      <c r="B3305">
        <v>3296</v>
      </c>
      <c r="C3305" s="52">
        <f ca="1"/>
        <v>-0.77626580220394337</v>
      </c>
      <c r="D3305" s="52">
        <f ca="1">S0*EXP((μ-0.5*σ*σ)*T+σ*SQRT(T)*$C3305)</f>
        <v>0.51949649000884413</v>
      </c>
      <c r="E3305" s="52">
        <f t="shared" ca="1" si="142"/>
        <v>1.4903509991155861E-2</v>
      </c>
      <c r="F3305" s="17">
        <f t="shared" ca="1" si="143"/>
        <v>1</v>
      </c>
      <c r="H3305" s="17">
        <v>3296</v>
      </c>
      <c r="I3305" s="45">
        <v>0.67083095948944782</v>
      </c>
      <c r="J3305" s="45">
        <v>1.8757604572685677E-2</v>
      </c>
      <c r="K3305" s="45">
        <v>0.24160000000000001</v>
      </c>
      <c r="N3305" s="54"/>
    </row>
    <row r="3306" spans="2:14" x14ac:dyDescent="0.2">
      <c r="B3306">
        <v>3297</v>
      </c>
      <c r="C3306" s="52">
        <f ca="1"/>
        <v>-1.8421046425017555</v>
      </c>
      <c r="D3306" s="52">
        <f ca="1">S0*EXP((μ-0.5*σ*σ)*T+σ*SQRT(T)*$C3306)</f>
        <v>0.38692371121633978</v>
      </c>
      <c r="E3306" s="52">
        <f t="shared" ca="1" si="142"/>
        <v>0.1474762887836602</v>
      </c>
      <c r="F3306" s="17">
        <f t="shared" ca="1" si="143"/>
        <v>1</v>
      </c>
      <c r="H3306" s="17">
        <v>3297</v>
      </c>
      <c r="I3306" s="45">
        <v>0.67017441814500023</v>
      </c>
      <c r="J3306" s="45">
        <v>1.8339048956355533E-2</v>
      </c>
      <c r="K3306" s="45">
        <v>0.24540000000000001</v>
      </c>
      <c r="N3306" s="54"/>
    </row>
    <row r="3307" spans="2:14" x14ac:dyDescent="0.2">
      <c r="B3307">
        <v>3298</v>
      </c>
      <c r="C3307" s="52">
        <f ca="1"/>
        <v>-1.0470947761419274</v>
      </c>
      <c r="D3307" s="52">
        <f ca="1">S0*EXP((μ-0.5*σ*σ)*T+σ*SQRT(T)*$C3307)</f>
        <v>0.48202410355569164</v>
      </c>
      <c r="E3307" s="52">
        <f t="shared" ca="1" si="142"/>
        <v>5.2375896444308345E-2</v>
      </c>
      <c r="F3307" s="17">
        <f t="shared" ca="1" si="143"/>
        <v>1</v>
      </c>
      <c r="H3307" s="17">
        <v>3298</v>
      </c>
      <c r="I3307" s="45">
        <v>0.67292267418860863</v>
      </c>
      <c r="J3307" s="45">
        <v>2.0578187449685103E-2</v>
      </c>
      <c r="K3307" s="45">
        <v>0.25340000000000001</v>
      </c>
      <c r="N3307" s="54"/>
    </row>
    <row r="3308" spans="2:14" x14ac:dyDescent="0.2">
      <c r="B3308">
        <v>3299</v>
      </c>
      <c r="C3308" s="52">
        <f ca="1"/>
        <v>0.46448971726073762</v>
      </c>
      <c r="D3308" s="52">
        <f ca="1">S0*EXP((μ-0.5*σ*σ)*T+σ*SQRT(T)*$C3308)</f>
        <v>0.73204736657562552</v>
      </c>
      <c r="E3308" s="52">
        <f t="shared" ca="1" si="142"/>
        <v>0</v>
      </c>
      <c r="F3308" s="17">
        <f t="shared" ca="1" si="143"/>
        <v>0</v>
      </c>
      <c r="H3308" s="17">
        <v>3299</v>
      </c>
      <c r="I3308" s="45">
        <v>0.67106112260951623</v>
      </c>
      <c r="J3308" s="45">
        <v>1.8974726767200085E-2</v>
      </c>
      <c r="K3308" s="45">
        <v>0.246</v>
      </c>
      <c r="N3308" s="54"/>
    </row>
    <row r="3309" spans="2:14" x14ac:dyDescent="0.2">
      <c r="B3309">
        <v>3300</v>
      </c>
      <c r="C3309" s="52">
        <f ca="1"/>
        <v>-1.0065887387125956</v>
      </c>
      <c r="D3309" s="52">
        <f ca="1">S0*EXP((μ-0.5*σ*σ)*T+σ*SQRT(T)*$C3309)</f>
        <v>0.48745174742379627</v>
      </c>
      <c r="E3309" s="52">
        <f t="shared" ca="1" si="142"/>
        <v>4.6948252576203719E-2</v>
      </c>
      <c r="F3309" s="17">
        <f t="shared" ca="1" si="143"/>
        <v>1</v>
      </c>
      <c r="H3309" s="17">
        <v>3300</v>
      </c>
      <c r="I3309" s="45">
        <v>0.6702239339356264</v>
      </c>
      <c r="J3309" s="45">
        <v>1.8369036584441729E-2</v>
      </c>
      <c r="K3309" s="45">
        <v>0.2422</v>
      </c>
      <c r="N3309" s="54"/>
    </row>
    <row r="3310" spans="2:14" x14ac:dyDescent="0.2">
      <c r="B3310">
        <v>3301</v>
      </c>
      <c r="C3310" s="52">
        <f ca="1"/>
        <v>1.2482894509314713</v>
      </c>
      <c r="D3310" s="52">
        <f ca="1">S0*EXP((μ-0.5*σ*σ)*T+σ*SQRT(T)*$C3310)</f>
        <v>0.9091525940891344</v>
      </c>
      <c r="E3310" s="52">
        <f t="shared" ca="1" si="142"/>
        <v>0</v>
      </c>
      <c r="F3310" s="17">
        <f t="shared" ca="1" si="143"/>
        <v>0</v>
      </c>
      <c r="H3310" s="17">
        <v>3301</v>
      </c>
      <c r="I3310" s="45">
        <v>0.67140926444147409</v>
      </c>
      <c r="J3310" s="45">
        <v>1.9489224339268595E-2</v>
      </c>
      <c r="K3310" s="45">
        <v>0.25019999999999998</v>
      </c>
      <c r="N3310" s="54"/>
    </row>
    <row r="3311" spans="2:14" x14ac:dyDescent="0.2">
      <c r="B3311">
        <v>3302</v>
      </c>
      <c r="C3311" s="52">
        <f ca="1"/>
        <v>-0.93619323840390156</v>
      </c>
      <c r="D3311" s="52">
        <f ca="1">S0*EXP((μ-0.5*σ*σ)*T+σ*SQRT(T)*$C3311)</f>
        <v>0.49703026069333228</v>
      </c>
      <c r="E3311" s="52">
        <f t="shared" ca="1" si="142"/>
        <v>3.7369739306667704E-2</v>
      </c>
      <c r="F3311" s="17">
        <f t="shared" ca="1" si="143"/>
        <v>1</v>
      </c>
      <c r="H3311" s="17">
        <v>3302</v>
      </c>
      <c r="I3311" s="45">
        <v>0.67019306262010736</v>
      </c>
      <c r="J3311" s="45">
        <v>1.8435451745672848E-2</v>
      </c>
      <c r="K3311" s="45">
        <v>0.23899999999999999</v>
      </c>
      <c r="N3311" s="54"/>
    </row>
    <row r="3312" spans="2:14" x14ac:dyDescent="0.2">
      <c r="B3312">
        <v>3303</v>
      </c>
      <c r="C3312" s="52">
        <f ca="1"/>
        <v>-1.9924863986682797</v>
      </c>
      <c r="D3312" s="52">
        <f ca="1">S0*EXP((μ-0.5*σ*σ)*T+σ*SQRT(T)*$C3312)</f>
        <v>0.37116887146306293</v>
      </c>
      <c r="E3312" s="52">
        <f t="shared" ca="1" si="142"/>
        <v>0.16323112853693705</v>
      </c>
      <c r="F3312" s="17">
        <f t="shared" ca="1" si="143"/>
        <v>1</v>
      </c>
      <c r="H3312" s="17">
        <v>3303</v>
      </c>
      <c r="I3312" s="45">
        <v>0.67013259270853243</v>
      </c>
      <c r="J3312" s="45">
        <v>1.8642524547703203E-2</v>
      </c>
      <c r="K3312" s="45">
        <v>0.24959999999999999</v>
      </c>
      <c r="N3312" s="54"/>
    </row>
    <row r="3313" spans="2:14" x14ac:dyDescent="0.2">
      <c r="B3313">
        <v>3304</v>
      </c>
      <c r="C3313" s="52">
        <f ca="1"/>
        <v>-0.9239447216283474</v>
      </c>
      <c r="D3313" s="52">
        <f ca="1">S0*EXP((μ-0.5*σ*σ)*T+σ*SQRT(T)*$C3313)</f>
        <v>0.49871600187943005</v>
      </c>
      <c r="E3313" s="52">
        <f t="shared" ca="1" si="142"/>
        <v>3.5683998120569937E-2</v>
      </c>
      <c r="F3313" s="17">
        <f t="shared" ca="1" si="143"/>
        <v>1</v>
      </c>
      <c r="H3313" s="17">
        <v>3304</v>
      </c>
      <c r="I3313" s="45">
        <v>0.67061475766836942</v>
      </c>
      <c r="J3313" s="45">
        <v>1.8695247094703764E-2</v>
      </c>
      <c r="K3313" s="45">
        <v>0.24460000000000001</v>
      </c>
      <c r="N3313" s="54"/>
    </row>
    <row r="3314" spans="2:14" x14ac:dyDescent="0.2">
      <c r="B3314">
        <v>3305</v>
      </c>
      <c r="C3314" s="52">
        <f ca="1"/>
        <v>0.66995468577528272</v>
      </c>
      <c r="D3314" s="52">
        <f ca="1">S0*EXP((μ-0.5*σ*σ)*T+σ*SQRT(T)*$C3314)</f>
        <v>0.77482904497001104</v>
      </c>
      <c r="E3314" s="52">
        <f t="shared" ca="1" si="142"/>
        <v>0</v>
      </c>
      <c r="F3314" s="17">
        <f t="shared" ca="1" si="143"/>
        <v>0</v>
      </c>
      <c r="H3314" s="17">
        <v>3305</v>
      </c>
      <c r="I3314" s="45">
        <v>0.67168941532259774</v>
      </c>
      <c r="J3314" s="45">
        <v>1.9490916017125194E-2</v>
      </c>
      <c r="K3314" s="45">
        <v>0.24379999999999999</v>
      </c>
      <c r="N3314" s="54"/>
    </row>
    <row r="3315" spans="2:14" x14ac:dyDescent="0.2">
      <c r="B3315">
        <v>3306</v>
      </c>
      <c r="C3315" s="52">
        <f ca="1"/>
        <v>-0.59151308838742855</v>
      </c>
      <c r="D3315" s="52">
        <f ca="1">S0*EXP((μ-0.5*σ*σ)*T+σ*SQRT(T)*$C3315)</f>
        <v>0.54671722410963786</v>
      </c>
      <c r="E3315" s="52">
        <f t="shared" ca="1" si="142"/>
        <v>0</v>
      </c>
      <c r="F3315" s="17">
        <f t="shared" ca="1" si="143"/>
        <v>0</v>
      </c>
      <c r="H3315" s="17">
        <v>3306</v>
      </c>
      <c r="I3315" s="45">
        <v>0.67104083723794761</v>
      </c>
      <c r="J3315" s="45">
        <v>1.8945058008148684E-2</v>
      </c>
      <c r="K3315" s="45">
        <v>0.24560000000000001</v>
      </c>
      <c r="N3315" s="54"/>
    </row>
    <row r="3316" spans="2:14" x14ac:dyDescent="0.2">
      <c r="B3316">
        <v>3307</v>
      </c>
      <c r="C3316" s="52">
        <f ca="1"/>
        <v>-0.29465481448010927</v>
      </c>
      <c r="D3316" s="52">
        <f ca="1">S0*EXP((μ-0.5*σ*σ)*T+σ*SQRT(T)*$C3316)</f>
        <v>0.59347375340689434</v>
      </c>
      <c r="E3316" s="52">
        <f t="shared" ca="1" si="142"/>
        <v>0</v>
      </c>
      <c r="F3316" s="17">
        <f t="shared" ca="1" si="143"/>
        <v>0</v>
      </c>
      <c r="H3316" s="17">
        <v>3307</v>
      </c>
      <c r="I3316" s="45">
        <v>0.66992616424657692</v>
      </c>
      <c r="J3316" s="45">
        <v>1.8126306972636806E-2</v>
      </c>
      <c r="K3316" s="45">
        <v>0.24660000000000001</v>
      </c>
      <c r="N3316" s="54"/>
    </row>
    <row r="3317" spans="2:14" x14ac:dyDescent="0.2">
      <c r="B3317">
        <v>3308</v>
      </c>
      <c r="C3317" s="52">
        <f ca="1"/>
        <v>-0.81180459468552035</v>
      </c>
      <c r="D3317" s="52">
        <f ca="1">S0*EXP((μ-0.5*σ*σ)*T+σ*SQRT(T)*$C3317)</f>
        <v>0.51441790317982283</v>
      </c>
      <c r="E3317" s="52">
        <f t="shared" ca="1" si="142"/>
        <v>1.9982096820177153E-2</v>
      </c>
      <c r="F3317" s="17">
        <f t="shared" ca="1" si="143"/>
        <v>1</v>
      </c>
      <c r="H3317" s="17">
        <v>3308</v>
      </c>
      <c r="I3317" s="45">
        <v>0.67235758898002507</v>
      </c>
      <c r="J3317" s="45">
        <v>2.023448827245548E-2</v>
      </c>
      <c r="K3317" s="45">
        <v>0.26019999999999999</v>
      </c>
      <c r="N3317" s="54"/>
    </row>
    <row r="3318" spans="2:14" x14ac:dyDescent="0.2">
      <c r="B3318">
        <v>3309</v>
      </c>
      <c r="C3318" s="52">
        <f ca="1"/>
        <v>0.12027268298999007</v>
      </c>
      <c r="D3318" s="52">
        <f ca="1">S0*EXP((μ-0.5*σ*σ)*T+σ*SQRT(T)*$C3318)</f>
        <v>0.66560236354690472</v>
      </c>
      <c r="E3318" s="52">
        <f t="shared" ca="1" si="142"/>
        <v>0</v>
      </c>
      <c r="F3318" s="17">
        <f t="shared" ca="1" si="143"/>
        <v>0</v>
      </c>
      <c r="H3318" s="17">
        <v>3309</v>
      </c>
      <c r="I3318" s="45">
        <v>0.67069789175679428</v>
      </c>
      <c r="J3318" s="45">
        <v>1.8847261226764223E-2</v>
      </c>
      <c r="K3318" s="45">
        <v>0.24479999999999999</v>
      </c>
      <c r="N3318" s="54"/>
    </row>
    <row r="3319" spans="2:14" x14ac:dyDescent="0.2">
      <c r="B3319">
        <v>3310</v>
      </c>
      <c r="C3319" s="52">
        <f ca="1"/>
        <v>-0.65064652318734961</v>
      </c>
      <c r="D3319" s="52">
        <f ca="1">S0*EXP((μ-0.5*σ*σ)*T+σ*SQRT(T)*$C3319)</f>
        <v>0.53785300989177309</v>
      </c>
      <c r="E3319" s="52">
        <f t="shared" ca="1" si="142"/>
        <v>0</v>
      </c>
      <c r="F3319" s="17">
        <f t="shared" ca="1" si="143"/>
        <v>0</v>
      </c>
      <c r="H3319" s="17">
        <v>3310</v>
      </c>
      <c r="I3319" s="45">
        <v>0.67017552591787144</v>
      </c>
      <c r="J3319" s="45">
        <v>1.815561215706072E-2</v>
      </c>
      <c r="K3319" s="45">
        <v>0.2382</v>
      </c>
      <c r="N3319" s="54"/>
    </row>
    <row r="3320" spans="2:14" x14ac:dyDescent="0.2">
      <c r="B3320">
        <v>3311</v>
      </c>
      <c r="C3320" s="52">
        <f ca="1"/>
        <v>2.1799620201434657</v>
      </c>
      <c r="D3320" s="52">
        <f ca="1">S0*EXP((μ-0.5*σ*σ)*T+σ*SQRT(T)*$C3320)</f>
        <v>1.1762157117269341</v>
      </c>
      <c r="E3320" s="52">
        <f t="shared" ca="1" si="142"/>
        <v>0</v>
      </c>
      <c r="F3320" s="17">
        <f t="shared" ca="1" si="143"/>
        <v>0</v>
      </c>
      <c r="H3320" s="17">
        <v>3311</v>
      </c>
      <c r="I3320" s="45">
        <v>0.67072547324937204</v>
      </c>
      <c r="J3320" s="45">
        <v>1.8842687356271735E-2</v>
      </c>
      <c r="K3320" s="45">
        <v>0.24299999999999999</v>
      </c>
      <c r="N3320" s="54"/>
    </row>
    <row r="3321" spans="2:14" x14ac:dyDescent="0.2">
      <c r="B3321">
        <v>3312</v>
      </c>
      <c r="C3321" s="52">
        <f ca="1"/>
        <v>-1.4023767347685054</v>
      </c>
      <c r="D3321" s="52">
        <f ca="1">S0*EXP((μ-0.5*σ*σ)*T+σ*SQRT(T)*$C3321)</f>
        <v>0.4369342104223925</v>
      </c>
      <c r="E3321" s="52">
        <f t="shared" ca="1" si="142"/>
        <v>9.7465789577607487E-2</v>
      </c>
      <c r="F3321" s="17">
        <f t="shared" ca="1" si="143"/>
        <v>1</v>
      </c>
      <c r="H3321" s="17">
        <v>3312</v>
      </c>
      <c r="I3321" s="45">
        <v>0.67117973610595849</v>
      </c>
      <c r="J3321" s="45">
        <v>1.9337141238535891E-2</v>
      </c>
      <c r="K3321" s="45">
        <v>0.24759999999999999</v>
      </c>
      <c r="N3321" s="54"/>
    </row>
    <row r="3322" spans="2:14" x14ac:dyDescent="0.2">
      <c r="B3322">
        <v>3313</v>
      </c>
      <c r="C3322" s="52">
        <f ca="1"/>
        <v>-0.90402417105960375</v>
      </c>
      <c r="D3322" s="52">
        <f ca="1">S0*EXP((μ-0.5*σ*σ)*T+σ*SQRT(T)*$C3322)</f>
        <v>0.50146985056329951</v>
      </c>
      <c r="E3322" s="52">
        <f t="shared" ca="1" si="142"/>
        <v>3.2930149436700473E-2</v>
      </c>
      <c r="F3322" s="17">
        <f t="shared" ca="1" si="143"/>
        <v>1</v>
      </c>
      <c r="H3322" s="17">
        <v>3313</v>
      </c>
      <c r="I3322" s="45">
        <v>0.67086039652353802</v>
      </c>
      <c r="J3322" s="45">
        <v>1.8849773819457617E-2</v>
      </c>
      <c r="K3322" s="45">
        <v>0.24859999999999999</v>
      </c>
      <c r="N3322" s="54"/>
    </row>
    <row r="3323" spans="2:14" x14ac:dyDescent="0.2">
      <c r="B3323">
        <v>3314</v>
      </c>
      <c r="C3323" s="52">
        <f ca="1"/>
        <v>-8.6701937803462706E-2</v>
      </c>
      <c r="D3323" s="52">
        <f ca="1">S0*EXP((μ-0.5*σ*σ)*T+σ*SQRT(T)*$C3323)</f>
        <v>0.62858918916959083</v>
      </c>
      <c r="E3323" s="52">
        <f t="shared" ca="1" si="142"/>
        <v>0</v>
      </c>
      <c r="F3323" s="17">
        <f t="shared" ca="1" si="143"/>
        <v>0</v>
      </c>
      <c r="H3323" s="17">
        <v>3314</v>
      </c>
      <c r="I3323" s="45">
        <v>0.66964565910865859</v>
      </c>
      <c r="J3323" s="45">
        <v>1.7897141753098436E-2</v>
      </c>
      <c r="K3323" s="45">
        <v>0.23880000000000001</v>
      </c>
      <c r="N3323" s="54"/>
    </row>
    <row r="3324" spans="2:14" x14ac:dyDescent="0.2">
      <c r="B3324">
        <v>3315</v>
      </c>
      <c r="C3324" s="52">
        <f ca="1"/>
        <v>-2.162113418886014</v>
      </c>
      <c r="D3324" s="52">
        <f ca="1">S0*EXP((μ-0.5*σ*σ)*T+σ*SQRT(T)*$C3324)</f>
        <v>0.35416634883344328</v>
      </c>
      <c r="E3324" s="52">
        <f t="shared" ca="1" si="142"/>
        <v>0.18023365116655671</v>
      </c>
      <c r="F3324" s="17">
        <f t="shared" ca="1" si="143"/>
        <v>1</v>
      </c>
      <c r="H3324" s="17">
        <v>3315</v>
      </c>
      <c r="I3324" s="45">
        <v>0.66983508685470272</v>
      </c>
      <c r="J3324" s="45">
        <v>1.8197072218033392E-2</v>
      </c>
      <c r="K3324" s="45">
        <v>0.24399999999999999</v>
      </c>
      <c r="N3324" s="54"/>
    </row>
    <row r="3325" spans="2:14" x14ac:dyDescent="0.2">
      <c r="B3325">
        <v>3316</v>
      </c>
      <c r="C3325" s="52">
        <f ca="1"/>
        <v>2.8878269323178385</v>
      </c>
      <c r="D3325" s="52">
        <f ca="1">S0*EXP((μ-0.5*σ*σ)*T+σ*SQRT(T)*$C3325)</f>
        <v>1.4304357777501806</v>
      </c>
      <c r="E3325" s="52">
        <f t="shared" ca="1" si="142"/>
        <v>0</v>
      </c>
      <c r="F3325" s="17">
        <f t="shared" ca="1" si="143"/>
        <v>0</v>
      </c>
      <c r="H3325" s="17">
        <v>3316</v>
      </c>
      <c r="I3325" s="45">
        <v>0.67099110512455795</v>
      </c>
      <c r="J3325" s="45">
        <v>1.9030611181479577E-2</v>
      </c>
      <c r="K3325" s="45">
        <v>0.25</v>
      </c>
      <c r="N3325" s="54"/>
    </row>
    <row r="3326" spans="2:14" x14ac:dyDescent="0.2">
      <c r="B3326">
        <v>3317</v>
      </c>
      <c r="C3326" s="52">
        <f ca="1"/>
        <v>0.12507084834161894</v>
      </c>
      <c r="D3326" s="52">
        <f ca="1">S0*EXP((μ-0.5*σ*σ)*T+σ*SQRT(T)*$C3326)</f>
        <v>0.66648578356655142</v>
      </c>
      <c r="E3326" s="52">
        <f t="shared" ca="1" si="142"/>
        <v>0</v>
      </c>
      <c r="F3326" s="17">
        <f t="shared" ca="1" si="143"/>
        <v>0</v>
      </c>
      <c r="H3326" s="17">
        <v>3317</v>
      </c>
      <c r="I3326" s="45">
        <v>0.67140302748036118</v>
      </c>
      <c r="J3326" s="45">
        <v>1.953165399817065E-2</v>
      </c>
      <c r="K3326" s="45">
        <v>0.25180000000000002</v>
      </c>
      <c r="N3326" s="54"/>
    </row>
    <row r="3327" spans="2:14" x14ac:dyDescent="0.2">
      <c r="B3327">
        <v>3318</v>
      </c>
      <c r="C3327" s="52">
        <f ca="1"/>
        <v>1.415279254810117</v>
      </c>
      <c r="D3327" s="52">
        <f ca="1">S0*EXP((μ-0.5*σ*σ)*T+σ*SQRT(T)*$C3327)</f>
        <v>0.95210408472177255</v>
      </c>
      <c r="E3327" s="52">
        <f t="shared" ca="1" si="142"/>
        <v>0</v>
      </c>
      <c r="F3327" s="17">
        <f t="shared" ca="1" si="143"/>
        <v>0</v>
      </c>
      <c r="H3327" s="17">
        <v>3318</v>
      </c>
      <c r="I3327" s="45">
        <v>0.67087772941854296</v>
      </c>
      <c r="J3327" s="45">
        <v>1.9015330282331201E-2</v>
      </c>
      <c r="K3327" s="45">
        <v>0.247</v>
      </c>
      <c r="N3327" s="54"/>
    </row>
    <row r="3328" spans="2:14" x14ac:dyDescent="0.2">
      <c r="B3328">
        <v>3319</v>
      </c>
      <c r="C3328" s="52">
        <f ca="1"/>
        <v>1.3448547459664344</v>
      </c>
      <c r="D3328" s="52">
        <f ca="1">S0*EXP((μ-0.5*σ*σ)*T+σ*SQRT(T)*$C3328)</f>
        <v>0.93374813353109298</v>
      </c>
      <c r="E3328" s="52">
        <f t="shared" ca="1" si="142"/>
        <v>0</v>
      </c>
      <c r="F3328" s="17">
        <f t="shared" ca="1" si="143"/>
        <v>0</v>
      </c>
      <c r="H3328" s="17">
        <v>3319</v>
      </c>
      <c r="I3328" s="45">
        <v>0.67114753044145281</v>
      </c>
      <c r="J3328" s="45">
        <v>1.9115369544083587E-2</v>
      </c>
      <c r="K3328" s="45">
        <v>0.24560000000000001</v>
      </c>
      <c r="N3328" s="54"/>
    </row>
    <row r="3329" spans="2:14" x14ac:dyDescent="0.2">
      <c r="B3329">
        <v>3320</v>
      </c>
      <c r="C3329" s="52">
        <f ca="1"/>
        <v>-0.49885927858282253</v>
      </c>
      <c r="D3329" s="52">
        <f ca="1">S0*EXP((μ-0.5*σ*σ)*T+σ*SQRT(T)*$C3329)</f>
        <v>0.5609008974241666</v>
      </c>
      <c r="E3329" s="52">
        <f t="shared" ca="1" si="142"/>
        <v>0</v>
      </c>
      <c r="F3329" s="17">
        <f t="shared" ca="1" si="143"/>
        <v>0</v>
      </c>
      <c r="H3329" s="17">
        <v>3320</v>
      </c>
      <c r="I3329" s="45">
        <v>0.6718515916281772</v>
      </c>
      <c r="J3329" s="45">
        <v>2.0075927904144895E-2</v>
      </c>
      <c r="K3329" s="45">
        <v>0.25640000000000002</v>
      </c>
      <c r="N3329" s="54"/>
    </row>
    <row r="3330" spans="2:14" x14ac:dyDescent="0.2">
      <c r="B3330">
        <v>3321</v>
      </c>
      <c r="C3330" s="52">
        <f ca="1"/>
        <v>-0.35754037407880906</v>
      </c>
      <c r="D3330" s="52">
        <f ca="1">S0*EXP((μ-0.5*σ*σ)*T+σ*SQRT(T)*$C3330)</f>
        <v>0.58324618875954037</v>
      </c>
      <c r="E3330" s="52">
        <f t="shared" ca="1" si="142"/>
        <v>0</v>
      </c>
      <c r="F3330" s="17">
        <f t="shared" ca="1" si="143"/>
        <v>0</v>
      </c>
      <c r="H3330" s="17">
        <v>3321</v>
      </c>
      <c r="I3330" s="45">
        <v>0.67169392026488761</v>
      </c>
      <c r="J3330" s="45">
        <v>1.980330329616457E-2</v>
      </c>
      <c r="K3330" s="45">
        <v>0.25119999999999998</v>
      </c>
      <c r="N3330" s="54"/>
    </row>
    <row r="3331" spans="2:14" x14ac:dyDescent="0.2">
      <c r="B3331">
        <v>3322</v>
      </c>
      <c r="C3331" s="52">
        <f ca="1"/>
        <v>-0.50238178518838783</v>
      </c>
      <c r="D3331" s="52">
        <f ca="1">S0*EXP((μ-0.5*σ*σ)*T+σ*SQRT(T)*$C3331)</f>
        <v>0.56035499421654988</v>
      </c>
      <c r="E3331" s="52">
        <f t="shared" ca="1" si="142"/>
        <v>0</v>
      </c>
      <c r="F3331" s="17">
        <f t="shared" ca="1" si="143"/>
        <v>0</v>
      </c>
      <c r="H3331" s="17">
        <v>3322</v>
      </c>
      <c r="I3331" s="45">
        <v>0.67129577743802227</v>
      </c>
      <c r="J3331" s="45">
        <v>1.9281366283493927E-2</v>
      </c>
      <c r="K3331" s="45">
        <v>0.24759999999999999</v>
      </c>
      <c r="N3331" s="54"/>
    </row>
    <row r="3332" spans="2:14" x14ac:dyDescent="0.2">
      <c r="B3332">
        <v>3323</v>
      </c>
      <c r="C3332" s="52">
        <f ca="1"/>
        <v>1.192064631123777</v>
      </c>
      <c r="D3332" s="52">
        <f ca="1">S0*EXP((μ-0.5*σ*σ)*T+σ*SQRT(T)*$C3332)</f>
        <v>0.89513145281311057</v>
      </c>
      <c r="E3332" s="52">
        <f t="shared" ca="1" si="142"/>
        <v>0</v>
      </c>
      <c r="F3332" s="17">
        <f t="shared" ca="1" si="143"/>
        <v>0</v>
      </c>
      <c r="H3332" s="17">
        <v>3323</v>
      </c>
      <c r="I3332" s="45">
        <v>0.67131489776064457</v>
      </c>
      <c r="J3332" s="45">
        <v>1.9376666145195325E-2</v>
      </c>
      <c r="K3332" s="45">
        <v>0.24840000000000001</v>
      </c>
      <c r="N3332" s="54"/>
    </row>
    <row r="3333" spans="2:14" x14ac:dyDescent="0.2">
      <c r="B3333">
        <v>3324</v>
      </c>
      <c r="C3333" s="52">
        <f ca="1"/>
        <v>-2.079726529476146</v>
      </c>
      <c r="D3333" s="52">
        <f ca="1">S0*EXP((μ-0.5*σ*σ)*T+σ*SQRT(T)*$C3333)</f>
        <v>0.36232482988413039</v>
      </c>
      <c r="E3333" s="52">
        <f t="shared" ca="1" si="142"/>
        <v>0.17207517011586959</v>
      </c>
      <c r="F3333" s="17">
        <f t="shared" ca="1" si="143"/>
        <v>1</v>
      </c>
      <c r="H3333" s="17">
        <v>3324</v>
      </c>
      <c r="I3333" s="45">
        <v>0.67143050850024588</v>
      </c>
      <c r="J3333" s="45">
        <v>1.9340330537144398E-2</v>
      </c>
      <c r="K3333" s="45">
        <v>0.24940000000000001</v>
      </c>
      <c r="N3333" s="54"/>
    </row>
    <row r="3334" spans="2:14" x14ac:dyDescent="0.2">
      <c r="B3334">
        <v>3325</v>
      </c>
      <c r="C3334" s="52">
        <f ca="1"/>
        <v>-0.67843834200918851</v>
      </c>
      <c r="D3334" s="52">
        <f ca="1">S0*EXP((μ-0.5*σ*σ)*T+σ*SQRT(T)*$C3334)</f>
        <v>0.53373675257283837</v>
      </c>
      <c r="E3334" s="52">
        <f t="shared" ca="1" si="142"/>
        <v>6.6324742716161733E-4</v>
      </c>
      <c r="F3334" s="17">
        <f t="shared" ca="1" si="143"/>
        <v>1</v>
      </c>
      <c r="H3334" s="17">
        <v>3325</v>
      </c>
      <c r="I3334" s="45">
        <v>0.67090966490586401</v>
      </c>
      <c r="J3334" s="45">
        <v>1.9072526762347313E-2</v>
      </c>
      <c r="K3334" s="45">
        <v>0.249</v>
      </c>
      <c r="N3334" s="54"/>
    </row>
    <row r="3335" spans="2:14" x14ac:dyDescent="0.2">
      <c r="B3335">
        <v>3326</v>
      </c>
      <c r="C3335" s="52">
        <f ca="1"/>
        <v>-1.2247430672787165</v>
      </c>
      <c r="D3335" s="52">
        <f ca="1">S0*EXP((μ-0.5*σ*σ)*T+σ*SQRT(T)*$C3335)</f>
        <v>0.45892479743556697</v>
      </c>
      <c r="E3335" s="52">
        <f t="shared" ca="1" si="142"/>
        <v>7.5475202564433019E-2</v>
      </c>
      <c r="F3335" s="17">
        <f t="shared" ca="1" si="143"/>
        <v>1</v>
      </c>
      <c r="H3335" s="17">
        <v>3326</v>
      </c>
      <c r="I3335" s="45">
        <v>0.67061522204778579</v>
      </c>
      <c r="J3335" s="45">
        <v>1.9050929370754751E-2</v>
      </c>
      <c r="K3335" s="45">
        <v>0.25080000000000002</v>
      </c>
      <c r="N3335" s="54"/>
    </row>
    <row r="3336" spans="2:14" x14ac:dyDescent="0.2">
      <c r="B3336">
        <v>3327</v>
      </c>
      <c r="C3336" s="52">
        <f ca="1"/>
        <v>0.9087679390911465</v>
      </c>
      <c r="D3336" s="52">
        <f ca="1">S0*EXP((μ-0.5*σ*σ)*T+σ*SQRT(T)*$C3336)</f>
        <v>0.8277061214816539</v>
      </c>
      <c r="E3336" s="52">
        <f t="shared" ca="1" si="142"/>
        <v>0</v>
      </c>
      <c r="F3336" s="17">
        <f t="shared" ca="1" si="143"/>
        <v>0</v>
      </c>
      <c r="H3336" s="17">
        <v>3327</v>
      </c>
      <c r="I3336" s="45">
        <v>0.67127530264963009</v>
      </c>
      <c r="J3336" s="45">
        <v>1.9525303942159105E-2</v>
      </c>
      <c r="K3336" s="45">
        <v>0.24959999999999999</v>
      </c>
      <c r="N3336" s="54"/>
    </row>
    <row r="3337" spans="2:14" x14ac:dyDescent="0.2">
      <c r="B3337">
        <v>3328</v>
      </c>
      <c r="C3337" s="52">
        <f ca="1"/>
        <v>-0.12827929544321176</v>
      </c>
      <c r="D3337" s="52">
        <f ca="1">S0*EXP((μ-0.5*σ*σ)*T+σ*SQRT(T)*$C3337)</f>
        <v>0.6214059626931997</v>
      </c>
      <c r="E3337" s="52">
        <f t="shared" ca="1" si="142"/>
        <v>0</v>
      </c>
      <c r="F3337" s="17">
        <f t="shared" ca="1" si="143"/>
        <v>0</v>
      </c>
      <c r="H3337" s="17">
        <v>3328</v>
      </c>
      <c r="I3337" s="45">
        <v>0.67129069348298231</v>
      </c>
      <c r="J3337" s="45">
        <v>1.9437615457521432E-2</v>
      </c>
      <c r="K3337" s="45">
        <v>0.24840000000000001</v>
      </c>
      <c r="N3337" s="54"/>
    </row>
    <row r="3338" spans="2:14" x14ac:dyDescent="0.2">
      <c r="B3338">
        <v>3329</v>
      </c>
      <c r="C3338" s="52">
        <f ca="1"/>
        <v>0.4226812254960513</v>
      </c>
      <c r="D3338" s="52">
        <f ca="1">S0*EXP((μ-0.5*σ*σ)*T+σ*SQRT(T)*$C3338)</f>
        <v>0.72363563118722807</v>
      </c>
      <c r="E3338" s="52">
        <f t="shared" ref="E3338:E3401" ca="1" si="144">MAX(0,CP*(D3338-K))</f>
        <v>0</v>
      </c>
      <c r="F3338" s="17">
        <f t="shared" ref="F3338:F3401" ca="1" si="145">(CP*(D3338-K)&gt;0)*1</f>
        <v>0</v>
      </c>
      <c r="H3338" s="17">
        <v>3329</v>
      </c>
      <c r="I3338" s="45">
        <v>0.67147166667366931</v>
      </c>
      <c r="J3338" s="45">
        <v>1.9443575229605898E-2</v>
      </c>
      <c r="K3338" s="45">
        <v>0.254</v>
      </c>
      <c r="N3338" s="54"/>
    </row>
    <row r="3339" spans="2:14" x14ac:dyDescent="0.2">
      <c r="B3339">
        <v>3330</v>
      </c>
      <c r="C3339" s="52">
        <f ca="1"/>
        <v>0.25733912668469588</v>
      </c>
      <c r="D3339" s="52">
        <f ca="1">S0*EXP((μ-0.5*σ*σ)*T+σ*SQRT(T)*$C3339)</f>
        <v>0.69130565418677425</v>
      </c>
      <c r="E3339" s="52">
        <f t="shared" ca="1" si="144"/>
        <v>0</v>
      </c>
      <c r="F3339" s="17">
        <f t="shared" ca="1" si="145"/>
        <v>0</v>
      </c>
      <c r="H3339" s="17">
        <v>3330</v>
      </c>
      <c r="I3339" s="45">
        <v>0.67159241529421143</v>
      </c>
      <c r="J3339" s="45">
        <v>1.9547277401486492E-2</v>
      </c>
      <c r="K3339" s="45">
        <v>0.25019999999999998</v>
      </c>
      <c r="N3339" s="54"/>
    </row>
    <row r="3340" spans="2:14" x14ac:dyDescent="0.2">
      <c r="B3340">
        <v>3331</v>
      </c>
      <c r="C3340" s="52">
        <f ca="1"/>
        <v>-1.0707207928568621</v>
      </c>
      <c r="D3340" s="52">
        <f ca="1">S0*EXP((μ-0.5*σ*σ)*T+σ*SQRT(T)*$C3340)</f>
        <v>0.47888626230685816</v>
      </c>
      <c r="E3340" s="52">
        <f t="shared" ca="1" si="144"/>
        <v>5.5513737693141829E-2</v>
      </c>
      <c r="F3340" s="17">
        <f t="shared" ca="1" si="145"/>
        <v>1</v>
      </c>
      <c r="H3340" s="17">
        <v>3331</v>
      </c>
      <c r="I3340" s="45">
        <v>0.67133575764540199</v>
      </c>
      <c r="J3340" s="45">
        <v>1.9449106693415413E-2</v>
      </c>
      <c r="K3340" s="45">
        <v>0.25019999999999998</v>
      </c>
      <c r="N3340" s="54"/>
    </row>
    <row r="3341" spans="2:14" x14ac:dyDescent="0.2">
      <c r="B3341">
        <v>3332</v>
      </c>
      <c r="C3341" s="52">
        <f ca="1"/>
        <v>1.0802854447996195</v>
      </c>
      <c r="D3341" s="52">
        <f ca="1">S0*EXP((μ-0.5*σ*σ)*T+σ*SQRT(T)*$C3341)</f>
        <v>0.86789538288336554</v>
      </c>
      <c r="E3341" s="52">
        <f t="shared" ca="1" si="144"/>
        <v>0</v>
      </c>
      <c r="F3341" s="17">
        <f t="shared" ca="1" si="145"/>
        <v>0</v>
      </c>
      <c r="H3341" s="17">
        <v>3332</v>
      </c>
      <c r="I3341" s="45">
        <v>0.67118692346841002</v>
      </c>
      <c r="J3341" s="45">
        <v>1.9005284736780374E-2</v>
      </c>
      <c r="K3341" s="45">
        <v>0.24779999999999999</v>
      </c>
      <c r="N3341" s="54"/>
    </row>
    <row r="3342" spans="2:14" x14ac:dyDescent="0.2">
      <c r="B3342">
        <v>3333</v>
      </c>
      <c r="C3342" s="52">
        <f ca="1"/>
        <v>0.18307995013000661</v>
      </c>
      <c r="D3342" s="52">
        <f ca="1">S0*EXP((μ-0.5*σ*σ)*T+σ*SQRT(T)*$C3342)</f>
        <v>0.67725943431248647</v>
      </c>
      <c r="E3342" s="52">
        <f t="shared" ca="1" si="144"/>
        <v>0</v>
      </c>
      <c r="F3342" s="17">
        <f t="shared" ca="1" si="145"/>
        <v>0</v>
      </c>
      <c r="H3342" s="17">
        <v>3333</v>
      </c>
      <c r="I3342" s="45">
        <v>0.67174106286989343</v>
      </c>
      <c r="J3342" s="45">
        <v>1.9626693426204794E-2</v>
      </c>
      <c r="K3342" s="45">
        <v>0.24679999999999999</v>
      </c>
      <c r="N3342" s="54"/>
    </row>
    <row r="3343" spans="2:14" x14ac:dyDescent="0.2">
      <c r="B3343">
        <v>3334</v>
      </c>
      <c r="C3343" s="52">
        <f ca="1"/>
        <v>-0.98209641966154648</v>
      </c>
      <c r="D3343" s="52">
        <f ca="1">S0*EXP((μ-0.5*σ*σ)*T+σ*SQRT(T)*$C3343)</f>
        <v>0.49076322394904981</v>
      </c>
      <c r="E3343" s="52">
        <f t="shared" ca="1" si="144"/>
        <v>4.3636776050950177E-2</v>
      </c>
      <c r="F3343" s="17">
        <f t="shared" ca="1" si="145"/>
        <v>1</v>
      </c>
      <c r="H3343" s="17">
        <v>3334</v>
      </c>
      <c r="I3343" s="45">
        <v>0.6703197206255822</v>
      </c>
      <c r="J3343" s="45">
        <v>1.8490812547007237E-2</v>
      </c>
      <c r="K3343" s="45">
        <v>0.23980000000000001</v>
      </c>
      <c r="N3343" s="54"/>
    </row>
    <row r="3344" spans="2:14" x14ac:dyDescent="0.2">
      <c r="B3344">
        <v>3335</v>
      </c>
      <c r="C3344" s="52">
        <f ca="1"/>
        <v>-1.4052088454914644</v>
      </c>
      <c r="D3344" s="52">
        <f ca="1">S0*EXP((μ-0.5*σ*σ)*T+σ*SQRT(T)*$C3344)</f>
        <v>0.43659227396396399</v>
      </c>
      <c r="E3344" s="52">
        <f t="shared" ca="1" si="144"/>
        <v>9.7807726036035991E-2</v>
      </c>
      <c r="F3344" s="17">
        <f t="shared" ca="1" si="145"/>
        <v>1</v>
      </c>
      <c r="H3344" s="17">
        <v>3335</v>
      </c>
      <c r="I3344" s="45">
        <v>0.6704200809963653</v>
      </c>
      <c r="J3344" s="45">
        <v>1.8834364309348442E-2</v>
      </c>
      <c r="K3344" s="45">
        <v>0.25059999999999999</v>
      </c>
      <c r="N3344" s="54"/>
    </row>
    <row r="3345" spans="2:14" x14ac:dyDescent="0.2">
      <c r="B3345">
        <v>3336</v>
      </c>
      <c r="C3345" s="52">
        <f ca="1"/>
        <v>0.10233662914243269</v>
      </c>
      <c r="D3345" s="52">
        <f ca="1">S0*EXP((μ-0.5*σ*σ)*T+σ*SQRT(T)*$C3345)</f>
        <v>0.6623104025451827</v>
      </c>
      <c r="E3345" s="52">
        <f t="shared" ca="1" si="144"/>
        <v>0</v>
      </c>
      <c r="F3345" s="17">
        <f t="shared" ca="1" si="145"/>
        <v>0</v>
      </c>
      <c r="H3345" s="17">
        <v>3336</v>
      </c>
      <c r="I3345" s="45">
        <v>0.67062526551793422</v>
      </c>
      <c r="J3345" s="45">
        <v>1.870819507363047E-2</v>
      </c>
      <c r="K3345" s="45">
        <v>0.2424</v>
      </c>
      <c r="N3345" s="54"/>
    </row>
    <row r="3346" spans="2:14" x14ac:dyDescent="0.2">
      <c r="B3346">
        <v>3337</v>
      </c>
      <c r="C3346" s="52">
        <f ca="1"/>
        <v>0.43479977816328408</v>
      </c>
      <c r="D3346" s="52">
        <f ca="1">S0*EXP((μ-0.5*σ*σ)*T+σ*SQRT(T)*$C3346)</f>
        <v>0.7260638479763305</v>
      </c>
      <c r="E3346" s="52">
        <f t="shared" ca="1" si="144"/>
        <v>0</v>
      </c>
      <c r="F3346" s="17">
        <f t="shared" ca="1" si="145"/>
        <v>0</v>
      </c>
      <c r="H3346" s="17">
        <v>3337</v>
      </c>
      <c r="I3346" s="45">
        <v>0.67238321320832484</v>
      </c>
      <c r="J3346" s="45">
        <v>2.0014656646880055E-2</v>
      </c>
      <c r="K3346" s="45">
        <v>0.25540000000000002</v>
      </c>
      <c r="N3346" s="54"/>
    </row>
    <row r="3347" spans="2:14" x14ac:dyDescent="0.2">
      <c r="B3347">
        <v>3338</v>
      </c>
      <c r="C3347" s="52">
        <f ca="1"/>
        <v>-0.44526030836559416</v>
      </c>
      <c r="D3347" s="52">
        <f ca="1">S0*EXP((μ-0.5*σ*σ)*T+σ*SQRT(T)*$C3347)</f>
        <v>0.56927335656326283</v>
      </c>
      <c r="E3347" s="52">
        <f t="shared" ca="1" si="144"/>
        <v>0</v>
      </c>
      <c r="F3347" s="17">
        <f t="shared" ca="1" si="145"/>
        <v>0</v>
      </c>
      <c r="H3347" s="17">
        <v>3338</v>
      </c>
      <c r="I3347" s="45">
        <v>0.67100655870984738</v>
      </c>
      <c r="J3347" s="45">
        <v>1.8965521170328507E-2</v>
      </c>
      <c r="K3347" s="45">
        <v>0.249</v>
      </c>
      <c r="N3347" s="54"/>
    </row>
    <row r="3348" spans="2:14" x14ac:dyDescent="0.2">
      <c r="B3348">
        <v>3339</v>
      </c>
      <c r="C3348" s="52">
        <f ca="1"/>
        <v>3.1018556291428603E-2</v>
      </c>
      <c r="D3348" s="52">
        <f ca="1">S0*EXP((μ-0.5*σ*σ)*T+σ*SQRT(T)*$C3348)</f>
        <v>0.64938106266474271</v>
      </c>
      <c r="E3348" s="52">
        <f t="shared" ca="1" si="144"/>
        <v>0</v>
      </c>
      <c r="F3348" s="17">
        <f t="shared" ca="1" si="145"/>
        <v>0</v>
      </c>
      <c r="H3348" s="17">
        <v>3339</v>
      </c>
      <c r="I3348" s="45">
        <v>0.67181332254348114</v>
      </c>
      <c r="J3348" s="45">
        <v>1.9315421355595018E-2</v>
      </c>
      <c r="K3348" s="45">
        <v>0.247</v>
      </c>
      <c r="N3348" s="54"/>
    </row>
    <row r="3349" spans="2:14" x14ac:dyDescent="0.2">
      <c r="B3349">
        <v>3340</v>
      </c>
      <c r="C3349" s="52">
        <f ca="1"/>
        <v>-2.4225854571346003E-2</v>
      </c>
      <c r="D3349" s="52">
        <f ca="1">S0*EXP((μ-0.5*σ*σ)*T+σ*SQRT(T)*$C3349)</f>
        <v>0.63953947475257333</v>
      </c>
      <c r="E3349" s="52">
        <f t="shared" ca="1" si="144"/>
        <v>0</v>
      </c>
      <c r="F3349" s="17">
        <f t="shared" ca="1" si="145"/>
        <v>0</v>
      </c>
      <c r="H3349" s="17">
        <v>3340</v>
      </c>
      <c r="I3349" s="45">
        <v>0.67040683654692046</v>
      </c>
      <c r="J3349" s="45">
        <v>1.8377339907646111E-2</v>
      </c>
      <c r="K3349" s="45">
        <v>0.23499999999999999</v>
      </c>
      <c r="N3349" s="54"/>
    </row>
    <row r="3350" spans="2:14" x14ac:dyDescent="0.2">
      <c r="B3350">
        <v>3341</v>
      </c>
      <c r="C3350" s="52">
        <f ca="1"/>
        <v>-0.21559715839583535</v>
      </c>
      <c r="D3350" s="52">
        <f ca="1">S0*EXP((μ-0.5*σ*σ)*T+σ*SQRT(T)*$C3350)</f>
        <v>0.6065863522310555</v>
      </c>
      <c r="E3350" s="52">
        <f t="shared" ca="1" si="144"/>
        <v>0</v>
      </c>
      <c r="F3350" s="17">
        <f t="shared" ca="1" si="145"/>
        <v>0</v>
      </c>
      <c r="H3350" s="17">
        <v>3341</v>
      </c>
      <c r="I3350" s="45">
        <v>0.67070690229264385</v>
      </c>
      <c r="J3350" s="45">
        <v>1.8690546295334908E-2</v>
      </c>
      <c r="K3350" s="45">
        <v>0.245</v>
      </c>
      <c r="N3350" s="54"/>
    </row>
    <row r="3351" spans="2:14" x14ac:dyDescent="0.2">
      <c r="B3351">
        <v>3342</v>
      </c>
      <c r="C3351" s="52">
        <f ca="1"/>
        <v>-2.0600703784004368</v>
      </c>
      <c r="D3351" s="52">
        <f ca="1">S0*EXP((μ-0.5*σ*σ)*T+σ*SQRT(T)*$C3351)</f>
        <v>0.36429891614352106</v>
      </c>
      <c r="E3351" s="52">
        <f t="shared" ca="1" si="144"/>
        <v>0.17010108385647893</v>
      </c>
      <c r="F3351" s="17">
        <f t="shared" ca="1" si="145"/>
        <v>1</v>
      </c>
      <c r="H3351" s="17">
        <v>3342</v>
      </c>
      <c r="I3351" s="45">
        <v>0.6712256309403718</v>
      </c>
      <c r="J3351" s="45">
        <v>1.9658385391960718E-2</v>
      </c>
      <c r="K3351" s="45">
        <v>0.25180000000000002</v>
      </c>
      <c r="N3351" s="54"/>
    </row>
    <row r="3352" spans="2:14" x14ac:dyDescent="0.2">
      <c r="B3352">
        <v>3343</v>
      </c>
      <c r="C3352" s="52">
        <f ca="1"/>
        <v>-0.14508292109162496</v>
      </c>
      <c r="D3352" s="52">
        <f ca="1">S0*EXP((μ-0.5*σ*σ)*T+σ*SQRT(T)*$C3352)</f>
        <v>0.61852618301647289</v>
      </c>
      <c r="E3352" s="52">
        <f t="shared" ca="1" si="144"/>
        <v>0</v>
      </c>
      <c r="F3352" s="17">
        <f t="shared" ca="1" si="145"/>
        <v>0</v>
      </c>
      <c r="H3352" s="17">
        <v>3343</v>
      </c>
      <c r="I3352" s="45">
        <v>0.67010315539103527</v>
      </c>
      <c r="J3352" s="45">
        <v>1.816836337752032E-2</v>
      </c>
      <c r="K3352" s="45">
        <v>0.24640000000000001</v>
      </c>
      <c r="N3352" s="54"/>
    </row>
    <row r="3353" spans="2:14" x14ac:dyDescent="0.2">
      <c r="B3353">
        <v>3344</v>
      </c>
      <c r="C3353" s="52">
        <f ca="1"/>
        <v>0.68054680254255751</v>
      </c>
      <c r="D3353" s="52">
        <f ca="1">S0*EXP((μ-0.5*σ*σ)*T+σ*SQRT(T)*$C3353)</f>
        <v>0.77710107327356626</v>
      </c>
      <c r="E3353" s="52">
        <f t="shared" ca="1" si="144"/>
        <v>0</v>
      </c>
      <c r="F3353" s="17">
        <f t="shared" ca="1" si="145"/>
        <v>0</v>
      </c>
      <c r="H3353" s="17">
        <v>3344</v>
      </c>
      <c r="I3353" s="45">
        <v>0.67128050575048026</v>
      </c>
      <c r="J3353" s="45">
        <v>1.8973023845153231E-2</v>
      </c>
      <c r="K3353" s="45">
        <v>0.24</v>
      </c>
      <c r="N3353" s="54"/>
    </row>
    <row r="3354" spans="2:14" x14ac:dyDescent="0.2">
      <c r="B3354">
        <v>3345</v>
      </c>
      <c r="C3354" s="52">
        <f ca="1"/>
        <v>-0.24230736111562415</v>
      </c>
      <c r="D3354" s="52">
        <f ca="1">S0*EXP((μ-0.5*σ*σ)*T+σ*SQRT(T)*$C3354)</f>
        <v>0.60212407441146387</v>
      </c>
      <c r="E3354" s="52">
        <f t="shared" ca="1" si="144"/>
        <v>0</v>
      </c>
      <c r="F3354" s="17">
        <f t="shared" ca="1" si="145"/>
        <v>0</v>
      </c>
      <c r="H3354" s="17">
        <v>3345</v>
      </c>
      <c r="I3354" s="45">
        <v>0.67003981272146518</v>
      </c>
      <c r="J3354" s="45">
        <v>1.822389806293092E-2</v>
      </c>
      <c r="K3354" s="45">
        <v>0.24199999999999999</v>
      </c>
      <c r="N3354" s="54"/>
    </row>
    <row r="3355" spans="2:14" x14ac:dyDescent="0.2">
      <c r="B3355">
        <v>3346</v>
      </c>
      <c r="C3355" s="52">
        <f ca="1"/>
        <v>-1.5682271188817027</v>
      </c>
      <c r="D3355" s="52">
        <f ca="1">S0*EXP((μ-0.5*σ*σ)*T+σ*SQRT(T)*$C3355)</f>
        <v>0.41735459036187611</v>
      </c>
      <c r="E3355" s="52">
        <f t="shared" ca="1" si="144"/>
        <v>0.11704540963812388</v>
      </c>
      <c r="F3355" s="17">
        <f t="shared" ca="1" si="145"/>
        <v>1</v>
      </c>
      <c r="H3355" s="17">
        <v>3346</v>
      </c>
      <c r="I3355" s="45">
        <v>0.67178567268123202</v>
      </c>
      <c r="J3355" s="45">
        <v>1.9518184772103077E-2</v>
      </c>
      <c r="K3355" s="45">
        <v>0.24879999999999999</v>
      </c>
      <c r="N3355" s="54"/>
    </row>
    <row r="3356" spans="2:14" x14ac:dyDescent="0.2">
      <c r="B3356">
        <v>3347</v>
      </c>
      <c r="C3356" s="52">
        <f ca="1"/>
        <v>-1.2810164711748668</v>
      </c>
      <c r="D3356" s="52">
        <f ca="1">S0*EXP((μ-0.5*σ*σ)*T+σ*SQRT(T)*$C3356)</f>
        <v>0.45184109494908203</v>
      </c>
      <c r="E3356" s="52">
        <f t="shared" ca="1" si="144"/>
        <v>8.2558905050917952E-2</v>
      </c>
      <c r="F3356" s="17">
        <f t="shared" ca="1" si="145"/>
        <v>1</v>
      </c>
      <c r="H3356" s="17">
        <v>3347</v>
      </c>
      <c r="I3356" s="45">
        <v>0.67027214823923342</v>
      </c>
      <c r="J3356" s="45">
        <v>1.865397247975617E-2</v>
      </c>
      <c r="K3356" s="45">
        <v>0.24560000000000001</v>
      </c>
      <c r="N3356" s="54"/>
    </row>
    <row r="3357" spans="2:14" x14ac:dyDescent="0.2">
      <c r="B3357">
        <v>3348</v>
      </c>
      <c r="C3357" s="52">
        <f ca="1"/>
        <v>0.46147597878066954</v>
      </c>
      <c r="D3357" s="52">
        <f ca="1">S0*EXP((μ-0.5*σ*σ)*T+σ*SQRT(T)*$C3357)</f>
        <v>0.73143775532139266</v>
      </c>
      <c r="E3357" s="52">
        <f t="shared" ca="1" si="144"/>
        <v>0</v>
      </c>
      <c r="F3357" s="17">
        <f t="shared" ca="1" si="145"/>
        <v>0</v>
      </c>
      <c r="H3357" s="17">
        <v>3348</v>
      </c>
      <c r="I3357" s="45">
        <v>0.67102418366537031</v>
      </c>
      <c r="J3357" s="45">
        <v>1.9051437629884056E-2</v>
      </c>
      <c r="K3357" s="45">
        <v>0.24540000000000001</v>
      </c>
      <c r="N3357" s="54"/>
    </row>
    <row r="3358" spans="2:14" x14ac:dyDescent="0.2">
      <c r="B3358">
        <v>3349</v>
      </c>
      <c r="C3358" s="52">
        <f ca="1"/>
        <v>-0.90026278713138719</v>
      </c>
      <c r="D3358" s="52">
        <f ca="1">S0*EXP((μ-0.5*σ*σ)*T+σ*SQRT(T)*$C3358)</f>
        <v>0.50199153444220868</v>
      </c>
      <c r="E3358" s="52">
        <f t="shared" ca="1" si="144"/>
        <v>3.2408465557791311E-2</v>
      </c>
      <c r="F3358" s="17">
        <f t="shared" ca="1" si="145"/>
        <v>1</v>
      </c>
      <c r="H3358" s="17">
        <v>3349</v>
      </c>
      <c r="I3358" s="45">
        <v>0.67253823101921939</v>
      </c>
      <c r="J3358" s="45">
        <v>2.0279261809831667E-2</v>
      </c>
      <c r="K3358" s="45">
        <v>0.24959999999999999</v>
      </c>
      <c r="N3358" s="54"/>
    </row>
    <row r="3359" spans="2:14" x14ac:dyDescent="0.2">
      <c r="B3359">
        <v>3350</v>
      </c>
      <c r="C3359" s="52">
        <f ca="1"/>
        <v>0.92820422314909712</v>
      </c>
      <c r="D3359" s="52">
        <f ca="1">S0*EXP((μ-0.5*σ*σ)*T+σ*SQRT(T)*$C3359)</f>
        <v>0.83216520639056402</v>
      </c>
      <c r="E3359" s="52">
        <f t="shared" ca="1" si="144"/>
        <v>0</v>
      </c>
      <c r="F3359" s="17">
        <f t="shared" ca="1" si="145"/>
        <v>0</v>
      </c>
      <c r="H3359" s="17">
        <v>3350</v>
      </c>
      <c r="I3359" s="45">
        <v>0.67034869946044084</v>
      </c>
      <c r="J3359" s="45">
        <v>1.8321188663340818E-2</v>
      </c>
      <c r="K3359" s="45">
        <v>0.23699999999999999</v>
      </c>
      <c r="N3359" s="54"/>
    </row>
    <row r="3360" spans="2:14" x14ac:dyDescent="0.2">
      <c r="B3360">
        <v>3351</v>
      </c>
      <c r="C3360" s="52">
        <f ca="1"/>
        <v>1.933436225729547</v>
      </c>
      <c r="D3360" s="52">
        <f ca="1">S0*EXP((μ-0.5*σ*σ)*T+σ*SQRT(T)*$C3360)</f>
        <v>1.09872950422696</v>
      </c>
      <c r="E3360" s="52">
        <f t="shared" ca="1" si="144"/>
        <v>0</v>
      </c>
      <c r="F3360" s="17">
        <f t="shared" ca="1" si="145"/>
        <v>0</v>
      </c>
      <c r="H3360" s="17">
        <v>3351</v>
      </c>
      <c r="I3360" s="45">
        <v>0.67005605165070925</v>
      </c>
      <c r="J3360" s="45">
        <v>1.8398623041681068E-2</v>
      </c>
      <c r="K3360" s="45">
        <v>0.24560000000000001</v>
      </c>
      <c r="N3360" s="54"/>
    </row>
    <row r="3361" spans="2:14" x14ac:dyDescent="0.2">
      <c r="B3361">
        <v>3352</v>
      </c>
      <c r="C3361" s="52">
        <f ca="1"/>
        <v>0.68387830293257357</v>
      </c>
      <c r="D3361" s="52">
        <f ca="1">S0*EXP((μ-0.5*σ*σ)*T+σ*SQRT(T)*$C3361)</f>
        <v>0.77781706250899529</v>
      </c>
      <c r="E3361" s="52">
        <f t="shared" ca="1" si="144"/>
        <v>0</v>
      </c>
      <c r="F3361" s="17">
        <f t="shared" ca="1" si="145"/>
        <v>0</v>
      </c>
      <c r="H3361" s="17">
        <v>3352</v>
      </c>
      <c r="I3361" s="45">
        <v>0.67105266309125722</v>
      </c>
      <c r="J3361" s="45">
        <v>1.932035595951706E-2</v>
      </c>
      <c r="K3361" s="45">
        <v>0.26040000000000002</v>
      </c>
      <c r="N3361" s="54"/>
    </row>
    <row r="3362" spans="2:14" x14ac:dyDescent="0.2">
      <c r="B3362">
        <v>3353</v>
      </c>
      <c r="C3362" s="52">
        <f ca="1"/>
        <v>-0.91876760384972433</v>
      </c>
      <c r="D3362" s="52">
        <f ca="1">S0*EXP((μ-0.5*σ*σ)*T+σ*SQRT(T)*$C3362)</f>
        <v>0.49943023711572165</v>
      </c>
      <c r="E3362" s="52">
        <f t="shared" ca="1" si="144"/>
        <v>3.4969762884278333E-2</v>
      </c>
      <c r="F3362" s="17">
        <f t="shared" ca="1" si="145"/>
        <v>1</v>
      </c>
      <c r="H3362" s="17">
        <v>3353</v>
      </c>
      <c r="I3362" s="45">
        <v>0.67156268899911997</v>
      </c>
      <c r="J3362" s="45">
        <v>1.9320875583081834E-2</v>
      </c>
      <c r="K3362" s="45">
        <v>0.23780000000000001</v>
      </c>
      <c r="N3362" s="54"/>
    </row>
    <row r="3363" spans="2:14" x14ac:dyDescent="0.2">
      <c r="B3363">
        <v>3354</v>
      </c>
      <c r="C3363" s="52">
        <f ca="1"/>
        <v>-0.55404590022872824</v>
      </c>
      <c r="D3363" s="52">
        <f ca="1">S0*EXP((μ-0.5*σ*σ)*T+σ*SQRT(T)*$C3363)</f>
        <v>0.5524090806710672</v>
      </c>
      <c r="E3363" s="52">
        <f t="shared" ca="1" si="144"/>
        <v>0</v>
      </c>
      <c r="F3363" s="17">
        <f t="shared" ca="1" si="145"/>
        <v>0</v>
      </c>
      <c r="H3363" s="17">
        <v>3354</v>
      </c>
      <c r="I3363" s="45">
        <v>0.67115564637023839</v>
      </c>
      <c r="J3363" s="45">
        <v>1.9096676244917919E-2</v>
      </c>
      <c r="K3363" s="45">
        <v>0.25180000000000002</v>
      </c>
      <c r="N3363" s="54"/>
    </row>
    <row r="3364" spans="2:14" x14ac:dyDescent="0.2">
      <c r="B3364">
        <v>3355</v>
      </c>
      <c r="C3364" s="52">
        <f ca="1"/>
        <v>0.63566798846552175</v>
      </c>
      <c r="D3364" s="52">
        <f ca="1">S0*EXP((μ-0.5*σ*σ)*T+σ*SQRT(T)*$C3364)</f>
        <v>0.76751994031097148</v>
      </c>
      <c r="E3364" s="52">
        <f t="shared" ca="1" si="144"/>
        <v>0</v>
      </c>
      <c r="F3364" s="17">
        <f t="shared" ca="1" si="145"/>
        <v>0</v>
      </c>
      <c r="H3364" s="17">
        <v>3355</v>
      </c>
      <c r="I3364" s="45">
        <v>0.6703085122949094</v>
      </c>
      <c r="J3364" s="45">
        <v>1.852264955801099E-2</v>
      </c>
      <c r="K3364" s="45">
        <v>0.24160000000000001</v>
      </c>
      <c r="N3364" s="54"/>
    </row>
    <row r="3365" spans="2:14" x14ac:dyDescent="0.2">
      <c r="B3365">
        <v>3356</v>
      </c>
      <c r="C3365" s="52">
        <f ca="1"/>
        <v>0.59136466755081252</v>
      </c>
      <c r="D3365" s="52">
        <f ca="1">S0*EXP((μ-0.5*σ*σ)*T+σ*SQRT(T)*$C3365)</f>
        <v>0.75817754136288995</v>
      </c>
      <c r="E3365" s="52">
        <f t="shared" ca="1" si="144"/>
        <v>0</v>
      </c>
      <c r="F3365" s="17">
        <f t="shared" ca="1" si="145"/>
        <v>0</v>
      </c>
      <c r="H3365" s="17">
        <v>3356</v>
      </c>
      <c r="I3365" s="45">
        <v>0.67139500473553138</v>
      </c>
      <c r="J3365" s="45">
        <v>1.9414601911489998E-2</v>
      </c>
      <c r="K3365" s="45">
        <v>0.25540000000000002</v>
      </c>
      <c r="N3365" s="54"/>
    </row>
    <row r="3366" spans="2:14" x14ac:dyDescent="0.2">
      <c r="B3366">
        <v>3357</v>
      </c>
      <c r="C3366" s="52">
        <f ca="1"/>
        <v>-0.88337323813800939</v>
      </c>
      <c r="D3366" s="52">
        <f ca="1">S0*EXP((μ-0.5*σ*σ)*T+σ*SQRT(T)*$C3366)</f>
        <v>0.50434072249620676</v>
      </c>
      <c r="E3366" s="52">
        <f t="shared" ca="1" si="144"/>
        <v>3.0059277503793225E-2</v>
      </c>
      <c r="F3366" s="17">
        <f t="shared" ca="1" si="145"/>
        <v>1</v>
      </c>
      <c r="H3366" s="17">
        <v>3357</v>
      </c>
      <c r="I3366" s="45">
        <v>0.67220414245932114</v>
      </c>
      <c r="J3366" s="45">
        <v>1.9755200380533647E-2</v>
      </c>
      <c r="K3366" s="45">
        <v>0.25</v>
      </c>
      <c r="N3366" s="54"/>
    </row>
    <row r="3367" spans="2:14" x14ac:dyDescent="0.2">
      <c r="B3367">
        <v>3358</v>
      </c>
      <c r="C3367" s="52">
        <f ca="1"/>
        <v>-0.75067010345857677</v>
      </c>
      <c r="D3367" s="52">
        <f ca="1">S0*EXP((μ-0.5*σ*σ)*T+σ*SQRT(T)*$C3367)</f>
        <v>0.52318521312251798</v>
      </c>
      <c r="E3367" s="52">
        <f t="shared" ca="1" si="144"/>
        <v>1.1214786877482008E-2</v>
      </c>
      <c r="F3367" s="17">
        <f t="shared" ca="1" si="145"/>
        <v>1</v>
      </c>
      <c r="H3367" s="17">
        <v>3358</v>
      </c>
      <c r="I3367" s="45">
        <v>0.67082796581700344</v>
      </c>
      <c r="J3367" s="45">
        <v>1.8848438314399581E-2</v>
      </c>
      <c r="K3367" s="45">
        <v>0.2404</v>
      </c>
      <c r="N3367" s="54"/>
    </row>
    <row r="3368" spans="2:14" x14ac:dyDescent="0.2">
      <c r="B3368">
        <v>3359</v>
      </c>
      <c r="C3368" s="52">
        <f ca="1"/>
        <v>-7.6989202421410247E-2</v>
      </c>
      <c r="D3368" s="52">
        <f ca="1">S0*EXP((μ-0.5*σ*σ)*T+σ*SQRT(T)*$C3368)</f>
        <v>0.63027916595410538</v>
      </c>
      <c r="E3368" s="52">
        <f t="shared" ca="1" si="144"/>
        <v>0</v>
      </c>
      <c r="F3368" s="17">
        <f t="shared" ca="1" si="145"/>
        <v>0</v>
      </c>
      <c r="H3368" s="17">
        <v>3359</v>
      </c>
      <c r="I3368" s="45">
        <v>0.67048516088024646</v>
      </c>
      <c r="J3368" s="45">
        <v>1.8491060959685082E-2</v>
      </c>
      <c r="K3368" s="45">
        <v>0.24679999999999999</v>
      </c>
      <c r="N3368" s="54"/>
    </row>
    <row r="3369" spans="2:14" x14ac:dyDescent="0.2">
      <c r="B3369">
        <v>3360</v>
      </c>
      <c r="C3369" s="52">
        <f ca="1"/>
        <v>-0.63517046235037511</v>
      </c>
      <c r="D3369" s="52">
        <f ca="1">S0*EXP((μ-0.5*σ*σ)*T+σ*SQRT(T)*$C3369)</f>
        <v>0.54015892045783209</v>
      </c>
      <c r="E3369" s="52">
        <f t="shared" ca="1" si="144"/>
        <v>0</v>
      </c>
      <c r="F3369" s="17">
        <f t="shared" ca="1" si="145"/>
        <v>0</v>
      </c>
      <c r="H3369" s="17">
        <v>3360</v>
      </c>
      <c r="I3369" s="45">
        <v>0.6707752761957495</v>
      </c>
      <c r="J3369" s="45">
        <v>1.890885368296585E-2</v>
      </c>
      <c r="K3369" s="45">
        <v>0.2432</v>
      </c>
      <c r="N3369" s="54"/>
    </row>
    <row r="3370" spans="2:14" x14ac:dyDescent="0.2">
      <c r="B3370">
        <v>3361</v>
      </c>
      <c r="C3370" s="52">
        <f ca="1"/>
        <v>0.85362967865112338</v>
      </c>
      <c r="D3370" s="52">
        <f ca="1">S0*EXP((μ-0.5*σ*σ)*T+σ*SQRT(T)*$C3370)</f>
        <v>0.81518587746128301</v>
      </c>
      <c r="E3370" s="52">
        <f t="shared" ca="1" si="144"/>
        <v>0</v>
      </c>
      <c r="F3370" s="17">
        <f t="shared" ca="1" si="145"/>
        <v>0</v>
      </c>
      <c r="H3370" s="17">
        <v>3361</v>
      </c>
      <c r="I3370" s="45">
        <v>0.67152831769043653</v>
      </c>
      <c r="J3370" s="45">
        <v>1.980785313418508E-2</v>
      </c>
      <c r="K3370" s="45">
        <v>0.2442</v>
      </c>
      <c r="N3370" s="54"/>
    </row>
    <row r="3371" spans="2:14" x14ac:dyDescent="0.2">
      <c r="B3371">
        <v>3362</v>
      </c>
      <c r="C3371" s="52">
        <f ca="1"/>
        <v>0.74986631463195397</v>
      </c>
      <c r="D3371" s="52">
        <f ca="1">S0*EXP((μ-0.5*σ*σ)*T+σ*SQRT(T)*$C3371)</f>
        <v>0.79213560078217915</v>
      </c>
      <c r="E3371" s="52">
        <f t="shared" ca="1" si="144"/>
        <v>0</v>
      </c>
      <c r="F3371" s="17">
        <f t="shared" ca="1" si="145"/>
        <v>0</v>
      </c>
      <c r="H3371" s="17">
        <v>3362</v>
      </c>
      <c r="I3371" s="45">
        <v>0.67044241414654748</v>
      </c>
      <c r="J3371" s="45">
        <v>1.864935222459314E-2</v>
      </c>
      <c r="K3371" s="45">
        <v>0.2424</v>
      </c>
      <c r="N3371" s="54"/>
    </row>
    <row r="3372" spans="2:14" x14ac:dyDescent="0.2">
      <c r="B3372">
        <v>3363</v>
      </c>
      <c r="C3372" s="52">
        <f ca="1"/>
        <v>-1.4712170241689082</v>
      </c>
      <c r="D3372" s="52">
        <f ca="1">S0*EXP((μ-0.5*σ*σ)*T+σ*SQRT(T)*$C3372)</f>
        <v>0.42869809989042085</v>
      </c>
      <c r="E3372" s="52">
        <f t="shared" ca="1" si="144"/>
        <v>0.10570190010957914</v>
      </c>
      <c r="F3372" s="17">
        <f t="shared" ca="1" si="145"/>
        <v>1</v>
      </c>
      <c r="H3372" s="17">
        <v>3363</v>
      </c>
      <c r="I3372" s="45">
        <v>0.67030792695873453</v>
      </c>
      <c r="J3372" s="45">
        <v>1.8560289613624333E-2</v>
      </c>
      <c r="K3372" s="45">
        <v>0.25459999999999999</v>
      </c>
      <c r="N3372" s="54"/>
    </row>
    <row r="3373" spans="2:14" x14ac:dyDescent="0.2">
      <c r="B3373">
        <v>3364</v>
      </c>
      <c r="C3373" s="52">
        <f ca="1"/>
        <v>1.0476160918505861</v>
      </c>
      <c r="D3373" s="52">
        <f ca="1">S0*EXP((μ-0.5*σ*σ)*T+σ*SQRT(T)*$C3373)</f>
        <v>0.86009281636561563</v>
      </c>
      <c r="E3373" s="52">
        <f t="shared" ca="1" si="144"/>
        <v>0</v>
      </c>
      <c r="F3373" s="17">
        <f t="shared" ca="1" si="145"/>
        <v>0</v>
      </c>
      <c r="H3373" s="17">
        <v>3364</v>
      </c>
      <c r="I3373" s="45">
        <v>0.67143823598719476</v>
      </c>
      <c r="J3373" s="45">
        <v>1.9241340142944714E-2</v>
      </c>
      <c r="K3373" s="45">
        <v>0.24679999999999999</v>
      </c>
      <c r="N3373" s="54"/>
    </row>
    <row r="3374" spans="2:14" x14ac:dyDescent="0.2">
      <c r="B3374">
        <v>3365</v>
      </c>
      <c r="C3374" s="52">
        <f ca="1"/>
        <v>-0.47027610916390211</v>
      </c>
      <c r="D3374" s="52">
        <f ca="1">S0*EXP((μ-0.5*σ*σ)*T+σ*SQRT(T)*$C3374)</f>
        <v>0.56535030837339795</v>
      </c>
      <c r="E3374" s="52">
        <f t="shared" ca="1" si="144"/>
        <v>0</v>
      </c>
      <c r="F3374" s="17">
        <f t="shared" ca="1" si="145"/>
        <v>0</v>
      </c>
      <c r="H3374" s="17">
        <v>3365</v>
      </c>
      <c r="I3374" s="45">
        <v>0.67058307681599816</v>
      </c>
      <c r="J3374" s="45">
        <v>1.8651193651584793E-2</v>
      </c>
      <c r="K3374" s="45">
        <v>0.24160000000000001</v>
      </c>
      <c r="N3374" s="54"/>
    </row>
    <row r="3375" spans="2:14" x14ac:dyDescent="0.2">
      <c r="B3375">
        <v>3366</v>
      </c>
      <c r="C3375" s="52">
        <f ca="1"/>
        <v>0.93937910934863034</v>
      </c>
      <c r="D3375" s="52">
        <f ca="1">S0*EXP((μ-0.5*σ*σ)*T+σ*SQRT(T)*$C3375)</f>
        <v>0.83473982407043157</v>
      </c>
      <c r="E3375" s="52">
        <f t="shared" ca="1" si="144"/>
        <v>0</v>
      </c>
      <c r="F3375" s="17">
        <f t="shared" ca="1" si="145"/>
        <v>0</v>
      </c>
      <c r="H3375" s="17">
        <v>3366</v>
      </c>
      <c r="I3375" s="45">
        <v>0.67040260517704031</v>
      </c>
      <c r="J3375" s="45">
        <v>1.8792492542722819E-2</v>
      </c>
      <c r="K3375" s="45">
        <v>0.24859999999999999</v>
      </c>
      <c r="N3375" s="54"/>
    </row>
    <row r="3376" spans="2:14" x14ac:dyDescent="0.2">
      <c r="B3376">
        <v>3367</v>
      </c>
      <c r="C3376" s="52">
        <f ca="1"/>
        <v>-0.7003467525952215</v>
      </c>
      <c r="D3376" s="52">
        <f ca="1">S0*EXP((μ-0.5*σ*σ)*T+σ*SQRT(T)*$C3376)</f>
        <v>0.5305141059973536</v>
      </c>
      <c r="E3376" s="52">
        <f t="shared" ca="1" si="144"/>
        <v>3.885894002646384E-3</v>
      </c>
      <c r="F3376" s="17">
        <f t="shared" ca="1" si="145"/>
        <v>1</v>
      </c>
      <c r="H3376" s="17">
        <v>3367</v>
      </c>
      <c r="I3376" s="45">
        <v>0.67055030187059217</v>
      </c>
      <c r="J3376" s="45">
        <v>1.8537540391339494E-2</v>
      </c>
      <c r="K3376" s="45">
        <v>0.24340000000000001</v>
      </c>
      <c r="N3376" s="54"/>
    </row>
    <row r="3377" spans="2:14" x14ac:dyDescent="0.2">
      <c r="B3377">
        <v>3368</v>
      </c>
      <c r="C3377" s="52">
        <f ca="1"/>
        <v>-0.20516168908208862</v>
      </c>
      <c r="D3377" s="52">
        <f ca="1">S0*EXP((μ-0.5*σ*σ)*T+σ*SQRT(T)*$C3377)</f>
        <v>0.60833869999144197</v>
      </c>
      <c r="E3377" s="52">
        <f t="shared" ca="1" si="144"/>
        <v>0</v>
      </c>
      <c r="F3377" s="17">
        <f t="shared" ca="1" si="145"/>
        <v>0</v>
      </c>
      <c r="H3377" s="17">
        <v>3368</v>
      </c>
      <c r="I3377" s="45">
        <v>0.67222565609078044</v>
      </c>
      <c r="J3377" s="45">
        <v>2.0284557433482172E-2</v>
      </c>
      <c r="K3377" s="45">
        <v>0.2586</v>
      </c>
      <c r="N3377" s="54"/>
    </row>
    <row r="3378" spans="2:14" x14ac:dyDescent="0.2">
      <c r="B3378">
        <v>3369</v>
      </c>
      <c r="C3378" s="52">
        <f ca="1"/>
        <v>-0.75544195948218473</v>
      </c>
      <c r="D3378" s="52">
        <f ca="1">S0*EXP((μ-0.5*σ*σ)*T+σ*SQRT(T)*$C3378)</f>
        <v>0.52249553649584768</v>
      </c>
      <c r="E3378" s="52">
        <f t="shared" ca="1" si="144"/>
        <v>1.1904463504152307E-2</v>
      </c>
      <c r="F3378" s="17">
        <f t="shared" ca="1" si="145"/>
        <v>1</v>
      </c>
      <c r="H3378" s="17">
        <v>3369</v>
      </c>
      <c r="I3378" s="45">
        <v>0.67063963861796783</v>
      </c>
      <c r="J3378" s="45">
        <v>1.8740113308868739E-2</v>
      </c>
      <c r="K3378" s="45">
        <v>0.24560000000000001</v>
      </c>
      <c r="N3378" s="54"/>
    </row>
    <row r="3379" spans="2:14" x14ac:dyDescent="0.2">
      <c r="B3379">
        <v>3370</v>
      </c>
      <c r="C3379" s="52">
        <f ca="1"/>
        <v>0.12133948114863227</v>
      </c>
      <c r="D3379" s="52">
        <f ca="1">S0*EXP((μ-0.5*σ*σ)*T+σ*SQRT(T)*$C3379)</f>
        <v>0.66579867709505747</v>
      </c>
      <c r="E3379" s="52">
        <f t="shared" ca="1" si="144"/>
        <v>0</v>
      </c>
      <c r="F3379" s="17">
        <f t="shared" ca="1" si="145"/>
        <v>0</v>
      </c>
      <c r="H3379" s="17">
        <v>3370</v>
      </c>
      <c r="I3379" s="45">
        <v>0.67071976514918219</v>
      </c>
      <c r="J3379" s="45">
        <v>1.8657367792846598E-2</v>
      </c>
      <c r="K3379" s="45">
        <v>0.24959999999999999</v>
      </c>
      <c r="N3379" s="54"/>
    </row>
    <row r="3380" spans="2:14" x14ac:dyDescent="0.2">
      <c r="B3380">
        <v>3371</v>
      </c>
      <c r="C3380" s="52">
        <f ca="1"/>
        <v>2.1719653979520213</v>
      </c>
      <c r="D3380" s="52">
        <f ca="1">S0*EXP((μ-0.5*σ*σ)*T+σ*SQRT(T)*$C3380)</f>
        <v>1.173618527511481</v>
      </c>
      <c r="E3380" s="52">
        <f t="shared" ca="1" si="144"/>
        <v>0</v>
      </c>
      <c r="F3380" s="17">
        <f t="shared" ca="1" si="145"/>
        <v>0</v>
      </c>
      <c r="H3380" s="17">
        <v>3371</v>
      </c>
      <c r="I3380" s="45">
        <v>0.67120460130139403</v>
      </c>
      <c r="J3380" s="45">
        <v>1.9134548451969383E-2</v>
      </c>
      <c r="K3380" s="45">
        <v>0.2462</v>
      </c>
      <c r="N3380" s="54"/>
    </row>
    <row r="3381" spans="2:14" x14ac:dyDescent="0.2">
      <c r="B3381">
        <v>3372</v>
      </c>
      <c r="C3381" s="52">
        <f ca="1"/>
        <v>-0.45371205307863732</v>
      </c>
      <c r="D3381" s="52">
        <f ca="1">S0*EXP((μ-0.5*σ*σ)*T+σ*SQRT(T)*$C3381)</f>
        <v>0.56794489461167641</v>
      </c>
      <c r="E3381" s="52">
        <f t="shared" ca="1" si="144"/>
        <v>0</v>
      </c>
      <c r="F3381" s="17">
        <f t="shared" ca="1" si="145"/>
        <v>0</v>
      </c>
      <c r="H3381" s="17">
        <v>3372</v>
      </c>
      <c r="I3381" s="45">
        <v>0.67089426601301416</v>
      </c>
      <c r="J3381" s="45">
        <v>1.8740611246058053E-2</v>
      </c>
      <c r="K3381" s="45">
        <v>0.24779999999999999</v>
      </c>
      <c r="N3381" s="54"/>
    </row>
    <row r="3382" spans="2:14" x14ac:dyDescent="0.2">
      <c r="B3382">
        <v>3373</v>
      </c>
      <c r="C3382" s="52">
        <f ca="1"/>
        <v>-1.4524726895447608</v>
      </c>
      <c r="D3382" s="52">
        <f ca="1">S0*EXP((μ-0.5*σ*σ)*T+σ*SQRT(T)*$C3382)</f>
        <v>0.43092518263425439</v>
      </c>
      <c r="E3382" s="52">
        <f t="shared" ca="1" si="144"/>
        <v>0.1034748173657456</v>
      </c>
      <c r="F3382" s="17">
        <f t="shared" ca="1" si="145"/>
        <v>1</v>
      </c>
      <c r="H3382" s="17">
        <v>3373</v>
      </c>
      <c r="I3382" s="45">
        <v>0.670386819165531</v>
      </c>
      <c r="J3382" s="45">
        <v>1.860715996392652E-2</v>
      </c>
      <c r="K3382" s="45">
        <v>0.25519999999999998</v>
      </c>
      <c r="N3382" s="54"/>
    </row>
    <row r="3383" spans="2:14" x14ac:dyDescent="0.2">
      <c r="B3383">
        <v>3374</v>
      </c>
      <c r="C3383" s="52">
        <f ca="1"/>
        <v>5.8172869567961506E-2</v>
      </c>
      <c r="D3383" s="52">
        <f ca="1">S0*EXP((μ-0.5*σ*σ)*T+σ*SQRT(T)*$C3383)</f>
        <v>0.6542738750722108</v>
      </c>
      <c r="E3383" s="52">
        <f t="shared" ca="1" si="144"/>
        <v>0</v>
      </c>
      <c r="F3383" s="17">
        <f t="shared" ca="1" si="145"/>
        <v>0</v>
      </c>
      <c r="H3383" s="17">
        <v>3374</v>
      </c>
      <c r="I3383" s="45">
        <v>0.67153607655291159</v>
      </c>
      <c r="J3383" s="45">
        <v>1.9507549725866921E-2</v>
      </c>
      <c r="K3383" s="45">
        <v>0.24959999999999999</v>
      </c>
      <c r="N3383" s="54"/>
    </row>
    <row r="3384" spans="2:14" x14ac:dyDescent="0.2">
      <c r="B3384">
        <v>3375</v>
      </c>
      <c r="C3384" s="52">
        <f ca="1"/>
        <v>1.6353398750920174</v>
      </c>
      <c r="D3384" s="52">
        <f ca="1">S0*EXP((μ-0.5*σ*σ)*T+σ*SQRT(T)*$C3384)</f>
        <v>1.0118203069544458</v>
      </c>
      <c r="E3384" s="52">
        <f t="shared" ca="1" si="144"/>
        <v>0</v>
      </c>
      <c r="F3384" s="17">
        <f t="shared" ca="1" si="145"/>
        <v>0</v>
      </c>
      <c r="H3384" s="17">
        <v>3375</v>
      </c>
      <c r="I3384" s="45">
        <v>0.67077022437901646</v>
      </c>
      <c r="J3384" s="45">
        <v>1.9129720092811248E-2</v>
      </c>
      <c r="K3384" s="45">
        <v>0.25159999999999999</v>
      </c>
      <c r="N3384" s="54"/>
    </row>
    <row r="3385" spans="2:14" x14ac:dyDescent="0.2">
      <c r="B3385">
        <v>3376</v>
      </c>
      <c r="C3385" s="52">
        <f ca="1"/>
        <v>-0.14055796745834406</v>
      </c>
      <c r="D3385" s="52">
        <f ca="1">S0*EXP((μ-0.5*σ*σ)*T+σ*SQRT(T)*$C3385)</f>
        <v>0.61930034704781212</v>
      </c>
      <c r="E3385" s="52">
        <f t="shared" ca="1" si="144"/>
        <v>0</v>
      </c>
      <c r="F3385" s="17">
        <f t="shared" ca="1" si="145"/>
        <v>0</v>
      </c>
      <c r="H3385" s="17">
        <v>3376</v>
      </c>
      <c r="I3385" s="45">
        <v>0.67242396908713431</v>
      </c>
      <c r="J3385" s="45">
        <v>1.9982482889088188E-2</v>
      </c>
      <c r="K3385" s="45">
        <v>0.25259999999999999</v>
      </c>
      <c r="N3385" s="54"/>
    </row>
    <row r="3386" spans="2:14" x14ac:dyDescent="0.2">
      <c r="B3386">
        <v>3377</v>
      </c>
      <c r="C3386" s="52">
        <f ca="1"/>
        <v>-0.87630711728017208</v>
      </c>
      <c r="D3386" s="52">
        <f ca="1">S0*EXP((μ-0.5*σ*σ)*T+σ*SQRT(T)*$C3386)</f>
        <v>0.50532681678468072</v>
      </c>
      <c r="E3386" s="52">
        <f t="shared" ca="1" si="144"/>
        <v>2.9073183215319265E-2</v>
      </c>
      <c r="F3386" s="17">
        <f t="shared" ca="1" si="145"/>
        <v>1</v>
      </c>
      <c r="H3386" s="17">
        <v>3377</v>
      </c>
      <c r="I3386" s="45">
        <v>0.6706797404738134</v>
      </c>
      <c r="J3386" s="45">
        <v>1.8814731309544978E-2</v>
      </c>
      <c r="K3386" s="45">
        <v>0.24299999999999999</v>
      </c>
      <c r="N3386" s="54"/>
    </row>
    <row r="3387" spans="2:14" x14ac:dyDescent="0.2">
      <c r="B3387">
        <v>3378</v>
      </c>
      <c r="C3387" s="52">
        <f ca="1"/>
        <v>0.34242869970238671</v>
      </c>
      <c r="D3387" s="52">
        <f ca="1">S0*EXP((μ-0.5*σ*σ)*T+σ*SQRT(T)*$C3387)</f>
        <v>0.7077589619334187</v>
      </c>
      <c r="E3387" s="52">
        <f t="shared" ca="1" si="144"/>
        <v>0</v>
      </c>
      <c r="F3387" s="17">
        <f t="shared" ca="1" si="145"/>
        <v>0</v>
      </c>
      <c r="H3387" s="17">
        <v>3378</v>
      </c>
      <c r="I3387" s="45">
        <v>0.67022780114929958</v>
      </c>
      <c r="J3387" s="45">
        <v>1.8292672479496491E-2</v>
      </c>
      <c r="K3387" s="45">
        <v>0.24640000000000001</v>
      </c>
      <c r="N3387" s="54"/>
    </row>
    <row r="3388" spans="2:14" x14ac:dyDescent="0.2">
      <c r="B3388">
        <v>3379</v>
      </c>
      <c r="C3388" s="52">
        <f ca="1"/>
        <v>-1.0761744311618433</v>
      </c>
      <c r="D3388" s="52">
        <f ca="1">S0*EXP((μ-0.5*σ*σ)*T+σ*SQRT(T)*$C3388)</f>
        <v>0.47816485504459572</v>
      </c>
      <c r="E3388" s="52">
        <f t="shared" ca="1" si="144"/>
        <v>5.623514495540427E-2</v>
      </c>
      <c r="F3388" s="17">
        <f t="shared" ca="1" si="145"/>
        <v>1</v>
      </c>
      <c r="H3388" s="17">
        <v>3379</v>
      </c>
      <c r="I3388" s="45">
        <v>0.67127821602864912</v>
      </c>
      <c r="J3388" s="45">
        <v>1.9209087140510245E-2</v>
      </c>
      <c r="K3388" s="45">
        <v>0.24679999999999999</v>
      </c>
      <c r="N3388" s="54"/>
    </row>
    <row r="3389" spans="2:14" x14ac:dyDescent="0.2">
      <c r="B3389">
        <v>3380</v>
      </c>
      <c r="C3389" s="52">
        <f ca="1"/>
        <v>-0.40181680042915124</v>
      </c>
      <c r="D3389" s="52">
        <f ca="1">S0*EXP((μ-0.5*σ*σ)*T+σ*SQRT(T)*$C3389)</f>
        <v>0.57615108842258012</v>
      </c>
      <c r="E3389" s="52">
        <f t="shared" ca="1" si="144"/>
        <v>0</v>
      </c>
      <c r="F3389" s="17">
        <f t="shared" ca="1" si="145"/>
        <v>0</v>
      </c>
      <c r="H3389" s="17">
        <v>3380</v>
      </c>
      <c r="I3389" s="45">
        <v>0.67136350929675193</v>
      </c>
      <c r="J3389" s="45">
        <v>1.9378482762399431E-2</v>
      </c>
      <c r="K3389" s="45">
        <v>0.24940000000000001</v>
      </c>
      <c r="N3389" s="54"/>
    </row>
    <row r="3390" spans="2:14" x14ac:dyDescent="0.2">
      <c r="B3390">
        <v>3381</v>
      </c>
      <c r="C3390" s="52">
        <f ca="1"/>
        <v>-1.1233955310822463</v>
      </c>
      <c r="D3390" s="52">
        <f ca="1">S0*EXP((μ-0.5*σ*σ)*T+σ*SQRT(T)*$C3390)</f>
        <v>0.47196371646995422</v>
      </c>
      <c r="E3390" s="52">
        <f t="shared" ca="1" si="144"/>
        <v>6.2436283530045766E-2</v>
      </c>
      <c r="F3390" s="17">
        <f t="shared" ca="1" si="145"/>
        <v>1</v>
      </c>
      <c r="H3390" s="17">
        <v>3381</v>
      </c>
      <c r="I3390" s="45">
        <v>0.67019784359837098</v>
      </c>
      <c r="J3390" s="45">
        <v>1.8380483116473278E-2</v>
      </c>
      <c r="K3390" s="45">
        <v>0.24479999999999999</v>
      </c>
      <c r="N3390" s="54"/>
    </row>
    <row r="3391" spans="2:14" x14ac:dyDescent="0.2">
      <c r="B3391">
        <v>3382</v>
      </c>
      <c r="C3391" s="52">
        <f ca="1"/>
        <v>-1.6010636070845077</v>
      </c>
      <c r="D3391" s="52">
        <f ca="1">S0*EXP((μ-0.5*σ*σ)*T+σ*SQRT(T)*$C3391)</f>
        <v>0.41358337399484441</v>
      </c>
      <c r="E3391" s="52">
        <f t="shared" ca="1" si="144"/>
        <v>0.12081662600515558</v>
      </c>
      <c r="F3391" s="17">
        <f t="shared" ca="1" si="145"/>
        <v>1</v>
      </c>
      <c r="H3391" s="17">
        <v>3382</v>
      </c>
      <c r="I3391" s="45">
        <v>0.67044347947631688</v>
      </c>
      <c r="J3391" s="45">
        <v>1.8679795520329247E-2</v>
      </c>
      <c r="K3391" s="45">
        <v>0.24440000000000001</v>
      </c>
      <c r="N3391" s="54"/>
    </row>
    <row r="3392" spans="2:14" x14ac:dyDescent="0.2">
      <c r="B3392">
        <v>3383</v>
      </c>
      <c r="C3392" s="52">
        <f ca="1"/>
        <v>0.14857261532517768</v>
      </c>
      <c r="D3392" s="52">
        <f ca="1">S0*EXP((μ-0.5*σ*σ)*T+σ*SQRT(T)*$C3392)</f>
        <v>0.67082980562550121</v>
      </c>
      <c r="E3392" s="52">
        <f t="shared" ca="1" si="144"/>
        <v>0</v>
      </c>
      <c r="F3392" s="17">
        <f t="shared" ca="1" si="145"/>
        <v>0</v>
      </c>
      <c r="H3392" s="17">
        <v>3383</v>
      </c>
      <c r="I3392" s="45">
        <v>0.67165461958622619</v>
      </c>
      <c r="J3392" s="45">
        <v>1.9677028543768363E-2</v>
      </c>
      <c r="K3392" s="45">
        <v>0.25840000000000002</v>
      </c>
      <c r="N3392" s="54"/>
    </row>
    <row r="3393" spans="2:14" x14ac:dyDescent="0.2">
      <c r="B3393">
        <v>3384</v>
      </c>
      <c r="C3393" s="52">
        <f ca="1"/>
        <v>0.45663180475512394</v>
      </c>
      <c r="D3393" s="52">
        <f ca="1">S0*EXP((μ-0.5*σ*σ)*T+σ*SQRT(T)*$C3393)</f>
        <v>0.73045895188399323</v>
      </c>
      <c r="E3393" s="52">
        <f t="shared" ca="1" si="144"/>
        <v>0</v>
      </c>
      <c r="F3393" s="17">
        <f t="shared" ca="1" si="145"/>
        <v>0</v>
      </c>
      <c r="H3393" s="17">
        <v>3384</v>
      </c>
      <c r="I3393" s="45">
        <v>0.67195616328195751</v>
      </c>
      <c r="J3393" s="45">
        <v>1.9602903389127981E-2</v>
      </c>
      <c r="K3393" s="45">
        <v>0.248</v>
      </c>
      <c r="N3393" s="54"/>
    </row>
    <row r="3394" spans="2:14" x14ac:dyDescent="0.2">
      <c r="B3394">
        <v>3385</v>
      </c>
      <c r="C3394" s="52">
        <f ca="1"/>
        <v>1.2203390190958776</v>
      </c>
      <c r="D3394" s="52">
        <f ca="1">S0*EXP((μ-0.5*σ*σ)*T+σ*SQRT(T)*$C3394)</f>
        <v>0.90215517737051354</v>
      </c>
      <c r="E3394" s="52">
        <f t="shared" ca="1" si="144"/>
        <v>0</v>
      </c>
      <c r="F3394" s="17">
        <f t="shared" ca="1" si="145"/>
        <v>0</v>
      </c>
      <c r="H3394" s="17">
        <v>3385</v>
      </c>
      <c r="I3394" s="45">
        <v>0.67088134110514341</v>
      </c>
      <c r="J3394" s="45">
        <v>1.8914314571123823E-2</v>
      </c>
      <c r="K3394" s="45">
        <v>0.252</v>
      </c>
      <c r="N3394" s="54"/>
    </row>
    <row r="3395" spans="2:14" x14ac:dyDescent="0.2">
      <c r="B3395">
        <v>3386</v>
      </c>
      <c r="C3395" s="52">
        <f ca="1"/>
        <v>0.47605312938326244</v>
      </c>
      <c r="D3395" s="52">
        <f ca="1">S0*EXP((μ-0.5*σ*σ)*T+σ*SQRT(T)*$C3395)</f>
        <v>0.73439110211497916</v>
      </c>
      <c r="E3395" s="52">
        <f t="shared" ca="1" si="144"/>
        <v>0</v>
      </c>
      <c r="F3395" s="17">
        <f t="shared" ca="1" si="145"/>
        <v>0</v>
      </c>
      <c r="H3395" s="17">
        <v>3386</v>
      </c>
      <c r="I3395" s="45">
        <v>0.67151655076033934</v>
      </c>
      <c r="J3395" s="45">
        <v>1.9413346983616676E-2</v>
      </c>
      <c r="K3395" s="45">
        <v>0.2452</v>
      </c>
      <c r="N3395" s="54"/>
    </row>
    <row r="3396" spans="2:14" x14ac:dyDescent="0.2">
      <c r="B3396">
        <v>3387</v>
      </c>
      <c r="C3396" s="52">
        <f ca="1"/>
        <v>0.23226194918642198</v>
      </c>
      <c r="D3396" s="52">
        <f ca="1">S0*EXP((μ-0.5*σ*σ)*T+σ*SQRT(T)*$C3396)</f>
        <v>0.68652999355093292</v>
      </c>
      <c r="E3396" s="52">
        <f t="shared" ca="1" si="144"/>
        <v>0</v>
      </c>
      <c r="F3396" s="17">
        <f t="shared" ca="1" si="145"/>
        <v>0</v>
      </c>
      <c r="H3396" s="17">
        <v>3387</v>
      </c>
      <c r="I3396" s="45">
        <v>0.67072669188091538</v>
      </c>
      <c r="J3396" s="45">
        <v>1.8908215131206513E-2</v>
      </c>
      <c r="K3396" s="45">
        <v>0.2442</v>
      </c>
      <c r="N3396" s="54"/>
    </row>
    <row r="3397" spans="2:14" x14ac:dyDescent="0.2">
      <c r="B3397">
        <v>3388</v>
      </c>
      <c r="C3397" s="52">
        <f ca="1"/>
        <v>-0.5486783804476234</v>
      </c>
      <c r="D3397" s="52">
        <f ca="1">S0*EXP((μ-0.5*σ*σ)*T+σ*SQRT(T)*$C3397)</f>
        <v>0.55322932987601614</v>
      </c>
      <c r="E3397" s="52">
        <f t="shared" ca="1" si="144"/>
        <v>0</v>
      </c>
      <c r="F3397" s="17">
        <f t="shared" ca="1" si="145"/>
        <v>0</v>
      </c>
      <c r="H3397" s="17">
        <v>3388</v>
      </c>
      <c r="I3397" s="45">
        <v>0.67241806911642088</v>
      </c>
      <c r="J3397" s="45">
        <v>2.013731733333235E-2</v>
      </c>
      <c r="K3397" s="45">
        <v>0.25019999999999998</v>
      </c>
      <c r="N3397" s="54"/>
    </row>
    <row r="3398" spans="2:14" x14ac:dyDescent="0.2">
      <c r="B3398">
        <v>3389</v>
      </c>
      <c r="C3398" s="52">
        <f ca="1"/>
        <v>0.68140285309775239</v>
      </c>
      <c r="D3398" s="52">
        <f ca="1">S0*EXP((μ-0.5*σ*σ)*T+σ*SQRT(T)*$C3398)</f>
        <v>0.77728498839180471</v>
      </c>
      <c r="E3398" s="52">
        <f t="shared" ca="1" si="144"/>
        <v>0</v>
      </c>
      <c r="F3398" s="17">
        <f t="shared" ca="1" si="145"/>
        <v>0</v>
      </c>
      <c r="H3398" s="17">
        <v>3389</v>
      </c>
      <c r="I3398" s="45">
        <v>0.67169940307800047</v>
      </c>
      <c r="J3398" s="45">
        <v>1.9534485883296301E-2</v>
      </c>
      <c r="K3398" s="45">
        <v>0.24679999999999999</v>
      </c>
      <c r="N3398" s="54"/>
    </row>
    <row r="3399" spans="2:14" x14ac:dyDescent="0.2">
      <c r="B3399">
        <v>3390</v>
      </c>
      <c r="C3399" s="52">
        <f ca="1"/>
        <v>0.61965293836120805</v>
      </c>
      <c r="D3399" s="52">
        <f ca="1">S0*EXP((μ-0.5*σ*σ)*T+σ*SQRT(T)*$C3399)</f>
        <v>0.76412957795533432</v>
      </c>
      <c r="E3399" s="52">
        <f t="shared" ca="1" si="144"/>
        <v>0</v>
      </c>
      <c r="F3399" s="17">
        <f t="shared" ca="1" si="145"/>
        <v>0</v>
      </c>
      <c r="H3399" s="17">
        <v>3390</v>
      </c>
      <c r="I3399" s="45">
        <v>0.67157023642300739</v>
      </c>
      <c r="J3399" s="45">
        <v>1.9392976205674605E-2</v>
      </c>
      <c r="K3399" s="45">
        <v>0.2424</v>
      </c>
      <c r="N3399" s="54"/>
    </row>
    <row r="3400" spans="2:14" x14ac:dyDescent="0.2">
      <c r="B3400">
        <v>3391</v>
      </c>
      <c r="C3400" s="52">
        <f ca="1"/>
        <v>8.9644497155388095E-2</v>
      </c>
      <c r="D3400" s="52">
        <f ca="1">S0*EXP((μ-0.5*σ*σ)*T+σ*SQRT(T)*$C3400)</f>
        <v>0.65999074627299148</v>
      </c>
      <c r="E3400" s="52">
        <f t="shared" ca="1" si="144"/>
        <v>0</v>
      </c>
      <c r="F3400" s="17">
        <f t="shared" ca="1" si="145"/>
        <v>0</v>
      </c>
      <c r="H3400" s="17">
        <v>3391</v>
      </c>
      <c r="I3400" s="45">
        <v>0.67292002944742957</v>
      </c>
      <c r="J3400" s="45">
        <v>2.0359823502526169E-2</v>
      </c>
      <c r="K3400" s="45">
        <v>0.25380000000000003</v>
      </c>
      <c r="N3400" s="54"/>
    </row>
    <row r="3401" spans="2:14" x14ac:dyDescent="0.2">
      <c r="B3401">
        <v>3392</v>
      </c>
      <c r="C3401" s="52">
        <f ca="1"/>
        <v>-0.19713594499786674</v>
      </c>
      <c r="D3401" s="52">
        <f ca="1">S0*EXP((μ-0.5*σ*σ)*T+σ*SQRT(T)*$C3401)</f>
        <v>0.60968984425404027</v>
      </c>
      <c r="E3401" s="52">
        <f t="shared" ca="1" si="144"/>
        <v>0</v>
      </c>
      <c r="F3401" s="17">
        <f t="shared" ca="1" si="145"/>
        <v>0</v>
      </c>
      <c r="H3401" s="17">
        <v>3392</v>
      </c>
      <c r="I3401" s="45">
        <v>0.67073615538126352</v>
      </c>
      <c r="J3401" s="45">
        <v>1.8799837605480384E-2</v>
      </c>
      <c r="K3401" s="45">
        <v>0.2442</v>
      </c>
      <c r="N3401" s="54"/>
    </row>
    <row r="3402" spans="2:14" x14ac:dyDescent="0.2">
      <c r="B3402">
        <v>3393</v>
      </c>
      <c r="C3402" s="52">
        <f ca="1"/>
        <v>-0.24981551215699169</v>
      </c>
      <c r="D3402" s="52">
        <f ca="1">S0*EXP((μ-0.5*σ*σ)*T+σ*SQRT(T)*$C3402)</f>
        <v>0.60087566364962552</v>
      </c>
      <c r="E3402" s="52">
        <f t="shared" ref="E3402:E3465" ca="1" si="146">MAX(0,CP*(D3402-K))</f>
        <v>0</v>
      </c>
      <c r="F3402" s="17">
        <f t="shared" ref="F3402:F3465" ca="1" si="147">(CP*(D3402-K)&gt;0)*1</f>
        <v>0</v>
      </c>
      <c r="H3402" s="17">
        <v>3393</v>
      </c>
      <c r="I3402" s="45">
        <v>0.67055780406854504</v>
      </c>
      <c r="J3402" s="45">
        <v>1.8784713688355718E-2</v>
      </c>
      <c r="K3402" s="45">
        <v>0.24759999999999999</v>
      </c>
      <c r="N3402" s="54"/>
    </row>
    <row r="3403" spans="2:14" x14ac:dyDescent="0.2">
      <c r="B3403">
        <v>3394</v>
      </c>
      <c r="C3403" s="52">
        <f ca="1"/>
        <v>-1.1623048750919791</v>
      </c>
      <c r="D3403" s="52">
        <f ca="1">S0*EXP((μ-0.5*σ*σ)*T+σ*SQRT(T)*$C3403)</f>
        <v>0.46691456798550385</v>
      </c>
      <c r="E3403" s="52">
        <f t="shared" ca="1" si="146"/>
        <v>6.7485432014496138E-2</v>
      </c>
      <c r="F3403" s="17">
        <f t="shared" ca="1" si="147"/>
        <v>1</v>
      </c>
      <c r="H3403" s="17">
        <v>3394</v>
      </c>
      <c r="I3403" s="45">
        <v>0.67088293387919518</v>
      </c>
      <c r="J3403" s="45">
        <v>1.8919456085967779E-2</v>
      </c>
      <c r="K3403" s="45">
        <v>0.25240000000000001</v>
      </c>
      <c r="N3403" s="54"/>
    </row>
    <row r="3404" spans="2:14" x14ac:dyDescent="0.2">
      <c r="B3404">
        <v>3395</v>
      </c>
      <c r="C3404" s="52">
        <f ca="1"/>
        <v>-0.4891228697013551</v>
      </c>
      <c r="D3404" s="52">
        <f ca="1">S0*EXP((μ-0.5*σ*σ)*T+σ*SQRT(T)*$C3404)</f>
        <v>0.56241257313416293</v>
      </c>
      <c r="E3404" s="52">
        <f t="shared" ca="1" si="146"/>
        <v>0</v>
      </c>
      <c r="F3404" s="17">
        <f t="shared" ca="1" si="147"/>
        <v>0</v>
      </c>
      <c r="H3404" s="17">
        <v>3395</v>
      </c>
      <c r="I3404" s="45">
        <v>0.67166423521299246</v>
      </c>
      <c r="J3404" s="45">
        <v>1.9794720733569963E-2</v>
      </c>
      <c r="K3404" s="45">
        <v>0.25019999999999998</v>
      </c>
      <c r="N3404" s="54"/>
    </row>
    <row r="3405" spans="2:14" x14ac:dyDescent="0.2">
      <c r="B3405">
        <v>3396</v>
      </c>
      <c r="C3405" s="52">
        <f ca="1"/>
        <v>-0.18978478722854913</v>
      </c>
      <c r="D3405" s="52">
        <f ca="1">S0*EXP((μ-0.5*σ*σ)*T+σ*SQRT(T)*$C3405)</f>
        <v>0.61093005407419954</v>
      </c>
      <c r="E3405" s="52">
        <f t="shared" ca="1" si="146"/>
        <v>0</v>
      </c>
      <c r="F3405" s="17">
        <f t="shared" ca="1" si="147"/>
        <v>0</v>
      </c>
      <c r="H3405" s="17">
        <v>3396</v>
      </c>
      <c r="I3405" s="45">
        <v>0.67060313074150024</v>
      </c>
      <c r="J3405" s="45">
        <v>1.8737513631459212E-2</v>
      </c>
      <c r="K3405" s="45">
        <v>0.24279999999999999</v>
      </c>
      <c r="N3405" s="54"/>
    </row>
    <row r="3406" spans="2:14" x14ac:dyDescent="0.2">
      <c r="B3406">
        <v>3397</v>
      </c>
      <c r="C3406" s="52">
        <f ca="1"/>
        <v>0.86193635502351607</v>
      </c>
      <c r="D3406" s="52">
        <f ca="1">S0*EXP((μ-0.5*σ*σ)*T+σ*SQRT(T)*$C3406)</f>
        <v>0.81705988691053344</v>
      </c>
      <c r="E3406" s="52">
        <f t="shared" ca="1" si="146"/>
        <v>0</v>
      </c>
      <c r="F3406" s="17">
        <f t="shared" ca="1" si="147"/>
        <v>0</v>
      </c>
      <c r="H3406" s="17">
        <v>3397</v>
      </c>
      <c r="I3406" s="45">
        <v>0.67030004670789189</v>
      </c>
      <c r="J3406" s="45">
        <v>1.8284457559642017E-2</v>
      </c>
      <c r="K3406" s="45">
        <v>0.2432</v>
      </c>
      <c r="N3406" s="54"/>
    </row>
    <row r="3407" spans="2:14" x14ac:dyDescent="0.2">
      <c r="B3407">
        <v>3398</v>
      </c>
      <c r="C3407" s="52">
        <f ca="1"/>
        <v>6.881723424449035E-2</v>
      </c>
      <c r="D3407" s="52">
        <f ca="1">S0*EXP((μ-0.5*σ*σ)*T+σ*SQRT(T)*$C3407)</f>
        <v>0.65620187737202118</v>
      </c>
      <c r="E3407" s="52">
        <f t="shared" ca="1" si="146"/>
        <v>0</v>
      </c>
      <c r="F3407" s="17">
        <f t="shared" ca="1" si="147"/>
        <v>0</v>
      </c>
      <c r="H3407" s="17">
        <v>3398</v>
      </c>
      <c r="I3407" s="45">
        <v>0.6709635908221282</v>
      </c>
      <c r="J3407" s="45">
        <v>1.9007181074838789E-2</v>
      </c>
      <c r="K3407" s="45">
        <v>0.2442</v>
      </c>
      <c r="N3407" s="54"/>
    </row>
    <row r="3408" spans="2:14" x14ac:dyDescent="0.2">
      <c r="B3408">
        <v>3399</v>
      </c>
      <c r="C3408" s="52">
        <f ca="1"/>
        <v>-0.33111566214914195</v>
      </c>
      <c r="D3408" s="52">
        <f ca="1">S0*EXP((μ-0.5*σ*σ)*T+σ*SQRT(T)*$C3408)</f>
        <v>0.58752219610899981</v>
      </c>
      <c r="E3408" s="52">
        <f t="shared" ca="1" si="146"/>
        <v>0</v>
      </c>
      <c r="F3408" s="17">
        <f t="shared" ca="1" si="147"/>
        <v>0</v>
      </c>
      <c r="H3408" s="17">
        <v>3399</v>
      </c>
      <c r="I3408" s="45">
        <v>0.67137056802190631</v>
      </c>
      <c r="J3408" s="45">
        <v>1.9235854377626788E-2</v>
      </c>
      <c r="K3408" s="45">
        <v>0.25019999999999998</v>
      </c>
      <c r="N3408" s="54"/>
    </row>
    <row r="3409" spans="2:14" x14ac:dyDescent="0.2">
      <c r="B3409">
        <v>3400</v>
      </c>
      <c r="C3409" s="52">
        <f ca="1"/>
        <v>1.4307261300566303</v>
      </c>
      <c r="D3409" s="52">
        <f ca="1">S0*EXP((μ-0.5*σ*σ)*T+σ*SQRT(T)*$C3409)</f>
        <v>0.95617827907015052</v>
      </c>
      <c r="E3409" s="52">
        <f t="shared" ca="1" si="146"/>
        <v>0</v>
      </c>
      <c r="F3409" s="17">
        <f t="shared" ca="1" si="147"/>
        <v>0</v>
      </c>
      <c r="H3409" s="17">
        <v>3400</v>
      </c>
      <c r="I3409" s="45">
        <v>0.67134277679606247</v>
      </c>
      <c r="J3409" s="45">
        <v>1.9153603342230749E-2</v>
      </c>
      <c r="K3409" s="45">
        <v>0.24479999999999999</v>
      </c>
      <c r="N3409" s="54"/>
    </row>
    <row r="3410" spans="2:14" x14ac:dyDescent="0.2">
      <c r="B3410">
        <v>3401</v>
      </c>
      <c r="C3410" s="52">
        <f ca="1"/>
        <v>0.67229288332762616</v>
      </c>
      <c r="D3410" s="52">
        <f ca="1">S0*EXP((μ-0.5*σ*σ)*T+σ*SQRT(T)*$C3410)</f>
        <v>0.77533002057348166</v>
      </c>
      <c r="E3410" s="52">
        <f t="shared" ca="1" si="146"/>
        <v>0</v>
      </c>
      <c r="F3410" s="17">
        <f t="shared" ca="1" si="147"/>
        <v>0</v>
      </c>
      <c r="H3410" s="17">
        <v>3401</v>
      </c>
      <c r="I3410" s="45">
        <v>0.6707346127459195</v>
      </c>
      <c r="J3410" s="45">
        <v>1.898423509627542E-2</v>
      </c>
      <c r="K3410" s="45">
        <v>0.24360000000000001</v>
      </c>
      <c r="N3410" s="54"/>
    </row>
    <row r="3411" spans="2:14" x14ac:dyDescent="0.2">
      <c r="B3411">
        <v>3402</v>
      </c>
      <c r="C3411" s="52">
        <f ca="1"/>
        <v>0.43208806694988044</v>
      </c>
      <c r="D3411" s="52">
        <f ca="1">S0*EXP((μ-0.5*σ*σ)*T+σ*SQRT(T)*$C3411)</f>
        <v>0.72551979071963624</v>
      </c>
      <c r="E3411" s="52">
        <f t="shared" ca="1" si="146"/>
        <v>0</v>
      </c>
      <c r="F3411" s="17">
        <f t="shared" ca="1" si="147"/>
        <v>0</v>
      </c>
      <c r="H3411" s="17">
        <v>3402</v>
      </c>
      <c r="I3411" s="45">
        <v>0.67228957212224127</v>
      </c>
      <c r="J3411" s="45">
        <v>1.9937964596234561E-2</v>
      </c>
      <c r="K3411" s="45">
        <v>0.25600000000000001</v>
      </c>
      <c r="N3411" s="54"/>
    </row>
    <row r="3412" spans="2:14" x14ac:dyDescent="0.2">
      <c r="B3412">
        <v>3403</v>
      </c>
      <c r="C3412" s="52">
        <f ca="1"/>
        <v>1.7778258787852448</v>
      </c>
      <c r="D3412" s="52">
        <f ca="1">S0*EXP((μ-0.5*σ*σ)*T+σ*SQRT(T)*$C3412)</f>
        <v>1.0524689204448772</v>
      </c>
      <c r="E3412" s="52">
        <f t="shared" ca="1" si="146"/>
        <v>0</v>
      </c>
      <c r="F3412" s="17">
        <f t="shared" ca="1" si="147"/>
        <v>0</v>
      </c>
      <c r="H3412" s="17">
        <v>3403</v>
      </c>
      <c r="I3412" s="45">
        <v>0.67219124576048428</v>
      </c>
      <c r="J3412" s="45">
        <v>1.9897136060570041E-2</v>
      </c>
      <c r="K3412" s="45">
        <v>0.24840000000000001</v>
      </c>
      <c r="N3412" s="54"/>
    </row>
    <row r="3413" spans="2:14" x14ac:dyDescent="0.2">
      <c r="B3413">
        <v>3404</v>
      </c>
      <c r="C3413" s="52">
        <f ca="1"/>
        <v>0.47568286372258495</v>
      </c>
      <c r="D3413" s="52">
        <f ca="1">S0*EXP((μ-0.5*σ*σ)*T+σ*SQRT(T)*$C3413)</f>
        <v>0.73431593848619459</v>
      </c>
      <c r="E3413" s="52">
        <f t="shared" ca="1" si="146"/>
        <v>0</v>
      </c>
      <c r="F3413" s="17">
        <f t="shared" ca="1" si="147"/>
        <v>0</v>
      </c>
      <c r="H3413" s="17">
        <v>3404</v>
      </c>
      <c r="I3413" s="45">
        <v>0.67018531229228484</v>
      </c>
      <c r="J3413" s="45">
        <v>1.8465302334052233E-2</v>
      </c>
      <c r="K3413" s="45">
        <v>0.24679999999999999</v>
      </c>
      <c r="N3413" s="54"/>
    </row>
    <row r="3414" spans="2:14" x14ac:dyDescent="0.2">
      <c r="B3414">
        <v>3405</v>
      </c>
      <c r="C3414" s="52">
        <f ca="1"/>
        <v>-5.4768281903561512E-2</v>
      </c>
      <c r="D3414" s="52">
        <f ca="1">S0*EXP((μ-0.5*σ*σ)*T+σ*SQRT(T)*$C3414)</f>
        <v>0.63416262426719638</v>
      </c>
      <c r="E3414" s="52">
        <f t="shared" ca="1" si="146"/>
        <v>0</v>
      </c>
      <c r="F3414" s="17">
        <f t="shared" ca="1" si="147"/>
        <v>0</v>
      </c>
      <c r="H3414" s="17">
        <v>3405</v>
      </c>
      <c r="I3414" s="45">
        <v>0.67036507553103619</v>
      </c>
      <c r="J3414" s="45">
        <v>1.8682367288882128E-2</v>
      </c>
      <c r="K3414" s="45">
        <v>0.24379999999999999</v>
      </c>
      <c r="N3414" s="54"/>
    </row>
    <row r="3415" spans="2:14" x14ac:dyDescent="0.2">
      <c r="B3415">
        <v>3406</v>
      </c>
      <c r="C3415" s="52">
        <f ca="1"/>
        <v>-0.4419393241263016</v>
      </c>
      <c r="D3415" s="52">
        <f ca="1">S0*EXP((μ-0.5*σ*σ)*T+σ*SQRT(T)*$C3415)</f>
        <v>0.56979620541323361</v>
      </c>
      <c r="E3415" s="52">
        <f t="shared" ca="1" si="146"/>
        <v>0</v>
      </c>
      <c r="F3415" s="17">
        <f t="shared" ca="1" si="147"/>
        <v>0</v>
      </c>
      <c r="H3415" s="17">
        <v>3406</v>
      </c>
      <c r="I3415" s="45">
        <v>0.67099854004846915</v>
      </c>
      <c r="J3415" s="45">
        <v>1.9408068636389501E-2</v>
      </c>
      <c r="K3415" s="45">
        <v>0.25240000000000001</v>
      </c>
      <c r="N3415" s="54"/>
    </row>
    <row r="3416" spans="2:14" x14ac:dyDescent="0.2">
      <c r="B3416">
        <v>3407</v>
      </c>
      <c r="C3416" s="52">
        <f ca="1"/>
        <v>-1.4707786052638236</v>
      </c>
      <c r="D3416" s="52">
        <f ca="1">S0*EXP((μ-0.5*σ*σ)*T+σ*SQRT(T)*$C3416)</f>
        <v>0.42875005835043484</v>
      </c>
      <c r="E3416" s="52">
        <f t="shared" ca="1" si="146"/>
        <v>0.10564994164956515</v>
      </c>
      <c r="F3416" s="17">
        <f t="shared" ca="1" si="147"/>
        <v>1</v>
      </c>
      <c r="H3416" s="17">
        <v>3407</v>
      </c>
      <c r="I3416" s="45">
        <v>0.6720318342845446</v>
      </c>
      <c r="J3416" s="45">
        <v>1.9852457654870592E-2</v>
      </c>
      <c r="K3416" s="45">
        <v>0.253</v>
      </c>
      <c r="N3416" s="54"/>
    </row>
    <row r="3417" spans="2:14" x14ac:dyDescent="0.2">
      <c r="B3417">
        <v>3408</v>
      </c>
      <c r="C3417" s="52">
        <f ca="1"/>
        <v>1.0764427522635724</v>
      </c>
      <c r="D3417" s="52">
        <f ca="1">S0*EXP((μ-0.5*σ*σ)*T+σ*SQRT(T)*$C3417)</f>
        <v>0.86697395469629568</v>
      </c>
      <c r="E3417" s="52">
        <f t="shared" ca="1" si="146"/>
        <v>0</v>
      </c>
      <c r="F3417" s="17">
        <f t="shared" ca="1" si="147"/>
        <v>0</v>
      </c>
      <c r="H3417" s="17">
        <v>3408</v>
      </c>
      <c r="I3417" s="45">
        <v>0.67080886893017688</v>
      </c>
      <c r="J3417" s="45">
        <v>1.898032854905133E-2</v>
      </c>
      <c r="K3417" s="45">
        <v>0.24660000000000001</v>
      </c>
      <c r="N3417" s="54"/>
    </row>
    <row r="3418" spans="2:14" x14ac:dyDescent="0.2">
      <c r="B3418">
        <v>3409</v>
      </c>
      <c r="C3418" s="52">
        <f ca="1"/>
        <v>0.6881914176194559</v>
      </c>
      <c r="D3418" s="52">
        <f ca="1">S0*EXP((μ-0.5*σ*σ)*T+σ*SQRT(T)*$C3418)</f>
        <v>0.77874499529816621</v>
      </c>
      <c r="E3418" s="52">
        <f t="shared" ca="1" si="146"/>
        <v>0</v>
      </c>
      <c r="F3418" s="17">
        <f t="shared" ca="1" si="147"/>
        <v>0</v>
      </c>
      <c r="H3418" s="17">
        <v>3409</v>
      </c>
      <c r="I3418" s="45">
        <v>0.67037536581922164</v>
      </c>
      <c r="J3418" s="45">
        <v>1.8513571648693977E-2</v>
      </c>
      <c r="K3418" s="45">
        <v>0.249</v>
      </c>
      <c r="N3418" s="54"/>
    </row>
    <row r="3419" spans="2:14" x14ac:dyDescent="0.2">
      <c r="B3419">
        <v>3410</v>
      </c>
      <c r="C3419" s="52">
        <f ca="1"/>
        <v>0.95245912901233254</v>
      </c>
      <c r="D3419" s="52">
        <f ca="1">S0*EXP((μ-0.5*σ*σ)*T+σ*SQRT(T)*$C3419)</f>
        <v>0.83776349160826258</v>
      </c>
      <c r="E3419" s="52">
        <f t="shared" ca="1" si="146"/>
        <v>0</v>
      </c>
      <c r="F3419" s="17">
        <f t="shared" ca="1" si="147"/>
        <v>0</v>
      </c>
      <c r="H3419" s="17">
        <v>3410</v>
      </c>
      <c r="I3419" s="45">
        <v>0.67126557730408154</v>
      </c>
      <c r="J3419" s="45">
        <v>1.912020298933239E-2</v>
      </c>
      <c r="K3419" s="45">
        <v>0.24879999999999999</v>
      </c>
      <c r="N3419" s="54"/>
    </row>
    <row r="3420" spans="2:14" x14ac:dyDescent="0.2">
      <c r="B3420">
        <v>3411</v>
      </c>
      <c r="C3420" s="52">
        <f ca="1"/>
        <v>-0.43492238536608607</v>
      </c>
      <c r="D3420" s="52">
        <f ca="1">S0*EXP((μ-0.5*σ*σ)*T+σ*SQRT(T)*$C3420)</f>
        <v>0.57090251743480536</v>
      </c>
      <c r="E3420" s="52">
        <f t="shared" ca="1" si="146"/>
        <v>0</v>
      </c>
      <c r="F3420" s="17">
        <f t="shared" ca="1" si="147"/>
        <v>0</v>
      </c>
      <c r="H3420" s="17">
        <v>3411</v>
      </c>
      <c r="I3420" s="45">
        <v>0.67057409492544562</v>
      </c>
      <c r="J3420" s="45">
        <v>1.8623924662084866E-2</v>
      </c>
      <c r="K3420" s="45">
        <v>0.23880000000000001</v>
      </c>
      <c r="N3420" s="54"/>
    </row>
    <row r="3421" spans="2:14" x14ac:dyDescent="0.2">
      <c r="B3421">
        <v>3412</v>
      </c>
      <c r="C3421" s="52">
        <f ca="1"/>
        <v>-0.29654600694421329</v>
      </c>
      <c r="D3421" s="52">
        <f ca="1">S0*EXP((μ-0.5*σ*σ)*T+σ*SQRT(T)*$C3421)</f>
        <v>0.59316357407901299</v>
      </c>
      <c r="E3421" s="52">
        <f t="shared" ca="1" si="146"/>
        <v>0</v>
      </c>
      <c r="F3421" s="17">
        <f t="shared" ca="1" si="147"/>
        <v>0</v>
      </c>
      <c r="H3421" s="17">
        <v>3412</v>
      </c>
      <c r="I3421" s="45">
        <v>0.67243667912290173</v>
      </c>
      <c r="J3421" s="45">
        <v>1.9751159118075574E-2</v>
      </c>
      <c r="K3421" s="45">
        <v>0.248</v>
      </c>
      <c r="N3421" s="54"/>
    </row>
    <row r="3422" spans="2:14" x14ac:dyDescent="0.2">
      <c r="B3422">
        <v>3413</v>
      </c>
      <c r="C3422" s="52">
        <f ca="1"/>
        <v>3.7745537227574608E-2</v>
      </c>
      <c r="D3422" s="52">
        <f ca="1">S0*EXP((μ-0.5*σ*σ)*T+σ*SQRT(T)*$C3422)</f>
        <v>0.65058974673497905</v>
      </c>
      <c r="E3422" s="52">
        <f t="shared" ca="1" si="146"/>
        <v>0</v>
      </c>
      <c r="F3422" s="17">
        <f t="shared" ca="1" si="147"/>
        <v>0</v>
      </c>
      <c r="H3422" s="17">
        <v>3413</v>
      </c>
      <c r="I3422" s="45">
        <v>0.67006025041696238</v>
      </c>
      <c r="J3422" s="45">
        <v>1.8125182930709995E-2</v>
      </c>
      <c r="K3422" s="45">
        <v>0.24340000000000001</v>
      </c>
      <c r="N3422" s="54"/>
    </row>
    <row r="3423" spans="2:14" x14ac:dyDescent="0.2">
      <c r="B3423">
        <v>3414</v>
      </c>
      <c r="C3423" s="52">
        <f ca="1"/>
        <v>4.5353732584279223E-2</v>
      </c>
      <c r="D3423" s="52">
        <f ca="1">S0*EXP((μ-0.5*σ*σ)*T+σ*SQRT(T)*$C3423)</f>
        <v>0.65195947609757166</v>
      </c>
      <c r="E3423" s="52">
        <f t="shared" ca="1" si="146"/>
        <v>0</v>
      </c>
      <c r="F3423" s="17">
        <f t="shared" ca="1" si="147"/>
        <v>0</v>
      </c>
      <c r="H3423" s="17">
        <v>3414</v>
      </c>
      <c r="I3423" s="45">
        <v>0.66962117450830627</v>
      </c>
      <c r="J3423" s="45">
        <v>1.8002081321376751E-2</v>
      </c>
      <c r="K3423" s="45">
        <v>0.23599999999999999</v>
      </c>
      <c r="N3423" s="54"/>
    </row>
    <row r="3424" spans="2:14" x14ac:dyDescent="0.2">
      <c r="B3424">
        <v>3415</v>
      </c>
      <c r="C3424" s="52">
        <f ca="1"/>
        <v>0.5787119135316996</v>
      </c>
      <c r="D3424" s="52">
        <f ca="1">S0*EXP((μ-0.5*σ*σ)*T+σ*SQRT(T)*$C3424)</f>
        <v>0.75553034704053845</v>
      </c>
      <c r="E3424" s="52">
        <f t="shared" ca="1" si="146"/>
        <v>0</v>
      </c>
      <c r="F3424" s="17">
        <f t="shared" ca="1" si="147"/>
        <v>0</v>
      </c>
      <c r="H3424" s="17">
        <v>3415</v>
      </c>
      <c r="I3424" s="45">
        <v>0.6712572087406431</v>
      </c>
      <c r="J3424" s="45">
        <v>1.9385840005071209E-2</v>
      </c>
      <c r="K3424" s="45">
        <v>0.24840000000000001</v>
      </c>
      <c r="N3424" s="54"/>
    </row>
    <row r="3425" spans="2:14" x14ac:dyDescent="0.2">
      <c r="B3425">
        <v>3416</v>
      </c>
      <c r="C3425" s="52">
        <f ca="1"/>
        <v>-0.83134010350833021</v>
      </c>
      <c r="D3425" s="52">
        <f ca="1">S0*EXP((μ-0.5*σ*σ)*T+σ*SQRT(T)*$C3425)</f>
        <v>0.51164740542566545</v>
      </c>
      <c r="E3425" s="52">
        <f t="shared" ca="1" si="146"/>
        <v>2.2752594574334539E-2</v>
      </c>
      <c r="F3425" s="17">
        <f t="shared" ca="1" si="147"/>
        <v>1</v>
      </c>
      <c r="H3425" s="17">
        <v>3416</v>
      </c>
      <c r="I3425" s="45">
        <v>0.67174854814292606</v>
      </c>
      <c r="J3425" s="45">
        <v>1.9656072703482009E-2</v>
      </c>
      <c r="K3425" s="45">
        <v>0.25259999999999999</v>
      </c>
      <c r="N3425" s="54"/>
    </row>
    <row r="3426" spans="2:14" x14ac:dyDescent="0.2">
      <c r="B3426">
        <v>3417</v>
      </c>
      <c r="C3426" s="52">
        <f ca="1"/>
        <v>-0.73718742986136232</v>
      </c>
      <c r="D3426" s="52">
        <f ca="1">S0*EXP((μ-0.5*σ*σ)*T+σ*SQRT(T)*$C3426)</f>
        <v>0.5251387885026354</v>
      </c>
      <c r="E3426" s="52">
        <f t="shared" ca="1" si="146"/>
        <v>9.2612114973645854E-3</v>
      </c>
      <c r="F3426" s="17">
        <f t="shared" ca="1" si="147"/>
        <v>1</v>
      </c>
      <c r="H3426" s="17">
        <v>3417</v>
      </c>
      <c r="I3426" s="45">
        <v>0.67066682782218046</v>
      </c>
      <c r="J3426" s="45">
        <v>1.9057877132555086E-2</v>
      </c>
      <c r="K3426" s="45">
        <v>0.24859999999999999</v>
      </c>
      <c r="N3426" s="54"/>
    </row>
    <row r="3427" spans="2:14" x14ac:dyDescent="0.2">
      <c r="B3427">
        <v>3418</v>
      </c>
      <c r="C3427" s="52">
        <f ca="1"/>
        <v>0.9679227661796479</v>
      </c>
      <c r="D3427" s="52">
        <f ca="1">S0*EXP((μ-0.5*σ*σ)*T+σ*SQRT(T)*$C3427)</f>
        <v>0.84135230405971162</v>
      </c>
      <c r="E3427" s="52">
        <f t="shared" ca="1" si="146"/>
        <v>0</v>
      </c>
      <c r="F3427" s="17">
        <f t="shared" ca="1" si="147"/>
        <v>0</v>
      </c>
      <c r="H3427" s="17">
        <v>3418</v>
      </c>
      <c r="I3427" s="45">
        <v>0.67050369986743741</v>
      </c>
      <c r="J3427" s="45">
        <v>1.8687325458984789E-2</v>
      </c>
      <c r="K3427" s="45">
        <v>0.24199999999999999</v>
      </c>
      <c r="N3427" s="54"/>
    </row>
    <row r="3428" spans="2:14" x14ac:dyDescent="0.2">
      <c r="B3428">
        <v>3419</v>
      </c>
      <c r="C3428" s="52">
        <f ca="1"/>
        <v>-0.47723205905730998</v>
      </c>
      <c r="D3428" s="52">
        <f ca="1">S0*EXP((μ-0.5*σ*σ)*T+σ*SQRT(T)*$C3428)</f>
        <v>0.56426426861269263</v>
      </c>
      <c r="E3428" s="52">
        <f t="shared" ca="1" si="146"/>
        <v>0</v>
      </c>
      <c r="F3428" s="17">
        <f t="shared" ca="1" si="147"/>
        <v>0</v>
      </c>
      <c r="H3428" s="17">
        <v>3419</v>
      </c>
      <c r="I3428" s="45">
        <v>0.6712576167024793</v>
      </c>
      <c r="J3428" s="45">
        <v>1.8920704271473399E-2</v>
      </c>
      <c r="K3428" s="45">
        <v>0.24460000000000001</v>
      </c>
      <c r="N3428" s="54"/>
    </row>
    <row r="3429" spans="2:14" x14ac:dyDescent="0.2">
      <c r="B3429">
        <v>3420</v>
      </c>
      <c r="C3429" s="52">
        <f ca="1"/>
        <v>-0.31674705096809302</v>
      </c>
      <c r="D3429" s="52">
        <f ca="1">S0*EXP((μ-0.5*σ*σ)*T+σ*SQRT(T)*$C3429)</f>
        <v>0.58986044629175827</v>
      </c>
      <c r="E3429" s="52">
        <f t="shared" ca="1" si="146"/>
        <v>0</v>
      </c>
      <c r="F3429" s="17">
        <f t="shared" ca="1" si="147"/>
        <v>0</v>
      </c>
      <c r="H3429" s="17">
        <v>3420</v>
      </c>
      <c r="I3429" s="45">
        <v>0.67111280170674292</v>
      </c>
      <c r="J3429" s="45">
        <v>1.9149670122089953E-2</v>
      </c>
      <c r="K3429" s="45">
        <v>0.24660000000000001</v>
      </c>
      <c r="N3429" s="54"/>
    </row>
    <row r="3430" spans="2:14" x14ac:dyDescent="0.2">
      <c r="B3430">
        <v>3421</v>
      </c>
      <c r="C3430" s="52">
        <f ca="1"/>
        <v>-1.9099770329236805</v>
      </c>
      <c r="D3430" s="52">
        <f ca="1">S0*EXP((μ-0.5*σ*σ)*T+σ*SQRT(T)*$C3430)</f>
        <v>0.37973187421839538</v>
      </c>
      <c r="E3430" s="52">
        <f t="shared" ca="1" si="146"/>
        <v>0.1546681257816046</v>
      </c>
      <c r="F3430" s="17">
        <f t="shared" ca="1" si="147"/>
        <v>1</v>
      </c>
      <c r="H3430" s="17">
        <v>3421</v>
      </c>
      <c r="I3430" s="45">
        <v>0.67211095932936771</v>
      </c>
      <c r="J3430" s="45">
        <v>1.9780677643779328E-2</v>
      </c>
      <c r="K3430" s="45">
        <v>0.246</v>
      </c>
      <c r="N3430" s="54"/>
    </row>
    <row r="3431" spans="2:14" x14ac:dyDescent="0.2">
      <c r="B3431">
        <v>3422</v>
      </c>
      <c r="C3431" s="52">
        <f ca="1"/>
        <v>-1.3425050638636025</v>
      </c>
      <c r="D3431" s="52">
        <f ca="1">S0*EXP((μ-0.5*σ*σ)*T+σ*SQRT(T)*$C3431)</f>
        <v>0.44422585342116028</v>
      </c>
      <c r="E3431" s="52">
        <f t="shared" ca="1" si="146"/>
        <v>9.0174146578839709E-2</v>
      </c>
      <c r="F3431" s="17">
        <f t="shared" ca="1" si="147"/>
        <v>1</v>
      </c>
      <c r="H3431" s="17">
        <v>3422</v>
      </c>
      <c r="I3431" s="45">
        <v>0.67110925394323284</v>
      </c>
      <c r="J3431" s="45">
        <v>1.907165354330817E-2</v>
      </c>
      <c r="K3431" s="45">
        <v>0.246</v>
      </c>
      <c r="N3431" s="54"/>
    </row>
    <row r="3432" spans="2:14" x14ac:dyDescent="0.2">
      <c r="B3432">
        <v>3423</v>
      </c>
      <c r="C3432" s="52">
        <f ca="1"/>
        <v>1.7367045651282544</v>
      </c>
      <c r="D3432" s="52">
        <f ca="1">S0*EXP((μ-0.5*σ*σ)*T+σ*SQRT(T)*$C3432)</f>
        <v>1.0405729644431436</v>
      </c>
      <c r="E3432" s="52">
        <f t="shared" ca="1" si="146"/>
        <v>0</v>
      </c>
      <c r="F3432" s="17">
        <f t="shared" ca="1" si="147"/>
        <v>0</v>
      </c>
      <c r="H3432" s="17">
        <v>3423</v>
      </c>
      <c r="I3432" s="45">
        <v>0.67155181807136799</v>
      </c>
      <c r="J3432" s="45">
        <v>1.955272477319317E-2</v>
      </c>
      <c r="K3432" s="45">
        <v>0.25219999999999998</v>
      </c>
      <c r="N3432" s="54"/>
    </row>
    <row r="3433" spans="2:14" x14ac:dyDescent="0.2">
      <c r="B3433">
        <v>3424</v>
      </c>
      <c r="C3433" s="52">
        <f ca="1"/>
        <v>-1.3983612590587409</v>
      </c>
      <c r="D3433" s="52">
        <f ca="1">S0*EXP((μ-0.5*σ*σ)*T+σ*SQRT(T)*$C3433)</f>
        <v>0.4374194801863473</v>
      </c>
      <c r="E3433" s="52">
        <f t="shared" ca="1" si="146"/>
        <v>9.6980519813652688E-2</v>
      </c>
      <c r="F3433" s="17">
        <f t="shared" ca="1" si="147"/>
        <v>1</v>
      </c>
      <c r="H3433" s="17">
        <v>3424</v>
      </c>
      <c r="I3433" s="45">
        <v>0.67147851142065351</v>
      </c>
      <c r="J3433" s="45">
        <v>1.9239100503531087E-2</v>
      </c>
      <c r="K3433" s="45">
        <v>0.24340000000000001</v>
      </c>
      <c r="N3433" s="54"/>
    </row>
    <row r="3434" spans="2:14" x14ac:dyDescent="0.2">
      <c r="B3434">
        <v>3425</v>
      </c>
      <c r="C3434" s="52">
        <f ca="1"/>
        <v>-8.8349176674670127E-2</v>
      </c>
      <c r="D3434" s="52">
        <f ca="1">S0*EXP((μ-0.5*σ*σ)*T+σ*SQRT(T)*$C3434)</f>
        <v>0.62830302600020749</v>
      </c>
      <c r="E3434" s="52">
        <f t="shared" ca="1" si="146"/>
        <v>0</v>
      </c>
      <c r="F3434" s="17">
        <f t="shared" ca="1" si="147"/>
        <v>0</v>
      </c>
      <c r="H3434" s="17">
        <v>3425</v>
      </c>
      <c r="I3434" s="45">
        <v>0.67044620468191474</v>
      </c>
      <c r="J3434" s="45">
        <v>1.8457067087094402E-2</v>
      </c>
      <c r="K3434" s="45">
        <v>0.2392</v>
      </c>
      <c r="N3434" s="54"/>
    </row>
    <row r="3435" spans="2:14" x14ac:dyDescent="0.2">
      <c r="B3435">
        <v>3426</v>
      </c>
      <c r="C3435" s="52">
        <f ca="1"/>
        <v>0.57644972084421764</v>
      </c>
      <c r="D3435" s="52">
        <f ca="1">S0*EXP((μ-0.5*σ*σ)*T+σ*SQRT(T)*$C3435)</f>
        <v>0.75505802866226712</v>
      </c>
      <c r="E3435" s="52">
        <f t="shared" ca="1" si="146"/>
        <v>0</v>
      </c>
      <c r="F3435" s="17">
        <f t="shared" ca="1" si="147"/>
        <v>0</v>
      </c>
      <c r="H3435" s="17">
        <v>3426</v>
      </c>
      <c r="I3435" s="45">
        <v>0.67007959258791383</v>
      </c>
      <c r="J3435" s="45">
        <v>1.8391696259833067E-2</v>
      </c>
      <c r="K3435" s="45">
        <v>0.247</v>
      </c>
      <c r="N3435" s="54"/>
    </row>
    <row r="3436" spans="2:14" x14ac:dyDescent="0.2">
      <c r="B3436">
        <v>3427</v>
      </c>
      <c r="C3436" s="52">
        <f ca="1"/>
        <v>-0.26592423778085855</v>
      </c>
      <c r="D3436" s="52">
        <f ca="1">S0*EXP((μ-0.5*σ*σ)*T+σ*SQRT(T)*$C3436)</f>
        <v>0.59820592758372337</v>
      </c>
      <c r="E3436" s="52">
        <f t="shared" ca="1" si="146"/>
        <v>0</v>
      </c>
      <c r="F3436" s="17">
        <f t="shared" ca="1" si="147"/>
        <v>0</v>
      </c>
      <c r="H3436" s="17">
        <v>3427</v>
      </c>
      <c r="I3436" s="45">
        <v>0.67115549538493913</v>
      </c>
      <c r="J3436" s="45">
        <v>1.9117320358745849E-2</v>
      </c>
      <c r="K3436" s="45">
        <v>0.24959999999999999</v>
      </c>
      <c r="N3436" s="54"/>
    </row>
    <row r="3437" spans="2:14" x14ac:dyDescent="0.2">
      <c r="B3437">
        <v>3428</v>
      </c>
      <c r="C3437" s="52">
        <f ca="1"/>
        <v>-0.2070703340612671</v>
      </c>
      <c r="D3437" s="52">
        <f ca="1">S0*EXP((μ-0.5*σ*σ)*T+σ*SQRT(T)*$C3437)</f>
        <v>0.60801781813830935</v>
      </c>
      <c r="E3437" s="52">
        <f t="shared" ca="1" si="146"/>
        <v>0</v>
      </c>
      <c r="F3437" s="17">
        <f t="shared" ca="1" si="147"/>
        <v>0</v>
      </c>
      <c r="H3437" s="17">
        <v>3428</v>
      </c>
      <c r="I3437" s="45">
        <v>0.67173562536953102</v>
      </c>
      <c r="J3437" s="45">
        <v>1.9683040065906755E-2</v>
      </c>
      <c r="K3437" s="45">
        <v>0.249</v>
      </c>
      <c r="N3437" s="54"/>
    </row>
    <row r="3438" spans="2:14" x14ac:dyDescent="0.2">
      <c r="B3438">
        <v>3429</v>
      </c>
      <c r="C3438" s="52">
        <f ca="1"/>
        <v>8.6965784589759648E-2</v>
      </c>
      <c r="D3438" s="52">
        <f ca="1">S0*EXP((μ-0.5*σ*σ)*T+σ*SQRT(T)*$C3438)</f>
        <v>0.65950221507968065</v>
      </c>
      <c r="E3438" s="52">
        <f t="shared" ca="1" si="146"/>
        <v>0</v>
      </c>
      <c r="F3438" s="17">
        <f t="shared" ca="1" si="147"/>
        <v>0</v>
      </c>
      <c r="H3438" s="17">
        <v>3429</v>
      </c>
      <c r="I3438" s="45">
        <v>0.67097950620621782</v>
      </c>
      <c r="J3438" s="45">
        <v>1.9026561495649706E-2</v>
      </c>
      <c r="K3438" s="45">
        <v>0.248</v>
      </c>
      <c r="N3438" s="54"/>
    </row>
    <row r="3439" spans="2:14" x14ac:dyDescent="0.2">
      <c r="B3439">
        <v>3430</v>
      </c>
      <c r="C3439" s="52">
        <f ca="1"/>
        <v>0.83344858684363177</v>
      </c>
      <c r="D3439" s="52">
        <f ca="1">S0*EXP((μ-0.5*σ*σ)*T+σ*SQRT(T)*$C3439)</f>
        <v>0.81065085347045696</v>
      </c>
      <c r="E3439" s="52">
        <f t="shared" ca="1" si="146"/>
        <v>0</v>
      </c>
      <c r="F3439" s="17">
        <f t="shared" ca="1" si="147"/>
        <v>0</v>
      </c>
      <c r="H3439" s="17">
        <v>3430</v>
      </c>
      <c r="I3439" s="45">
        <v>0.67147584692043072</v>
      </c>
      <c r="J3439" s="45">
        <v>1.9269690905960424E-2</v>
      </c>
      <c r="K3439" s="45">
        <v>0.2414</v>
      </c>
      <c r="N3439" s="54"/>
    </row>
    <row r="3440" spans="2:14" x14ac:dyDescent="0.2">
      <c r="B3440">
        <v>3431</v>
      </c>
      <c r="C3440" s="52">
        <f ca="1"/>
        <v>-0.84827488102033155</v>
      </c>
      <c r="D3440" s="52">
        <f ca="1">S0*EXP((μ-0.5*σ*σ)*T+σ*SQRT(T)*$C3440)</f>
        <v>0.50925781618873933</v>
      </c>
      <c r="E3440" s="52">
        <f t="shared" ca="1" si="146"/>
        <v>2.5142183811260654E-2</v>
      </c>
      <c r="F3440" s="17">
        <f t="shared" ca="1" si="147"/>
        <v>1</v>
      </c>
      <c r="H3440" s="17">
        <v>3431</v>
      </c>
      <c r="I3440" s="45">
        <v>0.67031607229352652</v>
      </c>
      <c r="J3440" s="45">
        <v>1.8393058135290935E-2</v>
      </c>
      <c r="K3440" s="45">
        <v>0.23860000000000001</v>
      </c>
      <c r="N3440" s="54"/>
    </row>
    <row r="3441" spans="2:14" x14ac:dyDescent="0.2">
      <c r="B3441">
        <v>3432</v>
      </c>
      <c r="C3441" s="52">
        <f ca="1"/>
        <v>-0.23235978250776898</v>
      </c>
      <c r="D3441" s="52">
        <f ca="1">S0*EXP((μ-0.5*σ*σ)*T+σ*SQRT(T)*$C3441)</f>
        <v>0.6037820943506963</v>
      </c>
      <c r="E3441" s="52">
        <f t="shared" ca="1" si="146"/>
        <v>0</v>
      </c>
      <c r="F3441" s="17">
        <f t="shared" ca="1" si="147"/>
        <v>0</v>
      </c>
      <c r="H3441" s="17">
        <v>3432</v>
      </c>
      <c r="I3441" s="45">
        <v>0.67019952456118248</v>
      </c>
      <c r="J3441" s="45">
        <v>1.8602078434777018E-2</v>
      </c>
      <c r="K3441" s="45">
        <v>0.24340000000000001</v>
      </c>
      <c r="N3441" s="54"/>
    </row>
    <row r="3442" spans="2:14" x14ac:dyDescent="0.2">
      <c r="B3442">
        <v>3433</v>
      </c>
      <c r="C3442" s="52">
        <f ca="1"/>
        <v>0.20988567811949724</v>
      </c>
      <c r="D3442" s="52">
        <f ca="1">S0*EXP((μ-0.5*σ*σ)*T+σ*SQRT(T)*$C3442)</f>
        <v>0.68229654901899484</v>
      </c>
      <c r="E3442" s="52">
        <f t="shared" ca="1" si="146"/>
        <v>0</v>
      </c>
      <c r="F3442" s="17">
        <f t="shared" ca="1" si="147"/>
        <v>0</v>
      </c>
      <c r="H3442" s="17">
        <v>3433</v>
      </c>
      <c r="I3442" s="45">
        <v>0.67053943945863392</v>
      </c>
      <c r="J3442" s="45">
        <v>1.8645899982841392E-2</v>
      </c>
      <c r="K3442" s="45">
        <v>0.2472</v>
      </c>
      <c r="N3442" s="54"/>
    </row>
    <row r="3443" spans="2:14" x14ac:dyDescent="0.2">
      <c r="B3443">
        <v>3434</v>
      </c>
      <c r="C3443" s="52">
        <f ca="1"/>
        <v>1.126670624638259</v>
      </c>
      <c r="D3443" s="52">
        <f ca="1">S0*EXP((μ-0.5*σ*σ)*T+σ*SQRT(T)*$C3443)</f>
        <v>0.87909551285306575</v>
      </c>
      <c r="E3443" s="52">
        <f t="shared" ca="1" si="146"/>
        <v>0</v>
      </c>
      <c r="F3443" s="17">
        <f t="shared" ca="1" si="147"/>
        <v>0</v>
      </c>
      <c r="H3443" s="17">
        <v>3434</v>
      </c>
      <c r="I3443" s="45">
        <v>0.67072727382328134</v>
      </c>
      <c r="J3443" s="45">
        <v>1.8904020391562422E-2</v>
      </c>
      <c r="K3443" s="45">
        <v>0.24679999999999999</v>
      </c>
      <c r="N3443" s="54"/>
    </row>
    <row r="3444" spans="2:14" x14ac:dyDescent="0.2">
      <c r="B3444">
        <v>3435</v>
      </c>
      <c r="C3444" s="52">
        <f ca="1"/>
        <v>-0.92864793193272632</v>
      </c>
      <c r="D3444" s="52">
        <f ca="1">S0*EXP((μ-0.5*σ*σ)*T+σ*SQRT(T)*$C3444)</f>
        <v>0.4980680324199479</v>
      </c>
      <c r="E3444" s="52">
        <f t="shared" ca="1" si="146"/>
        <v>3.6331967580052082E-2</v>
      </c>
      <c r="F3444" s="17">
        <f t="shared" ca="1" si="147"/>
        <v>1</v>
      </c>
      <c r="H3444" s="17">
        <v>3435</v>
      </c>
      <c r="I3444" s="45">
        <v>0.67073335904680731</v>
      </c>
      <c r="J3444" s="45">
        <v>1.8806502114909501E-2</v>
      </c>
      <c r="K3444" s="45">
        <v>0.24859999999999999</v>
      </c>
      <c r="N3444" s="54"/>
    </row>
    <row r="3445" spans="2:14" x14ac:dyDescent="0.2">
      <c r="B3445">
        <v>3436</v>
      </c>
      <c r="C3445" s="52">
        <f ca="1"/>
        <v>-0.45377084309178289</v>
      </c>
      <c r="D3445" s="52">
        <f ca="1">S0*EXP((μ-0.5*σ*σ)*T+σ*SQRT(T)*$C3445)</f>
        <v>0.56793566474665003</v>
      </c>
      <c r="E3445" s="52">
        <f t="shared" ca="1" si="146"/>
        <v>0</v>
      </c>
      <c r="F3445" s="17">
        <f t="shared" ca="1" si="147"/>
        <v>0</v>
      </c>
      <c r="H3445" s="17">
        <v>3436</v>
      </c>
      <c r="I3445" s="45">
        <v>0.67074382675675059</v>
      </c>
      <c r="J3445" s="45">
        <v>1.8738174879010781E-2</v>
      </c>
      <c r="K3445" s="45">
        <v>0.24560000000000001</v>
      </c>
      <c r="N3445" s="54"/>
    </row>
    <row r="3446" spans="2:14" x14ac:dyDescent="0.2">
      <c r="B3446">
        <v>3437</v>
      </c>
      <c r="C3446" s="52">
        <f ca="1"/>
        <v>0.57027044098171797</v>
      </c>
      <c r="D3446" s="52">
        <f ca="1">S0*EXP((μ-0.5*σ*σ)*T+σ*SQRT(T)*$C3446)</f>
        <v>0.75376937429867408</v>
      </c>
      <c r="E3446" s="52">
        <f t="shared" ca="1" si="146"/>
        <v>0</v>
      </c>
      <c r="F3446" s="17">
        <f t="shared" ca="1" si="147"/>
        <v>0</v>
      </c>
      <c r="H3446" s="17">
        <v>3437</v>
      </c>
      <c r="I3446" s="45">
        <v>0.67021560613636844</v>
      </c>
      <c r="J3446" s="45">
        <v>1.835141909379465E-2</v>
      </c>
      <c r="K3446" s="45">
        <v>0.24099999999999999</v>
      </c>
      <c r="N3446" s="54"/>
    </row>
    <row r="3447" spans="2:14" x14ac:dyDescent="0.2">
      <c r="B3447">
        <v>3438</v>
      </c>
      <c r="C3447" s="52">
        <f ca="1"/>
        <v>-1.4466424265318178</v>
      </c>
      <c r="D3447" s="52">
        <f ca="1">S0*EXP((μ-0.5*σ*σ)*T+σ*SQRT(T)*$C3447)</f>
        <v>0.43162025362098033</v>
      </c>
      <c r="E3447" s="52">
        <f t="shared" ca="1" si="146"/>
        <v>0.10277974637901965</v>
      </c>
      <c r="F3447" s="17">
        <f t="shared" ca="1" si="147"/>
        <v>1</v>
      </c>
      <c r="H3447" s="17">
        <v>3438</v>
      </c>
      <c r="I3447" s="45">
        <v>0.67094397251128823</v>
      </c>
      <c r="J3447" s="45">
        <v>1.8764266715237399E-2</v>
      </c>
      <c r="K3447" s="45">
        <v>0.2414</v>
      </c>
      <c r="N3447" s="54"/>
    </row>
    <row r="3448" spans="2:14" x14ac:dyDescent="0.2">
      <c r="B3448">
        <v>3439</v>
      </c>
      <c r="C3448" s="52">
        <f ca="1"/>
        <v>1.5782813252618393</v>
      </c>
      <c r="D3448" s="52">
        <f ca="1">S0*EXP((μ-0.5*σ*σ)*T+σ*SQRT(T)*$C3448)</f>
        <v>0.99598623127258312</v>
      </c>
      <c r="E3448" s="52">
        <f t="shared" ca="1" si="146"/>
        <v>0</v>
      </c>
      <c r="F3448" s="17">
        <f t="shared" ca="1" si="147"/>
        <v>0</v>
      </c>
      <c r="H3448" s="17">
        <v>3439</v>
      </c>
      <c r="I3448" s="45">
        <v>0.67079149517481906</v>
      </c>
      <c r="J3448" s="45">
        <v>1.8777416687365153E-2</v>
      </c>
      <c r="K3448" s="45">
        <v>0.24</v>
      </c>
      <c r="N3448" s="54"/>
    </row>
    <row r="3449" spans="2:14" x14ac:dyDescent="0.2">
      <c r="B3449">
        <v>3440</v>
      </c>
      <c r="C3449" s="52">
        <f ca="1"/>
        <v>0.90168354128482175</v>
      </c>
      <c r="D3449" s="52">
        <f ca="1">S0*EXP((μ-0.5*σ*σ)*T+σ*SQRT(T)*$C3449)</f>
        <v>0.82608676282855276</v>
      </c>
      <c r="E3449" s="52">
        <f t="shared" ca="1" si="146"/>
        <v>0</v>
      </c>
      <c r="F3449" s="17">
        <f t="shared" ca="1" si="147"/>
        <v>0</v>
      </c>
      <c r="H3449" s="17">
        <v>3440</v>
      </c>
      <c r="I3449" s="45">
        <v>0.67114747180962175</v>
      </c>
      <c r="J3449" s="45">
        <v>1.9135304173322553E-2</v>
      </c>
      <c r="K3449" s="45">
        <v>0.24959999999999999</v>
      </c>
      <c r="N3449" s="54"/>
    </row>
    <row r="3450" spans="2:14" x14ac:dyDescent="0.2">
      <c r="B3450">
        <v>3441</v>
      </c>
      <c r="C3450" s="52">
        <f ca="1"/>
        <v>-0.61330715621625631</v>
      </c>
      <c r="D3450" s="52">
        <f ca="1">S0*EXP((μ-0.5*σ*σ)*T+σ*SQRT(T)*$C3450)</f>
        <v>0.54343337940846448</v>
      </c>
      <c r="E3450" s="52">
        <f t="shared" ca="1" si="146"/>
        <v>0</v>
      </c>
      <c r="F3450" s="17">
        <f t="shared" ca="1" si="147"/>
        <v>0</v>
      </c>
      <c r="H3450" s="17">
        <v>3441</v>
      </c>
      <c r="I3450" s="45">
        <v>0.67062412627448298</v>
      </c>
      <c r="J3450" s="45">
        <v>1.8675298834949016E-2</v>
      </c>
      <c r="K3450" s="45">
        <v>0.2422</v>
      </c>
      <c r="N3450" s="54"/>
    </row>
    <row r="3451" spans="2:14" x14ac:dyDescent="0.2">
      <c r="B3451">
        <v>3442</v>
      </c>
      <c r="C3451" s="52">
        <f ca="1"/>
        <v>7.0492850512880775E-2</v>
      </c>
      <c r="D3451" s="52">
        <f ca="1">S0*EXP((μ-0.5*σ*σ)*T+σ*SQRT(T)*$C3451)</f>
        <v>0.6565058970845451</v>
      </c>
      <c r="E3451" s="52">
        <f t="shared" ca="1" si="146"/>
        <v>0</v>
      </c>
      <c r="F3451" s="17">
        <f t="shared" ca="1" si="147"/>
        <v>0</v>
      </c>
      <c r="H3451" s="17">
        <v>3442</v>
      </c>
      <c r="I3451" s="45">
        <v>0.67000538217802275</v>
      </c>
      <c r="J3451" s="45">
        <v>1.8637806588511534E-2</v>
      </c>
      <c r="K3451" s="45">
        <v>0.252</v>
      </c>
      <c r="N3451" s="54"/>
    </row>
    <row r="3452" spans="2:14" x14ac:dyDescent="0.2">
      <c r="B3452">
        <v>3443</v>
      </c>
      <c r="C3452" s="52">
        <f ca="1"/>
        <v>-0.52885413402749459</v>
      </c>
      <c r="D3452" s="52">
        <f ca="1">S0*EXP((μ-0.5*σ*σ)*T+σ*SQRT(T)*$C3452)</f>
        <v>0.55626938550377658</v>
      </c>
      <c r="E3452" s="52">
        <f t="shared" ca="1" si="146"/>
        <v>0</v>
      </c>
      <c r="F3452" s="17">
        <f t="shared" ca="1" si="147"/>
        <v>0</v>
      </c>
      <c r="H3452" s="17">
        <v>3443</v>
      </c>
      <c r="I3452" s="45">
        <v>0.6718856322338107</v>
      </c>
      <c r="J3452" s="45">
        <v>1.9571562920080148E-2</v>
      </c>
      <c r="K3452" s="45">
        <v>0.25419999999999998</v>
      </c>
      <c r="N3452" s="54"/>
    </row>
    <row r="3453" spans="2:14" x14ac:dyDescent="0.2">
      <c r="B3453">
        <v>3444</v>
      </c>
      <c r="C3453" s="52">
        <f ca="1"/>
        <v>-1.4554215416781988</v>
      </c>
      <c r="D3453" s="52">
        <f ca="1">S0*EXP((μ-0.5*σ*σ)*T+σ*SQRT(T)*$C3453)</f>
        <v>0.43057405339566235</v>
      </c>
      <c r="E3453" s="52">
        <f t="shared" ca="1" si="146"/>
        <v>0.10382594660433764</v>
      </c>
      <c r="F3453" s="17">
        <f t="shared" ca="1" si="147"/>
        <v>1</v>
      </c>
      <c r="H3453" s="17">
        <v>3444</v>
      </c>
      <c r="I3453" s="45">
        <v>0.67172540179331985</v>
      </c>
      <c r="J3453" s="45">
        <v>1.9639353481707283E-2</v>
      </c>
      <c r="K3453" s="45">
        <v>0.25480000000000003</v>
      </c>
      <c r="N3453" s="54"/>
    </row>
    <row r="3454" spans="2:14" x14ac:dyDescent="0.2">
      <c r="B3454">
        <v>3445</v>
      </c>
      <c r="C3454" s="52">
        <f ca="1"/>
        <v>-0.15270992212345236</v>
      </c>
      <c r="D3454" s="52">
        <f ca="1">S0*EXP((μ-0.5*σ*σ)*T+σ*SQRT(T)*$C3454)</f>
        <v>0.61722348643511227</v>
      </c>
      <c r="E3454" s="52">
        <f t="shared" ca="1" si="146"/>
        <v>0</v>
      </c>
      <c r="F3454" s="17">
        <f t="shared" ca="1" si="147"/>
        <v>0</v>
      </c>
      <c r="H3454" s="17">
        <v>3445</v>
      </c>
      <c r="I3454" s="45">
        <v>0.67083677237734363</v>
      </c>
      <c r="J3454" s="45">
        <v>1.9109547586365683E-2</v>
      </c>
      <c r="K3454" s="45">
        <v>0.2432</v>
      </c>
      <c r="N3454" s="54"/>
    </row>
    <row r="3455" spans="2:14" x14ac:dyDescent="0.2">
      <c r="B3455">
        <v>3446</v>
      </c>
      <c r="C3455" s="52">
        <f ca="1"/>
        <v>-1.2757607152777499</v>
      </c>
      <c r="D3455" s="52">
        <f ca="1">S0*EXP((μ-0.5*σ*σ)*T+σ*SQRT(T)*$C3455)</f>
        <v>0.45249803472608957</v>
      </c>
      <c r="E3455" s="52">
        <f t="shared" ca="1" si="146"/>
        <v>8.1901965273910415E-2</v>
      </c>
      <c r="F3455" s="17">
        <f t="shared" ca="1" si="147"/>
        <v>1</v>
      </c>
      <c r="H3455" s="17">
        <v>3446</v>
      </c>
      <c r="I3455" s="45">
        <v>0.67106136906011471</v>
      </c>
      <c r="J3455" s="45">
        <v>1.8736461658329848E-2</v>
      </c>
      <c r="K3455" s="45">
        <v>0.2424</v>
      </c>
      <c r="N3455" s="54"/>
    </row>
    <row r="3456" spans="2:14" x14ac:dyDescent="0.2">
      <c r="B3456">
        <v>3447</v>
      </c>
      <c r="C3456" s="52">
        <f ca="1"/>
        <v>0.60344947650300018</v>
      </c>
      <c r="D3456" s="52">
        <f ca="1">S0*EXP((μ-0.5*σ*σ)*T+σ*SQRT(T)*$C3456)</f>
        <v>0.76071457040080936</v>
      </c>
      <c r="E3456" s="52">
        <f t="shared" ca="1" si="146"/>
        <v>0</v>
      </c>
      <c r="F3456" s="17">
        <f t="shared" ca="1" si="147"/>
        <v>0</v>
      </c>
      <c r="H3456" s="17">
        <v>3447</v>
      </c>
      <c r="I3456" s="45">
        <v>0.67051743114734086</v>
      </c>
      <c r="J3456" s="45">
        <v>1.8671463939096914E-2</v>
      </c>
      <c r="K3456" s="45">
        <v>0.24340000000000001</v>
      </c>
      <c r="N3456" s="54"/>
    </row>
    <row r="3457" spans="2:14" x14ac:dyDescent="0.2">
      <c r="B3457">
        <v>3448</v>
      </c>
      <c r="C3457" s="52">
        <f ca="1"/>
        <v>-0.26482085036276787</v>
      </c>
      <c r="D3457" s="52">
        <f ca="1">S0*EXP((μ-0.5*σ*σ)*T+σ*SQRT(T)*$C3457)</f>
        <v>0.59838841549300581</v>
      </c>
      <c r="E3457" s="52">
        <f t="shared" ca="1" si="146"/>
        <v>0</v>
      </c>
      <c r="F3457" s="17">
        <f t="shared" ca="1" si="147"/>
        <v>0</v>
      </c>
      <c r="H3457" s="17">
        <v>3448</v>
      </c>
      <c r="I3457" s="45">
        <v>0.67227727483721167</v>
      </c>
      <c r="J3457" s="45">
        <v>1.9907624187419232E-2</v>
      </c>
      <c r="K3457" s="45">
        <v>0.25040000000000001</v>
      </c>
      <c r="N3457" s="54"/>
    </row>
    <row r="3458" spans="2:14" x14ac:dyDescent="0.2">
      <c r="B3458">
        <v>3449</v>
      </c>
      <c r="C3458" s="52">
        <f ca="1"/>
        <v>0.48156656287627841</v>
      </c>
      <c r="D3458" s="52">
        <f ca="1">S0*EXP((μ-0.5*σ*σ)*T+σ*SQRT(T)*$C3458)</f>
        <v>0.73551123529743034</v>
      </c>
      <c r="E3458" s="52">
        <f t="shared" ca="1" si="146"/>
        <v>0</v>
      </c>
      <c r="F3458" s="17">
        <f t="shared" ca="1" si="147"/>
        <v>0</v>
      </c>
      <c r="H3458" s="17">
        <v>3449</v>
      </c>
      <c r="I3458" s="45">
        <v>0.67084612339851402</v>
      </c>
      <c r="J3458" s="45">
        <v>1.8858155124032112E-2</v>
      </c>
      <c r="K3458" s="45">
        <v>0.246</v>
      </c>
      <c r="N3458" s="54"/>
    </row>
    <row r="3459" spans="2:14" x14ac:dyDescent="0.2">
      <c r="B3459">
        <v>3450</v>
      </c>
      <c r="C3459" s="52">
        <f ca="1"/>
        <v>1.1201546213665623</v>
      </c>
      <c r="D3459" s="52">
        <f ca="1">S0*EXP((μ-0.5*σ*σ)*T+σ*SQRT(T)*$C3459)</f>
        <v>0.8775134803411091</v>
      </c>
      <c r="E3459" s="52">
        <f t="shared" ca="1" si="146"/>
        <v>0</v>
      </c>
      <c r="F3459" s="17">
        <f t="shared" ca="1" si="147"/>
        <v>0</v>
      </c>
      <c r="H3459" s="17">
        <v>3450</v>
      </c>
      <c r="I3459" s="45">
        <v>0.67134757992125493</v>
      </c>
      <c r="J3459" s="45">
        <v>1.9514650213258961E-2</v>
      </c>
      <c r="K3459" s="45">
        <v>0.25180000000000002</v>
      </c>
      <c r="N3459" s="54"/>
    </row>
    <row r="3460" spans="2:14" x14ac:dyDescent="0.2">
      <c r="B3460">
        <v>3451</v>
      </c>
      <c r="C3460" s="52">
        <f ca="1"/>
        <v>-0.71652208432782061</v>
      </c>
      <c r="D3460" s="52">
        <f ca="1">S0*EXP((μ-0.5*σ*σ)*T+σ*SQRT(T)*$C3460)</f>
        <v>0.52814726727251182</v>
      </c>
      <c r="E3460" s="52">
        <f t="shared" ca="1" si="146"/>
        <v>6.2527327274881639E-3</v>
      </c>
      <c r="F3460" s="17">
        <f t="shared" ca="1" si="147"/>
        <v>1</v>
      </c>
      <c r="H3460" s="17">
        <v>3451</v>
      </c>
      <c r="I3460" s="45">
        <v>0.67080112911317546</v>
      </c>
      <c r="J3460" s="45">
        <v>1.9031898313125468E-2</v>
      </c>
      <c r="K3460" s="45">
        <v>0.24779999999999999</v>
      </c>
      <c r="N3460" s="54"/>
    </row>
    <row r="3461" spans="2:14" x14ac:dyDescent="0.2">
      <c r="B3461">
        <v>3452</v>
      </c>
      <c r="C3461" s="52">
        <f ca="1"/>
        <v>0.50673691491488704</v>
      </c>
      <c r="D3461" s="52">
        <f ca="1">S0*EXP((μ-0.5*σ*σ)*T+σ*SQRT(T)*$C3461)</f>
        <v>0.7406466969240838</v>
      </c>
      <c r="E3461" s="52">
        <f t="shared" ca="1" si="146"/>
        <v>0</v>
      </c>
      <c r="F3461" s="17">
        <f t="shared" ca="1" si="147"/>
        <v>0</v>
      </c>
      <c r="H3461" s="17">
        <v>3452</v>
      </c>
      <c r="I3461" s="45">
        <v>0.67118598311357702</v>
      </c>
      <c r="J3461" s="45">
        <v>1.8967044338231195E-2</v>
      </c>
      <c r="K3461" s="45">
        <v>0.23960000000000001</v>
      </c>
      <c r="N3461" s="54"/>
    </row>
    <row r="3462" spans="2:14" x14ac:dyDescent="0.2">
      <c r="B3462">
        <v>3453</v>
      </c>
      <c r="C3462" s="52">
        <f ca="1"/>
        <v>-0.7026733417737725</v>
      </c>
      <c r="D3462" s="52">
        <f ca="1">S0*EXP((μ-0.5*σ*σ)*T+σ*SQRT(T)*$C3462)</f>
        <v>0.53017301825540719</v>
      </c>
      <c r="E3462" s="52">
        <f t="shared" ca="1" si="146"/>
        <v>4.2269817445927949E-3</v>
      </c>
      <c r="F3462" s="17">
        <f t="shared" ca="1" si="147"/>
        <v>1</v>
      </c>
      <c r="H3462" s="17">
        <v>3453</v>
      </c>
      <c r="I3462" s="45">
        <v>0.67005661301068642</v>
      </c>
      <c r="J3462" s="45">
        <v>1.8211230635694239E-2</v>
      </c>
      <c r="K3462" s="45">
        <v>0.24299999999999999</v>
      </c>
      <c r="N3462" s="54"/>
    </row>
    <row r="3463" spans="2:14" x14ac:dyDescent="0.2">
      <c r="B3463">
        <v>3454</v>
      </c>
      <c r="C3463" s="52">
        <f ca="1"/>
        <v>-0.34467885534789311</v>
      </c>
      <c r="D3463" s="52">
        <f ca="1">S0*EXP((μ-0.5*σ*σ)*T+σ*SQRT(T)*$C3463)</f>
        <v>0.58532351901951196</v>
      </c>
      <c r="E3463" s="52">
        <f t="shared" ca="1" si="146"/>
        <v>0</v>
      </c>
      <c r="F3463" s="17">
        <f t="shared" ca="1" si="147"/>
        <v>0</v>
      </c>
      <c r="H3463" s="17">
        <v>3454</v>
      </c>
      <c r="I3463" s="45">
        <v>0.66933742152185749</v>
      </c>
      <c r="J3463" s="45">
        <v>1.7777467356688365E-2</v>
      </c>
      <c r="K3463" s="45">
        <v>0.2404</v>
      </c>
      <c r="N3463" s="54"/>
    </row>
    <row r="3464" spans="2:14" x14ac:dyDescent="0.2">
      <c r="B3464">
        <v>3455</v>
      </c>
      <c r="C3464" s="52">
        <f ca="1"/>
        <v>-0.7022635633533556</v>
      </c>
      <c r="D3464" s="52">
        <f ca="1">S0*EXP((μ-0.5*σ*σ)*T+σ*SQRT(T)*$C3464)</f>
        <v>0.53023307757743565</v>
      </c>
      <c r="E3464" s="52">
        <f t="shared" ca="1" si="146"/>
        <v>4.1669224225643342E-3</v>
      </c>
      <c r="F3464" s="17">
        <f t="shared" ca="1" si="147"/>
        <v>1</v>
      </c>
      <c r="H3464" s="17">
        <v>3455</v>
      </c>
      <c r="I3464" s="45">
        <v>0.67119535739830716</v>
      </c>
      <c r="J3464" s="45">
        <v>1.8998934709613998E-2</v>
      </c>
      <c r="K3464" s="45">
        <v>0.24779999999999999</v>
      </c>
      <c r="N3464" s="54"/>
    </row>
    <row r="3465" spans="2:14" x14ac:dyDescent="0.2">
      <c r="B3465">
        <v>3456</v>
      </c>
      <c r="C3465" s="52">
        <f ca="1"/>
        <v>-0.42568414379851482</v>
      </c>
      <c r="D3465" s="52">
        <f ca="1">S0*EXP((μ-0.5*σ*σ)*T+σ*SQRT(T)*$C3465)</f>
        <v>0.57236232312465884</v>
      </c>
      <c r="E3465" s="52">
        <f t="shared" ca="1" si="146"/>
        <v>0</v>
      </c>
      <c r="F3465" s="17">
        <f t="shared" ca="1" si="147"/>
        <v>0</v>
      </c>
      <c r="H3465" s="17">
        <v>3456</v>
      </c>
      <c r="I3465" s="45">
        <v>0.67149217710209075</v>
      </c>
      <c r="J3465" s="45">
        <v>1.9649363930430725E-2</v>
      </c>
      <c r="K3465" s="45">
        <v>0.24879999999999999</v>
      </c>
      <c r="N3465" s="54"/>
    </row>
    <row r="3466" spans="2:14" x14ac:dyDescent="0.2">
      <c r="B3466">
        <v>3457</v>
      </c>
      <c r="C3466" s="52">
        <f ca="1"/>
        <v>-1.2055933974622219</v>
      </c>
      <c r="D3466" s="52">
        <f ca="1">S0*EXP((μ-0.5*σ*σ)*T+σ*SQRT(T)*$C3466)</f>
        <v>0.4613605991552579</v>
      </c>
      <c r="E3466" s="52">
        <f t="shared" ref="E3466:E3529" ca="1" si="148">MAX(0,CP*(D3466-K))</f>
        <v>7.3039400844742086E-2</v>
      </c>
      <c r="F3466" s="17">
        <f t="shared" ref="F3466:F3529" ca="1" si="149">(CP*(D3466-K)&gt;0)*1</f>
        <v>1</v>
      </c>
      <c r="H3466" s="17">
        <v>3457</v>
      </c>
      <c r="I3466" s="45">
        <v>0.67049424511905908</v>
      </c>
      <c r="J3466" s="45">
        <v>1.8595165029596569E-2</v>
      </c>
      <c r="K3466" s="45">
        <v>0.23980000000000001</v>
      </c>
      <c r="N3466" s="54"/>
    </row>
    <row r="3467" spans="2:14" x14ac:dyDescent="0.2">
      <c r="B3467">
        <v>3458</v>
      </c>
      <c r="C3467" s="52">
        <f ca="1"/>
        <v>-0.98302391978941284</v>
      </c>
      <c r="D3467" s="52">
        <f ca="1">S0*EXP((μ-0.5*σ*σ)*T+σ*SQRT(T)*$C3467)</f>
        <v>0.49063741271062156</v>
      </c>
      <c r="E3467" s="52">
        <f t="shared" ca="1" si="148"/>
        <v>4.376258728937843E-2</v>
      </c>
      <c r="F3467" s="17">
        <f t="shared" ca="1" si="149"/>
        <v>1</v>
      </c>
      <c r="H3467" s="17">
        <v>3458</v>
      </c>
      <c r="I3467" s="45">
        <v>0.67129756439299693</v>
      </c>
      <c r="J3467" s="45">
        <v>1.918897774693475E-2</v>
      </c>
      <c r="K3467" s="45">
        <v>0.25</v>
      </c>
      <c r="N3467" s="54"/>
    </row>
    <row r="3468" spans="2:14" x14ac:dyDescent="0.2">
      <c r="B3468">
        <v>3459</v>
      </c>
      <c r="C3468" s="52">
        <f ca="1"/>
        <v>-0.20124759066327097</v>
      </c>
      <c r="D3468" s="52">
        <f ca="1">S0*EXP((μ-0.5*σ*σ)*T+σ*SQRT(T)*$C3468)</f>
        <v>0.60899726898549245</v>
      </c>
      <c r="E3468" s="52">
        <f t="shared" ca="1" si="148"/>
        <v>0</v>
      </c>
      <c r="F3468" s="17">
        <f t="shared" ca="1" si="149"/>
        <v>0</v>
      </c>
      <c r="H3468" s="17">
        <v>3459</v>
      </c>
      <c r="I3468" s="45">
        <v>0.67039738567223628</v>
      </c>
      <c r="J3468" s="45">
        <v>1.8433547473204023E-2</v>
      </c>
      <c r="K3468" s="45">
        <v>0.24379999999999999</v>
      </c>
      <c r="N3468" s="54"/>
    </row>
    <row r="3469" spans="2:14" x14ac:dyDescent="0.2">
      <c r="B3469">
        <v>3460</v>
      </c>
      <c r="C3469" s="52">
        <f ca="1"/>
        <v>-1.0065762724826222</v>
      </c>
      <c r="D3469" s="52">
        <f ca="1">S0*EXP((μ-0.5*σ*σ)*T+σ*SQRT(T)*$C3469)</f>
        <v>0.48745342722015744</v>
      </c>
      <c r="E3469" s="52">
        <f t="shared" ca="1" si="148"/>
        <v>4.6946572779842544E-2</v>
      </c>
      <c r="F3469" s="17">
        <f t="shared" ca="1" si="149"/>
        <v>1</v>
      </c>
      <c r="H3469" s="17">
        <v>3460</v>
      </c>
      <c r="I3469" s="45">
        <v>0.67190210572006426</v>
      </c>
      <c r="J3469" s="45">
        <v>1.931741503167381E-2</v>
      </c>
      <c r="K3469" s="45">
        <v>0.25040000000000001</v>
      </c>
      <c r="N3469" s="54"/>
    </row>
    <row r="3470" spans="2:14" x14ac:dyDescent="0.2">
      <c r="B3470">
        <v>3461</v>
      </c>
      <c r="C3470" s="52">
        <f ca="1"/>
        <v>0.18185115938314231</v>
      </c>
      <c r="D3470" s="52">
        <f ca="1">S0*EXP((μ-0.5*σ*σ)*T+σ*SQRT(T)*$C3470)</f>
        <v>0.67702942344297445</v>
      </c>
      <c r="E3470" s="52">
        <f t="shared" ca="1" si="148"/>
        <v>0</v>
      </c>
      <c r="F3470" s="17">
        <f t="shared" ca="1" si="149"/>
        <v>0</v>
      </c>
      <c r="H3470" s="17">
        <v>3461</v>
      </c>
      <c r="I3470" s="45">
        <v>0.67009041579094775</v>
      </c>
      <c r="J3470" s="45">
        <v>1.8108745329698098E-2</v>
      </c>
      <c r="K3470" s="45">
        <v>0.2394</v>
      </c>
      <c r="N3470" s="54"/>
    </row>
    <row r="3471" spans="2:14" x14ac:dyDescent="0.2">
      <c r="B3471">
        <v>3462</v>
      </c>
      <c r="C3471" s="52">
        <f ca="1"/>
        <v>-1.0121241151399574</v>
      </c>
      <c r="D3471" s="52">
        <f ca="1">S0*EXP((μ-0.5*σ*σ)*T+σ*SQRT(T)*$C3471)</f>
        <v>0.48670643958974902</v>
      </c>
      <c r="E3471" s="52">
        <f t="shared" ca="1" si="148"/>
        <v>4.7693560410250968E-2</v>
      </c>
      <c r="F3471" s="17">
        <f t="shared" ca="1" si="149"/>
        <v>1</v>
      </c>
      <c r="H3471" s="17">
        <v>3462</v>
      </c>
      <c r="I3471" s="45">
        <v>0.67118308492615586</v>
      </c>
      <c r="J3471" s="45">
        <v>1.9295621917387162E-2</v>
      </c>
      <c r="K3471" s="45">
        <v>0.25559999999999999</v>
      </c>
      <c r="N3471" s="54"/>
    </row>
    <row r="3472" spans="2:14" x14ac:dyDescent="0.2">
      <c r="B3472">
        <v>3463</v>
      </c>
      <c r="C3472" s="52">
        <f ca="1"/>
        <v>-6.584816410630509E-2</v>
      </c>
      <c r="D3472" s="52">
        <f ca="1">S0*EXP((μ-0.5*σ*σ)*T+σ*SQRT(T)*$C3472)</f>
        <v>0.63222325731845508</v>
      </c>
      <c r="E3472" s="52">
        <f t="shared" ca="1" si="148"/>
        <v>0</v>
      </c>
      <c r="F3472" s="17">
        <f t="shared" ca="1" si="149"/>
        <v>0</v>
      </c>
      <c r="H3472" s="17">
        <v>3463</v>
      </c>
      <c r="I3472" s="45">
        <v>0.67080547850871741</v>
      </c>
      <c r="J3472" s="45">
        <v>1.8689392359760412E-2</v>
      </c>
      <c r="K3472" s="45">
        <v>0.245</v>
      </c>
      <c r="N3472" s="54"/>
    </row>
    <row r="3473" spans="2:14" x14ac:dyDescent="0.2">
      <c r="B3473">
        <v>3464</v>
      </c>
      <c r="C3473" s="52">
        <f ca="1"/>
        <v>1.8236922489978917</v>
      </c>
      <c r="D3473" s="52">
        <f ca="1">S0*EXP((μ-0.5*σ*σ)*T+σ*SQRT(T)*$C3473)</f>
        <v>1.06589808152788</v>
      </c>
      <c r="E3473" s="52">
        <f t="shared" ca="1" si="148"/>
        <v>0</v>
      </c>
      <c r="F3473" s="17">
        <f t="shared" ca="1" si="149"/>
        <v>0</v>
      </c>
      <c r="H3473" s="17">
        <v>3464</v>
      </c>
      <c r="I3473" s="45">
        <v>0.67078770899591389</v>
      </c>
      <c r="J3473" s="45">
        <v>1.9072744745911262E-2</v>
      </c>
      <c r="K3473" s="45">
        <v>0.2492</v>
      </c>
      <c r="N3473" s="54"/>
    </row>
    <row r="3474" spans="2:14" x14ac:dyDescent="0.2">
      <c r="B3474">
        <v>3465</v>
      </c>
      <c r="C3474" s="52">
        <f ca="1"/>
        <v>0.33042282785749272</v>
      </c>
      <c r="D3474" s="52">
        <f ca="1">S0*EXP((μ-0.5*σ*σ)*T+σ*SQRT(T)*$C3474)</f>
        <v>0.7054139355645811</v>
      </c>
      <c r="E3474" s="52">
        <f t="shared" ca="1" si="148"/>
        <v>0</v>
      </c>
      <c r="F3474" s="17">
        <f t="shared" ca="1" si="149"/>
        <v>0</v>
      </c>
      <c r="H3474" s="17">
        <v>3465</v>
      </c>
      <c r="I3474" s="45">
        <v>0.6698610406430402</v>
      </c>
      <c r="J3474" s="45">
        <v>1.8096769099483226E-2</v>
      </c>
      <c r="K3474" s="45">
        <v>0.23980000000000001</v>
      </c>
      <c r="N3474" s="54"/>
    </row>
    <row r="3475" spans="2:14" x14ac:dyDescent="0.2">
      <c r="B3475">
        <v>3466</v>
      </c>
      <c r="C3475" s="52">
        <f ca="1"/>
        <v>0.85790644363524027</v>
      </c>
      <c r="D3475" s="52">
        <f ca="1">S0*EXP((μ-0.5*σ*σ)*T+σ*SQRT(T)*$C3475)</f>
        <v>0.81615019019024637</v>
      </c>
      <c r="E3475" s="52">
        <f t="shared" ca="1" si="148"/>
        <v>0</v>
      </c>
      <c r="F3475" s="17">
        <f t="shared" ca="1" si="149"/>
        <v>0</v>
      </c>
      <c r="H3475" s="17">
        <v>3466</v>
      </c>
      <c r="I3475" s="45">
        <v>0.67141559752938096</v>
      </c>
      <c r="J3475" s="45">
        <v>1.9380500465513671E-2</v>
      </c>
      <c r="K3475" s="45">
        <v>0.25340000000000001</v>
      </c>
      <c r="N3475" s="54"/>
    </row>
    <row r="3476" spans="2:14" x14ac:dyDescent="0.2">
      <c r="B3476">
        <v>3467</v>
      </c>
      <c r="C3476" s="52">
        <f ca="1"/>
        <v>-0.39360039480090142</v>
      </c>
      <c r="D3476" s="52">
        <f ca="1">S0*EXP((μ-0.5*σ*σ)*T+σ*SQRT(T)*$C3476)</f>
        <v>0.57746117704753885</v>
      </c>
      <c r="E3476" s="52">
        <f t="shared" ca="1" si="148"/>
        <v>0</v>
      </c>
      <c r="F3476" s="17">
        <f t="shared" ca="1" si="149"/>
        <v>0</v>
      </c>
      <c r="H3476" s="17">
        <v>3467</v>
      </c>
      <c r="I3476" s="45">
        <v>0.67106399753424961</v>
      </c>
      <c r="J3476" s="45">
        <v>1.8903659991743954E-2</v>
      </c>
      <c r="K3476" s="45">
        <v>0.2482</v>
      </c>
      <c r="N3476" s="54"/>
    </row>
    <row r="3477" spans="2:14" x14ac:dyDescent="0.2">
      <c r="B3477">
        <v>3468</v>
      </c>
      <c r="C3477" s="52">
        <f ca="1"/>
        <v>-0.28331069983662782</v>
      </c>
      <c r="D3477" s="52">
        <f ca="1">S0*EXP((μ-0.5*σ*σ)*T+σ*SQRT(T)*$C3477)</f>
        <v>0.59533773822895297</v>
      </c>
      <c r="E3477" s="52">
        <f t="shared" ca="1" si="148"/>
        <v>0</v>
      </c>
      <c r="F3477" s="17">
        <f t="shared" ca="1" si="149"/>
        <v>0</v>
      </c>
      <c r="H3477" s="17">
        <v>3468</v>
      </c>
      <c r="I3477" s="45">
        <v>0.67099587079624501</v>
      </c>
      <c r="J3477" s="45">
        <v>1.9196089117601334E-2</v>
      </c>
      <c r="K3477" s="45">
        <v>0.25440000000000002</v>
      </c>
      <c r="N3477" s="54"/>
    </row>
    <row r="3478" spans="2:14" x14ac:dyDescent="0.2">
      <c r="B3478">
        <v>3469</v>
      </c>
      <c r="C3478" s="52">
        <f ca="1"/>
        <v>-2.1575493261903849</v>
      </c>
      <c r="D3478" s="52">
        <f ca="1">S0*EXP((μ-0.5*σ*σ)*T+σ*SQRT(T)*$C3478)</f>
        <v>0.35461346962757578</v>
      </c>
      <c r="E3478" s="52">
        <f t="shared" ca="1" si="148"/>
        <v>0.1797865303724242</v>
      </c>
      <c r="F3478" s="17">
        <f t="shared" ca="1" si="149"/>
        <v>1</v>
      </c>
      <c r="H3478" s="17">
        <v>3469</v>
      </c>
      <c r="I3478" s="45">
        <v>0.67017642923825183</v>
      </c>
      <c r="J3478" s="45">
        <v>1.8444501972472584E-2</v>
      </c>
      <c r="K3478" s="45">
        <v>0.247</v>
      </c>
      <c r="N3478" s="54"/>
    </row>
    <row r="3479" spans="2:14" x14ac:dyDescent="0.2">
      <c r="B3479">
        <v>3470</v>
      </c>
      <c r="C3479" s="52">
        <f ca="1"/>
        <v>-0.15951978416911322</v>
      </c>
      <c r="D3479" s="52">
        <f ca="1">S0*EXP((μ-0.5*σ*σ)*T+σ*SQRT(T)*$C3479)</f>
        <v>0.61606267635467804</v>
      </c>
      <c r="E3479" s="52">
        <f t="shared" ca="1" si="148"/>
        <v>0</v>
      </c>
      <c r="F3479" s="17">
        <f t="shared" ca="1" si="149"/>
        <v>0</v>
      </c>
      <c r="H3479" s="17">
        <v>3470</v>
      </c>
      <c r="I3479" s="45">
        <v>0.67138667423328324</v>
      </c>
      <c r="J3479" s="45">
        <v>1.9194645905411367E-2</v>
      </c>
      <c r="K3479" s="45">
        <v>0.25359999999999999</v>
      </c>
      <c r="N3479" s="54"/>
    </row>
    <row r="3480" spans="2:14" x14ac:dyDescent="0.2">
      <c r="B3480">
        <v>3471</v>
      </c>
      <c r="C3480" s="52">
        <f ca="1"/>
        <v>0.34293304696870619</v>
      </c>
      <c r="D3480" s="52">
        <f ca="1">S0*EXP((μ-0.5*σ*σ)*T+σ*SQRT(T)*$C3480)</f>
        <v>0.70785764313862154</v>
      </c>
      <c r="E3480" s="52">
        <f t="shared" ca="1" si="148"/>
        <v>0</v>
      </c>
      <c r="F3480" s="17">
        <f t="shared" ca="1" si="149"/>
        <v>0</v>
      </c>
      <c r="H3480" s="17">
        <v>3471</v>
      </c>
      <c r="I3480" s="45">
        <v>0.67043860937810973</v>
      </c>
      <c r="J3480" s="45">
        <v>1.860635956797202E-2</v>
      </c>
      <c r="K3480" s="45">
        <v>0.2452</v>
      </c>
      <c r="N3480" s="54"/>
    </row>
    <row r="3481" spans="2:14" x14ac:dyDescent="0.2">
      <c r="B3481">
        <v>3472</v>
      </c>
      <c r="C3481" s="52">
        <f ca="1"/>
        <v>-1.668277564600557</v>
      </c>
      <c r="D3481" s="52">
        <f ca="1">S0*EXP((μ-0.5*σ*σ)*T+σ*SQRT(T)*$C3481)</f>
        <v>0.40596989269547679</v>
      </c>
      <c r="E3481" s="52">
        <f t="shared" ca="1" si="148"/>
        <v>0.1284301073045232</v>
      </c>
      <c r="F3481" s="17">
        <f t="shared" ca="1" si="149"/>
        <v>1</v>
      </c>
      <c r="H3481" s="17">
        <v>3472</v>
      </c>
      <c r="I3481" s="45">
        <v>0.67151875313542753</v>
      </c>
      <c r="J3481" s="45">
        <v>1.9212790933233102E-2</v>
      </c>
      <c r="K3481" s="45">
        <v>0.24460000000000001</v>
      </c>
      <c r="N3481" s="54"/>
    </row>
    <row r="3482" spans="2:14" x14ac:dyDescent="0.2">
      <c r="B3482">
        <v>3473</v>
      </c>
      <c r="C3482" s="52">
        <f ca="1"/>
        <v>0.5960082491678611</v>
      </c>
      <c r="D3482" s="52">
        <f ca="1">S0*EXP((μ-0.5*σ*σ)*T+σ*SQRT(T)*$C3482)</f>
        <v>0.75915139095976403</v>
      </c>
      <c r="E3482" s="52">
        <f t="shared" ca="1" si="148"/>
        <v>0</v>
      </c>
      <c r="F3482" s="17">
        <f t="shared" ca="1" si="149"/>
        <v>0</v>
      </c>
      <c r="H3482" s="17">
        <v>3473</v>
      </c>
      <c r="I3482" s="45">
        <v>0.67068598859200879</v>
      </c>
      <c r="J3482" s="45">
        <v>1.8792659042154696E-2</v>
      </c>
      <c r="K3482" s="45">
        <v>0.23860000000000001</v>
      </c>
      <c r="N3482" s="54"/>
    </row>
    <row r="3483" spans="2:14" x14ac:dyDescent="0.2">
      <c r="B3483">
        <v>3474</v>
      </c>
      <c r="C3483" s="52">
        <f ca="1"/>
        <v>-2.3843373148143745</v>
      </c>
      <c r="D3483" s="52">
        <f ca="1">S0*EXP((μ-0.5*σ*σ)*T+σ*SQRT(T)*$C3483)</f>
        <v>0.33306471309471497</v>
      </c>
      <c r="E3483" s="52">
        <f t="shared" ca="1" si="148"/>
        <v>0.20133528690528502</v>
      </c>
      <c r="F3483" s="17">
        <f t="shared" ca="1" si="149"/>
        <v>1</v>
      </c>
      <c r="H3483" s="17">
        <v>3474</v>
      </c>
      <c r="I3483" s="45">
        <v>0.67093165574133995</v>
      </c>
      <c r="J3483" s="45">
        <v>1.8815798701047253E-2</v>
      </c>
      <c r="K3483" s="45">
        <v>0.2392</v>
      </c>
      <c r="N3483" s="54"/>
    </row>
    <row r="3484" spans="2:14" x14ac:dyDescent="0.2">
      <c r="B3484">
        <v>3475</v>
      </c>
      <c r="C3484" s="52">
        <f ca="1"/>
        <v>-8.2410747103553686E-2</v>
      </c>
      <c r="D3484" s="52">
        <f ca="1">S0*EXP((μ-0.5*σ*σ)*T+σ*SQRT(T)*$C3484)</f>
        <v>0.62933527957519553</v>
      </c>
      <c r="E3484" s="52">
        <f t="shared" ca="1" si="148"/>
        <v>0</v>
      </c>
      <c r="F3484" s="17">
        <f t="shared" ca="1" si="149"/>
        <v>0</v>
      </c>
      <c r="H3484" s="17">
        <v>3475</v>
      </c>
      <c r="I3484" s="45">
        <v>0.67171690728073896</v>
      </c>
      <c r="J3484" s="45">
        <v>1.9584628517097521E-2</v>
      </c>
      <c r="K3484" s="45">
        <v>0.25119999999999998</v>
      </c>
      <c r="N3484" s="54"/>
    </row>
    <row r="3485" spans="2:14" x14ac:dyDescent="0.2">
      <c r="B3485">
        <v>3476</v>
      </c>
      <c r="C3485" s="52">
        <f ca="1"/>
        <v>0.95842917733409472</v>
      </c>
      <c r="D3485" s="52">
        <f ca="1">S0*EXP((μ-0.5*σ*σ)*T+σ*SQRT(T)*$C3485)</f>
        <v>0.83914720712006619</v>
      </c>
      <c r="E3485" s="52">
        <f t="shared" ca="1" si="148"/>
        <v>0</v>
      </c>
      <c r="F3485" s="17">
        <f t="shared" ca="1" si="149"/>
        <v>0</v>
      </c>
      <c r="H3485" s="17">
        <v>3476</v>
      </c>
      <c r="I3485" s="45">
        <v>0.67156727152539986</v>
      </c>
      <c r="J3485" s="45">
        <v>1.9503120103465884E-2</v>
      </c>
      <c r="K3485" s="45">
        <v>0.24879999999999999</v>
      </c>
      <c r="N3485" s="54"/>
    </row>
    <row r="3486" spans="2:14" x14ac:dyDescent="0.2">
      <c r="B3486">
        <v>3477</v>
      </c>
      <c r="C3486" s="52">
        <f ca="1"/>
        <v>0.30767038857936296</v>
      </c>
      <c r="D3486" s="52">
        <f ca="1">S0*EXP((μ-0.5*σ*σ)*T+σ*SQRT(T)*$C3486)</f>
        <v>0.70099114793660022</v>
      </c>
      <c r="E3486" s="52">
        <f t="shared" ca="1" si="148"/>
        <v>0</v>
      </c>
      <c r="F3486" s="17">
        <f t="shared" ca="1" si="149"/>
        <v>0</v>
      </c>
      <c r="H3486" s="17">
        <v>3477</v>
      </c>
      <c r="I3486" s="45">
        <v>0.67191917926385991</v>
      </c>
      <c r="J3486" s="45">
        <v>1.9786348938471966E-2</v>
      </c>
      <c r="K3486" s="45">
        <v>0.24979999999999999</v>
      </c>
      <c r="N3486" s="54"/>
    </row>
    <row r="3487" spans="2:14" x14ac:dyDescent="0.2">
      <c r="B3487">
        <v>3478</v>
      </c>
      <c r="C3487" s="52">
        <f ca="1"/>
        <v>-0.47966860083322049</v>
      </c>
      <c r="D3487" s="52">
        <f ca="1">S0*EXP((μ-0.5*σ*σ)*T+σ*SQRT(T)*$C3487)</f>
        <v>0.56388434237687057</v>
      </c>
      <c r="E3487" s="52">
        <f t="shared" ca="1" si="148"/>
        <v>0</v>
      </c>
      <c r="F3487" s="17">
        <f t="shared" ca="1" si="149"/>
        <v>0</v>
      </c>
      <c r="H3487" s="17">
        <v>3478</v>
      </c>
      <c r="I3487" s="45">
        <v>0.67169876727166899</v>
      </c>
      <c r="J3487" s="45">
        <v>1.9501943239322056E-2</v>
      </c>
      <c r="K3487" s="45">
        <v>0.24979999999999999</v>
      </c>
      <c r="N3487" s="54"/>
    </row>
    <row r="3488" spans="2:14" x14ac:dyDescent="0.2">
      <c r="B3488">
        <v>3479</v>
      </c>
      <c r="C3488" s="52">
        <f ca="1"/>
        <v>1.5932518359243681</v>
      </c>
      <c r="D3488" s="52">
        <f ca="1">S0*EXP((μ-0.5*σ*σ)*T+σ*SQRT(T)*$C3488)</f>
        <v>1.0001164971520404</v>
      </c>
      <c r="E3488" s="52">
        <f t="shared" ca="1" si="148"/>
        <v>0</v>
      </c>
      <c r="F3488" s="17">
        <f t="shared" ca="1" si="149"/>
        <v>0</v>
      </c>
      <c r="H3488" s="17">
        <v>3479</v>
      </c>
      <c r="I3488" s="45">
        <v>0.6702894077858812</v>
      </c>
      <c r="J3488" s="45">
        <v>1.8531826003394074E-2</v>
      </c>
      <c r="K3488" s="45">
        <v>0.24379999999999999</v>
      </c>
      <c r="N3488" s="54"/>
    </row>
    <row r="3489" spans="2:14" x14ac:dyDescent="0.2">
      <c r="B3489">
        <v>3480</v>
      </c>
      <c r="C3489" s="52">
        <f ca="1"/>
        <v>0.22679253081368589</v>
      </c>
      <c r="D3489" s="52">
        <f ca="1">S0*EXP((μ-0.5*σ*σ)*T+σ*SQRT(T)*$C3489)</f>
        <v>0.68549279592563062</v>
      </c>
      <c r="E3489" s="52">
        <f t="shared" ca="1" si="148"/>
        <v>0</v>
      </c>
      <c r="F3489" s="17">
        <f t="shared" ca="1" si="149"/>
        <v>0</v>
      </c>
      <c r="H3489" s="17">
        <v>3480</v>
      </c>
      <c r="I3489" s="45">
        <v>0.67138084393245767</v>
      </c>
      <c r="J3489" s="45">
        <v>1.9332355011656688E-2</v>
      </c>
      <c r="K3489" s="45">
        <v>0.248</v>
      </c>
      <c r="N3489" s="54"/>
    </row>
    <row r="3490" spans="2:14" x14ac:dyDescent="0.2">
      <c r="B3490">
        <v>3481</v>
      </c>
      <c r="C3490" s="52">
        <f ca="1"/>
        <v>1.3135258554773039</v>
      </c>
      <c r="D3490" s="52">
        <f ca="1">S0*EXP((μ-0.5*σ*σ)*T+σ*SQRT(T)*$C3490)</f>
        <v>0.92569648748301803</v>
      </c>
      <c r="E3490" s="52">
        <f t="shared" ca="1" si="148"/>
        <v>0</v>
      </c>
      <c r="F3490" s="17">
        <f t="shared" ca="1" si="149"/>
        <v>0</v>
      </c>
      <c r="H3490" s="17">
        <v>3481</v>
      </c>
      <c r="I3490" s="45">
        <v>0.67011681622280583</v>
      </c>
      <c r="J3490" s="45">
        <v>1.8756403563469904E-2</v>
      </c>
      <c r="K3490" s="45">
        <v>0.25480000000000003</v>
      </c>
      <c r="N3490" s="54"/>
    </row>
    <row r="3491" spans="2:14" x14ac:dyDescent="0.2">
      <c r="B3491">
        <v>3482</v>
      </c>
      <c r="C3491" s="52">
        <f ca="1"/>
        <v>-6.4072840381267884E-2</v>
      </c>
      <c r="D3491" s="52">
        <f ca="1">S0*EXP((μ-0.5*σ*σ)*T+σ*SQRT(T)*$C3491)</f>
        <v>0.63253360157878424</v>
      </c>
      <c r="E3491" s="52">
        <f t="shared" ca="1" si="148"/>
        <v>0</v>
      </c>
      <c r="F3491" s="17">
        <f t="shared" ca="1" si="149"/>
        <v>0</v>
      </c>
      <c r="H3491" s="17">
        <v>3482</v>
      </c>
      <c r="I3491" s="45">
        <v>0.67166360272824077</v>
      </c>
      <c r="J3491" s="45">
        <v>1.9878508644221408E-2</v>
      </c>
      <c r="K3491" s="45">
        <v>0.25380000000000003</v>
      </c>
      <c r="N3491" s="54"/>
    </row>
    <row r="3492" spans="2:14" x14ac:dyDescent="0.2">
      <c r="B3492">
        <v>3483</v>
      </c>
      <c r="C3492" s="52">
        <f ca="1"/>
        <v>-0.2765339757872452</v>
      </c>
      <c r="D3492" s="52">
        <f ca="1">S0*EXP((μ-0.5*σ*σ)*T+σ*SQRT(T)*$C3492)</f>
        <v>0.59645403375291883</v>
      </c>
      <c r="E3492" s="52">
        <f t="shared" ca="1" si="148"/>
        <v>0</v>
      </c>
      <c r="F3492" s="17">
        <f t="shared" ca="1" si="149"/>
        <v>0</v>
      </c>
      <c r="H3492" s="17">
        <v>3483</v>
      </c>
      <c r="I3492" s="45">
        <v>0.67072336167507984</v>
      </c>
      <c r="J3492" s="45">
        <v>1.8423919358605927E-2</v>
      </c>
      <c r="K3492" s="45">
        <v>0.2392</v>
      </c>
      <c r="N3492" s="54"/>
    </row>
    <row r="3493" spans="2:14" x14ac:dyDescent="0.2">
      <c r="B3493">
        <v>3484</v>
      </c>
      <c r="C3493" s="52">
        <f ca="1"/>
        <v>-2.4336658619774334</v>
      </c>
      <c r="D3493" s="52">
        <f ca="1">S0*EXP((μ-0.5*σ*σ)*T+σ*SQRT(T)*$C3493)</f>
        <v>0.3285538628241359</v>
      </c>
      <c r="E3493" s="52">
        <f t="shared" ca="1" si="148"/>
        <v>0.20584613717586409</v>
      </c>
      <c r="F3493" s="17">
        <f t="shared" ca="1" si="149"/>
        <v>1</v>
      </c>
      <c r="H3493" s="17">
        <v>3484</v>
      </c>
      <c r="I3493" s="45">
        <v>0.6711630264138303</v>
      </c>
      <c r="J3493" s="45">
        <v>1.929789462933287E-2</v>
      </c>
      <c r="K3493" s="45">
        <v>0.2472</v>
      </c>
      <c r="N3493" s="54"/>
    </row>
    <row r="3494" spans="2:14" x14ac:dyDescent="0.2">
      <c r="B3494">
        <v>3485</v>
      </c>
      <c r="C3494" s="52">
        <f ca="1"/>
        <v>0.5201998664684494</v>
      </c>
      <c r="D3494" s="52">
        <f ca="1">S0*EXP((μ-0.5*σ*σ)*T+σ*SQRT(T)*$C3494)</f>
        <v>0.74340822129606077</v>
      </c>
      <c r="E3494" s="52">
        <f t="shared" ca="1" si="148"/>
        <v>0</v>
      </c>
      <c r="F3494" s="17">
        <f t="shared" ca="1" si="149"/>
        <v>0</v>
      </c>
      <c r="H3494" s="17">
        <v>3485</v>
      </c>
      <c r="I3494" s="45">
        <v>0.67098719577778176</v>
      </c>
      <c r="J3494" s="45">
        <v>1.9173944845379886E-2</v>
      </c>
      <c r="K3494" s="45">
        <v>0.24959999999999999</v>
      </c>
      <c r="N3494" s="54"/>
    </row>
    <row r="3495" spans="2:14" x14ac:dyDescent="0.2">
      <c r="B3495">
        <v>3486</v>
      </c>
      <c r="C3495" s="52">
        <f ca="1"/>
        <v>0.90567045866094409</v>
      </c>
      <c r="D3495" s="52">
        <f ca="1">S0*EXP((μ-0.5*σ*σ)*T+σ*SQRT(T)*$C3495)</f>
        <v>0.82699770616521107</v>
      </c>
      <c r="E3495" s="52">
        <f t="shared" ca="1" si="148"/>
        <v>0</v>
      </c>
      <c r="F3495" s="17">
        <f t="shared" ca="1" si="149"/>
        <v>0</v>
      </c>
      <c r="H3495" s="17">
        <v>3486</v>
      </c>
      <c r="I3495" s="45">
        <v>0.67043848912114612</v>
      </c>
      <c r="J3495" s="45">
        <v>1.8490484030801082E-2</v>
      </c>
      <c r="K3495" s="45">
        <v>0.24460000000000001</v>
      </c>
      <c r="N3495" s="54"/>
    </row>
    <row r="3496" spans="2:14" x14ac:dyDescent="0.2">
      <c r="B3496">
        <v>3487</v>
      </c>
      <c r="C3496" s="52">
        <f ca="1"/>
        <v>0.63572207863649821</v>
      </c>
      <c r="D3496" s="52">
        <f ca="1">S0*EXP((μ-0.5*σ*σ)*T+σ*SQRT(T)*$C3496)</f>
        <v>0.76753141657127444</v>
      </c>
      <c r="E3496" s="52">
        <f t="shared" ca="1" si="148"/>
        <v>0</v>
      </c>
      <c r="F3496" s="17">
        <f t="shared" ca="1" si="149"/>
        <v>0</v>
      </c>
      <c r="H3496" s="17">
        <v>3487</v>
      </c>
      <c r="I3496" s="45">
        <v>0.67135924183852669</v>
      </c>
      <c r="J3496" s="45">
        <v>1.9411686960305652E-2</v>
      </c>
      <c r="K3496" s="45">
        <v>0.252</v>
      </c>
      <c r="N3496" s="54"/>
    </row>
    <row r="3497" spans="2:14" x14ac:dyDescent="0.2">
      <c r="B3497">
        <v>3488</v>
      </c>
      <c r="C3497" s="52">
        <f ca="1"/>
        <v>1.9397947197571024</v>
      </c>
      <c r="D3497" s="52">
        <f ca="1">S0*EXP((μ-0.5*σ*σ)*T+σ*SQRT(T)*$C3497)</f>
        <v>1.1006624332665012</v>
      </c>
      <c r="E3497" s="52">
        <f t="shared" ca="1" si="148"/>
        <v>0</v>
      </c>
      <c r="F3497" s="17">
        <f t="shared" ca="1" si="149"/>
        <v>0</v>
      </c>
      <c r="H3497" s="17">
        <v>3488</v>
      </c>
      <c r="I3497" s="45">
        <v>0.6716996368404512</v>
      </c>
      <c r="J3497" s="45">
        <v>1.9564712061442557E-2</v>
      </c>
      <c r="K3497" s="45">
        <v>0.245</v>
      </c>
      <c r="N3497" s="54"/>
    </row>
    <row r="3498" spans="2:14" x14ac:dyDescent="0.2">
      <c r="B3498">
        <v>3489</v>
      </c>
      <c r="C3498" s="52">
        <f ca="1"/>
        <v>0.80948100989995553</v>
      </c>
      <c r="D3498" s="52">
        <f ca="1">S0*EXP((μ-0.5*σ*σ)*T+σ*SQRT(T)*$C3498)</f>
        <v>0.80529770609918838</v>
      </c>
      <c r="E3498" s="52">
        <f t="shared" ca="1" si="148"/>
        <v>0</v>
      </c>
      <c r="F3498" s="17">
        <f t="shared" ca="1" si="149"/>
        <v>0</v>
      </c>
      <c r="H3498" s="17">
        <v>3489</v>
      </c>
      <c r="I3498" s="45">
        <v>0.67063437483913191</v>
      </c>
      <c r="J3498" s="45">
        <v>1.8864711016824597E-2</v>
      </c>
      <c r="K3498" s="45">
        <v>0.24579999999999999</v>
      </c>
      <c r="N3498" s="54"/>
    </row>
    <row r="3499" spans="2:14" x14ac:dyDescent="0.2">
      <c r="B3499">
        <v>3490</v>
      </c>
      <c r="C3499" s="52">
        <f ca="1"/>
        <v>0.69301884504954381</v>
      </c>
      <c r="D3499" s="52">
        <f ca="1">S0*EXP((μ-0.5*σ*σ)*T+σ*SQRT(T)*$C3499)</f>
        <v>0.77978489140044926</v>
      </c>
      <c r="E3499" s="52">
        <f t="shared" ca="1" si="148"/>
        <v>0</v>
      </c>
      <c r="F3499" s="17">
        <f t="shared" ca="1" si="149"/>
        <v>0</v>
      </c>
      <c r="H3499" s="17">
        <v>3490</v>
      </c>
      <c r="I3499" s="45">
        <v>0.67259887739748858</v>
      </c>
      <c r="J3499" s="45">
        <v>1.991423565166766E-2</v>
      </c>
      <c r="K3499" s="45">
        <v>0.25019999999999998</v>
      </c>
      <c r="N3499" s="54"/>
    </row>
    <row r="3500" spans="2:14" x14ac:dyDescent="0.2">
      <c r="B3500">
        <v>3491</v>
      </c>
      <c r="C3500" s="52">
        <f ca="1"/>
        <v>1.4794390805628543</v>
      </c>
      <c r="D3500" s="52">
        <f ca="1">S0*EXP((μ-0.5*σ*σ)*T+σ*SQRT(T)*$C3500)</f>
        <v>0.96914110779907159</v>
      </c>
      <c r="E3500" s="52">
        <f t="shared" ca="1" si="148"/>
        <v>0</v>
      </c>
      <c r="F3500" s="17">
        <f t="shared" ca="1" si="149"/>
        <v>0</v>
      </c>
      <c r="H3500" s="17">
        <v>3491</v>
      </c>
      <c r="I3500" s="45">
        <v>0.67112632339414591</v>
      </c>
      <c r="J3500" s="45">
        <v>1.9094009750501281E-2</v>
      </c>
      <c r="K3500" s="45">
        <v>0.246</v>
      </c>
      <c r="N3500" s="54"/>
    </row>
    <row r="3501" spans="2:14" x14ac:dyDescent="0.2">
      <c r="B3501">
        <v>3492</v>
      </c>
      <c r="C3501" s="52">
        <f ca="1"/>
        <v>1.373907967672662</v>
      </c>
      <c r="D3501" s="52">
        <f ca="1">S0*EXP((μ-0.5*σ*σ)*T+σ*SQRT(T)*$C3501)</f>
        <v>0.94127749762946999</v>
      </c>
      <c r="E3501" s="52">
        <f t="shared" ca="1" si="148"/>
        <v>0</v>
      </c>
      <c r="F3501" s="17">
        <f t="shared" ca="1" si="149"/>
        <v>0</v>
      </c>
      <c r="H3501" s="17">
        <v>3492</v>
      </c>
      <c r="I3501" s="45">
        <v>0.67331937682461462</v>
      </c>
      <c r="J3501" s="45">
        <v>2.0974835811369538E-2</v>
      </c>
      <c r="K3501" s="45">
        <v>0.25180000000000002</v>
      </c>
      <c r="N3501" s="54"/>
    </row>
    <row r="3502" spans="2:14" x14ac:dyDescent="0.2">
      <c r="B3502">
        <v>3493</v>
      </c>
      <c r="C3502" s="52">
        <f ca="1"/>
        <v>1.8636348260413158</v>
      </c>
      <c r="D3502" s="52">
        <f ca="1">S0*EXP((μ-0.5*σ*σ)*T+σ*SQRT(T)*$C3502)</f>
        <v>1.0777323305983635</v>
      </c>
      <c r="E3502" s="52">
        <f t="shared" ca="1" si="148"/>
        <v>0</v>
      </c>
      <c r="F3502" s="17">
        <f t="shared" ca="1" si="149"/>
        <v>0</v>
      </c>
      <c r="H3502" s="17">
        <v>3493</v>
      </c>
      <c r="I3502" s="45">
        <v>0.67020269651718467</v>
      </c>
      <c r="J3502" s="45">
        <v>1.8307499711521083E-2</v>
      </c>
      <c r="K3502" s="45">
        <v>0.24640000000000001</v>
      </c>
      <c r="N3502" s="54"/>
    </row>
    <row r="3503" spans="2:14" x14ac:dyDescent="0.2">
      <c r="B3503">
        <v>3494</v>
      </c>
      <c r="C3503" s="52">
        <f ca="1"/>
        <v>-0.24363094935295548</v>
      </c>
      <c r="D3503" s="52">
        <f ca="1">S0*EXP((μ-0.5*σ*σ)*T+σ*SQRT(T)*$C3503)</f>
        <v>0.60190380785387909</v>
      </c>
      <c r="E3503" s="52">
        <f t="shared" ca="1" si="148"/>
        <v>0</v>
      </c>
      <c r="F3503" s="17">
        <f t="shared" ca="1" si="149"/>
        <v>0</v>
      </c>
      <c r="H3503" s="17">
        <v>3494</v>
      </c>
      <c r="I3503" s="45">
        <v>0.67126886813915088</v>
      </c>
      <c r="J3503" s="45">
        <v>1.9273293949805901E-2</v>
      </c>
      <c r="K3503" s="45">
        <v>0.25159999999999999</v>
      </c>
      <c r="N3503" s="54"/>
    </row>
    <row r="3504" spans="2:14" x14ac:dyDescent="0.2">
      <c r="B3504">
        <v>3495</v>
      </c>
      <c r="C3504" s="52">
        <f ca="1"/>
        <v>-2.2013606762459461</v>
      </c>
      <c r="D3504" s="52">
        <f ca="1">S0*EXP((μ-0.5*σ*σ)*T+σ*SQRT(T)*$C3504)</f>
        <v>0.35034468940747909</v>
      </c>
      <c r="E3504" s="52">
        <f t="shared" ca="1" si="148"/>
        <v>0.18405531059252089</v>
      </c>
      <c r="F3504" s="17">
        <f t="shared" ca="1" si="149"/>
        <v>1</v>
      </c>
      <c r="H3504" s="17">
        <v>3495</v>
      </c>
      <c r="I3504" s="45">
        <v>0.67154146469984444</v>
      </c>
      <c r="J3504" s="45">
        <v>1.9632719285307541E-2</v>
      </c>
      <c r="K3504" s="45">
        <v>0.25659999999999999</v>
      </c>
      <c r="N3504" s="54"/>
    </row>
    <row r="3505" spans="2:14" x14ac:dyDescent="0.2">
      <c r="B3505">
        <v>3496</v>
      </c>
      <c r="C3505" s="52">
        <f ca="1"/>
        <v>0.16502163052202401</v>
      </c>
      <c r="D3505" s="52">
        <f ca="1">S0*EXP((μ-0.5*σ*σ)*T+σ*SQRT(T)*$C3505)</f>
        <v>0.67388704276015743</v>
      </c>
      <c r="E3505" s="52">
        <f t="shared" ca="1" si="148"/>
        <v>0</v>
      </c>
      <c r="F3505" s="17">
        <f t="shared" ca="1" si="149"/>
        <v>0</v>
      </c>
      <c r="H3505" s="17">
        <v>3496</v>
      </c>
      <c r="I3505" s="45">
        <v>0.67211352415881009</v>
      </c>
      <c r="J3505" s="45">
        <v>1.9842399849708873E-2</v>
      </c>
      <c r="K3505" s="45">
        <v>0.2492</v>
      </c>
      <c r="N3505" s="54"/>
    </row>
    <row r="3506" spans="2:14" x14ac:dyDescent="0.2">
      <c r="B3506">
        <v>3497</v>
      </c>
      <c r="C3506" s="52">
        <f ca="1"/>
        <v>2.3179353112832173</v>
      </c>
      <c r="D3506" s="52">
        <f ca="1">S0*EXP((μ-0.5*σ*σ)*T+σ*SQRT(T)*$C3506)</f>
        <v>1.221943427404917</v>
      </c>
      <c r="E3506" s="52">
        <f t="shared" ca="1" si="148"/>
        <v>0</v>
      </c>
      <c r="F3506" s="17">
        <f t="shared" ca="1" si="149"/>
        <v>0</v>
      </c>
      <c r="H3506" s="17">
        <v>3497</v>
      </c>
      <c r="I3506" s="45">
        <v>0.67047746398511665</v>
      </c>
      <c r="J3506" s="45">
        <v>1.8679113318114067E-2</v>
      </c>
      <c r="K3506" s="45">
        <v>0.24740000000000001</v>
      </c>
      <c r="N3506" s="54"/>
    </row>
    <row r="3507" spans="2:14" x14ac:dyDescent="0.2">
      <c r="B3507">
        <v>3498</v>
      </c>
      <c r="C3507" s="52">
        <f ca="1"/>
        <v>-0.18527883151081856</v>
      </c>
      <c r="D3507" s="52">
        <f ca="1">S0*EXP((μ-0.5*σ*σ)*T+σ*SQRT(T)*$C3507)</f>
        <v>0.61169149819302937</v>
      </c>
      <c r="E3507" s="52">
        <f t="shared" ca="1" si="148"/>
        <v>0</v>
      </c>
      <c r="F3507" s="17">
        <f t="shared" ca="1" si="149"/>
        <v>0</v>
      </c>
      <c r="H3507" s="17">
        <v>3498</v>
      </c>
      <c r="I3507" s="45">
        <v>0.67122798734507916</v>
      </c>
      <c r="J3507" s="45">
        <v>1.9241597042338094E-2</v>
      </c>
      <c r="K3507" s="45">
        <v>0.246</v>
      </c>
      <c r="N3507" s="54"/>
    </row>
    <row r="3508" spans="2:14" x14ac:dyDescent="0.2">
      <c r="B3508">
        <v>3499</v>
      </c>
      <c r="C3508" s="52">
        <f ca="1"/>
        <v>-0.70827162028534529</v>
      </c>
      <c r="D3508" s="52">
        <f ca="1">S0*EXP((μ-0.5*σ*σ)*T+σ*SQRT(T)*$C3508)</f>
        <v>0.52935318554513378</v>
      </c>
      <c r="E3508" s="52">
        <f t="shared" ca="1" si="148"/>
        <v>5.0468144548662108E-3</v>
      </c>
      <c r="F3508" s="17">
        <f t="shared" ca="1" si="149"/>
        <v>1</v>
      </c>
      <c r="H3508" s="17">
        <v>3499</v>
      </c>
      <c r="I3508" s="45">
        <v>0.6716459599119724</v>
      </c>
      <c r="J3508" s="45">
        <v>1.9655542839280067E-2</v>
      </c>
      <c r="K3508" s="45">
        <v>0.25380000000000003</v>
      </c>
      <c r="N3508" s="54"/>
    </row>
    <row r="3509" spans="2:14" x14ac:dyDescent="0.2">
      <c r="B3509">
        <v>3500</v>
      </c>
      <c r="C3509" s="52">
        <f ca="1"/>
        <v>-1.0286005585441429</v>
      </c>
      <c r="D3509" s="52">
        <f ca="1">S0*EXP((μ-0.5*σ*σ)*T+σ*SQRT(T)*$C3509)</f>
        <v>0.48449471505097347</v>
      </c>
      <c r="E3509" s="52">
        <f t="shared" ca="1" si="148"/>
        <v>4.9905284949026518E-2</v>
      </c>
      <c r="F3509" s="17">
        <f t="shared" ca="1" si="149"/>
        <v>1</v>
      </c>
      <c r="H3509" s="17">
        <v>3500</v>
      </c>
      <c r="I3509" s="45">
        <v>0.67005058235519532</v>
      </c>
      <c r="J3509" s="45">
        <v>1.8358886734472359E-2</v>
      </c>
      <c r="K3509" s="45">
        <v>0.24160000000000001</v>
      </c>
      <c r="N3509" s="54"/>
    </row>
    <row r="3510" spans="2:14" x14ac:dyDescent="0.2">
      <c r="B3510">
        <v>3501</v>
      </c>
      <c r="C3510" s="52">
        <f ca="1"/>
        <v>-0.32798417774689598</v>
      </c>
      <c r="D3510" s="52">
        <f ca="1">S0*EXP((μ-0.5*σ*σ)*T+σ*SQRT(T)*$C3510)</f>
        <v>0.58803100142367903</v>
      </c>
      <c r="E3510" s="52">
        <f t="shared" ca="1" si="148"/>
        <v>0</v>
      </c>
      <c r="F3510" s="17">
        <f t="shared" ca="1" si="149"/>
        <v>0</v>
      </c>
      <c r="H3510" s="17">
        <v>3501</v>
      </c>
      <c r="I3510" s="45">
        <v>0.67092497799116402</v>
      </c>
      <c r="J3510" s="45">
        <v>1.8914234379547323E-2</v>
      </c>
      <c r="K3510" s="45">
        <v>0.2462</v>
      </c>
      <c r="N3510" s="54"/>
    </row>
    <row r="3511" spans="2:14" x14ac:dyDescent="0.2">
      <c r="B3511">
        <v>3502</v>
      </c>
      <c r="C3511" s="52">
        <f ca="1"/>
        <v>-0.64832455149581092</v>
      </c>
      <c r="D3511" s="52">
        <f ca="1">S0*EXP((μ-0.5*σ*σ)*T+σ*SQRT(T)*$C3511)</f>
        <v>0.53819835160033713</v>
      </c>
      <c r="E3511" s="52">
        <f t="shared" ca="1" si="148"/>
        <v>0</v>
      </c>
      <c r="F3511" s="17">
        <f t="shared" ca="1" si="149"/>
        <v>0</v>
      </c>
      <c r="H3511" s="17">
        <v>3502</v>
      </c>
      <c r="I3511" s="45">
        <v>0.67018416646121859</v>
      </c>
      <c r="J3511" s="45">
        <v>1.8608490210568936E-2</v>
      </c>
      <c r="K3511" s="45">
        <v>0.24279999999999999</v>
      </c>
      <c r="N3511" s="54"/>
    </row>
    <row r="3512" spans="2:14" x14ac:dyDescent="0.2">
      <c r="B3512">
        <v>3503</v>
      </c>
      <c r="C3512" s="52">
        <f ca="1"/>
        <v>0.61237291001671679</v>
      </c>
      <c r="D3512" s="52">
        <f ca="1">S0*EXP((μ-0.5*σ*σ)*T+σ*SQRT(T)*$C3512)</f>
        <v>0.7625933619660521</v>
      </c>
      <c r="E3512" s="52">
        <f t="shared" ca="1" si="148"/>
        <v>0</v>
      </c>
      <c r="F3512" s="17">
        <f t="shared" ca="1" si="149"/>
        <v>0</v>
      </c>
      <c r="H3512" s="17">
        <v>3503</v>
      </c>
      <c r="I3512" s="45">
        <v>0.66977774969354975</v>
      </c>
      <c r="J3512" s="45">
        <v>1.8247175210397915E-2</v>
      </c>
      <c r="K3512" s="45">
        <v>0.2482</v>
      </c>
      <c r="N3512" s="54"/>
    </row>
    <row r="3513" spans="2:14" x14ac:dyDescent="0.2">
      <c r="B3513">
        <v>3504</v>
      </c>
      <c r="C3513" s="52">
        <f ca="1"/>
        <v>-0.6618381381342785</v>
      </c>
      <c r="D3513" s="52">
        <f ca="1">S0*EXP((μ-0.5*σ*σ)*T+σ*SQRT(T)*$C3513)</f>
        <v>0.53619161120096392</v>
      </c>
      <c r="E3513" s="52">
        <f t="shared" ca="1" si="148"/>
        <v>0</v>
      </c>
      <c r="F3513" s="17">
        <f t="shared" ca="1" si="149"/>
        <v>0</v>
      </c>
      <c r="H3513" s="17">
        <v>3504</v>
      </c>
      <c r="I3513" s="45">
        <v>0.67205326546127964</v>
      </c>
      <c r="J3513" s="45">
        <v>2.0026113967134114E-2</v>
      </c>
      <c r="K3513" s="45">
        <v>0.25180000000000002</v>
      </c>
      <c r="N3513" s="54"/>
    </row>
    <row r="3514" spans="2:14" x14ac:dyDescent="0.2">
      <c r="B3514">
        <v>3505</v>
      </c>
      <c r="C3514" s="52">
        <f ca="1"/>
        <v>0.19854157153953059</v>
      </c>
      <c r="D3514" s="52">
        <f ca="1">S0*EXP((μ-0.5*σ*σ)*T+σ*SQRT(T)*$C3514)</f>
        <v>0.68016030025251728</v>
      </c>
      <c r="E3514" s="52">
        <f t="shared" ca="1" si="148"/>
        <v>0</v>
      </c>
      <c r="F3514" s="17">
        <f t="shared" ca="1" si="149"/>
        <v>0</v>
      </c>
      <c r="H3514" s="17">
        <v>3505</v>
      </c>
      <c r="I3514" s="45">
        <v>0.66983695680144983</v>
      </c>
      <c r="J3514" s="45">
        <v>1.8131499261229627E-2</v>
      </c>
      <c r="K3514" s="45">
        <v>0.23699999999999999</v>
      </c>
      <c r="N3514" s="54"/>
    </row>
    <row r="3515" spans="2:14" x14ac:dyDescent="0.2">
      <c r="B3515">
        <v>3506</v>
      </c>
      <c r="C3515" s="52">
        <f ca="1"/>
        <v>0.74462359982541437</v>
      </c>
      <c r="D3515" s="52">
        <f ca="1">S0*EXP((μ-0.5*σ*σ)*T+σ*SQRT(T)*$C3515)</f>
        <v>0.79098842433075045</v>
      </c>
      <c r="E3515" s="52">
        <f t="shared" ca="1" si="148"/>
        <v>0</v>
      </c>
      <c r="F3515" s="17">
        <f t="shared" ca="1" si="149"/>
        <v>0</v>
      </c>
      <c r="H3515" s="17">
        <v>3506</v>
      </c>
      <c r="I3515" s="45">
        <v>0.67075562773626674</v>
      </c>
      <c r="J3515" s="45">
        <v>1.8787666567544461E-2</v>
      </c>
      <c r="K3515" s="45">
        <v>0.248</v>
      </c>
      <c r="N3515" s="54"/>
    </row>
    <row r="3516" spans="2:14" x14ac:dyDescent="0.2">
      <c r="B3516">
        <v>3507</v>
      </c>
      <c r="C3516" s="52">
        <f ca="1"/>
        <v>0.8287706731763903</v>
      </c>
      <c r="D3516" s="52">
        <f ca="1">S0*EXP((μ-0.5*σ*σ)*T+σ*SQRT(T)*$C3516)</f>
        <v>0.80960325609958739</v>
      </c>
      <c r="E3516" s="52">
        <f t="shared" ca="1" si="148"/>
        <v>0</v>
      </c>
      <c r="F3516" s="17">
        <f t="shared" ca="1" si="149"/>
        <v>0</v>
      </c>
      <c r="H3516" s="17">
        <v>3507</v>
      </c>
      <c r="I3516" s="45">
        <v>0.67231408456455299</v>
      </c>
      <c r="J3516" s="45">
        <v>1.9925353064113579E-2</v>
      </c>
      <c r="K3516" s="45">
        <v>0.252</v>
      </c>
      <c r="N3516" s="54"/>
    </row>
    <row r="3517" spans="2:14" x14ac:dyDescent="0.2">
      <c r="B3517">
        <v>3508</v>
      </c>
      <c r="C3517" s="52">
        <f ca="1"/>
        <v>-0.36277964142425773</v>
      </c>
      <c r="D3517" s="52">
        <f ca="1">S0*EXP((μ-0.5*σ*σ)*T+σ*SQRT(T)*$C3517)</f>
        <v>0.58240208247424896</v>
      </c>
      <c r="E3517" s="52">
        <f t="shared" ca="1" si="148"/>
        <v>0</v>
      </c>
      <c r="F3517" s="17">
        <f t="shared" ca="1" si="149"/>
        <v>0</v>
      </c>
      <c r="H3517" s="17">
        <v>3508</v>
      </c>
      <c r="I3517" s="45">
        <v>0.67024609251331335</v>
      </c>
      <c r="J3517" s="45">
        <v>1.8627196761679791E-2</v>
      </c>
      <c r="K3517" s="45">
        <v>0.24379999999999999</v>
      </c>
      <c r="N3517" s="54"/>
    </row>
    <row r="3518" spans="2:14" x14ac:dyDescent="0.2">
      <c r="B3518">
        <v>3509</v>
      </c>
      <c r="C3518" s="52">
        <f ca="1"/>
        <v>0.7107393857589116</v>
      </c>
      <c r="D3518" s="52">
        <f ca="1">S0*EXP((μ-0.5*σ*σ)*T+σ*SQRT(T)*$C3518)</f>
        <v>0.7836140649023714</v>
      </c>
      <c r="E3518" s="52">
        <f t="shared" ca="1" si="148"/>
        <v>0</v>
      </c>
      <c r="F3518" s="17">
        <f t="shared" ca="1" si="149"/>
        <v>0</v>
      </c>
      <c r="H3518" s="17">
        <v>3509</v>
      </c>
      <c r="I3518" s="45">
        <v>0.67100785714876432</v>
      </c>
      <c r="J3518" s="45">
        <v>1.8932468994480953E-2</v>
      </c>
      <c r="K3518" s="45">
        <v>0.24340000000000001</v>
      </c>
      <c r="N3518" s="54"/>
    </row>
    <row r="3519" spans="2:14" x14ac:dyDescent="0.2">
      <c r="B3519">
        <v>3510</v>
      </c>
      <c r="C3519" s="52">
        <f ca="1"/>
        <v>0.69197527503818967</v>
      </c>
      <c r="D3519" s="52">
        <f ca="1">S0*EXP((μ-0.5*σ*σ)*T+σ*SQRT(T)*$C3519)</f>
        <v>0.77955997408655231</v>
      </c>
      <c r="E3519" s="52">
        <f t="shared" ca="1" si="148"/>
        <v>0</v>
      </c>
      <c r="F3519" s="17">
        <f t="shared" ca="1" si="149"/>
        <v>0</v>
      </c>
      <c r="H3519" s="17">
        <v>3510</v>
      </c>
      <c r="I3519" s="45">
        <v>0.67015158212147552</v>
      </c>
      <c r="J3519" s="45">
        <v>1.8391067403118182E-2</v>
      </c>
      <c r="K3519" s="45">
        <v>0.2414</v>
      </c>
      <c r="N3519" s="54"/>
    </row>
    <row r="3520" spans="2:14" x14ac:dyDescent="0.2">
      <c r="B3520">
        <v>3511</v>
      </c>
      <c r="C3520" s="52">
        <f ca="1"/>
        <v>-0.30496112553141158</v>
      </c>
      <c r="D3520" s="52">
        <f ca="1">S0*EXP((μ-0.5*σ*σ)*T+σ*SQRT(T)*$C3520)</f>
        <v>0.59178535326929527</v>
      </c>
      <c r="E3520" s="52">
        <f t="shared" ca="1" si="148"/>
        <v>0</v>
      </c>
      <c r="F3520" s="17">
        <f t="shared" ca="1" si="149"/>
        <v>0</v>
      </c>
      <c r="H3520" s="17">
        <v>3511</v>
      </c>
      <c r="I3520" s="45">
        <v>0.67146572652621173</v>
      </c>
      <c r="J3520" s="45">
        <v>1.953527854948512E-2</v>
      </c>
      <c r="K3520" s="45">
        <v>0.24340000000000001</v>
      </c>
      <c r="N3520" s="54"/>
    </row>
    <row r="3521" spans="2:14" x14ac:dyDescent="0.2">
      <c r="B3521">
        <v>3512</v>
      </c>
      <c r="C3521" s="52">
        <f ca="1"/>
        <v>-0.17205768364943413</v>
      </c>
      <c r="D3521" s="52">
        <f ca="1">S0*EXP((μ-0.5*σ*σ)*T+σ*SQRT(T)*$C3521)</f>
        <v>0.61393117106784378</v>
      </c>
      <c r="E3521" s="52">
        <f t="shared" ca="1" si="148"/>
        <v>0</v>
      </c>
      <c r="F3521" s="17">
        <f t="shared" ca="1" si="149"/>
        <v>0</v>
      </c>
      <c r="H3521" s="17">
        <v>3512</v>
      </c>
      <c r="I3521" s="45">
        <v>0.66923734085058884</v>
      </c>
      <c r="J3521" s="45">
        <v>1.7754193927967829E-2</v>
      </c>
      <c r="K3521" s="45">
        <v>0.2462</v>
      </c>
      <c r="N3521" s="54"/>
    </row>
    <row r="3522" spans="2:14" x14ac:dyDescent="0.2">
      <c r="B3522">
        <v>3513</v>
      </c>
      <c r="C3522" s="52">
        <f ca="1"/>
        <v>-1.227055019600485</v>
      </c>
      <c r="D3522" s="52">
        <f ca="1">S0*EXP((μ-0.5*σ*σ)*T+σ*SQRT(T)*$C3522)</f>
        <v>0.45863159285603661</v>
      </c>
      <c r="E3522" s="52">
        <f t="shared" ca="1" si="148"/>
        <v>7.5768407143963379E-2</v>
      </c>
      <c r="F3522" s="17">
        <f t="shared" ca="1" si="149"/>
        <v>1</v>
      </c>
      <c r="H3522" s="17">
        <v>3513</v>
      </c>
      <c r="I3522" s="45">
        <v>0.67078167664276489</v>
      </c>
      <c r="J3522" s="45">
        <v>1.8887263556189426E-2</v>
      </c>
      <c r="K3522" s="45">
        <v>0.25359999999999999</v>
      </c>
      <c r="N3522" s="54"/>
    </row>
    <row r="3523" spans="2:14" x14ac:dyDescent="0.2">
      <c r="B3523">
        <v>3514</v>
      </c>
      <c r="C3523" s="52">
        <f ca="1"/>
        <v>-0.20359895960663971</v>
      </c>
      <c r="D3523" s="52">
        <f ca="1">S0*EXP((μ-0.5*σ*σ)*T+σ*SQRT(T)*$C3523)</f>
        <v>0.60860155253235237</v>
      </c>
      <c r="E3523" s="52">
        <f t="shared" ca="1" si="148"/>
        <v>0</v>
      </c>
      <c r="F3523" s="17">
        <f t="shared" ca="1" si="149"/>
        <v>0</v>
      </c>
      <c r="H3523" s="17">
        <v>3514</v>
      </c>
      <c r="I3523" s="45">
        <v>0.67049321499977532</v>
      </c>
      <c r="J3523" s="45">
        <v>1.8650965945300298E-2</v>
      </c>
      <c r="K3523" s="45">
        <v>0.24440000000000001</v>
      </c>
      <c r="N3523" s="54"/>
    </row>
    <row r="3524" spans="2:14" x14ac:dyDescent="0.2">
      <c r="B3524">
        <v>3515</v>
      </c>
      <c r="C3524" s="52">
        <f ca="1"/>
        <v>-1.4007539302182639</v>
      </c>
      <c r="D3524" s="52">
        <f ca="1">S0*EXP((μ-0.5*σ*σ)*T+σ*SQRT(T)*$C3524)</f>
        <v>0.43713026130573429</v>
      </c>
      <c r="E3524" s="52">
        <f t="shared" ca="1" si="148"/>
        <v>9.7269738694265695E-2</v>
      </c>
      <c r="F3524" s="17">
        <f t="shared" ca="1" si="149"/>
        <v>1</v>
      </c>
      <c r="H3524" s="17">
        <v>3515</v>
      </c>
      <c r="I3524" s="45">
        <v>0.67018534439212785</v>
      </c>
      <c r="J3524" s="45">
        <v>1.8385497311710925E-2</v>
      </c>
      <c r="K3524" s="45">
        <v>0.2442</v>
      </c>
      <c r="N3524" s="54"/>
    </row>
    <row r="3525" spans="2:14" x14ac:dyDescent="0.2">
      <c r="B3525">
        <v>3516</v>
      </c>
      <c r="C3525" s="52">
        <f ca="1"/>
        <v>-1.6629368423113702</v>
      </c>
      <c r="D3525" s="52">
        <f ca="1">S0*EXP((μ-0.5*σ*σ)*T+σ*SQRT(T)*$C3525)</f>
        <v>0.40656968870099924</v>
      </c>
      <c r="E3525" s="52">
        <f t="shared" ca="1" si="148"/>
        <v>0.12783031129900074</v>
      </c>
      <c r="F3525" s="17">
        <f t="shared" ca="1" si="149"/>
        <v>1</v>
      </c>
      <c r="H3525" s="17">
        <v>3516</v>
      </c>
      <c r="I3525" s="45">
        <v>0.67103742499377461</v>
      </c>
      <c r="J3525" s="45">
        <v>1.9044375259956999E-2</v>
      </c>
      <c r="K3525" s="45">
        <v>0.25259999999999999</v>
      </c>
      <c r="N3525" s="54"/>
    </row>
    <row r="3526" spans="2:14" x14ac:dyDescent="0.2">
      <c r="B3526">
        <v>3517</v>
      </c>
      <c r="C3526" s="52">
        <f ca="1"/>
        <v>0.59286742968090267</v>
      </c>
      <c r="D3526" s="52">
        <f ca="1">S0*EXP((μ-0.5*σ*σ)*T+σ*SQRT(T)*$C3526)</f>
        <v>0.75849256307572299</v>
      </c>
      <c r="E3526" s="52">
        <f t="shared" ca="1" si="148"/>
        <v>0</v>
      </c>
      <c r="F3526" s="17">
        <f t="shared" ca="1" si="149"/>
        <v>0</v>
      </c>
      <c r="H3526" s="17">
        <v>3517</v>
      </c>
      <c r="I3526" s="45">
        <v>0.67116561386700457</v>
      </c>
      <c r="J3526" s="45">
        <v>1.9094711600115343E-2</v>
      </c>
      <c r="K3526" s="45">
        <v>0.24859999999999999</v>
      </c>
      <c r="N3526" s="54"/>
    </row>
    <row r="3527" spans="2:14" x14ac:dyDescent="0.2">
      <c r="B3527">
        <v>3518</v>
      </c>
      <c r="C3527" s="52">
        <f ca="1"/>
        <v>1.4815345758481442</v>
      </c>
      <c r="D3527" s="52">
        <f ca="1">S0*EXP((μ-0.5*σ*σ)*T+σ*SQRT(T)*$C3527)</f>
        <v>0.96970265803838562</v>
      </c>
      <c r="E3527" s="52">
        <f t="shared" ca="1" si="148"/>
        <v>0</v>
      </c>
      <c r="F3527" s="17">
        <f t="shared" ca="1" si="149"/>
        <v>0</v>
      </c>
      <c r="H3527" s="17">
        <v>3518</v>
      </c>
      <c r="I3527" s="45">
        <v>0.67276763357147751</v>
      </c>
      <c r="J3527" s="45">
        <v>2.0218909857223123E-2</v>
      </c>
      <c r="K3527" s="45">
        <v>0.25659999999999999</v>
      </c>
      <c r="N3527" s="54"/>
    </row>
    <row r="3528" spans="2:14" x14ac:dyDescent="0.2">
      <c r="B3528">
        <v>3519</v>
      </c>
      <c r="C3528" s="52">
        <f ca="1"/>
        <v>-7.2263839835975188E-2</v>
      </c>
      <c r="D3528" s="52">
        <f ca="1">S0*EXP((μ-0.5*σ*σ)*T+σ*SQRT(T)*$C3528)</f>
        <v>0.63110300218952098</v>
      </c>
      <c r="E3528" s="52">
        <f t="shared" ca="1" si="148"/>
        <v>0</v>
      </c>
      <c r="F3528" s="17">
        <f t="shared" ca="1" si="149"/>
        <v>0</v>
      </c>
      <c r="H3528" s="17">
        <v>3519</v>
      </c>
      <c r="I3528" s="45">
        <v>0.67117949094735485</v>
      </c>
      <c r="J3528" s="45">
        <v>1.9212541852279139E-2</v>
      </c>
      <c r="K3528" s="45">
        <v>0.24440000000000001</v>
      </c>
      <c r="N3528" s="54"/>
    </row>
    <row r="3529" spans="2:14" x14ac:dyDescent="0.2">
      <c r="B3529">
        <v>3520</v>
      </c>
      <c r="C3529" s="52">
        <f ca="1"/>
        <v>-1.9124811683989842</v>
      </c>
      <c r="D3529" s="52">
        <f ca="1">S0*EXP((μ-0.5*σ*σ)*T+σ*SQRT(T)*$C3529)</f>
        <v>0.37946910548389778</v>
      </c>
      <c r="E3529" s="52">
        <f t="shared" ca="1" si="148"/>
        <v>0.1549308945161022</v>
      </c>
      <c r="F3529" s="17">
        <f t="shared" ca="1" si="149"/>
        <v>1</v>
      </c>
      <c r="H3529" s="17">
        <v>3520</v>
      </c>
      <c r="I3529" s="45">
        <v>0.67228780895550089</v>
      </c>
      <c r="J3529" s="45">
        <v>2.0378850568901746E-2</v>
      </c>
      <c r="K3529" s="45">
        <v>0.25900000000000001</v>
      </c>
      <c r="N3529" s="54"/>
    </row>
    <row r="3530" spans="2:14" x14ac:dyDescent="0.2">
      <c r="B3530">
        <v>3521</v>
      </c>
      <c r="C3530" s="52">
        <f ca="1"/>
        <v>-1.3176197393007192</v>
      </c>
      <c r="D3530" s="52">
        <f ca="1">S0*EXP((μ-0.5*σ*σ)*T+σ*SQRT(T)*$C3530)</f>
        <v>0.44729226819221318</v>
      </c>
      <c r="E3530" s="52">
        <f t="shared" ref="E3530:E3593" ca="1" si="150">MAX(0,CP*(D3530-K))</f>
        <v>8.7107731807786803E-2</v>
      </c>
      <c r="F3530" s="17">
        <f t="shared" ref="F3530:F3593" ca="1" si="151">(CP*(D3530-K)&gt;0)*1</f>
        <v>1</v>
      </c>
      <c r="H3530" s="17">
        <v>3521</v>
      </c>
      <c r="I3530" s="45">
        <v>0.6703042758316734</v>
      </c>
      <c r="J3530" s="45">
        <v>1.8407213164843089E-2</v>
      </c>
      <c r="K3530" s="45">
        <v>0.24260000000000001</v>
      </c>
      <c r="N3530" s="54"/>
    </row>
    <row r="3531" spans="2:14" x14ac:dyDescent="0.2">
      <c r="B3531">
        <v>3522</v>
      </c>
      <c r="C3531" s="52">
        <f ca="1"/>
        <v>-0.70257132656668897</v>
      </c>
      <c r="D3531" s="52">
        <f ca="1">S0*EXP((μ-0.5*σ*σ)*T+σ*SQRT(T)*$C3531)</f>
        <v>0.53018796951502256</v>
      </c>
      <c r="E3531" s="52">
        <f t="shared" ca="1" si="150"/>
        <v>4.2120304849774248E-3</v>
      </c>
      <c r="F3531" s="17">
        <f t="shared" ca="1" si="151"/>
        <v>1</v>
      </c>
      <c r="H3531" s="17">
        <v>3522</v>
      </c>
      <c r="I3531" s="45">
        <v>0.67142895990905715</v>
      </c>
      <c r="J3531" s="45">
        <v>1.9169744850095604E-2</v>
      </c>
      <c r="K3531" s="45">
        <v>0.24660000000000001</v>
      </c>
      <c r="N3531" s="54"/>
    </row>
    <row r="3532" spans="2:14" x14ac:dyDescent="0.2">
      <c r="B3532">
        <v>3523</v>
      </c>
      <c r="C3532" s="52">
        <f ca="1"/>
        <v>-0.26742301164164251</v>
      </c>
      <c r="D3532" s="52">
        <f ca="1">S0*EXP((μ-0.5*σ*σ)*T+σ*SQRT(T)*$C3532)</f>
        <v>0.59795813632541706</v>
      </c>
      <c r="E3532" s="52">
        <f t="shared" ca="1" si="150"/>
        <v>0</v>
      </c>
      <c r="F3532" s="17">
        <f t="shared" ca="1" si="151"/>
        <v>0</v>
      </c>
      <c r="H3532" s="17">
        <v>3523</v>
      </c>
      <c r="I3532" s="45">
        <v>0.67240160698547813</v>
      </c>
      <c r="J3532" s="45">
        <v>2.0188395456087478E-2</v>
      </c>
      <c r="K3532" s="45">
        <v>0.25319999999999998</v>
      </c>
      <c r="N3532" s="54"/>
    </row>
    <row r="3533" spans="2:14" x14ac:dyDescent="0.2">
      <c r="B3533">
        <v>3524</v>
      </c>
      <c r="C3533" s="52">
        <f ca="1"/>
        <v>-1.0716063990745675</v>
      </c>
      <c r="D3533" s="52">
        <f ca="1">S0*EXP((μ-0.5*σ*σ)*T+σ*SQRT(T)*$C3533)</f>
        <v>0.47876904034143625</v>
      </c>
      <c r="E3533" s="52">
        <f t="shared" ca="1" si="150"/>
        <v>5.5630959658563739E-2</v>
      </c>
      <c r="F3533" s="17">
        <f t="shared" ca="1" si="151"/>
        <v>1</v>
      </c>
      <c r="H3533" s="17">
        <v>3524</v>
      </c>
      <c r="I3533" s="45">
        <v>0.66942820524257718</v>
      </c>
      <c r="J3533" s="45">
        <v>1.7956729690540126E-2</v>
      </c>
      <c r="K3533" s="45">
        <v>0.24</v>
      </c>
      <c r="N3533" s="54"/>
    </row>
    <row r="3534" spans="2:14" x14ac:dyDescent="0.2">
      <c r="B3534">
        <v>3525</v>
      </c>
      <c r="C3534" s="52">
        <f ca="1"/>
        <v>-0.63372989409348235</v>
      </c>
      <c r="D3534" s="52">
        <f ca="1">S0*EXP((μ-0.5*σ*σ)*T+σ*SQRT(T)*$C3534)</f>
        <v>0.54037406532560106</v>
      </c>
      <c r="E3534" s="52">
        <f t="shared" ca="1" si="150"/>
        <v>0</v>
      </c>
      <c r="F3534" s="17">
        <f t="shared" ca="1" si="151"/>
        <v>0</v>
      </c>
      <c r="H3534" s="17">
        <v>3525</v>
      </c>
      <c r="I3534" s="45">
        <v>0.67149523651924814</v>
      </c>
      <c r="J3534" s="45">
        <v>1.9352522762134745E-2</v>
      </c>
      <c r="K3534" s="45">
        <v>0.24840000000000001</v>
      </c>
      <c r="N3534" s="54"/>
    </row>
    <row r="3535" spans="2:14" x14ac:dyDescent="0.2">
      <c r="B3535">
        <v>3526</v>
      </c>
      <c r="C3535" s="52">
        <f ca="1"/>
        <v>1.0760430368202103</v>
      </c>
      <c r="D3535" s="52">
        <f ca="1">S0*EXP((μ-0.5*σ*σ)*T+σ*SQRT(T)*$C3535)</f>
        <v>0.86687816426972542</v>
      </c>
      <c r="E3535" s="52">
        <f t="shared" ca="1" si="150"/>
        <v>0</v>
      </c>
      <c r="F3535" s="17">
        <f t="shared" ca="1" si="151"/>
        <v>0</v>
      </c>
      <c r="H3535" s="17">
        <v>3526</v>
      </c>
      <c r="I3535" s="45">
        <v>0.66910987688025969</v>
      </c>
      <c r="J3535" s="45">
        <v>1.7878488165583552E-2</v>
      </c>
      <c r="K3535" s="45">
        <v>0.2452</v>
      </c>
      <c r="N3535" s="54"/>
    </row>
    <row r="3536" spans="2:14" x14ac:dyDescent="0.2">
      <c r="B3536">
        <v>3527</v>
      </c>
      <c r="C3536" s="52">
        <f ca="1"/>
        <v>-0.2073530039457116</v>
      </c>
      <c r="D3536" s="52">
        <f ca="1">S0*EXP((μ-0.5*σ*σ)*T+σ*SQRT(T)*$C3536)</f>
        <v>0.6079703100010857</v>
      </c>
      <c r="E3536" s="52">
        <f t="shared" ca="1" si="150"/>
        <v>0</v>
      </c>
      <c r="F3536" s="17">
        <f t="shared" ca="1" si="151"/>
        <v>0</v>
      </c>
      <c r="H3536" s="17">
        <v>3527</v>
      </c>
      <c r="I3536" s="45">
        <v>0.67045105196298005</v>
      </c>
      <c r="J3536" s="45">
        <v>1.8804313420946659E-2</v>
      </c>
      <c r="K3536" s="45">
        <v>0.25140000000000001</v>
      </c>
      <c r="N3536" s="54"/>
    </row>
    <row r="3537" spans="2:14" x14ac:dyDescent="0.2">
      <c r="B3537">
        <v>3528</v>
      </c>
      <c r="C3537" s="52">
        <f ca="1"/>
        <v>-2.1972751129492245E-2</v>
      </c>
      <c r="D3537" s="52">
        <f ca="1">S0*EXP((μ-0.5*σ*σ)*T+σ*SQRT(T)*$C3537)</f>
        <v>0.63993792386326076</v>
      </c>
      <c r="E3537" s="52">
        <f t="shared" ca="1" si="150"/>
        <v>0</v>
      </c>
      <c r="F3537" s="17">
        <f t="shared" ca="1" si="151"/>
        <v>0</v>
      </c>
      <c r="H3537" s="17">
        <v>3528</v>
      </c>
      <c r="I3537" s="45">
        <v>0.67092389265307772</v>
      </c>
      <c r="J3537" s="45">
        <v>1.8870770818992064E-2</v>
      </c>
      <c r="K3537" s="45">
        <v>0.247</v>
      </c>
      <c r="N3537" s="54"/>
    </row>
    <row r="3538" spans="2:14" x14ac:dyDescent="0.2">
      <c r="B3538">
        <v>3529</v>
      </c>
      <c r="C3538" s="52">
        <f ca="1"/>
        <v>-0.26170786966383203</v>
      </c>
      <c r="D3538" s="52">
        <f ca="1">S0*EXP((μ-0.5*σ*σ)*T+σ*SQRT(T)*$C3538)</f>
        <v>0.59890356774415421</v>
      </c>
      <c r="E3538" s="52">
        <f t="shared" ca="1" si="150"/>
        <v>0</v>
      </c>
      <c r="F3538" s="17">
        <f t="shared" ca="1" si="151"/>
        <v>0</v>
      </c>
      <c r="H3538" s="17">
        <v>3529</v>
      </c>
      <c r="I3538" s="45">
        <v>0.66992040074378478</v>
      </c>
      <c r="J3538" s="45">
        <v>1.8054022751465969E-2</v>
      </c>
      <c r="K3538" s="45">
        <v>0.2392</v>
      </c>
      <c r="N3538" s="54"/>
    </row>
    <row r="3539" spans="2:14" x14ac:dyDescent="0.2">
      <c r="B3539">
        <v>3530</v>
      </c>
      <c r="C3539" s="52">
        <f ca="1"/>
        <v>1.3690387235159702</v>
      </c>
      <c r="D3539" s="52">
        <f ca="1">S0*EXP((μ-0.5*σ*σ)*T+σ*SQRT(T)*$C3539)</f>
        <v>0.94001137404404234</v>
      </c>
      <c r="E3539" s="52">
        <f t="shared" ca="1" si="150"/>
        <v>0</v>
      </c>
      <c r="F3539" s="17">
        <f t="shared" ca="1" si="151"/>
        <v>0</v>
      </c>
      <c r="H3539" s="17">
        <v>3530</v>
      </c>
      <c r="I3539" s="45">
        <v>0.67165627905836922</v>
      </c>
      <c r="J3539" s="45">
        <v>1.9496736073030225E-2</v>
      </c>
      <c r="K3539" s="45">
        <v>0.24859999999999999</v>
      </c>
      <c r="N3539" s="54"/>
    </row>
    <row r="3540" spans="2:14" x14ac:dyDescent="0.2">
      <c r="B3540">
        <v>3531</v>
      </c>
      <c r="C3540" s="52">
        <f ca="1"/>
        <v>-1.7680667660568192</v>
      </c>
      <c r="D3540" s="52">
        <f ca="1">S0*EXP((μ-0.5*σ*σ)*T+σ*SQRT(T)*$C3540)</f>
        <v>0.39492426849900031</v>
      </c>
      <c r="E3540" s="52">
        <f t="shared" ca="1" si="150"/>
        <v>0.13947573150099968</v>
      </c>
      <c r="F3540" s="17">
        <f t="shared" ca="1" si="151"/>
        <v>1</v>
      </c>
      <c r="H3540" s="17">
        <v>3531</v>
      </c>
      <c r="I3540" s="45">
        <v>0.6717895234401009</v>
      </c>
      <c r="J3540" s="45">
        <v>1.9568234297064179E-2</v>
      </c>
      <c r="K3540" s="45">
        <v>0.24959999999999999</v>
      </c>
      <c r="N3540" s="54"/>
    </row>
    <row r="3541" spans="2:14" x14ac:dyDescent="0.2">
      <c r="B3541">
        <v>3532</v>
      </c>
      <c r="C3541" s="52">
        <f ca="1"/>
        <v>1.3456401679612819</v>
      </c>
      <c r="D3541" s="52">
        <f ca="1">S0*EXP((μ-0.5*σ*σ)*T+σ*SQRT(T)*$C3541)</f>
        <v>0.93395088736478082</v>
      </c>
      <c r="E3541" s="52">
        <f t="shared" ca="1" si="150"/>
        <v>0</v>
      </c>
      <c r="F3541" s="17">
        <f t="shared" ca="1" si="151"/>
        <v>0</v>
      </c>
      <c r="H3541" s="17">
        <v>3532</v>
      </c>
      <c r="I3541" s="45">
        <v>0.67223347280782419</v>
      </c>
      <c r="J3541" s="45">
        <v>2.0075780841791062E-2</v>
      </c>
      <c r="K3541" s="45">
        <v>0.24859999999999999</v>
      </c>
      <c r="N3541" s="54"/>
    </row>
    <row r="3542" spans="2:14" x14ac:dyDescent="0.2">
      <c r="B3542">
        <v>3533</v>
      </c>
      <c r="C3542" s="52">
        <f ca="1"/>
        <v>1.4390231475496984</v>
      </c>
      <c r="D3542" s="52">
        <f ca="1">S0*EXP((μ-0.5*σ*σ)*T+σ*SQRT(T)*$C3542)</f>
        <v>0.95837385336760972</v>
      </c>
      <c r="E3542" s="52">
        <f t="shared" ca="1" si="150"/>
        <v>0</v>
      </c>
      <c r="F3542" s="17">
        <f t="shared" ca="1" si="151"/>
        <v>0</v>
      </c>
      <c r="H3542" s="17">
        <v>3533</v>
      </c>
      <c r="I3542" s="45">
        <v>0.6707212156583271</v>
      </c>
      <c r="J3542" s="45">
        <v>1.8872713226069329E-2</v>
      </c>
      <c r="K3542" s="45">
        <v>0.25600000000000001</v>
      </c>
      <c r="N3542" s="54"/>
    </row>
    <row r="3543" spans="2:14" x14ac:dyDescent="0.2">
      <c r="B3543">
        <v>3534</v>
      </c>
      <c r="C3543" s="52">
        <f ca="1"/>
        <v>0.68901076663391236</v>
      </c>
      <c r="D3543" s="52">
        <f ca="1">S0*EXP((μ-0.5*σ*σ)*T+σ*SQRT(T)*$C3543)</f>
        <v>0.77892139689403572</v>
      </c>
      <c r="E3543" s="52">
        <f t="shared" ca="1" si="150"/>
        <v>0</v>
      </c>
      <c r="F3543" s="17">
        <f t="shared" ca="1" si="151"/>
        <v>0</v>
      </c>
      <c r="H3543" s="17">
        <v>3534</v>
      </c>
      <c r="I3543" s="45">
        <v>0.67210426241674226</v>
      </c>
      <c r="J3543" s="45">
        <v>2.0059585895552054E-2</v>
      </c>
      <c r="K3543" s="45">
        <v>0.25040000000000001</v>
      </c>
      <c r="N3543" s="54"/>
    </row>
    <row r="3544" spans="2:14" x14ac:dyDescent="0.2">
      <c r="B3544">
        <v>3535</v>
      </c>
      <c r="C3544" s="52">
        <f ca="1"/>
        <v>1.9362168638227994</v>
      </c>
      <c r="D3544" s="52">
        <f ca="1">S0*EXP((μ-0.5*σ*σ)*T+σ*SQRT(T)*$C3544)</f>
        <v>1.099574376970516</v>
      </c>
      <c r="E3544" s="52">
        <f t="shared" ca="1" si="150"/>
        <v>0</v>
      </c>
      <c r="F3544" s="17">
        <f t="shared" ca="1" si="151"/>
        <v>0</v>
      </c>
      <c r="H3544" s="17">
        <v>3535</v>
      </c>
      <c r="I3544" s="45">
        <v>0.67102878245666242</v>
      </c>
      <c r="J3544" s="45">
        <v>1.8955080293025211E-2</v>
      </c>
      <c r="K3544" s="45">
        <v>0.2442</v>
      </c>
      <c r="N3544" s="54"/>
    </row>
    <row r="3545" spans="2:14" x14ac:dyDescent="0.2">
      <c r="B3545">
        <v>3536</v>
      </c>
      <c r="C3545" s="52">
        <f ca="1"/>
        <v>-5.6469832155856103E-2</v>
      </c>
      <c r="D3545" s="52">
        <f ca="1">S0*EXP((μ-0.5*σ*σ)*T+σ*SQRT(T)*$C3545)</f>
        <v>0.6338644072584072</v>
      </c>
      <c r="E3545" s="52">
        <f t="shared" ca="1" si="150"/>
        <v>0</v>
      </c>
      <c r="F3545" s="17">
        <f t="shared" ca="1" si="151"/>
        <v>0</v>
      </c>
      <c r="H3545" s="17">
        <v>3536</v>
      </c>
      <c r="I3545" s="45">
        <v>0.67065761327427298</v>
      </c>
      <c r="J3545" s="45">
        <v>1.8575905328231355E-2</v>
      </c>
      <c r="K3545" s="45">
        <v>0.24679999999999999</v>
      </c>
      <c r="N3545" s="54"/>
    </row>
    <row r="3546" spans="2:14" x14ac:dyDescent="0.2">
      <c r="B3546">
        <v>3537</v>
      </c>
      <c r="C3546" s="52">
        <f ca="1"/>
        <v>-1.2082161161783553</v>
      </c>
      <c r="D3546" s="52">
        <f ca="1">S0*EXP((μ-0.5*σ*σ)*T+σ*SQRT(T)*$C3546)</f>
        <v>0.46102623176428009</v>
      </c>
      <c r="E3546" s="52">
        <f t="shared" ca="1" si="150"/>
        <v>7.3373768235719894E-2</v>
      </c>
      <c r="F3546" s="17">
        <f t="shared" ca="1" si="151"/>
        <v>1</v>
      </c>
      <c r="H3546" s="17">
        <v>3537</v>
      </c>
      <c r="I3546" s="45">
        <v>0.67144519100744049</v>
      </c>
      <c r="J3546" s="45">
        <v>1.9396991211312931E-2</v>
      </c>
      <c r="K3546" s="45">
        <v>0.247</v>
      </c>
      <c r="N3546" s="54"/>
    </row>
    <row r="3547" spans="2:14" x14ac:dyDescent="0.2">
      <c r="B3547">
        <v>3538</v>
      </c>
      <c r="C3547" s="52">
        <f ca="1"/>
        <v>2.1721623011885862</v>
      </c>
      <c r="D3547" s="52">
        <f ca="1">S0*EXP((μ-0.5*σ*σ)*T+σ*SQRT(T)*$C3547)</f>
        <v>1.1736824098422491</v>
      </c>
      <c r="E3547" s="52">
        <f t="shared" ca="1" si="150"/>
        <v>0</v>
      </c>
      <c r="F3547" s="17">
        <f t="shared" ca="1" si="151"/>
        <v>0</v>
      </c>
      <c r="H3547" s="17">
        <v>3538</v>
      </c>
      <c r="I3547" s="45">
        <v>0.6708297558800651</v>
      </c>
      <c r="J3547" s="45">
        <v>1.8861558712591292E-2</v>
      </c>
      <c r="K3547" s="45">
        <v>0.2472</v>
      </c>
      <c r="N3547" s="54"/>
    </row>
    <row r="3548" spans="2:14" x14ac:dyDescent="0.2">
      <c r="B3548">
        <v>3539</v>
      </c>
      <c r="C3548" s="52">
        <f ca="1"/>
        <v>-0.94788442494171754</v>
      </c>
      <c r="D3548" s="52">
        <f ca="1">S0*EXP((μ-0.5*σ*σ)*T+σ*SQRT(T)*$C3548)</f>
        <v>0.49542653919973284</v>
      </c>
      <c r="E3548" s="52">
        <f t="shared" ca="1" si="150"/>
        <v>3.8973460800267146E-2</v>
      </c>
      <c r="F3548" s="17">
        <f t="shared" ca="1" si="151"/>
        <v>1</v>
      </c>
      <c r="H3548" s="17">
        <v>3539</v>
      </c>
      <c r="I3548" s="45">
        <v>0.66998405126080429</v>
      </c>
      <c r="J3548" s="45">
        <v>1.798125792666674E-2</v>
      </c>
      <c r="K3548" s="45">
        <v>0.24179999999999999</v>
      </c>
      <c r="N3548" s="54"/>
    </row>
    <row r="3549" spans="2:14" x14ac:dyDescent="0.2">
      <c r="B3549">
        <v>3540</v>
      </c>
      <c r="C3549" s="52">
        <f ca="1"/>
        <v>1.3100161835480824E-2</v>
      </c>
      <c r="D3549" s="52">
        <f ca="1">S0*EXP((μ-0.5*σ*σ)*T+σ*SQRT(T)*$C3549)</f>
        <v>0.64617248394538729</v>
      </c>
      <c r="E3549" s="52">
        <f t="shared" ca="1" si="150"/>
        <v>0</v>
      </c>
      <c r="F3549" s="17">
        <f t="shared" ca="1" si="151"/>
        <v>0</v>
      </c>
      <c r="H3549" s="17">
        <v>3540</v>
      </c>
      <c r="I3549" s="45">
        <v>0.67063188009071051</v>
      </c>
      <c r="J3549" s="45">
        <v>1.8652611173013284E-2</v>
      </c>
      <c r="K3549" s="45">
        <v>0.24079999999999999</v>
      </c>
      <c r="N3549" s="54"/>
    </row>
    <row r="3550" spans="2:14" x14ac:dyDescent="0.2">
      <c r="B3550">
        <v>3541</v>
      </c>
      <c r="C3550" s="52">
        <f ca="1"/>
        <v>0.41714059365180889</v>
      </c>
      <c r="D3550" s="52">
        <f ca="1">S0*EXP((μ-0.5*σ*σ)*T+σ*SQRT(T)*$C3550)</f>
        <v>0.72252815138108273</v>
      </c>
      <c r="E3550" s="52">
        <f t="shared" ca="1" si="150"/>
        <v>0</v>
      </c>
      <c r="F3550" s="17">
        <f t="shared" ca="1" si="151"/>
        <v>0</v>
      </c>
      <c r="H3550" s="17">
        <v>3541</v>
      </c>
      <c r="I3550" s="45">
        <v>0.67262824320494097</v>
      </c>
      <c r="J3550" s="45">
        <v>2.000551581575016E-2</v>
      </c>
      <c r="K3550" s="45">
        <v>0.24859999999999999</v>
      </c>
      <c r="N3550" s="54"/>
    </row>
    <row r="3551" spans="2:14" x14ac:dyDescent="0.2">
      <c r="B3551">
        <v>3542</v>
      </c>
      <c r="C3551" s="52">
        <f ca="1"/>
        <v>0.78134787823050322</v>
      </c>
      <c r="D3551" s="52">
        <f ca="1">S0*EXP((μ-0.5*σ*σ)*T+σ*SQRT(T)*$C3551)</f>
        <v>0.79905926581805042</v>
      </c>
      <c r="E3551" s="52">
        <f t="shared" ca="1" si="150"/>
        <v>0</v>
      </c>
      <c r="F3551" s="17">
        <f t="shared" ca="1" si="151"/>
        <v>0</v>
      </c>
      <c r="H3551" s="17">
        <v>3542</v>
      </c>
      <c r="I3551" s="45">
        <v>0.67188082233370139</v>
      </c>
      <c r="J3551" s="45">
        <v>1.9505458058155935E-2</v>
      </c>
      <c r="K3551" s="45">
        <v>0.2442</v>
      </c>
      <c r="N3551" s="54"/>
    </row>
    <row r="3552" spans="2:14" x14ac:dyDescent="0.2">
      <c r="B3552">
        <v>3543</v>
      </c>
      <c r="C3552" s="52">
        <f ca="1"/>
        <v>1.0662534281159373</v>
      </c>
      <c r="D3552" s="52">
        <f ca="1">S0*EXP((μ-0.5*σ*σ)*T+σ*SQRT(T)*$C3552)</f>
        <v>0.86453541929631117</v>
      </c>
      <c r="E3552" s="52">
        <f t="shared" ca="1" si="150"/>
        <v>0</v>
      </c>
      <c r="F3552" s="17">
        <f t="shared" ca="1" si="151"/>
        <v>0</v>
      </c>
      <c r="H3552" s="17">
        <v>3543</v>
      </c>
      <c r="I3552" s="45">
        <v>0.67097778342101466</v>
      </c>
      <c r="J3552" s="45">
        <v>1.9249871766893044E-2</v>
      </c>
      <c r="K3552" s="45">
        <v>0.25280000000000002</v>
      </c>
      <c r="N3552" s="54"/>
    </row>
    <row r="3553" spans="2:14" x14ac:dyDescent="0.2">
      <c r="B3553">
        <v>3544</v>
      </c>
      <c r="C3553" s="52">
        <f ca="1"/>
        <v>-1.0179316314824027</v>
      </c>
      <c r="D3553" s="52">
        <f ca="1">S0*EXP((μ-0.5*σ*σ)*T+σ*SQRT(T)*$C3553)</f>
        <v>0.48592571457189265</v>
      </c>
      <c r="E3553" s="52">
        <f t="shared" ca="1" si="150"/>
        <v>4.8474285428107333E-2</v>
      </c>
      <c r="F3553" s="17">
        <f t="shared" ca="1" si="151"/>
        <v>1</v>
      </c>
      <c r="H3553" s="17">
        <v>3544</v>
      </c>
      <c r="I3553" s="45">
        <v>0.67054916147403454</v>
      </c>
      <c r="J3553" s="45">
        <v>1.876026925802271E-2</v>
      </c>
      <c r="K3553" s="45">
        <v>0.25040000000000001</v>
      </c>
      <c r="N3553" s="54"/>
    </row>
    <row r="3554" spans="2:14" x14ac:dyDescent="0.2">
      <c r="B3554">
        <v>3545</v>
      </c>
      <c r="C3554" s="52">
        <f ca="1"/>
        <v>0.8546761910075632</v>
      </c>
      <c r="D3554" s="52">
        <f ca="1">S0*EXP((μ-0.5*σ*σ)*T+σ*SQRT(T)*$C3554)</f>
        <v>0.81542173673107721</v>
      </c>
      <c r="E3554" s="52">
        <f t="shared" ca="1" si="150"/>
        <v>0</v>
      </c>
      <c r="F3554" s="17">
        <f t="shared" ca="1" si="151"/>
        <v>0</v>
      </c>
      <c r="H3554" s="17">
        <v>3545</v>
      </c>
      <c r="I3554" s="45">
        <v>0.67135756842842964</v>
      </c>
      <c r="J3554" s="45">
        <v>1.9306597499970234E-2</v>
      </c>
      <c r="K3554" s="45">
        <v>0.24740000000000001</v>
      </c>
      <c r="N3554" s="54"/>
    </row>
    <row r="3555" spans="2:14" x14ac:dyDescent="0.2">
      <c r="B3555">
        <v>3546</v>
      </c>
      <c r="C3555" s="52">
        <f ca="1"/>
        <v>-1.5006650114806521</v>
      </c>
      <c r="D3555" s="52">
        <f ca="1">S0*EXP((μ-0.5*σ*σ)*T+σ*SQRT(T)*$C3555)</f>
        <v>0.42522249951390306</v>
      </c>
      <c r="E3555" s="52">
        <f t="shared" ca="1" si="150"/>
        <v>0.10917750048609692</v>
      </c>
      <c r="F3555" s="17">
        <f t="shared" ca="1" si="151"/>
        <v>1</v>
      </c>
      <c r="H3555" s="17">
        <v>3546</v>
      </c>
      <c r="I3555" s="45">
        <v>0.66980352820040512</v>
      </c>
      <c r="J3555" s="45">
        <v>1.8065068662891606E-2</v>
      </c>
      <c r="K3555" s="45">
        <v>0.2424</v>
      </c>
      <c r="N3555" s="54"/>
    </row>
    <row r="3556" spans="2:14" x14ac:dyDescent="0.2">
      <c r="B3556">
        <v>3547</v>
      </c>
      <c r="C3556" s="52">
        <f ca="1"/>
        <v>0.26557527917549301</v>
      </c>
      <c r="D3556" s="52">
        <f ca="1">S0*EXP((μ-0.5*σ*σ)*T+σ*SQRT(T)*$C3556)</f>
        <v>0.69288137071840572</v>
      </c>
      <c r="E3556" s="52">
        <f t="shared" ca="1" si="150"/>
        <v>0</v>
      </c>
      <c r="F3556" s="17">
        <f t="shared" ca="1" si="151"/>
        <v>0</v>
      </c>
      <c r="H3556" s="17">
        <v>3547</v>
      </c>
      <c r="I3556" s="45">
        <v>0.67237058874969335</v>
      </c>
      <c r="J3556" s="45">
        <v>2.0399484519161789E-2</v>
      </c>
      <c r="K3556" s="45">
        <v>0.25879999999999997</v>
      </c>
      <c r="N3556" s="54"/>
    </row>
    <row r="3557" spans="2:14" x14ac:dyDescent="0.2">
      <c r="B3557">
        <v>3548</v>
      </c>
      <c r="C3557" s="52">
        <f ca="1"/>
        <v>0.18970167563194631</v>
      </c>
      <c r="D3557" s="52">
        <f ca="1">S0*EXP((μ-0.5*σ*σ)*T+σ*SQRT(T)*$C3557)</f>
        <v>0.67850026606635905</v>
      </c>
      <c r="E3557" s="52">
        <f t="shared" ca="1" si="150"/>
        <v>0</v>
      </c>
      <c r="F3557" s="17">
        <f t="shared" ca="1" si="151"/>
        <v>0</v>
      </c>
      <c r="H3557" s="17">
        <v>3548</v>
      </c>
      <c r="I3557" s="45">
        <v>0.67174709350046735</v>
      </c>
      <c r="J3557" s="45">
        <v>1.9509530067399094E-2</v>
      </c>
      <c r="K3557" s="45">
        <v>0.248</v>
      </c>
      <c r="N3557" s="54"/>
    </row>
    <row r="3558" spans="2:14" x14ac:dyDescent="0.2">
      <c r="B3558">
        <v>3549</v>
      </c>
      <c r="C3558" s="52">
        <f ca="1"/>
        <v>0.68784342702608203</v>
      </c>
      <c r="D3558" s="52">
        <f ca="1">S0*EXP((μ-0.5*σ*σ)*T+σ*SQRT(T)*$C3558)</f>
        <v>0.77867008681439609</v>
      </c>
      <c r="E3558" s="52">
        <f t="shared" ca="1" si="150"/>
        <v>0</v>
      </c>
      <c r="F3558" s="17">
        <f t="shared" ca="1" si="151"/>
        <v>0</v>
      </c>
      <c r="H3558" s="17">
        <v>3549</v>
      </c>
      <c r="I3558" s="45">
        <v>0.67246187234930199</v>
      </c>
      <c r="J3558" s="45">
        <v>2.0279581477147E-2</v>
      </c>
      <c r="K3558" s="45">
        <v>0.25559999999999999</v>
      </c>
      <c r="N3558" s="54"/>
    </row>
    <row r="3559" spans="2:14" x14ac:dyDescent="0.2">
      <c r="B3559">
        <v>3550</v>
      </c>
      <c r="C3559" s="52">
        <f ca="1"/>
        <v>-0.518696425505623</v>
      </c>
      <c r="D3559" s="52">
        <f ca="1">S0*EXP((μ-0.5*σ*σ)*T+σ*SQRT(T)*$C3559)</f>
        <v>0.55783354091812598</v>
      </c>
      <c r="E3559" s="52">
        <f t="shared" ca="1" si="150"/>
        <v>0</v>
      </c>
      <c r="F3559" s="17">
        <f t="shared" ca="1" si="151"/>
        <v>0</v>
      </c>
      <c r="H3559" s="17">
        <v>3550</v>
      </c>
      <c r="I3559" s="45">
        <v>0.66978320423632454</v>
      </c>
      <c r="J3559" s="45">
        <v>1.8141745177857868E-2</v>
      </c>
      <c r="K3559" s="45">
        <v>0.24279999999999999</v>
      </c>
      <c r="N3559" s="54"/>
    </row>
    <row r="3560" spans="2:14" x14ac:dyDescent="0.2">
      <c r="B3560">
        <v>3551</v>
      </c>
      <c r="C3560" s="52">
        <f ca="1"/>
        <v>-2.2835682458003523</v>
      </c>
      <c r="D3560" s="52">
        <f ca="1">S0*EXP((μ-0.5*σ*σ)*T+σ*SQRT(T)*$C3560)</f>
        <v>0.34247294151256469</v>
      </c>
      <c r="E3560" s="52">
        <f t="shared" ca="1" si="150"/>
        <v>0.1919270584874353</v>
      </c>
      <c r="F3560" s="17">
        <f t="shared" ca="1" si="151"/>
        <v>1</v>
      </c>
      <c r="H3560" s="17">
        <v>3551</v>
      </c>
      <c r="I3560" s="45">
        <v>0.67172691367494064</v>
      </c>
      <c r="J3560" s="45">
        <v>1.9790911576602489E-2</v>
      </c>
      <c r="K3560" s="45">
        <v>0.25119999999999998</v>
      </c>
      <c r="N3560" s="54"/>
    </row>
    <row r="3561" spans="2:14" x14ac:dyDescent="0.2">
      <c r="B3561">
        <v>3552</v>
      </c>
      <c r="C3561" s="52">
        <f ca="1"/>
        <v>9.2323044456650807E-2</v>
      </c>
      <c r="D3561" s="52">
        <f ca="1">S0*EXP((μ-0.5*σ*σ)*T+σ*SQRT(T)*$C3561)</f>
        <v>0.6604796091757893</v>
      </c>
      <c r="E3561" s="52">
        <f t="shared" ca="1" si="150"/>
        <v>0</v>
      </c>
      <c r="F3561" s="17">
        <f t="shared" ca="1" si="151"/>
        <v>0</v>
      </c>
      <c r="H3561" s="17">
        <v>3552</v>
      </c>
      <c r="I3561" s="45">
        <v>0.66993529764604232</v>
      </c>
      <c r="J3561" s="45">
        <v>1.8334767167221679E-2</v>
      </c>
      <c r="K3561" s="45">
        <v>0.24360000000000001</v>
      </c>
      <c r="N3561" s="54"/>
    </row>
    <row r="3562" spans="2:14" x14ac:dyDescent="0.2">
      <c r="B3562">
        <v>3553</v>
      </c>
      <c r="C3562" s="52">
        <f ca="1"/>
        <v>-1.4803833283556174</v>
      </c>
      <c r="D3562" s="52">
        <f ca="1">S0*EXP((μ-0.5*σ*σ)*T+σ*SQRT(T)*$C3562)</f>
        <v>0.42761321205318931</v>
      </c>
      <c r="E3562" s="52">
        <f t="shared" ca="1" si="150"/>
        <v>0.10678678794681068</v>
      </c>
      <c r="F3562" s="17">
        <f t="shared" ca="1" si="151"/>
        <v>1</v>
      </c>
      <c r="H3562" s="17">
        <v>3553</v>
      </c>
      <c r="I3562" s="45">
        <v>0.67112555520706485</v>
      </c>
      <c r="J3562" s="45">
        <v>1.9277904937468074E-2</v>
      </c>
      <c r="K3562" s="45">
        <v>0.24879999999999999</v>
      </c>
      <c r="N3562" s="54"/>
    </row>
    <row r="3563" spans="2:14" x14ac:dyDescent="0.2">
      <c r="B3563">
        <v>3554</v>
      </c>
      <c r="C3563" s="52">
        <f ca="1"/>
        <v>-0.78136514600411333</v>
      </c>
      <c r="D3563" s="52">
        <f ca="1">S0*EXP((μ-0.5*σ*σ)*T+σ*SQRT(T)*$C3563)</f>
        <v>0.51876471095770793</v>
      </c>
      <c r="E3563" s="52">
        <f t="shared" ca="1" si="150"/>
        <v>1.5635289042292055E-2</v>
      </c>
      <c r="F3563" s="17">
        <f t="shared" ca="1" si="151"/>
        <v>1</v>
      </c>
      <c r="H3563" s="17">
        <v>3554</v>
      </c>
      <c r="I3563" s="45">
        <v>0.67101721471331022</v>
      </c>
      <c r="J3563" s="45">
        <v>1.9003380562282287E-2</v>
      </c>
      <c r="K3563" s="45">
        <v>0.2472</v>
      </c>
      <c r="N3563" s="54"/>
    </row>
    <row r="3564" spans="2:14" x14ac:dyDescent="0.2">
      <c r="B3564">
        <v>3555</v>
      </c>
      <c r="C3564" s="52">
        <f ca="1"/>
        <v>0.33739219782690533</v>
      </c>
      <c r="D3564" s="52">
        <f ca="1">S0*EXP((μ-0.5*σ*σ)*T+σ*SQRT(T)*$C3564)</f>
        <v>0.70677426811772348</v>
      </c>
      <c r="E3564" s="52">
        <f t="shared" ca="1" si="150"/>
        <v>0</v>
      </c>
      <c r="F3564" s="17">
        <f t="shared" ca="1" si="151"/>
        <v>0</v>
      </c>
      <c r="H3564" s="17">
        <v>3555</v>
      </c>
      <c r="I3564" s="45">
        <v>0.67073019979588466</v>
      </c>
      <c r="J3564" s="45">
        <v>1.8604574200800219E-2</v>
      </c>
      <c r="K3564" s="45">
        <v>0.24299999999999999</v>
      </c>
      <c r="N3564" s="54"/>
    </row>
    <row r="3565" spans="2:14" x14ac:dyDescent="0.2">
      <c r="B3565">
        <v>3556</v>
      </c>
      <c r="C3565" s="52">
        <f ca="1"/>
        <v>-1.2916732842681158</v>
      </c>
      <c r="D3565" s="52">
        <f ca="1">S0*EXP((μ-0.5*σ*σ)*T+σ*SQRT(T)*$C3565)</f>
        <v>0.45051197963050388</v>
      </c>
      <c r="E3565" s="52">
        <f t="shared" ca="1" si="150"/>
        <v>8.3888020369496108E-2</v>
      </c>
      <c r="F3565" s="17">
        <f t="shared" ca="1" si="151"/>
        <v>1</v>
      </c>
      <c r="H3565" s="17">
        <v>3556</v>
      </c>
      <c r="I3565" s="45">
        <v>0.66986888685957557</v>
      </c>
      <c r="J3565" s="45">
        <v>1.8044925792276133E-2</v>
      </c>
      <c r="K3565" s="45">
        <v>0.2462</v>
      </c>
      <c r="N3565" s="54"/>
    </row>
    <row r="3566" spans="2:14" x14ac:dyDescent="0.2">
      <c r="B3566">
        <v>3557</v>
      </c>
      <c r="C3566" s="52">
        <f ca="1"/>
        <v>-0.98796456094597829</v>
      </c>
      <c r="D3566" s="52">
        <f ca="1">S0*EXP((μ-0.5*σ*σ)*T+σ*SQRT(T)*$C3566)</f>
        <v>0.48996778015559622</v>
      </c>
      <c r="E3566" s="52">
        <f t="shared" ca="1" si="150"/>
        <v>4.4432219844403764E-2</v>
      </c>
      <c r="F3566" s="17">
        <f t="shared" ca="1" si="151"/>
        <v>1</v>
      </c>
      <c r="H3566" s="17">
        <v>3557</v>
      </c>
      <c r="I3566" s="45">
        <v>0.67130678997774662</v>
      </c>
      <c r="J3566" s="45">
        <v>1.9190082960112109E-2</v>
      </c>
      <c r="K3566" s="45">
        <v>0.24279999999999999</v>
      </c>
      <c r="N3566" s="54"/>
    </row>
    <row r="3567" spans="2:14" x14ac:dyDescent="0.2">
      <c r="B3567">
        <v>3558</v>
      </c>
      <c r="C3567" s="52">
        <f ca="1"/>
        <v>0.87880001775934524</v>
      </c>
      <c r="D3567" s="52">
        <f ca="1">S0*EXP((μ-0.5*σ*σ)*T+σ*SQRT(T)*$C3567)</f>
        <v>0.82087763774080502</v>
      </c>
      <c r="E3567" s="52">
        <f t="shared" ca="1" si="150"/>
        <v>0</v>
      </c>
      <c r="F3567" s="17">
        <f t="shared" ca="1" si="151"/>
        <v>0</v>
      </c>
      <c r="H3567" s="17">
        <v>3558</v>
      </c>
      <c r="I3567" s="45">
        <v>0.67163475207736323</v>
      </c>
      <c r="J3567" s="45">
        <v>1.9356416880078168E-2</v>
      </c>
      <c r="K3567" s="45">
        <v>0.24399999999999999</v>
      </c>
      <c r="N3567" s="54"/>
    </row>
    <row r="3568" spans="2:14" x14ac:dyDescent="0.2">
      <c r="B3568">
        <v>3559</v>
      </c>
      <c r="C3568" s="52">
        <f ca="1"/>
        <v>0.49154949294688632</v>
      </c>
      <c r="D3568" s="52">
        <f ca="1">S0*EXP((μ-0.5*σ*σ)*T+σ*SQRT(T)*$C3568)</f>
        <v>0.7375437600381759</v>
      </c>
      <c r="E3568" s="52">
        <f t="shared" ca="1" si="150"/>
        <v>0</v>
      </c>
      <c r="F3568" s="17">
        <f t="shared" ca="1" si="151"/>
        <v>0</v>
      </c>
      <c r="H3568" s="17">
        <v>3559</v>
      </c>
      <c r="I3568" s="45">
        <v>0.67105240748370865</v>
      </c>
      <c r="J3568" s="45">
        <v>1.9044254574505207E-2</v>
      </c>
      <c r="K3568" s="45">
        <v>0.24560000000000001</v>
      </c>
      <c r="N3568" s="54"/>
    </row>
    <row r="3569" spans="2:14" x14ac:dyDescent="0.2">
      <c r="B3569">
        <v>3560</v>
      </c>
      <c r="C3569" s="52">
        <f ca="1"/>
        <v>-0.86379165640982802</v>
      </c>
      <c r="D3569" s="52">
        <f ca="1">S0*EXP((μ-0.5*σ*σ)*T+σ*SQRT(T)*$C3569)</f>
        <v>0.50707811373460865</v>
      </c>
      <c r="E3569" s="52">
        <f t="shared" ca="1" si="150"/>
        <v>2.7321886265391337E-2</v>
      </c>
      <c r="F3569" s="17">
        <f t="shared" ca="1" si="151"/>
        <v>1</v>
      </c>
      <c r="H3569" s="17">
        <v>3560</v>
      </c>
      <c r="I3569" s="45">
        <v>0.6713257244067965</v>
      </c>
      <c r="J3569" s="45">
        <v>1.940982295394825E-2</v>
      </c>
      <c r="K3569" s="45">
        <v>0.25359999999999999</v>
      </c>
      <c r="N3569" s="54"/>
    </row>
    <row r="3570" spans="2:14" x14ac:dyDescent="0.2">
      <c r="B3570">
        <v>3561</v>
      </c>
      <c r="C3570" s="52">
        <f ca="1"/>
        <v>-0.19204960946242247</v>
      </c>
      <c r="D3570" s="52">
        <f ca="1">S0*EXP((μ-0.5*σ*σ)*T+σ*SQRT(T)*$C3570)</f>
        <v>0.61054768849518859</v>
      </c>
      <c r="E3570" s="52">
        <f t="shared" ca="1" si="150"/>
        <v>0</v>
      </c>
      <c r="F3570" s="17">
        <f t="shared" ca="1" si="151"/>
        <v>0</v>
      </c>
      <c r="H3570" s="17">
        <v>3561</v>
      </c>
      <c r="I3570" s="45">
        <v>0.6703431571113394</v>
      </c>
      <c r="J3570" s="45">
        <v>1.8508713445687074E-2</v>
      </c>
      <c r="K3570" s="45">
        <v>0.24879999999999999</v>
      </c>
      <c r="N3570" s="54"/>
    </row>
    <row r="3571" spans="2:14" x14ac:dyDescent="0.2">
      <c r="B3571">
        <v>3562</v>
      </c>
      <c r="C3571" s="52">
        <f ca="1"/>
        <v>-0.43516127286872203</v>
      </c>
      <c r="D3571" s="52">
        <f ca="1">S0*EXP((μ-0.5*σ*σ)*T+σ*SQRT(T)*$C3571)</f>
        <v>0.5708648184052566</v>
      </c>
      <c r="E3571" s="52">
        <f t="shared" ca="1" si="150"/>
        <v>0</v>
      </c>
      <c r="F3571" s="17">
        <f t="shared" ca="1" si="151"/>
        <v>0</v>
      </c>
      <c r="H3571" s="17">
        <v>3562</v>
      </c>
      <c r="I3571" s="45">
        <v>0.67120815859737781</v>
      </c>
      <c r="J3571" s="45">
        <v>1.9179244875445405E-2</v>
      </c>
      <c r="K3571" s="45">
        <v>0.24979999999999999</v>
      </c>
      <c r="N3571" s="54"/>
    </row>
    <row r="3572" spans="2:14" x14ac:dyDescent="0.2">
      <c r="B3572">
        <v>3563</v>
      </c>
      <c r="C3572" s="52">
        <f ca="1"/>
        <v>0.75677607209837461</v>
      </c>
      <c r="D3572" s="52">
        <f ca="1">S0*EXP((μ-0.5*σ*σ)*T+σ*SQRT(T)*$C3572)</f>
        <v>0.79365009037323064</v>
      </c>
      <c r="E3572" s="52">
        <f t="shared" ca="1" si="150"/>
        <v>0</v>
      </c>
      <c r="F3572" s="17">
        <f t="shared" ca="1" si="151"/>
        <v>0</v>
      </c>
      <c r="H3572" s="17">
        <v>3563</v>
      </c>
      <c r="I3572" s="45">
        <v>0.6705606028194957</v>
      </c>
      <c r="J3572" s="45">
        <v>1.8755546955396211E-2</v>
      </c>
      <c r="K3572" s="45">
        <v>0.24299999999999999</v>
      </c>
      <c r="N3572" s="54"/>
    </row>
    <row r="3573" spans="2:14" x14ac:dyDescent="0.2">
      <c r="B3573">
        <v>3564</v>
      </c>
      <c r="C3573" s="52">
        <f ca="1"/>
        <v>2.333034149605075</v>
      </c>
      <c r="D3573" s="52">
        <f ca="1">S0*EXP((μ-0.5*σ*σ)*T+σ*SQRT(T)*$C3573)</f>
        <v>1.2270542452539697</v>
      </c>
      <c r="E3573" s="52">
        <f t="shared" ca="1" si="150"/>
        <v>0</v>
      </c>
      <c r="F3573" s="17">
        <f t="shared" ca="1" si="151"/>
        <v>0</v>
      </c>
      <c r="H3573" s="17">
        <v>3564</v>
      </c>
      <c r="I3573" s="45">
        <v>0.67076723265780702</v>
      </c>
      <c r="J3573" s="45">
        <v>1.8883546254617457E-2</v>
      </c>
      <c r="K3573" s="45">
        <v>0.24959999999999999</v>
      </c>
      <c r="N3573" s="54"/>
    </row>
    <row r="3574" spans="2:14" x14ac:dyDescent="0.2">
      <c r="B3574">
        <v>3565</v>
      </c>
      <c r="C3574" s="52">
        <f ca="1"/>
        <v>-0.76292661856783606</v>
      </c>
      <c r="D3574" s="52">
        <f ca="1">S0*EXP((μ-0.5*σ*σ)*T+σ*SQRT(T)*$C3574)</f>
        <v>0.52141560917238827</v>
      </c>
      <c r="E3574" s="52">
        <f t="shared" ca="1" si="150"/>
        <v>1.2984390827611714E-2</v>
      </c>
      <c r="F3574" s="17">
        <f t="shared" ca="1" si="151"/>
        <v>1</v>
      </c>
      <c r="H3574" s="17">
        <v>3565</v>
      </c>
      <c r="I3574" s="45">
        <v>0.67020596915287434</v>
      </c>
      <c r="J3574" s="45">
        <v>1.8543541149556954E-2</v>
      </c>
      <c r="K3574" s="45">
        <v>0.24679999999999999</v>
      </c>
      <c r="N3574" s="54"/>
    </row>
    <row r="3575" spans="2:14" x14ac:dyDescent="0.2">
      <c r="B3575">
        <v>3566</v>
      </c>
      <c r="C3575" s="52">
        <f ca="1"/>
        <v>-0.87253947966035483</v>
      </c>
      <c r="D3575" s="52">
        <f ca="1">S0*EXP((μ-0.5*σ*σ)*T+σ*SQRT(T)*$C3575)</f>
        <v>0.50585338758239351</v>
      </c>
      <c r="E3575" s="52">
        <f t="shared" ca="1" si="150"/>
        <v>2.8546612417606476E-2</v>
      </c>
      <c r="F3575" s="17">
        <f t="shared" ca="1" si="151"/>
        <v>1</v>
      </c>
      <c r="H3575" s="17">
        <v>3566</v>
      </c>
      <c r="I3575" s="45">
        <v>0.67199047786587818</v>
      </c>
      <c r="J3575" s="45">
        <v>1.9561940651261794E-2</v>
      </c>
      <c r="K3575" s="45">
        <v>0.249</v>
      </c>
      <c r="N3575" s="54"/>
    </row>
    <row r="3576" spans="2:14" x14ac:dyDescent="0.2">
      <c r="B3576">
        <v>3567</v>
      </c>
      <c r="C3576" s="52">
        <f ca="1"/>
        <v>0.9392433300767794</v>
      </c>
      <c r="D3576" s="52">
        <f ca="1">S0*EXP((μ-0.5*σ*σ)*T+σ*SQRT(T)*$C3576)</f>
        <v>0.83470849369635036</v>
      </c>
      <c r="E3576" s="52">
        <f t="shared" ca="1" si="150"/>
        <v>0</v>
      </c>
      <c r="F3576" s="17">
        <f t="shared" ca="1" si="151"/>
        <v>0</v>
      </c>
      <c r="H3576" s="17">
        <v>3567</v>
      </c>
      <c r="I3576" s="45">
        <v>0.67094355742578471</v>
      </c>
      <c r="J3576" s="45">
        <v>1.882163131604148E-2</v>
      </c>
      <c r="K3576" s="45">
        <v>0.246</v>
      </c>
      <c r="N3576" s="54"/>
    </row>
    <row r="3577" spans="2:14" x14ac:dyDescent="0.2">
      <c r="B3577">
        <v>3568</v>
      </c>
      <c r="C3577" s="52">
        <f ca="1"/>
        <v>-1.9675806734701136</v>
      </c>
      <c r="D3577" s="52">
        <f ca="1">S0*EXP((μ-0.5*σ*σ)*T+σ*SQRT(T)*$C3577)</f>
        <v>0.37373309405913296</v>
      </c>
      <c r="E3577" s="52">
        <f t="shared" ca="1" si="150"/>
        <v>0.16066690594086702</v>
      </c>
      <c r="F3577" s="17">
        <f t="shared" ca="1" si="151"/>
        <v>1</v>
      </c>
      <c r="H3577" s="17">
        <v>3568</v>
      </c>
      <c r="I3577" s="45">
        <v>0.670303351860147</v>
      </c>
      <c r="J3577" s="45">
        <v>1.8461253534573688E-2</v>
      </c>
      <c r="K3577" s="45">
        <v>0.24779999999999999</v>
      </c>
      <c r="N3577" s="54"/>
    </row>
    <row r="3578" spans="2:14" x14ac:dyDescent="0.2">
      <c r="B3578">
        <v>3569</v>
      </c>
      <c r="C3578" s="52">
        <f ca="1"/>
        <v>0.11935402969597689</v>
      </c>
      <c r="D3578" s="52">
        <f ca="1">S0*EXP((μ-0.5*σ*σ)*T+σ*SQRT(T)*$C3578)</f>
        <v>0.66543335818960681</v>
      </c>
      <c r="E3578" s="52">
        <f t="shared" ca="1" si="150"/>
        <v>0</v>
      </c>
      <c r="F3578" s="17">
        <f t="shared" ca="1" si="151"/>
        <v>0</v>
      </c>
      <c r="H3578" s="17">
        <v>3569</v>
      </c>
      <c r="I3578" s="45">
        <v>0.67158660622202615</v>
      </c>
      <c r="J3578" s="45">
        <v>1.9367089487293751E-2</v>
      </c>
      <c r="K3578" s="45">
        <v>0.24959999999999999</v>
      </c>
      <c r="N3578" s="54"/>
    </row>
    <row r="3579" spans="2:14" x14ac:dyDescent="0.2">
      <c r="B3579">
        <v>3570</v>
      </c>
      <c r="C3579" s="52">
        <f ca="1"/>
        <v>4.266877464690324E-4</v>
      </c>
      <c r="D3579" s="52">
        <f ca="1">S0*EXP((μ-0.5*σ*σ)*T+σ*SQRT(T)*$C3579)</f>
        <v>0.64391266970711902</v>
      </c>
      <c r="E3579" s="52">
        <f t="shared" ca="1" si="150"/>
        <v>0</v>
      </c>
      <c r="F3579" s="17">
        <f t="shared" ca="1" si="151"/>
        <v>0</v>
      </c>
      <c r="H3579" s="17">
        <v>3570</v>
      </c>
      <c r="I3579" s="45">
        <v>0.67102687365141733</v>
      </c>
      <c r="J3579" s="45">
        <v>1.8972689251018589E-2</v>
      </c>
      <c r="K3579" s="45">
        <v>0.24579999999999999</v>
      </c>
      <c r="N3579" s="54"/>
    </row>
    <row r="3580" spans="2:14" x14ac:dyDescent="0.2">
      <c r="B3580">
        <v>3571</v>
      </c>
      <c r="C3580" s="52">
        <f ca="1"/>
        <v>0.18031189766997452</v>
      </c>
      <c r="D3580" s="52">
        <f ca="1">S0*EXP((μ-0.5*σ*σ)*T+σ*SQRT(T)*$C3580)</f>
        <v>0.67674140736043731</v>
      </c>
      <c r="E3580" s="52">
        <f t="shared" ca="1" si="150"/>
        <v>0</v>
      </c>
      <c r="F3580" s="17">
        <f t="shared" ca="1" si="151"/>
        <v>0</v>
      </c>
      <c r="H3580" s="17">
        <v>3571</v>
      </c>
      <c r="I3580" s="45">
        <v>0.67147446522502707</v>
      </c>
      <c r="J3580" s="45">
        <v>1.944411677663439E-2</v>
      </c>
      <c r="K3580" s="45">
        <v>0.24759999999999999</v>
      </c>
      <c r="N3580" s="54"/>
    </row>
    <row r="3581" spans="2:14" x14ac:dyDescent="0.2">
      <c r="B3581">
        <v>3572</v>
      </c>
      <c r="C3581" s="52">
        <f ca="1"/>
        <v>-1.632308382983505</v>
      </c>
      <c r="D3581" s="52">
        <f ca="1">S0*EXP((μ-0.5*σ*σ)*T+σ*SQRT(T)*$C3581)</f>
        <v>0.41002660678675368</v>
      </c>
      <c r="E3581" s="52">
        <f t="shared" ca="1" si="150"/>
        <v>0.12437339321324631</v>
      </c>
      <c r="F3581" s="17">
        <f t="shared" ca="1" si="151"/>
        <v>1</v>
      </c>
      <c r="H3581" s="17">
        <v>3572</v>
      </c>
      <c r="I3581" s="45">
        <v>0.67119214467748911</v>
      </c>
      <c r="J3581" s="45">
        <v>1.9080673343671823E-2</v>
      </c>
      <c r="K3581" s="45">
        <v>0.24759999999999999</v>
      </c>
      <c r="N3581" s="54"/>
    </row>
    <row r="3582" spans="2:14" x14ac:dyDescent="0.2">
      <c r="B3582">
        <v>3573</v>
      </c>
      <c r="C3582" s="52">
        <f ca="1"/>
        <v>-0.5709398816807536</v>
      </c>
      <c r="D3582" s="52">
        <f ca="1">S0*EXP((μ-0.5*σ*σ)*T+σ*SQRT(T)*$C3582)</f>
        <v>0.54983531946201114</v>
      </c>
      <c r="E3582" s="52">
        <f t="shared" ca="1" si="150"/>
        <v>0</v>
      </c>
      <c r="F3582" s="17">
        <f t="shared" ca="1" si="151"/>
        <v>0</v>
      </c>
      <c r="H3582" s="17">
        <v>3573</v>
      </c>
      <c r="I3582" s="45">
        <v>0.67088361109104766</v>
      </c>
      <c r="J3582" s="45">
        <v>1.8851235674129798E-2</v>
      </c>
      <c r="K3582" s="45">
        <v>0.25</v>
      </c>
      <c r="N3582" s="54"/>
    </row>
    <row r="3583" spans="2:14" x14ac:dyDescent="0.2">
      <c r="B3583">
        <v>3574</v>
      </c>
      <c r="C3583" s="52">
        <f ca="1"/>
        <v>0.49084191533346355</v>
      </c>
      <c r="D3583" s="52">
        <f ca="1">S0*EXP((μ-0.5*σ*σ)*T+σ*SQRT(T)*$C3583)</f>
        <v>0.73739951246136903</v>
      </c>
      <c r="E3583" s="52">
        <f t="shared" ca="1" si="150"/>
        <v>0</v>
      </c>
      <c r="F3583" s="17">
        <f t="shared" ca="1" si="151"/>
        <v>0</v>
      </c>
      <c r="H3583" s="17">
        <v>3574</v>
      </c>
      <c r="I3583" s="45">
        <v>0.67090422101899572</v>
      </c>
      <c r="J3583" s="45">
        <v>1.9004042372527154E-2</v>
      </c>
      <c r="K3583" s="45">
        <v>0.2492</v>
      </c>
      <c r="N3583" s="54"/>
    </row>
    <row r="3584" spans="2:14" x14ac:dyDescent="0.2">
      <c r="B3584">
        <v>3575</v>
      </c>
      <c r="C3584" s="52">
        <f ca="1"/>
        <v>0.27811361717053013</v>
      </c>
      <c r="D3584" s="52">
        <f ca="1">S0*EXP((μ-0.5*σ*σ)*T+σ*SQRT(T)*$C3584)</f>
        <v>0.69528706718421884</v>
      </c>
      <c r="E3584" s="52">
        <f t="shared" ca="1" si="150"/>
        <v>0</v>
      </c>
      <c r="F3584" s="17">
        <f t="shared" ca="1" si="151"/>
        <v>0</v>
      </c>
      <c r="H3584" s="17">
        <v>3575</v>
      </c>
      <c r="I3584" s="45">
        <v>0.67085056977591928</v>
      </c>
      <c r="J3584" s="45">
        <v>1.8956550970491516E-2</v>
      </c>
      <c r="K3584" s="45">
        <v>0.251</v>
      </c>
      <c r="N3584" s="54"/>
    </row>
    <row r="3585" spans="2:14" x14ac:dyDescent="0.2">
      <c r="B3585">
        <v>3576</v>
      </c>
      <c r="C3585" s="52">
        <f ca="1"/>
        <v>-0.47617938461185877</v>
      </c>
      <c r="D3585" s="52">
        <f ca="1">S0*EXP((μ-0.5*σ*σ)*T+σ*SQRT(T)*$C3585)</f>
        <v>0.56442848970707193</v>
      </c>
      <c r="E3585" s="52">
        <f t="shared" ca="1" si="150"/>
        <v>0</v>
      </c>
      <c r="F3585" s="17">
        <f t="shared" ca="1" si="151"/>
        <v>0</v>
      </c>
      <c r="H3585" s="17">
        <v>3576</v>
      </c>
      <c r="I3585" s="45">
        <v>0.67021326211860244</v>
      </c>
      <c r="J3585" s="45">
        <v>1.8700920050741466E-2</v>
      </c>
      <c r="K3585" s="45">
        <v>0.2432</v>
      </c>
      <c r="N3585" s="54"/>
    </row>
    <row r="3586" spans="2:14" x14ac:dyDescent="0.2">
      <c r="B3586">
        <v>3577</v>
      </c>
      <c r="C3586" s="52">
        <f ca="1"/>
        <v>-0.21493159184014984</v>
      </c>
      <c r="D3586" s="52">
        <f ca="1">S0*EXP((μ-0.5*σ*σ)*T+σ*SQRT(T)*$C3586)</f>
        <v>0.60669796482453509</v>
      </c>
      <c r="E3586" s="52">
        <f t="shared" ca="1" si="150"/>
        <v>0</v>
      </c>
      <c r="F3586" s="17">
        <f t="shared" ca="1" si="151"/>
        <v>0</v>
      </c>
      <c r="H3586" s="17">
        <v>3577</v>
      </c>
      <c r="I3586" s="45">
        <v>0.67149217677931106</v>
      </c>
      <c r="J3586" s="45">
        <v>1.8871454999470218E-2</v>
      </c>
      <c r="K3586" s="45">
        <v>0.24340000000000001</v>
      </c>
      <c r="N3586" s="54"/>
    </row>
    <row r="3587" spans="2:14" x14ac:dyDescent="0.2">
      <c r="B3587">
        <v>3578</v>
      </c>
      <c r="C3587" s="52">
        <f ca="1"/>
        <v>-0.48205810520240372</v>
      </c>
      <c r="D3587" s="52">
        <f ca="1">S0*EXP((μ-0.5*σ*σ)*T+σ*SQRT(T)*$C3587)</f>
        <v>0.563511999062276</v>
      </c>
      <c r="E3587" s="52">
        <f t="shared" ca="1" si="150"/>
        <v>0</v>
      </c>
      <c r="F3587" s="17">
        <f t="shared" ca="1" si="151"/>
        <v>0</v>
      </c>
      <c r="H3587" s="17">
        <v>3578</v>
      </c>
      <c r="I3587" s="45">
        <v>0.67103091253290181</v>
      </c>
      <c r="J3587" s="45">
        <v>1.9180201169726498E-2</v>
      </c>
      <c r="K3587" s="45">
        <v>0.2472</v>
      </c>
      <c r="N3587" s="54"/>
    </row>
    <row r="3588" spans="2:14" x14ac:dyDescent="0.2">
      <c r="B3588">
        <v>3579</v>
      </c>
      <c r="C3588" s="52">
        <f ca="1"/>
        <v>9.8917017977371055E-2</v>
      </c>
      <c r="D3588" s="52">
        <f ca="1">S0*EXP((μ-0.5*σ*σ)*T+σ*SQRT(T)*$C3588)</f>
        <v>0.66168462183289156</v>
      </c>
      <c r="E3588" s="52">
        <f t="shared" ca="1" si="150"/>
        <v>0</v>
      </c>
      <c r="F3588" s="17">
        <f t="shared" ca="1" si="151"/>
        <v>0</v>
      </c>
      <c r="H3588" s="17">
        <v>3579</v>
      </c>
      <c r="I3588" s="45">
        <v>0.67088616704941784</v>
      </c>
      <c r="J3588" s="45">
        <v>1.8888358844365325E-2</v>
      </c>
      <c r="K3588" s="45">
        <v>0.25140000000000001</v>
      </c>
      <c r="N3588" s="54"/>
    </row>
    <row r="3589" spans="2:14" x14ac:dyDescent="0.2">
      <c r="B3589">
        <v>3580</v>
      </c>
      <c r="C3589" s="52">
        <f ca="1"/>
        <v>-0.5439428958653858</v>
      </c>
      <c r="D3589" s="52">
        <f ca="1">S0*EXP((μ-0.5*σ*σ)*T+σ*SQRT(T)*$C3589)</f>
        <v>0.55395400446220489</v>
      </c>
      <c r="E3589" s="52">
        <f t="shared" ca="1" si="150"/>
        <v>0</v>
      </c>
      <c r="F3589" s="17">
        <f t="shared" ca="1" si="151"/>
        <v>0</v>
      </c>
      <c r="H3589" s="17">
        <v>3580</v>
      </c>
      <c r="I3589" s="45">
        <v>0.67177254004622478</v>
      </c>
      <c r="J3589" s="45">
        <v>1.9786968899029166E-2</v>
      </c>
      <c r="K3589" s="45">
        <v>0.25059999999999999</v>
      </c>
      <c r="N3589" s="54"/>
    </row>
    <row r="3590" spans="2:14" x14ac:dyDescent="0.2">
      <c r="B3590">
        <v>3581</v>
      </c>
      <c r="C3590" s="52">
        <f ca="1"/>
        <v>0.24418443777649754</v>
      </c>
      <c r="D3590" s="52">
        <f ca="1">S0*EXP((μ-0.5*σ*σ)*T+σ*SQRT(T)*$C3590)</f>
        <v>0.68879636669658295</v>
      </c>
      <c r="E3590" s="52">
        <f t="shared" ca="1" si="150"/>
        <v>0</v>
      </c>
      <c r="F3590" s="17">
        <f t="shared" ca="1" si="151"/>
        <v>0</v>
      </c>
      <c r="H3590" s="17">
        <v>3581</v>
      </c>
      <c r="I3590" s="45">
        <v>0.66964152978000968</v>
      </c>
      <c r="J3590" s="45">
        <v>1.8072980234448321E-2</v>
      </c>
      <c r="K3590" s="45">
        <v>0.2442</v>
      </c>
      <c r="N3590" s="54"/>
    </row>
    <row r="3591" spans="2:14" x14ac:dyDescent="0.2">
      <c r="B3591">
        <v>3582</v>
      </c>
      <c r="C3591" s="52">
        <f ca="1"/>
        <v>0.62617744868292213</v>
      </c>
      <c r="D3591" s="52">
        <f ca="1">S0*EXP((μ-0.5*σ*σ)*T+σ*SQRT(T)*$C3591)</f>
        <v>0.76550899553939455</v>
      </c>
      <c r="E3591" s="52">
        <f t="shared" ca="1" si="150"/>
        <v>0</v>
      </c>
      <c r="F3591" s="17">
        <f t="shared" ca="1" si="151"/>
        <v>0</v>
      </c>
      <c r="H3591" s="17">
        <v>3582</v>
      </c>
      <c r="I3591" s="45">
        <v>0.67119222911464937</v>
      </c>
      <c r="J3591" s="45">
        <v>1.9076096438008911E-2</v>
      </c>
      <c r="K3591" s="45">
        <v>0.246</v>
      </c>
      <c r="N3591" s="54"/>
    </row>
    <row r="3592" spans="2:14" x14ac:dyDescent="0.2">
      <c r="B3592">
        <v>3583</v>
      </c>
      <c r="C3592" s="52">
        <f ca="1"/>
        <v>-0.40045968430643925</v>
      </c>
      <c r="D3592" s="52">
        <f ca="1">S0*EXP((μ-0.5*σ*σ)*T+σ*SQRT(T)*$C3592)</f>
        <v>0.57636727263954224</v>
      </c>
      <c r="E3592" s="52">
        <f t="shared" ca="1" si="150"/>
        <v>0</v>
      </c>
      <c r="F3592" s="17">
        <f t="shared" ca="1" si="151"/>
        <v>0</v>
      </c>
      <c r="H3592" s="17">
        <v>3583</v>
      </c>
      <c r="I3592" s="45">
        <v>0.67020890147175494</v>
      </c>
      <c r="J3592" s="45">
        <v>1.8325669793655398E-2</v>
      </c>
      <c r="K3592" s="45">
        <v>0.24460000000000001</v>
      </c>
      <c r="N3592" s="54"/>
    </row>
    <row r="3593" spans="2:14" x14ac:dyDescent="0.2">
      <c r="B3593">
        <v>3584</v>
      </c>
      <c r="C3593" s="52">
        <f ca="1"/>
        <v>-2.1446659843742708</v>
      </c>
      <c r="D3593" s="52">
        <f ca="1">S0*EXP((μ-0.5*σ*σ)*T+σ*SQRT(T)*$C3593)</f>
        <v>0.35587863253713298</v>
      </c>
      <c r="E3593" s="52">
        <f t="shared" ca="1" si="150"/>
        <v>0.17852136746286701</v>
      </c>
      <c r="F3593" s="17">
        <f t="shared" ca="1" si="151"/>
        <v>1</v>
      </c>
      <c r="H3593" s="17">
        <v>3584</v>
      </c>
      <c r="I3593" s="45">
        <v>0.66927482064662847</v>
      </c>
      <c r="J3593" s="45">
        <v>1.7680363112275239E-2</v>
      </c>
      <c r="K3593" s="45">
        <v>0.2382</v>
      </c>
      <c r="N3593" s="54"/>
    </row>
    <row r="3594" spans="2:14" x14ac:dyDescent="0.2">
      <c r="B3594">
        <v>3585</v>
      </c>
      <c r="C3594" s="52">
        <f ca="1"/>
        <v>-0.91573983718298124</v>
      </c>
      <c r="D3594" s="52">
        <f ca="1">S0*EXP((μ-0.5*σ*σ)*T+σ*SQRT(T)*$C3594)</f>
        <v>0.49984842179398437</v>
      </c>
      <c r="E3594" s="52">
        <f t="shared" ref="E3594:E3657" ca="1" si="152">MAX(0,CP*(D3594-K))</f>
        <v>3.4551578206015621E-2</v>
      </c>
      <c r="F3594" s="17">
        <f t="shared" ref="F3594:F3657" ca="1" si="153">(CP*(D3594-K)&gt;0)*1</f>
        <v>1</v>
      </c>
      <c r="H3594" s="17">
        <v>3585</v>
      </c>
      <c r="I3594" s="45">
        <v>0.67065979158412214</v>
      </c>
      <c r="J3594" s="45">
        <v>1.8735303812982725E-2</v>
      </c>
      <c r="K3594" s="45">
        <v>0.24740000000000001</v>
      </c>
      <c r="N3594" s="54"/>
    </row>
    <row r="3595" spans="2:14" x14ac:dyDescent="0.2">
      <c r="B3595">
        <v>3586</v>
      </c>
      <c r="C3595" s="52">
        <f ca="1"/>
        <v>6.6200125821437583E-2</v>
      </c>
      <c r="D3595" s="52">
        <f ca="1">S0*EXP((μ-0.5*σ*σ)*T+σ*SQRT(T)*$C3595)</f>
        <v>0.65572731727395328</v>
      </c>
      <c r="E3595" s="52">
        <f t="shared" ca="1" si="152"/>
        <v>0</v>
      </c>
      <c r="F3595" s="17">
        <f t="shared" ca="1" si="153"/>
        <v>0</v>
      </c>
      <c r="H3595" s="17">
        <v>3586</v>
      </c>
      <c r="I3595" s="45">
        <v>0.67059007394042724</v>
      </c>
      <c r="J3595" s="45">
        <v>1.8735301521655645E-2</v>
      </c>
      <c r="K3595" s="45">
        <v>0.24560000000000001</v>
      </c>
      <c r="N3595" s="54"/>
    </row>
    <row r="3596" spans="2:14" x14ac:dyDescent="0.2">
      <c r="B3596">
        <v>3587</v>
      </c>
      <c r="C3596" s="52">
        <f ca="1"/>
        <v>-0.78364382569412339</v>
      </c>
      <c r="D3596" s="52">
        <f ca="1">S0*EXP((μ-0.5*σ*σ)*T+σ*SQRT(T)*$C3596)</f>
        <v>0.51843804336306876</v>
      </c>
      <c r="E3596" s="52">
        <f t="shared" ca="1" si="152"/>
        <v>1.5961956636931229E-2</v>
      </c>
      <c r="F3596" s="17">
        <f t="shared" ca="1" si="153"/>
        <v>1</v>
      </c>
      <c r="H3596" s="17">
        <v>3587</v>
      </c>
      <c r="I3596" s="45">
        <v>0.67126661882879102</v>
      </c>
      <c r="J3596" s="45">
        <v>1.9333794872598696E-2</v>
      </c>
      <c r="K3596" s="45">
        <v>0.2472</v>
      </c>
      <c r="N3596" s="54"/>
    </row>
    <row r="3597" spans="2:14" x14ac:dyDescent="0.2">
      <c r="B3597">
        <v>3588</v>
      </c>
      <c r="C3597" s="52">
        <f ca="1"/>
        <v>0.2932163150920834</v>
      </c>
      <c r="D3597" s="52">
        <f ca="1">S0*EXP((μ-0.5*σ*σ)*T+σ*SQRT(T)*$C3597)</f>
        <v>0.69819587271566996</v>
      </c>
      <c r="E3597" s="52">
        <f t="shared" ca="1" si="152"/>
        <v>0</v>
      </c>
      <c r="F3597" s="17">
        <f t="shared" ca="1" si="153"/>
        <v>0</v>
      </c>
      <c r="H3597" s="17">
        <v>3588</v>
      </c>
      <c r="I3597" s="45">
        <v>0.66975531929908161</v>
      </c>
      <c r="J3597" s="45">
        <v>1.8058201204121396E-2</v>
      </c>
      <c r="K3597" s="45">
        <v>0.23980000000000001</v>
      </c>
      <c r="N3597" s="54"/>
    </row>
    <row r="3598" spans="2:14" x14ac:dyDescent="0.2">
      <c r="B3598">
        <v>3589</v>
      </c>
      <c r="C3598" s="52">
        <f ca="1"/>
        <v>1.8466935854032895</v>
      </c>
      <c r="D3598" s="52">
        <f ca="1">S0*EXP((μ-0.5*σ*σ)*T+σ*SQRT(T)*$C3598)</f>
        <v>1.0726969915674991</v>
      </c>
      <c r="E3598" s="52">
        <f t="shared" ca="1" si="152"/>
        <v>0</v>
      </c>
      <c r="F3598" s="17">
        <f t="shared" ca="1" si="153"/>
        <v>0</v>
      </c>
      <c r="H3598" s="17">
        <v>3589</v>
      </c>
      <c r="I3598" s="45">
        <v>0.67010855269873326</v>
      </c>
      <c r="J3598" s="45">
        <v>1.8605319812016033E-2</v>
      </c>
      <c r="K3598" s="45">
        <v>0.25380000000000003</v>
      </c>
      <c r="N3598" s="54"/>
    </row>
    <row r="3599" spans="2:14" x14ac:dyDescent="0.2">
      <c r="B3599">
        <v>3590</v>
      </c>
      <c r="C3599" s="52">
        <f ca="1"/>
        <v>1.8674818246509761</v>
      </c>
      <c r="D3599" s="52">
        <f ca="1">S0*EXP((μ-0.5*σ*σ)*T+σ*SQRT(T)*$C3599)</f>
        <v>1.0788790390280312</v>
      </c>
      <c r="E3599" s="52">
        <f t="shared" ca="1" si="152"/>
        <v>0</v>
      </c>
      <c r="F3599" s="17">
        <f t="shared" ca="1" si="153"/>
        <v>0</v>
      </c>
      <c r="H3599" s="17">
        <v>3590</v>
      </c>
      <c r="I3599" s="45">
        <v>0.67031047700539326</v>
      </c>
      <c r="J3599" s="45">
        <v>1.8658065002678567E-2</v>
      </c>
      <c r="K3599" s="45">
        <v>0.24859999999999999</v>
      </c>
      <c r="N3599" s="54"/>
    </row>
    <row r="3600" spans="2:14" x14ac:dyDescent="0.2">
      <c r="B3600">
        <v>3591</v>
      </c>
      <c r="C3600" s="52">
        <f ca="1"/>
        <v>-0.46332678609853084</v>
      </c>
      <c r="D3600" s="52">
        <f ca="1">S0*EXP((μ-0.5*σ*σ)*T+σ*SQRT(T)*$C3600)</f>
        <v>0.5664374007944083</v>
      </c>
      <c r="E3600" s="52">
        <f t="shared" ca="1" si="152"/>
        <v>0</v>
      </c>
      <c r="F3600" s="17">
        <f t="shared" ca="1" si="153"/>
        <v>0</v>
      </c>
      <c r="H3600" s="17">
        <v>3591</v>
      </c>
      <c r="I3600" s="45">
        <v>0.67038861624630486</v>
      </c>
      <c r="J3600" s="45">
        <v>1.8737680911874555E-2</v>
      </c>
      <c r="K3600" s="45">
        <v>0.2432</v>
      </c>
      <c r="N3600" s="54"/>
    </row>
    <row r="3601" spans="2:14" x14ac:dyDescent="0.2">
      <c r="B3601">
        <v>3592</v>
      </c>
      <c r="C3601" s="52">
        <f ca="1"/>
        <v>-0.24496596767938608</v>
      </c>
      <c r="D3601" s="52">
        <f ca="1">S0*EXP((μ-0.5*σ*σ)*T+σ*SQRT(T)*$C3601)</f>
        <v>0.60168172076770077</v>
      </c>
      <c r="E3601" s="52">
        <f t="shared" ca="1" si="152"/>
        <v>0</v>
      </c>
      <c r="F3601" s="17">
        <f t="shared" ca="1" si="153"/>
        <v>0</v>
      </c>
      <c r="H3601" s="17">
        <v>3592</v>
      </c>
      <c r="I3601" s="45">
        <v>0.67127449926462501</v>
      </c>
      <c r="J3601" s="45">
        <v>1.9158824998828299E-2</v>
      </c>
      <c r="K3601" s="45">
        <v>0.2442</v>
      </c>
      <c r="N3601" s="54"/>
    </row>
    <row r="3602" spans="2:14" x14ac:dyDescent="0.2">
      <c r="B3602">
        <v>3593</v>
      </c>
      <c r="C3602" s="52">
        <f ca="1"/>
        <v>1.5809162298792419</v>
      </c>
      <c r="D3602" s="52">
        <f ca="1">S0*EXP((μ-0.5*σ*σ)*T+σ*SQRT(T)*$C3602)</f>
        <v>0.99671194531878582</v>
      </c>
      <c r="E3602" s="52">
        <f t="shared" ca="1" si="152"/>
        <v>0</v>
      </c>
      <c r="F3602" s="17">
        <f t="shared" ca="1" si="153"/>
        <v>0</v>
      </c>
      <c r="H3602" s="17">
        <v>3593</v>
      </c>
      <c r="I3602" s="45">
        <v>0.67086860818234495</v>
      </c>
      <c r="J3602" s="45">
        <v>1.8762022318041398E-2</v>
      </c>
      <c r="K3602" s="45">
        <v>0.2432</v>
      </c>
      <c r="N3602" s="54"/>
    </row>
    <row r="3603" spans="2:14" x14ac:dyDescent="0.2">
      <c r="B3603">
        <v>3594</v>
      </c>
      <c r="C3603" s="52">
        <f ca="1"/>
        <v>0.14180418764946623</v>
      </c>
      <c r="D3603" s="52">
        <f ca="1">S0*EXP((μ-0.5*σ*σ)*T+σ*SQRT(T)*$C3603)</f>
        <v>0.6695758474742165</v>
      </c>
      <c r="E3603" s="52">
        <f t="shared" ca="1" si="152"/>
        <v>0</v>
      </c>
      <c r="F3603" s="17">
        <f t="shared" ca="1" si="153"/>
        <v>0</v>
      </c>
      <c r="H3603" s="17">
        <v>3594</v>
      </c>
      <c r="I3603" s="45">
        <v>0.67061486705959339</v>
      </c>
      <c r="J3603" s="45">
        <v>1.8737732868222366E-2</v>
      </c>
      <c r="K3603" s="45">
        <v>0.24579999999999999</v>
      </c>
      <c r="N3603" s="54"/>
    </row>
    <row r="3604" spans="2:14" x14ac:dyDescent="0.2">
      <c r="B3604">
        <v>3595</v>
      </c>
      <c r="C3604" s="52">
        <f ca="1"/>
        <v>0.14690750602502209</v>
      </c>
      <c r="D3604" s="52">
        <f ca="1">S0*EXP((μ-0.5*σ*σ)*T+σ*SQRT(T)*$C3604)</f>
        <v>0.67052110019315847</v>
      </c>
      <c r="E3604" s="52">
        <f t="shared" ca="1" si="152"/>
        <v>0</v>
      </c>
      <c r="F3604" s="17">
        <f t="shared" ca="1" si="153"/>
        <v>0</v>
      </c>
      <c r="H3604" s="17">
        <v>3595</v>
      </c>
      <c r="I3604" s="45">
        <v>0.67073415417008275</v>
      </c>
      <c r="J3604" s="45">
        <v>1.8717183393025395E-2</v>
      </c>
      <c r="K3604" s="45">
        <v>0.24540000000000001</v>
      </c>
      <c r="N3604" s="54"/>
    </row>
    <row r="3605" spans="2:14" x14ac:dyDescent="0.2">
      <c r="B3605">
        <v>3596</v>
      </c>
      <c r="C3605" s="52">
        <f ca="1"/>
        <v>0.88016809340170321</v>
      </c>
      <c r="D3605" s="52">
        <f ca="1">S0*EXP((μ-0.5*σ*σ)*T+σ*SQRT(T)*$C3605)</f>
        <v>0.82118813643694255</v>
      </c>
      <c r="E3605" s="52">
        <f t="shared" ca="1" si="152"/>
        <v>0</v>
      </c>
      <c r="F3605" s="17">
        <f t="shared" ca="1" si="153"/>
        <v>0</v>
      </c>
      <c r="H3605" s="17">
        <v>3596</v>
      </c>
      <c r="I3605" s="45">
        <v>0.67181862379906798</v>
      </c>
      <c r="J3605" s="45">
        <v>1.9487582882007415E-2</v>
      </c>
      <c r="K3605" s="45">
        <v>0.25600000000000001</v>
      </c>
      <c r="N3605" s="54"/>
    </row>
    <row r="3606" spans="2:14" x14ac:dyDescent="0.2">
      <c r="B3606">
        <v>3597</v>
      </c>
      <c r="C3606" s="52">
        <f ca="1"/>
        <v>-0.15519609103079168</v>
      </c>
      <c r="D3606" s="52">
        <f ca="1">S0*EXP((μ-0.5*σ*σ)*T+σ*SQRT(T)*$C3606)</f>
        <v>0.61679944043756274</v>
      </c>
      <c r="E3606" s="52">
        <f t="shared" ca="1" si="152"/>
        <v>0</v>
      </c>
      <c r="F3606" s="17">
        <f t="shared" ca="1" si="153"/>
        <v>0</v>
      </c>
      <c r="H3606" s="17">
        <v>3597</v>
      </c>
      <c r="I3606" s="45">
        <v>0.67102934507310696</v>
      </c>
      <c r="J3606" s="45">
        <v>1.8919094585443805E-2</v>
      </c>
      <c r="K3606" s="45">
        <v>0.24440000000000001</v>
      </c>
      <c r="N3606" s="54"/>
    </row>
    <row r="3607" spans="2:14" x14ac:dyDescent="0.2">
      <c r="B3607">
        <v>3598</v>
      </c>
      <c r="C3607" s="52">
        <f ca="1"/>
        <v>1.0420208518066527</v>
      </c>
      <c r="D3607" s="52">
        <f ca="1">S0*EXP((μ-0.5*σ*σ)*T+σ*SQRT(T)*$C3607)</f>
        <v>0.85876353368695901</v>
      </c>
      <c r="E3607" s="52">
        <f t="shared" ca="1" si="152"/>
        <v>0</v>
      </c>
      <c r="F3607" s="17">
        <f t="shared" ca="1" si="153"/>
        <v>0</v>
      </c>
      <c r="H3607" s="17">
        <v>3598</v>
      </c>
      <c r="I3607" s="45">
        <v>0.67191403220418899</v>
      </c>
      <c r="J3607" s="45">
        <v>1.96198107496077E-2</v>
      </c>
      <c r="K3607" s="45">
        <v>0.25040000000000001</v>
      </c>
      <c r="N3607" s="54"/>
    </row>
    <row r="3608" spans="2:14" x14ac:dyDescent="0.2">
      <c r="B3608">
        <v>3599</v>
      </c>
      <c r="C3608" s="52">
        <f ca="1"/>
        <v>-7.5472308242118896E-2</v>
      </c>
      <c r="D3608" s="52">
        <f ca="1">S0*EXP((μ-0.5*σ*σ)*T+σ*SQRT(T)*$C3608)</f>
        <v>0.63054350931992786</v>
      </c>
      <c r="E3608" s="52">
        <f t="shared" ca="1" si="152"/>
        <v>0</v>
      </c>
      <c r="F3608" s="17">
        <f t="shared" ca="1" si="153"/>
        <v>0</v>
      </c>
      <c r="H3608" s="17">
        <v>3599</v>
      </c>
      <c r="I3608" s="45">
        <v>0.66951057320024487</v>
      </c>
      <c r="J3608" s="45">
        <v>1.7661661570748111E-2</v>
      </c>
      <c r="K3608" s="45">
        <v>0.23480000000000001</v>
      </c>
      <c r="N3608" s="54"/>
    </row>
    <row r="3609" spans="2:14" x14ac:dyDescent="0.2">
      <c r="B3609">
        <v>3600</v>
      </c>
      <c r="C3609" s="52">
        <f ca="1"/>
        <v>-0.71375144132620016</v>
      </c>
      <c r="D3609" s="52">
        <f ca="1">S0*EXP((μ-0.5*σ*σ)*T+σ*SQRT(T)*$C3609)</f>
        <v>0.52855192799449036</v>
      </c>
      <c r="E3609" s="52">
        <f t="shared" ca="1" si="152"/>
        <v>5.8480720055096302E-3</v>
      </c>
      <c r="F3609" s="17">
        <f t="shared" ca="1" si="153"/>
        <v>1</v>
      </c>
      <c r="H3609" s="17">
        <v>3600</v>
      </c>
      <c r="I3609" s="45">
        <v>0.67072880506486976</v>
      </c>
      <c r="J3609" s="45">
        <v>1.8903614588750898E-2</v>
      </c>
      <c r="K3609" s="45">
        <v>0.2452</v>
      </c>
      <c r="N3609" s="54"/>
    </row>
    <row r="3610" spans="2:14" x14ac:dyDescent="0.2">
      <c r="B3610">
        <v>3601</v>
      </c>
      <c r="C3610" s="52">
        <f ca="1"/>
        <v>-1.5485232219731375</v>
      </c>
      <c r="D3610" s="52">
        <f ca="1">S0*EXP((μ-0.5*σ*σ)*T+σ*SQRT(T)*$C3610)</f>
        <v>0.41963403861207094</v>
      </c>
      <c r="E3610" s="52">
        <f t="shared" ca="1" si="152"/>
        <v>0.11476596138792905</v>
      </c>
      <c r="F3610" s="17">
        <f t="shared" ca="1" si="153"/>
        <v>1</v>
      </c>
      <c r="H3610" s="17">
        <v>3601</v>
      </c>
      <c r="I3610" s="45">
        <v>0.6717869184075993</v>
      </c>
      <c r="J3610" s="45">
        <v>1.9397621931222939E-2</v>
      </c>
      <c r="K3610" s="45">
        <v>0.25</v>
      </c>
      <c r="N3610" s="54"/>
    </row>
    <row r="3611" spans="2:14" x14ac:dyDescent="0.2">
      <c r="B3611">
        <v>3602</v>
      </c>
      <c r="C3611" s="52">
        <f ca="1"/>
        <v>0.83568697899894118</v>
      </c>
      <c r="D3611" s="52">
        <f ca="1">S0*EXP((μ-0.5*σ*σ)*T+σ*SQRT(T)*$C3611)</f>
        <v>0.81115261055263477</v>
      </c>
      <c r="E3611" s="52">
        <f t="shared" ca="1" si="152"/>
        <v>0</v>
      </c>
      <c r="F3611" s="17">
        <f t="shared" ca="1" si="153"/>
        <v>0</v>
      </c>
      <c r="H3611" s="17">
        <v>3602</v>
      </c>
      <c r="I3611" s="45">
        <v>0.67043037363297719</v>
      </c>
      <c r="J3611" s="45">
        <v>1.8307191102899193E-2</v>
      </c>
      <c r="K3611" s="45">
        <v>0.24460000000000001</v>
      </c>
      <c r="N3611" s="54"/>
    </row>
    <row r="3612" spans="2:14" x14ac:dyDescent="0.2">
      <c r="B3612">
        <v>3603</v>
      </c>
      <c r="C3612" s="52">
        <f ca="1"/>
        <v>-0.15997285276629389</v>
      </c>
      <c r="D3612" s="52">
        <f ca="1">S0*EXP((μ-0.5*σ*σ)*T+σ*SQRT(T)*$C3612)</f>
        <v>0.61598552371563797</v>
      </c>
      <c r="E3612" s="52">
        <f t="shared" ca="1" si="152"/>
        <v>0</v>
      </c>
      <c r="F3612" s="17">
        <f t="shared" ca="1" si="153"/>
        <v>0</v>
      </c>
      <c r="H3612" s="17">
        <v>3603</v>
      </c>
      <c r="I3612" s="45">
        <v>0.67211118133797532</v>
      </c>
      <c r="J3612" s="45">
        <v>1.9632554621296552E-2</v>
      </c>
      <c r="K3612" s="45">
        <v>0.25159999999999999</v>
      </c>
      <c r="N3612" s="54"/>
    </row>
    <row r="3613" spans="2:14" x14ac:dyDescent="0.2">
      <c r="B3613">
        <v>3604</v>
      </c>
      <c r="C3613" s="52">
        <f ca="1"/>
        <v>-0.57908071166924602</v>
      </c>
      <c r="D3613" s="52">
        <f ca="1">S0*EXP((μ-0.5*σ*σ)*T+σ*SQRT(T)*$C3613)</f>
        <v>0.54859936671656084</v>
      </c>
      <c r="E3613" s="52">
        <f t="shared" ca="1" si="152"/>
        <v>0</v>
      </c>
      <c r="F3613" s="17">
        <f t="shared" ca="1" si="153"/>
        <v>0</v>
      </c>
      <c r="H3613" s="17">
        <v>3604</v>
      </c>
      <c r="I3613" s="45">
        <v>0.67089205779774153</v>
      </c>
      <c r="J3613" s="45">
        <v>1.8799196887460637E-2</v>
      </c>
      <c r="K3613" s="45">
        <v>0.2422</v>
      </c>
      <c r="N3613" s="54"/>
    </row>
    <row r="3614" spans="2:14" x14ac:dyDescent="0.2">
      <c r="B3614">
        <v>3605</v>
      </c>
      <c r="C3614" s="52">
        <f ca="1"/>
        <v>0.74309683056340614</v>
      </c>
      <c r="D3614" s="52">
        <f ca="1">S0*EXP((μ-0.5*σ*σ)*T+σ*SQRT(T)*$C3614)</f>
        <v>0.7906546591606497</v>
      </c>
      <c r="E3614" s="52">
        <f t="shared" ca="1" si="152"/>
        <v>0</v>
      </c>
      <c r="F3614" s="17">
        <f t="shared" ca="1" si="153"/>
        <v>0</v>
      </c>
      <c r="H3614" s="17">
        <v>3605</v>
      </c>
      <c r="I3614" s="45">
        <v>0.67178557026490282</v>
      </c>
      <c r="J3614" s="45">
        <v>1.9782482259248602E-2</v>
      </c>
      <c r="K3614" s="45">
        <v>0.24959999999999999</v>
      </c>
      <c r="N3614" s="54"/>
    </row>
    <row r="3615" spans="2:14" x14ac:dyDescent="0.2">
      <c r="B3615">
        <v>3606</v>
      </c>
      <c r="C3615" s="52">
        <f ca="1"/>
        <v>0.13942176622341337</v>
      </c>
      <c r="D3615" s="52">
        <f ca="1">S0*EXP((μ-0.5*σ*σ)*T+σ*SQRT(T)*$C3615)</f>
        <v>0.66913502422936566</v>
      </c>
      <c r="E3615" s="52">
        <f t="shared" ca="1" si="152"/>
        <v>0</v>
      </c>
      <c r="F3615" s="17">
        <f t="shared" ca="1" si="153"/>
        <v>0</v>
      </c>
      <c r="H3615" s="17">
        <v>3606</v>
      </c>
      <c r="I3615" s="45">
        <v>0.67149955124501581</v>
      </c>
      <c r="J3615" s="45">
        <v>1.940088099603271E-2</v>
      </c>
      <c r="K3615" s="45">
        <v>0.24879999999999999</v>
      </c>
      <c r="N3615" s="54"/>
    </row>
    <row r="3616" spans="2:14" x14ac:dyDescent="0.2">
      <c r="B3616">
        <v>3607</v>
      </c>
      <c r="C3616" s="52">
        <f ca="1"/>
        <v>-0.87075003911085591</v>
      </c>
      <c r="D3616" s="52">
        <f ca="1">S0*EXP((μ-0.5*σ*σ)*T+σ*SQRT(T)*$C3616)</f>
        <v>0.50610367468878248</v>
      </c>
      <c r="E3616" s="52">
        <f t="shared" ca="1" si="152"/>
        <v>2.8296325311217507E-2</v>
      </c>
      <c r="F3616" s="17">
        <f t="shared" ca="1" si="153"/>
        <v>1</v>
      </c>
      <c r="H3616" s="17">
        <v>3607</v>
      </c>
      <c r="I3616" s="45">
        <v>0.67241442353631631</v>
      </c>
      <c r="J3616" s="45">
        <v>1.9876883613948057E-2</v>
      </c>
      <c r="K3616" s="45">
        <v>0.24959999999999999</v>
      </c>
      <c r="N3616" s="54"/>
    </row>
    <row r="3617" spans="2:14" x14ac:dyDescent="0.2">
      <c r="B3617">
        <v>3608</v>
      </c>
      <c r="C3617" s="52">
        <f ca="1"/>
        <v>0.1653390753619404</v>
      </c>
      <c r="D3617" s="52">
        <f ca="1">S0*EXP((μ-0.5*σ*σ)*T+σ*SQRT(T)*$C3617)</f>
        <v>0.6739461803410508</v>
      </c>
      <c r="E3617" s="52">
        <f t="shared" ca="1" si="152"/>
        <v>0</v>
      </c>
      <c r="F3617" s="17">
        <f t="shared" ca="1" si="153"/>
        <v>0</v>
      </c>
      <c r="H3617" s="17">
        <v>3608</v>
      </c>
      <c r="I3617" s="45">
        <v>0.67019717878353535</v>
      </c>
      <c r="J3617" s="45">
        <v>1.865076865351006E-2</v>
      </c>
      <c r="K3617" s="45">
        <v>0.2482</v>
      </c>
      <c r="N3617" s="54"/>
    </row>
    <row r="3618" spans="2:14" x14ac:dyDescent="0.2">
      <c r="B3618">
        <v>3609</v>
      </c>
      <c r="C3618" s="52">
        <f ca="1"/>
        <v>0.70022167508940292</v>
      </c>
      <c r="D3618" s="52">
        <f ca="1">S0*EXP((μ-0.5*σ*σ)*T+σ*SQRT(T)*$C3618)</f>
        <v>0.7813390650385551</v>
      </c>
      <c r="E3618" s="52">
        <f t="shared" ca="1" si="152"/>
        <v>0</v>
      </c>
      <c r="F3618" s="17">
        <f t="shared" ca="1" si="153"/>
        <v>0</v>
      </c>
      <c r="H3618" s="17">
        <v>3609</v>
      </c>
      <c r="I3618" s="45">
        <v>0.67113686982020004</v>
      </c>
      <c r="J3618" s="45">
        <v>1.9106813572389421E-2</v>
      </c>
      <c r="K3618" s="45">
        <v>0.2492</v>
      </c>
      <c r="N3618" s="54"/>
    </row>
    <row r="3619" spans="2:14" x14ac:dyDescent="0.2">
      <c r="B3619">
        <v>3610</v>
      </c>
      <c r="C3619" s="52">
        <f ca="1"/>
        <v>0.41985962402336907</v>
      </c>
      <c r="D3619" s="52">
        <f ca="1">S0*EXP((μ-0.5*σ*σ)*T+σ*SQRT(T)*$C3619)</f>
        <v>0.72307142820397352</v>
      </c>
      <c r="E3619" s="52">
        <f t="shared" ca="1" si="152"/>
        <v>0</v>
      </c>
      <c r="F3619" s="17">
        <f t="shared" ca="1" si="153"/>
        <v>0</v>
      </c>
      <c r="H3619" s="17">
        <v>3610</v>
      </c>
      <c r="I3619" s="45">
        <v>0.67084263873436389</v>
      </c>
      <c r="J3619" s="45">
        <v>1.9008719064103952E-2</v>
      </c>
      <c r="K3619" s="45">
        <v>0.24859999999999999</v>
      </c>
      <c r="N3619" s="54"/>
    </row>
    <row r="3620" spans="2:14" x14ac:dyDescent="0.2">
      <c r="B3620">
        <v>3611</v>
      </c>
      <c r="C3620" s="52">
        <f ca="1"/>
        <v>0.33060933169401424</v>
      </c>
      <c r="D3620" s="52">
        <f ca="1">S0*EXP((μ-0.5*σ*σ)*T+σ*SQRT(T)*$C3620)</f>
        <v>0.70545030462840863</v>
      </c>
      <c r="E3620" s="52">
        <f t="shared" ca="1" si="152"/>
        <v>0</v>
      </c>
      <c r="F3620" s="17">
        <f t="shared" ca="1" si="153"/>
        <v>0</v>
      </c>
      <c r="H3620" s="17">
        <v>3611</v>
      </c>
      <c r="I3620" s="45">
        <v>0.67040793198016513</v>
      </c>
      <c r="J3620" s="45">
        <v>1.8502402064746511E-2</v>
      </c>
      <c r="K3620" s="45">
        <v>0.2392</v>
      </c>
      <c r="N3620" s="54"/>
    </row>
    <row r="3621" spans="2:14" x14ac:dyDescent="0.2">
      <c r="B3621">
        <v>3612</v>
      </c>
      <c r="C3621" s="52">
        <f ca="1"/>
        <v>-1.8854479237744606</v>
      </c>
      <c r="D3621" s="52">
        <f ca="1">S0*EXP((μ-0.5*σ*σ)*T+σ*SQRT(T)*$C3621)</f>
        <v>0.38231544985459232</v>
      </c>
      <c r="E3621" s="52">
        <f t="shared" ca="1" si="152"/>
        <v>0.15208455014540767</v>
      </c>
      <c r="F3621" s="17">
        <f t="shared" ca="1" si="153"/>
        <v>1</v>
      </c>
      <c r="H3621" s="17">
        <v>3612</v>
      </c>
      <c r="I3621" s="45">
        <v>0.67091669700157786</v>
      </c>
      <c r="J3621" s="45">
        <v>1.8804414772738209E-2</v>
      </c>
      <c r="K3621" s="45">
        <v>0.24640000000000001</v>
      </c>
      <c r="N3621" s="54"/>
    </row>
    <row r="3622" spans="2:14" x14ac:dyDescent="0.2">
      <c r="B3622">
        <v>3613</v>
      </c>
      <c r="C3622" s="52">
        <f ca="1"/>
        <v>-0.38421491961150483</v>
      </c>
      <c r="D3622" s="52">
        <f ca="1">S0*EXP((μ-0.5*σ*σ)*T+σ*SQRT(T)*$C3622)</f>
        <v>0.5789613166601344</v>
      </c>
      <c r="E3622" s="52">
        <f t="shared" ca="1" si="152"/>
        <v>0</v>
      </c>
      <c r="F3622" s="17">
        <f t="shared" ca="1" si="153"/>
        <v>0</v>
      </c>
      <c r="H3622" s="17">
        <v>3613</v>
      </c>
      <c r="I3622" s="45">
        <v>0.67060747005441357</v>
      </c>
      <c r="J3622" s="45">
        <v>1.8999347390095577E-2</v>
      </c>
      <c r="K3622" s="45">
        <v>0.24859999999999999</v>
      </c>
      <c r="N3622" s="54"/>
    </row>
    <row r="3623" spans="2:14" x14ac:dyDescent="0.2">
      <c r="B3623">
        <v>3614</v>
      </c>
      <c r="C3623" s="52">
        <f ca="1"/>
        <v>0.27215593458301796</v>
      </c>
      <c r="D3623" s="52">
        <f ca="1">S0*EXP((μ-0.5*σ*σ)*T+σ*SQRT(T)*$C3623)</f>
        <v>0.69414294326721349</v>
      </c>
      <c r="E3623" s="52">
        <f t="shared" ca="1" si="152"/>
        <v>0</v>
      </c>
      <c r="F3623" s="17">
        <f t="shared" ca="1" si="153"/>
        <v>0</v>
      </c>
      <c r="H3623" s="17">
        <v>3614</v>
      </c>
      <c r="I3623" s="45">
        <v>0.67106128988564062</v>
      </c>
      <c r="J3623" s="45">
        <v>1.8875789018641755E-2</v>
      </c>
      <c r="K3623" s="45">
        <v>0.24979999999999999</v>
      </c>
      <c r="N3623" s="54"/>
    </row>
    <row r="3624" spans="2:14" x14ac:dyDescent="0.2">
      <c r="B3624">
        <v>3615</v>
      </c>
      <c r="C3624" s="52">
        <f ca="1"/>
        <v>-0.61260575229916769</v>
      </c>
      <c r="D3624" s="52">
        <f ca="1">S0*EXP((μ-0.5*σ*σ)*T+σ*SQRT(T)*$C3624)</f>
        <v>0.54353875638240545</v>
      </c>
      <c r="E3624" s="52">
        <f t="shared" ca="1" si="152"/>
        <v>0</v>
      </c>
      <c r="F3624" s="17">
        <f t="shared" ca="1" si="153"/>
        <v>0</v>
      </c>
      <c r="H3624" s="17">
        <v>3615</v>
      </c>
      <c r="I3624" s="45">
        <v>0.67098369579862105</v>
      </c>
      <c r="J3624" s="45">
        <v>1.9185722833083028E-2</v>
      </c>
      <c r="K3624" s="45">
        <v>0.252</v>
      </c>
      <c r="N3624" s="54"/>
    </row>
    <row r="3625" spans="2:14" x14ac:dyDescent="0.2">
      <c r="B3625">
        <v>3616</v>
      </c>
      <c r="C3625" s="52">
        <f ca="1"/>
        <v>1.0237418814867261</v>
      </c>
      <c r="D3625" s="52">
        <f ca="1">S0*EXP((μ-0.5*σ*σ)*T+σ*SQRT(T)*$C3625)</f>
        <v>0.8544352304217262</v>
      </c>
      <c r="E3625" s="52">
        <f t="shared" ca="1" si="152"/>
        <v>0</v>
      </c>
      <c r="F3625" s="17">
        <f t="shared" ca="1" si="153"/>
        <v>0</v>
      </c>
      <c r="H3625" s="17">
        <v>3616</v>
      </c>
      <c r="I3625" s="45">
        <v>0.67084583015652732</v>
      </c>
      <c r="J3625" s="45">
        <v>1.8745979080745899E-2</v>
      </c>
      <c r="K3625" s="45">
        <v>0.24279999999999999</v>
      </c>
      <c r="N3625" s="54"/>
    </row>
    <row r="3626" spans="2:14" x14ac:dyDescent="0.2">
      <c r="B3626">
        <v>3617</v>
      </c>
      <c r="C3626" s="52">
        <f ca="1"/>
        <v>-1.2010674711020446</v>
      </c>
      <c r="D3626" s="52">
        <f ca="1">S0*EXP((μ-0.5*σ*σ)*T+σ*SQRT(T)*$C3626)</f>
        <v>0.46193817472049248</v>
      </c>
      <c r="E3626" s="52">
        <f t="shared" ca="1" si="152"/>
        <v>7.2461825279507508E-2</v>
      </c>
      <c r="F3626" s="17">
        <f t="shared" ca="1" si="153"/>
        <v>1</v>
      </c>
      <c r="H3626" s="17">
        <v>3617</v>
      </c>
      <c r="I3626" s="45">
        <v>0.67049291104940689</v>
      </c>
      <c r="J3626" s="45">
        <v>1.8472748834608307E-2</v>
      </c>
      <c r="K3626" s="45">
        <v>0.24060000000000001</v>
      </c>
      <c r="N3626" s="54"/>
    </row>
    <row r="3627" spans="2:14" x14ac:dyDescent="0.2">
      <c r="B3627">
        <v>3618</v>
      </c>
      <c r="C3627" s="52">
        <f ca="1"/>
        <v>0.20344085171656479</v>
      </c>
      <c r="D3627" s="52">
        <f ca="1">S0*EXP((μ-0.5*σ*σ)*T+σ*SQRT(T)*$C3627)</f>
        <v>0.68108207922676312</v>
      </c>
      <c r="E3627" s="52">
        <f t="shared" ca="1" si="152"/>
        <v>0</v>
      </c>
      <c r="F3627" s="17">
        <f t="shared" ca="1" si="153"/>
        <v>0</v>
      </c>
      <c r="H3627" s="17">
        <v>3618</v>
      </c>
      <c r="I3627" s="45">
        <v>0.67262493711003057</v>
      </c>
      <c r="J3627" s="45">
        <v>2.0530883574508642E-2</v>
      </c>
      <c r="K3627" s="45">
        <v>0.26100000000000001</v>
      </c>
      <c r="N3627" s="54"/>
    </row>
    <row r="3628" spans="2:14" x14ac:dyDescent="0.2">
      <c r="B3628">
        <v>3619</v>
      </c>
      <c r="C3628" s="52">
        <f ca="1"/>
        <v>-0.887156473042647</v>
      </c>
      <c r="D3628" s="52">
        <f ca="1">S0*EXP((μ-0.5*σ*σ)*T+σ*SQRT(T)*$C3628)</f>
        <v>0.50381355406982153</v>
      </c>
      <c r="E3628" s="52">
        <f t="shared" ca="1" si="152"/>
        <v>3.0586445930178452E-2</v>
      </c>
      <c r="F3628" s="17">
        <f t="shared" ca="1" si="153"/>
        <v>1</v>
      </c>
      <c r="H3628" s="17">
        <v>3619</v>
      </c>
      <c r="I3628" s="45">
        <v>0.66946837257582492</v>
      </c>
      <c r="J3628" s="45">
        <v>1.760386888513087E-2</v>
      </c>
      <c r="K3628" s="45">
        <v>0.2354</v>
      </c>
      <c r="N3628" s="54"/>
    </row>
    <row r="3629" spans="2:14" x14ac:dyDescent="0.2">
      <c r="B3629">
        <v>3620</v>
      </c>
      <c r="C3629" s="52">
        <f ca="1"/>
        <v>0.71143690414697647</v>
      </c>
      <c r="D3629" s="52">
        <f ca="1">S0*EXP((μ-0.5*σ*σ)*T+σ*SQRT(T)*$C3629)</f>
        <v>0.78376517339580154</v>
      </c>
      <c r="E3629" s="52">
        <f t="shared" ca="1" si="152"/>
        <v>0</v>
      </c>
      <c r="F3629" s="17">
        <f t="shared" ca="1" si="153"/>
        <v>0</v>
      </c>
      <c r="H3629" s="17">
        <v>3620</v>
      </c>
      <c r="I3629" s="45">
        <v>0.67041742918941738</v>
      </c>
      <c r="J3629" s="45">
        <v>1.8638546472413062E-2</v>
      </c>
      <c r="K3629" s="45">
        <v>0.24660000000000001</v>
      </c>
      <c r="N3629" s="54"/>
    </row>
    <row r="3630" spans="2:14" x14ac:dyDescent="0.2">
      <c r="B3630">
        <v>3621</v>
      </c>
      <c r="C3630" s="52">
        <f ca="1"/>
        <v>-0.91742013936699052</v>
      </c>
      <c r="D3630" s="52">
        <f ca="1">S0*EXP((μ-0.5*σ*σ)*T+σ*SQRT(T)*$C3630)</f>
        <v>0.49961630103598081</v>
      </c>
      <c r="E3630" s="52">
        <f t="shared" ca="1" si="152"/>
        <v>3.4783698964019172E-2</v>
      </c>
      <c r="F3630" s="17">
        <f t="shared" ca="1" si="153"/>
        <v>1</v>
      </c>
      <c r="H3630" s="17">
        <v>3621</v>
      </c>
      <c r="I3630" s="45">
        <v>0.67052068937034726</v>
      </c>
      <c r="J3630" s="45">
        <v>1.8578199395550363E-2</v>
      </c>
      <c r="K3630" s="45">
        <v>0.246</v>
      </c>
      <c r="N3630" s="54"/>
    </row>
    <row r="3631" spans="2:14" x14ac:dyDescent="0.2">
      <c r="B3631">
        <v>3622</v>
      </c>
      <c r="C3631" s="52">
        <f ca="1"/>
        <v>0.30503336799285885</v>
      </c>
      <c r="D3631" s="52">
        <f ca="1">S0*EXP((μ-0.5*σ*σ)*T+σ*SQRT(T)*$C3631)</f>
        <v>0.70048034087298527</v>
      </c>
      <c r="E3631" s="52">
        <f t="shared" ca="1" si="152"/>
        <v>0</v>
      </c>
      <c r="F3631" s="17">
        <f t="shared" ca="1" si="153"/>
        <v>0</v>
      </c>
      <c r="H3631" s="17">
        <v>3622</v>
      </c>
      <c r="I3631" s="45">
        <v>0.66989479608949309</v>
      </c>
      <c r="J3631" s="45">
        <v>1.8320183759139162E-2</v>
      </c>
      <c r="K3631" s="45">
        <v>0.2442</v>
      </c>
      <c r="N3631" s="54"/>
    </row>
    <row r="3632" spans="2:14" x14ac:dyDescent="0.2">
      <c r="B3632">
        <v>3623</v>
      </c>
      <c r="C3632" s="52">
        <f ca="1"/>
        <v>0.3009267070844085</v>
      </c>
      <c r="D3632" s="52">
        <f ca="1">S0*EXP((μ-0.5*σ*σ)*T+σ*SQRT(T)*$C3632)</f>
        <v>0.6996855965545592</v>
      </c>
      <c r="E3632" s="52">
        <f t="shared" ca="1" si="152"/>
        <v>0</v>
      </c>
      <c r="F3632" s="17">
        <f t="shared" ca="1" si="153"/>
        <v>0</v>
      </c>
      <c r="H3632" s="17">
        <v>3623</v>
      </c>
      <c r="I3632" s="45">
        <v>0.67127787323914334</v>
      </c>
      <c r="J3632" s="45">
        <v>1.9151030915222064E-2</v>
      </c>
      <c r="K3632" s="45">
        <v>0.24979999999999999</v>
      </c>
      <c r="N3632" s="54"/>
    </row>
    <row r="3633" spans="2:14" x14ac:dyDescent="0.2">
      <c r="B3633">
        <v>3624</v>
      </c>
      <c r="C3633" s="52">
        <f ca="1"/>
        <v>-0.62665749305938367</v>
      </c>
      <c r="D3633" s="52">
        <f ca="1">S0*EXP((μ-0.5*σ*σ)*T+σ*SQRT(T)*$C3633)</f>
        <v>0.54143155247676755</v>
      </c>
      <c r="E3633" s="52">
        <f t="shared" ca="1" si="152"/>
        <v>0</v>
      </c>
      <c r="F3633" s="17">
        <f t="shared" ca="1" si="153"/>
        <v>0</v>
      </c>
      <c r="H3633" s="17">
        <v>3624</v>
      </c>
      <c r="I3633" s="45">
        <v>0.67096690135784132</v>
      </c>
      <c r="J3633" s="45">
        <v>1.9203765775128692E-2</v>
      </c>
      <c r="K3633" s="45">
        <v>0.24840000000000001</v>
      </c>
      <c r="N3633" s="54"/>
    </row>
    <row r="3634" spans="2:14" x14ac:dyDescent="0.2">
      <c r="B3634">
        <v>3625</v>
      </c>
      <c r="C3634" s="52">
        <f ca="1"/>
        <v>-0.52571659059400755</v>
      </c>
      <c r="D3634" s="52">
        <f ca="1">S0*EXP((μ-0.5*σ*σ)*T+σ*SQRT(T)*$C3634)</f>
        <v>0.55675205780500359</v>
      </c>
      <c r="E3634" s="52">
        <f t="shared" ca="1" si="152"/>
        <v>0</v>
      </c>
      <c r="F3634" s="17">
        <f t="shared" ca="1" si="153"/>
        <v>0</v>
      </c>
      <c r="H3634" s="17">
        <v>3625</v>
      </c>
      <c r="I3634" s="45">
        <v>0.67112322406197622</v>
      </c>
      <c r="J3634" s="45">
        <v>1.8767021172294212E-2</v>
      </c>
      <c r="K3634" s="45">
        <v>0.2432</v>
      </c>
      <c r="N3634" s="54"/>
    </row>
    <row r="3635" spans="2:14" x14ac:dyDescent="0.2">
      <c r="B3635">
        <v>3626</v>
      </c>
      <c r="C3635" s="52">
        <f ca="1"/>
        <v>0.57792020829327773</v>
      </c>
      <c r="D3635" s="52">
        <f ca="1">S0*EXP((μ-0.5*σ*σ)*T+σ*SQRT(T)*$C3635)</f>
        <v>0.75536501499802955</v>
      </c>
      <c r="E3635" s="52">
        <f t="shared" ca="1" si="152"/>
        <v>0</v>
      </c>
      <c r="F3635" s="17">
        <f t="shared" ca="1" si="153"/>
        <v>0</v>
      </c>
      <c r="H3635" s="17">
        <v>3626</v>
      </c>
      <c r="I3635" s="45">
        <v>0.67054004137434242</v>
      </c>
      <c r="J3635" s="45">
        <v>1.895574986179055E-2</v>
      </c>
      <c r="K3635" s="45">
        <v>0.24679999999999999</v>
      </c>
      <c r="N3635" s="54"/>
    </row>
    <row r="3636" spans="2:14" x14ac:dyDescent="0.2">
      <c r="B3636">
        <v>3627</v>
      </c>
      <c r="C3636" s="52">
        <f ca="1"/>
        <v>-1.2953780430929855</v>
      </c>
      <c r="D3636" s="52">
        <f ca="1">S0*EXP((μ-0.5*σ*σ)*T+σ*SQRT(T)*$C3636)</f>
        <v>0.45005083936848311</v>
      </c>
      <c r="E3636" s="52">
        <f t="shared" ca="1" si="152"/>
        <v>8.4349160631516873E-2</v>
      </c>
      <c r="F3636" s="17">
        <f t="shared" ca="1" si="153"/>
        <v>1</v>
      </c>
      <c r="H3636" s="17">
        <v>3627</v>
      </c>
      <c r="I3636" s="45">
        <v>0.67110959795864178</v>
      </c>
      <c r="J3636" s="45">
        <v>1.8879527434932389E-2</v>
      </c>
      <c r="K3636" s="45">
        <v>0.23699999999999999</v>
      </c>
      <c r="N3636" s="54"/>
    </row>
    <row r="3637" spans="2:14" x14ac:dyDescent="0.2">
      <c r="B3637">
        <v>3628</v>
      </c>
      <c r="C3637" s="52">
        <f ca="1"/>
        <v>0.81862929805201579</v>
      </c>
      <c r="D3637" s="52">
        <f ca="1">S0*EXP((μ-0.5*σ*σ)*T+σ*SQRT(T)*$C3637)</f>
        <v>0.80733678802613384</v>
      </c>
      <c r="E3637" s="52">
        <f t="shared" ca="1" si="152"/>
        <v>0</v>
      </c>
      <c r="F3637" s="17">
        <f t="shared" ca="1" si="153"/>
        <v>0</v>
      </c>
      <c r="H3637" s="17">
        <v>3628</v>
      </c>
      <c r="I3637" s="45">
        <v>0.67072431444707781</v>
      </c>
      <c r="J3637" s="45">
        <v>1.8750239627745014E-2</v>
      </c>
      <c r="K3637" s="45">
        <v>0.2422</v>
      </c>
      <c r="N3637" s="54"/>
    </row>
    <row r="3638" spans="2:14" x14ac:dyDescent="0.2">
      <c r="B3638">
        <v>3629</v>
      </c>
      <c r="C3638" s="52">
        <f ca="1"/>
        <v>-1.2785063464937312</v>
      </c>
      <c r="D3638" s="52">
        <f ca="1">S0*EXP((μ-0.5*σ*σ)*T+σ*SQRT(T)*$C3638)</f>
        <v>0.45215472728031003</v>
      </c>
      <c r="E3638" s="52">
        <f t="shared" ca="1" si="152"/>
        <v>8.2245272719689955E-2</v>
      </c>
      <c r="F3638" s="17">
        <f t="shared" ca="1" si="153"/>
        <v>1</v>
      </c>
      <c r="H3638" s="17">
        <v>3629</v>
      </c>
      <c r="I3638" s="45">
        <v>0.67193216379437071</v>
      </c>
      <c r="J3638" s="45">
        <v>1.9786721076634699E-2</v>
      </c>
      <c r="K3638" s="45">
        <v>0.24879999999999999</v>
      </c>
      <c r="N3638" s="54"/>
    </row>
    <row r="3639" spans="2:14" x14ac:dyDescent="0.2">
      <c r="B3639">
        <v>3630</v>
      </c>
      <c r="C3639" s="52">
        <f ca="1"/>
        <v>0.51160451409769436</v>
      </c>
      <c r="D3639" s="52">
        <f ca="1">S0*EXP((μ-0.5*σ*σ)*T+σ*SQRT(T)*$C3639)</f>
        <v>0.74164395426003715</v>
      </c>
      <c r="E3639" s="52">
        <f t="shared" ca="1" si="152"/>
        <v>0</v>
      </c>
      <c r="F3639" s="17">
        <f t="shared" ca="1" si="153"/>
        <v>0</v>
      </c>
      <c r="H3639" s="17">
        <v>3630</v>
      </c>
      <c r="I3639" s="45">
        <v>0.67103333727973014</v>
      </c>
      <c r="J3639" s="45">
        <v>1.9014711902856814E-2</v>
      </c>
      <c r="K3639" s="45">
        <v>0.24640000000000001</v>
      </c>
      <c r="N3639" s="54"/>
    </row>
    <row r="3640" spans="2:14" x14ac:dyDescent="0.2">
      <c r="B3640">
        <v>3631</v>
      </c>
      <c r="C3640" s="52">
        <f ca="1"/>
        <v>-0.33139660182777636</v>
      </c>
      <c r="D3640" s="52">
        <f ca="1">S0*EXP((μ-0.5*σ*σ)*T+σ*SQRT(T)*$C3640)</f>
        <v>0.58747657040086643</v>
      </c>
      <c r="E3640" s="52">
        <f t="shared" ca="1" si="152"/>
        <v>0</v>
      </c>
      <c r="F3640" s="17">
        <f t="shared" ca="1" si="153"/>
        <v>0</v>
      </c>
      <c r="H3640" s="17">
        <v>3631</v>
      </c>
      <c r="I3640" s="45">
        <v>0.67069943103037755</v>
      </c>
      <c r="J3640" s="45">
        <v>1.8836398907456611E-2</v>
      </c>
      <c r="K3640" s="45">
        <v>0.24379999999999999</v>
      </c>
      <c r="N3640" s="54"/>
    </row>
    <row r="3641" spans="2:14" x14ac:dyDescent="0.2">
      <c r="B3641">
        <v>3632</v>
      </c>
      <c r="C3641" s="52">
        <f ca="1"/>
        <v>-0.91807354261788576</v>
      </c>
      <c r="D3641" s="52">
        <f ca="1">S0*EXP((μ-0.5*σ*σ)*T+σ*SQRT(T)*$C3641)</f>
        <v>0.4995260675384115</v>
      </c>
      <c r="E3641" s="52">
        <f t="shared" ca="1" si="152"/>
        <v>3.4873932461588486E-2</v>
      </c>
      <c r="F3641" s="17">
        <f t="shared" ca="1" si="153"/>
        <v>1</v>
      </c>
      <c r="H3641" s="17">
        <v>3632</v>
      </c>
      <c r="I3641" s="45">
        <v>0.67100492336087869</v>
      </c>
      <c r="J3641" s="45">
        <v>1.8916193042198888E-2</v>
      </c>
      <c r="K3641" s="45">
        <v>0.24360000000000001</v>
      </c>
      <c r="N3641" s="54"/>
    </row>
    <row r="3642" spans="2:14" x14ac:dyDescent="0.2">
      <c r="B3642">
        <v>3633</v>
      </c>
      <c r="C3642" s="52">
        <f ca="1"/>
        <v>-1.6995675798857717</v>
      </c>
      <c r="D3642" s="52">
        <f ca="1">S0*EXP((μ-0.5*σ*σ)*T+σ*SQRT(T)*$C3642)</f>
        <v>0.40247356728976685</v>
      </c>
      <c r="E3642" s="52">
        <f t="shared" ca="1" si="152"/>
        <v>0.13192643271023313</v>
      </c>
      <c r="F3642" s="17">
        <f t="shared" ca="1" si="153"/>
        <v>1</v>
      </c>
      <c r="H3642" s="17">
        <v>3633</v>
      </c>
      <c r="I3642" s="45">
        <v>0.671457595565502</v>
      </c>
      <c r="J3642" s="45">
        <v>1.9322672515125375E-2</v>
      </c>
      <c r="K3642" s="45">
        <v>0.2412</v>
      </c>
      <c r="N3642" s="54"/>
    </row>
    <row r="3643" spans="2:14" x14ac:dyDescent="0.2">
      <c r="B3643">
        <v>3634</v>
      </c>
      <c r="C3643" s="52">
        <f ca="1"/>
        <v>-2.2722502317047404</v>
      </c>
      <c r="D3643" s="52">
        <f ca="1">S0*EXP((μ-0.5*σ*σ)*T+σ*SQRT(T)*$C3643)</f>
        <v>0.34354610323749096</v>
      </c>
      <c r="E3643" s="52">
        <f t="shared" ca="1" si="152"/>
        <v>0.19085389676250902</v>
      </c>
      <c r="F3643" s="17">
        <f t="shared" ca="1" si="153"/>
        <v>1</v>
      </c>
      <c r="H3643" s="17">
        <v>3634</v>
      </c>
      <c r="I3643" s="45">
        <v>0.67090150352544964</v>
      </c>
      <c r="J3643" s="45">
        <v>1.9276481389549953E-2</v>
      </c>
      <c r="K3643" s="45">
        <v>0.25259999999999999</v>
      </c>
      <c r="N3643" s="54"/>
    </row>
    <row r="3644" spans="2:14" x14ac:dyDescent="0.2">
      <c r="B3644">
        <v>3635</v>
      </c>
      <c r="C3644" s="52">
        <f ca="1"/>
        <v>2.1329594680807543E-2</v>
      </c>
      <c r="D3644" s="52">
        <f ca="1">S0*EXP((μ-0.5*σ*σ)*T+σ*SQRT(T)*$C3644)</f>
        <v>0.64764412388579329</v>
      </c>
      <c r="E3644" s="52">
        <f t="shared" ca="1" si="152"/>
        <v>0</v>
      </c>
      <c r="F3644" s="17">
        <f t="shared" ca="1" si="153"/>
        <v>0</v>
      </c>
      <c r="H3644" s="17">
        <v>3635</v>
      </c>
      <c r="I3644" s="45">
        <v>0.67103961980676108</v>
      </c>
      <c r="J3644" s="45">
        <v>1.9111391220865977E-2</v>
      </c>
      <c r="K3644" s="45">
        <v>0.24579999999999999</v>
      </c>
      <c r="N3644" s="54"/>
    </row>
    <row r="3645" spans="2:14" x14ac:dyDescent="0.2">
      <c r="B3645">
        <v>3636</v>
      </c>
      <c r="C3645" s="52">
        <f ca="1"/>
        <v>-8.7582764281967818E-2</v>
      </c>
      <c r="D3645" s="52">
        <f ca="1">S0*EXP((μ-0.5*σ*σ)*T+σ*SQRT(T)*$C3645)</f>
        <v>0.62843615320017454</v>
      </c>
      <c r="E3645" s="52">
        <f t="shared" ca="1" si="152"/>
        <v>0</v>
      </c>
      <c r="F3645" s="17">
        <f t="shared" ca="1" si="153"/>
        <v>0</v>
      </c>
      <c r="H3645" s="17">
        <v>3636</v>
      </c>
      <c r="I3645" s="45">
        <v>0.67033856144970083</v>
      </c>
      <c r="J3645" s="45">
        <v>1.876771683912511E-2</v>
      </c>
      <c r="K3645" s="45">
        <v>0.24660000000000001</v>
      </c>
      <c r="N3645" s="54"/>
    </row>
    <row r="3646" spans="2:14" x14ac:dyDescent="0.2">
      <c r="B3646">
        <v>3637</v>
      </c>
      <c r="C3646" s="52">
        <f ca="1"/>
        <v>-0.25773803579181187</v>
      </c>
      <c r="D3646" s="52">
        <f ca="1">S0*EXP((μ-0.5*σ*σ)*T+σ*SQRT(T)*$C3646)</f>
        <v>0.5995611599731181</v>
      </c>
      <c r="E3646" s="52">
        <f t="shared" ca="1" si="152"/>
        <v>0</v>
      </c>
      <c r="F3646" s="17">
        <f t="shared" ca="1" si="153"/>
        <v>0</v>
      </c>
      <c r="H3646" s="17">
        <v>3637</v>
      </c>
      <c r="I3646" s="45">
        <v>0.6690534518478477</v>
      </c>
      <c r="J3646" s="45">
        <v>1.7816179790981233E-2</v>
      </c>
      <c r="K3646" s="45">
        <v>0.246</v>
      </c>
      <c r="N3646" s="54"/>
    </row>
    <row r="3647" spans="2:14" x14ac:dyDescent="0.2">
      <c r="B3647">
        <v>3638</v>
      </c>
      <c r="C3647" s="52">
        <f ca="1"/>
        <v>-0.96267493981804519</v>
      </c>
      <c r="D3647" s="52">
        <f ca="1">S0*EXP((μ-0.5*σ*σ)*T+σ*SQRT(T)*$C3647)</f>
        <v>0.49340508381466408</v>
      </c>
      <c r="E3647" s="52">
        <f t="shared" ca="1" si="152"/>
        <v>4.0994916185335906E-2</v>
      </c>
      <c r="F3647" s="17">
        <f t="shared" ca="1" si="153"/>
        <v>1</v>
      </c>
      <c r="H3647" s="17">
        <v>3638</v>
      </c>
      <c r="I3647" s="45">
        <v>0.67052115130207968</v>
      </c>
      <c r="J3647" s="45">
        <v>1.8762135624477917E-2</v>
      </c>
      <c r="K3647" s="45">
        <v>0.24060000000000001</v>
      </c>
      <c r="N3647" s="54"/>
    </row>
    <row r="3648" spans="2:14" x14ac:dyDescent="0.2">
      <c r="B3648">
        <v>3639</v>
      </c>
      <c r="C3648" s="52">
        <f ca="1"/>
        <v>-1.1469432287182058</v>
      </c>
      <c r="D3648" s="52">
        <f ca="1">S0*EXP((μ-0.5*σ*σ)*T+σ*SQRT(T)*$C3648)</f>
        <v>0.46890151708929484</v>
      </c>
      <c r="E3648" s="52">
        <f t="shared" ca="1" si="152"/>
        <v>6.5498482910705147E-2</v>
      </c>
      <c r="F3648" s="17">
        <f t="shared" ca="1" si="153"/>
        <v>1</v>
      </c>
      <c r="H3648" s="17">
        <v>3639</v>
      </c>
      <c r="I3648" s="45">
        <v>0.67065304759706601</v>
      </c>
      <c r="J3648" s="45">
        <v>1.893318765342842E-2</v>
      </c>
      <c r="K3648" s="45">
        <v>0.24940000000000001</v>
      </c>
      <c r="N3648" s="54"/>
    </row>
    <row r="3649" spans="2:14" x14ac:dyDescent="0.2">
      <c r="B3649">
        <v>3640</v>
      </c>
      <c r="C3649" s="52">
        <f ca="1"/>
        <v>-1.1702986472701533</v>
      </c>
      <c r="D3649" s="52">
        <f ca="1">S0*EXP((μ-0.5*σ*σ)*T+σ*SQRT(T)*$C3649)</f>
        <v>0.46588394799339411</v>
      </c>
      <c r="E3649" s="52">
        <f t="shared" ca="1" si="152"/>
        <v>6.8516052006605876E-2</v>
      </c>
      <c r="F3649" s="17">
        <f t="shared" ca="1" si="153"/>
        <v>1</v>
      </c>
      <c r="H3649" s="17">
        <v>3640</v>
      </c>
      <c r="I3649" s="45">
        <v>0.6708128480488097</v>
      </c>
      <c r="J3649" s="45">
        <v>1.9051260807016489E-2</v>
      </c>
      <c r="K3649" s="45">
        <v>0.24979999999999999</v>
      </c>
      <c r="N3649" s="54"/>
    </row>
    <row r="3650" spans="2:14" x14ac:dyDescent="0.2">
      <c r="B3650">
        <v>3641</v>
      </c>
      <c r="C3650" s="52">
        <f ca="1"/>
        <v>-0.73698357822566785</v>
      </c>
      <c r="D3650" s="52">
        <f ca="1">S0*EXP((μ-0.5*σ*σ)*T+σ*SQRT(T)*$C3650)</f>
        <v>0.52516838154779677</v>
      </c>
      <c r="E3650" s="52">
        <f t="shared" ca="1" si="152"/>
        <v>9.2316184522032163E-3</v>
      </c>
      <c r="F3650" s="17">
        <f t="shared" ca="1" si="153"/>
        <v>1</v>
      </c>
      <c r="H3650" s="17">
        <v>3641</v>
      </c>
      <c r="I3650" s="45">
        <v>0.67131859064547128</v>
      </c>
      <c r="J3650" s="45">
        <v>1.9282507503166433E-2</v>
      </c>
      <c r="K3650" s="45">
        <v>0.2462</v>
      </c>
      <c r="N3650" s="54"/>
    </row>
    <row r="3651" spans="2:14" x14ac:dyDescent="0.2">
      <c r="B3651">
        <v>3642</v>
      </c>
      <c r="C3651" s="52">
        <f ca="1"/>
        <v>1.5923098539386218</v>
      </c>
      <c r="D3651" s="52">
        <f ca="1">S0*EXP((μ-0.5*σ*σ)*T+σ*SQRT(T)*$C3651)</f>
        <v>0.99985610627294663</v>
      </c>
      <c r="E3651" s="52">
        <f t="shared" ca="1" si="152"/>
        <v>0</v>
      </c>
      <c r="F3651" s="17">
        <f t="shared" ca="1" si="153"/>
        <v>0</v>
      </c>
      <c r="H3651" s="17">
        <v>3642</v>
      </c>
      <c r="I3651" s="45">
        <v>0.67168185130872582</v>
      </c>
      <c r="J3651" s="45">
        <v>1.9559981239583898E-2</v>
      </c>
      <c r="K3651" s="45">
        <v>0.2472</v>
      </c>
      <c r="N3651" s="54"/>
    </row>
    <row r="3652" spans="2:14" x14ac:dyDescent="0.2">
      <c r="B3652">
        <v>3643</v>
      </c>
      <c r="C3652" s="52">
        <f ca="1"/>
        <v>1.5223670687898729</v>
      </c>
      <c r="D3652" s="52">
        <f ca="1">S0*EXP((μ-0.5*σ*σ)*T+σ*SQRT(T)*$C3652)</f>
        <v>0.98071011365627114</v>
      </c>
      <c r="E3652" s="52">
        <f t="shared" ca="1" si="152"/>
        <v>0</v>
      </c>
      <c r="F3652" s="17">
        <f t="shared" ca="1" si="153"/>
        <v>0</v>
      </c>
      <c r="H3652" s="17">
        <v>3643</v>
      </c>
      <c r="I3652" s="45">
        <v>0.66995712121213702</v>
      </c>
      <c r="J3652" s="45">
        <v>1.8267427409852807E-2</v>
      </c>
      <c r="K3652" s="45">
        <v>0.24260000000000001</v>
      </c>
      <c r="N3652" s="54"/>
    </row>
    <row r="3653" spans="2:14" x14ac:dyDescent="0.2">
      <c r="B3653">
        <v>3644</v>
      </c>
      <c r="C3653" s="52">
        <f ca="1"/>
        <v>-0.2453408217076852</v>
      </c>
      <c r="D3653" s="52">
        <f ca="1">S0*EXP((μ-0.5*σ*σ)*T+σ*SQRT(T)*$C3653)</f>
        <v>0.60161937663023046</v>
      </c>
      <c r="E3653" s="52">
        <f t="shared" ca="1" si="152"/>
        <v>0</v>
      </c>
      <c r="F3653" s="17">
        <f t="shared" ca="1" si="153"/>
        <v>0</v>
      </c>
      <c r="H3653" s="17">
        <v>3644</v>
      </c>
      <c r="I3653" s="45">
        <v>0.67052916135202123</v>
      </c>
      <c r="J3653" s="45">
        <v>1.8785876702387769E-2</v>
      </c>
      <c r="K3653" s="45">
        <v>0.2442</v>
      </c>
      <c r="N3653" s="54"/>
    </row>
    <row r="3654" spans="2:14" x14ac:dyDescent="0.2">
      <c r="B3654">
        <v>3645</v>
      </c>
      <c r="C3654" s="52">
        <f ca="1"/>
        <v>0.94777417259583241</v>
      </c>
      <c r="D3654" s="52">
        <f ca="1">S0*EXP((μ-0.5*σ*σ)*T+σ*SQRT(T)*$C3654)</f>
        <v>0.83667922791386451</v>
      </c>
      <c r="E3654" s="52">
        <f t="shared" ca="1" si="152"/>
        <v>0</v>
      </c>
      <c r="F3654" s="17">
        <f t="shared" ca="1" si="153"/>
        <v>0</v>
      </c>
      <c r="H3654" s="17">
        <v>3645</v>
      </c>
      <c r="I3654" s="45">
        <v>0.6714069150209856</v>
      </c>
      <c r="J3654" s="45">
        <v>1.925348629375968E-2</v>
      </c>
      <c r="K3654" s="45">
        <v>0.2492</v>
      </c>
      <c r="N3654" s="54"/>
    </row>
    <row r="3655" spans="2:14" x14ac:dyDescent="0.2">
      <c r="B3655">
        <v>3646</v>
      </c>
      <c r="C3655" s="52">
        <f ca="1"/>
        <v>-0.10030769899043575</v>
      </c>
      <c r="D3655" s="52">
        <f ca="1">S0*EXP((μ-0.5*σ*σ)*T+σ*SQRT(T)*$C3655)</f>
        <v>0.62622945858140566</v>
      </c>
      <c r="E3655" s="52">
        <f t="shared" ca="1" si="152"/>
        <v>0</v>
      </c>
      <c r="F3655" s="17">
        <f t="shared" ca="1" si="153"/>
        <v>0</v>
      </c>
      <c r="H3655" s="17">
        <v>3646</v>
      </c>
      <c r="I3655" s="45">
        <v>0.67188580718156887</v>
      </c>
      <c r="J3655" s="45">
        <v>1.9570855288915133E-2</v>
      </c>
      <c r="K3655" s="45">
        <v>0.24460000000000001</v>
      </c>
      <c r="N3655" s="54"/>
    </row>
    <row r="3656" spans="2:14" x14ac:dyDescent="0.2">
      <c r="B3656">
        <v>3647</v>
      </c>
      <c r="C3656" s="52">
        <f ca="1"/>
        <v>-0.70269168119781922</v>
      </c>
      <c r="D3656" s="52">
        <f ca="1">S0*EXP((μ-0.5*σ*σ)*T+σ*SQRT(T)*$C3656)</f>
        <v>0.53017033049015405</v>
      </c>
      <c r="E3656" s="52">
        <f t="shared" ca="1" si="152"/>
        <v>4.2296695098459347E-3</v>
      </c>
      <c r="F3656" s="17">
        <f t="shared" ca="1" si="153"/>
        <v>1</v>
      </c>
      <c r="H3656" s="17">
        <v>3647</v>
      </c>
      <c r="I3656" s="45">
        <v>0.67089812830604256</v>
      </c>
      <c r="J3656" s="45">
        <v>1.889387056268382E-2</v>
      </c>
      <c r="K3656" s="45">
        <v>0.245</v>
      </c>
      <c r="N3656" s="54"/>
    </row>
    <row r="3657" spans="2:14" x14ac:dyDescent="0.2">
      <c r="B3657">
        <v>3648</v>
      </c>
      <c r="C3657" s="52">
        <f ca="1"/>
        <v>-1.1377391323246129</v>
      </c>
      <c r="D3657" s="52">
        <f ca="1">S0*EXP((μ-0.5*σ*σ)*T+σ*SQRT(T)*$C3657)</f>
        <v>0.47009606761962819</v>
      </c>
      <c r="E3657" s="52">
        <f t="shared" ca="1" si="152"/>
        <v>6.4303932380371798E-2</v>
      </c>
      <c r="F3657" s="17">
        <f t="shared" ca="1" si="153"/>
        <v>1</v>
      </c>
      <c r="H3657" s="17">
        <v>3648</v>
      </c>
      <c r="I3657" s="45">
        <v>0.670649797025061</v>
      </c>
      <c r="J3657" s="45">
        <v>1.9151422788281285E-2</v>
      </c>
      <c r="K3657" s="45">
        <v>0.25119999999999998</v>
      </c>
      <c r="N3657" s="54"/>
    </row>
    <row r="3658" spans="2:14" x14ac:dyDescent="0.2">
      <c r="B3658">
        <v>3649</v>
      </c>
      <c r="C3658" s="52">
        <f ca="1"/>
        <v>-5.3440219397754875E-2</v>
      </c>
      <c r="D3658" s="52">
        <f ca="1">S0*EXP((μ-0.5*σ*σ)*T+σ*SQRT(T)*$C3658)</f>
        <v>0.63439548057205297</v>
      </c>
      <c r="E3658" s="52">
        <f t="shared" ref="E3658:E3721" ca="1" si="154">MAX(0,CP*(D3658-K))</f>
        <v>0</v>
      </c>
      <c r="F3658" s="17">
        <f t="shared" ref="F3658:F3721" ca="1" si="155">(CP*(D3658-K)&gt;0)*1</f>
        <v>0</v>
      </c>
      <c r="H3658" s="17">
        <v>3649</v>
      </c>
      <c r="I3658" s="45">
        <v>0.67035813107808095</v>
      </c>
      <c r="J3658" s="45">
        <v>1.826541812583379E-2</v>
      </c>
      <c r="K3658" s="45">
        <v>0.2392</v>
      </c>
      <c r="N3658" s="54"/>
    </row>
    <row r="3659" spans="2:14" x14ac:dyDescent="0.2">
      <c r="B3659">
        <v>3650</v>
      </c>
      <c r="C3659" s="52">
        <f ca="1"/>
        <v>-1.6722737322775705</v>
      </c>
      <c r="D3659" s="52">
        <f ca="1">S0*EXP((μ-0.5*σ*σ)*T+σ*SQRT(T)*$C3659)</f>
        <v>0.40552167727155503</v>
      </c>
      <c r="E3659" s="52">
        <f t="shared" ca="1" si="154"/>
        <v>0.12887832272844496</v>
      </c>
      <c r="F3659" s="17">
        <f t="shared" ca="1" si="155"/>
        <v>1</v>
      </c>
      <c r="H3659" s="17">
        <v>3650</v>
      </c>
      <c r="I3659" s="45">
        <v>0.67105146191216825</v>
      </c>
      <c r="J3659" s="45">
        <v>1.9215125659755371E-2</v>
      </c>
      <c r="K3659" s="45">
        <v>0.2596</v>
      </c>
      <c r="N3659" s="54"/>
    </row>
    <row r="3660" spans="2:14" x14ac:dyDescent="0.2">
      <c r="B3660">
        <v>3651</v>
      </c>
      <c r="C3660" s="52">
        <f ca="1"/>
        <v>0.20388340292285473</v>
      </c>
      <c r="D3660" s="52">
        <f ca="1">S0*EXP((μ-0.5*σ*σ)*T+σ*SQRT(T)*$C3660)</f>
        <v>0.68116540486887101</v>
      </c>
      <c r="E3660" s="52">
        <f t="shared" ca="1" si="154"/>
        <v>0</v>
      </c>
      <c r="F3660" s="17">
        <f t="shared" ca="1" si="155"/>
        <v>0</v>
      </c>
      <c r="H3660" s="17">
        <v>3651</v>
      </c>
      <c r="I3660" s="45">
        <v>0.6716231254153272</v>
      </c>
      <c r="J3660" s="45">
        <v>1.9526306073048092E-2</v>
      </c>
      <c r="K3660" s="45">
        <v>0.24660000000000001</v>
      </c>
      <c r="N3660" s="54"/>
    </row>
    <row r="3661" spans="2:14" x14ac:dyDescent="0.2">
      <c r="B3661">
        <v>3652</v>
      </c>
      <c r="C3661" s="52">
        <f ca="1"/>
        <v>0.70000508257961702</v>
      </c>
      <c r="D3661" s="52">
        <f ca="1">S0*EXP((μ-0.5*σ*σ)*T+σ*SQRT(T)*$C3661)</f>
        <v>0.78129228515968863</v>
      </c>
      <c r="E3661" s="52">
        <f t="shared" ca="1" si="154"/>
        <v>0</v>
      </c>
      <c r="F3661" s="17">
        <f t="shared" ca="1" si="155"/>
        <v>0</v>
      </c>
      <c r="H3661" s="17">
        <v>3652</v>
      </c>
      <c r="I3661" s="45">
        <v>0.67082659690650825</v>
      </c>
      <c r="J3661" s="45">
        <v>1.8981903803097236E-2</v>
      </c>
      <c r="K3661" s="45">
        <v>0.24579999999999999</v>
      </c>
      <c r="N3661" s="54"/>
    </row>
    <row r="3662" spans="2:14" x14ac:dyDescent="0.2">
      <c r="B3662">
        <v>3653</v>
      </c>
      <c r="C3662" s="52">
        <f ca="1"/>
        <v>1.0405147241781203</v>
      </c>
      <c r="D3662" s="52">
        <f ca="1">S0*EXP((μ-0.5*σ*σ)*T+σ*SQRT(T)*$C3662)</f>
        <v>0.85840606822491428</v>
      </c>
      <c r="E3662" s="52">
        <f t="shared" ca="1" si="154"/>
        <v>0</v>
      </c>
      <c r="F3662" s="17">
        <f t="shared" ca="1" si="155"/>
        <v>0</v>
      </c>
      <c r="H3662" s="17">
        <v>3653</v>
      </c>
      <c r="I3662" s="45">
        <v>0.67037174259051857</v>
      </c>
      <c r="J3662" s="45">
        <v>1.8636322878864103E-2</v>
      </c>
      <c r="K3662" s="45">
        <v>0.252</v>
      </c>
      <c r="N3662" s="54"/>
    </row>
    <row r="3663" spans="2:14" x14ac:dyDescent="0.2">
      <c r="B3663">
        <v>3654</v>
      </c>
      <c r="C3663" s="52">
        <f ca="1"/>
        <v>-1.3817259777029478</v>
      </c>
      <c r="D3663" s="52">
        <f ca="1">S0*EXP((μ-0.5*σ*σ)*T+σ*SQRT(T)*$C3663)</f>
        <v>0.43943559998235721</v>
      </c>
      <c r="E3663" s="52">
        <f t="shared" ca="1" si="154"/>
        <v>9.496440001764278E-2</v>
      </c>
      <c r="F3663" s="17">
        <f t="shared" ca="1" si="155"/>
        <v>1</v>
      </c>
      <c r="H3663" s="17">
        <v>3654</v>
      </c>
      <c r="I3663" s="45">
        <v>0.67072010231161983</v>
      </c>
      <c r="J3663" s="45">
        <v>1.850028343592772E-2</v>
      </c>
      <c r="K3663" s="45">
        <v>0.23880000000000001</v>
      </c>
      <c r="N3663" s="54"/>
    </row>
    <row r="3664" spans="2:14" x14ac:dyDescent="0.2">
      <c r="B3664">
        <v>3655</v>
      </c>
      <c r="C3664" s="52">
        <f ca="1"/>
        <v>-0.98635484297987919</v>
      </c>
      <c r="D3664" s="52">
        <f ca="1">S0*EXP((μ-0.5*σ*σ)*T+σ*SQRT(T)*$C3664)</f>
        <v>0.49018585374135065</v>
      </c>
      <c r="E3664" s="52">
        <f t="shared" ca="1" si="154"/>
        <v>4.4214146258649334E-2</v>
      </c>
      <c r="F3664" s="17">
        <f t="shared" ca="1" si="155"/>
        <v>1</v>
      </c>
      <c r="H3664" s="17">
        <v>3655</v>
      </c>
      <c r="I3664" s="45">
        <v>0.67040447679331627</v>
      </c>
      <c r="J3664" s="45">
        <v>1.8627087190122578E-2</v>
      </c>
      <c r="K3664" s="45">
        <v>0.248</v>
      </c>
      <c r="N3664" s="54"/>
    </row>
    <row r="3665" spans="2:14" x14ac:dyDescent="0.2">
      <c r="B3665">
        <v>3656</v>
      </c>
      <c r="C3665" s="52">
        <f ca="1"/>
        <v>9.2515212776310488E-2</v>
      </c>
      <c r="D3665" s="52">
        <f ca="1">S0*EXP((μ-0.5*σ*σ)*T+σ*SQRT(T)*$C3665)</f>
        <v>0.66051469582250832</v>
      </c>
      <c r="E3665" s="52">
        <f t="shared" ca="1" si="154"/>
        <v>0</v>
      </c>
      <c r="F3665" s="17">
        <f t="shared" ca="1" si="155"/>
        <v>0</v>
      </c>
      <c r="H3665" s="17">
        <v>3656</v>
      </c>
      <c r="I3665" s="45">
        <v>0.67105638440073156</v>
      </c>
      <c r="J3665" s="45">
        <v>1.8869149108526821E-2</v>
      </c>
      <c r="K3665" s="45">
        <v>0.24479999999999999</v>
      </c>
      <c r="N3665" s="54"/>
    </row>
    <row r="3666" spans="2:14" x14ac:dyDescent="0.2">
      <c r="B3666">
        <v>3657</v>
      </c>
      <c r="C3666" s="52">
        <f ca="1"/>
        <v>8.7750636361690532E-2</v>
      </c>
      <c r="D3666" s="52">
        <f ca="1">S0*EXP((μ-0.5*σ*σ)*T+σ*SQRT(T)*$C3666)</f>
        <v>0.6596453152452767</v>
      </c>
      <c r="E3666" s="52">
        <f t="shared" ca="1" si="154"/>
        <v>0</v>
      </c>
      <c r="F3666" s="17">
        <f t="shared" ca="1" si="155"/>
        <v>0</v>
      </c>
      <c r="H3666" s="17">
        <v>3657</v>
      </c>
      <c r="I3666" s="45">
        <v>0.67143171680190084</v>
      </c>
      <c r="J3666" s="45">
        <v>1.9326422266212846E-2</v>
      </c>
      <c r="K3666" s="45">
        <v>0.25019999999999998</v>
      </c>
      <c r="N3666" s="54"/>
    </row>
    <row r="3667" spans="2:14" x14ac:dyDescent="0.2">
      <c r="B3667">
        <v>3658</v>
      </c>
      <c r="C3667" s="52">
        <f ca="1"/>
        <v>0.21669797025009879</v>
      </c>
      <c r="D3667" s="52">
        <f ca="1">S0*EXP((μ-0.5*σ*σ)*T+σ*SQRT(T)*$C3667)</f>
        <v>0.68358261882658433</v>
      </c>
      <c r="E3667" s="52">
        <f t="shared" ca="1" si="154"/>
        <v>0</v>
      </c>
      <c r="F3667" s="17">
        <f t="shared" ca="1" si="155"/>
        <v>0</v>
      </c>
      <c r="H3667" s="17">
        <v>3658</v>
      </c>
      <c r="I3667" s="45">
        <v>0.67129299315545954</v>
      </c>
      <c r="J3667" s="45">
        <v>1.923276545444166E-2</v>
      </c>
      <c r="K3667" s="45">
        <v>0.245</v>
      </c>
      <c r="N3667" s="54"/>
    </row>
    <row r="3668" spans="2:14" x14ac:dyDescent="0.2">
      <c r="B3668">
        <v>3659</v>
      </c>
      <c r="C3668" s="52">
        <f ca="1"/>
        <v>0.14671441618070122</v>
      </c>
      <c r="D3668" s="52">
        <f ca="1">S0*EXP((μ-0.5*σ*σ)*T+σ*SQRT(T)*$C3668)</f>
        <v>0.67048531120559951</v>
      </c>
      <c r="E3668" s="52">
        <f t="shared" ca="1" si="154"/>
        <v>0</v>
      </c>
      <c r="F3668" s="17">
        <f t="shared" ca="1" si="155"/>
        <v>0</v>
      </c>
      <c r="H3668" s="17">
        <v>3659</v>
      </c>
      <c r="I3668" s="45">
        <v>0.6699383383058849</v>
      </c>
      <c r="J3668" s="45">
        <v>1.8460453101837051E-2</v>
      </c>
      <c r="K3668" s="45">
        <v>0.2432</v>
      </c>
      <c r="N3668" s="54"/>
    </row>
    <row r="3669" spans="2:14" x14ac:dyDescent="0.2">
      <c r="B3669">
        <v>3660</v>
      </c>
      <c r="C3669" s="52">
        <f ca="1"/>
        <v>-0.40634711313711924</v>
      </c>
      <c r="D3669" s="52">
        <f ca="1">S0*EXP((μ-0.5*σ*σ)*T+σ*SQRT(T)*$C3669)</f>
        <v>0.57543001119818715</v>
      </c>
      <c r="E3669" s="52">
        <f t="shared" ca="1" si="154"/>
        <v>0</v>
      </c>
      <c r="F3669" s="17">
        <f t="shared" ca="1" si="155"/>
        <v>0</v>
      </c>
      <c r="H3669" s="17">
        <v>3660</v>
      </c>
      <c r="I3669" s="45">
        <v>0.67118006882880077</v>
      </c>
      <c r="J3669" s="45">
        <v>1.9216814232441072E-2</v>
      </c>
      <c r="K3669" s="45">
        <v>0.24460000000000001</v>
      </c>
      <c r="N3669" s="54"/>
    </row>
    <row r="3670" spans="2:14" x14ac:dyDescent="0.2">
      <c r="B3670">
        <v>3661</v>
      </c>
      <c r="C3670" s="52">
        <f ca="1"/>
        <v>-0.56165429497598462</v>
      </c>
      <c r="D3670" s="52">
        <f ca="1">S0*EXP((μ-0.5*σ*σ)*T+σ*SQRT(T)*$C3670)</f>
        <v>0.55124847058000959</v>
      </c>
      <c r="E3670" s="52">
        <f t="shared" ca="1" si="154"/>
        <v>0</v>
      </c>
      <c r="F3670" s="17">
        <f t="shared" ca="1" si="155"/>
        <v>0</v>
      </c>
      <c r="H3670" s="17">
        <v>3661</v>
      </c>
      <c r="I3670" s="45">
        <v>0.67170914673094795</v>
      </c>
      <c r="J3670" s="45">
        <v>1.9767302328851818E-2</v>
      </c>
      <c r="K3670" s="45">
        <v>0.25359999999999999</v>
      </c>
      <c r="N3670" s="54"/>
    </row>
    <row r="3671" spans="2:14" x14ac:dyDescent="0.2">
      <c r="B3671">
        <v>3662</v>
      </c>
      <c r="C3671" s="52">
        <f ca="1"/>
        <v>-6.4010018195247306E-2</v>
      </c>
      <c r="D3671" s="52">
        <f ca="1">S0*EXP((μ-0.5*σ*σ)*T+σ*SQRT(T)*$C3671)</f>
        <v>0.63254458631262511</v>
      </c>
      <c r="E3671" s="52">
        <f t="shared" ca="1" si="154"/>
        <v>0</v>
      </c>
      <c r="F3671" s="17">
        <f t="shared" ca="1" si="155"/>
        <v>0</v>
      </c>
      <c r="H3671" s="17">
        <v>3662</v>
      </c>
      <c r="I3671" s="45">
        <v>0.67081151511188797</v>
      </c>
      <c r="J3671" s="45">
        <v>1.8736882776071974E-2</v>
      </c>
      <c r="K3671" s="45">
        <v>0.249</v>
      </c>
      <c r="N3671" s="54"/>
    </row>
    <row r="3672" spans="2:14" x14ac:dyDescent="0.2">
      <c r="B3672">
        <v>3663</v>
      </c>
      <c r="C3672" s="52">
        <f ca="1"/>
        <v>1.1871527386472378E-2</v>
      </c>
      <c r="D3672" s="52">
        <f ca="1">S0*EXP((μ-0.5*σ*σ)*T+σ*SQRT(T)*$C3672)</f>
        <v>0.64595305873582054</v>
      </c>
      <c r="E3672" s="52">
        <f t="shared" ca="1" si="154"/>
        <v>0</v>
      </c>
      <c r="F3672" s="17">
        <f t="shared" ca="1" si="155"/>
        <v>0</v>
      </c>
      <c r="H3672" s="17">
        <v>3663</v>
      </c>
      <c r="I3672" s="45">
        <v>0.67038739327106844</v>
      </c>
      <c r="J3672" s="45">
        <v>1.8758115987709288E-2</v>
      </c>
      <c r="K3672" s="45">
        <v>0.25080000000000002</v>
      </c>
      <c r="N3672" s="54"/>
    </row>
    <row r="3673" spans="2:14" x14ac:dyDescent="0.2">
      <c r="B3673">
        <v>3664</v>
      </c>
      <c r="C3673" s="52">
        <f ca="1"/>
        <v>1.3367720634761173</v>
      </c>
      <c r="D3673" s="52">
        <f ca="1">S0*EXP((μ-0.5*σ*σ)*T+σ*SQRT(T)*$C3673)</f>
        <v>0.93166417389855727</v>
      </c>
      <c r="E3673" s="52">
        <f t="shared" ca="1" si="154"/>
        <v>0</v>
      </c>
      <c r="F3673" s="17">
        <f t="shared" ca="1" si="155"/>
        <v>0</v>
      </c>
      <c r="H3673" s="17">
        <v>3664</v>
      </c>
      <c r="I3673" s="45">
        <v>0.67108618750141991</v>
      </c>
      <c r="J3673" s="45">
        <v>1.9316135164051104E-2</v>
      </c>
      <c r="K3673" s="45">
        <v>0.246</v>
      </c>
      <c r="N3673" s="54"/>
    </row>
    <row r="3674" spans="2:14" x14ac:dyDescent="0.2">
      <c r="B3674">
        <v>3665</v>
      </c>
      <c r="C3674" s="52">
        <f ca="1"/>
        <v>-0.20478345482252999</v>
      </c>
      <c r="D3674" s="52">
        <f ca="1">S0*EXP((μ-0.5*σ*σ)*T+σ*SQRT(T)*$C3674)</f>
        <v>0.60840230892803893</v>
      </c>
      <c r="E3674" s="52">
        <f t="shared" ca="1" si="154"/>
        <v>0</v>
      </c>
      <c r="F3674" s="17">
        <f t="shared" ca="1" si="155"/>
        <v>0</v>
      </c>
      <c r="H3674" s="17">
        <v>3665</v>
      </c>
      <c r="I3674" s="45">
        <v>0.67059033046015615</v>
      </c>
      <c r="J3674" s="45">
        <v>1.8830140002595176E-2</v>
      </c>
      <c r="K3674" s="45">
        <v>0.2472</v>
      </c>
      <c r="N3674" s="54"/>
    </row>
    <row r="3675" spans="2:14" x14ac:dyDescent="0.2">
      <c r="B3675">
        <v>3666</v>
      </c>
      <c r="C3675" s="52">
        <f ca="1"/>
        <v>0.60340219071111145</v>
      </c>
      <c r="D3675" s="52">
        <f ca="1">S0*EXP((μ-0.5*σ*σ)*T+σ*SQRT(T)*$C3675)</f>
        <v>0.76070462691439755</v>
      </c>
      <c r="E3675" s="52">
        <f t="shared" ca="1" si="154"/>
        <v>0</v>
      </c>
      <c r="F3675" s="17">
        <f t="shared" ca="1" si="155"/>
        <v>0</v>
      </c>
      <c r="H3675" s="17">
        <v>3666</v>
      </c>
      <c r="I3675" s="45">
        <v>0.67222424151853999</v>
      </c>
      <c r="J3675" s="45">
        <v>2.0123243051914628E-2</v>
      </c>
      <c r="K3675" s="45">
        <v>0.25540000000000002</v>
      </c>
      <c r="N3675" s="54"/>
    </row>
    <row r="3676" spans="2:14" x14ac:dyDescent="0.2">
      <c r="B3676">
        <v>3667</v>
      </c>
      <c r="C3676" s="52">
        <f ca="1"/>
        <v>-7.9727510837608179E-2</v>
      </c>
      <c r="D3676" s="52">
        <f ca="1">S0*EXP((μ-0.5*σ*σ)*T+σ*SQRT(T)*$C3676)</f>
        <v>0.62980225195150563</v>
      </c>
      <c r="E3676" s="52">
        <f t="shared" ca="1" si="154"/>
        <v>0</v>
      </c>
      <c r="F3676" s="17">
        <f t="shared" ca="1" si="155"/>
        <v>0</v>
      </c>
      <c r="H3676" s="17">
        <v>3667</v>
      </c>
      <c r="I3676" s="45">
        <v>0.67202443954181934</v>
      </c>
      <c r="J3676" s="45">
        <v>1.9793181151327166E-2</v>
      </c>
      <c r="K3676" s="45">
        <v>0.24540000000000001</v>
      </c>
      <c r="N3676" s="54"/>
    </row>
    <row r="3677" spans="2:14" x14ac:dyDescent="0.2">
      <c r="B3677">
        <v>3668</v>
      </c>
      <c r="C3677" s="52">
        <f ca="1"/>
        <v>-0.61351889438525786</v>
      </c>
      <c r="D3677" s="52">
        <f ca="1">S0*EXP((μ-0.5*σ*σ)*T+σ*SQRT(T)*$C3677)</f>
        <v>0.54340157246947174</v>
      </c>
      <c r="E3677" s="52">
        <f t="shared" ca="1" si="154"/>
        <v>0</v>
      </c>
      <c r="F3677" s="17">
        <f t="shared" ca="1" si="155"/>
        <v>0</v>
      </c>
      <c r="H3677" s="17">
        <v>3668</v>
      </c>
      <c r="I3677" s="45">
        <v>0.67146601204251699</v>
      </c>
      <c r="J3677" s="45">
        <v>1.9577088535745923E-2</v>
      </c>
      <c r="K3677" s="45">
        <v>0.245</v>
      </c>
      <c r="N3677" s="54"/>
    </row>
    <row r="3678" spans="2:14" x14ac:dyDescent="0.2">
      <c r="B3678">
        <v>3669</v>
      </c>
      <c r="C3678" s="52">
        <f ca="1"/>
        <v>0.32383425143490807</v>
      </c>
      <c r="D3678" s="52">
        <f ca="1">S0*EXP((μ-0.5*σ*σ)*T+σ*SQRT(T)*$C3678)</f>
        <v>0.70413033672708458</v>
      </c>
      <c r="E3678" s="52">
        <f t="shared" ca="1" si="154"/>
        <v>0</v>
      </c>
      <c r="F3678" s="17">
        <f t="shared" ca="1" si="155"/>
        <v>0</v>
      </c>
      <c r="H3678" s="17">
        <v>3669</v>
      </c>
      <c r="I3678" s="45">
        <v>0.67109774131522304</v>
      </c>
      <c r="J3678" s="45">
        <v>1.931481393523975E-2</v>
      </c>
      <c r="K3678" s="45">
        <v>0.255</v>
      </c>
      <c r="N3678" s="54"/>
    </row>
    <row r="3679" spans="2:14" x14ac:dyDescent="0.2">
      <c r="B3679">
        <v>3670</v>
      </c>
      <c r="C3679" s="52">
        <f ca="1"/>
        <v>-1.4810165956786845</v>
      </c>
      <c r="D3679" s="52">
        <f ca="1">S0*EXP((μ-0.5*σ*σ)*T+σ*SQRT(T)*$C3679)</f>
        <v>0.42753836248424981</v>
      </c>
      <c r="E3679" s="52">
        <f t="shared" ca="1" si="154"/>
        <v>0.10686163751575017</v>
      </c>
      <c r="F3679" s="17">
        <f t="shared" ca="1" si="155"/>
        <v>1</v>
      </c>
      <c r="H3679" s="17">
        <v>3670</v>
      </c>
      <c r="I3679" s="45">
        <v>0.66987563232966096</v>
      </c>
      <c r="J3679" s="45">
        <v>1.8035939789107988E-2</v>
      </c>
      <c r="K3679" s="45">
        <v>0.23319999999999999</v>
      </c>
      <c r="N3679" s="54"/>
    </row>
    <row r="3680" spans="2:14" x14ac:dyDescent="0.2">
      <c r="B3680">
        <v>3671</v>
      </c>
      <c r="C3680" s="52">
        <f ca="1"/>
        <v>0.37123608773386191</v>
      </c>
      <c r="D3680" s="52">
        <f ca="1">S0*EXP((μ-0.5*σ*σ)*T+σ*SQRT(T)*$C3680)</f>
        <v>0.71341755857591393</v>
      </c>
      <c r="E3680" s="52">
        <f t="shared" ca="1" si="154"/>
        <v>0</v>
      </c>
      <c r="F3680" s="17">
        <f t="shared" ca="1" si="155"/>
        <v>0</v>
      </c>
      <c r="H3680" s="17">
        <v>3671</v>
      </c>
      <c r="I3680" s="45">
        <v>0.67131637818995382</v>
      </c>
      <c r="J3680" s="45">
        <v>1.9329721871699526E-2</v>
      </c>
      <c r="K3680" s="45">
        <v>0.25080000000000002</v>
      </c>
      <c r="N3680" s="54"/>
    </row>
    <row r="3681" spans="2:14" x14ac:dyDescent="0.2">
      <c r="B3681">
        <v>3672</v>
      </c>
      <c r="C3681" s="52">
        <f ca="1"/>
        <v>-0.48855556549926032</v>
      </c>
      <c r="D3681" s="52">
        <f ca="1">S0*EXP((μ-0.5*σ*σ)*T+σ*SQRT(T)*$C3681)</f>
        <v>0.56250077833581347</v>
      </c>
      <c r="E3681" s="52">
        <f t="shared" ca="1" si="154"/>
        <v>0</v>
      </c>
      <c r="F3681" s="17">
        <f t="shared" ca="1" si="155"/>
        <v>0</v>
      </c>
      <c r="H3681" s="17">
        <v>3672</v>
      </c>
      <c r="I3681" s="45">
        <v>0.67156505470408279</v>
      </c>
      <c r="J3681" s="45">
        <v>1.9547597302883957E-2</v>
      </c>
      <c r="K3681" s="45">
        <v>0.24840000000000001</v>
      </c>
      <c r="N3681" s="54"/>
    </row>
    <row r="3682" spans="2:14" x14ac:dyDescent="0.2">
      <c r="B3682">
        <v>3673</v>
      </c>
      <c r="C3682" s="52">
        <f ca="1"/>
        <v>0.87425461347013178</v>
      </c>
      <c r="D3682" s="52">
        <f ca="1">S0*EXP((μ-0.5*σ*σ)*T+σ*SQRT(T)*$C3682)</f>
        <v>0.8198468547400839</v>
      </c>
      <c r="E3682" s="52">
        <f t="shared" ca="1" si="154"/>
        <v>0</v>
      </c>
      <c r="F3682" s="17">
        <f t="shared" ca="1" si="155"/>
        <v>0</v>
      </c>
      <c r="H3682" s="17">
        <v>3673</v>
      </c>
      <c r="I3682" s="45">
        <v>0.67132567656187703</v>
      </c>
      <c r="J3682" s="45">
        <v>1.9008079616925595E-2</v>
      </c>
      <c r="K3682" s="45">
        <v>0.245</v>
      </c>
      <c r="N3682" s="54"/>
    </row>
    <row r="3683" spans="2:14" x14ac:dyDescent="0.2">
      <c r="B3683">
        <v>3674</v>
      </c>
      <c r="C3683" s="52">
        <f ca="1"/>
        <v>2.3261425928108422E-2</v>
      </c>
      <c r="D3683" s="52">
        <f ca="1">S0*EXP((μ-0.5*σ*σ)*T+σ*SQRT(T)*$C3683)</f>
        <v>0.64799007179020229</v>
      </c>
      <c r="E3683" s="52">
        <f t="shared" ca="1" si="154"/>
        <v>0</v>
      </c>
      <c r="F3683" s="17">
        <f t="shared" ca="1" si="155"/>
        <v>0</v>
      </c>
      <c r="H3683" s="17">
        <v>3674</v>
      </c>
      <c r="I3683" s="45">
        <v>0.67146670453820556</v>
      </c>
      <c r="J3683" s="45">
        <v>1.9546188819421308E-2</v>
      </c>
      <c r="K3683" s="45">
        <v>0.25519999999999998</v>
      </c>
      <c r="N3683" s="54"/>
    </row>
    <row r="3684" spans="2:14" x14ac:dyDescent="0.2">
      <c r="B3684">
        <v>3675</v>
      </c>
      <c r="C3684" s="52">
        <f ca="1"/>
        <v>-1.2442646525073839</v>
      </c>
      <c r="D3684" s="52">
        <f ca="1">S0*EXP((μ-0.5*σ*σ)*T+σ*SQRT(T)*$C3684)</f>
        <v>0.45645492546623784</v>
      </c>
      <c r="E3684" s="52">
        <f t="shared" ca="1" si="154"/>
        <v>7.7945074533762149E-2</v>
      </c>
      <c r="F3684" s="17">
        <f t="shared" ca="1" si="155"/>
        <v>1</v>
      </c>
      <c r="H3684" s="17">
        <v>3675</v>
      </c>
      <c r="I3684" s="45">
        <v>0.66988503368880348</v>
      </c>
      <c r="J3684" s="45">
        <v>1.8169558709706466E-2</v>
      </c>
      <c r="K3684" s="45">
        <v>0.2412</v>
      </c>
      <c r="N3684" s="54"/>
    </row>
    <row r="3685" spans="2:14" x14ac:dyDescent="0.2">
      <c r="B3685">
        <v>3676</v>
      </c>
      <c r="C3685" s="52">
        <f ca="1"/>
        <v>-0.77866798295762785</v>
      </c>
      <c r="D3685" s="52">
        <f ca="1">S0*EXP((μ-0.5*σ*σ)*T+σ*SQRT(T)*$C3685)</f>
        <v>0.51915163762230043</v>
      </c>
      <c r="E3685" s="52">
        <f t="shared" ca="1" si="154"/>
        <v>1.5248362377699554E-2</v>
      </c>
      <c r="F3685" s="17">
        <f t="shared" ca="1" si="155"/>
        <v>1</v>
      </c>
      <c r="H3685" s="17">
        <v>3676</v>
      </c>
      <c r="I3685" s="45">
        <v>0.67008897881195506</v>
      </c>
      <c r="J3685" s="45">
        <v>1.8232360579626867E-2</v>
      </c>
      <c r="K3685" s="45">
        <v>0.24099999999999999</v>
      </c>
      <c r="N3685" s="54"/>
    </row>
    <row r="3686" spans="2:14" x14ac:dyDescent="0.2">
      <c r="B3686">
        <v>3677</v>
      </c>
      <c r="C3686" s="52">
        <f ca="1"/>
        <v>1.1976333354338347</v>
      </c>
      <c r="D3686" s="52">
        <f ca="1">S0*EXP((μ-0.5*σ*σ)*T+σ*SQRT(T)*$C3686)</f>
        <v>0.89651045327134748</v>
      </c>
      <c r="E3686" s="52">
        <f t="shared" ca="1" si="154"/>
        <v>0</v>
      </c>
      <c r="F3686" s="17">
        <f t="shared" ca="1" si="155"/>
        <v>0</v>
      </c>
      <c r="H3686" s="17">
        <v>3677</v>
      </c>
      <c r="I3686" s="45">
        <v>0.67161790893018447</v>
      </c>
      <c r="J3686" s="45">
        <v>1.9735971862636776E-2</v>
      </c>
      <c r="K3686" s="45">
        <v>0.252</v>
      </c>
      <c r="N3686" s="54"/>
    </row>
    <row r="3687" spans="2:14" x14ac:dyDescent="0.2">
      <c r="B3687">
        <v>3678</v>
      </c>
      <c r="C3687" s="52">
        <f ca="1"/>
        <v>0.7242831349257155</v>
      </c>
      <c r="D3687" s="52">
        <f ca="1">S0*EXP((μ-0.5*σ*σ)*T+σ*SQRT(T)*$C3687)</f>
        <v>0.78655336199138648</v>
      </c>
      <c r="E3687" s="52">
        <f t="shared" ca="1" si="154"/>
        <v>0</v>
      </c>
      <c r="F3687" s="17">
        <f t="shared" ca="1" si="155"/>
        <v>0</v>
      </c>
      <c r="H3687" s="17">
        <v>3678</v>
      </c>
      <c r="I3687" s="45">
        <v>0.67026094381377499</v>
      </c>
      <c r="J3687" s="45">
        <v>1.8501887558400074E-2</v>
      </c>
      <c r="K3687" s="45">
        <v>0.245</v>
      </c>
      <c r="N3687" s="54"/>
    </row>
    <row r="3688" spans="2:14" x14ac:dyDescent="0.2">
      <c r="B3688">
        <v>3679</v>
      </c>
      <c r="C3688" s="52">
        <f ca="1"/>
        <v>0.51974462894226114</v>
      </c>
      <c r="D3688" s="52">
        <f ca="1">S0*EXP((μ-0.5*σ*σ)*T+σ*SQRT(T)*$C3688)</f>
        <v>0.74331467486781133</v>
      </c>
      <c r="E3688" s="52">
        <f t="shared" ca="1" si="154"/>
        <v>0</v>
      </c>
      <c r="F3688" s="17">
        <f t="shared" ca="1" si="155"/>
        <v>0</v>
      </c>
      <c r="H3688" s="17">
        <v>3679</v>
      </c>
      <c r="I3688" s="45">
        <v>0.66948731354697355</v>
      </c>
      <c r="J3688" s="45">
        <v>1.796039017163879E-2</v>
      </c>
      <c r="K3688" s="45">
        <v>0.2412</v>
      </c>
      <c r="N3688" s="54"/>
    </row>
    <row r="3689" spans="2:14" x14ac:dyDescent="0.2">
      <c r="B3689">
        <v>3680</v>
      </c>
      <c r="C3689" s="52">
        <f ca="1"/>
        <v>-1.2611781751345328</v>
      </c>
      <c r="D3689" s="52">
        <f ca="1">S0*EXP((μ-0.5*σ*σ)*T+σ*SQRT(T)*$C3689)</f>
        <v>0.45432577563984611</v>
      </c>
      <c r="E3689" s="52">
        <f t="shared" ca="1" si="154"/>
        <v>8.0074224360153878E-2</v>
      </c>
      <c r="F3689" s="17">
        <f t="shared" ca="1" si="155"/>
        <v>1</v>
      </c>
      <c r="H3689" s="17">
        <v>3680</v>
      </c>
      <c r="I3689" s="45">
        <v>0.67177731769785431</v>
      </c>
      <c r="J3689" s="45">
        <v>1.9631212301276419E-2</v>
      </c>
      <c r="K3689" s="45">
        <v>0.24660000000000001</v>
      </c>
      <c r="N3689" s="54"/>
    </row>
    <row r="3690" spans="2:14" x14ac:dyDescent="0.2">
      <c r="B3690">
        <v>3681</v>
      </c>
      <c r="C3690" s="52">
        <f ca="1"/>
        <v>0.25346661944676402</v>
      </c>
      <c r="D3690" s="52">
        <f ca="1">S0*EXP((μ-0.5*σ*σ)*T+σ*SQRT(T)*$C3690)</f>
        <v>0.69056601649182003</v>
      </c>
      <c r="E3690" s="52">
        <f t="shared" ca="1" si="154"/>
        <v>0</v>
      </c>
      <c r="F3690" s="17">
        <f t="shared" ca="1" si="155"/>
        <v>0</v>
      </c>
      <c r="H3690" s="17">
        <v>3681</v>
      </c>
      <c r="I3690" s="45">
        <v>0.67146547231818854</v>
      </c>
      <c r="J3690" s="45">
        <v>1.9219395030626765E-2</v>
      </c>
      <c r="K3690" s="45">
        <v>0.252</v>
      </c>
      <c r="N3690" s="54"/>
    </row>
    <row r="3691" spans="2:14" x14ac:dyDescent="0.2">
      <c r="B3691">
        <v>3682</v>
      </c>
      <c r="C3691" s="52">
        <f ca="1"/>
        <v>0.70126413567937484</v>
      </c>
      <c r="D3691" s="52">
        <f ca="1">S0*EXP((μ-0.5*σ*σ)*T+σ*SQRT(T)*$C3691)</f>
        <v>0.78156425596246604</v>
      </c>
      <c r="E3691" s="52">
        <f t="shared" ca="1" si="154"/>
        <v>0</v>
      </c>
      <c r="F3691" s="17">
        <f t="shared" ca="1" si="155"/>
        <v>0</v>
      </c>
      <c r="H3691" s="17">
        <v>3682</v>
      </c>
      <c r="I3691" s="45">
        <v>0.67128664130214333</v>
      </c>
      <c r="J3691" s="45">
        <v>1.9464041996748175E-2</v>
      </c>
      <c r="K3691" s="45">
        <v>0.248</v>
      </c>
      <c r="N3691" s="54"/>
    </row>
    <row r="3692" spans="2:14" x14ac:dyDescent="0.2">
      <c r="B3692">
        <v>3683</v>
      </c>
      <c r="C3692" s="52">
        <f ca="1"/>
        <v>-0.73340082092815173</v>
      </c>
      <c r="D3692" s="52">
        <f ca="1">S0*EXP((μ-0.5*σ*σ)*T+σ*SQRT(T)*$C3692)</f>
        <v>0.52568876102493245</v>
      </c>
      <c r="E3692" s="52">
        <f t="shared" ca="1" si="154"/>
        <v>8.7112389750675367E-3</v>
      </c>
      <c r="F3692" s="17">
        <f t="shared" ca="1" si="155"/>
        <v>1</v>
      </c>
      <c r="H3692" s="17">
        <v>3683</v>
      </c>
      <c r="I3692" s="45">
        <v>0.67122849943680662</v>
      </c>
      <c r="J3692" s="45">
        <v>1.9243815789960702E-2</v>
      </c>
      <c r="K3692" s="45">
        <v>0.25419999999999998</v>
      </c>
      <c r="N3692" s="54"/>
    </row>
    <row r="3693" spans="2:14" x14ac:dyDescent="0.2">
      <c r="B3693">
        <v>3684</v>
      </c>
      <c r="C3693" s="52">
        <f ca="1"/>
        <v>0.92343247438740217</v>
      </c>
      <c r="D3693" s="52">
        <f ca="1">S0*EXP((μ-0.5*σ*σ)*T+σ*SQRT(T)*$C3693)</f>
        <v>0.83106824878207697</v>
      </c>
      <c r="E3693" s="52">
        <f t="shared" ca="1" si="154"/>
        <v>0</v>
      </c>
      <c r="F3693" s="17">
        <f t="shared" ca="1" si="155"/>
        <v>0</v>
      </c>
      <c r="H3693" s="17">
        <v>3684</v>
      </c>
      <c r="I3693" s="45">
        <v>0.67082198665882975</v>
      </c>
      <c r="J3693" s="45">
        <v>1.9169852548904721E-2</v>
      </c>
      <c r="K3693" s="45">
        <v>0.25080000000000002</v>
      </c>
      <c r="N3693" s="54"/>
    </row>
    <row r="3694" spans="2:14" x14ac:dyDescent="0.2">
      <c r="B3694">
        <v>3685</v>
      </c>
      <c r="C3694" s="52">
        <f ca="1"/>
        <v>-1.4734561064960425</v>
      </c>
      <c r="D3694" s="52">
        <f ca="1">S0*EXP((μ-0.5*σ*σ)*T+σ*SQRT(T)*$C3694)</f>
        <v>0.42843283709312163</v>
      </c>
      <c r="E3694" s="52">
        <f t="shared" ca="1" si="154"/>
        <v>0.10596716290687835</v>
      </c>
      <c r="F3694" s="17">
        <f t="shared" ca="1" si="155"/>
        <v>1</v>
      </c>
      <c r="H3694" s="17">
        <v>3685</v>
      </c>
      <c r="I3694" s="45">
        <v>0.67289317590747721</v>
      </c>
      <c r="J3694" s="45">
        <v>1.9984835431649414E-2</v>
      </c>
      <c r="K3694" s="45">
        <v>0.24859999999999999</v>
      </c>
      <c r="N3694" s="54"/>
    </row>
    <row r="3695" spans="2:14" x14ac:dyDescent="0.2">
      <c r="B3695">
        <v>3686</v>
      </c>
      <c r="C3695" s="52">
        <f ca="1"/>
        <v>0.45393434487634238</v>
      </c>
      <c r="D3695" s="52">
        <f ca="1">S0*EXP((μ-0.5*σ*σ)*T+σ*SQRT(T)*$C3695)</f>
        <v>0.72991447678526111</v>
      </c>
      <c r="E3695" s="52">
        <f t="shared" ca="1" si="154"/>
        <v>0</v>
      </c>
      <c r="F3695" s="17">
        <f t="shared" ca="1" si="155"/>
        <v>0</v>
      </c>
      <c r="H3695" s="17">
        <v>3686</v>
      </c>
      <c r="I3695" s="45">
        <v>0.67007048164524252</v>
      </c>
      <c r="J3695" s="45">
        <v>1.8383381673177369E-2</v>
      </c>
      <c r="K3695" s="45">
        <v>0.23960000000000001</v>
      </c>
      <c r="N3695" s="54"/>
    </row>
    <row r="3696" spans="2:14" x14ac:dyDescent="0.2">
      <c r="B3696">
        <v>3687</v>
      </c>
      <c r="C3696" s="52">
        <f ca="1"/>
        <v>1.0696127711231984E-2</v>
      </c>
      <c r="D3696" s="52">
        <f ca="1">S0*EXP((μ-0.5*σ*σ)*T+σ*SQRT(T)*$C3696)</f>
        <v>0.6457432106103872</v>
      </c>
      <c r="E3696" s="52">
        <f t="shared" ca="1" si="154"/>
        <v>0</v>
      </c>
      <c r="F3696" s="17">
        <f t="shared" ca="1" si="155"/>
        <v>0</v>
      </c>
      <c r="H3696" s="17">
        <v>3687</v>
      </c>
      <c r="I3696" s="45">
        <v>0.66965370624505627</v>
      </c>
      <c r="J3696" s="45">
        <v>1.7814412337313502E-2</v>
      </c>
      <c r="K3696" s="45">
        <v>0.2382</v>
      </c>
      <c r="N3696" s="54"/>
    </row>
    <row r="3697" spans="2:14" x14ac:dyDescent="0.2">
      <c r="B3697">
        <v>3688</v>
      </c>
      <c r="C3697" s="52">
        <f ca="1"/>
        <v>-0.51154166836390691</v>
      </c>
      <c r="D3697" s="52">
        <f ca="1">S0*EXP((μ-0.5*σ*σ)*T+σ*SQRT(T)*$C3697)</f>
        <v>0.55893792004186671</v>
      </c>
      <c r="E3697" s="52">
        <f t="shared" ca="1" si="154"/>
        <v>0</v>
      </c>
      <c r="F3697" s="17">
        <f t="shared" ca="1" si="155"/>
        <v>0</v>
      </c>
      <c r="H3697" s="17">
        <v>3688</v>
      </c>
      <c r="I3697" s="45">
        <v>0.67063694427256193</v>
      </c>
      <c r="J3697" s="45">
        <v>1.894433611118827E-2</v>
      </c>
      <c r="K3697" s="45">
        <v>0.2412</v>
      </c>
      <c r="N3697" s="54"/>
    </row>
    <row r="3698" spans="2:14" x14ac:dyDescent="0.2">
      <c r="B3698">
        <v>3689</v>
      </c>
      <c r="C3698" s="52">
        <f ca="1"/>
        <v>-0.3911928705807684</v>
      </c>
      <c r="D3698" s="52">
        <f ca="1">S0*EXP((μ-0.5*σ*σ)*T+σ*SQRT(T)*$C3698)</f>
        <v>0.57784561574924953</v>
      </c>
      <c r="E3698" s="52">
        <f t="shared" ca="1" si="154"/>
        <v>0</v>
      </c>
      <c r="F3698" s="17">
        <f t="shared" ca="1" si="155"/>
        <v>0</v>
      </c>
      <c r="H3698" s="17">
        <v>3689</v>
      </c>
      <c r="I3698" s="45">
        <v>0.67039850943747126</v>
      </c>
      <c r="J3698" s="45">
        <v>1.8452471162415492E-2</v>
      </c>
      <c r="K3698" s="45">
        <v>0.245</v>
      </c>
      <c r="N3698" s="54"/>
    </row>
    <row r="3699" spans="2:14" x14ac:dyDescent="0.2">
      <c r="B3699">
        <v>3690</v>
      </c>
      <c r="C3699" s="52">
        <f ca="1"/>
        <v>0.65614261356111392</v>
      </c>
      <c r="D3699" s="52">
        <f ca="1">S0*EXP((μ-0.5*σ*σ)*T+σ*SQRT(T)*$C3699)</f>
        <v>0.77187630619629033</v>
      </c>
      <c r="E3699" s="52">
        <f t="shared" ca="1" si="154"/>
        <v>0</v>
      </c>
      <c r="F3699" s="17">
        <f t="shared" ca="1" si="155"/>
        <v>0</v>
      </c>
      <c r="H3699" s="17">
        <v>3690</v>
      </c>
      <c r="I3699" s="45">
        <v>0.6713945898624486</v>
      </c>
      <c r="J3699" s="45">
        <v>1.9438602775203803E-2</v>
      </c>
      <c r="K3699" s="45">
        <v>0.25180000000000002</v>
      </c>
      <c r="N3699" s="54"/>
    </row>
    <row r="3700" spans="2:14" x14ac:dyDescent="0.2">
      <c r="B3700">
        <v>3691</v>
      </c>
      <c r="C3700" s="52">
        <f ca="1"/>
        <v>-1.5167401514610778E-2</v>
      </c>
      <c r="D3700" s="52">
        <f ca="1">S0*EXP((μ-0.5*σ*σ)*T+σ*SQRT(T)*$C3700)</f>
        <v>0.64114292089459812</v>
      </c>
      <c r="E3700" s="52">
        <f t="shared" ca="1" si="154"/>
        <v>0</v>
      </c>
      <c r="F3700" s="17">
        <f t="shared" ca="1" si="155"/>
        <v>0</v>
      </c>
      <c r="H3700" s="17">
        <v>3691</v>
      </c>
      <c r="I3700" s="45">
        <v>0.67179691391602658</v>
      </c>
      <c r="J3700" s="45">
        <v>1.9534808693562927E-2</v>
      </c>
      <c r="K3700" s="45">
        <v>0.24440000000000001</v>
      </c>
      <c r="N3700" s="54"/>
    </row>
    <row r="3701" spans="2:14" x14ac:dyDescent="0.2">
      <c r="B3701">
        <v>3692</v>
      </c>
      <c r="C3701" s="52">
        <f ca="1"/>
        <v>-1.5410719775550816</v>
      </c>
      <c r="D3701" s="52">
        <f ca="1">S0*EXP((μ-0.5*σ*σ)*T+σ*SQRT(T)*$C3701)</f>
        <v>0.42049927741827281</v>
      </c>
      <c r="E3701" s="52">
        <f t="shared" ca="1" si="154"/>
        <v>0.11390072258172718</v>
      </c>
      <c r="F3701" s="17">
        <f t="shared" ca="1" si="155"/>
        <v>1</v>
      </c>
      <c r="H3701" s="17">
        <v>3692</v>
      </c>
      <c r="I3701" s="45">
        <v>0.67103922697680507</v>
      </c>
      <c r="J3701" s="45">
        <v>1.8913863900943562E-2</v>
      </c>
      <c r="K3701" s="45">
        <v>0.2432</v>
      </c>
      <c r="N3701" s="54"/>
    </row>
    <row r="3702" spans="2:14" x14ac:dyDescent="0.2">
      <c r="B3702">
        <v>3693</v>
      </c>
      <c r="C3702" s="52">
        <f ca="1"/>
        <v>-1.5057148444938191</v>
      </c>
      <c r="D3702" s="52">
        <f ca="1">S0*EXP((μ-0.5*σ*σ)*T+σ*SQRT(T)*$C3702)</f>
        <v>0.42462932936629522</v>
      </c>
      <c r="E3702" s="52">
        <f t="shared" ca="1" si="154"/>
        <v>0.10977067063370477</v>
      </c>
      <c r="F3702" s="17">
        <f t="shared" ca="1" si="155"/>
        <v>1</v>
      </c>
      <c r="H3702" s="17">
        <v>3693</v>
      </c>
      <c r="I3702" s="45">
        <v>0.6711400740408765</v>
      </c>
      <c r="J3702" s="45">
        <v>1.9306486395125035E-2</v>
      </c>
      <c r="K3702" s="45">
        <v>0.24479999999999999</v>
      </c>
      <c r="N3702" s="54"/>
    </row>
    <row r="3703" spans="2:14" x14ac:dyDescent="0.2">
      <c r="B3703">
        <v>3694</v>
      </c>
      <c r="C3703" s="52">
        <f ca="1"/>
        <v>0.61246558949622898</v>
      </c>
      <c r="D3703" s="52">
        <f ca="1">S0*EXP((μ-0.5*σ*σ)*T+σ*SQRT(T)*$C3703)</f>
        <v>0.76261289956955913</v>
      </c>
      <c r="E3703" s="52">
        <f t="shared" ca="1" si="154"/>
        <v>0</v>
      </c>
      <c r="F3703" s="17">
        <f t="shared" ca="1" si="155"/>
        <v>0</v>
      </c>
      <c r="H3703" s="17">
        <v>3694</v>
      </c>
      <c r="I3703" s="45">
        <v>0.66979675130443617</v>
      </c>
      <c r="J3703" s="45">
        <v>1.7953480054387603E-2</v>
      </c>
      <c r="K3703" s="45">
        <v>0.24640000000000001</v>
      </c>
      <c r="N3703" s="54"/>
    </row>
    <row r="3704" spans="2:14" x14ac:dyDescent="0.2">
      <c r="B3704">
        <v>3695</v>
      </c>
      <c r="C3704" s="52">
        <f ca="1"/>
        <v>-0.27463484986795494</v>
      </c>
      <c r="D3704" s="52">
        <f ca="1">S0*EXP((μ-0.5*σ*σ)*T+σ*SQRT(T)*$C3704)</f>
        <v>0.59676724248824309</v>
      </c>
      <c r="E3704" s="52">
        <f t="shared" ca="1" si="154"/>
        <v>0</v>
      </c>
      <c r="F3704" s="17">
        <f t="shared" ca="1" si="155"/>
        <v>0</v>
      </c>
      <c r="H3704" s="17">
        <v>3695</v>
      </c>
      <c r="I3704" s="45">
        <v>0.67187991266073521</v>
      </c>
      <c r="J3704" s="45">
        <v>1.9691540701544188E-2</v>
      </c>
      <c r="K3704" s="45">
        <v>0.25119999999999998</v>
      </c>
      <c r="N3704" s="54"/>
    </row>
    <row r="3705" spans="2:14" x14ac:dyDescent="0.2">
      <c r="B3705">
        <v>3696</v>
      </c>
      <c r="C3705" s="52">
        <f ca="1"/>
        <v>0.21129244800947308</v>
      </c>
      <c r="D3705" s="52">
        <f ca="1">S0*EXP((μ-0.5*σ*σ)*T+σ*SQRT(T)*$C3705)</f>
        <v>0.68256193000728282</v>
      </c>
      <c r="E3705" s="52">
        <f t="shared" ca="1" si="154"/>
        <v>0</v>
      </c>
      <c r="F3705" s="17">
        <f t="shared" ca="1" si="155"/>
        <v>0</v>
      </c>
      <c r="H3705" s="17">
        <v>3696</v>
      </c>
      <c r="I3705" s="45">
        <v>0.67077427804844836</v>
      </c>
      <c r="J3705" s="45">
        <v>1.886849673580554E-2</v>
      </c>
      <c r="K3705" s="45">
        <v>0.24199999999999999</v>
      </c>
      <c r="N3705" s="54"/>
    </row>
    <row r="3706" spans="2:14" x14ac:dyDescent="0.2">
      <c r="B3706">
        <v>3697</v>
      </c>
      <c r="C3706" s="52">
        <f ca="1"/>
        <v>-1.6725340150476846</v>
      </c>
      <c r="D3706" s="52">
        <f ca="1">S0*EXP((μ-0.5*σ*σ)*T+σ*SQRT(T)*$C3706)</f>
        <v>0.40549250078500282</v>
      </c>
      <c r="E3706" s="52">
        <f t="shared" ca="1" si="154"/>
        <v>0.12890749921499717</v>
      </c>
      <c r="F3706" s="17">
        <f t="shared" ca="1" si="155"/>
        <v>1</v>
      </c>
      <c r="H3706" s="17">
        <v>3697</v>
      </c>
      <c r="I3706" s="45">
        <v>0.67136061487510545</v>
      </c>
      <c r="J3706" s="45">
        <v>1.9419335721688295E-2</v>
      </c>
      <c r="K3706" s="45">
        <v>0.24640000000000001</v>
      </c>
      <c r="N3706" s="54"/>
    </row>
    <row r="3707" spans="2:14" x14ac:dyDescent="0.2">
      <c r="B3707">
        <v>3698</v>
      </c>
      <c r="C3707" s="52">
        <f ca="1"/>
        <v>-1.4946208400242083</v>
      </c>
      <c r="D3707" s="52">
        <f ca="1">S0*EXP((μ-0.5*σ*σ)*T+σ*SQRT(T)*$C3707)</f>
        <v>0.42593355746117434</v>
      </c>
      <c r="E3707" s="52">
        <f t="shared" ca="1" si="154"/>
        <v>0.10846644253882565</v>
      </c>
      <c r="F3707" s="17">
        <f t="shared" ca="1" si="155"/>
        <v>1</v>
      </c>
      <c r="H3707" s="17">
        <v>3698</v>
      </c>
      <c r="I3707" s="45">
        <v>0.67125214027962532</v>
      </c>
      <c r="J3707" s="45">
        <v>1.9193158734554825E-2</v>
      </c>
      <c r="K3707" s="45">
        <v>0.25</v>
      </c>
      <c r="N3707" s="54"/>
    </row>
    <row r="3708" spans="2:14" x14ac:dyDescent="0.2">
      <c r="B3708">
        <v>3699</v>
      </c>
      <c r="C3708" s="52">
        <f ca="1"/>
        <v>-0.17083686967321379</v>
      </c>
      <c r="D3708" s="52">
        <f ca="1">S0*EXP((μ-0.5*σ*σ)*T+σ*SQRT(T)*$C3708)</f>
        <v>0.61413839102619827</v>
      </c>
      <c r="E3708" s="52">
        <f t="shared" ca="1" si="154"/>
        <v>0</v>
      </c>
      <c r="F3708" s="17">
        <f t="shared" ca="1" si="155"/>
        <v>0</v>
      </c>
      <c r="H3708" s="17">
        <v>3699</v>
      </c>
      <c r="I3708" s="45">
        <v>0.67205394336246571</v>
      </c>
      <c r="J3708" s="45">
        <v>1.9838536021609069E-2</v>
      </c>
      <c r="K3708" s="45">
        <v>0.24979999999999999</v>
      </c>
      <c r="N3708" s="54"/>
    </row>
    <row r="3709" spans="2:14" x14ac:dyDescent="0.2">
      <c r="B3709">
        <v>3700</v>
      </c>
      <c r="C3709" s="52">
        <f ca="1"/>
        <v>0.11942899008594465</v>
      </c>
      <c r="D3709" s="52">
        <f ca="1">S0*EXP((μ-0.5*σ*σ)*T+σ*SQRT(T)*$C3709)</f>
        <v>0.66544714710246478</v>
      </c>
      <c r="E3709" s="52">
        <f t="shared" ca="1" si="154"/>
        <v>0</v>
      </c>
      <c r="F3709" s="17">
        <f t="shared" ca="1" si="155"/>
        <v>0</v>
      </c>
      <c r="H3709" s="17">
        <v>3700</v>
      </c>
      <c r="I3709" s="45">
        <v>0.67188020277720339</v>
      </c>
      <c r="J3709" s="45">
        <v>1.9544351104373348E-2</v>
      </c>
      <c r="K3709" s="45">
        <v>0.25240000000000001</v>
      </c>
      <c r="N3709" s="54"/>
    </row>
    <row r="3710" spans="2:14" x14ac:dyDescent="0.2">
      <c r="B3710">
        <v>3701</v>
      </c>
      <c r="C3710" s="52">
        <f ca="1"/>
        <v>3.6270320504569985E-2</v>
      </c>
      <c r="D3710" s="52">
        <f ca="1">S0*EXP((μ-0.5*σ*σ)*T+σ*SQRT(T)*$C3710)</f>
        <v>0.65032449171353446</v>
      </c>
      <c r="E3710" s="52">
        <f t="shared" ca="1" si="154"/>
        <v>0</v>
      </c>
      <c r="F3710" s="17">
        <f t="shared" ca="1" si="155"/>
        <v>0</v>
      </c>
      <c r="H3710" s="17">
        <v>3701</v>
      </c>
      <c r="I3710" s="45">
        <v>0.67047590816006208</v>
      </c>
      <c r="J3710" s="45">
        <v>1.8811145025294126E-2</v>
      </c>
      <c r="K3710" s="45">
        <v>0.24460000000000001</v>
      </c>
      <c r="N3710" s="54"/>
    </row>
    <row r="3711" spans="2:14" x14ac:dyDescent="0.2">
      <c r="B3711">
        <v>3702</v>
      </c>
      <c r="C3711" s="52">
        <f ca="1"/>
        <v>0.70968319297233007</v>
      </c>
      <c r="D3711" s="52">
        <f ca="1">S0*EXP((μ-0.5*σ*σ)*T+σ*SQRT(T)*$C3711)</f>
        <v>0.78338530961377073</v>
      </c>
      <c r="E3711" s="52">
        <f t="shared" ca="1" si="154"/>
        <v>0</v>
      </c>
      <c r="F3711" s="17">
        <f t="shared" ca="1" si="155"/>
        <v>0</v>
      </c>
      <c r="H3711" s="17">
        <v>3702</v>
      </c>
      <c r="I3711" s="45">
        <v>0.67135233491193735</v>
      </c>
      <c r="J3711" s="45">
        <v>1.917368402157486E-2</v>
      </c>
      <c r="K3711" s="45">
        <v>0.24759999999999999</v>
      </c>
      <c r="N3711" s="54"/>
    </row>
    <row r="3712" spans="2:14" x14ac:dyDescent="0.2">
      <c r="B3712">
        <v>3703</v>
      </c>
      <c r="C3712" s="52">
        <f ca="1"/>
        <v>-0.49448371811891395</v>
      </c>
      <c r="D3712" s="52">
        <f ca="1">S0*EXP((μ-0.5*σ*σ)*T+σ*SQRT(T)*$C3712)</f>
        <v>0.56157974398571497</v>
      </c>
      <c r="E3712" s="52">
        <f t="shared" ca="1" si="154"/>
        <v>0</v>
      </c>
      <c r="F3712" s="17">
        <f t="shared" ca="1" si="155"/>
        <v>0</v>
      </c>
      <c r="H3712" s="17">
        <v>3703</v>
      </c>
      <c r="I3712" s="45">
        <v>0.67055688485621245</v>
      </c>
      <c r="J3712" s="45">
        <v>1.8819607950874777E-2</v>
      </c>
      <c r="K3712" s="45">
        <v>0.2482</v>
      </c>
      <c r="N3712" s="54"/>
    </row>
    <row r="3713" spans="2:14" x14ac:dyDescent="0.2">
      <c r="B3713">
        <v>3704</v>
      </c>
      <c r="C3713" s="52">
        <f ca="1"/>
        <v>-1.250361552463809</v>
      </c>
      <c r="D3713" s="52">
        <f ca="1">S0*EXP((μ-0.5*σ*σ)*T+σ*SQRT(T)*$C3713)</f>
        <v>0.45568627275408435</v>
      </c>
      <c r="E3713" s="52">
        <f t="shared" ca="1" si="154"/>
        <v>7.8713727245915632E-2</v>
      </c>
      <c r="F3713" s="17">
        <f t="shared" ca="1" si="155"/>
        <v>1</v>
      </c>
      <c r="H3713" s="17">
        <v>3704</v>
      </c>
      <c r="I3713" s="45">
        <v>0.67125958209614045</v>
      </c>
      <c r="J3713" s="45">
        <v>1.9092684395185341E-2</v>
      </c>
      <c r="K3713" s="45">
        <v>0.2432</v>
      </c>
      <c r="N3713" s="54"/>
    </row>
    <row r="3714" spans="2:14" x14ac:dyDescent="0.2">
      <c r="B3714">
        <v>3705</v>
      </c>
      <c r="C3714" s="52">
        <f ca="1"/>
        <v>-0.6996683204581764</v>
      </c>
      <c r="D3714" s="52">
        <f ca="1">S0*EXP((μ-0.5*σ*σ)*T+σ*SQRT(T)*$C3714)</f>
        <v>0.53061360831451687</v>
      </c>
      <c r="E3714" s="52">
        <f t="shared" ca="1" si="154"/>
        <v>3.7863916854831148E-3</v>
      </c>
      <c r="F3714" s="17">
        <f t="shared" ca="1" si="155"/>
        <v>1</v>
      </c>
      <c r="H3714" s="17">
        <v>3705</v>
      </c>
      <c r="I3714" s="45">
        <v>0.67105495121511272</v>
      </c>
      <c r="J3714" s="45">
        <v>1.9013438734021709E-2</v>
      </c>
      <c r="K3714" s="45">
        <v>0.24679999999999999</v>
      </c>
      <c r="N3714" s="54"/>
    </row>
    <row r="3715" spans="2:14" x14ac:dyDescent="0.2">
      <c r="B3715">
        <v>3706</v>
      </c>
      <c r="C3715" s="52">
        <f ca="1"/>
        <v>-0.20288577276568104</v>
      </c>
      <c r="D3715" s="52">
        <f ca="1">S0*EXP((μ-0.5*σ*σ)*T+σ*SQRT(T)*$C3715)</f>
        <v>0.60872154895804786</v>
      </c>
      <c r="E3715" s="52">
        <f t="shared" ca="1" si="154"/>
        <v>0</v>
      </c>
      <c r="F3715" s="17">
        <f t="shared" ca="1" si="155"/>
        <v>0</v>
      </c>
      <c r="H3715" s="17">
        <v>3706</v>
      </c>
      <c r="I3715" s="45">
        <v>0.67334084868402777</v>
      </c>
      <c r="J3715" s="45">
        <v>2.0804186367235401E-2</v>
      </c>
      <c r="K3715" s="45">
        <v>0.255</v>
      </c>
      <c r="N3715" s="54"/>
    </row>
    <row r="3716" spans="2:14" x14ac:dyDescent="0.2">
      <c r="B3716">
        <v>3707</v>
      </c>
      <c r="C3716" s="52">
        <f ca="1"/>
        <v>-0.97904028235239149</v>
      </c>
      <c r="D3716" s="52">
        <f ca="1">S0*EXP((μ-0.5*σ*σ)*T+σ*SQRT(T)*$C3716)</f>
        <v>0.49117800361521902</v>
      </c>
      <c r="E3716" s="52">
        <f t="shared" ca="1" si="154"/>
        <v>4.322199638478097E-2</v>
      </c>
      <c r="F3716" s="17">
        <f t="shared" ca="1" si="155"/>
        <v>1</v>
      </c>
      <c r="H3716" s="17">
        <v>3707</v>
      </c>
      <c r="I3716" s="45">
        <v>0.67075921263701577</v>
      </c>
      <c r="J3716" s="45">
        <v>1.8655300402155676E-2</v>
      </c>
      <c r="K3716" s="45">
        <v>0.2414</v>
      </c>
      <c r="N3716" s="54"/>
    </row>
    <row r="3717" spans="2:14" x14ac:dyDescent="0.2">
      <c r="B3717">
        <v>3708</v>
      </c>
      <c r="C3717" s="52">
        <f ca="1"/>
        <v>-1.7573287158978226</v>
      </c>
      <c r="D3717" s="52">
        <f ca="1">S0*EXP((μ-0.5*σ*σ)*T+σ*SQRT(T)*$C3717)</f>
        <v>0.39609828202407726</v>
      </c>
      <c r="E3717" s="52">
        <f t="shared" ca="1" si="154"/>
        <v>0.13830171797592272</v>
      </c>
      <c r="F3717" s="17">
        <f t="shared" ca="1" si="155"/>
        <v>1</v>
      </c>
      <c r="H3717" s="17">
        <v>3708</v>
      </c>
      <c r="I3717" s="45">
        <v>0.67042379606961844</v>
      </c>
      <c r="J3717" s="45">
        <v>1.8872959688200918E-2</v>
      </c>
      <c r="K3717" s="45">
        <v>0.25180000000000002</v>
      </c>
      <c r="N3717" s="54"/>
    </row>
    <row r="3718" spans="2:14" x14ac:dyDescent="0.2">
      <c r="B3718">
        <v>3709</v>
      </c>
      <c r="C3718" s="52">
        <f ca="1"/>
        <v>1.4545621324379494</v>
      </c>
      <c r="D3718" s="52">
        <f ca="1">S0*EXP((μ-0.5*σ*σ)*T+σ*SQRT(T)*$C3718)</f>
        <v>0.96249938392764411</v>
      </c>
      <c r="E3718" s="52">
        <f t="shared" ca="1" si="154"/>
        <v>0</v>
      </c>
      <c r="F3718" s="17">
        <f t="shared" ca="1" si="155"/>
        <v>0</v>
      </c>
      <c r="H3718" s="17">
        <v>3709</v>
      </c>
      <c r="I3718" s="45">
        <v>0.67071690940164275</v>
      </c>
      <c r="J3718" s="45">
        <v>1.8878004790795863E-2</v>
      </c>
      <c r="K3718" s="45">
        <v>0.2412</v>
      </c>
      <c r="N3718" s="54"/>
    </row>
    <row r="3719" spans="2:14" x14ac:dyDescent="0.2">
      <c r="B3719">
        <v>3710</v>
      </c>
      <c r="C3719" s="52">
        <f ca="1"/>
        <v>-2.1152947112596516</v>
      </c>
      <c r="D3719" s="52">
        <f ca="1">S0*EXP((μ-0.5*σ*σ)*T+σ*SQRT(T)*$C3719)</f>
        <v>0.3587798351235339</v>
      </c>
      <c r="E3719" s="52">
        <f t="shared" ca="1" si="154"/>
        <v>0.17562016487646609</v>
      </c>
      <c r="F3719" s="17">
        <f t="shared" ca="1" si="155"/>
        <v>1</v>
      </c>
      <c r="H3719" s="17">
        <v>3710</v>
      </c>
      <c r="I3719" s="45">
        <v>0.67107133928617035</v>
      </c>
      <c r="J3719" s="45">
        <v>1.8992316771288674E-2</v>
      </c>
      <c r="K3719" s="45">
        <v>0.24399999999999999</v>
      </c>
      <c r="N3719" s="54"/>
    </row>
    <row r="3720" spans="2:14" x14ac:dyDescent="0.2">
      <c r="B3720">
        <v>3711</v>
      </c>
      <c r="C3720" s="52">
        <f ca="1"/>
        <v>1.131286036160992</v>
      </c>
      <c r="D3720" s="52">
        <f ca="1">S0*EXP((μ-0.5*σ*σ)*T+σ*SQRT(T)*$C3720)</f>
        <v>0.88021782248941849</v>
      </c>
      <c r="E3720" s="52">
        <f t="shared" ca="1" si="154"/>
        <v>0</v>
      </c>
      <c r="F3720" s="17">
        <f t="shared" ca="1" si="155"/>
        <v>0</v>
      </c>
      <c r="H3720" s="17">
        <v>3711</v>
      </c>
      <c r="I3720" s="45">
        <v>0.67141681943723652</v>
      </c>
      <c r="J3720" s="45">
        <v>1.9316880624554403E-2</v>
      </c>
      <c r="K3720" s="45">
        <v>0.24440000000000001</v>
      </c>
      <c r="N3720" s="54"/>
    </row>
    <row r="3721" spans="2:14" x14ac:dyDescent="0.2">
      <c r="B3721">
        <v>3712</v>
      </c>
      <c r="C3721" s="52">
        <f ca="1"/>
        <v>1.8204705230703166</v>
      </c>
      <c r="D3721" s="52">
        <f ca="1">S0*EXP((μ-0.5*σ*σ)*T+σ*SQRT(T)*$C3721)</f>
        <v>1.0649492261578073</v>
      </c>
      <c r="E3721" s="52">
        <f t="shared" ca="1" si="154"/>
        <v>0</v>
      </c>
      <c r="F3721" s="17">
        <f t="shared" ca="1" si="155"/>
        <v>0</v>
      </c>
      <c r="H3721" s="17">
        <v>3712</v>
      </c>
      <c r="I3721" s="45">
        <v>0.67055737662437465</v>
      </c>
      <c r="J3721" s="45">
        <v>1.8753750379342189E-2</v>
      </c>
      <c r="K3721" s="45">
        <v>0.2432</v>
      </c>
      <c r="N3721" s="54"/>
    </row>
    <row r="3722" spans="2:14" x14ac:dyDescent="0.2">
      <c r="B3722">
        <v>3713</v>
      </c>
      <c r="C3722" s="52">
        <f ca="1"/>
        <v>0.3292342305749455</v>
      </c>
      <c r="D3722" s="52">
        <f ca="1">S0*EXP((μ-0.5*σ*σ)*T+σ*SQRT(T)*$C3722)</f>
        <v>0.70518219794348369</v>
      </c>
      <c r="E3722" s="52">
        <f t="shared" ref="E3722:E3785" ca="1" si="156">MAX(0,CP*(D3722-K))</f>
        <v>0</v>
      </c>
      <c r="F3722" s="17">
        <f t="shared" ref="F3722:F3785" ca="1" si="157">(CP*(D3722-K)&gt;0)*1</f>
        <v>0</v>
      </c>
      <c r="H3722" s="17">
        <v>3713</v>
      </c>
      <c r="I3722" s="45">
        <v>0.67131759500641408</v>
      </c>
      <c r="J3722" s="45">
        <v>1.9098668013608718E-2</v>
      </c>
      <c r="K3722" s="45">
        <v>0.25700000000000001</v>
      </c>
      <c r="N3722" s="54"/>
    </row>
    <row r="3723" spans="2:14" x14ac:dyDescent="0.2">
      <c r="B3723">
        <v>3714</v>
      </c>
      <c r="C3723" s="52">
        <f ca="1"/>
        <v>0.30704916232144203</v>
      </c>
      <c r="D3723" s="52">
        <f ca="1">S0*EXP((μ-0.5*σ*σ)*T+σ*SQRT(T)*$C3723)</f>
        <v>0.70087077907026607</v>
      </c>
      <c r="E3723" s="52">
        <f t="shared" ca="1" si="156"/>
        <v>0</v>
      </c>
      <c r="F3723" s="17">
        <f t="shared" ca="1" si="157"/>
        <v>0</v>
      </c>
      <c r="H3723" s="17">
        <v>3714</v>
      </c>
      <c r="I3723" s="45">
        <v>0.67252902897599731</v>
      </c>
      <c r="J3723" s="45">
        <v>1.994299682992046E-2</v>
      </c>
      <c r="K3723" s="45">
        <v>0.25359999999999999</v>
      </c>
      <c r="N3723" s="54"/>
    </row>
    <row r="3724" spans="2:14" x14ac:dyDescent="0.2">
      <c r="B3724">
        <v>3715</v>
      </c>
      <c r="C3724" s="52">
        <f ca="1"/>
        <v>-0.39259840466242801</v>
      </c>
      <c r="D3724" s="52">
        <f ca="1">S0*EXP((μ-0.5*σ*σ)*T+σ*SQRT(T)*$C3724)</f>
        <v>0.577621145929054</v>
      </c>
      <c r="E3724" s="52">
        <f t="shared" ca="1" si="156"/>
        <v>0</v>
      </c>
      <c r="F3724" s="17">
        <f t="shared" ca="1" si="157"/>
        <v>0</v>
      </c>
      <c r="H3724" s="17">
        <v>3715</v>
      </c>
      <c r="I3724" s="45">
        <v>0.67041410446957228</v>
      </c>
      <c r="J3724" s="45">
        <v>1.8816127368734576E-2</v>
      </c>
      <c r="K3724" s="45">
        <v>0.25159999999999999</v>
      </c>
      <c r="N3724" s="54"/>
    </row>
    <row r="3725" spans="2:14" x14ac:dyDescent="0.2">
      <c r="B3725">
        <v>3716</v>
      </c>
      <c r="C3725" s="52">
        <f ca="1"/>
        <v>1.5066102932739429</v>
      </c>
      <c r="D3725" s="52">
        <f ca="1">S0*EXP((μ-0.5*σ*σ)*T+σ*SQRT(T)*$C3725)</f>
        <v>0.97644773879324809</v>
      </c>
      <c r="E3725" s="52">
        <f t="shared" ca="1" si="156"/>
        <v>0</v>
      </c>
      <c r="F3725" s="17">
        <f t="shared" ca="1" si="157"/>
        <v>0</v>
      </c>
      <c r="H3725" s="17">
        <v>3716</v>
      </c>
      <c r="I3725" s="45">
        <v>0.6699318926265837</v>
      </c>
      <c r="J3725" s="45">
        <v>1.8361340985298263E-2</v>
      </c>
      <c r="K3725" s="45">
        <v>0.2452</v>
      </c>
      <c r="N3725" s="54"/>
    </row>
    <row r="3726" spans="2:14" x14ac:dyDescent="0.2">
      <c r="B3726">
        <v>3717</v>
      </c>
      <c r="C3726" s="52">
        <f ca="1"/>
        <v>-1.392336071847921</v>
      </c>
      <c r="D3726" s="52">
        <f ca="1">S0*EXP((μ-0.5*σ*σ)*T+σ*SQRT(T)*$C3726)</f>
        <v>0.4381486346001226</v>
      </c>
      <c r="E3726" s="52">
        <f t="shared" ca="1" si="156"/>
        <v>9.6251365399877387E-2</v>
      </c>
      <c r="F3726" s="17">
        <f t="shared" ca="1" si="157"/>
        <v>1</v>
      </c>
      <c r="H3726" s="17">
        <v>3717</v>
      </c>
      <c r="I3726" s="45">
        <v>0.67057530150925382</v>
      </c>
      <c r="J3726" s="45">
        <v>1.8899102936824185E-2</v>
      </c>
      <c r="K3726" s="45">
        <v>0.24640000000000001</v>
      </c>
      <c r="N3726" s="54"/>
    </row>
    <row r="3727" spans="2:14" x14ac:dyDescent="0.2">
      <c r="B3727">
        <v>3718</v>
      </c>
      <c r="C3727" s="52">
        <f ca="1"/>
        <v>0.56825955867426992</v>
      </c>
      <c r="D3727" s="52">
        <f ca="1">S0*EXP((μ-0.5*σ*σ)*T+σ*SQRT(T)*$C3727)</f>
        <v>0.75335049050106828</v>
      </c>
      <c r="E3727" s="52">
        <f t="shared" ca="1" si="156"/>
        <v>0</v>
      </c>
      <c r="F3727" s="17">
        <f t="shared" ca="1" si="157"/>
        <v>0</v>
      </c>
      <c r="H3727" s="17">
        <v>3718</v>
      </c>
      <c r="I3727" s="45">
        <v>0.67171812886003102</v>
      </c>
      <c r="J3727" s="45">
        <v>1.9239754189779336E-2</v>
      </c>
      <c r="K3727" s="45">
        <v>0.2472</v>
      </c>
      <c r="N3727" s="54"/>
    </row>
    <row r="3728" spans="2:14" x14ac:dyDescent="0.2">
      <c r="B3728">
        <v>3719</v>
      </c>
      <c r="C3728" s="52">
        <f ca="1"/>
        <v>-1.4968270051342878</v>
      </c>
      <c r="D3728" s="52">
        <f ca="1">S0*EXP((μ-0.5*σ*σ)*T+σ*SQRT(T)*$C3728)</f>
        <v>0.4256738786168146</v>
      </c>
      <c r="E3728" s="52">
        <f t="shared" ca="1" si="156"/>
        <v>0.10872612138318538</v>
      </c>
      <c r="F3728" s="17">
        <f t="shared" ca="1" si="157"/>
        <v>1</v>
      </c>
      <c r="H3728" s="17">
        <v>3719</v>
      </c>
      <c r="I3728" s="45">
        <v>0.67133452514327507</v>
      </c>
      <c r="J3728" s="45">
        <v>1.9223685104587471E-2</v>
      </c>
      <c r="K3728" s="45">
        <v>0.25059999999999999</v>
      </c>
      <c r="N3728" s="54"/>
    </row>
    <row r="3729" spans="2:14" x14ac:dyDescent="0.2">
      <c r="B3729">
        <v>3720</v>
      </c>
      <c r="C3729" s="52">
        <f ca="1"/>
        <v>-0.49816537515918352</v>
      </c>
      <c r="D3729" s="52">
        <f ca="1">S0*EXP((μ-0.5*σ*σ)*T+σ*SQRT(T)*$C3729)</f>
        <v>0.56100849833318522</v>
      </c>
      <c r="E3729" s="52">
        <f t="shared" ca="1" si="156"/>
        <v>0</v>
      </c>
      <c r="F3729" s="17">
        <f t="shared" ca="1" si="157"/>
        <v>0</v>
      </c>
      <c r="H3729" s="17">
        <v>3720</v>
      </c>
      <c r="I3729" s="45">
        <v>0.67221834964872595</v>
      </c>
      <c r="J3729" s="45">
        <v>1.9765497854746617E-2</v>
      </c>
      <c r="K3729" s="45">
        <v>0.24759999999999999</v>
      </c>
      <c r="N3729" s="54"/>
    </row>
    <row r="3730" spans="2:14" x14ac:dyDescent="0.2">
      <c r="B3730">
        <v>3721</v>
      </c>
      <c r="C3730" s="52">
        <f ca="1"/>
        <v>0.53389746906604452</v>
      </c>
      <c r="D3730" s="52">
        <f ca="1">S0*EXP((μ-0.5*σ*σ)*T+σ*SQRT(T)*$C3730)</f>
        <v>0.7462284447689147</v>
      </c>
      <c r="E3730" s="52">
        <f t="shared" ca="1" si="156"/>
        <v>0</v>
      </c>
      <c r="F3730" s="17">
        <f t="shared" ca="1" si="157"/>
        <v>0</v>
      </c>
      <c r="H3730" s="17">
        <v>3721</v>
      </c>
      <c r="I3730" s="45">
        <v>0.6705039808950034</v>
      </c>
      <c r="J3730" s="45">
        <v>1.8759193234506318E-2</v>
      </c>
      <c r="K3730" s="45">
        <v>0.248</v>
      </c>
      <c r="N3730" s="54"/>
    </row>
    <row r="3731" spans="2:14" x14ac:dyDescent="0.2">
      <c r="B3731">
        <v>3722</v>
      </c>
      <c r="C3731" s="52">
        <f ca="1"/>
        <v>-0.63643030975524872</v>
      </c>
      <c r="D3731" s="52">
        <f ca="1">S0*EXP((μ-0.5*σ*σ)*T+σ*SQRT(T)*$C3731)</f>
        <v>0.53997083596163742</v>
      </c>
      <c r="E3731" s="52">
        <f t="shared" ca="1" si="156"/>
        <v>0</v>
      </c>
      <c r="F3731" s="17">
        <f t="shared" ca="1" si="157"/>
        <v>0</v>
      </c>
      <c r="H3731" s="17">
        <v>3722</v>
      </c>
      <c r="I3731" s="45">
        <v>0.67058847153695278</v>
      </c>
      <c r="J3731" s="45">
        <v>1.8876477334291129E-2</v>
      </c>
      <c r="K3731" s="45">
        <v>0.24979999999999999</v>
      </c>
      <c r="N3731" s="54"/>
    </row>
    <row r="3732" spans="2:14" x14ac:dyDescent="0.2">
      <c r="B3732">
        <v>3723</v>
      </c>
      <c r="C3732" s="52">
        <f ca="1"/>
        <v>0.83687225039370838</v>
      </c>
      <c r="D3732" s="52">
        <f ca="1">S0*EXP((μ-0.5*σ*σ)*T+σ*SQRT(T)*$C3732)</f>
        <v>0.81141842626291294</v>
      </c>
      <c r="E3732" s="52">
        <f t="shared" ca="1" si="156"/>
        <v>0</v>
      </c>
      <c r="F3732" s="17">
        <f t="shared" ca="1" si="157"/>
        <v>0</v>
      </c>
      <c r="H3732" s="17">
        <v>3723</v>
      </c>
      <c r="I3732" s="45">
        <v>0.67091747370567434</v>
      </c>
      <c r="J3732" s="45">
        <v>1.8975322185654633E-2</v>
      </c>
      <c r="K3732" s="45">
        <v>0.25419999999999998</v>
      </c>
      <c r="N3732" s="54"/>
    </row>
    <row r="3733" spans="2:14" x14ac:dyDescent="0.2">
      <c r="B3733">
        <v>3724</v>
      </c>
      <c r="C3733" s="52">
        <f ca="1"/>
        <v>2.2999490070338476E-2</v>
      </c>
      <c r="D3733" s="52">
        <f ca="1">S0*EXP((μ-0.5*σ*σ)*T+σ*SQRT(T)*$C3733)</f>
        <v>0.64794315409105829</v>
      </c>
      <c r="E3733" s="52">
        <f t="shared" ca="1" si="156"/>
        <v>0</v>
      </c>
      <c r="F3733" s="17">
        <f t="shared" ca="1" si="157"/>
        <v>0</v>
      </c>
      <c r="H3733" s="17">
        <v>3724</v>
      </c>
      <c r="I3733" s="45">
        <v>0.67054907636921945</v>
      </c>
      <c r="J3733" s="45">
        <v>1.8950800310898495E-2</v>
      </c>
      <c r="K3733" s="45">
        <v>0.24740000000000001</v>
      </c>
      <c r="N3733" s="54"/>
    </row>
    <row r="3734" spans="2:14" x14ac:dyDescent="0.2">
      <c r="B3734">
        <v>3725</v>
      </c>
      <c r="C3734" s="52">
        <f ca="1"/>
        <v>-5.9864651765404654E-2</v>
      </c>
      <c r="D3734" s="52">
        <f ca="1">S0*EXP((μ-0.5*σ*σ)*T+σ*SQRT(T)*$C3734)</f>
        <v>0.63326984350919979</v>
      </c>
      <c r="E3734" s="52">
        <f t="shared" ca="1" si="156"/>
        <v>0</v>
      </c>
      <c r="F3734" s="17">
        <f t="shared" ca="1" si="157"/>
        <v>0</v>
      </c>
      <c r="H3734" s="17">
        <v>3725</v>
      </c>
      <c r="I3734" s="45">
        <v>0.67060502654471565</v>
      </c>
      <c r="J3734" s="45">
        <v>1.8927446985829655E-2</v>
      </c>
      <c r="K3734" s="45">
        <v>0.24560000000000001</v>
      </c>
      <c r="N3734" s="54"/>
    </row>
    <row r="3735" spans="2:14" x14ac:dyDescent="0.2">
      <c r="B3735">
        <v>3726</v>
      </c>
      <c r="C3735" s="52">
        <f ca="1"/>
        <v>1.8617070699400688</v>
      </c>
      <c r="D3735" s="52">
        <f ca="1">S0*EXP((μ-0.5*σ*σ)*T+σ*SQRT(T)*$C3735)</f>
        <v>1.0771581660043807</v>
      </c>
      <c r="E3735" s="52">
        <f t="shared" ca="1" si="156"/>
        <v>0</v>
      </c>
      <c r="F3735" s="17">
        <f t="shared" ca="1" si="157"/>
        <v>0</v>
      </c>
      <c r="H3735" s="17">
        <v>3726</v>
      </c>
      <c r="I3735" s="45">
        <v>0.67167005516831824</v>
      </c>
      <c r="J3735" s="45">
        <v>1.9475386805418049E-2</v>
      </c>
      <c r="K3735" s="45">
        <v>0.25</v>
      </c>
      <c r="N3735" s="54"/>
    </row>
    <row r="3736" spans="2:14" x14ac:dyDescent="0.2">
      <c r="B3736">
        <v>3727</v>
      </c>
      <c r="C3736" s="52">
        <f ca="1"/>
        <v>-0.14346890036969259</v>
      </c>
      <c r="D3736" s="52">
        <f ca="1">S0*EXP((μ-0.5*σ*σ)*T+σ*SQRT(T)*$C3736)</f>
        <v>0.61880221105822464</v>
      </c>
      <c r="E3736" s="52">
        <f t="shared" ca="1" si="156"/>
        <v>0</v>
      </c>
      <c r="F3736" s="17">
        <f t="shared" ca="1" si="157"/>
        <v>0</v>
      </c>
      <c r="H3736" s="17">
        <v>3727</v>
      </c>
      <c r="I3736" s="45">
        <v>0.67035204150876226</v>
      </c>
      <c r="J3736" s="45">
        <v>1.8505366323170847E-2</v>
      </c>
      <c r="K3736" s="45">
        <v>0.24179999999999999</v>
      </c>
      <c r="N3736" s="54"/>
    </row>
    <row r="3737" spans="2:14" x14ac:dyDescent="0.2">
      <c r="B3737">
        <v>3728</v>
      </c>
      <c r="C3737" s="52">
        <f ca="1"/>
        <v>0.15897505053028613</v>
      </c>
      <c r="D3737" s="52">
        <f ca="1">S0*EXP((μ-0.5*σ*σ)*T+σ*SQRT(T)*$C3737)</f>
        <v>0.67276160074130908</v>
      </c>
      <c r="E3737" s="52">
        <f t="shared" ca="1" si="156"/>
        <v>0</v>
      </c>
      <c r="F3737" s="17">
        <f t="shared" ca="1" si="157"/>
        <v>0</v>
      </c>
      <c r="H3737" s="17">
        <v>3728</v>
      </c>
      <c r="I3737" s="45">
        <v>0.67148789011347909</v>
      </c>
      <c r="J3737" s="45">
        <v>1.9627633365743146E-2</v>
      </c>
      <c r="K3737" s="45">
        <v>0.24540000000000001</v>
      </c>
      <c r="N3737" s="54"/>
    </row>
    <row r="3738" spans="2:14" x14ac:dyDescent="0.2">
      <c r="B3738">
        <v>3729</v>
      </c>
      <c r="C3738" s="52">
        <f ca="1"/>
        <v>0.17806934917354147</v>
      </c>
      <c r="D3738" s="52">
        <f ca="1">S0*EXP((μ-0.5*σ*σ)*T+σ*SQRT(T)*$C3738)</f>
        <v>0.6763220163567204</v>
      </c>
      <c r="E3738" s="52">
        <f t="shared" ca="1" si="156"/>
        <v>0</v>
      </c>
      <c r="F3738" s="17">
        <f t="shared" ca="1" si="157"/>
        <v>0</v>
      </c>
      <c r="H3738" s="17">
        <v>3729</v>
      </c>
      <c r="I3738" s="45">
        <v>0.6709916537780839</v>
      </c>
      <c r="J3738" s="45">
        <v>1.9002035633106165E-2</v>
      </c>
      <c r="K3738" s="45">
        <v>0.2472</v>
      </c>
      <c r="N3738" s="54"/>
    </row>
    <row r="3739" spans="2:14" x14ac:dyDescent="0.2">
      <c r="B3739">
        <v>3730</v>
      </c>
      <c r="C3739" s="52">
        <f ca="1"/>
        <v>-0.4897888427556441</v>
      </c>
      <c r="D3739" s="52">
        <f ca="1">S0*EXP((μ-0.5*σ*σ)*T+σ*SQRT(T)*$C3739)</f>
        <v>0.56230904441878071</v>
      </c>
      <c r="E3739" s="52">
        <f t="shared" ca="1" si="156"/>
        <v>0</v>
      </c>
      <c r="F3739" s="17">
        <f t="shared" ca="1" si="157"/>
        <v>0</v>
      </c>
      <c r="H3739" s="17">
        <v>3730</v>
      </c>
      <c r="I3739" s="45">
        <v>0.67021132621794732</v>
      </c>
      <c r="J3739" s="45">
        <v>1.8253813729768538E-2</v>
      </c>
      <c r="K3739" s="45">
        <v>0.2384</v>
      </c>
      <c r="N3739" s="54"/>
    </row>
    <row r="3740" spans="2:14" x14ac:dyDescent="0.2">
      <c r="B3740">
        <v>3731</v>
      </c>
      <c r="C3740" s="52">
        <f ca="1"/>
        <v>-1.2273098645345224</v>
      </c>
      <c r="D3740" s="52">
        <f ca="1">S0*EXP((μ-0.5*σ*σ)*T+σ*SQRT(T)*$C3740)</f>
        <v>0.45859928457907856</v>
      </c>
      <c r="E3740" s="52">
        <f t="shared" ca="1" si="156"/>
        <v>7.5800715420921427E-2</v>
      </c>
      <c r="F3740" s="17">
        <f t="shared" ca="1" si="157"/>
        <v>1</v>
      </c>
      <c r="H3740" s="17">
        <v>3731</v>
      </c>
      <c r="I3740" s="45">
        <v>0.67083335851289472</v>
      </c>
      <c r="J3740" s="45">
        <v>1.8837118385879568E-2</v>
      </c>
      <c r="K3740" s="45">
        <v>0.24940000000000001</v>
      </c>
      <c r="N3740" s="54"/>
    </row>
    <row r="3741" spans="2:14" x14ac:dyDescent="0.2">
      <c r="B3741">
        <v>3732</v>
      </c>
      <c r="C3741" s="52">
        <f ca="1"/>
        <v>1.9871970268301791</v>
      </c>
      <c r="D3741" s="52">
        <f ca="1">S0*EXP((μ-0.5*σ*σ)*T+σ*SQRT(T)*$C3741)</f>
        <v>1.1151799137004208</v>
      </c>
      <c r="E3741" s="52">
        <f t="shared" ca="1" si="156"/>
        <v>0</v>
      </c>
      <c r="F3741" s="17">
        <f t="shared" ca="1" si="157"/>
        <v>0</v>
      </c>
      <c r="H3741" s="17">
        <v>3732</v>
      </c>
      <c r="I3741" s="45">
        <v>0.6706977217805834</v>
      </c>
      <c r="J3741" s="45">
        <v>1.8787230386359148E-2</v>
      </c>
      <c r="K3741" s="45">
        <v>0.24460000000000001</v>
      </c>
      <c r="N3741" s="54"/>
    </row>
    <row r="3742" spans="2:14" x14ac:dyDescent="0.2">
      <c r="B3742">
        <v>3733</v>
      </c>
      <c r="C3742" s="52">
        <f ca="1"/>
        <v>-0.80405243225310774</v>
      </c>
      <c r="D3742" s="52">
        <f ca="1">S0*EXP((μ-0.5*σ*σ)*T+σ*SQRT(T)*$C3742)</f>
        <v>0.51552145690069273</v>
      </c>
      <c r="E3742" s="52">
        <f t="shared" ca="1" si="156"/>
        <v>1.8878543099307254E-2</v>
      </c>
      <c r="F3742" s="17">
        <f t="shared" ca="1" si="157"/>
        <v>1</v>
      </c>
      <c r="H3742" s="17">
        <v>3733</v>
      </c>
      <c r="I3742" s="45">
        <v>0.67012220011592294</v>
      </c>
      <c r="J3742" s="45">
        <v>1.8506785420523763E-2</v>
      </c>
      <c r="K3742" s="45">
        <v>0.25019999999999998</v>
      </c>
      <c r="N3742" s="54"/>
    </row>
    <row r="3743" spans="2:14" x14ac:dyDescent="0.2">
      <c r="B3743">
        <v>3734</v>
      </c>
      <c r="C3743" s="52">
        <f ca="1"/>
        <v>1.4188539665856792</v>
      </c>
      <c r="D3743" s="52">
        <f ca="1">S0*EXP((μ-0.5*σ*σ)*T+σ*SQRT(T)*$C3743)</f>
        <v>0.95304538714453457</v>
      </c>
      <c r="E3743" s="52">
        <f t="shared" ca="1" si="156"/>
        <v>0</v>
      </c>
      <c r="F3743" s="17">
        <f t="shared" ca="1" si="157"/>
        <v>0</v>
      </c>
      <c r="H3743" s="17">
        <v>3734</v>
      </c>
      <c r="I3743" s="45">
        <v>0.67115125287804889</v>
      </c>
      <c r="J3743" s="45">
        <v>1.9045560843812627E-2</v>
      </c>
      <c r="K3743" s="45">
        <v>0.249</v>
      </c>
      <c r="N3743" s="54"/>
    </row>
    <row r="3744" spans="2:14" x14ac:dyDescent="0.2">
      <c r="B3744">
        <v>3735</v>
      </c>
      <c r="C3744" s="52">
        <f ca="1"/>
        <v>-1.5245765237185593</v>
      </c>
      <c r="D3744" s="52">
        <f ca="1">S0*EXP((μ-0.5*σ*σ)*T+σ*SQRT(T)*$C3744)</f>
        <v>0.42242108182985955</v>
      </c>
      <c r="E3744" s="52">
        <f t="shared" ca="1" si="156"/>
        <v>0.11197891817014044</v>
      </c>
      <c r="F3744" s="17">
        <f t="shared" ca="1" si="157"/>
        <v>1</v>
      </c>
      <c r="H3744" s="17">
        <v>3735</v>
      </c>
      <c r="I3744" s="45">
        <v>0.67154730473066704</v>
      </c>
      <c r="J3744" s="45">
        <v>1.9550067154702127E-2</v>
      </c>
      <c r="K3744" s="45">
        <v>0.25600000000000001</v>
      </c>
      <c r="N3744" s="54"/>
    </row>
    <row r="3745" spans="2:14" x14ac:dyDescent="0.2">
      <c r="B3745">
        <v>3736</v>
      </c>
      <c r="C3745" s="52">
        <f ca="1"/>
        <v>-0.15373997812923687</v>
      </c>
      <c r="D3745" s="52">
        <f ca="1">S0*EXP((μ-0.5*σ*σ)*T+σ*SQRT(T)*$C3745)</f>
        <v>0.61704776263981598</v>
      </c>
      <c r="E3745" s="52">
        <f t="shared" ca="1" si="156"/>
        <v>0</v>
      </c>
      <c r="F3745" s="17">
        <f t="shared" ca="1" si="157"/>
        <v>0</v>
      </c>
      <c r="H3745" s="17">
        <v>3736</v>
      </c>
      <c r="I3745" s="45">
        <v>0.67089327003369359</v>
      </c>
      <c r="J3745" s="45">
        <v>1.8924965055504103E-2</v>
      </c>
      <c r="K3745" s="45">
        <v>0.247</v>
      </c>
      <c r="N3745" s="54"/>
    </row>
    <row r="3746" spans="2:14" x14ac:dyDescent="0.2">
      <c r="B3746">
        <v>3737</v>
      </c>
      <c r="C3746" s="52">
        <f ca="1"/>
        <v>1.4794304678928492</v>
      </c>
      <c r="D3746" s="52">
        <f ca="1">S0*EXP((μ-0.5*σ*σ)*T+σ*SQRT(T)*$C3746)</f>
        <v>0.96913880044933498</v>
      </c>
      <c r="E3746" s="52">
        <f t="shared" ca="1" si="156"/>
        <v>0</v>
      </c>
      <c r="F3746" s="17">
        <f t="shared" ca="1" si="157"/>
        <v>0</v>
      </c>
      <c r="H3746" s="17">
        <v>3737</v>
      </c>
      <c r="I3746" s="45">
        <v>0.67110589681397792</v>
      </c>
      <c r="J3746" s="45">
        <v>1.9137089870851654E-2</v>
      </c>
      <c r="K3746" s="45">
        <v>0.24640000000000001</v>
      </c>
      <c r="N3746" s="54"/>
    </row>
    <row r="3747" spans="2:14" x14ac:dyDescent="0.2">
      <c r="B3747">
        <v>3738</v>
      </c>
      <c r="C3747" s="52">
        <f ca="1"/>
        <v>0.90330325219399343</v>
      </c>
      <c r="D3747" s="52">
        <f ca="1">S0*EXP((μ-0.5*σ*σ)*T+σ*SQRT(T)*$C3747)</f>
        <v>0.82645671835696011</v>
      </c>
      <c r="E3747" s="52">
        <f t="shared" ca="1" si="156"/>
        <v>0</v>
      </c>
      <c r="F3747" s="17">
        <f t="shared" ca="1" si="157"/>
        <v>0</v>
      </c>
      <c r="H3747" s="17">
        <v>3738</v>
      </c>
      <c r="I3747" s="45">
        <v>0.67074437619291416</v>
      </c>
      <c r="J3747" s="45">
        <v>1.8879032506310366E-2</v>
      </c>
      <c r="K3747" s="45">
        <v>0.24779999999999999</v>
      </c>
      <c r="N3747" s="54"/>
    </row>
    <row r="3748" spans="2:14" x14ac:dyDescent="0.2">
      <c r="B3748">
        <v>3739</v>
      </c>
      <c r="C3748" s="52">
        <f ca="1"/>
        <v>-2.6242192093974817</v>
      </c>
      <c r="D3748" s="52">
        <f ca="1">S0*EXP((μ-0.5*σ*σ)*T+σ*SQRT(T)*$C3748)</f>
        <v>0.31169515715507196</v>
      </c>
      <c r="E3748" s="52">
        <f t="shared" ca="1" si="156"/>
        <v>0.22270484284492803</v>
      </c>
      <c r="F3748" s="17">
        <f t="shared" ca="1" si="157"/>
        <v>1</v>
      </c>
      <c r="H3748" s="17">
        <v>3739</v>
      </c>
      <c r="I3748" s="45">
        <v>0.67154615314377364</v>
      </c>
      <c r="J3748" s="45">
        <v>1.9291630903346353E-2</v>
      </c>
      <c r="K3748" s="45">
        <v>0.2422</v>
      </c>
      <c r="N3748" s="54"/>
    </row>
    <row r="3749" spans="2:14" x14ac:dyDescent="0.2">
      <c r="B3749">
        <v>3740</v>
      </c>
      <c r="C3749" s="52">
        <f ca="1"/>
        <v>-0.96342649395524693</v>
      </c>
      <c r="D3749" s="52">
        <f ca="1">S0*EXP((μ-0.5*σ*σ)*T+σ*SQRT(T)*$C3749)</f>
        <v>0.49330258758284085</v>
      </c>
      <c r="E3749" s="52">
        <f t="shared" ca="1" si="156"/>
        <v>4.109741241715914E-2</v>
      </c>
      <c r="F3749" s="17">
        <f t="shared" ca="1" si="157"/>
        <v>1</v>
      </c>
      <c r="H3749" s="17">
        <v>3740</v>
      </c>
      <c r="I3749" s="45">
        <v>0.67084607269502095</v>
      </c>
      <c r="J3749" s="45">
        <v>1.8642014965037233E-2</v>
      </c>
      <c r="K3749" s="45">
        <v>0.24160000000000001</v>
      </c>
      <c r="N3749" s="54"/>
    </row>
    <row r="3750" spans="2:14" x14ac:dyDescent="0.2">
      <c r="B3750">
        <v>3741</v>
      </c>
      <c r="C3750" s="52">
        <f ca="1"/>
        <v>-1.5536203495726762E-2</v>
      </c>
      <c r="D3750" s="52">
        <f ca="1">S0*EXP((μ-0.5*σ*σ)*T+σ*SQRT(T)*$C3750)</f>
        <v>0.64107756043748443</v>
      </c>
      <c r="E3750" s="52">
        <f t="shared" ca="1" si="156"/>
        <v>0</v>
      </c>
      <c r="F3750" s="17">
        <f t="shared" ca="1" si="157"/>
        <v>0</v>
      </c>
      <c r="H3750" s="17">
        <v>3741</v>
      </c>
      <c r="I3750" s="45">
        <v>0.67078599147639362</v>
      </c>
      <c r="J3750" s="45">
        <v>1.9066247140406448E-2</v>
      </c>
      <c r="K3750" s="45">
        <v>0.251</v>
      </c>
      <c r="N3750" s="54"/>
    </row>
    <row r="3751" spans="2:14" x14ac:dyDescent="0.2">
      <c r="B3751">
        <v>3742</v>
      </c>
      <c r="C3751" s="52">
        <f ca="1"/>
        <v>-0.36122492126217443</v>
      </c>
      <c r="D3751" s="52">
        <f ca="1">S0*EXP((μ-0.5*σ*σ)*T+σ*SQRT(T)*$C3751)</f>
        <v>0.58265243824104873</v>
      </c>
      <c r="E3751" s="52">
        <f t="shared" ca="1" si="156"/>
        <v>0</v>
      </c>
      <c r="F3751" s="17">
        <f t="shared" ca="1" si="157"/>
        <v>0</v>
      </c>
      <c r="H3751" s="17">
        <v>3742</v>
      </c>
      <c r="I3751" s="45">
        <v>0.67061863876775352</v>
      </c>
      <c r="J3751" s="45">
        <v>1.865010226751557E-2</v>
      </c>
      <c r="K3751" s="45">
        <v>0.25040000000000001</v>
      </c>
      <c r="N3751" s="54"/>
    </row>
    <row r="3752" spans="2:14" x14ac:dyDescent="0.2">
      <c r="B3752">
        <v>3743</v>
      </c>
      <c r="C3752" s="52">
        <f ca="1"/>
        <v>1.0302930896721079</v>
      </c>
      <c r="D3752" s="52">
        <f ca="1">S0*EXP((μ-0.5*σ*σ)*T+σ*SQRT(T)*$C3752)</f>
        <v>0.85598398632760342</v>
      </c>
      <c r="E3752" s="52">
        <f t="shared" ca="1" si="156"/>
        <v>0</v>
      </c>
      <c r="F3752" s="17">
        <f t="shared" ca="1" si="157"/>
        <v>0</v>
      </c>
      <c r="H3752" s="17">
        <v>3743</v>
      </c>
      <c r="I3752" s="45">
        <v>0.66987727239445516</v>
      </c>
      <c r="J3752" s="45">
        <v>1.8188452978841536E-2</v>
      </c>
      <c r="K3752" s="45">
        <v>0.23899999999999999</v>
      </c>
      <c r="N3752" s="54"/>
    </row>
    <row r="3753" spans="2:14" x14ac:dyDescent="0.2">
      <c r="B3753">
        <v>3744</v>
      </c>
      <c r="C3753" s="52">
        <f ca="1"/>
        <v>1.1658847894601372</v>
      </c>
      <c r="D3753" s="52">
        <f ca="1">S0*EXP((μ-0.5*σ*σ)*T+σ*SQRT(T)*$C3753)</f>
        <v>0.88867680698856488</v>
      </c>
      <c r="E3753" s="52">
        <f t="shared" ca="1" si="156"/>
        <v>0</v>
      </c>
      <c r="F3753" s="17">
        <f t="shared" ca="1" si="157"/>
        <v>0</v>
      </c>
      <c r="H3753" s="17">
        <v>3744</v>
      </c>
      <c r="I3753" s="45">
        <v>0.67030125026787934</v>
      </c>
      <c r="J3753" s="45">
        <v>1.8398747249680235E-2</v>
      </c>
      <c r="K3753" s="45">
        <v>0.24660000000000001</v>
      </c>
      <c r="N3753" s="54"/>
    </row>
    <row r="3754" spans="2:14" x14ac:dyDescent="0.2">
      <c r="B3754">
        <v>3745</v>
      </c>
      <c r="C3754" s="52">
        <f ca="1"/>
        <v>1.3282566274889323</v>
      </c>
      <c r="D3754" s="52">
        <f ca="1">S0*EXP((μ-0.5*σ*σ)*T+σ*SQRT(T)*$C3754)</f>
        <v>0.92947366836849843</v>
      </c>
      <c r="E3754" s="52">
        <f t="shared" ca="1" si="156"/>
        <v>0</v>
      </c>
      <c r="F3754" s="17">
        <f t="shared" ca="1" si="157"/>
        <v>0</v>
      </c>
      <c r="H3754" s="17">
        <v>3745</v>
      </c>
      <c r="I3754" s="45">
        <v>0.67010019324642911</v>
      </c>
      <c r="J3754" s="45">
        <v>1.8209129860738325E-2</v>
      </c>
      <c r="K3754" s="45">
        <v>0.25040000000000001</v>
      </c>
      <c r="N3754" s="54"/>
    </row>
    <row r="3755" spans="2:14" x14ac:dyDescent="0.2">
      <c r="B3755">
        <v>3746</v>
      </c>
      <c r="C3755" s="52">
        <f ca="1"/>
        <v>0.66080883249808198</v>
      </c>
      <c r="D3755" s="52">
        <f ca="1">S0*EXP((μ-0.5*σ*σ)*T+σ*SQRT(T)*$C3755)</f>
        <v>0.77287258770728329</v>
      </c>
      <c r="E3755" s="52">
        <f t="shared" ca="1" si="156"/>
        <v>0</v>
      </c>
      <c r="F3755" s="17">
        <f t="shared" ca="1" si="157"/>
        <v>0</v>
      </c>
      <c r="H3755" s="17">
        <v>3746</v>
      </c>
      <c r="I3755" s="45">
        <v>0.67072721429635362</v>
      </c>
      <c r="J3755" s="45">
        <v>1.8973256592980672E-2</v>
      </c>
      <c r="K3755" s="45">
        <v>0.248</v>
      </c>
      <c r="N3755" s="54"/>
    </row>
    <row r="3756" spans="2:14" x14ac:dyDescent="0.2">
      <c r="B3756">
        <v>3747</v>
      </c>
      <c r="C3756" s="52">
        <f ca="1"/>
        <v>0.55621279435829996</v>
      </c>
      <c r="D3756" s="52">
        <f ca="1">S0*EXP((μ-0.5*σ*σ)*T+σ*SQRT(T)*$C3756)</f>
        <v>0.75084591754998842</v>
      </c>
      <c r="E3756" s="52">
        <f t="shared" ca="1" si="156"/>
        <v>0</v>
      </c>
      <c r="F3756" s="17">
        <f t="shared" ca="1" si="157"/>
        <v>0</v>
      </c>
      <c r="H3756" s="17">
        <v>3747</v>
      </c>
      <c r="I3756" s="45">
        <v>0.66938004255244155</v>
      </c>
      <c r="J3756" s="45">
        <v>1.7604333672142661E-2</v>
      </c>
      <c r="K3756" s="45">
        <v>0.23699999999999999</v>
      </c>
      <c r="N3756" s="54"/>
    </row>
    <row r="3757" spans="2:14" x14ac:dyDescent="0.2">
      <c r="B3757">
        <v>3748</v>
      </c>
      <c r="C3757" s="52">
        <f ca="1"/>
        <v>-1.5385893668794084</v>
      </c>
      <c r="D3757" s="52">
        <f ca="1">S0*EXP((μ-0.5*σ*σ)*T+σ*SQRT(T)*$C3757)</f>
        <v>0.42078795431328697</v>
      </c>
      <c r="E3757" s="52">
        <f t="shared" ca="1" si="156"/>
        <v>0.11361204568671301</v>
      </c>
      <c r="F3757" s="17">
        <f t="shared" ca="1" si="157"/>
        <v>1</v>
      </c>
      <c r="H3757" s="17">
        <v>3748</v>
      </c>
      <c r="I3757" s="45">
        <v>0.67101336048226101</v>
      </c>
      <c r="J3757" s="45">
        <v>1.932698091128713E-2</v>
      </c>
      <c r="K3757" s="45">
        <v>0.25159999999999999</v>
      </c>
      <c r="N3757" s="54"/>
    </row>
    <row r="3758" spans="2:14" x14ac:dyDescent="0.2">
      <c r="B3758">
        <v>3749</v>
      </c>
      <c r="C3758" s="52">
        <f ca="1"/>
        <v>-1.200884003690591E-2</v>
      </c>
      <c r="D3758" s="52">
        <f ca="1">S0*EXP((μ-0.5*σ*σ)*T+σ*SQRT(T)*$C3758)</f>
        <v>0.64170296588780595</v>
      </c>
      <c r="E3758" s="52">
        <f t="shared" ca="1" si="156"/>
        <v>0</v>
      </c>
      <c r="F3758" s="17">
        <f t="shared" ca="1" si="157"/>
        <v>0</v>
      </c>
      <c r="H3758" s="17">
        <v>3749</v>
      </c>
      <c r="I3758" s="45">
        <v>0.66971423789586282</v>
      </c>
      <c r="J3758" s="45">
        <v>1.8113360645084398E-2</v>
      </c>
      <c r="K3758" s="45">
        <v>0.2394</v>
      </c>
      <c r="N3758" s="54"/>
    </row>
    <row r="3759" spans="2:14" x14ac:dyDescent="0.2">
      <c r="B3759">
        <v>3750</v>
      </c>
      <c r="C3759" s="52">
        <f ca="1"/>
        <v>0.82775309673184305</v>
      </c>
      <c r="D3759" s="52">
        <f ca="1">S0*EXP((μ-0.5*σ*σ)*T+σ*SQRT(T)*$C3759)</f>
        <v>0.80937555384385584</v>
      </c>
      <c r="E3759" s="52">
        <f t="shared" ca="1" si="156"/>
        <v>0</v>
      </c>
      <c r="F3759" s="17">
        <f t="shared" ca="1" si="157"/>
        <v>0</v>
      </c>
      <c r="H3759" s="17">
        <v>3750</v>
      </c>
      <c r="I3759" s="45">
        <v>0.67004419666746218</v>
      </c>
      <c r="J3759" s="45">
        <v>1.7890809326429603E-2</v>
      </c>
      <c r="K3759" s="45">
        <v>0.2382</v>
      </c>
      <c r="N3759" s="54"/>
    </row>
    <row r="3760" spans="2:14" x14ac:dyDescent="0.2">
      <c r="B3760">
        <v>3751</v>
      </c>
      <c r="C3760" s="52">
        <f ca="1"/>
        <v>0.15529895790594642</v>
      </c>
      <c r="D3760" s="52">
        <f ca="1">S0*EXP((μ-0.5*σ*σ)*T+σ*SQRT(T)*$C3760)</f>
        <v>0.67207829335057945</v>
      </c>
      <c r="E3760" s="52">
        <f t="shared" ca="1" si="156"/>
        <v>0</v>
      </c>
      <c r="F3760" s="17">
        <f t="shared" ca="1" si="157"/>
        <v>0</v>
      </c>
      <c r="H3760" s="17">
        <v>3751</v>
      </c>
      <c r="I3760" s="45">
        <v>0.67057830826689602</v>
      </c>
      <c r="J3760" s="45">
        <v>1.8538479578009495E-2</v>
      </c>
      <c r="K3760" s="45">
        <v>0.24299999999999999</v>
      </c>
      <c r="N3760" s="54"/>
    </row>
    <row r="3761" spans="2:14" x14ac:dyDescent="0.2">
      <c r="B3761">
        <v>3752</v>
      </c>
      <c r="C3761" s="52">
        <f ca="1"/>
        <v>-0.50984606802939925</v>
      </c>
      <c r="D3761" s="52">
        <f ca="1">S0*EXP((μ-0.5*σ*σ)*T+σ*SQRT(T)*$C3761)</f>
        <v>0.55919996630743674</v>
      </c>
      <c r="E3761" s="52">
        <f t="shared" ca="1" si="156"/>
        <v>0</v>
      </c>
      <c r="F3761" s="17">
        <f t="shared" ca="1" si="157"/>
        <v>0</v>
      </c>
      <c r="H3761" s="17">
        <v>3752</v>
      </c>
      <c r="I3761" s="45">
        <v>0.67145324138161322</v>
      </c>
      <c r="J3761" s="45">
        <v>1.9191871453116599E-2</v>
      </c>
      <c r="K3761" s="45">
        <v>0.25359999999999999</v>
      </c>
      <c r="N3761" s="54"/>
    </row>
    <row r="3762" spans="2:14" x14ac:dyDescent="0.2">
      <c r="B3762">
        <v>3753</v>
      </c>
      <c r="C3762" s="52">
        <f ca="1"/>
        <v>-1.6321347852273953</v>
      </c>
      <c r="D3762" s="52">
        <f ca="1">S0*EXP((μ-0.5*σ*σ)*T+σ*SQRT(T)*$C3762)</f>
        <v>0.41004628364191403</v>
      </c>
      <c r="E3762" s="52">
        <f t="shared" ca="1" si="156"/>
        <v>0.12435371635808595</v>
      </c>
      <c r="F3762" s="17">
        <f t="shared" ca="1" si="157"/>
        <v>1</v>
      </c>
      <c r="H3762" s="17">
        <v>3753</v>
      </c>
      <c r="I3762" s="45">
        <v>0.67127379432473466</v>
      </c>
      <c r="J3762" s="45">
        <v>1.9004918745315093E-2</v>
      </c>
      <c r="K3762" s="45">
        <v>0.25259999999999999</v>
      </c>
      <c r="N3762" s="54"/>
    </row>
    <row r="3763" spans="2:14" x14ac:dyDescent="0.2">
      <c r="B3763">
        <v>3754</v>
      </c>
      <c r="C3763" s="52">
        <f ca="1"/>
        <v>-1.5733698362404607</v>
      </c>
      <c r="D3763" s="52">
        <f ca="1">S0*EXP((μ-0.5*σ*σ)*T+σ*SQRT(T)*$C3763)</f>
        <v>0.41676169464944135</v>
      </c>
      <c r="E3763" s="52">
        <f t="shared" ca="1" si="156"/>
        <v>0.11763830535055864</v>
      </c>
      <c r="F3763" s="17">
        <f t="shared" ca="1" si="157"/>
        <v>1</v>
      </c>
      <c r="H3763" s="17">
        <v>3754</v>
      </c>
      <c r="I3763" s="45">
        <v>0.67006688923865876</v>
      </c>
      <c r="J3763" s="45">
        <v>1.8446638260979479E-2</v>
      </c>
      <c r="K3763" s="45">
        <v>0.24540000000000001</v>
      </c>
      <c r="N3763" s="54"/>
    </row>
    <row r="3764" spans="2:14" x14ac:dyDescent="0.2">
      <c r="B3764">
        <v>3755</v>
      </c>
      <c r="C3764" s="52">
        <f ca="1"/>
        <v>1.364099076262572</v>
      </c>
      <c r="D3764" s="52">
        <f ca="1">S0*EXP((μ-0.5*σ*σ)*T+σ*SQRT(T)*$C3764)</f>
        <v>0.93872868409809562</v>
      </c>
      <c r="E3764" s="52">
        <f t="shared" ca="1" si="156"/>
        <v>0</v>
      </c>
      <c r="F3764" s="17">
        <f t="shared" ca="1" si="157"/>
        <v>0</v>
      </c>
      <c r="H3764" s="17">
        <v>3755</v>
      </c>
      <c r="I3764" s="45">
        <v>0.67040717011841322</v>
      </c>
      <c r="J3764" s="45">
        <v>1.8634677807096794E-2</v>
      </c>
      <c r="K3764" s="45">
        <v>0.24779999999999999</v>
      </c>
      <c r="N3764" s="54"/>
    </row>
    <row r="3765" spans="2:14" x14ac:dyDescent="0.2">
      <c r="B3765">
        <v>3756</v>
      </c>
      <c r="C3765" s="52">
        <f ca="1"/>
        <v>0.12035306290162816</v>
      </c>
      <c r="D3765" s="52">
        <f ca="1">S0*EXP((μ-0.5*σ*σ)*T+σ*SQRT(T)*$C3765)</f>
        <v>0.66561715314344783</v>
      </c>
      <c r="E3765" s="52">
        <f t="shared" ca="1" si="156"/>
        <v>0</v>
      </c>
      <c r="F3765" s="17">
        <f t="shared" ca="1" si="157"/>
        <v>0</v>
      </c>
      <c r="H3765" s="17">
        <v>3756</v>
      </c>
      <c r="I3765" s="45">
        <v>0.67187225482346968</v>
      </c>
      <c r="J3765" s="45">
        <v>1.9591454804902892E-2</v>
      </c>
      <c r="K3765" s="45">
        <v>0.253</v>
      </c>
      <c r="N3765" s="54"/>
    </row>
    <row r="3766" spans="2:14" x14ac:dyDescent="0.2">
      <c r="B3766">
        <v>3757</v>
      </c>
      <c r="C3766" s="52">
        <f ca="1"/>
        <v>-1.2227134381579252</v>
      </c>
      <c r="D3766" s="52">
        <f ca="1">S0*EXP((μ-0.5*σ*σ)*T+σ*SQRT(T)*$C3766)</f>
        <v>0.4591823519517369</v>
      </c>
      <c r="E3766" s="52">
        <f t="shared" ca="1" si="156"/>
        <v>7.5217648048263086E-2</v>
      </c>
      <c r="F3766" s="17">
        <f t="shared" ca="1" si="157"/>
        <v>1</v>
      </c>
      <c r="H3766" s="17">
        <v>3757</v>
      </c>
      <c r="I3766" s="45">
        <v>0.67104480484779605</v>
      </c>
      <c r="J3766" s="45">
        <v>1.9068398650747633E-2</v>
      </c>
      <c r="K3766" s="45">
        <v>0.24560000000000001</v>
      </c>
      <c r="N3766" s="54"/>
    </row>
    <row r="3767" spans="2:14" x14ac:dyDescent="0.2">
      <c r="B3767">
        <v>3758</v>
      </c>
      <c r="C3767" s="52">
        <f ca="1"/>
        <v>0.85906949378747988</v>
      </c>
      <c r="D3767" s="52">
        <f ca="1">S0*EXP((μ-0.5*σ*σ)*T+σ*SQRT(T)*$C3767)</f>
        <v>0.81641262864157194</v>
      </c>
      <c r="E3767" s="52">
        <f t="shared" ca="1" si="156"/>
        <v>0</v>
      </c>
      <c r="F3767" s="17">
        <f t="shared" ca="1" si="157"/>
        <v>0</v>
      </c>
      <c r="H3767" s="17">
        <v>3758</v>
      </c>
      <c r="I3767" s="45">
        <v>0.67140914502042814</v>
      </c>
      <c r="J3767" s="45">
        <v>1.8907114964254748E-2</v>
      </c>
      <c r="K3767" s="45">
        <v>0.23960000000000001</v>
      </c>
      <c r="N3767" s="54"/>
    </row>
    <row r="3768" spans="2:14" x14ac:dyDescent="0.2">
      <c r="B3768">
        <v>3759</v>
      </c>
      <c r="C3768" s="52">
        <f ca="1"/>
        <v>-1.7532341654962267</v>
      </c>
      <c r="D3768" s="52">
        <f ca="1">S0*EXP((μ-0.5*σ*σ)*T+σ*SQRT(T)*$C3768)</f>
        <v>0.39654686636264797</v>
      </c>
      <c r="E3768" s="52">
        <f t="shared" ca="1" si="156"/>
        <v>0.13785313363735202</v>
      </c>
      <c r="F3768" s="17">
        <f t="shared" ca="1" si="157"/>
        <v>1</v>
      </c>
      <c r="H3768" s="17">
        <v>3759</v>
      </c>
      <c r="I3768" s="45">
        <v>0.67104805882998853</v>
      </c>
      <c r="J3768" s="45">
        <v>1.9102443247382327E-2</v>
      </c>
      <c r="K3768" s="45">
        <v>0.25080000000000002</v>
      </c>
      <c r="N3768" s="54"/>
    </row>
    <row r="3769" spans="2:14" x14ac:dyDescent="0.2">
      <c r="B3769">
        <v>3760</v>
      </c>
      <c r="C3769" s="52">
        <f ca="1"/>
        <v>0.59367624667207586</v>
      </c>
      <c r="D3769" s="52">
        <f ca="1">S0*EXP((μ-0.5*σ*σ)*T+σ*SQRT(T)*$C3769)</f>
        <v>0.75866216831593125</v>
      </c>
      <c r="E3769" s="52">
        <f t="shared" ca="1" si="156"/>
        <v>0</v>
      </c>
      <c r="F3769" s="17">
        <f t="shared" ca="1" si="157"/>
        <v>0</v>
      </c>
      <c r="H3769" s="17">
        <v>3760</v>
      </c>
      <c r="I3769" s="45">
        <v>0.6708897137868598</v>
      </c>
      <c r="J3769" s="45">
        <v>1.8819910649141819E-2</v>
      </c>
      <c r="K3769" s="45">
        <v>0.24299999999999999</v>
      </c>
      <c r="N3769" s="54"/>
    </row>
    <row r="3770" spans="2:14" x14ac:dyDescent="0.2">
      <c r="B3770">
        <v>3761</v>
      </c>
      <c r="C3770" s="52">
        <f ca="1"/>
        <v>1.1833940037189965</v>
      </c>
      <c r="D3770" s="52">
        <f ca="1">S0*EXP((μ-0.5*σ*σ)*T+σ*SQRT(T)*$C3770)</f>
        <v>0.89298853211587492</v>
      </c>
      <c r="E3770" s="52">
        <f t="shared" ca="1" si="156"/>
        <v>0</v>
      </c>
      <c r="F3770" s="17">
        <f t="shared" ca="1" si="157"/>
        <v>0</v>
      </c>
      <c r="H3770" s="17">
        <v>3761</v>
      </c>
      <c r="I3770" s="45">
        <v>0.67091708984729947</v>
      </c>
      <c r="J3770" s="45">
        <v>1.8928504085861785E-2</v>
      </c>
      <c r="K3770" s="45">
        <v>0.24460000000000001</v>
      </c>
      <c r="N3770" s="54"/>
    </row>
    <row r="3771" spans="2:14" x14ac:dyDescent="0.2">
      <c r="B3771">
        <v>3762</v>
      </c>
      <c r="C3771" s="52">
        <f ca="1"/>
        <v>0.70206002096322717</v>
      </c>
      <c r="D3771" s="52">
        <f ca="1">S0*EXP((μ-0.5*σ*σ)*T+σ*SQRT(T)*$C3771)</f>
        <v>0.7817362257127779</v>
      </c>
      <c r="E3771" s="52">
        <f t="shared" ca="1" si="156"/>
        <v>0</v>
      </c>
      <c r="F3771" s="17">
        <f t="shared" ca="1" si="157"/>
        <v>0</v>
      </c>
      <c r="H3771" s="17">
        <v>3762</v>
      </c>
      <c r="I3771" s="45">
        <v>0.67020017222462169</v>
      </c>
      <c r="J3771" s="45">
        <v>1.833719762820607E-2</v>
      </c>
      <c r="K3771" s="45">
        <v>0.24279999999999999</v>
      </c>
      <c r="N3771" s="54"/>
    </row>
    <row r="3772" spans="2:14" x14ac:dyDescent="0.2">
      <c r="B3772">
        <v>3763</v>
      </c>
      <c r="C3772" s="52">
        <f ca="1"/>
        <v>-0.29651773634533152</v>
      </c>
      <c r="D3772" s="52">
        <f ca="1">S0*EXP((μ-0.5*σ*σ)*T+σ*SQRT(T)*$C3772)</f>
        <v>0.59316820961867023</v>
      </c>
      <c r="E3772" s="52">
        <f t="shared" ca="1" si="156"/>
        <v>0</v>
      </c>
      <c r="F3772" s="17">
        <f t="shared" ca="1" si="157"/>
        <v>0</v>
      </c>
      <c r="H3772" s="17">
        <v>3763</v>
      </c>
      <c r="I3772" s="45">
        <v>0.6706210005445945</v>
      </c>
      <c r="J3772" s="45">
        <v>1.8743833582213508E-2</v>
      </c>
      <c r="K3772" s="45">
        <v>0.24340000000000001</v>
      </c>
      <c r="N3772" s="54"/>
    </row>
    <row r="3773" spans="2:14" x14ac:dyDescent="0.2">
      <c r="B3773">
        <v>3764</v>
      </c>
      <c r="C3773" s="52">
        <f ca="1"/>
        <v>-1.365007033206552</v>
      </c>
      <c r="D3773" s="52">
        <f ca="1">S0*EXP((μ-0.5*σ*σ)*T+σ*SQRT(T)*$C3773)</f>
        <v>0.44147122220126228</v>
      </c>
      <c r="E3773" s="52">
        <f t="shared" ca="1" si="156"/>
        <v>9.2928777798737705E-2</v>
      </c>
      <c r="F3773" s="17">
        <f t="shared" ca="1" si="157"/>
        <v>1</v>
      </c>
      <c r="H3773" s="17">
        <v>3764</v>
      </c>
      <c r="I3773" s="45">
        <v>0.67056906198393196</v>
      </c>
      <c r="J3773" s="45">
        <v>1.8885306333679731E-2</v>
      </c>
      <c r="K3773" s="45">
        <v>0.24540000000000001</v>
      </c>
      <c r="N3773" s="54"/>
    </row>
    <row r="3774" spans="2:14" x14ac:dyDescent="0.2">
      <c r="B3774">
        <v>3765</v>
      </c>
      <c r="C3774" s="52">
        <f ca="1"/>
        <v>3.6026398465949516E-2</v>
      </c>
      <c r="D3774" s="52">
        <f ca="1">S0*EXP((μ-0.5*σ*σ)*T+σ*SQRT(T)*$C3774)</f>
        <v>0.65028064312366729</v>
      </c>
      <c r="E3774" s="52">
        <f t="shared" ca="1" si="156"/>
        <v>0</v>
      </c>
      <c r="F3774" s="17">
        <f t="shared" ca="1" si="157"/>
        <v>0</v>
      </c>
      <c r="H3774" s="17">
        <v>3765</v>
      </c>
      <c r="I3774" s="45">
        <v>0.67118066203971449</v>
      </c>
      <c r="J3774" s="45">
        <v>1.9337687902056713E-2</v>
      </c>
      <c r="K3774" s="45">
        <v>0.25519999999999998</v>
      </c>
      <c r="N3774" s="54"/>
    </row>
    <row r="3775" spans="2:14" x14ac:dyDescent="0.2">
      <c r="B3775">
        <v>3766</v>
      </c>
      <c r="C3775" s="52">
        <f ca="1"/>
        <v>-0.41036937108801785</v>
      </c>
      <c r="D3775" s="52">
        <f ca="1">S0*EXP((μ-0.5*σ*σ)*T+σ*SQRT(T)*$C3775)</f>
        <v>0.57479055598947248</v>
      </c>
      <c r="E3775" s="52">
        <f t="shared" ca="1" si="156"/>
        <v>0</v>
      </c>
      <c r="F3775" s="17">
        <f t="shared" ca="1" si="157"/>
        <v>0</v>
      </c>
      <c r="H3775" s="17">
        <v>3766</v>
      </c>
      <c r="I3775" s="45">
        <v>0.67008378753802356</v>
      </c>
      <c r="J3775" s="45">
        <v>1.8248158625237293E-2</v>
      </c>
      <c r="K3775" s="45">
        <v>0.24560000000000001</v>
      </c>
      <c r="N3775" s="54"/>
    </row>
    <row r="3776" spans="2:14" x14ac:dyDescent="0.2">
      <c r="B3776">
        <v>3767</v>
      </c>
      <c r="C3776" s="52">
        <f ca="1"/>
        <v>5.908896418298383E-2</v>
      </c>
      <c r="D3776" s="52">
        <f ca="1">S0*EXP((μ-0.5*σ*σ)*T+σ*SQRT(T)*$C3776)</f>
        <v>0.65443958328095109</v>
      </c>
      <c r="E3776" s="52">
        <f t="shared" ca="1" si="156"/>
        <v>0</v>
      </c>
      <c r="F3776" s="17">
        <f t="shared" ca="1" si="157"/>
        <v>0</v>
      </c>
      <c r="H3776" s="17">
        <v>3767</v>
      </c>
      <c r="I3776" s="45">
        <v>0.67116736563174861</v>
      </c>
      <c r="J3776" s="45">
        <v>1.9287974750421117E-2</v>
      </c>
      <c r="K3776" s="45">
        <v>0.252</v>
      </c>
      <c r="N3776" s="54"/>
    </row>
    <row r="3777" spans="2:14" x14ac:dyDescent="0.2">
      <c r="B3777">
        <v>3768</v>
      </c>
      <c r="C3777" s="52">
        <f ca="1"/>
        <v>-0.11313220869336389</v>
      </c>
      <c r="D3777" s="52">
        <f ca="1">S0*EXP((μ-0.5*σ*σ)*T+σ*SQRT(T)*$C3777)</f>
        <v>0.62401333588241892</v>
      </c>
      <c r="E3777" s="52">
        <f t="shared" ca="1" si="156"/>
        <v>0</v>
      </c>
      <c r="F3777" s="17">
        <f t="shared" ca="1" si="157"/>
        <v>0</v>
      </c>
      <c r="H3777" s="17">
        <v>3768</v>
      </c>
      <c r="I3777" s="45">
        <v>0.67006367853077886</v>
      </c>
      <c r="J3777" s="45">
        <v>1.8319692598212544E-2</v>
      </c>
      <c r="K3777" s="45">
        <v>0.24640000000000001</v>
      </c>
      <c r="N3777" s="54"/>
    </row>
    <row r="3778" spans="2:14" x14ac:dyDescent="0.2">
      <c r="B3778">
        <v>3769</v>
      </c>
      <c r="C3778" s="52">
        <f ca="1"/>
        <v>3.5348241648038403E-2</v>
      </c>
      <c r="D3778" s="52">
        <f ca="1">S0*EXP((μ-0.5*σ*σ)*T+σ*SQRT(T)*$C3778)</f>
        <v>0.65015874995300171</v>
      </c>
      <c r="E3778" s="52">
        <f t="shared" ca="1" si="156"/>
        <v>0</v>
      </c>
      <c r="F3778" s="17">
        <f t="shared" ca="1" si="157"/>
        <v>0</v>
      </c>
      <c r="H3778" s="17">
        <v>3769</v>
      </c>
      <c r="I3778" s="45">
        <v>0.67108248076847377</v>
      </c>
      <c r="J3778" s="45">
        <v>1.9129532816046887E-2</v>
      </c>
      <c r="K3778" s="45">
        <v>0.2492</v>
      </c>
      <c r="N3778" s="54"/>
    </row>
    <row r="3779" spans="2:14" x14ac:dyDescent="0.2">
      <c r="B3779">
        <v>3770</v>
      </c>
      <c r="C3779" s="52">
        <f ca="1"/>
        <v>1.1481473159022226</v>
      </c>
      <c r="D3779" s="52">
        <f ca="1">S0*EXP((μ-0.5*σ*σ)*T+σ*SQRT(T)*$C3779)</f>
        <v>0.8843300992090537</v>
      </c>
      <c r="E3779" s="52">
        <f t="shared" ca="1" si="156"/>
        <v>0</v>
      </c>
      <c r="F3779" s="17">
        <f t="shared" ca="1" si="157"/>
        <v>0</v>
      </c>
      <c r="H3779" s="17">
        <v>3770</v>
      </c>
      <c r="I3779" s="45">
        <v>0.67169658036323265</v>
      </c>
      <c r="J3779" s="45">
        <v>1.9620852435550371E-2</v>
      </c>
      <c r="K3779" s="45">
        <v>0.25259999999999999</v>
      </c>
      <c r="N3779" s="54"/>
    </row>
    <row r="3780" spans="2:14" x14ac:dyDescent="0.2">
      <c r="B3780">
        <v>3771</v>
      </c>
      <c r="C3780" s="52">
        <f ca="1"/>
        <v>-0.1727001896413424</v>
      </c>
      <c r="D3780" s="52">
        <f ca="1">S0*EXP((μ-0.5*σ*σ)*T+σ*SQRT(T)*$C3780)</f>
        <v>0.61382214071400054</v>
      </c>
      <c r="E3780" s="52">
        <f t="shared" ca="1" si="156"/>
        <v>0</v>
      </c>
      <c r="F3780" s="17">
        <f t="shared" ca="1" si="157"/>
        <v>0</v>
      </c>
      <c r="H3780" s="17">
        <v>3771</v>
      </c>
      <c r="I3780" s="45">
        <v>0.67098151208944512</v>
      </c>
      <c r="J3780" s="45">
        <v>1.8614208498726144E-2</v>
      </c>
      <c r="K3780" s="45">
        <v>0.24779999999999999</v>
      </c>
      <c r="N3780" s="54"/>
    </row>
    <row r="3781" spans="2:14" x14ac:dyDescent="0.2">
      <c r="B3781">
        <v>3772</v>
      </c>
      <c r="C3781" s="52">
        <f ca="1"/>
        <v>-1.6261014573120389</v>
      </c>
      <c r="D3781" s="52">
        <f ca="1">S0*EXP((μ-0.5*σ*σ)*T+σ*SQRT(T)*$C3781)</f>
        <v>0.41073073271924898</v>
      </c>
      <c r="E3781" s="52">
        <f t="shared" ca="1" si="156"/>
        <v>0.12366926728075101</v>
      </c>
      <c r="F3781" s="17">
        <f t="shared" ca="1" si="157"/>
        <v>1</v>
      </c>
      <c r="H3781" s="17">
        <v>3772</v>
      </c>
      <c r="I3781" s="45">
        <v>0.67063422820237506</v>
      </c>
      <c r="J3781" s="45">
        <v>1.8740689287022799E-2</v>
      </c>
      <c r="K3781" s="45">
        <v>0.24579999999999999</v>
      </c>
      <c r="N3781" s="54"/>
    </row>
    <row r="3782" spans="2:14" x14ac:dyDescent="0.2">
      <c r="B3782">
        <v>3773</v>
      </c>
      <c r="C3782" s="52">
        <f ca="1"/>
        <v>0.36695790396352351</v>
      </c>
      <c r="D3782" s="52">
        <f ca="1">S0*EXP((μ-0.5*σ*σ)*T+σ*SQRT(T)*$C3782)</f>
        <v>0.71257434891772287</v>
      </c>
      <c r="E3782" s="52">
        <f t="shared" ca="1" si="156"/>
        <v>0</v>
      </c>
      <c r="F3782" s="17">
        <f t="shared" ca="1" si="157"/>
        <v>0</v>
      </c>
      <c r="H3782" s="17">
        <v>3773</v>
      </c>
      <c r="I3782" s="45">
        <v>0.67096332135736036</v>
      </c>
      <c r="J3782" s="45">
        <v>1.8834897485854169E-2</v>
      </c>
      <c r="K3782" s="45">
        <v>0.24779999999999999</v>
      </c>
      <c r="N3782" s="54"/>
    </row>
    <row r="3783" spans="2:14" x14ac:dyDescent="0.2">
      <c r="B3783">
        <v>3774</v>
      </c>
      <c r="C3783" s="52">
        <f ca="1"/>
        <v>0.33052295442005053</v>
      </c>
      <c r="D3783" s="52">
        <f ca="1">S0*EXP((μ-0.5*σ*σ)*T+σ*SQRT(T)*$C3783)</f>
        <v>0.70543346044909472</v>
      </c>
      <c r="E3783" s="52">
        <f t="shared" ca="1" si="156"/>
        <v>0</v>
      </c>
      <c r="F3783" s="17">
        <f t="shared" ca="1" si="157"/>
        <v>0</v>
      </c>
      <c r="H3783" s="17">
        <v>3774</v>
      </c>
      <c r="I3783" s="45">
        <v>0.67122506013139871</v>
      </c>
      <c r="J3783" s="45">
        <v>1.8997514732176011E-2</v>
      </c>
      <c r="K3783" s="45">
        <v>0.24560000000000001</v>
      </c>
      <c r="N3783" s="54"/>
    </row>
    <row r="3784" spans="2:14" x14ac:dyDescent="0.2">
      <c r="B3784">
        <v>3775</v>
      </c>
      <c r="C3784" s="52">
        <f ca="1"/>
        <v>1.1674869054594692</v>
      </c>
      <c r="D3784" s="52">
        <f ca="1">S0*EXP((μ-0.5*σ*σ)*T+σ*SQRT(T)*$C3784)</f>
        <v>0.88907046862939421</v>
      </c>
      <c r="E3784" s="52">
        <f t="shared" ca="1" si="156"/>
        <v>0</v>
      </c>
      <c r="F3784" s="17">
        <f t="shared" ca="1" si="157"/>
        <v>0</v>
      </c>
      <c r="H3784" s="17">
        <v>3775</v>
      </c>
      <c r="I3784" s="45">
        <v>0.67094960937394843</v>
      </c>
      <c r="J3784" s="45">
        <v>1.8920943270619522E-2</v>
      </c>
      <c r="K3784" s="45">
        <v>0.24440000000000001</v>
      </c>
      <c r="N3784" s="54"/>
    </row>
    <row r="3785" spans="2:14" x14ac:dyDescent="0.2">
      <c r="B3785">
        <v>3776</v>
      </c>
      <c r="C3785" s="52">
        <f ca="1"/>
        <v>-0.41434671947564755</v>
      </c>
      <c r="D3785" s="52">
        <f ca="1">S0*EXP((μ-0.5*σ*σ)*T+σ*SQRT(T)*$C3785)</f>
        <v>0.57415893921583627</v>
      </c>
      <c r="E3785" s="52">
        <f t="shared" ca="1" si="156"/>
        <v>0</v>
      </c>
      <c r="F3785" s="17">
        <f t="shared" ca="1" si="157"/>
        <v>0</v>
      </c>
      <c r="H3785" s="17">
        <v>3776</v>
      </c>
      <c r="I3785" s="45">
        <v>0.67050880279631297</v>
      </c>
      <c r="J3785" s="45">
        <v>1.8485670968341365E-2</v>
      </c>
      <c r="K3785" s="45">
        <v>0.24340000000000001</v>
      </c>
      <c r="N3785" s="54"/>
    </row>
    <row r="3786" spans="2:14" x14ac:dyDescent="0.2">
      <c r="B3786">
        <v>3777</v>
      </c>
      <c r="C3786" s="52">
        <f ca="1"/>
        <v>0.41056808693479047</v>
      </c>
      <c r="D3786" s="52">
        <f ca="1">S0*EXP((μ-0.5*σ*σ)*T+σ*SQRT(T)*$C3786)</f>
        <v>0.7212166146193606</v>
      </c>
      <c r="E3786" s="52">
        <f t="shared" ref="E3786:E3849" ca="1" si="158">MAX(0,CP*(D3786-K))</f>
        <v>0</v>
      </c>
      <c r="F3786" s="17">
        <f t="shared" ref="F3786:F3849" ca="1" si="159">(CP*(D3786-K)&gt;0)*1</f>
        <v>0</v>
      </c>
      <c r="H3786" s="17">
        <v>3777</v>
      </c>
      <c r="I3786" s="45">
        <v>0.67034409316009791</v>
      </c>
      <c r="J3786" s="45">
        <v>1.8524254443410475E-2</v>
      </c>
      <c r="K3786" s="45">
        <v>0.24199999999999999</v>
      </c>
      <c r="N3786" s="54"/>
    </row>
    <row r="3787" spans="2:14" x14ac:dyDescent="0.2">
      <c r="B3787">
        <v>3778</v>
      </c>
      <c r="C3787" s="52">
        <f ca="1"/>
        <v>0.86406824409573346</v>
      </c>
      <c r="D3787" s="52">
        <f ca="1">S0*EXP((μ-0.5*σ*σ)*T+σ*SQRT(T)*$C3787)</f>
        <v>0.81754154137614443</v>
      </c>
      <c r="E3787" s="52">
        <f t="shared" ca="1" si="158"/>
        <v>0</v>
      </c>
      <c r="F3787" s="17">
        <f t="shared" ca="1" si="159"/>
        <v>0</v>
      </c>
      <c r="H3787" s="17">
        <v>3778</v>
      </c>
      <c r="I3787" s="45">
        <v>0.67055343119127964</v>
      </c>
      <c r="J3787" s="45">
        <v>1.8646276036599737E-2</v>
      </c>
      <c r="K3787" s="45">
        <v>0.24759999999999999</v>
      </c>
      <c r="N3787" s="54"/>
    </row>
    <row r="3788" spans="2:14" x14ac:dyDescent="0.2">
      <c r="B3788">
        <v>3779</v>
      </c>
      <c r="C3788" s="52">
        <f ca="1"/>
        <v>1.5604029784622813</v>
      </c>
      <c r="D3788" s="52">
        <f ca="1">S0*EXP((μ-0.5*σ*σ)*T+σ*SQRT(T)*$C3788)</f>
        <v>0.99107605503449892</v>
      </c>
      <c r="E3788" s="52">
        <f t="shared" ca="1" si="158"/>
        <v>0</v>
      </c>
      <c r="F3788" s="17">
        <f t="shared" ca="1" si="159"/>
        <v>0</v>
      </c>
      <c r="H3788" s="17">
        <v>3779</v>
      </c>
      <c r="I3788" s="45">
        <v>0.66977566406025379</v>
      </c>
      <c r="J3788" s="45">
        <v>1.8027921086854151E-2</v>
      </c>
      <c r="K3788" s="45">
        <v>0.23719999999999999</v>
      </c>
      <c r="N3788" s="54"/>
    </row>
    <row r="3789" spans="2:14" x14ac:dyDescent="0.2">
      <c r="B3789">
        <v>3780</v>
      </c>
      <c r="C3789" s="52">
        <f ca="1"/>
        <v>0.22727384212912094</v>
      </c>
      <c r="D3789" s="52">
        <f ca="1">S0*EXP((μ-0.5*σ*σ)*T+σ*SQRT(T)*$C3789)</f>
        <v>0.68558400687593113</v>
      </c>
      <c r="E3789" s="52">
        <f t="shared" ca="1" si="158"/>
        <v>0</v>
      </c>
      <c r="F3789" s="17">
        <f t="shared" ca="1" si="159"/>
        <v>0</v>
      </c>
      <c r="H3789" s="17">
        <v>3780</v>
      </c>
      <c r="I3789" s="45">
        <v>0.67186455277528845</v>
      </c>
      <c r="J3789" s="45">
        <v>1.9854259416782736E-2</v>
      </c>
      <c r="K3789" s="45">
        <v>0.25800000000000001</v>
      </c>
      <c r="N3789" s="54"/>
    </row>
    <row r="3790" spans="2:14" x14ac:dyDescent="0.2">
      <c r="B3790">
        <v>3781</v>
      </c>
      <c r="C3790" s="52">
        <f ca="1"/>
        <v>1.6442917531539769</v>
      </c>
      <c r="D3790" s="52">
        <f ca="1">S0*EXP((μ-0.5*σ*σ)*T+σ*SQRT(T)*$C3790)</f>
        <v>1.0143272480649486</v>
      </c>
      <c r="E3790" s="52">
        <f t="shared" ca="1" si="158"/>
        <v>0</v>
      </c>
      <c r="F3790" s="17">
        <f t="shared" ca="1" si="159"/>
        <v>0</v>
      </c>
      <c r="H3790" s="17">
        <v>3781</v>
      </c>
      <c r="I3790" s="45">
        <v>0.67116647549293962</v>
      </c>
      <c r="J3790" s="45">
        <v>1.9045911284937166E-2</v>
      </c>
      <c r="K3790" s="45">
        <v>0.24859999999999999</v>
      </c>
      <c r="N3790" s="54"/>
    </row>
    <row r="3791" spans="2:14" x14ac:dyDescent="0.2">
      <c r="B3791">
        <v>3782</v>
      </c>
      <c r="C3791" s="52">
        <f ca="1"/>
        <v>0.30047918509010368</v>
      </c>
      <c r="D3791" s="52">
        <f ca="1">S0*EXP((μ-0.5*σ*σ)*T+σ*SQRT(T)*$C3791)</f>
        <v>0.69959904406243489</v>
      </c>
      <c r="E3791" s="52">
        <f t="shared" ca="1" si="158"/>
        <v>0</v>
      </c>
      <c r="F3791" s="17">
        <f t="shared" ca="1" si="159"/>
        <v>0</v>
      </c>
      <c r="H3791" s="17">
        <v>3782</v>
      </c>
      <c r="I3791" s="45">
        <v>0.67148816939870626</v>
      </c>
      <c r="J3791" s="45">
        <v>1.9268620034475999E-2</v>
      </c>
      <c r="K3791" s="45">
        <v>0.24759999999999999</v>
      </c>
      <c r="N3791" s="54"/>
    </row>
    <row r="3792" spans="2:14" x14ac:dyDescent="0.2">
      <c r="B3792">
        <v>3783</v>
      </c>
      <c r="C3792" s="52">
        <f ca="1"/>
        <v>0.19393644582168512</v>
      </c>
      <c r="D3792" s="52">
        <f ca="1">S0*EXP((μ-0.5*σ*σ)*T+σ*SQRT(T)*$C3792)</f>
        <v>0.67929500266790965</v>
      </c>
      <c r="E3792" s="52">
        <f t="shared" ca="1" si="158"/>
        <v>0</v>
      </c>
      <c r="F3792" s="17">
        <f t="shared" ca="1" si="159"/>
        <v>0</v>
      </c>
      <c r="H3792" s="17">
        <v>3783</v>
      </c>
      <c r="I3792" s="45">
        <v>0.67032287184282968</v>
      </c>
      <c r="J3792" s="45">
        <v>1.8656741059299247E-2</v>
      </c>
      <c r="K3792" s="45">
        <v>0.24360000000000001</v>
      </c>
      <c r="N3792" s="54"/>
    </row>
    <row r="3793" spans="2:14" x14ac:dyDescent="0.2">
      <c r="B3793">
        <v>3784</v>
      </c>
      <c r="C3793" s="52">
        <f ca="1"/>
        <v>0.96018320284254066</v>
      </c>
      <c r="D3793" s="52">
        <f ca="1">S0*EXP((μ-0.5*σ*σ)*T+σ*SQRT(T)*$C3793)</f>
        <v>0.83955418281427319</v>
      </c>
      <c r="E3793" s="52">
        <f t="shared" ca="1" si="158"/>
        <v>0</v>
      </c>
      <c r="F3793" s="17">
        <f t="shared" ca="1" si="159"/>
        <v>0</v>
      </c>
      <c r="H3793" s="17">
        <v>3784</v>
      </c>
      <c r="I3793" s="45">
        <v>0.67114672056037561</v>
      </c>
      <c r="J3793" s="45">
        <v>1.9066455215291225E-2</v>
      </c>
      <c r="K3793" s="45">
        <v>0.251</v>
      </c>
      <c r="N3793" s="54"/>
    </row>
    <row r="3794" spans="2:14" x14ac:dyDescent="0.2">
      <c r="B3794">
        <v>3785</v>
      </c>
      <c r="C3794" s="52">
        <f ca="1"/>
        <v>-2.7076710258096006</v>
      </c>
      <c r="D3794" s="52">
        <f ca="1">S0*EXP((μ-0.5*σ*σ)*T+σ*SQRT(T)*$C3794)</f>
        <v>0.3045870285769201</v>
      </c>
      <c r="E3794" s="52">
        <f t="shared" ca="1" si="158"/>
        <v>0.22981297142307988</v>
      </c>
      <c r="F3794" s="17">
        <f t="shared" ca="1" si="159"/>
        <v>1</v>
      </c>
      <c r="H3794" s="17">
        <v>3785</v>
      </c>
      <c r="I3794" s="45">
        <v>0.67117391427487982</v>
      </c>
      <c r="J3794" s="45">
        <v>1.9205017889010668E-2</v>
      </c>
      <c r="K3794" s="45">
        <v>0.2482</v>
      </c>
      <c r="N3794" s="54"/>
    </row>
    <row r="3795" spans="2:14" x14ac:dyDescent="0.2">
      <c r="B3795">
        <v>3786</v>
      </c>
      <c r="C3795" s="52">
        <f ca="1"/>
        <v>0.13462454092666201</v>
      </c>
      <c r="D3795" s="52">
        <f ca="1">S0*EXP((μ-0.5*σ*σ)*T+σ*SQRT(T)*$C3795)</f>
        <v>0.66824826632072309</v>
      </c>
      <c r="E3795" s="52">
        <f t="shared" ca="1" si="158"/>
        <v>0</v>
      </c>
      <c r="F3795" s="17">
        <f t="shared" ca="1" si="159"/>
        <v>0</v>
      </c>
      <c r="H3795" s="17">
        <v>3786</v>
      </c>
      <c r="I3795" s="45">
        <v>0.67161457773253219</v>
      </c>
      <c r="J3795" s="45">
        <v>1.9143066606604246E-2</v>
      </c>
      <c r="K3795" s="45">
        <v>0.2424</v>
      </c>
      <c r="N3795" s="54"/>
    </row>
    <row r="3796" spans="2:14" x14ac:dyDescent="0.2">
      <c r="B3796">
        <v>3787</v>
      </c>
      <c r="C3796" s="52">
        <f ca="1"/>
        <v>1.0551531733482156</v>
      </c>
      <c r="D3796" s="52">
        <f ca="1">S0*EXP((μ-0.5*σ*σ)*T+σ*SQRT(T)*$C3796)</f>
        <v>0.86188668302063698</v>
      </c>
      <c r="E3796" s="52">
        <f t="shared" ca="1" si="158"/>
        <v>0</v>
      </c>
      <c r="F3796" s="17">
        <f t="shared" ca="1" si="159"/>
        <v>0</v>
      </c>
      <c r="H3796" s="17">
        <v>3787</v>
      </c>
      <c r="I3796" s="45">
        <v>0.67145147377263448</v>
      </c>
      <c r="J3796" s="45">
        <v>1.9216329702484408E-2</v>
      </c>
      <c r="K3796" s="45">
        <v>0.24840000000000001</v>
      </c>
      <c r="N3796" s="54"/>
    </row>
    <row r="3797" spans="2:14" x14ac:dyDescent="0.2">
      <c r="B3797">
        <v>3788</v>
      </c>
      <c r="C3797" s="52">
        <f ca="1"/>
        <v>0.67855490003742058</v>
      </c>
      <c r="D3797" s="52">
        <f ca="1">S0*EXP((μ-0.5*σ*σ)*T+σ*SQRT(T)*$C3797)</f>
        <v>0.77667329852284872</v>
      </c>
      <c r="E3797" s="52">
        <f t="shared" ca="1" si="158"/>
        <v>0</v>
      </c>
      <c r="F3797" s="17">
        <f t="shared" ca="1" si="159"/>
        <v>0</v>
      </c>
      <c r="H3797" s="17">
        <v>3788</v>
      </c>
      <c r="I3797" s="45">
        <v>0.67092461395545211</v>
      </c>
      <c r="J3797" s="45">
        <v>1.8896369873246496E-2</v>
      </c>
      <c r="K3797" s="45">
        <v>0.24179999999999999</v>
      </c>
      <c r="N3797" s="54"/>
    </row>
    <row r="3798" spans="2:14" x14ac:dyDescent="0.2">
      <c r="B3798">
        <v>3789</v>
      </c>
      <c r="C3798" s="52">
        <f ca="1"/>
        <v>-0.29693505873555365</v>
      </c>
      <c r="D3798" s="52">
        <f ca="1">S0*EXP((μ-0.5*σ*σ)*T+σ*SQRT(T)*$C3798)</f>
        <v>0.59309978480473247</v>
      </c>
      <c r="E3798" s="52">
        <f t="shared" ca="1" si="158"/>
        <v>0</v>
      </c>
      <c r="F3798" s="17">
        <f t="shared" ca="1" si="159"/>
        <v>0</v>
      </c>
      <c r="H3798" s="17">
        <v>3789</v>
      </c>
      <c r="I3798" s="45">
        <v>0.67139853869666433</v>
      </c>
      <c r="J3798" s="45">
        <v>1.904764392205472E-2</v>
      </c>
      <c r="K3798" s="45">
        <v>0.25</v>
      </c>
      <c r="N3798" s="54"/>
    </row>
    <row r="3799" spans="2:14" x14ac:dyDescent="0.2">
      <c r="B3799">
        <v>3790</v>
      </c>
      <c r="C3799" s="52">
        <f ca="1"/>
        <v>0.54238966188828153</v>
      </c>
      <c r="D3799" s="52">
        <f ca="1">S0*EXP((μ-0.5*σ*σ)*T+σ*SQRT(T)*$C3799)</f>
        <v>0.74798228740975603</v>
      </c>
      <c r="E3799" s="52">
        <f t="shared" ca="1" si="158"/>
        <v>0</v>
      </c>
      <c r="F3799" s="17">
        <f t="shared" ca="1" si="159"/>
        <v>0</v>
      </c>
      <c r="H3799" s="17">
        <v>3790</v>
      </c>
      <c r="I3799" s="45">
        <v>0.67063723184299295</v>
      </c>
      <c r="J3799" s="45">
        <v>1.8946592171210877E-2</v>
      </c>
      <c r="K3799" s="45">
        <v>0.25040000000000001</v>
      </c>
      <c r="N3799" s="54"/>
    </row>
    <row r="3800" spans="2:14" x14ac:dyDescent="0.2">
      <c r="B3800">
        <v>3791</v>
      </c>
      <c r="C3800" s="52">
        <f ca="1"/>
        <v>-0.78885708644928276</v>
      </c>
      <c r="D3800" s="52">
        <f ca="1">S0*EXP((μ-0.5*σ*σ)*T+σ*SQRT(T)*$C3800)</f>
        <v>0.51769145273128192</v>
      </c>
      <c r="E3800" s="52">
        <f t="shared" ca="1" si="158"/>
        <v>1.6708547268718066E-2</v>
      </c>
      <c r="F3800" s="17">
        <f t="shared" ca="1" si="159"/>
        <v>1</v>
      </c>
      <c r="H3800" s="17">
        <v>3791</v>
      </c>
      <c r="I3800" s="45">
        <v>0.67057402532164656</v>
      </c>
      <c r="J3800" s="45">
        <v>1.8659490073173517E-2</v>
      </c>
      <c r="K3800" s="45">
        <v>0.2472</v>
      </c>
      <c r="N3800" s="54"/>
    </row>
    <row r="3801" spans="2:14" x14ac:dyDescent="0.2">
      <c r="B3801">
        <v>3792</v>
      </c>
      <c r="C3801" s="52">
        <f ca="1"/>
        <v>-0.99985973749567747</v>
      </c>
      <c r="D3801" s="52">
        <f ca="1">S0*EXP((μ-0.5*σ*σ)*T+σ*SQRT(T)*$C3801)</f>
        <v>0.48835930741387473</v>
      </c>
      <c r="E3801" s="52">
        <f t="shared" ca="1" si="158"/>
        <v>4.6040692586125254E-2</v>
      </c>
      <c r="F3801" s="17">
        <f t="shared" ca="1" si="159"/>
        <v>1</v>
      </c>
      <c r="H3801" s="17">
        <v>3792</v>
      </c>
      <c r="I3801" s="45">
        <v>0.67044803582095935</v>
      </c>
      <c r="J3801" s="45">
        <v>1.8751836259207739E-2</v>
      </c>
      <c r="K3801" s="45">
        <v>0.24640000000000001</v>
      </c>
      <c r="N3801" s="54"/>
    </row>
    <row r="3802" spans="2:14" x14ac:dyDescent="0.2">
      <c r="B3802">
        <v>3793</v>
      </c>
      <c r="C3802" s="52">
        <f ca="1"/>
        <v>-0.64004069813249276</v>
      </c>
      <c r="D3802" s="52">
        <f ca="1">S0*EXP((μ-0.5*σ*σ)*T+σ*SQRT(T)*$C3802)</f>
        <v>0.53943219838548373</v>
      </c>
      <c r="E3802" s="52">
        <f t="shared" ca="1" si="158"/>
        <v>0</v>
      </c>
      <c r="F3802" s="17">
        <f t="shared" ca="1" si="159"/>
        <v>0</v>
      </c>
      <c r="H3802" s="17">
        <v>3793</v>
      </c>
      <c r="I3802" s="45">
        <v>0.67138407434693759</v>
      </c>
      <c r="J3802" s="45">
        <v>1.9417284710944886E-2</v>
      </c>
      <c r="K3802" s="45">
        <v>0.25419999999999998</v>
      </c>
      <c r="N3802" s="54"/>
    </row>
    <row r="3803" spans="2:14" x14ac:dyDescent="0.2">
      <c r="B3803">
        <v>3794</v>
      </c>
      <c r="C3803" s="52">
        <f ca="1"/>
        <v>0.42240025862788921</v>
      </c>
      <c r="D3803" s="52">
        <f ca="1">S0*EXP((μ-0.5*σ*σ)*T+σ*SQRT(T)*$C3803)</f>
        <v>0.72357942976446343</v>
      </c>
      <c r="E3803" s="52">
        <f t="shared" ca="1" si="158"/>
        <v>0</v>
      </c>
      <c r="F3803" s="17">
        <f t="shared" ca="1" si="159"/>
        <v>0</v>
      </c>
      <c r="H3803" s="17">
        <v>3794</v>
      </c>
      <c r="I3803" s="45">
        <v>0.67100213626739358</v>
      </c>
      <c r="J3803" s="45">
        <v>1.9294934648820782E-2</v>
      </c>
      <c r="K3803" s="45">
        <v>0.25280000000000002</v>
      </c>
      <c r="N3803" s="54"/>
    </row>
    <row r="3804" spans="2:14" x14ac:dyDescent="0.2">
      <c r="B3804">
        <v>3795</v>
      </c>
      <c r="C3804" s="52">
        <f ca="1"/>
        <v>-0.86159606612843409</v>
      </c>
      <c r="D3804" s="52">
        <f ca="1">S0*EXP((μ-0.5*σ*σ)*T+σ*SQRT(T)*$C3804)</f>
        <v>0.50738596935600067</v>
      </c>
      <c r="E3804" s="52">
        <f t="shared" ca="1" si="158"/>
        <v>2.7014030643999321E-2</v>
      </c>
      <c r="F3804" s="17">
        <f t="shared" ca="1" si="159"/>
        <v>1</v>
      </c>
      <c r="H3804" s="17">
        <v>3795</v>
      </c>
      <c r="I3804" s="45">
        <v>0.67183668308810141</v>
      </c>
      <c r="J3804" s="45">
        <v>1.9689886016925541E-2</v>
      </c>
      <c r="K3804" s="45">
        <v>0.25080000000000002</v>
      </c>
      <c r="N3804" s="54"/>
    </row>
    <row r="3805" spans="2:14" x14ac:dyDescent="0.2">
      <c r="B3805">
        <v>3796</v>
      </c>
      <c r="C3805" s="52">
        <f ca="1"/>
        <v>-0.49891659105427211</v>
      </c>
      <c r="D3805" s="52">
        <f ca="1">S0*EXP((μ-0.5*σ*σ)*T+σ*SQRT(T)*$C3805)</f>
        <v>0.56089201112452913</v>
      </c>
      <c r="E3805" s="52">
        <f t="shared" ca="1" si="158"/>
        <v>0</v>
      </c>
      <c r="F3805" s="17">
        <f t="shared" ca="1" si="159"/>
        <v>0</v>
      </c>
      <c r="H3805" s="17">
        <v>3796</v>
      </c>
      <c r="I3805" s="45">
        <v>0.66984336008216738</v>
      </c>
      <c r="J3805" s="45">
        <v>1.8137670932843769E-2</v>
      </c>
      <c r="K3805" s="45">
        <v>0.2452</v>
      </c>
      <c r="N3805" s="54"/>
    </row>
    <row r="3806" spans="2:14" x14ac:dyDescent="0.2">
      <c r="B3806">
        <v>3797</v>
      </c>
      <c r="C3806" s="52">
        <f ca="1"/>
        <v>0.50099341688882459</v>
      </c>
      <c r="D3806" s="52">
        <f ca="1">S0*EXP((μ-0.5*σ*σ)*T+σ*SQRT(T)*$C3806)</f>
        <v>0.73947171287325286</v>
      </c>
      <c r="E3806" s="52">
        <f t="shared" ca="1" si="158"/>
        <v>0</v>
      </c>
      <c r="F3806" s="17">
        <f t="shared" ca="1" si="159"/>
        <v>0</v>
      </c>
      <c r="H3806" s="17">
        <v>3797</v>
      </c>
      <c r="I3806" s="45">
        <v>0.67084070253583272</v>
      </c>
      <c r="J3806" s="45">
        <v>1.9045484385115507E-2</v>
      </c>
      <c r="K3806" s="45">
        <v>0.24840000000000001</v>
      </c>
      <c r="N3806" s="54"/>
    </row>
    <row r="3807" spans="2:14" x14ac:dyDescent="0.2">
      <c r="B3807">
        <v>3798</v>
      </c>
      <c r="C3807" s="52">
        <f ca="1"/>
        <v>1.2362623604359668</v>
      </c>
      <c r="D3807" s="52">
        <f ca="1">S0*EXP((μ-0.5*σ*σ)*T+σ*SQRT(T)*$C3807)</f>
        <v>0.90613497277881749</v>
      </c>
      <c r="E3807" s="52">
        <f t="shared" ca="1" si="158"/>
        <v>0</v>
      </c>
      <c r="F3807" s="17">
        <f t="shared" ca="1" si="159"/>
        <v>0</v>
      </c>
      <c r="H3807" s="17">
        <v>3798</v>
      </c>
      <c r="I3807" s="45">
        <v>0.66968490785010681</v>
      </c>
      <c r="J3807" s="45">
        <v>1.815355330548811E-2</v>
      </c>
      <c r="K3807" s="45">
        <v>0.24260000000000001</v>
      </c>
      <c r="N3807" s="54"/>
    </row>
    <row r="3808" spans="2:14" x14ac:dyDescent="0.2">
      <c r="B3808">
        <v>3799</v>
      </c>
      <c r="C3808" s="52">
        <f ca="1"/>
        <v>-0.51719003283832654</v>
      </c>
      <c r="D3808" s="52">
        <f ca="1">S0*EXP((μ-0.5*σ*σ)*T+σ*SQRT(T)*$C3808)</f>
        <v>0.55806588005152347</v>
      </c>
      <c r="E3808" s="52">
        <f t="shared" ca="1" si="158"/>
        <v>0</v>
      </c>
      <c r="F3808" s="17">
        <f t="shared" ca="1" si="159"/>
        <v>0</v>
      </c>
      <c r="H3808" s="17">
        <v>3799</v>
      </c>
      <c r="I3808" s="45">
        <v>0.67083335878627925</v>
      </c>
      <c r="J3808" s="45">
        <v>1.8746487833711651E-2</v>
      </c>
      <c r="K3808" s="45">
        <v>0.24540000000000001</v>
      </c>
      <c r="N3808" s="54"/>
    </row>
    <row r="3809" spans="2:14" x14ac:dyDescent="0.2">
      <c r="B3809">
        <v>3800</v>
      </c>
      <c r="C3809" s="52">
        <f ca="1"/>
        <v>-0.84165528227888498</v>
      </c>
      <c r="D3809" s="52">
        <f ca="1">S0*EXP((μ-0.5*σ*σ)*T+σ*SQRT(T)*$C3809)</f>
        <v>0.51019054609591796</v>
      </c>
      <c r="E3809" s="52">
        <f t="shared" ca="1" si="158"/>
        <v>2.4209453904082023E-2</v>
      </c>
      <c r="F3809" s="17">
        <f t="shared" ca="1" si="159"/>
        <v>1</v>
      </c>
      <c r="H3809" s="17">
        <v>3800</v>
      </c>
      <c r="I3809" s="45">
        <v>0.67195937135011008</v>
      </c>
      <c r="J3809" s="45">
        <v>1.9703969843349104E-2</v>
      </c>
      <c r="K3809" s="45">
        <v>0.25259999999999999</v>
      </c>
      <c r="N3809" s="54"/>
    </row>
    <row r="3810" spans="2:14" x14ac:dyDescent="0.2">
      <c r="B3810">
        <v>3801</v>
      </c>
      <c r="C3810" s="52">
        <f ca="1"/>
        <v>1.2734747643468749</v>
      </c>
      <c r="D3810" s="52">
        <f ca="1">S0*EXP((μ-0.5*σ*σ)*T+σ*SQRT(T)*$C3810)</f>
        <v>0.91550423487250454</v>
      </c>
      <c r="E3810" s="52">
        <f t="shared" ca="1" si="158"/>
        <v>0</v>
      </c>
      <c r="F3810" s="17">
        <f t="shared" ca="1" si="159"/>
        <v>0</v>
      </c>
      <c r="H3810" s="17">
        <v>3801</v>
      </c>
      <c r="I3810" s="45">
        <v>0.67076217667804183</v>
      </c>
      <c r="J3810" s="45">
        <v>1.8707103706340312E-2</v>
      </c>
      <c r="K3810" s="45">
        <v>0.24179999999999999</v>
      </c>
      <c r="N3810" s="54"/>
    </row>
    <row r="3811" spans="2:14" x14ac:dyDescent="0.2">
      <c r="B3811">
        <v>3802</v>
      </c>
      <c r="C3811" s="52">
        <f ca="1"/>
        <v>1.211427615938846</v>
      </c>
      <c r="D3811" s="52">
        <f ca="1">S0*EXP((μ-0.5*σ*σ)*T+σ*SQRT(T)*$C3811)</f>
        <v>0.89993554194018732</v>
      </c>
      <c r="E3811" s="52">
        <f t="shared" ca="1" si="158"/>
        <v>0</v>
      </c>
      <c r="F3811" s="17">
        <f t="shared" ca="1" si="159"/>
        <v>0</v>
      </c>
      <c r="H3811" s="17">
        <v>3802</v>
      </c>
      <c r="I3811" s="45">
        <v>0.67136515362059035</v>
      </c>
      <c r="J3811" s="45">
        <v>1.9237368759544977E-2</v>
      </c>
      <c r="K3811" s="45">
        <v>0.25040000000000001</v>
      </c>
      <c r="N3811" s="54"/>
    </row>
    <row r="3812" spans="2:14" x14ac:dyDescent="0.2">
      <c r="B3812">
        <v>3803</v>
      </c>
      <c r="C3812" s="52">
        <f ca="1"/>
        <v>-5.3997318113285696E-2</v>
      </c>
      <c r="D3812" s="52">
        <f ca="1">S0*EXP((μ-0.5*σ*σ)*T+σ*SQRT(T)*$C3812)</f>
        <v>0.63429779106477702</v>
      </c>
      <c r="E3812" s="52">
        <f t="shared" ca="1" si="158"/>
        <v>0</v>
      </c>
      <c r="F3812" s="17">
        <f t="shared" ca="1" si="159"/>
        <v>0</v>
      </c>
      <c r="H3812" s="17">
        <v>3803</v>
      </c>
      <c r="I3812" s="45">
        <v>0.66945818831852144</v>
      </c>
      <c r="J3812" s="45">
        <v>1.7736484094470647E-2</v>
      </c>
      <c r="K3812" s="45">
        <v>0.2366</v>
      </c>
      <c r="N3812" s="54"/>
    </row>
    <row r="3813" spans="2:14" x14ac:dyDescent="0.2">
      <c r="B3813">
        <v>3804</v>
      </c>
      <c r="C3813" s="52">
        <f ca="1"/>
        <v>-1.5901508330095262</v>
      </c>
      <c r="D3813" s="52">
        <f ca="1">S0*EXP((μ-0.5*σ*σ)*T+σ*SQRT(T)*$C3813)</f>
        <v>0.41483289217343255</v>
      </c>
      <c r="E3813" s="52">
        <f t="shared" ca="1" si="158"/>
        <v>0.11956710782656743</v>
      </c>
      <c r="F3813" s="17">
        <f t="shared" ca="1" si="159"/>
        <v>1</v>
      </c>
      <c r="H3813" s="17">
        <v>3804</v>
      </c>
      <c r="I3813" s="45">
        <v>0.67047696127045953</v>
      </c>
      <c r="J3813" s="45">
        <v>1.8670026040191943E-2</v>
      </c>
      <c r="K3813" s="45">
        <v>0.25180000000000002</v>
      </c>
      <c r="N3813" s="54"/>
    </row>
    <row r="3814" spans="2:14" x14ac:dyDescent="0.2">
      <c r="B3814">
        <v>3805</v>
      </c>
      <c r="C3814" s="52">
        <f ca="1"/>
        <v>-1.3963853028904842</v>
      </c>
      <c r="D3814" s="52">
        <f ca="1">S0*EXP((μ-0.5*σ*σ)*T+σ*SQRT(T)*$C3814)</f>
        <v>0.43765847207640413</v>
      </c>
      <c r="E3814" s="52">
        <f t="shared" ca="1" si="158"/>
        <v>9.674152792359586E-2</v>
      </c>
      <c r="F3814" s="17">
        <f t="shared" ca="1" si="159"/>
        <v>1</v>
      </c>
      <c r="H3814" s="17">
        <v>3805</v>
      </c>
      <c r="I3814" s="45">
        <v>0.67086240701144506</v>
      </c>
      <c r="J3814" s="45">
        <v>1.8789006412630004E-2</v>
      </c>
      <c r="K3814" s="45">
        <v>0.24560000000000001</v>
      </c>
      <c r="N3814" s="54"/>
    </row>
    <row r="3815" spans="2:14" x14ac:dyDescent="0.2">
      <c r="B3815">
        <v>3806</v>
      </c>
      <c r="C3815" s="52">
        <f ca="1"/>
        <v>0.2524504845052733</v>
      </c>
      <c r="D3815" s="52">
        <f ca="1">S0*EXP((μ-0.5*σ*σ)*T+σ*SQRT(T)*$C3815)</f>
        <v>0.69037206875498569</v>
      </c>
      <c r="E3815" s="52">
        <f t="shared" ca="1" si="158"/>
        <v>0</v>
      </c>
      <c r="F3815" s="17">
        <f t="shared" ca="1" si="159"/>
        <v>0</v>
      </c>
      <c r="H3815" s="17">
        <v>3806</v>
      </c>
      <c r="I3815" s="45">
        <v>0.67111753011667219</v>
      </c>
      <c r="J3815" s="45">
        <v>1.8880699259034014E-2</v>
      </c>
      <c r="K3815" s="45">
        <v>0.2462</v>
      </c>
      <c r="N3815" s="54"/>
    </row>
    <row r="3816" spans="2:14" x14ac:dyDescent="0.2">
      <c r="B3816">
        <v>3807</v>
      </c>
      <c r="C3816" s="52">
        <f ca="1"/>
        <v>0.60889619830815744</v>
      </c>
      <c r="D3816" s="52">
        <f ca="1">S0*EXP((μ-0.5*σ*σ)*T+σ*SQRT(T)*$C3816)</f>
        <v>0.76186080374872722</v>
      </c>
      <c r="E3816" s="52">
        <f t="shared" ca="1" si="158"/>
        <v>0</v>
      </c>
      <c r="F3816" s="17">
        <f t="shared" ca="1" si="159"/>
        <v>0</v>
      </c>
      <c r="H3816" s="17">
        <v>3807</v>
      </c>
      <c r="I3816" s="45">
        <v>0.67088828255379207</v>
      </c>
      <c r="J3816" s="45">
        <v>1.8990472132569717E-2</v>
      </c>
      <c r="K3816" s="45">
        <v>0.2424</v>
      </c>
      <c r="N3816" s="54"/>
    </row>
    <row r="3817" spans="2:14" x14ac:dyDescent="0.2">
      <c r="B3817">
        <v>3808</v>
      </c>
      <c r="C3817" s="52">
        <f ca="1"/>
        <v>-0.70069093604896515</v>
      </c>
      <c r="D3817" s="52">
        <f ca="1">S0*EXP((μ-0.5*σ*σ)*T+σ*SQRT(T)*$C3817)</f>
        <v>0.53046363343117964</v>
      </c>
      <c r="E3817" s="52">
        <f t="shared" ca="1" si="158"/>
        <v>3.9363665688203486E-3</v>
      </c>
      <c r="F3817" s="17">
        <f t="shared" ca="1" si="159"/>
        <v>1</v>
      </c>
      <c r="H3817" s="17">
        <v>3808</v>
      </c>
      <c r="I3817" s="45">
        <v>0.67105046084454878</v>
      </c>
      <c r="J3817" s="45">
        <v>1.8787932269150522E-2</v>
      </c>
      <c r="K3817" s="45">
        <v>0.2392</v>
      </c>
      <c r="N3817" s="54"/>
    </row>
    <row r="3818" spans="2:14" x14ac:dyDescent="0.2">
      <c r="B3818">
        <v>3809</v>
      </c>
      <c r="C3818" s="52">
        <f ca="1"/>
        <v>-1.1735980689387659</v>
      </c>
      <c r="D3818" s="52">
        <f ca="1">S0*EXP((μ-0.5*σ*σ)*T+σ*SQRT(T)*$C3818)</f>
        <v>0.46545922413922464</v>
      </c>
      <c r="E3818" s="52">
        <f t="shared" ca="1" si="158"/>
        <v>6.894077586077535E-2</v>
      </c>
      <c r="F3818" s="17">
        <f t="shared" ca="1" si="159"/>
        <v>1</v>
      </c>
      <c r="H3818" s="17">
        <v>3809</v>
      </c>
      <c r="I3818" s="45">
        <v>0.67012262369649866</v>
      </c>
      <c r="J3818" s="45">
        <v>1.8426005052158349E-2</v>
      </c>
      <c r="K3818" s="45">
        <v>0.2442</v>
      </c>
      <c r="N3818" s="54"/>
    </row>
    <row r="3819" spans="2:14" x14ac:dyDescent="0.2">
      <c r="B3819">
        <v>3810</v>
      </c>
      <c r="C3819" s="52">
        <f ca="1"/>
        <v>2.2837623175254751</v>
      </c>
      <c r="D3819" s="52">
        <f ca="1">S0*EXP((μ-0.5*σ*σ)*T+σ*SQRT(T)*$C3819)</f>
        <v>1.2104546563115568</v>
      </c>
      <c r="E3819" s="52">
        <f t="shared" ca="1" si="158"/>
        <v>0</v>
      </c>
      <c r="F3819" s="17">
        <f t="shared" ca="1" si="159"/>
        <v>0</v>
      </c>
      <c r="H3819" s="17">
        <v>3810</v>
      </c>
      <c r="I3819" s="45">
        <v>0.67133484029397283</v>
      </c>
      <c r="J3819" s="45">
        <v>1.8994086796957826E-2</v>
      </c>
      <c r="K3819" s="45">
        <v>0.249</v>
      </c>
      <c r="N3819" s="54"/>
    </row>
    <row r="3820" spans="2:14" x14ac:dyDescent="0.2">
      <c r="B3820">
        <v>3811</v>
      </c>
      <c r="C3820" s="52">
        <f ca="1"/>
        <v>-2.9235903138102235</v>
      </c>
      <c r="D3820" s="52">
        <f ca="1">S0*EXP((μ-0.5*σ*σ)*T+σ*SQRT(T)*$C3820)</f>
        <v>0.2869390268133522</v>
      </c>
      <c r="E3820" s="52">
        <f t="shared" ca="1" si="158"/>
        <v>0.24746097318664778</v>
      </c>
      <c r="F3820" s="17">
        <f t="shared" ca="1" si="159"/>
        <v>1</v>
      </c>
      <c r="H3820" s="17">
        <v>3811</v>
      </c>
      <c r="I3820" s="45">
        <v>0.66981456617657609</v>
      </c>
      <c r="J3820" s="45">
        <v>1.826924285109912E-2</v>
      </c>
      <c r="K3820" s="45">
        <v>0.24640000000000001</v>
      </c>
      <c r="N3820" s="54"/>
    </row>
    <row r="3821" spans="2:14" x14ac:dyDescent="0.2">
      <c r="B3821">
        <v>3812</v>
      </c>
      <c r="C3821" s="52">
        <f ca="1"/>
        <v>1.8833592485767185</v>
      </c>
      <c r="D3821" s="52">
        <f ca="1">S0*EXP((μ-0.5*σ*σ)*T+σ*SQRT(T)*$C3821)</f>
        <v>1.0836246849689228</v>
      </c>
      <c r="E3821" s="52">
        <f t="shared" ca="1" si="158"/>
        <v>0</v>
      </c>
      <c r="F3821" s="17">
        <f t="shared" ca="1" si="159"/>
        <v>0</v>
      </c>
      <c r="H3821" s="17">
        <v>3812</v>
      </c>
      <c r="I3821" s="45">
        <v>0.67228343379016342</v>
      </c>
      <c r="J3821" s="45">
        <v>2.0028993850793125E-2</v>
      </c>
      <c r="K3821" s="45">
        <v>0.25080000000000002</v>
      </c>
      <c r="N3821" s="54"/>
    </row>
    <row r="3822" spans="2:14" x14ac:dyDescent="0.2">
      <c r="B3822">
        <v>3813</v>
      </c>
      <c r="C3822" s="52">
        <f ca="1"/>
        <v>-0.87148299801036788</v>
      </c>
      <c r="D3822" s="52">
        <f ca="1">S0*EXP((μ-0.5*σ*σ)*T+σ*SQRT(T)*$C3822)</f>
        <v>0.50600114155324849</v>
      </c>
      <c r="E3822" s="52">
        <f t="shared" ca="1" si="158"/>
        <v>2.8398858446751496E-2</v>
      </c>
      <c r="F3822" s="17">
        <f t="shared" ca="1" si="159"/>
        <v>1</v>
      </c>
      <c r="H3822" s="17">
        <v>3813</v>
      </c>
      <c r="I3822" s="45">
        <v>0.67197041321282824</v>
      </c>
      <c r="J3822" s="45">
        <v>1.9248537882104993E-2</v>
      </c>
      <c r="K3822" s="45">
        <v>0.24759999999999999</v>
      </c>
      <c r="N3822" s="54"/>
    </row>
    <row r="3823" spans="2:14" x14ac:dyDescent="0.2">
      <c r="B3823">
        <v>3814</v>
      </c>
      <c r="C3823" s="52">
        <f ca="1"/>
        <v>3.7698508278619022E-2</v>
      </c>
      <c r="D3823" s="52">
        <f ca="1">S0*EXP((μ-0.5*σ*σ)*T+σ*SQRT(T)*$C3823)</f>
        <v>0.65058128890820055</v>
      </c>
      <c r="E3823" s="52">
        <f t="shared" ca="1" si="158"/>
        <v>0</v>
      </c>
      <c r="F3823" s="17">
        <f t="shared" ca="1" si="159"/>
        <v>0</v>
      </c>
      <c r="H3823" s="17">
        <v>3814</v>
      </c>
      <c r="I3823" s="45">
        <v>0.6704224299190491</v>
      </c>
      <c r="J3823" s="45">
        <v>1.8277992758679008E-2</v>
      </c>
      <c r="K3823" s="45">
        <v>0.2402</v>
      </c>
      <c r="N3823" s="54"/>
    </row>
    <row r="3824" spans="2:14" x14ac:dyDescent="0.2">
      <c r="B3824">
        <v>3815</v>
      </c>
      <c r="C3824" s="52">
        <f ca="1"/>
        <v>1.5878298184339861</v>
      </c>
      <c r="D3824" s="52">
        <f ca="1">S0*EXP((μ-0.5*σ*σ)*T+σ*SQRT(T)*$C3824)</f>
        <v>0.99861862342654162</v>
      </c>
      <c r="E3824" s="52">
        <f t="shared" ca="1" si="158"/>
        <v>0</v>
      </c>
      <c r="F3824" s="17">
        <f t="shared" ca="1" si="159"/>
        <v>0</v>
      </c>
      <c r="H3824" s="17">
        <v>3815</v>
      </c>
      <c r="I3824" s="45">
        <v>0.67170419119157365</v>
      </c>
      <c r="J3824" s="45">
        <v>1.9475454872103986E-2</v>
      </c>
      <c r="K3824" s="45">
        <v>0.2432</v>
      </c>
      <c r="N3824" s="54"/>
    </row>
    <row r="3825" spans="2:14" x14ac:dyDescent="0.2">
      <c r="B3825">
        <v>3816</v>
      </c>
      <c r="C3825" s="52">
        <f ca="1"/>
        <v>1.9162302824082902</v>
      </c>
      <c r="D3825" s="52">
        <f ca="1">S0*EXP((μ-0.5*σ*σ)*T+σ*SQRT(T)*$C3825)</f>
        <v>1.0935160448675425</v>
      </c>
      <c r="E3825" s="52">
        <f t="shared" ca="1" si="158"/>
        <v>0</v>
      </c>
      <c r="F3825" s="17">
        <f t="shared" ca="1" si="159"/>
        <v>0</v>
      </c>
      <c r="H3825" s="17">
        <v>3816</v>
      </c>
      <c r="I3825" s="45">
        <v>0.67103420328087393</v>
      </c>
      <c r="J3825" s="45">
        <v>1.9193529020545164E-2</v>
      </c>
      <c r="K3825" s="45">
        <v>0.2492</v>
      </c>
      <c r="N3825" s="54"/>
    </row>
    <row r="3826" spans="2:14" x14ac:dyDescent="0.2">
      <c r="B3826">
        <v>3817</v>
      </c>
      <c r="C3826" s="52">
        <f ca="1"/>
        <v>-0.83602692351564323</v>
      </c>
      <c r="D3826" s="52">
        <f ca="1">S0*EXP((μ-0.5*σ*σ)*T+σ*SQRT(T)*$C3826)</f>
        <v>0.51098494968196662</v>
      </c>
      <c r="E3826" s="52">
        <f t="shared" ca="1" si="158"/>
        <v>2.341505031803337E-2</v>
      </c>
      <c r="F3826" s="17">
        <f t="shared" ca="1" si="159"/>
        <v>1</v>
      </c>
      <c r="H3826" s="17">
        <v>3817</v>
      </c>
      <c r="I3826" s="45">
        <v>0.6711340272689631</v>
      </c>
      <c r="J3826" s="45">
        <v>1.9507882218498862E-2</v>
      </c>
      <c r="K3826" s="45">
        <v>0.25359999999999999</v>
      </c>
      <c r="N3826" s="54"/>
    </row>
    <row r="3827" spans="2:14" x14ac:dyDescent="0.2">
      <c r="B3827">
        <v>3818</v>
      </c>
      <c r="C3827" s="52">
        <f ca="1"/>
        <v>-0.93873723543726173</v>
      </c>
      <c r="D3827" s="52">
        <f ca="1">S0*EXP((μ-0.5*σ*σ)*T+σ*SQRT(T)*$C3827)</f>
        <v>0.49668085027137693</v>
      </c>
      <c r="E3827" s="52">
        <f t="shared" ca="1" si="158"/>
        <v>3.7719149728623058E-2</v>
      </c>
      <c r="F3827" s="17">
        <f t="shared" ca="1" si="159"/>
        <v>1</v>
      </c>
      <c r="H3827" s="17">
        <v>3818</v>
      </c>
      <c r="I3827" s="45">
        <v>0.67112857284157612</v>
      </c>
      <c r="J3827" s="45">
        <v>1.9287540845342184E-2</v>
      </c>
      <c r="K3827" s="45">
        <v>0.25019999999999998</v>
      </c>
      <c r="N3827" s="54"/>
    </row>
    <row r="3828" spans="2:14" x14ac:dyDescent="0.2">
      <c r="B3828">
        <v>3819</v>
      </c>
      <c r="C3828" s="52">
        <f ca="1"/>
        <v>0.80061699074736659</v>
      </c>
      <c r="D3828" s="52">
        <f ca="1">S0*EXP((μ-0.5*σ*σ)*T+σ*SQRT(T)*$C3828)</f>
        <v>0.80332689816628378</v>
      </c>
      <c r="E3828" s="52">
        <f t="shared" ca="1" si="158"/>
        <v>0</v>
      </c>
      <c r="F3828" s="17">
        <f t="shared" ca="1" si="159"/>
        <v>0</v>
      </c>
      <c r="H3828" s="17">
        <v>3819</v>
      </c>
      <c r="I3828" s="45">
        <v>0.67072824390651353</v>
      </c>
      <c r="J3828" s="45">
        <v>1.8696675292401575E-2</v>
      </c>
      <c r="K3828" s="45">
        <v>0.24340000000000001</v>
      </c>
      <c r="N3828" s="54"/>
    </row>
    <row r="3829" spans="2:14" x14ac:dyDescent="0.2">
      <c r="B3829">
        <v>3820</v>
      </c>
      <c r="C3829" s="52">
        <f ca="1"/>
        <v>-0.94047846371546184</v>
      </c>
      <c r="D3829" s="52">
        <f ca="1">S0*EXP((μ-0.5*σ*σ)*T+σ*SQRT(T)*$C3829)</f>
        <v>0.49644183935681585</v>
      </c>
      <c r="E3829" s="52">
        <f t="shared" ca="1" si="158"/>
        <v>3.7958160643184136E-2</v>
      </c>
      <c r="F3829" s="17">
        <f t="shared" ca="1" si="159"/>
        <v>1</v>
      </c>
      <c r="H3829" s="17">
        <v>3820</v>
      </c>
      <c r="I3829" s="45">
        <v>0.67038177947276567</v>
      </c>
      <c r="J3829" s="45">
        <v>1.8537715809348036E-2</v>
      </c>
      <c r="K3829" s="45">
        <v>0.23960000000000001</v>
      </c>
      <c r="N3829" s="54"/>
    </row>
    <row r="3830" spans="2:14" x14ac:dyDescent="0.2">
      <c r="B3830">
        <v>3821</v>
      </c>
      <c r="C3830" s="52">
        <f ca="1"/>
        <v>-1.1682005960370963</v>
      </c>
      <c r="D3830" s="52">
        <f ca="1">S0*EXP((μ-0.5*σ*σ)*T+σ*SQRT(T)*$C3830)</f>
        <v>0.4661542248772092</v>
      </c>
      <c r="E3830" s="52">
        <f t="shared" ca="1" si="158"/>
        <v>6.8245775122790786E-2</v>
      </c>
      <c r="F3830" s="17">
        <f t="shared" ca="1" si="159"/>
        <v>1</v>
      </c>
      <c r="H3830" s="17">
        <v>3821</v>
      </c>
      <c r="I3830" s="45">
        <v>0.66990785686805288</v>
      </c>
      <c r="J3830" s="45">
        <v>1.8474315967290243E-2</v>
      </c>
      <c r="K3830" s="45">
        <v>0.24679999999999999</v>
      </c>
      <c r="N3830" s="54"/>
    </row>
    <row r="3831" spans="2:14" x14ac:dyDescent="0.2">
      <c r="B3831">
        <v>3822</v>
      </c>
      <c r="C3831" s="52">
        <f ca="1"/>
        <v>0.59590051836691726</v>
      </c>
      <c r="D3831" s="52">
        <f ca="1">S0*EXP((μ-0.5*σ*σ)*T+σ*SQRT(T)*$C3831)</f>
        <v>0.75912878354323687</v>
      </c>
      <c r="E3831" s="52">
        <f t="shared" ca="1" si="158"/>
        <v>0</v>
      </c>
      <c r="F3831" s="17">
        <f t="shared" ca="1" si="159"/>
        <v>0</v>
      </c>
      <c r="H3831" s="17">
        <v>3822</v>
      </c>
      <c r="I3831" s="45">
        <v>0.67117451480157331</v>
      </c>
      <c r="J3831" s="45">
        <v>1.8971345147918872E-2</v>
      </c>
      <c r="K3831" s="45">
        <v>0.24260000000000001</v>
      </c>
      <c r="N3831" s="54"/>
    </row>
    <row r="3832" spans="2:14" x14ac:dyDescent="0.2">
      <c r="B3832">
        <v>3823</v>
      </c>
      <c r="C3832" s="52">
        <f ca="1"/>
        <v>0.65776177919015022</v>
      </c>
      <c r="D3832" s="52">
        <f ca="1">S0*EXP((μ-0.5*σ*σ)*T+σ*SQRT(T)*$C3832)</f>
        <v>0.77222186765971579</v>
      </c>
      <c r="E3832" s="52">
        <f t="shared" ca="1" si="158"/>
        <v>0</v>
      </c>
      <c r="F3832" s="17">
        <f t="shared" ca="1" si="159"/>
        <v>0</v>
      </c>
      <c r="H3832" s="17">
        <v>3823</v>
      </c>
      <c r="I3832" s="45">
        <v>0.67149326093578887</v>
      </c>
      <c r="J3832" s="45">
        <v>1.9363394204675442E-2</v>
      </c>
      <c r="K3832" s="45">
        <v>0.251</v>
      </c>
      <c r="N3832" s="54"/>
    </row>
    <row r="3833" spans="2:14" x14ac:dyDescent="0.2">
      <c r="B3833">
        <v>3824</v>
      </c>
      <c r="C3833" s="52">
        <f ca="1"/>
        <v>2.7650654275350286</v>
      </c>
      <c r="D3833" s="52">
        <f ca="1">S0*EXP((μ-0.5*σ*σ)*T+σ*SQRT(T)*$C3833)</f>
        <v>1.3827079600249497</v>
      </c>
      <c r="E3833" s="52">
        <f t="shared" ca="1" si="158"/>
        <v>0</v>
      </c>
      <c r="F3833" s="17">
        <f t="shared" ca="1" si="159"/>
        <v>0</v>
      </c>
      <c r="H3833" s="17">
        <v>3824</v>
      </c>
      <c r="I3833" s="45">
        <v>0.67070827011988565</v>
      </c>
      <c r="J3833" s="45">
        <v>1.9001145915241581E-2</v>
      </c>
      <c r="K3833" s="45">
        <v>0.24979999999999999</v>
      </c>
      <c r="N3833" s="54"/>
    </row>
    <row r="3834" spans="2:14" x14ac:dyDescent="0.2">
      <c r="B3834">
        <v>3825</v>
      </c>
      <c r="C3834" s="52">
        <f ca="1"/>
        <v>-1.0730516223694493</v>
      </c>
      <c r="D3834" s="52">
        <f ca="1">S0*EXP((μ-0.5*σ*σ)*T+σ*SQRT(T)*$C3834)</f>
        <v>0.47857780710061876</v>
      </c>
      <c r="E3834" s="52">
        <f t="shared" ca="1" si="158"/>
        <v>5.5822192899381229E-2</v>
      </c>
      <c r="F3834" s="17">
        <f t="shared" ca="1" si="159"/>
        <v>1</v>
      </c>
      <c r="H3834" s="17">
        <v>3825</v>
      </c>
      <c r="I3834" s="45">
        <v>0.67150195583461514</v>
      </c>
      <c r="J3834" s="45">
        <v>1.9373388840360325E-2</v>
      </c>
      <c r="K3834" s="45">
        <v>0.25040000000000001</v>
      </c>
      <c r="N3834" s="54"/>
    </row>
    <row r="3835" spans="2:14" x14ac:dyDescent="0.2">
      <c r="B3835">
        <v>3826</v>
      </c>
      <c r="C3835" s="52">
        <f ca="1"/>
        <v>-0.78218352820328374</v>
      </c>
      <c r="D3835" s="52">
        <f ca="1">S0*EXP((μ-0.5*σ*σ)*T+σ*SQRT(T)*$C3835)</f>
        <v>0.51864736541497225</v>
      </c>
      <c r="E3835" s="52">
        <f t="shared" ca="1" si="158"/>
        <v>1.5752634585027736E-2</v>
      </c>
      <c r="F3835" s="17">
        <f t="shared" ca="1" si="159"/>
        <v>1</v>
      </c>
      <c r="H3835" s="17">
        <v>3826</v>
      </c>
      <c r="I3835" s="45">
        <v>0.67060828053711696</v>
      </c>
      <c r="J3835" s="45">
        <v>1.8763717162644595E-2</v>
      </c>
      <c r="K3835" s="45">
        <v>0.23960000000000001</v>
      </c>
      <c r="N3835" s="54"/>
    </row>
    <row r="3836" spans="2:14" x14ac:dyDescent="0.2">
      <c r="B3836">
        <v>3827</v>
      </c>
      <c r="C3836" s="52">
        <f ca="1"/>
        <v>0.2406941632832548</v>
      </c>
      <c r="D3836" s="52">
        <f ca="1">S0*EXP((μ-0.5*σ*σ)*T+σ*SQRT(T)*$C3836)</f>
        <v>0.68813211899457127</v>
      </c>
      <c r="E3836" s="52">
        <f t="shared" ca="1" si="158"/>
        <v>0</v>
      </c>
      <c r="F3836" s="17">
        <f t="shared" ca="1" si="159"/>
        <v>0</v>
      </c>
      <c r="H3836" s="17">
        <v>3827</v>
      </c>
      <c r="I3836" s="45">
        <v>0.67169337129205775</v>
      </c>
      <c r="J3836" s="45">
        <v>1.9544408732332982E-2</v>
      </c>
      <c r="K3836" s="45">
        <v>0.24959999999999999</v>
      </c>
      <c r="N3836" s="54"/>
    </row>
    <row r="3837" spans="2:14" x14ac:dyDescent="0.2">
      <c r="B3837">
        <v>3828</v>
      </c>
      <c r="C3837" s="52">
        <f ca="1"/>
        <v>-1.5454465442654015</v>
      </c>
      <c r="D3837" s="52">
        <f ca="1">S0*EXP((μ-0.5*σ*σ)*T+σ*SQRT(T)*$C3837)</f>
        <v>0.41999108655138434</v>
      </c>
      <c r="E3837" s="52">
        <f t="shared" ca="1" si="158"/>
        <v>0.11440891344861565</v>
      </c>
      <c r="F3837" s="17">
        <f t="shared" ca="1" si="159"/>
        <v>1</v>
      </c>
      <c r="H3837" s="17">
        <v>3828</v>
      </c>
      <c r="I3837" s="45">
        <v>0.67173262030620262</v>
      </c>
      <c r="J3837" s="45">
        <v>1.9525846969025821E-2</v>
      </c>
      <c r="K3837" s="45">
        <v>0.2462</v>
      </c>
      <c r="N3837" s="54"/>
    </row>
    <row r="3838" spans="2:14" x14ac:dyDescent="0.2">
      <c r="B3838">
        <v>3829</v>
      </c>
      <c r="C3838" s="52">
        <f ca="1"/>
        <v>-1.5614331203814216</v>
      </c>
      <c r="D3838" s="52">
        <f ca="1">S0*EXP((μ-0.5*σ*σ)*T+σ*SQRT(T)*$C3838)</f>
        <v>0.41813915304447519</v>
      </c>
      <c r="E3838" s="52">
        <f t="shared" ca="1" si="158"/>
        <v>0.1162608469555248</v>
      </c>
      <c r="F3838" s="17">
        <f t="shared" ca="1" si="159"/>
        <v>1</v>
      </c>
      <c r="H3838" s="17">
        <v>3829</v>
      </c>
      <c r="I3838" s="45">
        <v>0.67141865490119812</v>
      </c>
      <c r="J3838" s="45">
        <v>1.953396067982887E-2</v>
      </c>
      <c r="K3838" s="45">
        <v>0.25559999999999999</v>
      </c>
      <c r="N3838" s="54"/>
    </row>
    <row r="3839" spans="2:14" x14ac:dyDescent="0.2">
      <c r="B3839">
        <v>3830</v>
      </c>
      <c r="C3839" s="52">
        <f ca="1"/>
        <v>-0.49142343762363044</v>
      </c>
      <c r="D3839" s="52">
        <f ca="1">S0*EXP((μ-0.5*σ*σ)*T+σ*SQRT(T)*$C3839)</f>
        <v>0.56205501956709669</v>
      </c>
      <c r="E3839" s="52">
        <f t="shared" ca="1" si="158"/>
        <v>0</v>
      </c>
      <c r="F3839" s="17">
        <f t="shared" ca="1" si="159"/>
        <v>0</v>
      </c>
      <c r="H3839" s="17">
        <v>3830</v>
      </c>
      <c r="I3839" s="45">
        <v>0.67072994700885613</v>
      </c>
      <c r="J3839" s="45">
        <v>1.8838362734835672E-2</v>
      </c>
      <c r="K3839" s="45">
        <v>0.24959999999999999</v>
      </c>
      <c r="N3839" s="54"/>
    </row>
    <row r="3840" spans="2:14" x14ac:dyDescent="0.2">
      <c r="B3840">
        <v>3831</v>
      </c>
      <c r="C3840" s="52">
        <f ca="1"/>
        <v>0.54422050166647284</v>
      </c>
      <c r="D3840" s="52">
        <f ca="1">S0*EXP((μ-0.5*σ*σ)*T+σ*SQRT(T)*$C3840)</f>
        <v>0.74836093977925022</v>
      </c>
      <c r="E3840" s="52">
        <f t="shared" ca="1" si="158"/>
        <v>0</v>
      </c>
      <c r="F3840" s="17">
        <f t="shared" ca="1" si="159"/>
        <v>0</v>
      </c>
      <c r="H3840" s="17">
        <v>3831</v>
      </c>
      <c r="I3840" s="45">
        <v>0.67115951679981967</v>
      </c>
      <c r="J3840" s="45">
        <v>1.9209683097931619E-2</v>
      </c>
      <c r="K3840" s="45">
        <v>0.25419999999999998</v>
      </c>
      <c r="N3840" s="54"/>
    </row>
    <row r="3841" spans="2:14" x14ac:dyDescent="0.2">
      <c r="B3841">
        <v>3832</v>
      </c>
      <c r="C3841" s="52">
        <f ca="1"/>
        <v>-0.61810335938363148</v>
      </c>
      <c r="D3841" s="52">
        <f ca="1">S0*EXP((μ-0.5*σ*σ)*T+σ*SQRT(T)*$C3841)</f>
        <v>0.54271335845298929</v>
      </c>
      <c r="E3841" s="52">
        <f t="shared" ca="1" si="158"/>
        <v>0</v>
      </c>
      <c r="F3841" s="17">
        <f t="shared" ca="1" si="159"/>
        <v>0</v>
      </c>
      <c r="H3841" s="17">
        <v>3832</v>
      </c>
      <c r="I3841" s="45">
        <v>0.67069463963935361</v>
      </c>
      <c r="J3841" s="45">
        <v>1.8619581522301368E-2</v>
      </c>
      <c r="K3841" s="45">
        <v>0.24579999999999999</v>
      </c>
      <c r="N3841" s="54"/>
    </row>
    <row r="3842" spans="2:14" x14ac:dyDescent="0.2">
      <c r="B3842">
        <v>3833</v>
      </c>
      <c r="C3842" s="52">
        <f ca="1"/>
        <v>0.26997287179693341</v>
      </c>
      <c r="D3842" s="52">
        <f ca="1">S0*EXP((μ-0.5*σ*σ)*T+σ*SQRT(T)*$C3842)</f>
        <v>0.69372417551959586</v>
      </c>
      <c r="E3842" s="52">
        <f t="shared" ca="1" si="158"/>
        <v>0</v>
      </c>
      <c r="F3842" s="17">
        <f t="shared" ca="1" si="159"/>
        <v>0</v>
      </c>
      <c r="H3842" s="17">
        <v>3833</v>
      </c>
      <c r="I3842" s="45">
        <v>0.67001563825014332</v>
      </c>
      <c r="J3842" s="45">
        <v>1.8447194530995616E-2</v>
      </c>
      <c r="K3842" s="45">
        <v>0.24299999999999999</v>
      </c>
      <c r="N3842" s="54"/>
    </row>
    <row r="3843" spans="2:14" x14ac:dyDescent="0.2">
      <c r="B3843">
        <v>3834</v>
      </c>
      <c r="C3843" s="52">
        <f ca="1"/>
        <v>0.4742851960890852</v>
      </c>
      <c r="D3843" s="52">
        <f ca="1">S0*EXP((μ-0.5*σ*σ)*T+σ*SQRT(T)*$C3843)</f>
        <v>0.73403228241049223</v>
      </c>
      <c r="E3843" s="52">
        <f t="shared" ca="1" si="158"/>
        <v>0</v>
      </c>
      <c r="F3843" s="17">
        <f t="shared" ca="1" si="159"/>
        <v>0</v>
      </c>
      <c r="H3843" s="17">
        <v>3834</v>
      </c>
      <c r="I3843" s="45">
        <v>0.67102694692424791</v>
      </c>
      <c r="J3843" s="45">
        <v>1.9018596578275593E-2</v>
      </c>
      <c r="K3843" s="45">
        <v>0.2404</v>
      </c>
      <c r="N3843" s="54"/>
    </row>
    <row r="3844" spans="2:14" x14ac:dyDescent="0.2">
      <c r="B3844">
        <v>3835</v>
      </c>
      <c r="C3844" s="52">
        <f ca="1"/>
        <v>-0.76878780037719074</v>
      </c>
      <c r="D3844" s="52">
        <f ca="1">S0*EXP((μ-0.5*σ*σ)*T+σ*SQRT(T)*$C3844)</f>
        <v>0.52057148455864011</v>
      </c>
      <c r="E3844" s="52">
        <f t="shared" ca="1" si="158"/>
        <v>1.3828515441359879E-2</v>
      </c>
      <c r="F3844" s="17">
        <f t="shared" ca="1" si="159"/>
        <v>1</v>
      </c>
      <c r="H3844" s="17">
        <v>3835</v>
      </c>
      <c r="I3844" s="45">
        <v>0.67223901638465644</v>
      </c>
      <c r="J3844" s="45">
        <v>2.0075439898900146E-2</v>
      </c>
      <c r="K3844" s="45">
        <v>0.25240000000000001</v>
      </c>
      <c r="N3844" s="54"/>
    </row>
    <row r="3845" spans="2:14" x14ac:dyDescent="0.2">
      <c r="B3845">
        <v>3836</v>
      </c>
      <c r="C3845" s="52">
        <f ca="1"/>
        <v>0.28795606688797831</v>
      </c>
      <c r="D3845" s="52">
        <f ca="1">S0*EXP((μ-0.5*σ*σ)*T+σ*SQRT(T)*$C3845)</f>
        <v>0.69718136134374076</v>
      </c>
      <c r="E3845" s="52">
        <f t="shared" ca="1" si="158"/>
        <v>0</v>
      </c>
      <c r="F3845" s="17">
        <f t="shared" ca="1" si="159"/>
        <v>0</v>
      </c>
      <c r="H3845" s="17">
        <v>3836</v>
      </c>
      <c r="I3845" s="45">
        <v>0.67100597260617612</v>
      </c>
      <c r="J3845" s="45">
        <v>1.9013205622874608E-2</v>
      </c>
      <c r="K3845" s="45">
        <v>0.24840000000000001</v>
      </c>
      <c r="N3845" s="54"/>
    </row>
    <row r="3846" spans="2:14" x14ac:dyDescent="0.2">
      <c r="B3846">
        <v>3837</v>
      </c>
      <c r="C3846" s="52">
        <f ca="1"/>
        <v>1.0029822179587988</v>
      </c>
      <c r="D3846" s="52">
        <f ca="1">S0*EXP((μ-0.5*σ*σ)*T+σ*SQRT(T)*$C3846)</f>
        <v>0.84954597142116828</v>
      </c>
      <c r="E3846" s="52">
        <f t="shared" ca="1" si="158"/>
        <v>0</v>
      </c>
      <c r="F3846" s="17">
        <f t="shared" ca="1" si="159"/>
        <v>0</v>
      </c>
      <c r="H3846" s="17">
        <v>3837</v>
      </c>
      <c r="I3846" s="45">
        <v>0.67147461123415764</v>
      </c>
      <c r="J3846" s="45">
        <v>1.9461060655623193E-2</v>
      </c>
      <c r="K3846" s="45">
        <v>0.249</v>
      </c>
      <c r="N3846" s="54"/>
    </row>
    <row r="3847" spans="2:14" x14ac:dyDescent="0.2">
      <c r="B3847">
        <v>3838</v>
      </c>
      <c r="C3847" s="52">
        <f ca="1"/>
        <v>0.47375742742862731</v>
      </c>
      <c r="D3847" s="52">
        <f ca="1">S0*EXP((μ-0.5*σ*σ)*T+σ*SQRT(T)*$C3847)</f>
        <v>0.73392520047799703</v>
      </c>
      <c r="E3847" s="52">
        <f t="shared" ca="1" si="158"/>
        <v>0</v>
      </c>
      <c r="F3847" s="17">
        <f t="shared" ca="1" si="159"/>
        <v>0</v>
      </c>
      <c r="H3847" s="17">
        <v>3838</v>
      </c>
      <c r="I3847" s="45">
        <v>0.67093412533505459</v>
      </c>
      <c r="J3847" s="45">
        <v>1.897191198812069E-2</v>
      </c>
      <c r="K3847" s="45">
        <v>0.2366</v>
      </c>
      <c r="N3847" s="54"/>
    </row>
    <row r="3848" spans="2:14" x14ac:dyDescent="0.2">
      <c r="B3848">
        <v>3839</v>
      </c>
      <c r="C3848" s="52">
        <f ca="1"/>
        <v>-0.23568238879535489</v>
      </c>
      <c r="D3848" s="52">
        <f ca="1">S0*EXP((μ-0.5*σ*σ)*T+σ*SQRT(T)*$C3848)</f>
        <v>0.6032277893397977</v>
      </c>
      <c r="E3848" s="52">
        <f t="shared" ca="1" si="158"/>
        <v>0</v>
      </c>
      <c r="F3848" s="17">
        <f t="shared" ca="1" si="159"/>
        <v>0</v>
      </c>
      <c r="H3848" s="17">
        <v>3839</v>
      </c>
      <c r="I3848" s="45">
        <v>0.67061351264131186</v>
      </c>
      <c r="J3848" s="45">
        <v>1.8895890170655388E-2</v>
      </c>
      <c r="K3848" s="45">
        <v>0.2432</v>
      </c>
      <c r="N3848" s="54"/>
    </row>
    <row r="3849" spans="2:14" x14ac:dyDescent="0.2">
      <c r="B3849">
        <v>3840</v>
      </c>
      <c r="C3849" s="52">
        <f ca="1"/>
        <v>-1.5494879110377302</v>
      </c>
      <c r="D3849" s="52">
        <f ca="1">S0*EXP((μ-0.5*σ*σ)*T+σ*SQRT(T)*$C3849)</f>
        <v>0.41952214912563757</v>
      </c>
      <c r="E3849" s="52">
        <f t="shared" ca="1" si="158"/>
        <v>0.11487785087436242</v>
      </c>
      <c r="F3849" s="17">
        <f t="shared" ca="1" si="159"/>
        <v>1</v>
      </c>
      <c r="H3849" s="17">
        <v>3840</v>
      </c>
      <c r="I3849" s="45">
        <v>0.67094042612983573</v>
      </c>
      <c r="J3849" s="45">
        <v>1.9027119373785269E-2</v>
      </c>
      <c r="K3849" s="45">
        <v>0.24779999999999999</v>
      </c>
      <c r="N3849" s="54"/>
    </row>
    <row r="3850" spans="2:14" x14ac:dyDescent="0.2">
      <c r="B3850">
        <v>3841</v>
      </c>
      <c r="C3850" s="52">
        <f ca="1"/>
        <v>0.67517824714752661</v>
      </c>
      <c r="D3850" s="52">
        <f ca="1">S0*EXP((μ-0.5*σ*σ)*T+σ*SQRT(T)*$C3850)</f>
        <v>0.7759486769786581</v>
      </c>
      <c r="E3850" s="52">
        <f t="shared" ref="E3850:E3913" ca="1" si="160">MAX(0,CP*(D3850-K))</f>
        <v>0</v>
      </c>
      <c r="F3850" s="17">
        <f t="shared" ref="F3850:F3913" ca="1" si="161">(CP*(D3850-K)&gt;0)*1</f>
        <v>0</v>
      </c>
      <c r="H3850" s="17">
        <v>3841</v>
      </c>
      <c r="I3850" s="45">
        <v>0.67167245471708814</v>
      </c>
      <c r="J3850" s="45">
        <v>1.9474591646133653E-2</v>
      </c>
      <c r="K3850" s="45">
        <v>0.24660000000000001</v>
      </c>
      <c r="N3850" s="54"/>
    </row>
    <row r="3851" spans="2:14" x14ac:dyDescent="0.2">
      <c r="B3851">
        <v>3842</v>
      </c>
      <c r="C3851" s="52">
        <f ca="1"/>
        <v>0.71228656195615991</v>
      </c>
      <c r="D3851" s="52">
        <f ca="1">S0*EXP((μ-0.5*σ*σ)*T+σ*SQRT(T)*$C3851)</f>
        <v>0.78394928032740752</v>
      </c>
      <c r="E3851" s="52">
        <f t="shared" ca="1" si="160"/>
        <v>0</v>
      </c>
      <c r="F3851" s="17">
        <f t="shared" ca="1" si="161"/>
        <v>0</v>
      </c>
      <c r="H3851" s="17">
        <v>3842</v>
      </c>
      <c r="I3851" s="45">
        <v>0.67083794984857181</v>
      </c>
      <c r="J3851" s="45">
        <v>1.8932585145727716E-2</v>
      </c>
      <c r="K3851" s="45">
        <v>0.2412</v>
      </c>
      <c r="N3851" s="54"/>
    </row>
    <row r="3852" spans="2:14" x14ac:dyDescent="0.2">
      <c r="B3852">
        <v>3843</v>
      </c>
      <c r="C3852" s="52">
        <f ca="1"/>
        <v>0.13945684318155352</v>
      </c>
      <c r="D3852" s="52">
        <f ca="1">S0*EXP((μ-0.5*σ*σ)*T+σ*SQRT(T)*$C3852)</f>
        <v>0.66914151246949116</v>
      </c>
      <c r="E3852" s="52">
        <f t="shared" ca="1" si="160"/>
        <v>0</v>
      </c>
      <c r="F3852" s="17">
        <f t="shared" ca="1" si="161"/>
        <v>0</v>
      </c>
      <c r="H3852" s="17">
        <v>3843</v>
      </c>
      <c r="I3852" s="45">
        <v>0.67108372904877678</v>
      </c>
      <c r="J3852" s="45">
        <v>1.8865479430045361E-2</v>
      </c>
      <c r="K3852" s="45">
        <v>0.24840000000000001</v>
      </c>
      <c r="N3852" s="54"/>
    </row>
    <row r="3853" spans="2:14" x14ac:dyDescent="0.2">
      <c r="B3853">
        <v>3844</v>
      </c>
      <c r="C3853" s="52">
        <f ca="1"/>
        <v>2.0114171323809282</v>
      </c>
      <c r="D3853" s="52">
        <f ca="1">S0*EXP((μ-0.5*σ*σ)*T+σ*SQRT(T)*$C3853)</f>
        <v>1.1226713441602163</v>
      </c>
      <c r="E3853" s="52">
        <f t="shared" ca="1" si="160"/>
        <v>0</v>
      </c>
      <c r="F3853" s="17">
        <f t="shared" ca="1" si="161"/>
        <v>0</v>
      </c>
      <c r="H3853" s="17">
        <v>3844</v>
      </c>
      <c r="I3853" s="45">
        <v>0.67154433695071425</v>
      </c>
      <c r="J3853" s="45">
        <v>1.941564676580879E-2</v>
      </c>
      <c r="K3853" s="45">
        <v>0.24640000000000001</v>
      </c>
      <c r="N3853" s="54"/>
    </row>
    <row r="3854" spans="2:14" x14ac:dyDescent="0.2">
      <c r="B3854">
        <v>3845</v>
      </c>
      <c r="C3854" s="52">
        <f ca="1"/>
        <v>-1.7160719323833424</v>
      </c>
      <c r="D3854" s="52">
        <f ca="1">S0*EXP((μ-0.5*σ*σ)*T+σ*SQRT(T)*$C3854)</f>
        <v>0.40064152855041507</v>
      </c>
      <c r="E3854" s="52">
        <f t="shared" ca="1" si="160"/>
        <v>0.13375847144958491</v>
      </c>
      <c r="F3854" s="17">
        <f t="shared" ca="1" si="161"/>
        <v>1</v>
      </c>
      <c r="H3854" s="17">
        <v>3845</v>
      </c>
      <c r="I3854" s="45">
        <v>0.66981579074355369</v>
      </c>
      <c r="J3854" s="45">
        <v>1.8065579411788543E-2</v>
      </c>
      <c r="K3854" s="45">
        <v>0.2382</v>
      </c>
      <c r="N3854" s="54"/>
    </row>
    <row r="3855" spans="2:14" x14ac:dyDescent="0.2">
      <c r="B3855">
        <v>3846</v>
      </c>
      <c r="C3855" s="52">
        <f ca="1"/>
        <v>1.164010898208387</v>
      </c>
      <c r="D3855" s="52">
        <f ca="1">S0*EXP((μ-0.5*σ*σ)*T+σ*SQRT(T)*$C3855)</f>
        <v>0.88821658764023148</v>
      </c>
      <c r="E3855" s="52">
        <f t="shared" ca="1" si="160"/>
        <v>0</v>
      </c>
      <c r="F3855" s="17">
        <f t="shared" ca="1" si="161"/>
        <v>0</v>
      </c>
      <c r="H3855" s="17">
        <v>3846</v>
      </c>
      <c r="I3855" s="45">
        <v>0.67107666430680124</v>
      </c>
      <c r="J3855" s="45">
        <v>1.9137926719952278E-2</v>
      </c>
      <c r="K3855" s="45">
        <v>0.24199999999999999</v>
      </c>
      <c r="N3855" s="54"/>
    </row>
    <row r="3856" spans="2:14" x14ac:dyDescent="0.2">
      <c r="B3856">
        <v>3847</v>
      </c>
      <c r="C3856" s="52">
        <f ca="1"/>
        <v>0.99627441204210887</v>
      </c>
      <c r="D3856" s="52">
        <f ca="1">S0*EXP((μ-0.5*σ*σ)*T+σ*SQRT(T)*$C3856)</f>
        <v>0.84797215558626371</v>
      </c>
      <c r="E3856" s="52">
        <f t="shared" ca="1" si="160"/>
        <v>0</v>
      </c>
      <c r="F3856" s="17">
        <f t="shared" ca="1" si="161"/>
        <v>0</v>
      </c>
      <c r="H3856" s="17">
        <v>3847</v>
      </c>
      <c r="I3856" s="45">
        <v>0.67022317270546938</v>
      </c>
      <c r="J3856" s="45">
        <v>1.8712470349611023E-2</v>
      </c>
      <c r="K3856" s="45">
        <v>0.24859999999999999</v>
      </c>
      <c r="N3856" s="54"/>
    </row>
    <row r="3857" spans="2:14" x14ac:dyDescent="0.2">
      <c r="B3857">
        <v>3848</v>
      </c>
      <c r="C3857" s="52">
        <f ca="1"/>
        <v>0.34147003129930664</v>
      </c>
      <c r="D3857" s="52">
        <f ca="1">S0*EXP((μ-0.5*σ*σ)*T+σ*SQRT(T)*$C3857)</f>
        <v>0.70757142562256137</v>
      </c>
      <c r="E3857" s="52">
        <f t="shared" ca="1" si="160"/>
        <v>0</v>
      </c>
      <c r="F3857" s="17">
        <f t="shared" ca="1" si="161"/>
        <v>0</v>
      </c>
      <c r="H3857" s="17">
        <v>3848</v>
      </c>
      <c r="I3857" s="45">
        <v>0.67084438671363056</v>
      </c>
      <c r="J3857" s="45">
        <v>1.9043131875083424E-2</v>
      </c>
      <c r="K3857" s="45">
        <v>0.24640000000000001</v>
      </c>
      <c r="N3857" s="54"/>
    </row>
    <row r="3858" spans="2:14" x14ac:dyDescent="0.2">
      <c r="B3858">
        <v>3849</v>
      </c>
      <c r="C3858" s="52">
        <f ca="1"/>
        <v>-0.53976571392193762</v>
      </c>
      <c r="D3858" s="52">
        <f ca="1">S0*EXP((μ-0.5*σ*σ)*T+σ*SQRT(T)*$C3858)</f>
        <v>0.55459402953260695</v>
      </c>
      <c r="E3858" s="52">
        <f t="shared" ca="1" si="160"/>
        <v>0</v>
      </c>
      <c r="F3858" s="17">
        <f t="shared" ca="1" si="161"/>
        <v>0</v>
      </c>
      <c r="H3858" s="17">
        <v>3849</v>
      </c>
      <c r="I3858" s="45">
        <v>0.67128201777890395</v>
      </c>
      <c r="J3858" s="45">
        <v>1.9218226777522714E-2</v>
      </c>
      <c r="K3858" s="45">
        <v>0.24759999999999999</v>
      </c>
      <c r="N3858" s="54"/>
    </row>
    <row r="3859" spans="2:14" x14ac:dyDescent="0.2">
      <c r="B3859">
        <v>3850</v>
      </c>
      <c r="C3859" s="52">
        <f ca="1"/>
        <v>-0.81320906478578436</v>
      </c>
      <c r="D3859" s="52">
        <f ca="1">S0*EXP((μ-0.5*σ*σ)*T+σ*SQRT(T)*$C3859)</f>
        <v>0.51421822372057957</v>
      </c>
      <c r="E3859" s="52">
        <f t="shared" ca="1" si="160"/>
        <v>2.0181776279420416E-2</v>
      </c>
      <c r="F3859" s="17">
        <f t="shared" ca="1" si="161"/>
        <v>1</v>
      </c>
      <c r="H3859" s="17">
        <v>3850</v>
      </c>
      <c r="I3859" s="45">
        <v>0.67138004775418081</v>
      </c>
      <c r="J3859" s="45">
        <v>1.9547772715430057E-2</v>
      </c>
      <c r="K3859" s="45">
        <v>0.25240000000000001</v>
      </c>
      <c r="N3859" s="54"/>
    </row>
    <row r="3860" spans="2:14" x14ac:dyDescent="0.2">
      <c r="B3860">
        <v>3851</v>
      </c>
      <c r="C3860" s="52">
        <f ca="1"/>
        <v>-0.68107301137133047</v>
      </c>
      <c r="D3860" s="52">
        <f ca="1">S0*EXP((μ-0.5*σ*σ)*T+σ*SQRT(T)*$C3860)</f>
        <v>0.53334816920190953</v>
      </c>
      <c r="E3860" s="52">
        <f t="shared" ca="1" si="160"/>
        <v>1.0518307980904584E-3</v>
      </c>
      <c r="F3860" s="17">
        <f t="shared" ca="1" si="161"/>
        <v>1</v>
      </c>
      <c r="H3860" s="17">
        <v>3851</v>
      </c>
      <c r="I3860" s="45">
        <v>0.67064022270207024</v>
      </c>
      <c r="J3860" s="45">
        <v>1.8923243147597732E-2</v>
      </c>
      <c r="K3860" s="45">
        <v>0.2424</v>
      </c>
      <c r="N3860" s="54"/>
    </row>
    <row r="3861" spans="2:14" x14ac:dyDescent="0.2">
      <c r="B3861">
        <v>3852</v>
      </c>
      <c r="C3861" s="52">
        <f ca="1"/>
        <v>0.64348185659153667</v>
      </c>
      <c r="D3861" s="52">
        <f ca="1">S0*EXP((μ-0.5*σ*σ)*T+σ*SQRT(T)*$C3861)</f>
        <v>0.76917958068229275</v>
      </c>
      <c r="E3861" s="52">
        <f t="shared" ca="1" si="160"/>
        <v>0</v>
      </c>
      <c r="F3861" s="17">
        <f t="shared" ca="1" si="161"/>
        <v>0</v>
      </c>
      <c r="H3861" s="17">
        <v>3852</v>
      </c>
      <c r="I3861" s="45">
        <v>0.67079741896342682</v>
      </c>
      <c r="J3861" s="45">
        <v>1.9002785643820873E-2</v>
      </c>
      <c r="K3861" s="45">
        <v>0.24440000000000001</v>
      </c>
      <c r="N3861" s="54"/>
    </row>
    <row r="3862" spans="2:14" x14ac:dyDescent="0.2">
      <c r="B3862">
        <v>3853</v>
      </c>
      <c r="C3862" s="52">
        <f ca="1"/>
        <v>-0.37710316595772192</v>
      </c>
      <c r="D3862" s="52">
        <f ca="1">S0*EXP((μ-0.5*σ*σ)*T+σ*SQRT(T)*$C3862)</f>
        <v>0.58010062778407345</v>
      </c>
      <c r="E3862" s="52">
        <f t="shared" ca="1" si="160"/>
        <v>0</v>
      </c>
      <c r="F3862" s="17">
        <f t="shared" ca="1" si="161"/>
        <v>0</v>
      </c>
      <c r="H3862" s="17">
        <v>3853</v>
      </c>
      <c r="I3862" s="45">
        <v>0.67019681624419836</v>
      </c>
      <c r="J3862" s="45">
        <v>1.8707412511771191E-2</v>
      </c>
      <c r="K3862" s="45">
        <v>0.24399999999999999</v>
      </c>
      <c r="N3862" s="54"/>
    </row>
    <row r="3863" spans="2:14" x14ac:dyDescent="0.2">
      <c r="B3863">
        <v>3854</v>
      </c>
      <c r="C3863" s="52">
        <f ca="1"/>
        <v>1.3970971379644106</v>
      </c>
      <c r="D3863" s="52">
        <f ca="1">S0*EXP((μ-0.5*σ*σ)*T+σ*SQRT(T)*$C3863)</f>
        <v>0.94733069337063858</v>
      </c>
      <c r="E3863" s="52">
        <f t="shared" ca="1" si="160"/>
        <v>0</v>
      </c>
      <c r="F3863" s="17">
        <f t="shared" ca="1" si="161"/>
        <v>0</v>
      </c>
      <c r="H3863" s="17">
        <v>3854</v>
      </c>
      <c r="I3863" s="45">
        <v>0.67085924520625573</v>
      </c>
      <c r="J3863" s="45">
        <v>1.8747141219257545E-2</v>
      </c>
      <c r="K3863" s="45">
        <v>0.24479999999999999</v>
      </c>
      <c r="N3863" s="54"/>
    </row>
    <row r="3864" spans="2:14" x14ac:dyDescent="0.2">
      <c r="B3864">
        <v>3855</v>
      </c>
      <c r="C3864" s="52">
        <f ca="1"/>
        <v>0.67187098002889223</v>
      </c>
      <c r="D3864" s="52">
        <f ca="1">S0*EXP((μ-0.5*σ*σ)*T+σ*SQRT(T)*$C3864)</f>
        <v>0.77523960082017962</v>
      </c>
      <c r="E3864" s="52">
        <f t="shared" ca="1" si="160"/>
        <v>0</v>
      </c>
      <c r="F3864" s="17">
        <f t="shared" ca="1" si="161"/>
        <v>0</v>
      </c>
      <c r="H3864" s="17">
        <v>3855</v>
      </c>
      <c r="I3864" s="45">
        <v>0.67012475687673911</v>
      </c>
      <c r="J3864" s="45">
        <v>1.8389178458529082E-2</v>
      </c>
      <c r="K3864" s="45">
        <v>0.24540000000000001</v>
      </c>
      <c r="N3864" s="54"/>
    </row>
    <row r="3865" spans="2:14" x14ac:dyDescent="0.2">
      <c r="B3865">
        <v>3856</v>
      </c>
      <c r="C3865" s="52">
        <f ca="1"/>
        <v>-1.0506382294336112</v>
      </c>
      <c r="D3865" s="52">
        <f ca="1">S0*EXP((μ-0.5*σ*σ)*T+σ*SQRT(T)*$C3865)</f>
        <v>0.48155217972763342</v>
      </c>
      <c r="E3865" s="52">
        <f t="shared" ca="1" si="160"/>
        <v>5.2847820272366564E-2</v>
      </c>
      <c r="F3865" s="17">
        <f t="shared" ca="1" si="161"/>
        <v>1</v>
      </c>
      <c r="H3865" s="17">
        <v>3856</v>
      </c>
      <c r="I3865" s="45">
        <v>0.67196974252004038</v>
      </c>
      <c r="J3865" s="45">
        <v>1.9739914234854321E-2</v>
      </c>
      <c r="K3865" s="45">
        <v>0.249</v>
      </c>
      <c r="N3865" s="54"/>
    </row>
    <row r="3866" spans="2:14" x14ac:dyDescent="0.2">
      <c r="B3866">
        <v>3857</v>
      </c>
      <c r="C3866" s="52">
        <f ca="1"/>
        <v>-0.10043231418420591</v>
      </c>
      <c r="D3866" s="52">
        <f ca="1">S0*EXP((μ-0.5*σ*σ)*T+σ*SQRT(T)*$C3866)</f>
        <v>0.62620788679396477</v>
      </c>
      <c r="E3866" s="52">
        <f t="shared" ca="1" si="160"/>
        <v>0</v>
      </c>
      <c r="F3866" s="17">
        <f t="shared" ca="1" si="161"/>
        <v>0</v>
      </c>
      <c r="H3866" s="17">
        <v>3857</v>
      </c>
      <c r="I3866" s="45">
        <v>0.67059929238700844</v>
      </c>
      <c r="J3866" s="45">
        <v>1.9040090622444619E-2</v>
      </c>
      <c r="K3866" s="45">
        <v>0.25059999999999999</v>
      </c>
      <c r="N3866" s="54"/>
    </row>
    <row r="3867" spans="2:14" x14ac:dyDescent="0.2">
      <c r="B3867">
        <v>3858</v>
      </c>
      <c r="C3867" s="52">
        <f ca="1"/>
        <v>0.68335387001057324</v>
      </c>
      <c r="D3867" s="52">
        <f ca="1">S0*EXP((μ-0.5*σ*σ)*T+σ*SQRT(T)*$C3867)</f>
        <v>0.77770431030096676</v>
      </c>
      <c r="E3867" s="52">
        <f t="shared" ca="1" si="160"/>
        <v>0</v>
      </c>
      <c r="F3867" s="17">
        <f t="shared" ca="1" si="161"/>
        <v>0</v>
      </c>
      <c r="H3867" s="17">
        <v>3858</v>
      </c>
      <c r="I3867" s="45">
        <v>0.66976464094830634</v>
      </c>
      <c r="J3867" s="45">
        <v>1.8195686868535097E-2</v>
      </c>
      <c r="K3867" s="45">
        <v>0.24440000000000001</v>
      </c>
      <c r="N3867" s="54"/>
    </row>
    <row r="3868" spans="2:14" x14ac:dyDescent="0.2">
      <c r="B3868">
        <v>3859</v>
      </c>
      <c r="C3868" s="52">
        <f ca="1"/>
        <v>-1.9387029956022155</v>
      </c>
      <c r="D3868" s="52">
        <f ca="1">S0*EXP((μ-0.5*σ*σ)*T+σ*SQRT(T)*$C3868)</f>
        <v>0.37672844371687764</v>
      </c>
      <c r="E3868" s="52">
        <f t="shared" ca="1" si="160"/>
        <v>0.15767155628312235</v>
      </c>
      <c r="F3868" s="17">
        <f t="shared" ca="1" si="161"/>
        <v>1</v>
      </c>
      <c r="H3868" s="17">
        <v>3859</v>
      </c>
      <c r="I3868" s="45">
        <v>0.67177750616904097</v>
      </c>
      <c r="J3868" s="45">
        <v>1.998205562191251E-2</v>
      </c>
      <c r="K3868" s="45">
        <v>0.25419999999999998</v>
      </c>
      <c r="N3868" s="54"/>
    </row>
    <row r="3869" spans="2:14" x14ac:dyDescent="0.2">
      <c r="B3869">
        <v>3860</v>
      </c>
      <c r="C3869" s="52">
        <f ca="1"/>
        <v>0.32306792930714229</v>
      </c>
      <c r="D3869" s="52">
        <f ca="1">S0*EXP((μ-0.5*σ*σ)*T+σ*SQRT(T)*$C3869)</f>
        <v>0.70398119212322019</v>
      </c>
      <c r="E3869" s="52">
        <f t="shared" ca="1" si="160"/>
        <v>0</v>
      </c>
      <c r="F3869" s="17">
        <f t="shared" ca="1" si="161"/>
        <v>0</v>
      </c>
      <c r="H3869" s="17">
        <v>3860</v>
      </c>
      <c r="I3869" s="45">
        <v>0.67052271719081635</v>
      </c>
      <c r="J3869" s="45">
        <v>1.8778003425355776E-2</v>
      </c>
      <c r="K3869" s="45">
        <v>0.2482</v>
      </c>
      <c r="N3869" s="54"/>
    </row>
    <row r="3870" spans="2:14" x14ac:dyDescent="0.2">
      <c r="B3870">
        <v>3861</v>
      </c>
      <c r="C3870" s="52">
        <f ca="1"/>
        <v>-0.1990598557250344</v>
      </c>
      <c r="D3870" s="52">
        <f ca="1">S0*EXP((μ-0.5*σ*σ)*T+σ*SQRT(T)*$C3870)</f>
        <v>0.60936567821208854</v>
      </c>
      <c r="E3870" s="52">
        <f t="shared" ca="1" si="160"/>
        <v>0</v>
      </c>
      <c r="F3870" s="17">
        <f t="shared" ca="1" si="161"/>
        <v>0</v>
      </c>
      <c r="H3870" s="17">
        <v>3861</v>
      </c>
      <c r="I3870" s="45">
        <v>0.67143627815362261</v>
      </c>
      <c r="J3870" s="45">
        <v>1.9361512205587461E-2</v>
      </c>
      <c r="K3870" s="45">
        <v>0.25359999999999999</v>
      </c>
      <c r="N3870" s="54"/>
    </row>
    <row r="3871" spans="2:14" x14ac:dyDescent="0.2">
      <c r="B3871">
        <v>3862</v>
      </c>
      <c r="C3871" s="52">
        <f ca="1"/>
        <v>0.27819172184681068</v>
      </c>
      <c r="D3871" s="52">
        <f ca="1">S0*EXP((μ-0.5*σ*σ)*T+σ*SQRT(T)*$C3871)</f>
        <v>0.6953020790612493</v>
      </c>
      <c r="E3871" s="52">
        <f t="shared" ca="1" si="160"/>
        <v>0</v>
      </c>
      <c r="F3871" s="17">
        <f t="shared" ca="1" si="161"/>
        <v>0</v>
      </c>
      <c r="H3871" s="17">
        <v>3862</v>
      </c>
      <c r="I3871" s="45">
        <v>0.67131628676358202</v>
      </c>
      <c r="J3871" s="45">
        <v>1.9196687409635767E-2</v>
      </c>
      <c r="K3871" s="45">
        <v>0.24740000000000001</v>
      </c>
      <c r="N3871" s="54"/>
    </row>
    <row r="3872" spans="2:14" x14ac:dyDescent="0.2">
      <c r="B3872">
        <v>3863</v>
      </c>
      <c r="C3872" s="52">
        <f ca="1"/>
        <v>-1.2468456554358034</v>
      </c>
      <c r="D3872" s="52">
        <f ca="1">S0*EXP((μ-0.5*σ*σ)*T+σ*SQRT(T)*$C3872)</f>
        <v>0.45612937329405645</v>
      </c>
      <c r="E3872" s="52">
        <f t="shared" ca="1" si="160"/>
        <v>7.8270626705943536E-2</v>
      </c>
      <c r="F3872" s="17">
        <f t="shared" ca="1" si="161"/>
        <v>1</v>
      </c>
      <c r="H3872" s="17">
        <v>3863</v>
      </c>
      <c r="I3872" s="45">
        <v>0.67025621094599008</v>
      </c>
      <c r="J3872" s="45">
        <v>1.8650411249761085E-2</v>
      </c>
      <c r="K3872" s="45">
        <v>0.23760000000000001</v>
      </c>
      <c r="N3872" s="54"/>
    </row>
    <row r="3873" spans="2:14" x14ac:dyDescent="0.2">
      <c r="B3873">
        <v>3864</v>
      </c>
      <c r="C3873" s="52">
        <f ca="1"/>
        <v>0.1091868370729923</v>
      </c>
      <c r="D3873" s="52">
        <f ca="1">S0*EXP((μ-0.5*σ*σ)*T+σ*SQRT(T)*$C3873)</f>
        <v>0.66356575510272342</v>
      </c>
      <c r="E3873" s="52">
        <f t="shared" ca="1" si="160"/>
        <v>0</v>
      </c>
      <c r="F3873" s="17">
        <f t="shared" ca="1" si="161"/>
        <v>0</v>
      </c>
      <c r="H3873" s="17">
        <v>3864</v>
      </c>
      <c r="I3873" s="45">
        <v>0.67048047642061148</v>
      </c>
      <c r="J3873" s="45">
        <v>1.8792865099914857E-2</v>
      </c>
      <c r="K3873" s="45">
        <v>0.24479999999999999</v>
      </c>
      <c r="N3873" s="54"/>
    </row>
    <row r="3874" spans="2:14" x14ac:dyDescent="0.2">
      <c r="B3874">
        <v>3865</v>
      </c>
      <c r="C3874" s="52">
        <f ca="1"/>
        <v>5.1479467815183311E-2</v>
      </c>
      <c r="D3874" s="52">
        <f ca="1">S0*EXP((μ-0.5*σ*σ)*T+σ*SQRT(T)*$C3874)</f>
        <v>0.6530644084865268</v>
      </c>
      <c r="E3874" s="52">
        <f t="shared" ca="1" si="160"/>
        <v>0</v>
      </c>
      <c r="F3874" s="17">
        <f t="shared" ca="1" si="161"/>
        <v>0</v>
      </c>
      <c r="H3874" s="17">
        <v>3865</v>
      </c>
      <c r="I3874" s="45">
        <v>0.66964909982933929</v>
      </c>
      <c r="J3874" s="45">
        <v>1.7774754412778496E-2</v>
      </c>
      <c r="K3874" s="45">
        <v>0.24399999999999999</v>
      </c>
      <c r="N3874" s="54"/>
    </row>
    <row r="3875" spans="2:14" x14ac:dyDescent="0.2">
      <c r="B3875">
        <v>3866</v>
      </c>
      <c r="C3875" s="52">
        <f ca="1"/>
        <v>1.0499310197453269</v>
      </c>
      <c r="D3875" s="52">
        <f ca="1">S0*EXP((μ-0.5*σ*σ)*T+σ*SQRT(T)*$C3875)</f>
        <v>0.8606433842504807</v>
      </c>
      <c r="E3875" s="52">
        <f t="shared" ca="1" si="160"/>
        <v>0</v>
      </c>
      <c r="F3875" s="17">
        <f t="shared" ca="1" si="161"/>
        <v>0</v>
      </c>
      <c r="H3875" s="17">
        <v>3866</v>
      </c>
      <c r="I3875" s="45">
        <v>0.67061588815619622</v>
      </c>
      <c r="J3875" s="45">
        <v>1.8697392270148511E-2</v>
      </c>
      <c r="K3875" s="45">
        <v>0.24379999999999999</v>
      </c>
      <c r="N3875" s="54"/>
    </row>
    <row r="3876" spans="2:14" x14ac:dyDescent="0.2">
      <c r="B3876">
        <v>3867</v>
      </c>
      <c r="C3876" s="52">
        <f ca="1"/>
        <v>1.0815347754072246</v>
      </c>
      <c r="D3876" s="52">
        <f ca="1">S0*EXP((μ-0.5*σ*σ)*T+σ*SQRT(T)*$C3876)</f>
        <v>0.86819516717667755</v>
      </c>
      <c r="E3876" s="52">
        <f t="shared" ca="1" si="160"/>
        <v>0</v>
      </c>
      <c r="F3876" s="17">
        <f t="shared" ca="1" si="161"/>
        <v>0</v>
      </c>
      <c r="H3876" s="17">
        <v>3867</v>
      </c>
      <c r="I3876" s="45">
        <v>0.66971980305127121</v>
      </c>
      <c r="J3876" s="45">
        <v>1.7765687092162797E-2</v>
      </c>
      <c r="K3876" s="45">
        <v>0.2384</v>
      </c>
      <c r="N3876" s="54"/>
    </row>
    <row r="3877" spans="2:14" x14ac:dyDescent="0.2">
      <c r="B3877">
        <v>3868</v>
      </c>
      <c r="C3877" s="52">
        <f ca="1"/>
        <v>1.1125234980664562</v>
      </c>
      <c r="D3877" s="52">
        <f ca="1">S0*EXP((μ-0.5*σ*σ)*T+σ*SQRT(T)*$C3877)</f>
        <v>0.87566432498459124</v>
      </c>
      <c r="E3877" s="52">
        <f t="shared" ca="1" si="160"/>
        <v>0</v>
      </c>
      <c r="F3877" s="17">
        <f t="shared" ca="1" si="161"/>
        <v>0</v>
      </c>
      <c r="H3877" s="17">
        <v>3868</v>
      </c>
      <c r="I3877" s="45">
        <v>0.67219670879193594</v>
      </c>
      <c r="J3877" s="45">
        <v>2.0141842509085784E-2</v>
      </c>
      <c r="K3877" s="45">
        <v>0.25380000000000003</v>
      </c>
      <c r="N3877" s="54"/>
    </row>
    <row r="3878" spans="2:14" x14ac:dyDescent="0.2">
      <c r="B3878">
        <v>3869</v>
      </c>
      <c r="C3878" s="52">
        <f ca="1"/>
        <v>-1.4060709549787014</v>
      </c>
      <c r="D3878" s="52">
        <f ca="1">S0*EXP((μ-0.5*σ*σ)*T+σ*SQRT(T)*$C3878)</f>
        <v>0.43648823983295426</v>
      </c>
      <c r="E3878" s="52">
        <f t="shared" ca="1" si="160"/>
        <v>9.7911760167045725E-2</v>
      </c>
      <c r="F3878" s="17">
        <f t="shared" ca="1" si="161"/>
        <v>1</v>
      </c>
      <c r="H3878" s="17">
        <v>3869</v>
      </c>
      <c r="I3878" s="45">
        <v>0.67117833247764758</v>
      </c>
      <c r="J3878" s="45">
        <v>1.9154561662320223E-2</v>
      </c>
      <c r="K3878" s="45">
        <v>0.25</v>
      </c>
      <c r="N3878" s="54"/>
    </row>
    <row r="3879" spans="2:14" x14ac:dyDescent="0.2">
      <c r="B3879">
        <v>3870</v>
      </c>
      <c r="C3879" s="52">
        <f ca="1"/>
        <v>-0.39790019731986398</v>
      </c>
      <c r="D3879" s="52">
        <f ca="1">S0*EXP((μ-0.5*σ*σ)*T+σ*SQRT(T)*$C3879)</f>
        <v>0.5767752114325313</v>
      </c>
      <c r="E3879" s="52">
        <f t="shared" ca="1" si="160"/>
        <v>0</v>
      </c>
      <c r="F3879" s="17">
        <f t="shared" ca="1" si="161"/>
        <v>0</v>
      </c>
      <c r="H3879" s="17">
        <v>3870</v>
      </c>
      <c r="I3879" s="45">
        <v>0.67142851134736126</v>
      </c>
      <c r="J3879" s="45">
        <v>1.937729719821259E-2</v>
      </c>
      <c r="K3879" s="45">
        <v>0.25019999999999998</v>
      </c>
      <c r="N3879" s="54"/>
    </row>
    <row r="3880" spans="2:14" x14ac:dyDescent="0.2">
      <c r="B3880">
        <v>3871</v>
      </c>
      <c r="C3880" s="52">
        <f ca="1"/>
        <v>0.46454402879667267</v>
      </c>
      <c r="D3880" s="52">
        <f ca="1">S0*EXP((μ-0.5*σ*σ)*T+σ*SQRT(T)*$C3880)</f>
        <v>0.73205835723250023</v>
      </c>
      <c r="E3880" s="52">
        <f t="shared" ca="1" si="160"/>
        <v>0</v>
      </c>
      <c r="F3880" s="17">
        <f t="shared" ca="1" si="161"/>
        <v>0</v>
      </c>
      <c r="H3880" s="17">
        <v>3871</v>
      </c>
      <c r="I3880" s="45">
        <v>0.67192226074851258</v>
      </c>
      <c r="J3880" s="45">
        <v>1.9610324143619552E-2</v>
      </c>
      <c r="K3880" s="45">
        <v>0.25159999999999999</v>
      </c>
      <c r="N3880" s="54"/>
    </row>
    <row r="3881" spans="2:14" x14ac:dyDescent="0.2">
      <c r="B3881">
        <v>3872</v>
      </c>
      <c r="C3881" s="52">
        <f ca="1"/>
        <v>-4.8656148338144578E-2</v>
      </c>
      <c r="D3881" s="52">
        <f ca="1">S0*EXP((μ-0.5*σ*σ)*T+σ*SQRT(T)*$C3881)</f>
        <v>0.63523500633291441</v>
      </c>
      <c r="E3881" s="52">
        <f t="shared" ca="1" si="160"/>
        <v>0</v>
      </c>
      <c r="F3881" s="17">
        <f t="shared" ca="1" si="161"/>
        <v>0</v>
      </c>
      <c r="H3881" s="17">
        <v>3872</v>
      </c>
      <c r="I3881" s="45">
        <v>0.67209170252088257</v>
      </c>
      <c r="J3881" s="45">
        <v>1.9700036522452793E-2</v>
      </c>
      <c r="K3881" s="45">
        <v>0.247</v>
      </c>
      <c r="N3881" s="54"/>
    </row>
    <row r="3882" spans="2:14" x14ac:dyDescent="0.2">
      <c r="B3882">
        <v>3873</v>
      </c>
      <c r="C3882" s="52">
        <f ca="1"/>
        <v>9.6203199895633223E-2</v>
      </c>
      <c r="D3882" s="52">
        <f ca="1">S0*EXP((μ-0.5*σ*σ)*T+σ*SQRT(T)*$C3882)</f>
        <v>0.66118842041146819</v>
      </c>
      <c r="E3882" s="52">
        <f t="shared" ca="1" si="160"/>
        <v>0</v>
      </c>
      <c r="F3882" s="17">
        <f t="shared" ca="1" si="161"/>
        <v>0</v>
      </c>
      <c r="H3882" s="17">
        <v>3873</v>
      </c>
      <c r="I3882" s="45">
        <v>0.67065520526351818</v>
      </c>
      <c r="J3882" s="45">
        <v>1.8594040227978087E-2</v>
      </c>
      <c r="K3882" s="45">
        <v>0.2482</v>
      </c>
      <c r="N3882" s="54"/>
    </row>
    <row r="3883" spans="2:14" x14ac:dyDescent="0.2">
      <c r="B3883">
        <v>3874</v>
      </c>
      <c r="C3883" s="52">
        <f ca="1"/>
        <v>-1.6866017632925638</v>
      </c>
      <c r="D3883" s="52">
        <f ca="1">S0*EXP((μ-0.5*σ*σ)*T+σ*SQRT(T)*$C3883)</f>
        <v>0.40391869052810769</v>
      </c>
      <c r="E3883" s="52">
        <f t="shared" ca="1" si="160"/>
        <v>0.13048130947189229</v>
      </c>
      <c r="F3883" s="17">
        <f t="shared" ca="1" si="161"/>
        <v>1</v>
      </c>
      <c r="H3883" s="17">
        <v>3874</v>
      </c>
      <c r="I3883" s="45">
        <v>0.6704817943003587</v>
      </c>
      <c r="J3883" s="45">
        <v>1.9004170768923381E-2</v>
      </c>
      <c r="K3883" s="45">
        <v>0.2482</v>
      </c>
      <c r="N3883" s="54"/>
    </row>
    <row r="3884" spans="2:14" x14ac:dyDescent="0.2">
      <c r="B3884">
        <v>3875</v>
      </c>
      <c r="C3884" s="52">
        <f ca="1"/>
        <v>2.1357081869178165</v>
      </c>
      <c r="D3884" s="52">
        <f ca="1">S0*EXP((μ-0.5*σ*σ)*T+σ*SQRT(T)*$C3884)</f>
        <v>1.1619144848695753</v>
      </c>
      <c r="E3884" s="52">
        <f t="shared" ca="1" si="160"/>
        <v>0</v>
      </c>
      <c r="F3884" s="17">
        <f t="shared" ca="1" si="161"/>
        <v>0</v>
      </c>
      <c r="H3884" s="17">
        <v>3875</v>
      </c>
      <c r="I3884" s="45">
        <v>0.67186088919430953</v>
      </c>
      <c r="J3884" s="45">
        <v>1.9968559821541186E-2</v>
      </c>
      <c r="K3884" s="45">
        <v>0.25879999999999997</v>
      </c>
      <c r="N3884" s="54"/>
    </row>
    <row r="3885" spans="2:14" x14ac:dyDescent="0.2">
      <c r="B3885">
        <v>3876</v>
      </c>
      <c r="C3885" s="52">
        <f ca="1"/>
        <v>-0.37789775574281248</v>
      </c>
      <c r="D3885" s="52">
        <f ca="1">S0*EXP((μ-0.5*σ*σ)*T+σ*SQRT(T)*$C3885)</f>
        <v>0.57997322241233396</v>
      </c>
      <c r="E3885" s="52">
        <f t="shared" ca="1" si="160"/>
        <v>0</v>
      </c>
      <c r="F3885" s="17">
        <f t="shared" ca="1" si="161"/>
        <v>0</v>
      </c>
      <c r="H3885" s="17">
        <v>3876</v>
      </c>
      <c r="I3885" s="45">
        <v>0.67158814032733616</v>
      </c>
      <c r="J3885" s="45">
        <v>1.9481584433235007E-2</v>
      </c>
      <c r="K3885" s="45">
        <v>0.249</v>
      </c>
      <c r="N3885" s="54"/>
    </row>
    <row r="3886" spans="2:14" x14ac:dyDescent="0.2">
      <c r="B3886">
        <v>3877</v>
      </c>
      <c r="C3886" s="52">
        <f ca="1"/>
        <v>0.58075058112235045</v>
      </c>
      <c r="D3886" s="52">
        <f ca="1">S0*EXP((μ-0.5*σ*σ)*T+σ*SQRT(T)*$C3886)</f>
        <v>0.75595624919186888</v>
      </c>
      <c r="E3886" s="52">
        <f t="shared" ca="1" si="160"/>
        <v>0</v>
      </c>
      <c r="F3886" s="17">
        <f t="shared" ca="1" si="161"/>
        <v>0</v>
      </c>
      <c r="H3886" s="17">
        <v>3877</v>
      </c>
      <c r="I3886" s="45">
        <v>0.67087455731117274</v>
      </c>
      <c r="J3886" s="45">
        <v>1.9046665797531337E-2</v>
      </c>
      <c r="K3886" s="45">
        <v>0.24940000000000001</v>
      </c>
      <c r="N3886" s="54"/>
    </row>
    <row r="3887" spans="2:14" x14ac:dyDescent="0.2">
      <c r="B3887">
        <v>3878</v>
      </c>
      <c r="C3887" s="52">
        <f ca="1"/>
        <v>-0.14629557293340176</v>
      </c>
      <c r="D3887" s="52">
        <f ca="1">S0*EXP((μ-0.5*σ*σ)*T+σ*SQRT(T)*$C3887)</f>
        <v>0.61831887764657911</v>
      </c>
      <c r="E3887" s="52">
        <f t="shared" ca="1" si="160"/>
        <v>0</v>
      </c>
      <c r="F3887" s="17">
        <f t="shared" ca="1" si="161"/>
        <v>0</v>
      </c>
      <c r="H3887" s="17">
        <v>3878</v>
      </c>
      <c r="I3887" s="45">
        <v>0.67116835671510222</v>
      </c>
      <c r="J3887" s="45">
        <v>1.8966959610352406E-2</v>
      </c>
      <c r="K3887" s="45">
        <v>0.251</v>
      </c>
      <c r="N3887" s="54"/>
    </row>
    <row r="3888" spans="2:14" x14ac:dyDescent="0.2">
      <c r="B3888">
        <v>3879</v>
      </c>
      <c r="C3888" s="52">
        <f ca="1"/>
        <v>-1.4730437527839508</v>
      </c>
      <c r="D3888" s="52">
        <f ca="1">S0*EXP((μ-0.5*σ*σ)*T+σ*SQRT(T)*$C3888)</f>
        <v>0.42848167606721183</v>
      </c>
      <c r="E3888" s="52">
        <f t="shared" ca="1" si="160"/>
        <v>0.10591832393278816</v>
      </c>
      <c r="F3888" s="17">
        <f t="shared" ca="1" si="161"/>
        <v>1</v>
      </c>
      <c r="H3888" s="17">
        <v>3879</v>
      </c>
      <c r="I3888" s="45">
        <v>0.6714598195275453</v>
      </c>
      <c r="J3888" s="45">
        <v>1.9347503654729269E-2</v>
      </c>
      <c r="K3888" s="45">
        <v>0.25040000000000001</v>
      </c>
      <c r="N3888" s="54"/>
    </row>
    <row r="3889" spans="2:14" x14ac:dyDescent="0.2">
      <c r="B3889">
        <v>3880</v>
      </c>
      <c r="C3889" s="52">
        <f ca="1"/>
        <v>-1.6464635887763293</v>
      </c>
      <c r="D3889" s="52">
        <f ca="1">S0*EXP((μ-0.5*σ*σ)*T+σ*SQRT(T)*$C3889)</f>
        <v>0.40842532436010348</v>
      </c>
      <c r="E3889" s="52">
        <f t="shared" ca="1" si="160"/>
        <v>0.12597467563989651</v>
      </c>
      <c r="F3889" s="17">
        <f t="shared" ca="1" si="161"/>
        <v>1</v>
      </c>
      <c r="H3889" s="17">
        <v>3880</v>
      </c>
      <c r="I3889" s="45">
        <v>0.67080473058769741</v>
      </c>
      <c r="J3889" s="45">
        <v>1.874367994483175E-2</v>
      </c>
      <c r="K3889" s="45">
        <v>0.2472</v>
      </c>
      <c r="N3889" s="54"/>
    </row>
    <row r="3890" spans="2:14" x14ac:dyDescent="0.2">
      <c r="B3890">
        <v>3881</v>
      </c>
      <c r="C3890" s="52">
        <f ca="1"/>
        <v>-1.6354067060040556</v>
      </c>
      <c r="D3890" s="52">
        <f ca="1">S0*EXP((μ-0.5*σ*σ)*T+σ*SQRT(T)*$C3890)</f>
        <v>0.40967557868423887</v>
      </c>
      <c r="E3890" s="52">
        <f t="shared" ca="1" si="160"/>
        <v>0.12472442131576111</v>
      </c>
      <c r="F3890" s="17">
        <f t="shared" ca="1" si="161"/>
        <v>1</v>
      </c>
      <c r="H3890" s="17">
        <v>3881</v>
      </c>
      <c r="I3890" s="45">
        <v>0.67244186459101185</v>
      </c>
      <c r="J3890" s="45">
        <v>1.9860822362293383E-2</v>
      </c>
      <c r="K3890" s="45">
        <v>0.24660000000000001</v>
      </c>
      <c r="N3890" s="54"/>
    </row>
    <row r="3891" spans="2:14" x14ac:dyDescent="0.2">
      <c r="B3891">
        <v>3882</v>
      </c>
      <c r="C3891" s="52">
        <f ca="1"/>
        <v>-0.38625723043093341</v>
      </c>
      <c r="D3891" s="52">
        <f ca="1">S0*EXP((μ-0.5*σ*σ)*T+σ*SQRT(T)*$C3891)</f>
        <v>0.57863454986390273</v>
      </c>
      <c r="E3891" s="52">
        <f t="shared" ca="1" si="160"/>
        <v>0</v>
      </c>
      <c r="F3891" s="17">
        <f t="shared" ca="1" si="161"/>
        <v>0</v>
      </c>
      <c r="H3891" s="17">
        <v>3882</v>
      </c>
      <c r="I3891" s="45">
        <v>0.67150599096056252</v>
      </c>
      <c r="J3891" s="45">
        <v>1.946579884085145E-2</v>
      </c>
      <c r="K3891" s="45">
        <v>0.25280000000000002</v>
      </c>
      <c r="N3891" s="54"/>
    </row>
    <row r="3892" spans="2:14" x14ac:dyDescent="0.2">
      <c r="B3892">
        <v>3883</v>
      </c>
      <c r="C3892" s="52">
        <f ca="1"/>
        <v>2.0744453443736592</v>
      </c>
      <c r="D3892" s="52">
        <f ca="1">S0*EXP((μ-0.5*σ*σ)*T+σ*SQRT(T)*$C3892)</f>
        <v>1.1424030942457939</v>
      </c>
      <c r="E3892" s="52">
        <f t="shared" ca="1" si="160"/>
        <v>0</v>
      </c>
      <c r="F3892" s="17">
        <f t="shared" ca="1" si="161"/>
        <v>0</v>
      </c>
      <c r="H3892" s="17">
        <v>3883</v>
      </c>
      <c r="I3892" s="45">
        <v>0.67082963279527608</v>
      </c>
      <c r="J3892" s="45">
        <v>1.8806586689620007E-2</v>
      </c>
      <c r="K3892" s="45">
        <v>0.2462</v>
      </c>
      <c r="N3892" s="54"/>
    </row>
    <row r="3893" spans="2:14" x14ac:dyDescent="0.2">
      <c r="B3893">
        <v>3884</v>
      </c>
      <c r="C3893" s="52">
        <f ca="1"/>
        <v>8.1760014327064007E-2</v>
      </c>
      <c r="D3893" s="52">
        <f ca="1">S0*EXP((μ-0.5*σ*σ)*T+σ*SQRT(T)*$C3893)</f>
        <v>0.65855384480832135</v>
      </c>
      <c r="E3893" s="52">
        <f t="shared" ca="1" si="160"/>
        <v>0</v>
      </c>
      <c r="F3893" s="17">
        <f t="shared" ca="1" si="161"/>
        <v>0</v>
      </c>
      <c r="H3893" s="17">
        <v>3884</v>
      </c>
      <c r="I3893" s="45">
        <v>0.67122774513543626</v>
      </c>
      <c r="J3893" s="45">
        <v>1.9426518129474182E-2</v>
      </c>
      <c r="K3893" s="45">
        <v>0.25080000000000002</v>
      </c>
      <c r="N3893" s="54"/>
    </row>
    <row r="3894" spans="2:14" x14ac:dyDescent="0.2">
      <c r="B3894">
        <v>3885</v>
      </c>
      <c r="C3894" s="52">
        <f ca="1"/>
        <v>-1.3761023905959187</v>
      </c>
      <c r="D3894" s="52">
        <f ca="1">S0*EXP((μ-0.5*σ*σ)*T+σ*SQRT(T)*$C3894)</f>
        <v>0.44011925246340367</v>
      </c>
      <c r="E3894" s="52">
        <f t="shared" ca="1" si="160"/>
        <v>9.4280747536596321E-2</v>
      </c>
      <c r="F3894" s="17">
        <f t="shared" ca="1" si="161"/>
        <v>1</v>
      </c>
      <c r="H3894" s="17">
        <v>3885</v>
      </c>
      <c r="I3894" s="45">
        <v>0.67125436012615192</v>
      </c>
      <c r="J3894" s="45">
        <v>1.9282110089747225E-2</v>
      </c>
      <c r="K3894" s="45">
        <v>0.24640000000000001</v>
      </c>
      <c r="N3894" s="54"/>
    </row>
    <row r="3895" spans="2:14" x14ac:dyDescent="0.2">
      <c r="B3895">
        <v>3886</v>
      </c>
      <c r="C3895" s="52">
        <f ca="1"/>
        <v>-0.34586002191576476</v>
      </c>
      <c r="D3895" s="52">
        <f ca="1">S0*EXP((μ-0.5*σ*σ)*T+σ*SQRT(T)*$C3895)</f>
        <v>0.58513243457091868</v>
      </c>
      <c r="E3895" s="52">
        <f t="shared" ca="1" si="160"/>
        <v>0</v>
      </c>
      <c r="F3895" s="17">
        <f t="shared" ca="1" si="161"/>
        <v>0</v>
      </c>
      <c r="H3895" s="17">
        <v>3886</v>
      </c>
      <c r="I3895" s="45">
        <v>0.67108180674746731</v>
      </c>
      <c r="J3895" s="45">
        <v>1.9019394119631015E-2</v>
      </c>
      <c r="K3895" s="45">
        <v>0.24299999999999999</v>
      </c>
      <c r="N3895" s="54"/>
    </row>
    <row r="3896" spans="2:14" x14ac:dyDescent="0.2">
      <c r="B3896">
        <v>3887</v>
      </c>
      <c r="C3896" s="52">
        <f ca="1"/>
        <v>-1.0238141198387656E-2</v>
      </c>
      <c r="D3896" s="52">
        <f ca="1">S0*EXP((μ-0.5*σ*σ)*T+σ*SQRT(T)*$C3896)</f>
        <v>0.64201714272556198</v>
      </c>
      <c r="E3896" s="52">
        <f t="shared" ca="1" si="160"/>
        <v>0</v>
      </c>
      <c r="F3896" s="17">
        <f t="shared" ca="1" si="161"/>
        <v>0</v>
      </c>
      <c r="H3896" s="17">
        <v>3887</v>
      </c>
      <c r="I3896" s="45">
        <v>0.67097183091310308</v>
      </c>
      <c r="J3896" s="45">
        <v>1.9176704105088052E-2</v>
      </c>
      <c r="K3896" s="45">
        <v>0.252</v>
      </c>
      <c r="N3896" s="54"/>
    </row>
    <row r="3897" spans="2:14" x14ac:dyDescent="0.2">
      <c r="B3897">
        <v>3888</v>
      </c>
      <c r="C3897" s="52">
        <f ca="1"/>
        <v>3.7312507490850758E-2</v>
      </c>
      <c r="D3897" s="52">
        <f ca="1">S0*EXP((μ-0.5*σ*σ)*T+σ*SQRT(T)*$C3897)</f>
        <v>0.65051187352725959</v>
      </c>
      <c r="E3897" s="52">
        <f t="shared" ca="1" si="160"/>
        <v>0</v>
      </c>
      <c r="F3897" s="17">
        <f t="shared" ca="1" si="161"/>
        <v>0</v>
      </c>
      <c r="H3897" s="17">
        <v>3888</v>
      </c>
      <c r="I3897" s="45">
        <v>0.6721887811159476</v>
      </c>
      <c r="J3897" s="45">
        <v>1.9701605161151839E-2</v>
      </c>
      <c r="K3897" s="45">
        <v>0.24979999999999999</v>
      </c>
      <c r="N3897" s="54"/>
    </row>
    <row r="3898" spans="2:14" x14ac:dyDescent="0.2">
      <c r="B3898">
        <v>3889</v>
      </c>
      <c r="C3898" s="52">
        <f ca="1"/>
        <v>-1.20678415294643</v>
      </c>
      <c r="D3898" s="52">
        <f ca="1">S0*EXP((μ-0.5*σ*σ)*T+σ*SQRT(T)*$C3898)</f>
        <v>0.46120876106258729</v>
      </c>
      <c r="E3898" s="52">
        <f t="shared" ca="1" si="160"/>
        <v>7.3191238937412695E-2</v>
      </c>
      <c r="F3898" s="17">
        <f t="shared" ca="1" si="161"/>
        <v>1</v>
      </c>
      <c r="H3898" s="17">
        <v>3889</v>
      </c>
      <c r="I3898" s="45">
        <v>0.67052797197355563</v>
      </c>
      <c r="J3898" s="45">
        <v>1.8474686042057327E-2</v>
      </c>
      <c r="K3898" s="45">
        <v>0.24340000000000001</v>
      </c>
      <c r="N3898" s="54"/>
    </row>
    <row r="3899" spans="2:14" x14ac:dyDescent="0.2">
      <c r="B3899">
        <v>3890</v>
      </c>
      <c r="C3899" s="52">
        <f ca="1"/>
        <v>1.7359364003776945</v>
      </c>
      <c r="D3899" s="52">
        <f ca="1">S0*EXP((μ-0.5*σ*σ)*T+σ*SQRT(T)*$C3899)</f>
        <v>1.0403520266941295</v>
      </c>
      <c r="E3899" s="52">
        <f t="shared" ca="1" si="160"/>
        <v>0</v>
      </c>
      <c r="F3899" s="17">
        <f t="shared" ca="1" si="161"/>
        <v>0</v>
      </c>
      <c r="H3899" s="17">
        <v>3890</v>
      </c>
      <c r="I3899" s="45">
        <v>0.67084330297028738</v>
      </c>
      <c r="J3899" s="45">
        <v>1.9167657539850058E-2</v>
      </c>
      <c r="K3899" s="45">
        <v>0.25380000000000003</v>
      </c>
      <c r="N3899" s="54"/>
    </row>
    <row r="3900" spans="2:14" x14ac:dyDescent="0.2">
      <c r="B3900">
        <v>3891</v>
      </c>
      <c r="C3900" s="52">
        <f ca="1"/>
        <v>0.20416876062363393</v>
      </c>
      <c r="D3900" s="52">
        <f ca="1">S0*EXP((μ-0.5*σ*σ)*T+σ*SQRT(T)*$C3900)</f>
        <v>0.68121913877730866</v>
      </c>
      <c r="E3900" s="52">
        <f t="shared" ca="1" si="160"/>
        <v>0</v>
      </c>
      <c r="F3900" s="17">
        <f t="shared" ca="1" si="161"/>
        <v>0</v>
      </c>
      <c r="H3900" s="17">
        <v>3891</v>
      </c>
      <c r="I3900" s="45">
        <v>0.67050545988333632</v>
      </c>
      <c r="J3900" s="45">
        <v>1.8790520800356224E-2</v>
      </c>
      <c r="K3900" s="45">
        <v>0.25059999999999999</v>
      </c>
      <c r="N3900" s="54"/>
    </row>
    <row r="3901" spans="2:14" x14ac:dyDescent="0.2">
      <c r="B3901">
        <v>3892</v>
      </c>
      <c r="C3901" s="52">
        <f ca="1"/>
        <v>1.3942947140238946</v>
      </c>
      <c r="D3901" s="52">
        <f ca="1">S0*EXP((μ-0.5*σ*σ)*T+σ*SQRT(T)*$C3901)</f>
        <v>0.94659709838202832</v>
      </c>
      <c r="E3901" s="52">
        <f t="shared" ca="1" si="160"/>
        <v>0</v>
      </c>
      <c r="F3901" s="17">
        <f t="shared" ca="1" si="161"/>
        <v>0</v>
      </c>
      <c r="H3901" s="17">
        <v>3892</v>
      </c>
      <c r="I3901" s="45">
        <v>0.67118987266624053</v>
      </c>
      <c r="J3901" s="45">
        <v>1.8917248048055179E-2</v>
      </c>
      <c r="K3901" s="45">
        <v>0.23680000000000001</v>
      </c>
      <c r="N3901" s="54"/>
    </row>
    <row r="3902" spans="2:14" x14ac:dyDescent="0.2">
      <c r="B3902">
        <v>3893</v>
      </c>
      <c r="C3902" s="52">
        <f ca="1"/>
        <v>-0.38236648814162116</v>
      </c>
      <c r="D3902" s="52">
        <f ca="1">S0*EXP((μ-0.5*σ*σ)*T+σ*SQRT(T)*$C3902)</f>
        <v>0.57925722212281794</v>
      </c>
      <c r="E3902" s="52">
        <f t="shared" ca="1" si="160"/>
        <v>0</v>
      </c>
      <c r="F3902" s="17">
        <f t="shared" ca="1" si="161"/>
        <v>0</v>
      </c>
      <c r="H3902" s="17">
        <v>3893</v>
      </c>
      <c r="I3902" s="45">
        <v>0.67076790800524577</v>
      </c>
      <c r="J3902" s="45">
        <v>1.8625037600105986E-2</v>
      </c>
      <c r="K3902" s="45">
        <v>0.248</v>
      </c>
      <c r="N3902" s="54"/>
    </row>
    <row r="3903" spans="2:14" x14ac:dyDescent="0.2">
      <c r="B3903">
        <v>3894</v>
      </c>
      <c r="C3903" s="52">
        <f ca="1"/>
        <v>0.56099195466217389</v>
      </c>
      <c r="D3903" s="52">
        <f ca="1">S0*EXP((μ-0.5*σ*σ)*T+σ*SQRT(T)*$C3903)</f>
        <v>0.75183852710569354</v>
      </c>
      <c r="E3903" s="52">
        <f t="shared" ca="1" si="160"/>
        <v>0</v>
      </c>
      <c r="F3903" s="17">
        <f t="shared" ca="1" si="161"/>
        <v>0</v>
      </c>
      <c r="H3903" s="17">
        <v>3894</v>
      </c>
      <c r="I3903" s="45">
        <v>0.67160508694718624</v>
      </c>
      <c r="J3903" s="45">
        <v>1.9420396785113012E-2</v>
      </c>
      <c r="K3903" s="45">
        <v>0.25159999999999999</v>
      </c>
      <c r="N3903" s="54"/>
    </row>
    <row r="3904" spans="2:14" x14ac:dyDescent="0.2">
      <c r="B3904">
        <v>3895</v>
      </c>
      <c r="C3904" s="52">
        <f ca="1"/>
        <v>1.063506889533796</v>
      </c>
      <c r="D3904" s="52">
        <f ca="1">S0*EXP((μ-0.5*σ*σ)*T+σ*SQRT(T)*$C3904)</f>
        <v>0.86387928496549493</v>
      </c>
      <c r="E3904" s="52">
        <f t="shared" ca="1" si="160"/>
        <v>0</v>
      </c>
      <c r="F3904" s="17">
        <f t="shared" ca="1" si="161"/>
        <v>0</v>
      </c>
      <c r="H3904" s="17">
        <v>3895</v>
      </c>
      <c r="I3904" s="45">
        <v>0.67122977780662862</v>
      </c>
      <c r="J3904" s="45">
        <v>1.9080152387493301E-2</v>
      </c>
      <c r="K3904" s="45">
        <v>0.24940000000000001</v>
      </c>
      <c r="N3904" s="54"/>
    </row>
    <row r="3905" spans="2:14" x14ac:dyDescent="0.2">
      <c r="B3905">
        <v>3896</v>
      </c>
      <c r="C3905" s="52">
        <f ca="1"/>
        <v>0.34239280076800516</v>
      </c>
      <c r="D3905" s="52">
        <f ca="1">S0*EXP((μ-0.5*σ*σ)*T+σ*SQRT(T)*$C3905)</f>
        <v>0.70775193842832851</v>
      </c>
      <c r="E3905" s="52">
        <f t="shared" ca="1" si="160"/>
        <v>0</v>
      </c>
      <c r="F3905" s="17">
        <f t="shared" ca="1" si="161"/>
        <v>0</v>
      </c>
      <c r="H3905" s="17">
        <v>3896</v>
      </c>
      <c r="I3905" s="45">
        <v>0.67120348853215472</v>
      </c>
      <c r="J3905" s="45">
        <v>1.9315819469524931E-2</v>
      </c>
      <c r="K3905" s="45">
        <v>0.24179999999999999</v>
      </c>
      <c r="N3905" s="54"/>
    </row>
    <row r="3906" spans="2:14" x14ac:dyDescent="0.2">
      <c r="B3906">
        <v>3897</v>
      </c>
      <c r="C3906" s="52">
        <f ca="1"/>
        <v>1.2518586495868123</v>
      </c>
      <c r="D3906" s="52">
        <f ca="1">S0*EXP((μ-0.5*σ*σ)*T+σ*SQRT(T)*$C3906)</f>
        <v>0.91005004538528733</v>
      </c>
      <c r="E3906" s="52">
        <f t="shared" ca="1" si="160"/>
        <v>0</v>
      </c>
      <c r="F3906" s="17">
        <f t="shared" ca="1" si="161"/>
        <v>0</v>
      </c>
      <c r="H3906" s="17">
        <v>3897</v>
      </c>
      <c r="I3906" s="45">
        <v>0.67105482037578723</v>
      </c>
      <c r="J3906" s="45">
        <v>1.8955111926137944E-2</v>
      </c>
      <c r="K3906" s="45">
        <v>0.2452</v>
      </c>
      <c r="N3906" s="54"/>
    </row>
    <row r="3907" spans="2:14" x14ac:dyDescent="0.2">
      <c r="B3907">
        <v>3898</v>
      </c>
      <c r="C3907" s="52">
        <f ca="1"/>
        <v>0.78251234927048363</v>
      </c>
      <c r="D3907" s="52">
        <f ca="1">S0*EXP((μ-0.5*σ*σ)*T+σ*SQRT(T)*$C3907)</f>
        <v>0.79931652252558716</v>
      </c>
      <c r="E3907" s="52">
        <f t="shared" ca="1" si="160"/>
        <v>0</v>
      </c>
      <c r="F3907" s="17">
        <f t="shared" ca="1" si="161"/>
        <v>0</v>
      </c>
      <c r="H3907" s="17">
        <v>3898</v>
      </c>
      <c r="I3907" s="45">
        <v>0.66972023668558645</v>
      </c>
      <c r="J3907" s="45">
        <v>1.8063459283240126E-2</v>
      </c>
      <c r="K3907" s="45">
        <v>0.2472</v>
      </c>
      <c r="N3907" s="54"/>
    </row>
    <row r="3908" spans="2:14" x14ac:dyDescent="0.2">
      <c r="B3908">
        <v>3899</v>
      </c>
      <c r="C3908" s="52">
        <f ca="1"/>
        <v>0.91454951495355874</v>
      </c>
      <c r="D3908" s="52">
        <f ca="1">S0*EXP((μ-0.5*σ*σ)*T+σ*SQRT(T)*$C3908)</f>
        <v>0.82903003193683089</v>
      </c>
      <c r="E3908" s="52">
        <f t="shared" ca="1" si="160"/>
        <v>0</v>
      </c>
      <c r="F3908" s="17">
        <f t="shared" ca="1" si="161"/>
        <v>0</v>
      </c>
      <c r="H3908" s="17">
        <v>3899</v>
      </c>
      <c r="I3908" s="45">
        <v>0.67102192686499207</v>
      </c>
      <c r="J3908" s="45">
        <v>1.9192564847868413E-2</v>
      </c>
      <c r="K3908" s="45">
        <v>0.24679999999999999</v>
      </c>
      <c r="N3908" s="54"/>
    </row>
    <row r="3909" spans="2:14" x14ac:dyDescent="0.2">
      <c r="B3909">
        <v>3900</v>
      </c>
      <c r="C3909" s="52">
        <f ca="1"/>
        <v>-1.0808910105767864</v>
      </c>
      <c r="D3909" s="52">
        <f ca="1">S0*EXP((μ-0.5*σ*σ)*T+σ*SQRT(T)*$C3909)</f>
        <v>0.47754182235177772</v>
      </c>
      <c r="E3909" s="52">
        <f t="shared" ca="1" si="160"/>
        <v>5.6858177648222263E-2</v>
      </c>
      <c r="F3909" s="17">
        <f t="shared" ca="1" si="161"/>
        <v>1</v>
      </c>
      <c r="H3909" s="17">
        <v>3900</v>
      </c>
      <c r="I3909" s="45">
        <v>0.67086955395412884</v>
      </c>
      <c r="J3909" s="45">
        <v>1.9154151187219571E-2</v>
      </c>
      <c r="K3909" s="45">
        <v>0.24740000000000001</v>
      </c>
      <c r="N3909" s="54"/>
    </row>
    <row r="3910" spans="2:14" x14ac:dyDescent="0.2">
      <c r="B3910">
        <v>3901</v>
      </c>
      <c r="C3910" s="52">
        <f ca="1"/>
        <v>2.0666541121419866</v>
      </c>
      <c r="D3910" s="52">
        <f ca="1">S0*EXP((μ-0.5*σ*σ)*T+σ*SQRT(T)*$C3910)</f>
        <v>1.1399452913862838</v>
      </c>
      <c r="E3910" s="52">
        <f t="shared" ca="1" si="160"/>
        <v>0</v>
      </c>
      <c r="F3910" s="17">
        <f t="shared" ca="1" si="161"/>
        <v>0</v>
      </c>
      <c r="H3910" s="17">
        <v>3901</v>
      </c>
      <c r="I3910" s="45">
        <v>0.67045999358384811</v>
      </c>
      <c r="J3910" s="45">
        <v>1.8752162978723372E-2</v>
      </c>
      <c r="K3910" s="45">
        <v>0.24879999999999999</v>
      </c>
      <c r="N3910" s="54"/>
    </row>
    <row r="3911" spans="2:14" x14ac:dyDescent="0.2">
      <c r="B3911">
        <v>3902</v>
      </c>
      <c r="C3911" s="52">
        <f ca="1"/>
        <v>-1.2239607882562247</v>
      </c>
      <c r="D3911" s="52">
        <f ca="1">S0*EXP((μ-0.5*σ*σ)*T+σ*SQRT(T)*$C3911)</f>
        <v>0.45902404944074632</v>
      </c>
      <c r="E3911" s="52">
        <f t="shared" ca="1" si="160"/>
        <v>7.5375950559253668E-2</v>
      </c>
      <c r="F3911" s="17">
        <f t="shared" ca="1" si="161"/>
        <v>1</v>
      </c>
      <c r="H3911" s="17">
        <v>3902</v>
      </c>
      <c r="I3911" s="45">
        <v>0.66991541481815453</v>
      </c>
      <c r="J3911" s="45">
        <v>1.8468872873203198E-2</v>
      </c>
      <c r="K3911" s="45">
        <v>0.2432</v>
      </c>
      <c r="N3911" s="54"/>
    </row>
    <row r="3912" spans="2:14" x14ac:dyDescent="0.2">
      <c r="B3912">
        <v>3903</v>
      </c>
      <c r="C3912" s="52">
        <f ca="1"/>
        <v>0.34582999585930391</v>
      </c>
      <c r="D3912" s="52">
        <f ca="1">S0*EXP((μ-0.5*σ*σ)*T+σ*SQRT(T)*$C3912)</f>
        <v>0.70842473026236175</v>
      </c>
      <c r="E3912" s="52">
        <f t="shared" ca="1" si="160"/>
        <v>0</v>
      </c>
      <c r="F3912" s="17">
        <f t="shared" ca="1" si="161"/>
        <v>0</v>
      </c>
      <c r="H3912" s="17">
        <v>3903</v>
      </c>
      <c r="I3912" s="45">
        <v>0.67074872379233308</v>
      </c>
      <c r="J3912" s="45">
        <v>1.8962433023426678E-2</v>
      </c>
      <c r="K3912" s="45">
        <v>0.24579999999999999</v>
      </c>
      <c r="N3912" s="54"/>
    </row>
    <row r="3913" spans="2:14" x14ac:dyDescent="0.2">
      <c r="B3913">
        <v>3904</v>
      </c>
      <c r="C3913" s="52">
        <f ca="1"/>
        <v>-0.89277980605690466</v>
      </c>
      <c r="D3913" s="52">
        <f ca="1">S0*EXP((μ-0.5*σ*σ)*T+σ*SQRT(T)*$C3913)</f>
        <v>0.50303099835629828</v>
      </c>
      <c r="E3913" s="52">
        <f t="shared" ca="1" si="160"/>
        <v>3.1369001643701711E-2</v>
      </c>
      <c r="F3913" s="17">
        <f t="shared" ca="1" si="161"/>
        <v>1</v>
      </c>
      <c r="H3913" s="17">
        <v>3904</v>
      </c>
      <c r="I3913" s="45">
        <v>0.67233914268543571</v>
      </c>
      <c r="J3913" s="45">
        <v>2.0005080804651187E-2</v>
      </c>
      <c r="K3913" s="45">
        <v>0.25319999999999998</v>
      </c>
      <c r="N3913" s="54"/>
    </row>
    <row r="3914" spans="2:14" x14ac:dyDescent="0.2">
      <c r="B3914">
        <v>3905</v>
      </c>
      <c r="C3914" s="52">
        <f ca="1"/>
        <v>1.2024886675916764</v>
      </c>
      <c r="D3914" s="52">
        <f ca="1">S0*EXP((μ-0.5*σ*σ)*T+σ*SQRT(T)*$C3914)</f>
        <v>0.89771453206292362</v>
      </c>
      <c r="E3914" s="52">
        <f t="shared" ref="E3914:E3977" ca="1" si="162">MAX(0,CP*(D3914-K))</f>
        <v>0</v>
      </c>
      <c r="F3914" s="17">
        <f t="shared" ref="F3914:F3977" ca="1" si="163">(CP*(D3914-K)&gt;0)*1</f>
        <v>0</v>
      </c>
      <c r="H3914" s="17">
        <v>3905</v>
      </c>
      <c r="I3914" s="45">
        <v>0.67117609781803267</v>
      </c>
      <c r="J3914" s="45">
        <v>1.9057101910724475E-2</v>
      </c>
      <c r="K3914" s="45">
        <v>0.24759999999999999</v>
      </c>
      <c r="N3914" s="54"/>
    </row>
    <row r="3915" spans="2:14" x14ac:dyDescent="0.2">
      <c r="B3915">
        <v>3906</v>
      </c>
      <c r="C3915" s="52">
        <f ca="1"/>
        <v>-1.3767943546121262</v>
      </c>
      <c r="D3915" s="52">
        <f ca="1">S0*EXP((μ-0.5*σ*σ)*T+σ*SQRT(T)*$C3915)</f>
        <v>0.44003507390894231</v>
      </c>
      <c r="E3915" s="52">
        <f t="shared" ca="1" si="162"/>
        <v>9.4364926091057677E-2</v>
      </c>
      <c r="F3915" s="17">
        <f t="shared" ca="1" si="163"/>
        <v>1</v>
      </c>
      <c r="H3915" s="17">
        <v>3906</v>
      </c>
      <c r="I3915" s="45">
        <v>0.67138678535609553</v>
      </c>
      <c r="J3915" s="45">
        <v>1.9162471129713376E-2</v>
      </c>
      <c r="K3915" s="45">
        <v>0.248</v>
      </c>
      <c r="N3915" s="54"/>
    </row>
    <row r="3916" spans="2:14" x14ac:dyDescent="0.2">
      <c r="B3916">
        <v>3907</v>
      </c>
      <c r="C3916" s="52">
        <f ca="1"/>
        <v>0.96324709170775036</v>
      </c>
      <c r="D3916" s="52">
        <f ca="1">S0*EXP((μ-0.5*σ*σ)*T+σ*SQRT(T)*$C3916)</f>
        <v>0.84026555157180161</v>
      </c>
      <c r="E3916" s="52">
        <f t="shared" ca="1" si="162"/>
        <v>0</v>
      </c>
      <c r="F3916" s="17">
        <f t="shared" ca="1" si="163"/>
        <v>0</v>
      </c>
      <c r="H3916" s="17">
        <v>3907</v>
      </c>
      <c r="I3916" s="45">
        <v>0.67131787622009564</v>
      </c>
      <c r="J3916" s="45">
        <v>1.9200246112149141E-2</v>
      </c>
      <c r="K3916" s="45">
        <v>0.2452</v>
      </c>
      <c r="N3916" s="54"/>
    </row>
    <row r="3917" spans="2:14" x14ac:dyDescent="0.2">
      <c r="B3917">
        <v>3908</v>
      </c>
      <c r="C3917" s="52">
        <f ca="1"/>
        <v>-0.24773933778274165</v>
      </c>
      <c r="D3917" s="52">
        <f ca="1">S0*EXP((μ-0.5*σ*σ)*T+σ*SQRT(T)*$C3917)</f>
        <v>0.60122061845129282</v>
      </c>
      <c r="E3917" s="52">
        <f t="shared" ca="1" si="162"/>
        <v>0</v>
      </c>
      <c r="F3917" s="17">
        <f t="shared" ca="1" si="163"/>
        <v>0</v>
      </c>
      <c r="H3917" s="17">
        <v>3908</v>
      </c>
      <c r="I3917" s="45">
        <v>0.67088726021513923</v>
      </c>
      <c r="J3917" s="45">
        <v>1.9126094800936005E-2</v>
      </c>
      <c r="K3917" s="45">
        <v>0.24460000000000001</v>
      </c>
      <c r="N3917" s="54"/>
    </row>
    <row r="3918" spans="2:14" x14ac:dyDescent="0.2">
      <c r="B3918">
        <v>3909</v>
      </c>
      <c r="C3918" s="52">
        <f ca="1"/>
        <v>-1.8117180010350551</v>
      </c>
      <c r="D3918" s="52">
        <f ca="1">S0*EXP((μ-0.5*σ*σ)*T+σ*SQRT(T)*$C3918)</f>
        <v>0.39018750304261129</v>
      </c>
      <c r="E3918" s="52">
        <f t="shared" ca="1" si="162"/>
        <v>0.14421249695738869</v>
      </c>
      <c r="F3918" s="17">
        <f t="shared" ca="1" si="163"/>
        <v>1</v>
      </c>
      <c r="H3918" s="17">
        <v>3909</v>
      </c>
      <c r="I3918" s="45">
        <v>0.66983664967785972</v>
      </c>
      <c r="J3918" s="45">
        <v>1.811285573466272E-2</v>
      </c>
      <c r="K3918" s="45">
        <v>0.2424</v>
      </c>
      <c r="N3918" s="54"/>
    </row>
    <row r="3919" spans="2:14" x14ac:dyDescent="0.2">
      <c r="B3919">
        <v>3910</v>
      </c>
      <c r="C3919" s="52">
        <f ca="1"/>
        <v>-0.64893031923424327</v>
      </c>
      <c r="D3919" s="52">
        <f ca="1">S0*EXP((μ-0.5*σ*σ)*T+σ*SQRT(T)*$C3919)</f>
        <v>0.53810823573367739</v>
      </c>
      <c r="E3919" s="52">
        <f t="shared" ca="1" si="162"/>
        <v>0</v>
      </c>
      <c r="F3919" s="17">
        <f t="shared" ca="1" si="163"/>
        <v>0</v>
      </c>
      <c r="H3919" s="17">
        <v>3910</v>
      </c>
      <c r="I3919" s="45">
        <v>0.6712826370070869</v>
      </c>
      <c r="J3919" s="45">
        <v>1.9009687463503202E-2</v>
      </c>
      <c r="K3919" s="45">
        <v>0.24079999999999999</v>
      </c>
      <c r="N3919" s="54"/>
    </row>
    <row r="3920" spans="2:14" x14ac:dyDescent="0.2">
      <c r="B3920">
        <v>3911</v>
      </c>
      <c r="C3920" s="52">
        <f ca="1"/>
        <v>0.80400251534851486</v>
      </c>
      <c r="D3920" s="52">
        <f ca="1">S0*EXP((μ-0.5*σ*σ)*T+σ*SQRT(T)*$C3920)</f>
        <v>0.80407905887312359</v>
      </c>
      <c r="E3920" s="52">
        <f t="shared" ca="1" si="162"/>
        <v>0</v>
      </c>
      <c r="F3920" s="17">
        <f t="shared" ca="1" si="163"/>
        <v>0</v>
      </c>
      <c r="H3920" s="17">
        <v>3911</v>
      </c>
      <c r="I3920" s="45">
        <v>0.66964123182887092</v>
      </c>
      <c r="J3920" s="45">
        <v>1.8034957966820069E-2</v>
      </c>
      <c r="K3920" s="45">
        <v>0.24179999999999999</v>
      </c>
      <c r="N3920" s="54"/>
    </row>
    <row r="3921" spans="2:14" x14ac:dyDescent="0.2">
      <c r="B3921">
        <v>3912</v>
      </c>
      <c r="C3921" s="52">
        <f ca="1"/>
        <v>1.5707902546732186</v>
      </c>
      <c r="D3921" s="52">
        <f ca="1">S0*EXP((μ-0.5*σ*σ)*T+σ*SQRT(T)*$C3921)</f>
        <v>0.99392590139503112</v>
      </c>
      <c r="E3921" s="52">
        <f t="shared" ca="1" si="162"/>
        <v>0</v>
      </c>
      <c r="F3921" s="17">
        <f t="shared" ca="1" si="163"/>
        <v>0</v>
      </c>
      <c r="H3921" s="17">
        <v>3912</v>
      </c>
      <c r="I3921" s="45">
        <v>0.67003405939413052</v>
      </c>
      <c r="J3921" s="45">
        <v>1.8315116866644568E-2</v>
      </c>
      <c r="K3921" s="45">
        <v>0.245</v>
      </c>
      <c r="N3921" s="54"/>
    </row>
    <row r="3922" spans="2:14" x14ac:dyDescent="0.2">
      <c r="B3922">
        <v>3913</v>
      </c>
      <c r="C3922" s="52">
        <f ca="1"/>
        <v>-0.31377080864552603</v>
      </c>
      <c r="D3922" s="52">
        <f ca="1">S0*EXP((μ-0.5*σ*σ)*T+σ*SQRT(T)*$C3922)</f>
        <v>0.59034594195056111</v>
      </c>
      <c r="E3922" s="52">
        <f t="shared" ca="1" si="162"/>
        <v>0</v>
      </c>
      <c r="F3922" s="17">
        <f t="shared" ca="1" si="163"/>
        <v>0</v>
      </c>
      <c r="H3922" s="17">
        <v>3913</v>
      </c>
      <c r="I3922" s="45">
        <v>0.6709933899631958</v>
      </c>
      <c r="J3922" s="45">
        <v>1.8824769123442473E-2</v>
      </c>
      <c r="K3922" s="45">
        <v>0.24460000000000001</v>
      </c>
      <c r="N3922" s="54"/>
    </row>
    <row r="3923" spans="2:14" x14ac:dyDescent="0.2">
      <c r="B3923">
        <v>3914</v>
      </c>
      <c r="C3923" s="52">
        <f ca="1"/>
        <v>-0.68087410906419343</v>
      </c>
      <c r="D3923" s="52">
        <f ca="1">S0*EXP((μ-0.5*σ*σ)*T+σ*SQRT(T)*$C3923)</f>
        <v>0.53337749512496035</v>
      </c>
      <c r="E3923" s="52">
        <f t="shared" ca="1" si="162"/>
        <v>1.0225048750396315E-3</v>
      </c>
      <c r="F3923" s="17">
        <f t="shared" ca="1" si="163"/>
        <v>1</v>
      </c>
      <c r="H3923" s="17">
        <v>3914</v>
      </c>
      <c r="I3923" s="45">
        <v>0.67061634051220687</v>
      </c>
      <c r="J3923" s="45">
        <v>1.8724404885238802E-2</v>
      </c>
      <c r="K3923" s="45">
        <v>0.2412</v>
      </c>
      <c r="N3923" s="54"/>
    </row>
    <row r="3924" spans="2:14" x14ac:dyDescent="0.2">
      <c r="B3924">
        <v>3915</v>
      </c>
      <c r="C3924" s="52">
        <f ca="1"/>
        <v>-0.66226765735409943</v>
      </c>
      <c r="D3924" s="52">
        <f ca="1">S0*EXP((μ-0.5*σ*σ)*T+σ*SQRT(T)*$C3924)</f>
        <v>0.53612795130027657</v>
      </c>
      <c r="E3924" s="52">
        <f t="shared" ca="1" si="162"/>
        <v>0</v>
      </c>
      <c r="F3924" s="17">
        <f t="shared" ca="1" si="163"/>
        <v>0</v>
      </c>
      <c r="H3924" s="17">
        <v>3915</v>
      </c>
      <c r="I3924" s="45">
        <v>0.67155281333620831</v>
      </c>
      <c r="J3924" s="45">
        <v>1.9203152778729138E-2</v>
      </c>
      <c r="K3924" s="45">
        <v>0.24859999999999999</v>
      </c>
      <c r="N3924" s="54"/>
    </row>
    <row r="3925" spans="2:14" x14ac:dyDescent="0.2">
      <c r="B3925">
        <v>3916</v>
      </c>
      <c r="C3925" s="52">
        <f ca="1"/>
        <v>0.6290349745171756</v>
      </c>
      <c r="D3925" s="52">
        <f ca="1">S0*EXP((μ-0.5*σ*σ)*T+σ*SQRT(T)*$C3925)</f>
        <v>0.76611391997021794</v>
      </c>
      <c r="E3925" s="52">
        <f t="shared" ca="1" si="162"/>
        <v>0</v>
      </c>
      <c r="F3925" s="17">
        <f t="shared" ca="1" si="163"/>
        <v>0</v>
      </c>
      <c r="H3925" s="17">
        <v>3916</v>
      </c>
      <c r="I3925" s="45">
        <v>0.6711406791225395</v>
      </c>
      <c r="J3925" s="45">
        <v>1.9300690422305828E-2</v>
      </c>
      <c r="K3925" s="45">
        <v>0.24879999999999999</v>
      </c>
      <c r="N3925" s="54"/>
    </row>
    <row r="3926" spans="2:14" x14ac:dyDescent="0.2">
      <c r="B3926">
        <v>3917</v>
      </c>
      <c r="C3926" s="52">
        <f ca="1"/>
        <v>-0.92416352176512617</v>
      </c>
      <c r="D3926" s="52">
        <f ca="1">S0*EXP((μ-0.5*σ*σ)*T+σ*SQRT(T)*$C3926)</f>
        <v>0.49868583871646205</v>
      </c>
      <c r="E3926" s="52">
        <f t="shared" ca="1" si="162"/>
        <v>3.5714161283537937E-2</v>
      </c>
      <c r="F3926" s="17">
        <f t="shared" ca="1" si="163"/>
        <v>1</v>
      </c>
      <c r="H3926" s="17">
        <v>3917</v>
      </c>
      <c r="I3926" s="45">
        <v>0.6707928717209759</v>
      </c>
      <c r="J3926" s="45">
        <v>1.9035196611927579E-2</v>
      </c>
      <c r="K3926" s="45">
        <v>0.24560000000000001</v>
      </c>
      <c r="N3926" s="54"/>
    </row>
    <row r="3927" spans="2:14" x14ac:dyDescent="0.2">
      <c r="B3927">
        <v>3918</v>
      </c>
      <c r="C3927" s="52">
        <f ca="1"/>
        <v>-0.40461764287568397</v>
      </c>
      <c r="D3927" s="52">
        <f ca="1">S0*EXP((μ-0.5*σ*σ)*T+σ*SQRT(T)*$C3927)</f>
        <v>0.57570517959103584</v>
      </c>
      <c r="E3927" s="52">
        <f t="shared" ca="1" si="162"/>
        <v>0</v>
      </c>
      <c r="F3927" s="17">
        <f t="shared" ca="1" si="163"/>
        <v>0</v>
      </c>
      <c r="H3927" s="17">
        <v>3918</v>
      </c>
      <c r="I3927" s="45">
        <v>0.67126989041910878</v>
      </c>
      <c r="J3927" s="45">
        <v>1.905484115554696E-2</v>
      </c>
      <c r="K3927" s="45">
        <v>0.24740000000000001</v>
      </c>
      <c r="N3927" s="54"/>
    </row>
    <row r="3928" spans="2:14" x14ac:dyDescent="0.2">
      <c r="B3928">
        <v>3919</v>
      </c>
      <c r="C3928" s="52">
        <f ca="1"/>
        <v>-0.48159275096628096</v>
      </c>
      <c r="D3928" s="52">
        <f ca="1">S0*EXP((μ-0.5*σ*σ)*T+σ*SQRT(T)*$C3928)</f>
        <v>0.56358449336808569</v>
      </c>
      <c r="E3928" s="52">
        <f t="shared" ca="1" si="162"/>
        <v>0</v>
      </c>
      <c r="F3928" s="17">
        <f t="shared" ca="1" si="163"/>
        <v>0</v>
      </c>
      <c r="H3928" s="17">
        <v>3919</v>
      </c>
      <c r="I3928" s="45">
        <v>0.66996623278060807</v>
      </c>
      <c r="J3928" s="45">
        <v>1.8213216502197427E-2</v>
      </c>
      <c r="K3928" s="45">
        <v>0.24399999999999999</v>
      </c>
      <c r="N3928" s="54"/>
    </row>
    <row r="3929" spans="2:14" x14ac:dyDescent="0.2">
      <c r="B3929">
        <v>3920</v>
      </c>
      <c r="C3929" s="52">
        <f ca="1"/>
        <v>-1.138074356301515</v>
      </c>
      <c r="D3929" s="52">
        <f ca="1">S0*EXP((μ-0.5*σ*σ)*T+σ*SQRT(T)*$C3929)</f>
        <v>0.47005250733668974</v>
      </c>
      <c r="E3929" s="52">
        <f t="shared" ca="1" si="162"/>
        <v>6.4347492663310246E-2</v>
      </c>
      <c r="F3929" s="17">
        <f t="shared" ca="1" si="163"/>
        <v>1</v>
      </c>
      <c r="H3929" s="17">
        <v>3920</v>
      </c>
      <c r="I3929" s="45">
        <v>0.67084004204243397</v>
      </c>
      <c r="J3929" s="45">
        <v>1.8884233520832228E-2</v>
      </c>
      <c r="K3929" s="45">
        <v>0.2472</v>
      </c>
      <c r="N3929" s="54"/>
    </row>
    <row r="3930" spans="2:14" x14ac:dyDescent="0.2">
      <c r="B3930">
        <v>3921</v>
      </c>
      <c r="C3930" s="52">
        <f ca="1"/>
        <v>0.23781625201205933</v>
      </c>
      <c r="D3930" s="52">
        <f ca="1">S0*EXP((μ-0.5*σ*σ)*T+σ*SQRT(T)*$C3930)</f>
        <v>0.68758489439569481</v>
      </c>
      <c r="E3930" s="52">
        <f t="shared" ca="1" si="162"/>
        <v>0</v>
      </c>
      <c r="F3930" s="17">
        <f t="shared" ca="1" si="163"/>
        <v>0</v>
      </c>
      <c r="H3930" s="17">
        <v>3921</v>
      </c>
      <c r="I3930" s="45">
        <v>0.67227020400597526</v>
      </c>
      <c r="J3930" s="45">
        <v>1.9893879552381817E-2</v>
      </c>
      <c r="K3930" s="45">
        <v>0.24399999999999999</v>
      </c>
      <c r="N3930" s="54"/>
    </row>
    <row r="3931" spans="2:14" x14ac:dyDescent="0.2">
      <c r="B3931">
        <v>3922</v>
      </c>
      <c r="C3931" s="52">
        <f ca="1"/>
        <v>1.0795156557376027</v>
      </c>
      <c r="D3931" s="52">
        <f ca="1">S0*EXP((μ-0.5*σ*σ)*T+σ*SQRT(T)*$C3931)</f>
        <v>0.86771071897257679</v>
      </c>
      <c r="E3931" s="52">
        <f t="shared" ca="1" si="162"/>
        <v>0</v>
      </c>
      <c r="F3931" s="17">
        <f t="shared" ca="1" si="163"/>
        <v>0</v>
      </c>
      <c r="H3931" s="17">
        <v>3922</v>
      </c>
      <c r="I3931" s="45">
        <v>0.67086343691975348</v>
      </c>
      <c r="J3931" s="45">
        <v>1.9030580761286792E-2</v>
      </c>
      <c r="K3931" s="45">
        <v>0.2492</v>
      </c>
      <c r="N3931" s="54"/>
    </row>
    <row r="3932" spans="2:14" x14ac:dyDescent="0.2">
      <c r="B3932">
        <v>3923</v>
      </c>
      <c r="C3932" s="52">
        <f ca="1"/>
        <v>0.10630618855299653</v>
      </c>
      <c r="D3932" s="52">
        <f ca="1">S0*EXP((μ-0.5*σ*σ)*T+σ*SQRT(T)*$C3932)</f>
        <v>0.66303756476237674</v>
      </c>
      <c r="E3932" s="52">
        <f t="shared" ca="1" si="162"/>
        <v>0</v>
      </c>
      <c r="F3932" s="17">
        <f t="shared" ca="1" si="163"/>
        <v>0</v>
      </c>
      <c r="H3932" s="17">
        <v>3923</v>
      </c>
      <c r="I3932" s="45">
        <v>0.67253322712950692</v>
      </c>
      <c r="J3932" s="45">
        <v>2.0159357747653664E-2</v>
      </c>
      <c r="K3932" s="45">
        <v>0.24879999999999999</v>
      </c>
      <c r="N3932" s="54"/>
    </row>
    <row r="3933" spans="2:14" x14ac:dyDescent="0.2">
      <c r="B3933">
        <v>3924</v>
      </c>
      <c r="C3933" s="52">
        <f ca="1"/>
        <v>-1.8176184263058115</v>
      </c>
      <c r="D3933" s="52">
        <f ca="1">S0*EXP((μ-0.5*σ*σ)*T+σ*SQRT(T)*$C3933)</f>
        <v>0.38955159889471369</v>
      </c>
      <c r="E3933" s="52">
        <f t="shared" ca="1" si="162"/>
        <v>0.1448484011052863</v>
      </c>
      <c r="F3933" s="17">
        <f t="shared" ca="1" si="163"/>
        <v>1</v>
      </c>
      <c r="H3933" s="17">
        <v>3924</v>
      </c>
      <c r="I3933" s="45">
        <v>0.67185515989699762</v>
      </c>
      <c r="J3933" s="45">
        <v>1.971805713711644E-2</v>
      </c>
      <c r="K3933" s="45">
        <v>0.252</v>
      </c>
      <c r="N3933" s="54"/>
    </row>
    <row r="3934" spans="2:14" x14ac:dyDescent="0.2">
      <c r="B3934">
        <v>3925</v>
      </c>
      <c r="C3934" s="52">
        <f ca="1"/>
        <v>-1.2645846200134541</v>
      </c>
      <c r="D3934" s="52">
        <f ca="1">S0*EXP((μ-0.5*σ*σ)*T+σ*SQRT(T)*$C3934)</f>
        <v>0.4538981601749249</v>
      </c>
      <c r="E3934" s="52">
        <f t="shared" ca="1" si="162"/>
        <v>8.0501839825075083E-2</v>
      </c>
      <c r="F3934" s="17">
        <f t="shared" ca="1" si="163"/>
        <v>1</v>
      </c>
      <c r="H3934" s="17">
        <v>3925</v>
      </c>
      <c r="I3934" s="45">
        <v>0.67176873764199285</v>
      </c>
      <c r="J3934" s="45">
        <v>2.0065541105644302E-2</v>
      </c>
      <c r="K3934" s="45">
        <v>0.25600000000000001</v>
      </c>
      <c r="N3934" s="54"/>
    </row>
    <row r="3935" spans="2:14" x14ac:dyDescent="0.2">
      <c r="B3935">
        <v>3926</v>
      </c>
      <c r="C3935" s="52">
        <f ca="1"/>
        <v>1.1499625677008174</v>
      </c>
      <c r="D3935" s="52">
        <f ca="1">S0*EXP((μ-0.5*σ*σ)*T+σ*SQRT(T)*$C3935)</f>
        <v>0.88477396264680142</v>
      </c>
      <c r="E3935" s="52">
        <f t="shared" ca="1" si="162"/>
        <v>0</v>
      </c>
      <c r="F3935" s="17">
        <f t="shared" ca="1" si="163"/>
        <v>0</v>
      </c>
      <c r="H3935" s="17">
        <v>3926</v>
      </c>
      <c r="I3935" s="45">
        <v>0.67104427287778046</v>
      </c>
      <c r="J3935" s="45">
        <v>1.9266087402371405E-2</v>
      </c>
      <c r="K3935" s="45">
        <v>0.24940000000000001</v>
      </c>
      <c r="N3935" s="54"/>
    </row>
    <row r="3936" spans="2:14" x14ac:dyDescent="0.2">
      <c r="B3936">
        <v>3927</v>
      </c>
      <c r="C3936" s="52">
        <f ca="1"/>
        <v>0.27113185393499101</v>
      </c>
      <c r="D3936" s="52">
        <f ca="1">S0*EXP((μ-0.5*σ*σ)*T+σ*SQRT(T)*$C3936)</f>
        <v>0.69394646671721183</v>
      </c>
      <c r="E3936" s="52">
        <f t="shared" ca="1" si="162"/>
        <v>0</v>
      </c>
      <c r="F3936" s="17">
        <f t="shared" ca="1" si="163"/>
        <v>0</v>
      </c>
      <c r="H3936" s="17">
        <v>3927</v>
      </c>
      <c r="I3936" s="45">
        <v>0.67037570917762246</v>
      </c>
      <c r="J3936" s="45">
        <v>1.8685232624643319E-2</v>
      </c>
      <c r="K3936" s="45">
        <v>0.24360000000000001</v>
      </c>
      <c r="N3936" s="54"/>
    </row>
    <row r="3937" spans="2:14" x14ac:dyDescent="0.2">
      <c r="B3937">
        <v>3928</v>
      </c>
      <c r="C3937" s="52">
        <f ca="1"/>
        <v>0.612908144659148</v>
      </c>
      <c r="D3937" s="52">
        <f ca="1">S0*EXP((μ-0.5*σ*σ)*T+σ*SQRT(T)*$C3937)</f>
        <v>0.76270620077309281</v>
      </c>
      <c r="E3937" s="52">
        <f t="shared" ca="1" si="162"/>
        <v>0</v>
      </c>
      <c r="F3937" s="17">
        <f t="shared" ca="1" si="163"/>
        <v>0</v>
      </c>
      <c r="H3937" s="17">
        <v>3928</v>
      </c>
      <c r="I3937" s="45">
        <v>0.67116181911270778</v>
      </c>
      <c r="J3937" s="45">
        <v>1.9057340292613818E-2</v>
      </c>
      <c r="K3937" s="45">
        <v>0.24660000000000001</v>
      </c>
      <c r="N3937" s="54"/>
    </row>
    <row r="3938" spans="2:14" x14ac:dyDescent="0.2">
      <c r="B3938">
        <v>3929</v>
      </c>
      <c r="C3938" s="52">
        <f ca="1"/>
        <v>-9.8742329137372409E-2</v>
      </c>
      <c r="D3938" s="52">
        <f ca="1">S0*EXP((μ-0.5*σ*σ)*T+σ*SQRT(T)*$C3938)</f>
        <v>0.62650049868094471</v>
      </c>
      <c r="E3938" s="52">
        <f t="shared" ca="1" si="162"/>
        <v>0</v>
      </c>
      <c r="F3938" s="17">
        <f t="shared" ca="1" si="163"/>
        <v>0</v>
      </c>
      <c r="H3938" s="17">
        <v>3929</v>
      </c>
      <c r="I3938" s="45">
        <v>0.67060217211154727</v>
      </c>
      <c r="J3938" s="45">
        <v>1.8756444613014504E-2</v>
      </c>
      <c r="K3938" s="45">
        <v>0.2472</v>
      </c>
      <c r="N3938" s="54"/>
    </row>
    <row r="3939" spans="2:14" x14ac:dyDescent="0.2">
      <c r="B3939">
        <v>3930</v>
      </c>
      <c r="C3939" s="52">
        <f ca="1"/>
        <v>0.98676239755801498</v>
      </c>
      <c r="D3939" s="52">
        <f ca="1">S0*EXP((μ-0.5*σ*σ)*T+σ*SQRT(T)*$C3939)</f>
        <v>0.84574540093469519</v>
      </c>
      <c r="E3939" s="52">
        <f t="shared" ca="1" si="162"/>
        <v>0</v>
      </c>
      <c r="F3939" s="17">
        <f t="shared" ca="1" si="163"/>
        <v>0</v>
      </c>
      <c r="H3939" s="17">
        <v>3930</v>
      </c>
      <c r="I3939" s="45">
        <v>0.67130254183640203</v>
      </c>
      <c r="J3939" s="45">
        <v>1.9150230754738064E-2</v>
      </c>
      <c r="K3939" s="45">
        <v>0.245</v>
      </c>
      <c r="N3939" s="54"/>
    </row>
    <row r="3940" spans="2:14" x14ac:dyDescent="0.2">
      <c r="B3940">
        <v>3931</v>
      </c>
      <c r="C3940" s="52">
        <f ca="1"/>
        <v>-0.22395441286358994</v>
      </c>
      <c r="D3940" s="52">
        <f ca="1">S0*EXP((μ-0.5*σ*σ)*T+σ*SQRT(T)*$C3940)</f>
        <v>0.60518662367731735</v>
      </c>
      <c r="E3940" s="52">
        <f t="shared" ca="1" si="162"/>
        <v>0</v>
      </c>
      <c r="F3940" s="17">
        <f t="shared" ca="1" si="163"/>
        <v>0</v>
      </c>
      <c r="H3940" s="17">
        <v>3931</v>
      </c>
      <c r="I3940" s="45">
        <v>0.66970614090127822</v>
      </c>
      <c r="J3940" s="45">
        <v>1.8184497090839347E-2</v>
      </c>
      <c r="K3940" s="45">
        <v>0.24299999999999999</v>
      </c>
      <c r="N3940" s="54"/>
    </row>
    <row r="3941" spans="2:14" x14ac:dyDescent="0.2">
      <c r="B3941">
        <v>3932</v>
      </c>
      <c r="C3941" s="52">
        <f ca="1"/>
        <v>3.797783301794809E-2</v>
      </c>
      <c r="D3941" s="52">
        <f ca="1">S0*EXP((μ-0.5*σ*σ)*T+σ*SQRT(T)*$C3941)</f>
        <v>0.65063152511731703</v>
      </c>
      <c r="E3941" s="52">
        <f t="shared" ca="1" si="162"/>
        <v>0</v>
      </c>
      <c r="F3941" s="17">
        <f t="shared" ca="1" si="163"/>
        <v>0</v>
      </c>
      <c r="H3941" s="17">
        <v>3932</v>
      </c>
      <c r="I3941" s="45">
        <v>0.6707210698775391</v>
      </c>
      <c r="J3941" s="45">
        <v>1.8850651939594485E-2</v>
      </c>
      <c r="K3941" s="45">
        <v>0.24740000000000001</v>
      </c>
      <c r="N3941" s="54"/>
    </row>
    <row r="3942" spans="2:14" x14ac:dyDescent="0.2">
      <c r="B3942">
        <v>3933</v>
      </c>
      <c r="C3942" s="52">
        <f ca="1"/>
        <v>1.3749363996374176E-2</v>
      </c>
      <c r="D3942" s="52">
        <f ca="1">S0*EXP((μ-0.5*σ*σ)*T+σ*SQRT(T)*$C3942)</f>
        <v>0.64628845684319725</v>
      </c>
      <c r="E3942" s="52">
        <f t="shared" ca="1" si="162"/>
        <v>0</v>
      </c>
      <c r="F3942" s="17">
        <f t="shared" ca="1" si="163"/>
        <v>0</v>
      </c>
      <c r="H3942" s="17">
        <v>3933</v>
      </c>
      <c r="I3942" s="45">
        <v>0.67126235048394101</v>
      </c>
      <c r="J3942" s="45">
        <v>1.929214026609825E-2</v>
      </c>
      <c r="K3942" s="45">
        <v>0.24940000000000001</v>
      </c>
      <c r="N3942" s="54"/>
    </row>
    <row r="3943" spans="2:14" x14ac:dyDescent="0.2">
      <c r="B3943">
        <v>3934</v>
      </c>
      <c r="C3943" s="52">
        <f ca="1"/>
        <v>-1.5654543523075806</v>
      </c>
      <c r="D3943" s="52">
        <f ca="1">S0*EXP((μ-0.5*σ*σ)*T+σ*SQRT(T)*$C3943)</f>
        <v>0.41767460811865842</v>
      </c>
      <c r="E3943" s="52">
        <f t="shared" ca="1" si="162"/>
        <v>0.11672539188134157</v>
      </c>
      <c r="F3943" s="17">
        <f t="shared" ca="1" si="163"/>
        <v>1</v>
      </c>
      <c r="H3943" s="17">
        <v>3934</v>
      </c>
      <c r="I3943" s="45">
        <v>0.67013440454972328</v>
      </c>
      <c r="J3943" s="45">
        <v>1.8554689053100894E-2</v>
      </c>
      <c r="K3943" s="45">
        <v>0.24299999999999999</v>
      </c>
      <c r="N3943" s="54"/>
    </row>
    <row r="3944" spans="2:14" x14ac:dyDescent="0.2">
      <c r="B3944">
        <v>3935</v>
      </c>
      <c r="C3944" s="52">
        <f ca="1"/>
        <v>-0.32299007865277368</v>
      </c>
      <c r="D3944" s="52">
        <f ca="1">S0*EXP((μ-0.5*σ*σ)*T+σ*SQRT(T)*$C3944)</f>
        <v>0.58884335727577275</v>
      </c>
      <c r="E3944" s="52">
        <f t="shared" ca="1" si="162"/>
        <v>0</v>
      </c>
      <c r="F3944" s="17">
        <f t="shared" ca="1" si="163"/>
        <v>0</v>
      </c>
      <c r="H3944" s="17">
        <v>3935</v>
      </c>
      <c r="I3944" s="45">
        <v>0.67118683728112727</v>
      </c>
      <c r="J3944" s="45">
        <v>1.9287790489423709E-2</v>
      </c>
      <c r="K3944" s="45">
        <v>0.24579999999999999</v>
      </c>
      <c r="N3944" s="54"/>
    </row>
    <row r="3945" spans="2:14" x14ac:dyDescent="0.2">
      <c r="B3945">
        <v>3936</v>
      </c>
      <c r="C3945" s="52">
        <f ca="1"/>
        <v>1.0113475236326632</v>
      </c>
      <c r="D3945" s="52">
        <f ca="1">S0*EXP((μ-0.5*σ*σ)*T+σ*SQRT(T)*$C3945)</f>
        <v>0.8515127707839939</v>
      </c>
      <c r="E3945" s="52">
        <f t="shared" ca="1" si="162"/>
        <v>0</v>
      </c>
      <c r="F3945" s="17">
        <f t="shared" ca="1" si="163"/>
        <v>0</v>
      </c>
      <c r="H3945" s="17">
        <v>3936</v>
      </c>
      <c r="I3945" s="45">
        <v>0.66985367539537277</v>
      </c>
      <c r="J3945" s="45">
        <v>1.8190439202660849E-2</v>
      </c>
      <c r="K3945" s="45">
        <v>0.2452</v>
      </c>
      <c r="N3945" s="54"/>
    </row>
    <row r="3946" spans="2:14" x14ac:dyDescent="0.2">
      <c r="B3946">
        <v>3937</v>
      </c>
      <c r="C3946" s="52">
        <f ca="1"/>
        <v>0.92266495155413797</v>
      </c>
      <c r="D3946" s="52">
        <f ca="1">S0*EXP((μ-0.5*σ*σ)*T+σ*SQRT(T)*$C3946)</f>
        <v>0.83089194117724985</v>
      </c>
      <c r="E3946" s="52">
        <f t="shared" ca="1" si="162"/>
        <v>0</v>
      </c>
      <c r="F3946" s="17">
        <f t="shared" ca="1" si="163"/>
        <v>0</v>
      </c>
      <c r="H3946" s="17">
        <v>3937</v>
      </c>
      <c r="I3946" s="45">
        <v>0.67090392359188811</v>
      </c>
      <c r="J3946" s="45">
        <v>1.893148429485E-2</v>
      </c>
      <c r="K3946" s="45">
        <v>0.24079999999999999</v>
      </c>
      <c r="N3946" s="54"/>
    </row>
    <row r="3947" spans="2:14" x14ac:dyDescent="0.2">
      <c r="B3947">
        <v>3938</v>
      </c>
      <c r="C3947" s="52">
        <f ca="1"/>
        <v>-1.1072765588366078</v>
      </c>
      <c r="D3947" s="52">
        <f ca="1">S0*EXP((μ-0.5*σ*σ)*T+σ*SQRT(T)*$C3947)</f>
        <v>0.47407138837931639</v>
      </c>
      <c r="E3947" s="52">
        <f t="shared" ca="1" si="162"/>
        <v>6.0328611620683592E-2</v>
      </c>
      <c r="F3947" s="17">
        <f t="shared" ca="1" si="163"/>
        <v>1</v>
      </c>
      <c r="H3947" s="17">
        <v>3938</v>
      </c>
      <c r="I3947" s="45">
        <v>0.67138069625977892</v>
      </c>
      <c r="J3947" s="45">
        <v>1.9240981168039174E-2</v>
      </c>
      <c r="K3947" s="45">
        <v>0.248</v>
      </c>
      <c r="N3947" s="54"/>
    </row>
    <row r="3948" spans="2:14" x14ac:dyDescent="0.2">
      <c r="B3948">
        <v>3939</v>
      </c>
      <c r="C3948" s="52">
        <f ca="1"/>
        <v>-0.21148513745255715</v>
      </c>
      <c r="D3948" s="52">
        <f ca="1">S0*EXP((μ-0.5*σ*σ)*T+σ*SQRT(T)*$C3948)</f>
        <v>0.60727624870997454</v>
      </c>
      <c r="E3948" s="52">
        <f t="shared" ca="1" si="162"/>
        <v>0</v>
      </c>
      <c r="F3948" s="17">
        <f t="shared" ca="1" si="163"/>
        <v>0</v>
      </c>
      <c r="H3948" s="17">
        <v>3939</v>
      </c>
      <c r="I3948" s="45">
        <v>0.6704778147608248</v>
      </c>
      <c r="J3948" s="45">
        <v>1.8770583199257927E-2</v>
      </c>
      <c r="K3948" s="45">
        <v>0.2492</v>
      </c>
      <c r="N3948" s="54"/>
    </row>
    <row r="3949" spans="2:14" x14ac:dyDescent="0.2">
      <c r="B3949">
        <v>3940</v>
      </c>
      <c r="C3949" s="52">
        <f ca="1"/>
        <v>1.0850669081011819</v>
      </c>
      <c r="D3949" s="52">
        <f ca="1">S0*EXP((μ-0.5*σ*σ)*T+σ*SQRT(T)*$C3949)</f>
        <v>0.86904328372177175</v>
      </c>
      <c r="E3949" s="52">
        <f t="shared" ca="1" si="162"/>
        <v>0</v>
      </c>
      <c r="F3949" s="17">
        <f t="shared" ca="1" si="163"/>
        <v>0</v>
      </c>
      <c r="H3949" s="17">
        <v>3940</v>
      </c>
      <c r="I3949" s="45">
        <v>0.671280337167946</v>
      </c>
      <c r="J3949" s="45">
        <v>1.9359109560304608E-2</v>
      </c>
      <c r="K3949" s="45">
        <v>0.24360000000000001</v>
      </c>
      <c r="N3949" s="54"/>
    </row>
    <row r="3950" spans="2:14" x14ac:dyDescent="0.2">
      <c r="B3950">
        <v>3941</v>
      </c>
      <c r="C3950" s="52">
        <f ca="1"/>
        <v>-0.21017540535937893</v>
      </c>
      <c r="D3950" s="52">
        <f ca="1">S0*EXP((μ-0.5*σ*σ)*T+σ*SQRT(T)*$C3950)</f>
        <v>0.60749615442089133</v>
      </c>
      <c r="E3950" s="52">
        <f t="shared" ca="1" si="162"/>
        <v>0</v>
      </c>
      <c r="F3950" s="17">
        <f t="shared" ca="1" si="163"/>
        <v>0</v>
      </c>
      <c r="H3950" s="17">
        <v>3941</v>
      </c>
      <c r="I3950" s="45">
        <v>0.67122183540512337</v>
      </c>
      <c r="J3950" s="45">
        <v>1.9192296749492521E-2</v>
      </c>
      <c r="K3950" s="45">
        <v>0.24440000000000001</v>
      </c>
      <c r="N3950" s="54"/>
    </row>
    <row r="3951" spans="2:14" x14ac:dyDescent="0.2">
      <c r="B3951">
        <v>3942</v>
      </c>
      <c r="C3951" s="52">
        <f ca="1"/>
        <v>-0.1600285816999614</v>
      </c>
      <c r="D3951" s="52">
        <f ca="1">S0*EXP((μ-0.5*σ*σ)*T+σ*SQRT(T)*$C3951)</f>
        <v>0.61597603435360748</v>
      </c>
      <c r="E3951" s="52">
        <f t="shared" ca="1" si="162"/>
        <v>0</v>
      </c>
      <c r="F3951" s="17">
        <f t="shared" ca="1" si="163"/>
        <v>0</v>
      </c>
      <c r="H3951" s="17">
        <v>3942</v>
      </c>
      <c r="I3951" s="45">
        <v>0.67025180324969147</v>
      </c>
      <c r="J3951" s="45">
        <v>1.860716076969238E-2</v>
      </c>
      <c r="K3951" s="45">
        <v>0.24840000000000001</v>
      </c>
      <c r="N3951" s="54"/>
    </row>
    <row r="3952" spans="2:14" x14ac:dyDescent="0.2">
      <c r="B3952">
        <v>3943</v>
      </c>
      <c r="C3952" s="52">
        <f ca="1"/>
        <v>-2.0596711673017922</v>
      </c>
      <c r="D3952" s="52">
        <f ca="1">S0*EXP((μ-0.5*σ*σ)*T+σ*SQRT(T)*$C3952)</f>
        <v>0.36433912054223322</v>
      </c>
      <c r="E3952" s="52">
        <f t="shared" ca="1" si="162"/>
        <v>0.17006087945776677</v>
      </c>
      <c r="F3952" s="17">
        <f t="shared" ca="1" si="163"/>
        <v>1</v>
      </c>
      <c r="H3952" s="17">
        <v>3943</v>
      </c>
      <c r="I3952" s="45">
        <v>0.67104017249434234</v>
      </c>
      <c r="J3952" s="45">
        <v>1.9130314667727907E-2</v>
      </c>
      <c r="K3952" s="45">
        <v>0.251</v>
      </c>
      <c r="N3952" s="54"/>
    </row>
    <row r="3953" spans="2:14" x14ac:dyDescent="0.2">
      <c r="B3953">
        <v>3944</v>
      </c>
      <c r="C3953" s="52">
        <f ca="1"/>
        <v>-0.5378828471045396</v>
      </c>
      <c r="D3953" s="52">
        <f ca="1">S0*EXP((μ-0.5*σ*σ)*T+σ*SQRT(T)*$C3953)</f>
        <v>0.55488276287639915</v>
      </c>
      <c r="E3953" s="52">
        <f t="shared" ca="1" si="162"/>
        <v>0</v>
      </c>
      <c r="F3953" s="17">
        <f t="shared" ca="1" si="163"/>
        <v>0</v>
      </c>
      <c r="H3953" s="17">
        <v>3944</v>
      </c>
      <c r="I3953" s="45">
        <v>0.67041658696117101</v>
      </c>
      <c r="J3953" s="45">
        <v>1.8594540668658486E-2</v>
      </c>
      <c r="K3953" s="45">
        <v>0.2424</v>
      </c>
      <c r="N3953" s="54"/>
    </row>
    <row r="3954" spans="2:14" x14ac:dyDescent="0.2">
      <c r="B3954">
        <v>3945</v>
      </c>
      <c r="C3954" s="52">
        <f ca="1"/>
        <v>-0.57604695955597363</v>
      </c>
      <c r="D3954" s="52">
        <f ca="1">S0*EXP((μ-0.5*σ*σ)*T+σ*SQRT(T)*$C3954)</f>
        <v>0.54905963032087113</v>
      </c>
      <c r="E3954" s="52">
        <f t="shared" ca="1" si="162"/>
        <v>0</v>
      </c>
      <c r="F3954" s="17">
        <f t="shared" ca="1" si="163"/>
        <v>0</v>
      </c>
      <c r="H3954" s="17">
        <v>3945</v>
      </c>
      <c r="I3954" s="45">
        <v>0.67249263669981296</v>
      </c>
      <c r="J3954" s="45">
        <v>2.0002544161467413E-2</v>
      </c>
      <c r="K3954" s="45">
        <v>0.25</v>
      </c>
      <c r="N3954" s="54"/>
    </row>
    <row r="3955" spans="2:14" x14ac:dyDescent="0.2">
      <c r="B3955">
        <v>3946</v>
      </c>
      <c r="C3955" s="52">
        <f ca="1"/>
        <v>-0.98301689743569964</v>
      </c>
      <c r="D3955" s="52">
        <f ca="1">S0*EXP((μ-0.5*σ*σ)*T+σ*SQRT(T)*$C3955)</f>
        <v>0.49063836514026915</v>
      </c>
      <c r="E3955" s="52">
        <f t="shared" ca="1" si="162"/>
        <v>4.3761634859730836E-2</v>
      </c>
      <c r="F3955" s="17">
        <f t="shared" ca="1" si="163"/>
        <v>1</v>
      </c>
      <c r="H3955" s="17">
        <v>3946</v>
      </c>
      <c r="I3955" s="45">
        <v>0.67163268651130525</v>
      </c>
      <c r="J3955" s="45">
        <v>1.9537561719925413E-2</v>
      </c>
      <c r="K3955" s="45">
        <v>0.247</v>
      </c>
      <c r="N3955" s="54"/>
    </row>
    <row r="3956" spans="2:14" x14ac:dyDescent="0.2">
      <c r="B3956">
        <v>3947</v>
      </c>
      <c r="C3956" s="52">
        <f ca="1"/>
        <v>-1.834590865499083E-2</v>
      </c>
      <c r="D3956" s="52">
        <f ca="1">S0*EXP((μ-0.5*σ*σ)*T+σ*SQRT(T)*$C3956)</f>
        <v>0.6405798327498492</v>
      </c>
      <c r="E3956" s="52">
        <f t="shared" ca="1" si="162"/>
        <v>0</v>
      </c>
      <c r="F3956" s="17">
        <f t="shared" ca="1" si="163"/>
        <v>0</v>
      </c>
      <c r="H3956" s="17">
        <v>3947</v>
      </c>
      <c r="I3956" s="45">
        <v>0.67067075890202843</v>
      </c>
      <c r="J3956" s="45">
        <v>1.8815505281662467E-2</v>
      </c>
      <c r="K3956" s="45">
        <v>0.24879999999999999</v>
      </c>
      <c r="N3956" s="54"/>
    </row>
    <row r="3957" spans="2:14" x14ac:dyDescent="0.2">
      <c r="B3957">
        <v>3948</v>
      </c>
      <c r="C3957" s="52">
        <f ca="1"/>
        <v>0.33983398177501128</v>
      </c>
      <c r="D3957" s="52">
        <f ca="1">S0*EXP((μ-0.5*σ*σ)*T+σ*SQRT(T)*$C3957)</f>
        <v>0.70725149364445083</v>
      </c>
      <c r="E3957" s="52">
        <f t="shared" ca="1" si="162"/>
        <v>0</v>
      </c>
      <c r="F3957" s="17">
        <f t="shared" ca="1" si="163"/>
        <v>0</v>
      </c>
      <c r="H3957" s="17">
        <v>3948</v>
      </c>
      <c r="I3957" s="45">
        <v>0.66983398056270993</v>
      </c>
      <c r="J3957" s="45">
        <v>1.7979044381792816E-2</v>
      </c>
      <c r="K3957" s="45">
        <v>0.23499999999999999</v>
      </c>
      <c r="N3957" s="54"/>
    </row>
    <row r="3958" spans="2:14" x14ac:dyDescent="0.2">
      <c r="B3958">
        <v>3949</v>
      </c>
      <c r="C3958" s="52">
        <f ca="1"/>
        <v>-1.3069821643034529</v>
      </c>
      <c r="D3958" s="52">
        <f ca="1">S0*EXP((μ-0.5*σ*σ)*T+σ*SQRT(T)*$C3958)</f>
        <v>0.44860949888433083</v>
      </c>
      <c r="E3958" s="52">
        <f t="shared" ca="1" si="162"/>
        <v>8.579050111566916E-2</v>
      </c>
      <c r="F3958" s="17">
        <f t="shared" ca="1" si="163"/>
        <v>1</v>
      </c>
      <c r="H3958" s="17">
        <v>3949</v>
      </c>
      <c r="I3958" s="45">
        <v>0.67028912213643632</v>
      </c>
      <c r="J3958" s="45">
        <v>1.8651501804249959E-2</v>
      </c>
      <c r="K3958" s="45">
        <v>0.24379999999999999</v>
      </c>
      <c r="N3958" s="54"/>
    </row>
    <row r="3959" spans="2:14" x14ac:dyDescent="0.2">
      <c r="B3959">
        <v>3950</v>
      </c>
      <c r="C3959" s="52">
        <f ca="1"/>
        <v>2.3063694235522898</v>
      </c>
      <c r="D3959" s="52">
        <f ca="1">S0*EXP((μ-0.5*σ*σ)*T+σ*SQRT(T)*$C3959)</f>
        <v>1.2180428839691906</v>
      </c>
      <c r="E3959" s="52">
        <f t="shared" ca="1" si="162"/>
        <v>0</v>
      </c>
      <c r="F3959" s="17">
        <f t="shared" ca="1" si="163"/>
        <v>0</v>
      </c>
      <c r="H3959" s="17">
        <v>3950</v>
      </c>
      <c r="I3959" s="45">
        <v>0.67145950943452437</v>
      </c>
      <c r="J3959" s="45">
        <v>1.9397900466449076E-2</v>
      </c>
      <c r="K3959" s="45">
        <v>0.24360000000000001</v>
      </c>
      <c r="N3959" s="54"/>
    </row>
    <row r="3960" spans="2:14" x14ac:dyDescent="0.2">
      <c r="B3960">
        <v>3951</v>
      </c>
      <c r="C3960" s="52">
        <f ca="1"/>
        <v>4.5856511413560064E-2</v>
      </c>
      <c r="D3960" s="52">
        <f ca="1">S0*EXP((μ-0.5*σ*σ)*T+σ*SQRT(T)*$C3960)</f>
        <v>0.65205009460126606</v>
      </c>
      <c r="E3960" s="52">
        <f t="shared" ca="1" si="162"/>
        <v>0</v>
      </c>
      <c r="F3960" s="17">
        <f t="shared" ca="1" si="163"/>
        <v>0</v>
      </c>
      <c r="H3960" s="17">
        <v>3951</v>
      </c>
      <c r="I3960" s="45">
        <v>0.67017004472104957</v>
      </c>
      <c r="J3960" s="45">
        <v>1.8370168297943034E-2</v>
      </c>
      <c r="K3960" s="45">
        <v>0.245</v>
      </c>
      <c r="N3960" s="54"/>
    </row>
    <row r="3961" spans="2:14" x14ac:dyDescent="0.2">
      <c r="B3961">
        <v>3952</v>
      </c>
      <c r="C3961" s="52">
        <f ca="1"/>
        <v>-1.4102650831127213</v>
      </c>
      <c r="D3961" s="52">
        <f ca="1">S0*EXP((μ-0.5*σ*σ)*T+σ*SQRT(T)*$C3961)</f>
        <v>0.43598247150614833</v>
      </c>
      <c r="E3961" s="52">
        <f t="shared" ca="1" si="162"/>
        <v>9.8417528493851658E-2</v>
      </c>
      <c r="F3961" s="17">
        <f t="shared" ca="1" si="163"/>
        <v>1</v>
      </c>
      <c r="H3961" s="17">
        <v>3952</v>
      </c>
      <c r="I3961" s="45">
        <v>0.67122911325059209</v>
      </c>
      <c r="J3961" s="45">
        <v>1.950599534415982E-2</v>
      </c>
      <c r="K3961" s="45">
        <v>0.24540000000000001</v>
      </c>
      <c r="N3961" s="54"/>
    </row>
    <row r="3962" spans="2:14" x14ac:dyDescent="0.2">
      <c r="B3962">
        <v>3953</v>
      </c>
      <c r="C3962" s="52">
        <f ca="1"/>
        <v>-2.1861135278182142</v>
      </c>
      <c r="D3962" s="52">
        <f ca="1">S0*EXP((μ-0.5*σ*σ)*T+σ*SQRT(T)*$C3962)</f>
        <v>0.35182444109529726</v>
      </c>
      <c r="E3962" s="52">
        <f t="shared" ca="1" si="162"/>
        <v>0.18257555890470273</v>
      </c>
      <c r="F3962" s="17">
        <f t="shared" ca="1" si="163"/>
        <v>1</v>
      </c>
      <c r="H3962" s="17">
        <v>3953</v>
      </c>
      <c r="I3962" s="45">
        <v>0.67102350344535666</v>
      </c>
      <c r="J3962" s="45">
        <v>1.8957666058227064E-2</v>
      </c>
      <c r="K3962" s="45">
        <v>0.249</v>
      </c>
      <c r="N3962" s="54"/>
    </row>
    <row r="3963" spans="2:14" x14ac:dyDescent="0.2">
      <c r="B3963">
        <v>3954</v>
      </c>
      <c r="C3963" s="52">
        <f ca="1"/>
        <v>0.14100233033166745</v>
      </c>
      <c r="D3963" s="52">
        <f ca="1">S0*EXP((μ-0.5*σ*σ)*T+σ*SQRT(T)*$C3963)</f>
        <v>0.66942744611911564</v>
      </c>
      <c r="E3963" s="52">
        <f t="shared" ca="1" si="162"/>
        <v>0</v>
      </c>
      <c r="F3963" s="17">
        <f t="shared" ca="1" si="163"/>
        <v>0</v>
      </c>
      <c r="H3963" s="17">
        <v>3954</v>
      </c>
      <c r="I3963" s="45">
        <v>0.66980823459562022</v>
      </c>
      <c r="J3963" s="45">
        <v>1.8211082493961712E-2</v>
      </c>
      <c r="K3963" s="45">
        <v>0.23960000000000001</v>
      </c>
      <c r="N3963" s="54"/>
    </row>
    <row r="3964" spans="2:14" x14ac:dyDescent="0.2">
      <c r="B3964">
        <v>3955</v>
      </c>
      <c r="C3964" s="52">
        <f ca="1"/>
        <v>0.24170213120986464</v>
      </c>
      <c r="D3964" s="52">
        <f ca="1">S0*EXP((μ-0.5*σ*σ)*T+σ*SQRT(T)*$C3964)</f>
        <v>0.68832388347608064</v>
      </c>
      <c r="E3964" s="52">
        <f t="shared" ca="1" si="162"/>
        <v>0</v>
      </c>
      <c r="F3964" s="17">
        <f t="shared" ca="1" si="163"/>
        <v>0</v>
      </c>
      <c r="H3964" s="17">
        <v>3955</v>
      </c>
      <c r="I3964" s="45">
        <v>0.67244101330532602</v>
      </c>
      <c r="J3964" s="45">
        <v>2.0066018286700182E-2</v>
      </c>
      <c r="K3964" s="45">
        <v>0.25159999999999999</v>
      </c>
      <c r="N3964" s="54"/>
    </row>
    <row r="3965" spans="2:14" x14ac:dyDescent="0.2">
      <c r="B3965">
        <v>3956</v>
      </c>
      <c r="C3965" s="52">
        <f ca="1"/>
        <v>1.2952054131095774</v>
      </c>
      <c r="D3965" s="52">
        <f ca="1">S0*EXP((μ-0.5*σ*σ)*T+σ*SQRT(T)*$C3965)</f>
        <v>0.92102027276252629</v>
      </c>
      <c r="E3965" s="52">
        <f t="shared" ca="1" si="162"/>
        <v>0</v>
      </c>
      <c r="F3965" s="17">
        <f t="shared" ca="1" si="163"/>
        <v>0</v>
      </c>
      <c r="H3965" s="17">
        <v>3956</v>
      </c>
      <c r="I3965" s="45">
        <v>0.67105822137714699</v>
      </c>
      <c r="J3965" s="45">
        <v>1.9211494450257216E-2</v>
      </c>
      <c r="K3965" s="45">
        <v>0.25219999999999998</v>
      </c>
      <c r="N3965" s="54"/>
    </row>
    <row r="3966" spans="2:14" x14ac:dyDescent="0.2">
      <c r="B3966">
        <v>3957</v>
      </c>
      <c r="C3966" s="52">
        <f ca="1"/>
        <v>0.39014697200824483</v>
      </c>
      <c r="D3966" s="52">
        <f ca="1">S0*EXP((μ-0.5*σ*σ)*T+σ*SQRT(T)*$C3966)</f>
        <v>0.71715677327748395</v>
      </c>
      <c r="E3966" s="52">
        <f t="shared" ca="1" si="162"/>
        <v>0</v>
      </c>
      <c r="F3966" s="17">
        <f t="shared" ca="1" si="163"/>
        <v>0</v>
      </c>
      <c r="H3966" s="17">
        <v>3957</v>
      </c>
      <c r="I3966" s="45">
        <v>0.67236757508512091</v>
      </c>
      <c r="J3966" s="45">
        <v>2.0026424238177111E-2</v>
      </c>
      <c r="K3966" s="45">
        <v>0.25540000000000002</v>
      </c>
      <c r="N3966" s="54"/>
    </row>
    <row r="3967" spans="2:14" x14ac:dyDescent="0.2">
      <c r="B3967">
        <v>3958</v>
      </c>
      <c r="C3967" s="52">
        <f ca="1"/>
        <v>1.3655673887016531</v>
      </c>
      <c r="D3967" s="52">
        <f ca="1">S0*EXP((μ-0.5*σ*σ)*T+σ*SQRT(T)*$C3967)</f>
        <v>0.93910978136055923</v>
      </c>
      <c r="E3967" s="52">
        <f t="shared" ca="1" si="162"/>
        <v>0</v>
      </c>
      <c r="F3967" s="17">
        <f t="shared" ca="1" si="163"/>
        <v>0</v>
      </c>
      <c r="H3967" s="17">
        <v>3958</v>
      </c>
      <c r="I3967" s="45">
        <v>0.67030619612087483</v>
      </c>
      <c r="J3967" s="45">
        <v>1.8556409570414455E-2</v>
      </c>
      <c r="K3967" s="45">
        <v>0.24360000000000001</v>
      </c>
      <c r="N3967" s="54"/>
    </row>
    <row r="3968" spans="2:14" x14ac:dyDescent="0.2">
      <c r="B3968">
        <v>3959</v>
      </c>
      <c r="C3968" s="52">
        <f ca="1"/>
        <v>-0.62671591879150268</v>
      </c>
      <c r="D3968" s="52">
        <f ca="1">S0*EXP((μ-0.5*σ*σ)*T+σ*SQRT(T)*$C3968)</f>
        <v>0.54142280800984999</v>
      </c>
      <c r="E3968" s="52">
        <f t="shared" ca="1" si="162"/>
        <v>0</v>
      </c>
      <c r="F3968" s="17">
        <f t="shared" ca="1" si="163"/>
        <v>0</v>
      </c>
      <c r="H3968" s="17">
        <v>3959</v>
      </c>
      <c r="I3968" s="45">
        <v>0.66992960893103815</v>
      </c>
      <c r="J3968" s="45">
        <v>1.8152312828669255E-2</v>
      </c>
      <c r="K3968" s="45">
        <v>0.24099999999999999</v>
      </c>
      <c r="N3968" s="54"/>
    </row>
    <row r="3969" spans="2:14" x14ac:dyDescent="0.2">
      <c r="B3969">
        <v>3960</v>
      </c>
      <c r="C3969" s="52">
        <f ca="1"/>
        <v>-0.35750622926532422</v>
      </c>
      <c r="D3969" s="52">
        <f ca="1">S0*EXP((μ-0.5*σ*σ)*T+σ*SQRT(T)*$C3969)</f>
        <v>0.58325169389266829</v>
      </c>
      <c r="E3969" s="52">
        <f t="shared" ca="1" si="162"/>
        <v>0</v>
      </c>
      <c r="F3969" s="17">
        <f t="shared" ca="1" si="163"/>
        <v>0</v>
      </c>
      <c r="H3969" s="17">
        <v>3960</v>
      </c>
      <c r="I3969" s="45">
        <v>0.67081845266546236</v>
      </c>
      <c r="J3969" s="45">
        <v>1.8765838133923719E-2</v>
      </c>
      <c r="K3969" s="45">
        <v>0.24560000000000001</v>
      </c>
      <c r="N3969" s="54"/>
    </row>
    <row r="3970" spans="2:14" x14ac:dyDescent="0.2">
      <c r="B3970">
        <v>3961</v>
      </c>
      <c r="C3970" s="52">
        <f ca="1"/>
        <v>0.10114779051173797</v>
      </c>
      <c r="D3970" s="52">
        <f ca="1">S0*EXP((μ-0.5*σ*σ)*T+σ*SQRT(T)*$C3970)</f>
        <v>0.66209278082087331</v>
      </c>
      <c r="E3970" s="52">
        <f t="shared" ca="1" si="162"/>
        <v>0</v>
      </c>
      <c r="F3970" s="17">
        <f t="shared" ca="1" si="163"/>
        <v>0</v>
      </c>
      <c r="H3970" s="17">
        <v>3961</v>
      </c>
      <c r="I3970" s="45">
        <v>0.6713073192095701</v>
      </c>
      <c r="J3970" s="45">
        <v>1.9347721228735144E-2</v>
      </c>
      <c r="K3970" s="45">
        <v>0.247</v>
      </c>
      <c r="N3970" s="54"/>
    </row>
    <row r="3971" spans="2:14" x14ac:dyDescent="0.2">
      <c r="B3971">
        <v>3962</v>
      </c>
      <c r="C3971" s="52">
        <f ca="1"/>
        <v>0.48569443662511691</v>
      </c>
      <c r="D3971" s="52">
        <f ca="1">S0*EXP((μ-0.5*σ*σ)*T+σ*SQRT(T)*$C3971)</f>
        <v>0.73635099038677654</v>
      </c>
      <c r="E3971" s="52">
        <f t="shared" ca="1" si="162"/>
        <v>0</v>
      </c>
      <c r="F3971" s="17">
        <f t="shared" ca="1" si="163"/>
        <v>0</v>
      </c>
      <c r="H3971" s="17">
        <v>3962</v>
      </c>
      <c r="I3971" s="45">
        <v>0.67014588258617946</v>
      </c>
      <c r="J3971" s="45">
        <v>1.8256467020852513E-2</v>
      </c>
      <c r="K3971" s="45">
        <v>0.24060000000000001</v>
      </c>
      <c r="N3971" s="54"/>
    </row>
    <row r="3972" spans="2:14" x14ac:dyDescent="0.2">
      <c r="B3972">
        <v>3963</v>
      </c>
      <c r="C3972" s="52">
        <f ca="1"/>
        <v>-4.4436957430642604E-3</v>
      </c>
      <c r="D3972" s="52">
        <f ca="1">S0*EXP((μ-0.5*σ*σ)*T+σ*SQRT(T)*$C3972)</f>
        <v>0.64304633257077315</v>
      </c>
      <c r="E3972" s="52">
        <f t="shared" ca="1" si="162"/>
        <v>0</v>
      </c>
      <c r="F3972" s="17">
        <f t="shared" ca="1" si="163"/>
        <v>0</v>
      </c>
      <c r="H3972" s="17">
        <v>3963</v>
      </c>
      <c r="I3972" s="45">
        <v>0.67106545930650818</v>
      </c>
      <c r="J3972" s="45">
        <v>1.9058543750880529E-2</v>
      </c>
      <c r="K3972" s="45">
        <v>0.24759999999999999</v>
      </c>
      <c r="N3972" s="54"/>
    </row>
    <row r="3973" spans="2:14" x14ac:dyDescent="0.2">
      <c r="B3973">
        <v>3964</v>
      </c>
      <c r="C3973" s="52">
        <f ca="1"/>
        <v>-0.7247657070392437</v>
      </c>
      <c r="D3973" s="52">
        <f ca="1">S0*EXP((μ-0.5*σ*σ)*T+σ*SQRT(T)*$C3973)</f>
        <v>0.52694509273940637</v>
      </c>
      <c r="E3973" s="52">
        <f t="shared" ca="1" si="162"/>
        <v>7.4549072605936129E-3</v>
      </c>
      <c r="F3973" s="17">
        <f t="shared" ca="1" si="163"/>
        <v>1</v>
      </c>
      <c r="H3973" s="17">
        <v>3964</v>
      </c>
      <c r="I3973" s="45">
        <v>0.67070101880016486</v>
      </c>
      <c r="J3973" s="45">
        <v>1.8981324719193789E-2</v>
      </c>
      <c r="K3973" s="45">
        <v>0.251</v>
      </c>
      <c r="N3973" s="54"/>
    </row>
    <row r="3974" spans="2:14" x14ac:dyDescent="0.2">
      <c r="B3974">
        <v>3965</v>
      </c>
      <c r="C3974" s="52">
        <f ca="1"/>
        <v>-0.10878393102428562</v>
      </c>
      <c r="D3974" s="52">
        <f ca="1">S0*EXP((μ-0.5*σ*σ)*T+σ*SQRT(T)*$C3974)</f>
        <v>0.62476385420710512</v>
      </c>
      <c r="E3974" s="52">
        <f t="shared" ca="1" si="162"/>
        <v>0</v>
      </c>
      <c r="F3974" s="17">
        <f t="shared" ca="1" si="163"/>
        <v>0</v>
      </c>
      <c r="H3974" s="17">
        <v>3965</v>
      </c>
      <c r="I3974" s="45">
        <v>0.67061757636925556</v>
      </c>
      <c r="J3974" s="45">
        <v>1.9044014019258374E-2</v>
      </c>
      <c r="K3974" s="45">
        <v>0.25040000000000001</v>
      </c>
      <c r="N3974" s="54"/>
    </row>
    <row r="3975" spans="2:14" x14ac:dyDescent="0.2">
      <c r="B3975">
        <v>3966</v>
      </c>
      <c r="C3975" s="52">
        <f ca="1"/>
        <v>0.63442773310638467</v>
      </c>
      <c r="D3975" s="52">
        <f ca="1">S0*EXP((μ-0.5*σ*σ)*T+σ*SQRT(T)*$C3975)</f>
        <v>0.76725684357790702</v>
      </c>
      <c r="E3975" s="52">
        <f t="shared" ca="1" si="162"/>
        <v>0</v>
      </c>
      <c r="F3975" s="17">
        <f t="shared" ca="1" si="163"/>
        <v>0</v>
      </c>
      <c r="H3975" s="17">
        <v>3966</v>
      </c>
      <c r="I3975" s="45">
        <v>0.67187339197005913</v>
      </c>
      <c r="J3975" s="45">
        <v>1.9329450476786816E-2</v>
      </c>
      <c r="K3975" s="45">
        <v>0.249</v>
      </c>
      <c r="N3975" s="54"/>
    </row>
    <row r="3976" spans="2:14" x14ac:dyDescent="0.2">
      <c r="B3976">
        <v>3967</v>
      </c>
      <c r="C3976" s="52">
        <f ca="1"/>
        <v>-0.70901689600036699</v>
      </c>
      <c r="D3976" s="52">
        <f ca="1">S0*EXP((μ-0.5*σ*σ)*T+σ*SQRT(T)*$C3976)</f>
        <v>0.52924414026133804</v>
      </c>
      <c r="E3976" s="52">
        <f t="shared" ca="1" si="162"/>
        <v>5.1558597386619498E-3</v>
      </c>
      <c r="F3976" s="17">
        <f t="shared" ca="1" si="163"/>
        <v>1</v>
      </c>
      <c r="H3976" s="17">
        <v>3967</v>
      </c>
      <c r="I3976" s="45">
        <v>0.67130191605406031</v>
      </c>
      <c r="J3976" s="45">
        <v>1.9234268478703093E-2</v>
      </c>
      <c r="K3976" s="45">
        <v>0.24740000000000001</v>
      </c>
      <c r="N3976" s="54"/>
    </row>
    <row r="3977" spans="2:14" x14ac:dyDescent="0.2">
      <c r="B3977">
        <v>3968</v>
      </c>
      <c r="C3977" s="52">
        <f ca="1"/>
        <v>-0.60642539228015746</v>
      </c>
      <c r="D3977" s="52">
        <f ca="1">S0*EXP((μ-0.5*σ*σ)*T+σ*SQRT(T)*$C3977)</f>
        <v>0.54446816019818345</v>
      </c>
      <c r="E3977" s="52">
        <f t="shared" ca="1" si="162"/>
        <v>0</v>
      </c>
      <c r="F3977" s="17">
        <f t="shared" ca="1" si="163"/>
        <v>0</v>
      </c>
      <c r="H3977" s="17">
        <v>3968</v>
      </c>
      <c r="I3977" s="45">
        <v>0.67296107491179091</v>
      </c>
      <c r="J3977" s="45">
        <v>2.0717130977875219E-2</v>
      </c>
      <c r="K3977" s="45">
        <v>0.254</v>
      </c>
      <c r="N3977" s="54"/>
    </row>
    <row r="3978" spans="2:14" x14ac:dyDescent="0.2">
      <c r="B3978">
        <v>3969</v>
      </c>
      <c r="C3978" s="52">
        <f ca="1"/>
        <v>0.21889250930006132</v>
      </c>
      <c r="D3978" s="52">
        <f ca="1">S0*EXP((μ-0.5*σ*σ)*T+σ*SQRT(T)*$C3978)</f>
        <v>0.68399743452525041</v>
      </c>
      <c r="E3978" s="52">
        <f t="shared" ref="E3978:E4041" ca="1" si="164">MAX(0,CP*(D3978-K))</f>
        <v>0</v>
      </c>
      <c r="F3978" s="17">
        <f t="shared" ref="F3978:F4041" ca="1" si="165">(CP*(D3978-K)&gt;0)*1</f>
        <v>0</v>
      </c>
      <c r="H3978" s="17">
        <v>3969</v>
      </c>
      <c r="I3978" s="45">
        <v>0.67136976089899114</v>
      </c>
      <c r="J3978" s="45">
        <v>1.9436307401744918E-2</v>
      </c>
      <c r="K3978" s="45">
        <v>0.25119999999999998</v>
      </c>
      <c r="N3978" s="54"/>
    </row>
    <row r="3979" spans="2:14" x14ac:dyDescent="0.2">
      <c r="B3979">
        <v>3970</v>
      </c>
      <c r="C3979" s="52">
        <f ca="1"/>
        <v>-1.2465349743561576</v>
      </c>
      <c r="D3979" s="52">
        <f ca="1">S0*EXP((μ-0.5*σ*σ)*T+σ*SQRT(T)*$C3979)</f>
        <v>0.45616854843946641</v>
      </c>
      <c r="E3979" s="52">
        <f t="shared" ca="1" si="164"/>
        <v>7.8231451560533571E-2</v>
      </c>
      <c r="F3979" s="17">
        <f t="shared" ca="1" si="165"/>
        <v>1</v>
      </c>
      <c r="H3979" s="17">
        <v>3970</v>
      </c>
      <c r="I3979" s="45">
        <v>0.67062899496358919</v>
      </c>
      <c r="J3979" s="45">
        <v>1.858031118574786E-2</v>
      </c>
      <c r="K3979" s="45">
        <v>0.2404</v>
      </c>
      <c r="N3979" s="54"/>
    </row>
    <row r="3980" spans="2:14" x14ac:dyDescent="0.2">
      <c r="B3980">
        <v>3971</v>
      </c>
      <c r="C3980" s="52">
        <f ca="1"/>
        <v>-1.3747546055229556</v>
      </c>
      <c r="D3980" s="52">
        <f ca="1">S0*EXP((μ-0.5*σ*σ)*T+σ*SQRT(T)*$C3980)</f>
        <v>0.44028325895414183</v>
      </c>
      <c r="E3980" s="52">
        <f t="shared" ca="1" si="164"/>
        <v>9.4116741045858154E-2</v>
      </c>
      <c r="F3980" s="17">
        <f t="shared" ca="1" si="165"/>
        <v>1</v>
      </c>
      <c r="H3980" s="17">
        <v>3971</v>
      </c>
      <c r="I3980" s="45">
        <v>0.67140839181284906</v>
      </c>
      <c r="J3980" s="45">
        <v>1.9175632285136614E-2</v>
      </c>
      <c r="K3980" s="45">
        <v>0.24279999999999999</v>
      </c>
      <c r="N3980" s="54"/>
    </row>
    <row r="3981" spans="2:14" x14ac:dyDescent="0.2">
      <c r="B3981">
        <v>3972</v>
      </c>
      <c r="C3981" s="52">
        <f ca="1"/>
        <v>-1.829755818075125</v>
      </c>
      <c r="D3981" s="52">
        <f ca="1">S0*EXP((μ-0.5*σ*σ)*T+σ*SQRT(T)*$C3981)</f>
        <v>0.38824677734328511</v>
      </c>
      <c r="E3981" s="52">
        <f t="shared" ca="1" si="164"/>
        <v>0.14615322265671488</v>
      </c>
      <c r="F3981" s="17">
        <f t="shared" ca="1" si="165"/>
        <v>1</v>
      </c>
      <c r="H3981" s="17">
        <v>3972</v>
      </c>
      <c r="I3981" s="45">
        <v>0.67187350514417465</v>
      </c>
      <c r="J3981" s="45">
        <v>1.9351120340057589E-2</v>
      </c>
      <c r="K3981" s="45">
        <v>0.2482</v>
      </c>
      <c r="N3981" s="54"/>
    </row>
    <row r="3982" spans="2:14" x14ac:dyDescent="0.2">
      <c r="B3982">
        <v>3973</v>
      </c>
      <c r="C3982" s="52">
        <f ca="1"/>
        <v>-2.0563661808945337</v>
      </c>
      <c r="D3982" s="52">
        <f ca="1">S0*EXP((μ-0.5*σ*σ)*T+σ*SQRT(T)*$C3982)</f>
        <v>0.36467213493752559</v>
      </c>
      <c r="E3982" s="52">
        <f t="shared" ca="1" si="164"/>
        <v>0.16972786506247439</v>
      </c>
      <c r="F3982" s="17">
        <f t="shared" ca="1" si="165"/>
        <v>1</v>
      </c>
      <c r="H3982" s="17">
        <v>3973</v>
      </c>
      <c r="I3982" s="45">
        <v>0.67110444255895796</v>
      </c>
      <c r="J3982" s="45">
        <v>1.8954100529070372E-2</v>
      </c>
      <c r="K3982" s="45">
        <v>0.248</v>
      </c>
      <c r="N3982" s="54"/>
    </row>
    <row r="3983" spans="2:14" x14ac:dyDescent="0.2">
      <c r="B3983">
        <v>3974</v>
      </c>
      <c r="C3983" s="52">
        <f ca="1"/>
        <v>1.2223825921321552</v>
      </c>
      <c r="D3983" s="52">
        <f ca="1">S0*EXP((μ-0.5*σ*σ)*T+σ*SQRT(T)*$C3983)</f>
        <v>0.90266495785525447</v>
      </c>
      <c r="E3983" s="52">
        <f t="shared" ca="1" si="164"/>
        <v>0</v>
      </c>
      <c r="F3983" s="17">
        <f t="shared" ca="1" si="165"/>
        <v>0</v>
      </c>
      <c r="H3983" s="17">
        <v>3974</v>
      </c>
      <c r="I3983" s="45">
        <v>0.67108101622472704</v>
      </c>
      <c r="J3983" s="45">
        <v>1.9162558878098989E-2</v>
      </c>
      <c r="K3983" s="45">
        <v>0.24479999999999999</v>
      </c>
      <c r="N3983" s="54"/>
    </row>
    <row r="3984" spans="2:14" x14ac:dyDescent="0.2">
      <c r="B3984">
        <v>3975</v>
      </c>
      <c r="C3984" s="52">
        <f ca="1"/>
        <v>1.1108716870694615</v>
      </c>
      <c r="D3984" s="52">
        <f ca="1">S0*EXP((μ-0.5*σ*σ)*T+σ*SQRT(T)*$C3984)</f>
        <v>0.8752645754351539</v>
      </c>
      <c r="E3984" s="52">
        <f t="shared" ca="1" si="164"/>
        <v>0</v>
      </c>
      <c r="F3984" s="17">
        <f t="shared" ca="1" si="165"/>
        <v>0</v>
      </c>
      <c r="H3984" s="17">
        <v>3975</v>
      </c>
      <c r="I3984" s="45">
        <v>0.67361879805498015</v>
      </c>
      <c r="J3984" s="45">
        <v>2.0882708357533385E-2</v>
      </c>
      <c r="K3984" s="45">
        <v>0.255</v>
      </c>
      <c r="N3984" s="54"/>
    </row>
    <row r="3985" spans="2:14" x14ac:dyDescent="0.2">
      <c r="B3985">
        <v>3976</v>
      </c>
      <c r="C3985" s="52">
        <f ca="1"/>
        <v>2.1444196852253574</v>
      </c>
      <c r="D3985" s="52">
        <f ca="1">S0*EXP((μ-0.5*σ*σ)*T+σ*SQRT(T)*$C3985)</f>
        <v>1.1647159109692493</v>
      </c>
      <c r="E3985" s="52">
        <f t="shared" ca="1" si="164"/>
        <v>0</v>
      </c>
      <c r="F3985" s="17">
        <f t="shared" ca="1" si="165"/>
        <v>0</v>
      </c>
      <c r="H3985" s="17">
        <v>3976</v>
      </c>
      <c r="I3985" s="45">
        <v>0.67122126777015145</v>
      </c>
      <c r="J3985" s="45">
        <v>1.9151051404046909E-2</v>
      </c>
      <c r="K3985" s="45">
        <v>0.246</v>
      </c>
      <c r="N3985" s="54"/>
    </row>
    <row r="3986" spans="2:14" x14ac:dyDescent="0.2">
      <c r="B3986">
        <v>3977</v>
      </c>
      <c r="C3986" s="52">
        <f ca="1"/>
        <v>-0.75479795088211921</v>
      </c>
      <c r="D3986" s="52">
        <f ca="1">S0*EXP((μ-0.5*σ*σ)*T+σ*SQRT(T)*$C3986)</f>
        <v>0.52258856199987502</v>
      </c>
      <c r="E3986" s="52">
        <f t="shared" ca="1" si="164"/>
        <v>1.1811438000124963E-2</v>
      </c>
      <c r="F3986" s="17">
        <f t="shared" ca="1" si="165"/>
        <v>1</v>
      </c>
      <c r="H3986" s="17">
        <v>3977</v>
      </c>
      <c r="I3986" s="45">
        <v>0.67086554137886956</v>
      </c>
      <c r="J3986" s="45">
        <v>1.867904331604818E-2</v>
      </c>
      <c r="K3986" s="45">
        <v>0.23780000000000001</v>
      </c>
      <c r="N3986" s="54"/>
    </row>
    <row r="3987" spans="2:14" x14ac:dyDescent="0.2">
      <c r="B3987">
        <v>3978</v>
      </c>
      <c r="C3987" s="52">
        <f ca="1"/>
        <v>-0.18994457653208346</v>
      </c>
      <c r="D3987" s="52">
        <f ca="1">S0*EXP((μ-0.5*σ*σ)*T+σ*SQRT(T)*$C3987)</f>
        <v>0.61090306930397198</v>
      </c>
      <c r="E3987" s="52">
        <f t="shared" ca="1" si="164"/>
        <v>0</v>
      </c>
      <c r="F3987" s="17">
        <f t="shared" ca="1" si="165"/>
        <v>0</v>
      </c>
      <c r="H3987" s="17">
        <v>3978</v>
      </c>
      <c r="I3987" s="45">
        <v>0.67024528245245885</v>
      </c>
      <c r="J3987" s="45">
        <v>1.8350468924419775E-2</v>
      </c>
      <c r="K3987" s="45">
        <v>0.24460000000000001</v>
      </c>
      <c r="N3987" s="54"/>
    </row>
    <row r="3988" spans="2:14" x14ac:dyDescent="0.2">
      <c r="B3988">
        <v>3979</v>
      </c>
      <c r="C3988" s="52">
        <f ca="1"/>
        <v>8.3367831483768987E-2</v>
      </c>
      <c r="D3988" s="52">
        <f ca="1">S0*EXP((μ-0.5*σ*σ)*T+σ*SQRT(T)*$C3988)</f>
        <v>0.65884660605334799</v>
      </c>
      <c r="E3988" s="52">
        <f t="shared" ca="1" si="164"/>
        <v>0</v>
      </c>
      <c r="F3988" s="17">
        <f t="shared" ca="1" si="165"/>
        <v>0</v>
      </c>
      <c r="H3988" s="17">
        <v>3979</v>
      </c>
      <c r="I3988" s="45">
        <v>0.67067477144316689</v>
      </c>
      <c r="J3988" s="45">
        <v>1.8765136531201623E-2</v>
      </c>
      <c r="K3988" s="45">
        <v>0.24640000000000001</v>
      </c>
      <c r="N3988" s="54"/>
    </row>
    <row r="3989" spans="2:14" x14ac:dyDescent="0.2">
      <c r="B3989">
        <v>3980</v>
      </c>
      <c r="C3989" s="52">
        <f ca="1"/>
        <v>0.85368410092820957</v>
      </c>
      <c r="D3989" s="52">
        <f ca="1">S0*EXP((μ-0.5*σ*σ)*T+σ*SQRT(T)*$C3989)</f>
        <v>0.81519814128064527</v>
      </c>
      <c r="E3989" s="52">
        <f t="shared" ca="1" si="164"/>
        <v>0</v>
      </c>
      <c r="F3989" s="17">
        <f t="shared" ca="1" si="165"/>
        <v>0</v>
      </c>
      <c r="H3989" s="17">
        <v>3980</v>
      </c>
      <c r="I3989" s="45">
        <v>0.67065690315008131</v>
      </c>
      <c r="J3989" s="45">
        <v>1.8591547375910802E-2</v>
      </c>
      <c r="K3989" s="45">
        <v>0.24679999999999999</v>
      </c>
      <c r="N3989" s="54"/>
    </row>
    <row r="3990" spans="2:14" x14ac:dyDescent="0.2">
      <c r="B3990">
        <v>3981</v>
      </c>
      <c r="C3990" s="52">
        <f ca="1"/>
        <v>-2.3729965786751803</v>
      </c>
      <c r="D3990" s="52">
        <f ca="1">S0*EXP((μ-0.5*σ*σ)*T+σ*SQRT(T)*$C3990)</f>
        <v>0.33411049208926918</v>
      </c>
      <c r="E3990" s="52">
        <f t="shared" ca="1" si="164"/>
        <v>0.2002895079107308</v>
      </c>
      <c r="F3990" s="17">
        <f t="shared" ca="1" si="165"/>
        <v>1</v>
      </c>
      <c r="H3990" s="17">
        <v>3981</v>
      </c>
      <c r="I3990" s="45">
        <v>0.67148546096426986</v>
      </c>
      <c r="J3990" s="45">
        <v>1.938140330859103E-2</v>
      </c>
      <c r="K3990" s="45">
        <v>0.24759999999999999</v>
      </c>
      <c r="N3990" s="54"/>
    </row>
    <row r="3991" spans="2:14" x14ac:dyDescent="0.2">
      <c r="B3991">
        <v>3982</v>
      </c>
      <c r="C3991" s="52">
        <f ca="1"/>
        <v>-1.0076791112788337</v>
      </c>
      <c r="D3991" s="52">
        <f ca="1">S0*EXP((μ-0.5*σ*σ)*T+σ*SQRT(T)*$C3991)</f>
        <v>0.48730484457431061</v>
      </c>
      <c r="E3991" s="52">
        <f t="shared" ca="1" si="164"/>
        <v>4.7095155425689372E-2</v>
      </c>
      <c r="F3991" s="17">
        <f t="shared" ca="1" si="165"/>
        <v>1</v>
      </c>
      <c r="H3991" s="17">
        <v>3982</v>
      </c>
      <c r="I3991" s="45">
        <v>0.67059244732981782</v>
      </c>
      <c r="J3991" s="45">
        <v>1.8734265690179549E-2</v>
      </c>
      <c r="K3991" s="45">
        <v>0.2394</v>
      </c>
      <c r="N3991" s="54"/>
    </row>
    <row r="3992" spans="2:14" x14ac:dyDescent="0.2">
      <c r="B3992">
        <v>3983</v>
      </c>
      <c r="C3992" s="52">
        <f ca="1"/>
        <v>0.11719969236998748</v>
      </c>
      <c r="D3992" s="52">
        <f ca="1">S0*EXP((μ-0.5*σ*σ)*T+σ*SQRT(T)*$C3992)</f>
        <v>0.66503719138260098</v>
      </c>
      <c r="E3992" s="52">
        <f t="shared" ca="1" si="164"/>
        <v>0</v>
      </c>
      <c r="F3992" s="17">
        <f t="shared" ca="1" si="165"/>
        <v>0</v>
      </c>
      <c r="H3992" s="17">
        <v>3983</v>
      </c>
      <c r="I3992" s="45">
        <v>0.67132061686459066</v>
      </c>
      <c r="J3992" s="45">
        <v>1.9291049623429035E-2</v>
      </c>
      <c r="K3992" s="45">
        <v>0.24660000000000001</v>
      </c>
      <c r="N3992" s="54"/>
    </row>
    <row r="3993" spans="2:14" x14ac:dyDescent="0.2">
      <c r="B3993">
        <v>3984</v>
      </c>
      <c r="C3993" s="52">
        <f ca="1"/>
        <v>-1.0608153291134961</v>
      </c>
      <c r="D3993" s="52">
        <f ca="1">S0*EXP((μ-0.5*σ*σ)*T+σ*SQRT(T)*$C3993)</f>
        <v>0.48019934186347252</v>
      </c>
      <c r="E3993" s="52">
        <f t="shared" ca="1" si="164"/>
        <v>5.4200658136527469E-2</v>
      </c>
      <c r="F3993" s="17">
        <f t="shared" ca="1" si="165"/>
        <v>1</v>
      </c>
      <c r="H3993" s="17">
        <v>3984</v>
      </c>
      <c r="I3993" s="45">
        <v>0.67058010649166822</v>
      </c>
      <c r="J3993" s="45">
        <v>1.8944166872625214E-2</v>
      </c>
      <c r="K3993" s="45">
        <v>0.24759999999999999</v>
      </c>
      <c r="N3993" s="54"/>
    </row>
    <row r="3994" spans="2:14" x14ac:dyDescent="0.2">
      <c r="B3994">
        <v>3985</v>
      </c>
      <c r="C3994" s="52">
        <f ca="1"/>
        <v>-0.63217785590535025</v>
      </c>
      <c r="D3994" s="52">
        <f ca="1">S0*EXP((μ-0.5*σ*σ)*T+σ*SQRT(T)*$C3994)</f>
        <v>0.54060595381369569</v>
      </c>
      <c r="E3994" s="52">
        <f t="shared" ca="1" si="164"/>
        <v>0</v>
      </c>
      <c r="F3994" s="17">
        <f t="shared" ca="1" si="165"/>
        <v>0</v>
      </c>
      <c r="H3994" s="17">
        <v>3985</v>
      </c>
      <c r="I3994" s="45">
        <v>0.67125463159730325</v>
      </c>
      <c r="J3994" s="45">
        <v>1.9293252571990122E-2</v>
      </c>
      <c r="K3994" s="45">
        <v>0.24840000000000001</v>
      </c>
      <c r="N3994" s="54"/>
    </row>
    <row r="3995" spans="2:14" x14ac:dyDescent="0.2">
      <c r="B3995">
        <v>3986</v>
      </c>
      <c r="C3995" s="52">
        <f ca="1"/>
        <v>1.3470344029412948</v>
      </c>
      <c r="D3995" s="52">
        <f ca="1">S0*EXP((μ-0.5*σ*σ)*T+σ*SQRT(T)*$C3995)</f>
        <v>0.93431091250592546</v>
      </c>
      <c r="E3995" s="52">
        <f t="shared" ca="1" si="164"/>
        <v>0</v>
      </c>
      <c r="F3995" s="17">
        <f t="shared" ca="1" si="165"/>
        <v>0</v>
      </c>
      <c r="H3995" s="17">
        <v>3986</v>
      </c>
      <c r="I3995" s="45">
        <v>0.67045388749904511</v>
      </c>
      <c r="J3995" s="45">
        <v>1.8744886036378729E-2</v>
      </c>
      <c r="K3995" s="45">
        <v>0.24440000000000001</v>
      </c>
      <c r="N3995" s="54"/>
    </row>
    <row r="3996" spans="2:14" x14ac:dyDescent="0.2">
      <c r="B3996">
        <v>3987</v>
      </c>
      <c r="C3996" s="52">
        <f ca="1"/>
        <v>-1.6065265194886413</v>
      </c>
      <c r="D3996" s="52">
        <f ca="1">S0*EXP((μ-0.5*σ*σ)*T+σ*SQRT(T)*$C3996)</f>
        <v>0.41295928208622468</v>
      </c>
      <c r="E3996" s="52">
        <f t="shared" ca="1" si="164"/>
        <v>0.12144071791377531</v>
      </c>
      <c r="F3996" s="17">
        <f t="shared" ca="1" si="165"/>
        <v>1</v>
      </c>
      <c r="H3996" s="17">
        <v>3987</v>
      </c>
      <c r="I3996" s="45">
        <v>0.67069100210141996</v>
      </c>
      <c r="J3996" s="45">
        <v>1.8627205780648106E-2</v>
      </c>
      <c r="K3996" s="45">
        <v>0.24640000000000001</v>
      </c>
      <c r="N3996" s="54"/>
    </row>
    <row r="3997" spans="2:14" x14ac:dyDescent="0.2">
      <c r="B3997">
        <v>3988</v>
      </c>
      <c r="C3997" s="52">
        <f ca="1"/>
        <v>7.3806341208077969E-2</v>
      </c>
      <c r="D3997" s="52">
        <f ca="1">S0*EXP((μ-0.5*σ*σ)*T+σ*SQRT(T)*$C3997)</f>
        <v>0.6571075034480377</v>
      </c>
      <c r="E3997" s="52">
        <f t="shared" ca="1" si="164"/>
        <v>0</v>
      </c>
      <c r="F3997" s="17">
        <f t="shared" ca="1" si="165"/>
        <v>0</v>
      </c>
      <c r="H3997" s="17">
        <v>3988</v>
      </c>
      <c r="I3997" s="45">
        <v>0.67011840790625532</v>
      </c>
      <c r="J3997" s="45">
        <v>1.8495147884500913E-2</v>
      </c>
      <c r="K3997" s="45">
        <v>0.24399999999999999</v>
      </c>
      <c r="N3997" s="54"/>
    </row>
    <row r="3998" spans="2:14" x14ac:dyDescent="0.2">
      <c r="B3998">
        <v>3989</v>
      </c>
      <c r="C3998" s="52">
        <f ca="1"/>
        <v>-7.6987147453485644E-2</v>
      </c>
      <c r="D3998" s="52">
        <f ca="1">S0*EXP((μ-0.5*σ*σ)*T+σ*SQRT(T)*$C3998)</f>
        <v>0.63027952399055709</v>
      </c>
      <c r="E3998" s="52">
        <f t="shared" ca="1" si="164"/>
        <v>0</v>
      </c>
      <c r="F3998" s="17">
        <f t="shared" ca="1" si="165"/>
        <v>0</v>
      </c>
      <c r="H3998" s="17">
        <v>3989</v>
      </c>
      <c r="I3998" s="45">
        <v>0.67117571691767997</v>
      </c>
      <c r="J3998" s="45">
        <v>1.9147912342391465E-2</v>
      </c>
      <c r="K3998" s="45">
        <v>0.24340000000000001</v>
      </c>
      <c r="N3998" s="54"/>
    </row>
    <row r="3999" spans="2:14" x14ac:dyDescent="0.2">
      <c r="B3999">
        <v>3990</v>
      </c>
      <c r="C3999" s="52">
        <f ca="1"/>
        <v>1.6867884093553056</v>
      </c>
      <c r="D3999" s="52">
        <f ca="1">S0*EXP((μ-0.5*σ*σ)*T+σ*SQRT(T)*$C3999)</f>
        <v>1.0263132791234102</v>
      </c>
      <c r="E3999" s="52">
        <f t="shared" ca="1" si="164"/>
        <v>0</v>
      </c>
      <c r="F3999" s="17">
        <f t="shared" ca="1" si="165"/>
        <v>0</v>
      </c>
      <c r="H3999" s="17">
        <v>3990</v>
      </c>
      <c r="I3999" s="45">
        <v>0.67033310707627913</v>
      </c>
      <c r="J3999" s="45">
        <v>1.8683929230383374E-2</v>
      </c>
      <c r="K3999" s="45">
        <v>0.24199999999999999</v>
      </c>
      <c r="N3999" s="54"/>
    </row>
    <row r="4000" spans="2:14" x14ac:dyDescent="0.2">
      <c r="B4000">
        <v>3991</v>
      </c>
      <c r="C4000" s="52">
        <f ca="1"/>
        <v>-2.3620282530504664E-2</v>
      </c>
      <c r="D4000" s="52">
        <f ca="1">S0*EXP((μ-0.5*σ*σ)*T+σ*SQRT(T)*$C4000)</f>
        <v>0.63964654249472241</v>
      </c>
      <c r="E4000" s="52">
        <f t="shared" ca="1" si="164"/>
        <v>0</v>
      </c>
      <c r="F4000" s="17">
        <f t="shared" ca="1" si="165"/>
        <v>0</v>
      </c>
      <c r="H4000" s="17">
        <v>3991</v>
      </c>
      <c r="I4000" s="45">
        <v>0.67097176744091391</v>
      </c>
      <c r="J4000" s="45">
        <v>1.8981688418084224E-2</v>
      </c>
      <c r="K4000" s="45">
        <v>0.25019999999999998</v>
      </c>
      <c r="N4000" s="54"/>
    </row>
    <row r="4001" spans="2:14" x14ac:dyDescent="0.2">
      <c r="B4001">
        <v>3992</v>
      </c>
      <c r="C4001" s="52">
        <f ca="1"/>
        <v>-1.2389513626127879</v>
      </c>
      <c r="D4001" s="52">
        <f ca="1">S0*EXP((μ-0.5*σ*σ)*T+σ*SQRT(T)*$C4001)</f>
        <v>0.45712584356710262</v>
      </c>
      <c r="E4001" s="52">
        <f t="shared" ca="1" si="164"/>
        <v>7.7274156432897367E-2</v>
      </c>
      <c r="F4001" s="17">
        <f t="shared" ca="1" si="165"/>
        <v>1</v>
      </c>
      <c r="H4001" s="17">
        <v>3992</v>
      </c>
      <c r="I4001" s="45">
        <v>0.67068148855501697</v>
      </c>
      <c r="J4001" s="45">
        <v>1.885918250997852E-2</v>
      </c>
      <c r="K4001" s="45">
        <v>0.24179999999999999</v>
      </c>
      <c r="N4001" s="54"/>
    </row>
    <row r="4002" spans="2:14" x14ac:dyDescent="0.2">
      <c r="B4002">
        <v>3993</v>
      </c>
      <c r="C4002" s="52">
        <f ca="1"/>
        <v>0.95383805956612711</v>
      </c>
      <c r="D4002" s="52">
        <f ca="1">S0*EXP((μ-0.5*σ*σ)*T+σ*SQRT(T)*$C4002)</f>
        <v>0.83808289220423737</v>
      </c>
      <c r="E4002" s="52">
        <f t="shared" ca="1" si="164"/>
        <v>0</v>
      </c>
      <c r="F4002" s="17">
        <f t="shared" ca="1" si="165"/>
        <v>0</v>
      </c>
      <c r="H4002" s="17">
        <v>3993</v>
      </c>
      <c r="I4002" s="45">
        <v>0.67159205440963843</v>
      </c>
      <c r="J4002" s="45">
        <v>1.9165742822600498E-2</v>
      </c>
      <c r="K4002" s="45">
        <v>0.2472</v>
      </c>
      <c r="N4002" s="54"/>
    </row>
    <row r="4003" spans="2:14" x14ac:dyDescent="0.2">
      <c r="B4003">
        <v>3994</v>
      </c>
      <c r="C4003" s="52">
        <f ca="1"/>
        <v>0.14704753834179102</v>
      </c>
      <c r="D4003" s="52">
        <f ca="1">S0*EXP((μ-0.5*σ*σ)*T+σ*SQRT(T)*$C4003)</f>
        <v>0.67054705622214916</v>
      </c>
      <c r="E4003" s="52">
        <f t="shared" ca="1" si="164"/>
        <v>0</v>
      </c>
      <c r="F4003" s="17">
        <f t="shared" ca="1" si="165"/>
        <v>0</v>
      </c>
      <c r="H4003" s="17">
        <v>3994</v>
      </c>
      <c r="I4003" s="45">
        <v>0.66996986199962649</v>
      </c>
      <c r="J4003" s="45">
        <v>1.8280517945926895E-2</v>
      </c>
      <c r="K4003" s="45">
        <v>0.2404</v>
      </c>
      <c r="N4003" s="54"/>
    </row>
    <row r="4004" spans="2:14" x14ac:dyDescent="0.2">
      <c r="B4004">
        <v>3995</v>
      </c>
      <c r="C4004" s="52">
        <f ca="1"/>
        <v>-8.8315101205091798E-2</v>
      </c>
      <c r="D4004" s="52">
        <f ca="1">S0*EXP((μ-0.5*σ*σ)*T+σ*SQRT(T)*$C4004)</f>
        <v>0.62830894437096318</v>
      </c>
      <c r="E4004" s="52">
        <f t="shared" ca="1" si="164"/>
        <v>0</v>
      </c>
      <c r="F4004" s="17">
        <f t="shared" ca="1" si="165"/>
        <v>0</v>
      </c>
      <c r="H4004" s="17">
        <v>3995</v>
      </c>
      <c r="I4004" s="45">
        <v>0.67072937526124643</v>
      </c>
      <c r="J4004" s="45">
        <v>1.8757710135597863E-2</v>
      </c>
      <c r="K4004" s="45">
        <v>0.247</v>
      </c>
      <c r="N4004" s="54"/>
    </row>
    <row r="4005" spans="2:14" x14ac:dyDescent="0.2">
      <c r="B4005">
        <v>3996</v>
      </c>
      <c r="C4005" s="52">
        <f ca="1"/>
        <v>-0.78630084323225657</v>
      </c>
      <c r="D4005" s="52">
        <f ca="1">S0*EXP((μ-0.5*σ*σ)*T+σ*SQRT(T)*$C4005)</f>
        <v>0.51805739766671011</v>
      </c>
      <c r="E4005" s="52">
        <f t="shared" ca="1" si="164"/>
        <v>1.634260233328988E-2</v>
      </c>
      <c r="F4005" s="17">
        <f t="shared" ca="1" si="165"/>
        <v>1</v>
      </c>
      <c r="H4005" s="17">
        <v>3996</v>
      </c>
      <c r="I4005" s="45">
        <v>0.67036649531477355</v>
      </c>
      <c r="J4005" s="45">
        <v>1.8733890021086323E-2</v>
      </c>
      <c r="K4005" s="45">
        <v>0.2382</v>
      </c>
      <c r="N4005" s="54"/>
    </row>
    <row r="4006" spans="2:14" x14ac:dyDescent="0.2">
      <c r="B4006">
        <v>3997</v>
      </c>
      <c r="C4006" s="52">
        <f ca="1"/>
        <v>-1.1085915210032002</v>
      </c>
      <c r="D4006" s="52">
        <f ca="1">S0*EXP((μ-0.5*σ*σ)*T+σ*SQRT(T)*$C4006)</f>
        <v>0.47389909555332793</v>
      </c>
      <c r="E4006" s="52">
        <f t="shared" ca="1" si="164"/>
        <v>6.0500904446672055E-2</v>
      </c>
      <c r="F4006" s="17">
        <f t="shared" ca="1" si="165"/>
        <v>1</v>
      </c>
      <c r="H4006" s="17">
        <v>3997</v>
      </c>
      <c r="I4006" s="45">
        <v>0.67133744525370354</v>
      </c>
      <c r="J4006" s="45">
        <v>1.906985832975519E-2</v>
      </c>
      <c r="K4006" s="45">
        <v>0.25059999999999999</v>
      </c>
      <c r="N4006" s="54"/>
    </row>
    <row r="4007" spans="2:14" x14ac:dyDescent="0.2">
      <c r="B4007">
        <v>3998</v>
      </c>
      <c r="C4007" s="52">
        <f ca="1"/>
        <v>-1.0327959694539253</v>
      </c>
      <c r="D4007" s="52">
        <f ca="1">S0*EXP((μ-0.5*σ*σ)*T+σ*SQRT(T)*$C4007)</f>
        <v>0.48393314898394996</v>
      </c>
      <c r="E4007" s="52">
        <f t="shared" ca="1" si="164"/>
        <v>5.0466851016050029E-2</v>
      </c>
      <c r="F4007" s="17">
        <f t="shared" ca="1" si="165"/>
        <v>1</v>
      </c>
      <c r="H4007" s="17">
        <v>3998</v>
      </c>
      <c r="I4007" s="45">
        <v>0.67006627609273284</v>
      </c>
      <c r="J4007" s="45">
        <v>1.8408310592786789E-2</v>
      </c>
      <c r="K4007" s="45">
        <v>0.24540000000000001</v>
      </c>
      <c r="N4007" s="54"/>
    </row>
    <row r="4008" spans="2:14" x14ac:dyDescent="0.2">
      <c r="B4008">
        <v>3999</v>
      </c>
      <c r="C4008" s="52">
        <f ca="1"/>
        <v>-0.38998225482205184</v>
      </c>
      <c r="D4008" s="52">
        <f ca="1">S0*EXP((μ-0.5*σ*σ)*T+σ*SQRT(T)*$C4008)</f>
        <v>0.578039026200589</v>
      </c>
      <c r="E4008" s="52">
        <f t="shared" ca="1" si="164"/>
        <v>0</v>
      </c>
      <c r="F4008" s="17">
        <f t="shared" ca="1" si="165"/>
        <v>0</v>
      </c>
      <c r="H4008" s="17">
        <v>3999</v>
      </c>
      <c r="I4008" s="45">
        <v>0.6707067376714525</v>
      </c>
      <c r="J4008" s="45">
        <v>1.8955039743531365E-2</v>
      </c>
      <c r="K4008" s="45">
        <v>0.25</v>
      </c>
      <c r="N4008" s="54"/>
    </row>
    <row r="4009" spans="2:14" x14ac:dyDescent="0.2">
      <c r="B4009">
        <v>4000</v>
      </c>
      <c r="C4009" s="52">
        <f ca="1"/>
        <v>-0.69263439377754954</v>
      </c>
      <c r="D4009" s="52">
        <f ca="1">S0*EXP((μ-0.5*σ*σ)*T+σ*SQRT(T)*$C4009)</f>
        <v>0.53164634031317226</v>
      </c>
      <c r="E4009" s="52">
        <f t="shared" ca="1" si="164"/>
        <v>2.7536596868277252E-3</v>
      </c>
      <c r="F4009" s="17">
        <f t="shared" ca="1" si="165"/>
        <v>1</v>
      </c>
      <c r="H4009" s="17">
        <v>4000</v>
      </c>
      <c r="I4009" s="45">
        <v>0.67027763405989194</v>
      </c>
      <c r="J4009" s="45">
        <v>1.8538863834645078E-2</v>
      </c>
      <c r="K4009" s="45">
        <v>0.24160000000000001</v>
      </c>
      <c r="N4009" s="54"/>
    </row>
    <row r="4010" spans="2:14" x14ac:dyDescent="0.2">
      <c r="B4010">
        <f>B4009+1</f>
        <v>4001</v>
      </c>
      <c r="C4010" s="52">
        <f ca="1"/>
        <v>-6.1827075539039641E-2</v>
      </c>
      <c r="D4010" s="52">
        <f ca="1">S0*EXP((μ-0.5*σ*σ)*T+σ*SQRT(T)*$C4010)</f>
        <v>0.63292640188178562</v>
      </c>
      <c r="E4010" s="52">
        <f t="shared" ca="1" si="164"/>
        <v>0</v>
      </c>
      <c r="F4010" s="17">
        <f t="shared" ca="1" si="165"/>
        <v>0</v>
      </c>
      <c r="H4010" s="17">
        <v>4001</v>
      </c>
      <c r="I4010" s="45">
        <v>0.67307786529323399</v>
      </c>
      <c r="J4010" s="45">
        <v>2.0648637293616583E-2</v>
      </c>
      <c r="K4010" s="45">
        <v>0.25719999999999998</v>
      </c>
      <c r="N4010" s="54"/>
    </row>
    <row r="4011" spans="2:14" x14ac:dyDescent="0.2">
      <c r="B4011">
        <f t="shared" ref="B4011:B4074" si="166">B4010+1</f>
        <v>4002</v>
      </c>
      <c r="C4011" s="52">
        <f ca="1"/>
        <v>0.1451030264401732</v>
      </c>
      <c r="D4011" s="52">
        <f ca="1">S0*EXP((μ-0.5*σ*σ)*T+σ*SQRT(T)*$C4011)</f>
        <v>0.67018671639105853</v>
      </c>
      <c r="E4011" s="52">
        <f t="shared" ca="1" si="164"/>
        <v>0</v>
      </c>
      <c r="F4011" s="17">
        <f t="shared" ca="1" si="165"/>
        <v>0</v>
      </c>
      <c r="H4011" s="17">
        <v>4002</v>
      </c>
      <c r="I4011" s="45">
        <v>0.67070891531230425</v>
      </c>
      <c r="J4011" s="45">
        <v>1.8922168563238567E-2</v>
      </c>
      <c r="K4011" s="45">
        <v>0.24679999999999999</v>
      </c>
      <c r="N4011" s="54"/>
    </row>
    <row r="4012" spans="2:14" x14ac:dyDescent="0.2">
      <c r="B4012">
        <f t="shared" si="166"/>
        <v>4003</v>
      </c>
      <c r="C4012" s="52">
        <f ca="1"/>
        <v>-0.98661248420763581</v>
      </c>
      <c r="D4012" s="52">
        <f ca="1">S0*EXP((μ-0.5*σ*σ)*T+σ*SQRT(T)*$C4012)</f>
        <v>0.49015094374603696</v>
      </c>
      <c r="E4012" s="52">
        <f t="shared" ca="1" si="164"/>
        <v>4.4249056253963026E-2</v>
      </c>
      <c r="F4012" s="17">
        <f t="shared" ca="1" si="165"/>
        <v>1</v>
      </c>
      <c r="H4012" s="17">
        <v>4003</v>
      </c>
      <c r="I4012" s="45">
        <v>0.67119937516852757</v>
      </c>
      <c r="J4012" s="45">
        <v>1.9235328256824901E-2</v>
      </c>
      <c r="K4012" s="45">
        <v>0.24279999999999999</v>
      </c>
      <c r="N4012" s="54"/>
    </row>
    <row r="4013" spans="2:14" x14ac:dyDescent="0.2">
      <c r="B4013">
        <f t="shared" si="166"/>
        <v>4004</v>
      </c>
      <c r="C4013" s="52">
        <f ca="1"/>
        <v>0.26598615667457404</v>
      </c>
      <c r="D4013" s="52">
        <f ca="1">S0*EXP((μ-0.5*σ*σ)*T+σ*SQRT(T)*$C4013)</f>
        <v>0.69296007258432202</v>
      </c>
      <c r="E4013" s="52">
        <f t="shared" ca="1" si="164"/>
        <v>0</v>
      </c>
      <c r="F4013" s="17">
        <f t="shared" ca="1" si="165"/>
        <v>0</v>
      </c>
      <c r="H4013" s="17">
        <v>4004</v>
      </c>
      <c r="I4013" s="45">
        <v>0.67135640476110059</v>
      </c>
      <c r="J4013" s="45">
        <v>1.926350608771725E-2</v>
      </c>
      <c r="K4013" s="45">
        <v>0.24440000000000001</v>
      </c>
      <c r="N4013" s="54"/>
    </row>
    <row r="4014" spans="2:14" x14ac:dyDescent="0.2">
      <c r="B4014">
        <f t="shared" si="166"/>
        <v>4005</v>
      </c>
      <c r="C4014" s="52">
        <f ca="1"/>
        <v>-0.67821063371964052</v>
      </c>
      <c r="D4014" s="52">
        <f ca="1">S0*EXP((μ-0.5*σ*σ)*T+σ*SQRT(T)*$C4014)</f>
        <v>0.53377035021037533</v>
      </c>
      <c r="E4014" s="52">
        <f t="shared" ca="1" si="164"/>
        <v>6.2964978962465334E-4</v>
      </c>
      <c r="F4014" s="17">
        <f t="shared" ca="1" si="165"/>
        <v>1</v>
      </c>
      <c r="H4014" s="17">
        <v>4005</v>
      </c>
      <c r="I4014" s="45">
        <v>0.6707414658483325</v>
      </c>
      <c r="J4014" s="45">
        <v>1.8903336620447415E-2</v>
      </c>
      <c r="K4014" s="45">
        <v>0.24260000000000001</v>
      </c>
      <c r="N4014" s="54"/>
    </row>
    <row r="4015" spans="2:14" x14ac:dyDescent="0.2">
      <c r="B4015">
        <f t="shared" si="166"/>
        <v>4006</v>
      </c>
      <c r="C4015" s="52">
        <f ca="1"/>
        <v>-0.29606279548256176</v>
      </c>
      <c r="D4015" s="52">
        <f ca="1">S0*EXP((μ-0.5*σ*σ)*T+σ*SQRT(T)*$C4015)</f>
        <v>0.59324281140812185</v>
      </c>
      <c r="E4015" s="52">
        <f t="shared" ca="1" si="164"/>
        <v>0</v>
      </c>
      <c r="F4015" s="17">
        <f t="shared" ca="1" si="165"/>
        <v>0</v>
      </c>
      <c r="H4015" s="17">
        <v>4006</v>
      </c>
      <c r="I4015" s="45">
        <v>0.66994393866299928</v>
      </c>
      <c r="J4015" s="45">
        <v>1.8502533248563473E-2</v>
      </c>
      <c r="K4015" s="45">
        <v>0.24540000000000001</v>
      </c>
      <c r="N4015" s="54"/>
    </row>
    <row r="4016" spans="2:14" x14ac:dyDescent="0.2">
      <c r="B4016">
        <f t="shared" si="166"/>
        <v>4007</v>
      </c>
      <c r="C4016" s="52">
        <f ca="1"/>
        <v>-0.24535670564695769</v>
      </c>
      <c r="D4016" s="52">
        <f ca="1">S0*EXP((μ-0.5*σ*σ)*T+σ*SQRT(T)*$C4016)</f>
        <v>0.60161673502326096</v>
      </c>
      <c r="E4016" s="52">
        <f t="shared" ca="1" si="164"/>
        <v>0</v>
      </c>
      <c r="F4016" s="17">
        <f t="shared" ca="1" si="165"/>
        <v>0</v>
      </c>
      <c r="H4016" s="17">
        <v>4007</v>
      </c>
      <c r="I4016" s="45">
        <v>0.67188587850210457</v>
      </c>
      <c r="J4016" s="45">
        <v>1.9637773589662712E-2</v>
      </c>
      <c r="K4016" s="45">
        <v>0.25280000000000002</v>
      </c>
      <c r="N4016" s="54"/>
    </row>
    <row r="4017" spans="2:14" x14ac:dyDescent="0.2">
      <c r="B4017">
        <f t="shared" si="166"/>
        <v>4008</v>
      </c>
      <c r="C4017" s="52">
        <f ca="1"/>
        <v>0.14677431691764525</v>
      </c>
      <c r="D4017" s="52">
        <f ca="1">S0*EXP((μ-0.5*σ*σ)*T+σ*SQRT(T)*$C4017)</f>
        <v>0.67049641353608291</v>
      </c>
      <c r="E4017" s="52">
        <f t="shared" ca="1" si="164"/>
        <v>0</v>
      </c>
      <c r="F4017" s="17">
        <f t="shared" ca="1" si="165"/>
        <v>0</v>
      </c>
      <c r="H4017" s="17">
        <v>4008</v>
      </c>
      <c r="I4017" s="45">
        <v>0.67099615770210508</v>
      </c>
      <c r="J4017" s="45">
        <v>1.9097736241524943E-2</v>
      </c>
      <c r="K4017" s="45">
        <v>0.24959999999999999</v>
      </c>
      <c r="N4017" s="54"/>
    </row>
    <row r="4018" spans="2:14" x14ac:dyDescent="0.2">
      <c r="B4018">
        <f t="shared" si="166"/>
        <v>4009</v>
      </c>
      <c r="C4018" s="52">
        <f ca="1"/>
        <v>1.1740232555906271</v>
      </c>
      <c r="D4018" s="52">
        <f ca="1">S0*EXP((μ-0.5*σ*σ)*T+σ*SQRT(T)*$C4018)</f>
        <v>0.89067834639037713</v>
      </c>
      <c r="E4018" s="52">
        <f t="shared" ca="1" si="164"/>
        <v>0</v>
      </c>
      <c r="F4018" s="17">
        <f t="shared" ca="1" si="165"/>
        <v>0</v>
      </c>
      <c r="H4018" s="17">
        <v>4009</v>
      </c>
      <c r="I4018" s="45">
        <v>0.6709742071649849</v>
      </c>
      <c r="J4018" s="45">
        <v>1.9106824695647815E-2</v>
      </c>
      <c r="K4018" s="45">
        <v>0.248</v>
      </c>
      <c r="N4018" s="54"/>
    </row>
    <row r="4019" spans="2:14" x14ac:dyDescent="0.2">
      <c r="B4019">
        <f t="shared" si="166"/>
        <v>4010</v>
      </c>
      <c r="C4019" s="52">
        <f ca="1"/>
        <v>0.98951603569248592</v>
      </c>
      <c r="D4019" s="52">
        <f ca="1">S0*EXP((μ-0.5*σ*σ)*T+σ*SQRT(T)*$C4019)</f>
        <v>0.8463894232799275</v>
      </c>
      <c r="E4019" s="52">
        <f t="shared" ca="1" si="164"/>
        <v>0</v>
      </c>
      <c r="F4019" s="17">
        <f t="shared" ca="1" si="165"/>
        <v>0</v>
      </c>
      <c r="H4019" s="17">
        <v>4010</v>
      </c>
      <c r="I4019" s="45">
        <v>0.67047251087197479</v>
      </c>
      <c r="J4019" s="45">
        <v>1.8521309986148465E-2</v>
      </c>
      <c r="K4019" s="45">
        <v>0.2424</v>
      </c>
      <c r="N4019" s="54"/>
    </row>
    <row r="4020" spans="2:14" x14ac:dyDescent="0.2">
      <c r="B4020">
        <f t="shared" si="166"/>
        <v>4011</v>
      </c>
      <c r="C4020" s="52">
        <f ca="1"/>
        <v>-1.4338945663681668</v>
      </c>
      <c r="D4020" s="52">
        <f ca="1">S0*EXP((μ-0.5*σ*σ)*T+σ*SQRT(T)*$C4020)</f>
        <v>0.43314393325691974</v>
      </c>
      <c r="E4020" s="52">
        <f t="shared" ca="1" si="164"/>
        <v>0.10125606674308024</v>
      </c>
      <c r="F4020" s="17">
        <f t="shared" ca="1" si="165"/>
        <v>1</v>
      </c>
      <c r="H4020" s="17">
        <v>4011</v>
      </c>
      <c r="I4020" s="45">
        <v>0.67154499098166653</v>
      </c>
      <c r="J4020" s="45">
        <v>1.949133762961398E-2</v>
      </c>
      <c r="K4020" s="45">
        <v>0.24779999999999999</v>
      </c>
      <c r="N4020" s="54"/>
    </row>
    <row r="4021" spans="2:14" x14ac:dyDescent="0.2">
      <c r="B4021">
        <f t="shared" si="166"/>
        <v>4012</v>
      </c>
      <c r="C4021" s="52">
        <f ca="1"/>
        <v>-1.0212172180811556</v>
      </c>
      <c r="D4021" s="52">
        <f ca="1">S0*EXP((μ-0.5*σ*σ)*T+σ*SQRT(T)*$C4021)</f>
        <v>0.4854845763231409</v>
      </c>
      <c r="E4021" s="52">
        <f t="shared" ca="1" si="164"/>
        <v>4.8915423676859082E-2</v>
      </c>
      <c r="F4021" s="17">
        <f t="shared" ca="1" si="165"/>
        <v>1</v>
      </c>
      <c r="H4021" s="17">
        <v>4012</v>
      </c>
      <c r="I4021" s="45">
        <v>0.67121546931868048</v>
      </c>
      <c r="J4021" s="45">
        <v>1.9254943069858321E-2</v>
      </c>
      <c r="K4021" s="45">
        <v>0.24440000000000001</v>
      </c>
      <c r="N4021" s="54"/>
    </row>
    <row r="4022" spans="2:14" x14ac:dyDescent="0.2">
      <c r="B4022">
        <f t="shared" si="166"/>
        <v>4013</v>
      </c>
      <c r="C4022" s="52">
        <f ca="1"/>
        <v>1.3095192664660176</v>
      </c>
      <c r="D4022" s="52">
        <f ca="1">S0*EXP((μ-0.5*σ*σ)*T+σ*SQRT(T)*$C4022)</f>
        <v>0.92467179853111925</v>
      </c>
      <c r="E4022" s="52">
        <f t="shared" ca="1" si="164"/>
        <v>0</v>
      </c>
      <c r="F4022" s="17">
        <f t="shared" ca="1" si="165"/>
        <v>0</v>
      </c>
      <c r="H4022" s="17">
        <v>4013</v>
      </c>
      <c r="I4022" s="45">
        <v>0.67008884592382434</v>
      </c>
      <c r="J4022" s="45">
        <v>1.8322283691949551E-2</v>
      </c>
      <c r="K4022" s="45">
        <v>0.24260000000000001</v>
      </c>
      <c r="N4022" s="54"/>
    </row>
    <row r="4023" spans="2:14" x14ac:dyDescent="0.2">
      <c r="B4023">
        <f t="shared" si="166"/>
        <v>4014</v>
      </c>
      <c r="C4023" s="52">
        <f ca="1"/>
        <v>-2.6114936169448884</v>
      </c>
      <c r="D4023" s="52">
        <f ca="1">S0*EXP((μ-0.5*σ*σ)*T+σ*SQRT(T)*$C4023)</f>
        <v>0.31279355907776335</v>
      </c>
      <c r="E4023" s="52">
        <f t="shared" ca="1" si="164"/>
        <v>0.22160644092223664</v>
      </c>
      <c r="F4023" s="17">
        <f t="shared" ca="1" si="165"/>
        <v>1</v>
      </c>
      <c r="H4023" s="17">
        <v>4014</v>
      </c>
      <c r="I4023" s="45">
        <v>0.67053784983867382</v>
      </c>
      <c r="J4023" s="45">
        <v>1.8757298111432834E-2</v>
      </c>
      <c r="K4023" s="45">
        <v>0.2356</v>
      </c>
      <c r="N4023" s="54"/>
    </row>
    <row r="4024" spans="2:14" x14ac:dyDescent="0.2">
      <c r="B4024">
        <f t="shared" si="166"/>
        <v>4015</v>
      </c>
      <c r="C4024" s="52">
        <f ca="1"/>
        <v>0.76794678269686689</v>
      </c>
      <c r="D4024" s="52">
        <f ca="1">S0*EXP((μ-0.5*σ*σ)*T+σ*SQRT(T)*$C4024)</f>
        <v>0.79610462805869497</v>
      </c>
      <c r="E4024" s="52">
        <f t="shared" ca="1" si="164"/>
        <v>0</v>
      </c>
      <c r="F4024" s="17">
        <f t="shared" ca="1" si="165"/>
        <v>0</v>
      </c>
      <c r="H4024" s="17">
        <v>4015</v>
      </c>
      <c r="I4024" s="45">
        <v>0.67048637220280116</v>
      </c>
      <c r="J4024" s="45">
        <v>1.8350931266522954E-2</v>
      </c>
      <c r="K4024" s="45">
        <v>0.2424</v>
      </c>
      <c r="N4024" s="54"/>
    </row>
    <row r="4025" spans="2:14" x14ac:dyDescent="0.2">
      <c r="B4025">
        <f t="shared" si="166"/>
        <v>4016</v>
      </c>
      <c r="C4025" s="52">
        <f ca="1"/>
        <v>-0.49263522166522944</v>
      </c>
      <c r="D4025" s="52">
        <f ca="1">S0*EXP((μ-0.5*σ*σ)*T+σ*SQRT(T)*$C4025)</f>
        <v>0.56186677586979894</v>
      </c>
      <c r="E4025" s="52">
        <f t="shared" ca="1" si="164"/>
        <v>0</v>
      </c>
      <c r="F4025" s="17">
        <f t="shared" ca="1" si="165"/>
        <v>0</v>
      </c>
      <c r="H4025" s="17">
        <v>4016</v>
      </c>
      <c r="I4025" s="45">
        <v>0.6702139857106002</v>
      </c>
      <c r="J4025" s="45">
        <v>1.8251061485272821E-2</v>
      </c>
      <c r="K4025" s="45">
        <v>0.24079999999999999</v>
      </c>
      <c r="N4025" s="54"/>
    </row>
    <row r="4026" spans="2:14" x14ac:dyDescent="0.2">
      <c r="B4026">
        <f t="shared" si="166"/>
        <v>4017</v>
      </c>
      <c r="C4026" s="52">
        <f ca="1"/>
        <v>0.27649348255075662</v>
      </c>
      <c r="D4026" s="52">
        <f ca="1">S0*EXP((μ-0.5*σ*σ)*T+σ*SQRT(T)*$C4026)</f>
        <v>0.69497574710807508</v>
      </c>
      <c r="E4026" s="52">
        <f t="shared" ca="1" si="164"/>
        <v>0</v>
      </c>
      <c r="F4026" s="17">
        <f t="shared" ca="1" si="165"/>
        <v>0</v>
      </c>
      <c r="H4026" s="17">
        <v>4017</v>
      </c>
      <c r="I4026" s="45">
        <v>0.67082913896256802</v>
      </c>
      <c r="J4026" s="45">
        <v>1.9048879869855814E-2</v>
      </c>
      <c r="K4026" s="45">
        <v>0.25219999999999998</v>
      </c>
      <c r="N4026" s="54"/>
    </row>
    <row r="4027" spans="2:14" x14ac:dyDescent="0.2">
      <c r="B4027">
        <f t="shared" si="166"/>
        <v>4018</v>
      </c>
      <c r="C4027" s="52">
        <f ca="1"/>
        <v>-1.3680066170538674</v>
      </c>
      <c r="D4027" s="52">
        <f ca="1">S0*EXP((μ-0.5*σ*σ)*T+σ*SQRT(T)*$C4027)</f>
        <v>0.44110531371259543</v>
      </c>
      <c r="E4027" s="52">
        <f t="shared" ca="1" si="164"/>
        <v>9.329468628740456E-2</v>
      </c>
      <c r="F4027" s="17">
        <f t="shared" ca="1" si="165"/>
        <v>1</v>
      </c>
      <c r="H4027" s="17">
        <v>4018</v>
      </c>
      <c r="I4027" s="45">
        <v>0.67072264814724936</v>
      </c>
      <c r="J4027" s="45">
        <v>1.88408906071145E-2</v>
      </c>
      <c r="K4027" s="45">
        <v>0.24440000000000001</v>
      </c>
      <c r="N4027" s="54"/>
    </row>
    <row r="4028" spans="2:14" x14ac:dyDescent="0.2">
      <c r="B4028">
        <f t="shared" si="166"/>
        <v>4019</v>
      </c>
      <c r="C4028" s="52">
        <f ca="1"/>
        <v>0.92077868734441304</v>
      </c>
      <c r="D4028" s="52">
        <f ca="1">S0*EXP((μ-0.5*σ*σ)*T+σ*SQRT(T)*$C4028)</f>
        <v>0.83045880648321357</v>
      </c>
      <c r="E4028" s="52">
        <f t="shared" ca="1" si="164"/>
        <v>0</v>
      </c>
      <c r="F4028" s="17">
        <f t="shared" ca="1" si="165"/>
        <v>0</v>
      </c>
      <c r="H4028" s="17">
        <v>4019</v>
      </c>
      <c r="I4028" s="45">
        <v>0.67128473140694755</v>
      </c>
      <c r="J4028" s="45">
        <v>1.9277348759549163E-2</v>
      </c>
      <c r="K4028" s="45">
        <v>0.246</v>
      </c>
      <c r="N4028" s="54"/>
    </row>
    <row r="4029" spans="2:14" x14ac:dyDescent="0.2">
      <c r="B4029">
        <f t="shared" si="166"/>
        <v>4020</v>
      </c>
      <c r="C4029" s="52">
        <f ca="1"/>
        <v>-0.79951441554980807</v>
      </c>
      <c r="D4029" s="52">
        <f ca="1">S0*EXP((μ-0.5*σ*σ)*T+σ*SQRT(T)*$C4029)</f>
        <v>0.51616856135315314</v>
      </c>
      <c r="E4029" s="52">
        <f t="shared" ca="1" si="164"/>
        <v>1.8231438646846843E-2</v>
      </c>
      <c r="F4029" s="17">
        <f t="shared" ca="1" si="165"/>
        <v>1</v>
      </c>
      <c r="H4029" s="17">
        <v>4020</v>
      </c>
      <c r="I4029" s="45">
        <v>0.67202158739079543</v>
      </c>
      <c r="J4029" s="45">
        <v>1.9538525935821401E-2</v>
      </c>
      <c r="K4029" s="45">
        <v>0.25259999999999999</v>
      </c>
      <c r="N4029" s="54"/>
    </row>
    <row r="4030" spans="2:14" x14ac:dyDescent="0.2">
      <c r="B4030">
        <f t="shared" si="166"/>
        <v>4021</v>
      </c>
      <c r="C4030" s="52">
        <f ca="1"/>
        <v>0.24711079696508878</v>
      </c>
      <c r="D4030" s="52">
        <f ca="1">S0*EXP((μ-0.5*σ*σ)*T+σ*SQRT(T)*$C4030)</f>
        <v>0.68935378762721355</v>
      </c>
      <c r="E4030" s="52">
        <f t="shared" ca="1" si="164"/>
        <v>0</v>
      </c>
      <c r="F4030" s="17">
        <f t="shared" ca="1" si="165"/>
        <v>0</v>
      </c>
      <c r="H4030" s="17">
        <v>4021</v>
      </c>
      <c r="I4030" s="45">
        <v>0.67022641939400485</v>
      </c>
      <c r="J4030" s="45">
        <v>1.8147131258704517E-2</v>
      </c>
      <c r="K4030" s="45">
        <v>0.24579999999999999</v>
      </c>
      <c r="N4030" s="54"/>
    </row>
    <row r="4031" spans="2:14" x14ac:dyDescent="0.2">
      <c r="B4031">
        <f t="shared" si="166"/>
        <v>4022</v>
      </c>
      <c r="C4031" s="52">
        <f ca="1"/>
        <v>-4.5140442580867551E-2</v>
      </c>
      <c r="D4031" s="52">
        <f ca="1">S0*EXP((μ-0.5*σ*σ)*T+σ*SQRT(T)*$C4031)</f>
        <v>0.63585266297762211</v>
      </c>
      <c r="E4031" s="52">
        <f t="shared" ca="1" si="164"/>
        <v>0</v>
      </c>
      <c r="F4031" s="17">
        <f t="shared" ca="1" si="165"/>
        <v>0</v>
      </c>
      <c r="H4031" s="17">
        <v>4022</v>
      </c>
      <c r="I4031" s="45">
        <v>0.67176033747610153</v>
      </c>
      <c r="J4031" s="45">
        <v>1.9458374673025122E-2</v>
      </c>
      <c r="K4031" s="45">
        <v>0.24440000000000001</v>
      </c>
      <c r="N4031" s="54"/>
    </row>
    <row r="4032" spans="2:14" x14ac:dyDescent="0.2">
      <c r="B4032">
        <f t="shared" si="166"/>
        <v>4023</v>
      </c>
      <c r="C4032" s="52">
        <f ca="1"/>
        <v>1.6895732348982513</v>
      </c>
      <c r="D4032" s="52">
        <f ca="1">S0*EXP((μ-0.5*σ*σ)*T+σ*SQRT(T)*$C4032)</f>
        <v>1.027103656021791</v>
      </c>
      <c r="E4032" s="52">
        <f t="shared" ca="1" si="164"/>
        <v>0</v>
      </c>
      <c r="F4032" s="17">
        <f t="shared" ca="1" si="165"/>
        <v>0</v>
      </c>
      <c r="H4032" s="17">
        <v>4023</v>
      </c>
      <c r="I4032" s="45">
        <v>0.67128374010578251</v>
      </c>
      <c r="J4032" s="45">
        <v>1.9429896202509508E-2</v>
      </c>
      <c r="K4032" s="45">
        <v>0.24199999999999999</v>
      </c>
      <c r="N4032" s="54"/>
    </row>
    <row r="4033" spans="2:14" x14ac:dyDescent="0.2">
      <c r="B4033">
        <f t="shared" si="166"/>
        <v>4024</v>
      </c>
      <c r="C4033" s="52">
        <f ca="1"/>
        <v>-3.8093545077462543E-2</v>
      </c>
      <c r="D4033" s="52">
        <f ca="1">S0*EXP((μ-0.5*σ*σ)*T+σ*SQRT(T)*$C4033)</f>
        <v>0.63709250582452259</v>
      </c>
      <c r="E4033" s="52">
        <f t="shared" ca="1" si="164"/>
        <v>0</v>
      </c>
      <c r="F4033" s="17">
        <f t="shared" ca="1" si="165"/>
        <v>0</v>
      </c>
      <c r="H4033" s="17">
        <v>4024</v>
      </c>
      <c r="I4033" s="45">
        <v>0.67145497611715954</v>
      </c>
      <c r="J4033" s="45">
        <v>1.9143835706313901E-2</v>
      </c>
      <c r="K4033" s="45">
        <v>0.2424</v>
      </c>
      <c r="N4033" s="54"/>
    </row>
    <row r="4034" spans="2:14" x14ac:dyDescent="0.2">
      <c r="B4034">
        <f t="shared" si="166"/>
        <v>4025</v>
      </c>
      <c r="C4034" s="52">
        <f ca="1"/>
        <v>-0.2879243621599093</v>
      </c>
      <c r="D4034" s="52">
        <f ca="1">S0*EXP((μ-0.5*σ*σ)*T+σ*SQRT(T)*$C4034)</f>
        <v>0.59457894852850246</v>
      </c>
      <c r="E4034" s="52">
        <f t="shared" ca="1" si="164"/>
        <v>0</v>
      </c>
      <c r="F4034" s="17">
        <f t="shared" ca="1" si="165"/>
        <v>0</v>
      </c>
      <c r="H4034" s="17">
        <v>4025</v>
      </c>
      <c r="I4034" s="45">
        <v>0.67070160048730043</v>
      </c>
      <c r="J4034" s="45">
        <v>1.867109878135079E-2</v>
      </c>
      <c r="K4034" s="45">
        <v>0.23899999999999999</v>
      </c>
      <c r="N4034" s="54"/>
    </row>
    <row r="4035" spans="2:14" x14ac:dyDescent="0.2">
      <c r="B4035">
        <f t="shared" si="166"/>
        <v>4026</v>
      </c>
      <c r="C4035" s="52">
        <f ca="1"/>
        <v>1.8423675257049617</v>
      </c>
      <c r="D4035" s="52">
        <f ca="1">S0*EXP((μ-0.5*σ*σ)*T+σ*SQRT(T)*$C4035)</f>
        <v>1.0714149590517688</v>
      </c>
      <c r="E4035" s="52">
        <f t="shared" ca="1" si="164"/>
        <v>0</v>
      </c>
      <c r="F4035" s="17">
        <f t="shared" ca="1" si="165"/>
        <v>0</v>
      </c>
      <c r="H4035" s="17">
        <v>4026</v>
      </c>
      <c r="I4035" s="45">
        <v>0.67168639065030844</v>
      </c>
      <c r="J4035" s="45">
        <v>1.9624542222050605E-2</v>
      </c>
      <c r="K4035" s="45">
        <v>0.24360000000000001</v>
      </c>
      <c r="N4035" s="54"/>
    </row>
    <row r="4036" spans="2:14" x14ac:dyDescent="0.2">
      <c r="B4036">
        <f t="shared" si="166"/>
        <v>4027</v>
      </c>
      <c r="C4036" s="52">
        <f ca="1"/>
        <v>0.5104868272369415</v>
      </c>
      <c r="D4036" s="52">
        <f ca="1">S0*EXP((μ-0.5*σ*σ)*T+σ*SQRT(T)*$C4036)</f>
        <v>0.74141484763963972</v>
      </c>
      <c r="E4036" s="52">
        <f t="shared" ca="1" si="164"/>
        <v>0</v>
      </c>
      <c r="F4036" s="17">
        <f t="shared" ca="1" si="165"/>
        <v>0</v>
      </c>
      <c r="H4036" s="17">
        <v>4027</v>
      </c>
      <c r="I4036" s="45">
        <v>0.67012212312319341</v>
      </c>
      <c r="J4036" s="45">
        <v>1.8237290640343365E-2</v>
      </c>
      <c r="K4036" s="45">
        <v>0.23960000000000001</v>
      </c>
      <c r="N4036" s="54"/>
    </row>
    <row r="4037" spans="2:14" x14ac:dyDescent="0.2">
      <c r="B4037">
        <f t="shared" si="166"/>
        <v>4028</v>
      </c>
      <c r="C4037" s="52">
        <f ca="1"/>
        <v>-0.84057550830165206</v>
      </c>
      <c r="D4037" s="52">
        <f ca="1">S0*EXP((μ-0.5*σ*σ)*T+σ*SQRT(T)*$C4037)</f>
        <v>0.51034285286382453</v>
      </c>
      <c r="E4037" s="52">
        <f t="shared" ca="1" si="164"/>
        <v>2.4057147136175461E-2</v>
      </c>
      <c r="F4037" s="17">
        <f t="shared" ca="1" si="165"/>
        <v>1</v>
      </c>
      <c r="H4037" s="17">
        <v>4028</v>
      </c>
      <c r="I4037" s="45">
        <v>0.67091933984547514</v>
      </c>
      <c r="J4037" s="45">
        <v>1.8957446173948175E-2</v>
      </c>
      <c r="K4037" s="45">
        <v>0.247</v>
      </c>
      <c r="N4037" s="54"/>
    </row>
    <row r="4038" spans="2:14" x14ac:dyDescent="0.2">
      <c r="B4038">
        <f t="shared" si="166"/>
        <v>4029</v>
      </c>
      <c r="C4038" s="52">
        <f ca="1"/>
        <v>3.5989628048575031</v>
      </c>
      <c r="D4038" s="52">
        <f ca="1">S0*EXP((μ-0.5*σ*σ)*T+σ*SQRT(T)*$C4038)</f>
        <v>1.7411750717141579</v>
      </c>
      <c r="E4038" s="52">
        <f t="shared" ca="1" si="164"/>
        <v>0</v>
      </c>
      <c r="F4038" s="17">
        <f t="shared" ca="1" si="165"/>
        <v>0</v>
      </c>
      <c r="H4038" s="17">
        <v>4029</v>
      </c>
      <c r="I4038" s="45">
        <v>0.67032855982167383</v>
      </c>
      <c r="J4038" s="45">
        <v>1.8644267648020001E-2</v>
      </c>
      <c r="K4038" s="45">
        <v>0.24679999999999999</v>
      </c>
      <c r="N4038" s="54"/>
    </row>
    <row r="4039" spans="2:14" x14ac:dyDescent="0.2">
      <c r="B4039">
        <f t="shared" si="166"/>
        <v>4030</v>
      </c>
      <c r="C4039" s="52">
        <f ca="1"/>
        <v>-0.70260550086008045</v>
      </c>
      <c r="D4039" s="52">
        <f ca="1">S0*EXP((μ-0.5*σ*σ)*T+σ*SQRT(T)*$C4039)</f>
        <v>0.53018296091347861</v>
      </c>
      <c r="E4039" s="52">
        <f t="shared" ca="1" si="164"/>
        <v>4.2170390865213792E-3</v>
      </c>
      <c r="F4039" s="17">
        <f t="shared" ca="1" si="165"/>
        <v>1</v>
      </c>
      <c r="H4039" s="17">
        <v>4030</v>
      </c>
      <c r="I4039" s="45">
        <v>0.67009244088133724</v>
      </c>
      <c r="J4039" s="45">
        <v>1.8325872814641059E-2</v>
      </c>
      <c r="K4039" s="45">
        <v>0.24440000000000001</v>
      </c>
      <c r="N4039" s="54"/>
    </row>
    <row r="4040" spans="2:14" x14ac:dyDescent="0.2">
      <c r="B4040">
        <f t="shared" si="166"/>
        <v>4031</v>
      </c>
      <c r="C4040" s="52">
        <f ca="1"/>
        <v>-1.4680864486257343</v>
      </c>
      <c r="D4040" s="52">
        <f ca="1">S0*EXP((μ-0.5*σ*σ)*T+σ*SQRT(T)*$C4040)</f>
        <v>0.42906925274046059</v>
      </c>
      <c r="E4040" s="52">
        <f t="shared" ca="1" si="164"/>
        <v>0.10533074725953939</v>
      </c>
      <c r="F4040" s="17">
        <f t="shared" ca="1" si="165"/>
        <v>1</v>
      </c>
      <c r="H4040" s="17">
        <v>4031</v>
      </c>
      <c r="I4040" s="45">
        <v>0.67155753701648468</v>
      </c>
      <c r="J4040" s="45">
        <v>1.9589135496514355E-2</v>
      </c>
      <c r="K4040" s="45">
        <v>0.25340000000000001</v>
      </c>
      <c r="N4040" s="54"/>
    </row>
    <row r="4041" spans="2:14" x14ac:dyDescent="0.2">
      <c r="B4041">
        <f t="shared" si="166"/>
        <v>4032</v>
      </c>
      <c r="C4041" s="52">
        <f ca="1"/>
        <v>-0.22792455156483693</v>
      </c>
      <c r="D4041" s="52">
        <f ca="1">S0*EXP((μ-0.5*σ*σ)*T+σ*SQRT(T)*$C4041)</f>
        <v>0.60452281056035195</v>
      </c>
      <c r="E4041" s="52">
        <f t="shared" ca="1" si="164"/>
        <v>0</v>
      </c>
      <c r="F4041" s="17">
        <f t="shared" ca="1" si="165"/>
        <v>0</v>
      </c>
      <c r="H4041" s="17">
        <v>4032</v>
      </c>
      <c r="I4041" s="45">
        <v>0.67072638988778477</v>
      </c>
      <c r="J4041" s="45">
        <v>1.9077689414553543E-2</v>
      </c>
      <c r="K4041" s="45">
        <v>0.25040000000000001</v>
      </c>
      <c r="N4041" s="54"/>
    </row>
    <row r="4042" spans="2:14" x14ac:dyDescent="0.2">
      <c r="B4042">
        <f t="shared" si="166"/>
        <v>4033</v>
      </c>
      <c r="C4042" s="52">
        <f ca="1"/>
        <v>0.39459393991931441</v>
      </c>
      <c r="D4042" s="52">
        <f ca="1">S0*EXP((μ-0.5*σ*σ)*T+σ*SQRT(T)*$C4042)</f>
        <v>0.71803890651410274</v>
      </c>
      <c r="E4042" s="52">
        <f t="shared" ref="E4042:E4105" ca="1" si="167">MAX(0,CP*(D4042-K))</f>
        <v>0</v>
      </c>
      <c r="F4042" s="17">
        <f t="shared" ref="F4042:F4105" ca="1" si="168">(CP*(D4042-K)&gt;0)*1</f>
        <v>0</v>
      </c>
      <c r="H4042" s="17">
        <v>4033</v>
      </c>
      <c r="I4042" s="45">
        <v>0.67032701972903597</v>
      </c>
      <c r="J4042" s="45">
        <v>1.850602514997177E-2</v>
      </c>
      <c r="K4042" s="45">
        <v>0.23599999999999999</v>
      </c>
      <c r="N4042" s="54"/>
    </row>
    <row r="4043" spans="2:14" x14ac:dyDescent="0.2">
      <c r="B4043">
        <f t="shared" si="166"/>
        <v>4034</v>
      </c>
      <c r="C4043" s="52">
        <f ca="1"/>
        <v>-0.51236074902100448</v>
      </c>
      <c r="D4043" s="52">
        <f ca="1">S0*EXP((μ-0.5*σ*σ)*T+σ*SQRT(T)*$C4043)</f>
        <v>0.55881137935115277</v>
      </c>
      <c r="E4043" s="52">
        <f t="shared" ca="1" si="167"/>
        <v>0</v>
      </c>
      <c r="F4043" s="17">
        <f t="shared" ca="1" si="168"/>
        <v>0</v>
      </c>
      <c r="H4043" s="17">
        <v>4034</v>
      </c>
      <c r="I4043" s="45">
        <v>0.67045701238236732</v>
      </c>
      <c r="J4043" s="45">
        <v>1.8445760283960437E-2</v>
      </c>
      <c r="K4043" s="45">
        <v>0.2392</v>
      </c>
      <c r="N4043" s="54"/>
    </row>
    <row r="4044" spans="2:14" x14ac:dyDescent="0.2">
      <c r="B4044">
        <f t="shared" si="166"/>
        <v>4035</v>
      </c>
      <c r="C4044" s="52">
        <f ca="1"/>
        <v>-0.74934376736534036</v>
      </c>
      <c r="D4044" s="52">
        <f ca="1">S0*EXP((μ-0.5*σ*σ)*T+σ*SQRT(T)*$C4044)</f>
        <v>0.52337707018413937</v>
      </c>
      <c r="E4044" s="52">
        <f t="shared" ca="1" si="167"/>
        <v>1.1022929815860616E-2</v>
      </c>
      <c r="F4044" s="17">
        <f t="shared" ca="1" si="168"/>
        <v>1</v>
      </c>
      <c r="H4044" s="17">
        <v>4035</v>
      </c>
      <c r="I4044" s="45">
        <v>0.66996727564243486</v>
      </c>
      <c r="J4044" s="45">
        <v>1.8315920379322809E-2</v>
      </c>
      <c r="K4044" s="45">
        <v>0.24340000000000001</v>
      </c>
      <c r="N4044" s="54"/>
    </row>
    <row r="4045" spans="2:14" x14ac:dyDescent="0.2">
      <c r="B4045">
        <f t="shared" si="166"/>
        <v>4036</v>
      </c>
      <c r="C4045" s="52">
        <f ca="1"/>
        <v>-0.10479397375682584</v>
      </c>
      <c r="D4045" s="52">
        <f ca="1">S0*EXP((μ-0.5*σ*σ)*T+σ*SQRT(T)*$C4045)</f>
        <v>0.62545332010022214</v>
      </c>
      <c r="E4045" s="52">
        <f t="shared" ca="1" si="167"/>
        <v>0</v>
      </c>
      <c r="F4045" s="17">
        <f t="shared" ca="1" si="168"/>
        <v>0</v>
      </c>
      <c r="H4045" s="17">
        <v>4036</v>
      </c>
      <c r="I4045" s="45">
        <v>0.67054288565895626</v>
      </c>
      <c r="J4045" s="45">
        <v>1.8660012391637937E-2</v>
      </c>
      <c r="K4045" s="45">
        <v>0.253</v>
      </c>
      <c r="N4045" s="54"/>
    </row>
    <row r="4046" spans="2:14" x14ac:dyDescent="0.2">
      <c r="B4046">
        <f t="shared" si="166"/>
        <v>4037</v>
      </c>
      <c r="C4046" s="52">
        <f ca="1"/>
        <v>0.49851613510062187</v>
      </c>
      <c r="D4046" s="52">
        <f ca="1">S0*EXP((μ-0.5*σ*σ)*T+σ*SQRT(T)*$C4046)</f>
        <v>0.73896549508369713</v>
      </c>
      <c r="E4046" s="52">
        <f t="shared" ca="1" si="167"/>
        <v>0</v>
      </c>
      <c r="F4046" s="17">
        <f t="shared" ca="1" si="168"/>
        <v>0</v>
      </c>
      <c r="H4046" s="17">
        <v>4037</v>
      </c>
      <c r="I4046" s="45">
        <v>0.67116739044445139</v>
      </c>
      <c r="J4046" s="45">
        <v>1.9157611810969762E-2</v>
      </c>
      <c r="K4046" s="45">
        <v>0.25080000000000002</v>
      </c>
      <c r="N4046" s="54"/>
    </row>
    <row r="4047" spans="2:14" x14ac:dyDescent="0.2">
      <c r="B4047">
        <f t="shared" si="166"/>
        <v>4038</v>
      </c>
      <c r="C4047" s="52">
        <f ca="1"/>
        <v>0.66139704725547677</v>
      </c>
      <c r="D4047" s="52">
        <f ca="1">S0*EXP((μ-0.5*σ*σ)*T+σ*SQRT(T)*$C4047)</f>
        <v>0.77299826830889284</v>
      </c>
      <c r="E4047" s="52">
        <f t="shared" ca="1" si="167"/>
        <v>0</v>
      </c>
      <c r="F4047" s="17">
        <f t="shared" ca="1" si="168"/>
        <v>0</v>
      </c>
      <c r="H4047" s="17">
        <v>4038</v>
      </c>
      <c r="I4047" s="45">
        <v>0.67132628823890605</v>
      </c>
      <c r="J4047" s="45">
        <v>1.9370098997198215E-2</v>
      </c>
      <c r="K4047" s="45">
        <v>0.251</v>
      </c>
      <c r="N4047" s="54"/>
    </row>
    <row r="4048" spans="2:14" x14ac:dyDescent="0.2">
      <c r="B4048">
        <f t="shared" si="166"/>
        <v>4039</v>
      </c>
      <c r="C4048" s="52">
        <f ca="1"/>
        <v>0.1099867904391347</v>
      </c>
      <c r="D4048" s="52">
        <f ca="1">S0*EXP((μ-0.5*σ*σ)*T+σ*SQRT(T)*$C4048)</f>
        <v>0.6637125076933329</v>
      </c>
      <c r="E4048" s="52">
        <f t="shared" ca="1" si="167"/>
        <v>0</v>
      </c>
      <c r="F4048" s="17">
        <f t="shared" ca="1" si="168"/>
        <v>0</v>
      </c>
      <c r="H4048" s="17">
        <v>4039</v>
      </c>
      <c r="I4048" s="45">
        <v>0.67196525339130253</v>
      </c>
      <c r="J4048" s="45">
        <v>1.9747449887825529E-2</v>
      </c>
      <c r="K4048" s="45">
        <v>0.24879999999999999</v>
      </c>
      <c r="N4048" s="54"/>
    </row>
    <row r="4049" spans="2:14" x14ac:dyDescent="0.2">
      <c r="B4049">
        <f t="shared" si="166"/>
        <v>4040</v>
      </c>
      <c r="C4049" s="52">
        <f ca="1"/>
        <v>7.259724828417527E-2</v>
      </c>
      <c r="D4049" s="52">
        <f ca="1">S0*EXP((μ-0.5*σ*σ)*T+σ*SQRT(T)*$C4049)</f>
        <v>0.65688791340081798</v>
      </c>
      <c r="E4049" s="52">
        <f t="shared" ca="1" si="167"/>
        <v>0</v>
      </c>
      <c r="F4049" s="17">
        <f t="shared" ca="1" si="168"/>
        <v>0</v>
      </c>
      <c r="H4049" s="17">
        <v>4040</v>
      </c>
      <c r="I4049" s="45">
        <v>0.67037276247118305</v>
      </c>
      <c r="J4049" s="45">
        <v>1.8513616124486175E-2</v>
      </c>
      <c r="K4049" s="45">
        <v>0.247</v>
      </c>
      <c r="N4049" s="54"/>
    </row>
    <row r="4050" spans="2:14" x14ac:dyDescent="0.2">
      <c r="B4050">
        <f t="shared" si="166"/>
        <v>4041</v>
      </c>
      <c r="C4050" s="52">
        <f ca="1"/>
        <v>-1.0508439481618363</v>
      </c>
      <c r="D4050" s="52">
        <f ca="1">S0*EXP((μ-0.5*σ*σ)*T+σ*SQRT(T)*$C4050)</f>
        <v>0.48152479591231595</v>
      </c>
      <c r="E4050" s="52">
        <f t="shared" ca="1" si="167"/>
        <v>5.2875204087684036E-2</v>
      </c>
      <c r="F4050" s="17">
        <f t="shared" ca="1" si="168"/>
        <v>1</v>
      </c>
      <c r="H4050" s="17">
        <v>4041</v>
      </c>
      <c r="I4050" s="45">
        <v>0.67073600326464633</v>
      </c>
      <c r="J4050" s="45">
        <v>1.8784767842313328E-2</v>
      </c>
      <c r="K4050" s="45">
        <v>0.24260000000000001</v>
      </c>
      <c r="N4050" s="54"/>
    </row>
    <row r="4051" spans="2:14" x14ac:dyDescent="0.2">
      <c r="B4051">
        <f t="shared" si="166"/>
        <v>4042</v>
      </c>
      <c r="C4051" s="52">
        <f ca="1"/>
        <v>2.1171645145620395</v>
      </c>
      <c r="D4051" s="52">
        <f ca="1">S0*EXP((μ-0.5*σ*σ)*T+σ*SQRT(T)*$C4051)</f>
        <v>1.1559736648471171</v>
      </c>
      <c r="E4051" s="52">
        <f t="shared" ca="1" si="167"/>
        <v>0</v>
      </c>
      <c r="F4051" s="17">
        <f t="shared" ca="1" si="168"/>
        <v>0</v>
      </c>
      <c r="H4051" s="17">
        <v>4042</v>
      </c>
      <c r="I4051" s="45">
        <v>0.67151154564067828</v>
      </c>
      <c r="J4051" s="45">
        <v>1.9090907045495889E-2</v>
      </c>
      <c r="K4051" s="45">
        <v>0.24840000000000001</v>
      </c>
      <c r="N4051" s="54"/>
    </row>
    <row r="4052" spans="2:14" x14ac:dyDescent="0.2">
      <c r="B4052">
        <f t="shared" si="166"/>
        <v>4043</v>
      </c>
      <c r="C4052" s="52">
        <f ca="1"/>
        <v>-0.22005540845300678</v>
      </c>
      <c r="D4052" s="52">
        <f ca="1">S0*EXP((μ-0.5*σ*σ)*T+σ*SQRT(T)*$C4052)</f>
        <v>0.60583925247513359</v>
      </c>
      <c r="E4052" s="52">
        <f t="shared" ca="1" si="167"/>
        <v>0</v>
      </c>
      <c r="F4052" s="17">
        <f t="shared" ca="1" si="168"/>
        <v>0</v>
      </c>
      <c r="H4052" s="17">
        <v>4043</v>
      </c>
      <c r="I4052" s="45">
        <v>0.6705547387002907</v>
      </c>
      <c r="J4052" s="45">
        <v>1.8430783544553114E-2</v>
      </c>
      <c r="K4052" s="45">
        <v>0.2382</v>
      </c>
      <c r="N4052" s="54"/>
    </row>
    <row r="4053" spans="2:14" x14ac:dyDescent="0.2">
      <c r="B4053">
        <f t="shared" si="166"/>
        <v>4044</v>
      </c>
      <c r="C4053" s="52">
        <f ca="1"/>
        <v>0.79282057767618941</v>
      </c>
      <c r="D4053" s="52">
        <f ca="1">S0*EXP((μ-0.5*σ*σ)*T+σ*SQRT(T)*$C4053)</f>
        <v>0.80159744675964484</v>
      </c>
      <c r="E4053" s="52">
        <f t="shared" ca="1" si="167"/>
        <v>0</v>
      </c>
      <c r="F4053" s="17">
        <f t="shared" ca="1" si="168"/>
        <v>0</v>
      </c>
      <c r="H4053" s="17">
        <v>4044</v>
      </c>
      <c r="I4053" s="45">
        <v>0.66988074549362076</v>
      </c>
      <c r="J4053" s="45">
        <v>1.8218108554184119E-2</v>
      </c>
      <c r="K4053" s="45">
        <v>0.24360000000000001</v>
      </c>
      <c r="N4053" s="54"/>
    </row>
    <row r="4054" spans="2:14" x14ac:dyDescent="0.2">
      <c r="B4054">
        <f t="shared" si="166"/>
        <v>4045</v>
      </c>
      <c r="C4054" s="52">
        <f ca="1"/>
        <v>-0.21863657115425295</v>
      </c>
      <c r="D4054" s="52">
        <f ca="1">S0*EXP((μ-0.5*σ*σ)*T+σ*SQRT(T)*$C4054)</f>
        <v>0.60607691696496135</v>
      </c>
      <c r="E4054" s="52">
        <f t="shared" ca="1" si="167"/>
        <v>0</v>
      </c>
      <c r="F4054" s="17">
        <f t="shared" ca="1" si="168"/>
        <v>0</v>
      </c>
      <c r="H4054" s="17">
        <v>4045</v>
      </c>
      <c r="I4054" s="45">
        <v>0.66975857141302442</v>
      </c>
      <c r="J4054" s="45">
        <v>1.8188413496890064E-2</v>
      </c>
      <c r="K4054" s="45">
        <v>0.24379999999999999</v>
      </c>
      <c r="N4054" s="54"/>
    </row>
    <row r="4055" spans="2:14" x14ac:dyDescent="0.2">
      <c r="B4055">
        <f t="shared" si="166"/>
        <v>4046</v>
      </c>
      <c r="C4055" s="52">
        <f ca="1"/>
        <v>-1.2001293595189653</v>
      </c>
      <c r="D4055" s="52">
        <f ca="1">S0*EXP((μ-0.5*σ*σ)*T+σ*SQRT(T)*$C4055)</f>
        <v>0.46205798216009653</v>
      </c>
      <c r="E4055" s="52">
        <f t="shared" ca="1" si="167"/>
        <v>7.2342017839903461E-2</v>
      </c>
      <c r="F4055" s="17">
        <f t="shared" ca="1" si="168"/>
        <v>1</v>
      </c>
      <c r="H4055" s="17">
        <v>4046</v>
      </c>
      <c r="I4055" s="45">
        <v>0.66997300987534758</v>
      </c>
      <c r="J4055" s="45">
        <v>1.7958929394968948E-2</v>
      </c>
      <c r="K4055" s="45">
        <v>0.23699999999999999</v>
      </c>
      <c r="N4055" s="54"/>
    </row>
    <row r="4056" spans="2:14" x14ac:dyDescent="0.2">
      <c r="B4056">
        <f t="shared" si="166"/>
        <v>4047</v>
      </c>
      <c r="C4056" s="52">
        <f ca="1"/>
        <v>0.41367801797993509</v>
      </c>
      <c r="D4056" s="52">
        <f ca="1">S0*EXP((μ-0.5*σ*σ)*T+σ*SQRT(T)*$C4056)</f>
        <v>0.72183690107251997</v>
      </c>
      <c r="E4056" s="52">
        <f t="shared" ca="1" si="167"/>
        <v>0</v>
      </c>
      <c r="F4056" s="17">
        <f t="shared" ca="1" si="168"/>
        <v>0</v>
      </c>
      <c r="H4056" s="17">
        <v>4047</v>
      </c>
      <c r="I4056" s="45">
        <v>0.67119088348750167</v>
      </c>
      <c r="J4056" s="45">
        <v>1.9207324390622196E-2</v>
      </c>
      <c r="K4056" s="45">
        <v>0.25280000000000002</v>
      </c>
      <c r="N4056" s="54"/>
    </row>
    <row r="4057" spans="2:14" x14ac:dyDescent="0.2">
      <c r="B4057">
        <f t="shared" si="166"/>
        <v>4048</v>
      </c>
      <c r="C4057" s="52">
        <f ca="1"/>
        <v>1.2643671829181247</v>
      </c>
      <c r="D4057" s="52">
        <f ca="1">S0*EXP((μ-0.5*σ*σ)*T+σ*SQRT(T)*$C4057)</f>
        <v>0.91320223147516966</v>
      </c>
      <c r="E4057" s="52">
        <f t="shared" ca="1" si="167"/>
        <v>0</v>
      </c>
      <c r="F4057" s="17">
        <f t="shared" ca="1" si="168"/>
        <v>0</v>
      </c>
      <c r="H4057" s="17">
        <v>4048</v>
      </c>
      <c r="I4057" s="45">
        <v>0.66974838496872358</v>
      </c>
      <c r="J4057" s="45">
        <v>1.817213654184642E-2</v>
      </c>
      <c r="K4057" s="45">
        <v>0.23719999999999999</v>
      </c>
      <c r="N4057" s="54"/>
    </row>
    <row r="4058" spans="2:14" x14ac:dyDescent="0.2">
      <c r="B4058">
        <f t="shared" si="166"/>
        <v>4049</v>
      </c>
      <c r="C4058" s="52">
        <f ca="1"/>
        <v>0.7593650992229084</v>
      </c>
      <c r="D4058" s="52">
        <f ca="1">S0*EXP((μ-0.5*σ*σ)*T+σ*SQRT(T)*$C4058)</f>
        <v>0.79421830212557465</v>
      </c>
      <c r="E4058" s="52">
        <f t="shared" ca="1" si="167"/>
        <v>0</v>
      </c>
      <c r="F4058" s="17">
        <f t="shared" ca="1" si="168"/>
        <v>0</v>
      </c>
      <c r="H4058" s="17">
        <v>4049</v>
      </c>
      <c r="I4058" s="45">
        <v>0.67129664663857147</v>
      </c>
      <c r="J4058" s="45">
        <v>1.9303472650927012E-2</v>
      </c>
      <c r="K4058" s="45">
        <v>0.24640000000000001</v>
      </c>
      <c r="N4058" s="54"/>
    </row>
    <row r="4059" spans="2:14" x14ac:dyDescent="0.2">
      <c r="B4059">
        <f t="shared" si="166"/>
        <v>4050</v>
      </c>
      <c r="C4059" s="52">
        <f ca="1"/>
        <v>-0.70237417396999868</v>
      </c>
      <c r="D4059" s="52">
        <f ca="1">S0*EXP((μ-0.5*σ*σ)*T+σ*SQRT(T)*$C4059)</f>
        <v>0.53021686522214451</v>
      </c>
      <c r="E4059" s="52">
        <f t="shared" ca="1" si="167"/>
        <v>4.1831347778554795E-3</v>
      </c>
      <c r="F4059" s="17">
        <f t="shared" ca="1" si="168"/>
        <v>1</v>
      </c>
      <c r="H4059" s="17">
        <v>4050</v>
      </c>
      <c r="I4059" s="45">
        <v>0.67063810494153153</v>
      </c>
      <c r="J4059" s="45">
        <v>1.9012096958651598E-2</v>
      </c>
      <c r="K4059" s="45">
        <v>0.249</v>
      </c>
      <c r="N4059" s="54"/>
    </row>
    <row r="4060" spans="2:14" x14ac:dyDescent="0.2">
      <c r="B4060">
        <f t="shared" si="166"/>
        <v>4051</v>
      </c>
      <c r="C4060" s="52">
        <f ca="1"/>
        <v>-1.4580219784783113</v>
      </c>
      <c r="D4060" s="52">
        <f ca="1">S0*EXP((μ-0.5*σ*σ)*T+σ*SQRT(T)*$C4060)</f>
        <v>0.43026464849032919</v>
      </c>
      <c r="E4060" s="52">
        <f t="shared" ca="1" si="167"/>
        <v>0.10413535150967079</v>
      </c>
      <c r="F4060" s="17">
        <f t="shared" ca="1" si="168"/>
        <v>1</v>
      </c>
      <c r="H4060" s="17">
        <v>4051</v>
      </c>
      <c r="I4060" s="45">
        <v>0.67083623651191204</v>
      </c>
      <c r="J4060" s="45">
        <v>1.899828572193845E-2</v>
      </c>
      <c r="K4060" s="45">
        <v>0.2422</v>
      </c>
      <c r="N4060" s="54"/>
    </row>
    <row r="4061" spans="2:14" x14ac:dyDescent="0.2">
      <c r="B4061">
        <f t="shared" si="166"/>
        <v>4052</v>
      </c>
      <c r="C4061" s="52">
        <f ca="1"/>
        <v>1.2509141850958456</v>
      </c>
      <c r="D4061" s="52">
        <f ca="1">S0*EXP((μ-0.5*σ*σ)*T+σ*SQRT(T)*$C4061)</f>
        <v>0.90981247990229486</v>
      </c>
      <c r="E4061" s="52">
        <f t="shared" ca="1" si="167"/>
        <v>0</v>
      </c>
      <c r="F4061" s="17">
        <f t="shared" ca="1" si="168"/>
        <v>0</v>
      </c>
      <c r="H4061" s="17">
        <v>4052</v>
      </c>
      <c r="I4061" s="45">
        <v>0.67013901079914806</v>
      </c>
      <c r="J4061" s="45">
        <v>1.8483309529441137E-2</v>
      </c>
      <c r="K4061" s="45">
        <v>0.24460000000000001</v>
      </c>
      <c r="N4061" s="54"/>
    </row>
    <row r="4062" spans="2:14" x14ac:dyDescent="0.2">
      <c r="B4062">
        <f t="shared" si="166"/>
        <v>4053</v>
      </c>
      <c r="C4062" s="52">
        <f ca="1"/>
        <v>-0.200584323511596</v>
      </c>
      <c r="D4062" s="52">
        <f ca="1">S0*EXP((μ-0.5*σ*σ)*T+σ*SQRT(T)*$C4062)</f>
        <v>0.60910893802240063</v>
      </c>
      <c r="E4062" s="52">
        <f t="shared" ca="1" si="167"/>
        <v>0</v>
      </c>
      <c r="F4062" s="17">
        <f t="shared" ca="1" si="168"/>
        <v>0</v>
      </c>
      <c r="H4062" s="17">
        <v>4053</v>
      </c>
      <c r="I4062" s="45">
        <v>0.67099683944072541</v>
      </c>
      <c r="J4062" s="45">
        <v>1.9393124116187595E-2</v>
      </c>
      <c r="K4062" s="45">
        <v>0.254</v>
      </c>
      <c r="N4062" s="54"/>
    </row>
    <row r="4063" spans="2:14" x14ac:dyDescent="0.2">
      <c r="B4063">
        <f t="shared" si="166"/>
        <v>4054</v>
      </c>
      <c r="C4063" s="52">
        <f ca="1"/>
        <v>-0.3539843188533453</v>
      </c>
      <c r="D4063" s="52">
        <f ca="1">S0*EXP((μ-0.5*σ*σ)*T+σ*SQRT(T)*$C4063)</f>
        <v>0.58381980706685643</v>
      </c>
      <c r="E4063" s="52">
        <f t="shared" ca="1" si="167"/>
        <v>0</v>
      </c>
      <c r="F4063" s="17">
        <f t="shared" ca="1" si="168"/>
        <v>0</v>
      </c>
      <c r="H4063" s="17">
        <v>4054</v>
      </c>
      <c r="I4063" s="45">
        <v>0.67033795923786621</v>
      </c>
      <c r="J4063" s="45">
        <v>1.8466147190038713E-2</v>
      </c>
      <c r="K4063" s="45">
        <v>0.2472</v>
      </c>
      <c r="N4063" s="54"/>
    </row>
    <row r="4064" spans="2:14" x14ac:dyDescent="0.2">
      <c r="B4064">
        <f t="shared" si="166"/>
        <v>4055</v>
      </c>
      <c r="C4064" s="52">
        <f ca="1"/>
        <v>-5.9429944835445454E-2</v>
      </c>
      <c r="D4064" s="52">
        <f ca="1">S0*EXP((μ-0.5*σ*σ)*T+σ*SQRT(T)*$C4064)</f>
        <v>0.63334594630065522</v>
      </c>
      <c r="E4064" s="52">
        <f t="shared" ca="1" si="167"/>
        <v>0</v>
      </c>
      <c r="F4064" s="17">
        <f t="shared" ca="1" si="168"/>
        <v>0</v>
      </c>
      <c r="H4064" s="17">
        <v>4055</v>
      </c>
      <c r="I4064" s="45">
        <v>0.66984179026579238</v>
      </c>
      <c r="J4064" s="45">
        <v>1.7952283186439686E-2</v>
      </c>
      <c r="K4064" s="45">
        <v>0.2392</v>
      </c>
      <c r="N4064" s="54"/>
    </row>
    <row r="4065" spans="2:14" x14ac:dyDescent="0.2">
      <c r="B4065">
        <f t="shared" si="166"/>
        <v>4056</v>
      </c>
      <c r="C4065" s="52">
        <f ca="1"/>
        <v>-0.16574424047947406</v>
      </c>
      <c r="D4065" s="52">
        <f ca="1">S0*EXP((μ-0.5*σ*σ)*T+σ*SQRT(T)*$C4065)</f>
        <v>0.61500356441513249</v>
      </c>
      <c r="E4065" s="52">
        <f t="shared" ca="1" si="167"/>
        <v>0</v>
      </c>
      <c r="F4065" s="17">
        <f t="shared" ca="1" si="168"/>
        <v>0</v>
      </c>
      <c r="H4065" s="17">
        <v>4056</v>
      </c>
      <c r="I4065" s="45">
        <v>0.67146402053818344</v>
      </c>
      <c r="J4065" s="45">
        <v>1.9610505292660584E-2</v>
      </c>
      <c r="K4065" s="45">
        <v>0.251</v>
      </c>
      <c r="N4065" s="54"/>
    </row>
    <row r="4066" spans="2:14" x14ac:dyDescent="0.2">
      <c r="B4066">
        <f t="shared" si="166"/>
        <v>4057</v>
      </c>
      <c r="C4066" s="52">
        <f ca="1"/>
        <v>0.11908165149037404</v>
      </c>
      <c r="D4066" s="52">
        <f ca="1">S0*EXP((μ-0.5*σ*σ)*T+σ*SQRT(T)*$C4066)</f>
        <v>0.66538325680885912</v>
      </c>
      <c r="E4066" s="52">
        <f t="shared" ca="1" si="167"/>
        <v>0</v>
      </c>
      <c r="F4066" s="17">
        <f t="shared" ca="1" si="168"/>
        <v>0</v>
      </c>
      <c r="H4066" s="17">
        <v>4057</v>
      </c>
      <c r="I4066" s="45">
        <v>0.67106070221141378</v>
      </c>
      <c r="J4066" s="45">
        <v>1.9074477764913975E-2</v>
      </c>
      <c r="K4066" s="45">
        <v>0.24460000000000001</v>
      </c>
      <c r="N4066" s="54"/>
    </row>
    <row r="4067" spans="2:14" x14ac:dyDescent="0.2">
      <c r="B4067">
        <f t="shared" si="166"/>
        <v>4058</v>
      </c>
      <c r="C4067" s="52">
        <f ca="1"/>
        <v>0.3221324159290781</v>
      </c>
      <c r="D4067" s="52">
        <f ca="1">S0*EXP((μ-0.5*σ*σ)*T+σ*SQRT(T)*$C4067)</f>
        <v>0.70379916168009304</v>
      </c>
      <c r="E4067" s="52">
        <f t="shared" ca="1" si="167"/>
        <v>0</v>
      </c>
      <c r="F4067" s="17">
        <f t="shared" ca="1" si="168"/>
        <v>0</v>
      </c>
      <c r="H4067" s="17">
        <v>4058</v>
      </c>
      <c r="I4067" s="45">
        <v>0.67121483987817065</v>
      </c>
      <c r="J4067" s="45">
        <v>1.9101722836660697E-2</v>
      </c>
      <c r="K4067" s="45">
        <v>0.25</v>
      </c>
      <c r="N4067" s="54"/>
    </row>
    <row r="4068" spans="2:14" x14ac:dyDescent="0.2">
      <c r="B4068">
        <f t="shared" si="166"/>
        <v>4059</v>
      </c>
      <c r="C4068" s="52">
        <f ca="1"/>
        <v>-1.1135869831725793</v>
      </c>
      <c r="D4068" s="52">
        <f ca="1">S0*EXP((μ-0.5*σ*σ)*T+σ*SQRT(T)*$C4068)</f>
        <v>0.47324513605766677</v>
      </c>
      <c r="E4068" s="52">
        <f t="shared" ca="1" si="167"/>
        <v>6.1154863942333215E-2</v>
      </c>
      <c r="F4068" s="17">
        <f t="shared" ca="1" si="168"/>
        <v>1</v>
      </c>
      <c r="H4068" s="17">
        <v>4059</v>
      </c>
      <c r="I4068" s="45">
        <v>0.67049297676713315</v>
      </c>
      <c r="J4068" s="45">
        <v>1.8623448641382698E-2</v>
      </c>
      <c r="K4068" s="45">
        <v>0.2422</v>
      </c>
      <c r="N4068" s="54"/>
    </row>
    <row r="4069" spans="2:14" x14ac:dyDescent="0.2">
      <c r="B4069">
        <f t="shared" si="166"/>
        <v>4060</v>
      </c>
      <c r="C4069" s="52">
        <f ca="1"/>
        <v>0.93361820044630039</v>
      </c>
      <c r="D4069" s="52">
        <f ca="1">S0*EXP((μ-0.5*σ*σ)*T+σ*SQRT(T)*$C4069)</f>
        <v>0.83341155670811751</v>
      </c>
      <c r="E4069" s="52">
        <f t="shared" ca="1" si="167"/>
        <v>0</v>
      </c>
      <c r="F4069" s="17">
        <f t="shared" ca="1" si="168"/>
        <v>0</v>
      </c>
      <c r="H4069" s="17">
        <v>4060</v>
      </c>
      <c r="I4069" s="45">
        <v>0.67287811875734937</v>
      </c>
      <c r="J4069" s="45">
        <v>2.026357910841442E-2</v>
      </c>
      <c r="K4069" s="45">
        <v>0.25259999999999999</v>
      </c>
      <c r="N4069" s="54"/>
    </row>
    <row r="4070" spans="2:14" x14ac:dyDescent="0.2">
      <c r="B4070">
        <f t="shared" si="166"/>
        <v>4061</v>
      </c>
      <c r="C4070" s="52">
        <f ca="1"/>
        <v>0.81553099077633628</v>
      </c>
      <c r="D4070" s="52">
        <f ca="1">S0*EXP((μ-0.5*σ*σ)*T+σ*SQRT(T)*$C4070)</f>
        <v>0.80664562199797207</v>
      </c>
      <c r="E4070" s="52">
        <f t="shared" ca="1" si="167"/>
        <v>0</v>
      </c>
      <c r="F4070" s="17">
        <f t="shared" ca="1" si="168"/>
        <v>0</v>
      </c>
      <c r="H4070" s="17">
        <v>4061</v>
      </c>
      <c r="I4070" s="45">
        <v>0.67116448175513788</v>
      </c>
      <c r="J4070" s="45">
        <v>1.8985790704314921E-2</v>
      </c>
      <c r="K4070" s="45">
        <v>0.24859999999999999</v>
      </c>
      <c r="N4070" s="54"/>
    </row>
    <row r="4071" spans="2:14" x14ac:dyDescent="0.2">
      <c r="B4071">
        <f t="shared" si="166"/>
        <v>4062</v>
      </c>
      <c r="C4071" s="52">
        <f ca="1"/>
        <v>-0.42316873276881017</v>
      </c>
      <c r="D4071" s="52">
        <f ca="1">S0*EXP((μ-0.5*σ*σ)*T+σ*SQRT(T)*$C4071)</f>
        <v>0.57276044873981813</v>
      </c>
      <c r="E4071" s="52">
        <f t="shared" ca="1" si="167"/>
        <v>0</v>
      </c>
      <c r="F4071" s="17">
        <f t="shared" ca="1" si="168"/>
        <v>0</v>
      </c>
      <c r="H4071" s="17">
        <v>4062</v>
      </c>
      <c r="I4071" s="45">
        <v>0.67030733021685929</v>
      </c>
      <c r="J4071" s="45">
        <v>1.8486891882748924E-2</v>
      </c>
      <c r="K4071" s="45">
        <v>0.2442</v>
      </c>
      <c r="N4071" s="54"/>
    </row>
    <row r="4072" spans="2:14" x14ac:dyDescent="0.2">
      <c r="B4072">
        <f t="shared" si="166"/>
        <v>4063</v>
      </c>
      <c r="C4072" s="52">
        <f ca="1"/>
        <v>0.45728245090855529</v>
      </c>
      <c r="D4072" s="52">
        <f ca="1">S0*EXP((μ-0.5*σ*σ)*T+σ*SQRT(T)*$C4072)</f>
        <v>0.73059034386510124</v>
      </c>
      <c r="E4072" s="52">
        <f t="shared" ca="1" si="167"/>
        <v>0</v>
      </c>
      <c r="F4072" s="17">
        <f t="shared" ca="1" si="168"/>
        <v>0</v>
      </c>
      <c r="H4072" s="17">
        <v>4063</v>
      </c>
      <c r="I4072" s="45">
        <v>0.67193745123117088</v>
      </c>
      <c r="J4072" s="45">
        <v>1.9580117789960605E-2</v>
      </c>
      <c r="K4072" s="45">
        <v>0.2432</v>
      </c>
      <c r="N4072" s="54"/>
    </row>
    <row r="4073" spans="2:14" x14ac:dyDescent="0.2">
      <c r="B4073">
        <f t="shared" si="166"/>
        <v>4064</v>
      </c>
      <c r="C4073" s="52">
        <f ca="1"/>
        <v>0.38465057778873235</v>
      </c>
      <c r="D4073" s="52">
        <f ca="1">S0*EXP((μ-0.5*σ*σ)*T+σ*SQRT(T)*$C4073)</f>
        <v>0.71606796550422247</v>
      </c>
      <c r="E4073" s="52">
        <f t="shared" ca="1" si="167"/>
        <v>0</v>
      </c>
      <c r="F4073" s="17">
        <f t="shared" ca="1" si="168"/>
        <v>0</v>
      </c>
      <c r="H4073" s="17">
        <v>4064</v>
      </c>
      <c r="I4073" s="45">
        <v>0.67059277390076488</v>
      </c>
      <c r="J4073" s="45">
        <v>1.8754689330578795E-2</v>
      </c>
      <c r="K4073" s="45">
        <v>0.247</v>
      </c>
      <c r="N4073" s="54"/>
    </row>
    <row r="4074" spans="2:14" x14ac:dyDescent="0.2">
      <c r="B4074">
        <f t="shared" si="166"/>
        <v>4065</v>
      </c>
      <c r="C4074" s="52">
        <f ca="1"/>
        <v>-0.71581103263373813</v>
      </c>
      <c r="D4074" s="52">
        <f ca="1">S0*EXP((μ-0.5*σ*σ)*T+σ*SQRT(T)*$C4074)</f>
        <v>0.52825108894411155</v>
      </c>
      <c r="E4074" s="52">
        <f t="shared" ca="1" si="167"/>
        <v>6.1489110558884397E-3</v>
      </c>
      <c r="F4074" s="17">
        <f t="shared" ca="1" si="168"/>
        <v>1</v>
      </c>
      <c r="H4074" s="17">
        <v>4065</v>
      </c>
      <c r="I4074" s="45">
        <v>0.67057065817609296</v>
      </c>
      <c r="J4074" s="45">
        <v>1.8698107144530723E-2</v>
      </c>
      <c r="K4074" s="45">
        <v>0.249</v>
      </c>
      <c r="N4074" s="54"/>
    </row>
    <row r="4075" spans="2:14" x14ac:dyDescent="0.2">
      <c r="B4075">
        <f t="shared" ref="B4075:B4138" si="169">B4074+1</f>
        <v>4066</v>
      </c>
      <c r="C4075" s="52">
        <f ca="1"/>
        <v>1.0129999343757448</v>
      </c>
      <c r="D4075" s="52">
        <f ca="1">S0*EXP((μ-0.5*σ*σ)*T+σ*SQRT(T)*$C4075)</f>
        <v>0.85190181368035722</v>
      </c>
      <c r="E4075" s="52">
        <f t="shared" ca="1" si="167"/>
        <v>0</v>
      </c>
      <c r="F4075" s="17">
        <f t="shared" ca="1" si="168"/>
        <v>0</v>
      </c>
      <c r="H4075" s="17">
        <v>4066</v>
      </c>
      <c r="I4075" s="45">
        <v>0.6708944110137246</v>
      </c>
      <c r="J4075" s="45">
        <v>1.9086463678888041E-2</v>
      </c>
      <c r="K4075" s="45">
        <v>0.23960000000000001</v>
      </c>
      <c r="N4075" s="54"/>
    </row>
    <row r="4076" spans="2:14" x14ac:dyDescent="0.2">
      <c r="B4076">
        <f t="shared" si="169"/>
        <v>4067</v>
      </c>
      <c r="C4076" s="52">
        <f ca="1"/>
        <v>-0.41234784302706351</v>
      </c>
      <c r="D4076" s="52">
        <f ca="1">S0*EXP((μ-0.5*σ*σ)*T+σ*SQRT(T)*$C4076)</f>
        <v>0.57447628095310632</v>
      </c>
      <c r="E4076" s="52">
        <f t="shared" ca="1" si="167"/>
        <v>0</v>
      </c>
      <c r="F4076" s="17">
        <f t="shared" ca="1" si="168"/>
        <v>0</v>
      </c>
      <c r="H4076" s="17">
        <v>4067</v>
      </c>
      <c r="I4076" s="45">
        <v>0.67107615661324171</v>
      </c>
      <c r="J4076" s="45">
        <v>1.9221160358373523E-2</v>
      </c>
      <c r="K4076" s="45">
        <v>0.24779999999999999</v>
      </c>
      <c r="N4076" s="54"/>
    </row>
    <row r="4077" spans="2:14" x14ac:dyDescent="0.2">
      <c r="B4077">
        <f t="shared" si="169"/>
        <v>4068</v>
      </c>
      <c r="C4077" s="52">
        <f ca="1"/>
        <v>0.97561736885744077</v>
      </c>
      <c r="D4077" s="52">
        <f ca="1">S0*EXP((μ-0.5*σ*σ)*T+σ*SQRT(T)*$C4077)</f>
        <v>0.84314379729230127</v>
      </c>
      <c r="E4077" s="52">
        <f t="shared" ca="1" si="167"/>
        <v>0</v>
      </c>
      <c r="F4077" s="17">
        <f t="shared" ca="1" si="168"/>
        <v>0</v>
      </c>
      <c r="H4077" s="17">
        <v>4068</v>
      </c>
      <c r="I4077" s="45">
        <v>0.67082418665591781</v>
      </c>
      <c r="J4077" s="45">
        <v>1.8872884407679865E-2</v>
      </c>
      <c r="K4077" s="45">
        <v>0.2452</v>
      </c>
      <c r="N4077" s="54"/>
    </row>
    <row r="4078" spans="2:14" x14ac:dyDescent="0.2">
      <c r="B4078">
        <f t="shared" si="169"/>
        <v>4069</v>
      </c>
      <c r="C4078" s="52">
        <f ca="1"/>
        <v>-1.5715455376807395</v>
      </c>
      <c r="D4078" s="52">
        <f ca="1">S0*EXP((μ-0.5*σ*σ)*T+σ*SQRT(T)*$C4078)</f>
        <v>0.41697191867272632</v>
      </c>
      <c r="E4078" s="52">
        <f t="shared" ca="1" si="167"/>
        <v>0.11742808132727367</v>
      </c>
      <c r="F4078" s="17">
        <f t="shared" ca="1" si="168"/>
        <v>1</v>
      </c>
      <c r="H4078" s="17">
        <v>4069</v>
      </c>
      <c r="I4078" s="45">
        <v>0.67119565014421345</v>
      </c>
      <c r="J4078" s="45">
        <v>1.9173745078216418E-2</v>
      </c>
      <c r="K4078" s="45">
        <v>0.24079999999999999</v>
      </c>
      <c r="N4078" s="54"/>
    </row>
    <row r="4079" spans="2:14" x14ac:dyDescent="0.2">
      <c r="B4079">
        <f t="shared" si="169"/>
        <v>4070</v>
      </c>
      <c r="C4079" s="52">
        <f ca="1"/>
        <v>2.6123656026598714</v>
      </c>
      <c r="D4079" s="52">
        <f ca="1">S0*EXP((μ-0.5*σ*σ)*T+σ*SQRT(T)*$C4079)</f>
        <v>1.3255568959149628</v>
      </c>
      <c r="E4079" s="52">
        <f t="shared" ca="1" si="167"/>
        <v>0</v>
      </c>
      <c r="F4079" s="17">
        <f t="shared" ca="1" si="168"/>
        <v>0</v>
      </c>
      <c r="H4079" s="17">
        <v>4070</v>
      </c>
      <c r="I4079" s="45">
        <v>0.67012766979903116</v>
      </c>
      <c r="J4079" s="45">
        <v>1.8383312137686725E-2</v>
      </c>
      <c r="K4079" s="45">
        <v>0.24299999999999999</v>
      </c>
      <c r="N4079" s="54"/>
    </row>
    <row r="4080" spans="2:14" x14ac:dyDescent="0.2">
      <c r="B4080">
        <f t="shared" si="169"/>
        <v>4071</v>
      </c>
      <c r="C4080" s="52">
        <f ca="1"/>
        <v>-1.0710391872531102</v>
      </c>
      <c r="D4080" s="52">
        <f ca="1">S0*EXP((μ-0.5*σ*σ)*T+σ*SQRT(T)*$C4080)</f>
        <v>0.4788441151965227</v>
      </c>
      <c r="E4080" s="52">
        <f t="shared" ca="1" si="167"/>
        <v>5.5555884803477285E-2</v>
      </c>
      <c r="F4080" s="17">
        <f t="shared" ca="1" si="168"/>
        <v>1</v>
      </c>
      <c r="H4080" s="17">
        <v>4071</v>
      </c>
      <c r="I4080" s="45">
        <v>0.67142195198905219</v>
      </c>
      <c r="J4080" s="45">
        <v>1.9503296504851737E-2</v>
      </c>
      <c r="K4080" s="45">
        <v>0.25440000000000002</v>
      </c>
      <c r="N4080" s="54"/>
    </row>
    <row r="4081" spans="2:14" x14ac:dyDescent="0.2">
      <c r="B4081">
        <f t="shared" si="169"/>
        <v>4072</v>
      </c>
      <c r="C4081" s="52">
        <f ca="1"/>
        <v>-0.79182158666130076</v>
      </c>
      <c r="D4081" s="52">
        <f ca="1">S0*EXP((μ-0.5*σ*σ)*T+σ*SQRT(T)*$C4081)</f>
        <v>0.51726738652434245</v>
      </c>
      <c r="E4081" s="52">
        <f t="shared" ca="1" si="167"/>
        <v>1.7132613475657532E-2</v>
      </c>
      <c r="F4081" s="17">
        <f t="shared" ca="1" si="168"/>
        <v>1</v>
      </c>
      <c r="H4081" s="17">
        <v>4072</v>
      </c>
      <c r="I4081" s="45">
        <v>0.67015908149323</v>
      </c>
      <c r="J4081" s="45">
        <v>1.8453267150161635E-2</v>
      </c>
      <c r="K4081" s="45">
        <v>0.24440000000000001</v>
      </c>
      <c r="N4081" s="54"/>
    </row>
    <row r="4082" spans="2:14" x14ac:dyDescent="0.2">
      <c r="B4082">
        <f t="shared" si="169"/>
        <v>4073</v>
      </c>
      <c r="C4082" s="52">
        <f ca="1"/>
        <v>-0.78676188335844022</v>
      </c>
      <c r="D4082" s="52">
        <f ca="1">S0*EXP((μ-0.5*σ*σ)*T+σ*SQRT(T)*$C4082)</f>
        <v>0.51799137728171152</v>
      </c>
      <c r="E4082" s="52">
        <f t="shared" ca="1" si="167"/>
        <v>1.6408622718288468E-2</v>
      </c>
      <c r="F4082" s="17">
        <f t="shared" ca="1" si="168"/>
        <v>1</v>
      </c>
      <c r="H4082" s="17">
        <v>4073</v>
      </c>
      <c r="I4082" s="45">
        <v>0.66970070416986638</v>
      </c>
      <c r="J4082" s="45">
        <v>1.7974130548082053E-2</v>
      </c>
      <c r="K4082" s="45">
        <v>0.2384</v>
      </c>
      <c r="N4082" s="54"/>
    </row>
    <row r="4083" spans="2:14" x14ac:dyDescent="0.2">
      <c r="B4083">
        <f t="shared" si="169"/>
        <v>4074</v>
      </c>
      <c r="C4083" s="52">
        <f ca="1"/>
        <v>0.6307522052499811</v>
      </c>
      <c r="D4083" s="52">
        <f ca="1">S0*EXP((μ-0.5*σ*σ)*T+σ*SQRT(T)*$C4083)</f>
        <v>0.76647767935868272</v>
      </c>
      <c r="E4083" s="52">
        <f t="shared" ca="1" si="167"/>
        <v>0</v>
      </c>
      <c r="F4083" s="17">
        <f t="shared" ca="1" si="168"/>
        <v>0</v>
      </c>
      <c r="H4083" s="17">
        <v>4074</v>
      </c>
      <c r="I4083" s="45">
        <v>0.67091299855819353</v>
      </c>
      <c r="J4083" s="45">
        <v>1.9190406558070836E-2</v>
      </c>
      <c r="K4083" s="45">
        <v>0.2414</v>
      </c>
      <c r="N4083" s="54"/>
    </row>
    <row r="4084" spans="2:14" x14ac:dyDescent="0.2">
      <c r="B4084">
        <f t="shared" si="169"/>
        <v>4075</v>
      </c>
      <c r="C4084" s="52">
        <f ca="1"/>
        <v>9.9982508724402563E-2</v>
      </c>
      <c r="D4084" s="52">
        <f ca="1">S0*EXP((μ-0.5*σ*σ)*T+σ*SQRT(T)*$C4084)</f>
        <v>0.66187954066702981</v>
      </c>
      <c r="E4084" s="52">
        <f t="shared" ca="1" si="167"/>
        <v>0</v>
      </c>
      <c r="F4084" s="17">
        <f t="shared" ca="1" si="168"/>
        <v>0</v>
      </c>
      <c r="H4084" s="17">
        <v>4075</v>
      </c>
      <c r="I4084" s="45">
        <v>0.67096364857636959</v>
      </c>
      <c r="J4084" s="45">
        <v>1.8968712196717873E-2</v>
      </c>
      <c r="K4084" s="45">
        <v>0.24779999999999999</v>
      </c>
      <c r="N4084" s="54"/>
    </row>
    <row r="4085" spans="2:14" x14ac:dyDescent="0.2">
      <c r="B4085">
        <f t="shared" si="169"/>
        <v>4076</v>
      </c>
      <c r="C4085" s="52">
        <f ca="1"/>
        <v>-1.4183505705578567</v>
      </c>
      <c r="D4085" s="52">
        <f ca="1">S0*EXP((μ-0.5*σ*σ)*T+σ*SQRT(T)*$C4085)</f>
        <v>0.43500909893418838</v>
      </c>
      <c r="E4085" s="52">
        <f t="shared" ca="1" si="167"/>
        <v>9.939090106581161E-2</v>
      </c>
      <c r="F4085" s="17">
        <f t="shared" ca="1" si="168"/>
        <v>1</v>
      </c>
      <c r="H4085" s="17">
        <v>4076</v>
      </c>
      <c r="I4085" s="45">
        <v>0.67045593539153503</v>
      </c>
      <c r="J4085" s="45">
        <v>1.8496122809022925E-2</v>
      </c>
      <c r="K4085" s="45">
        <v>0.24479999999999999</v>
      </c>
      <c r="N4085" s="54"/>
    </row>
    <row r="4086" spans="2:14" x14ac:dyDescent="0.2">
      <c r="B4086">
        <f t="shared" si="169"/>
        <v>4077</v>
      </c>
      <c r="C4086" s="52">
        <f ca="1"/>
        <v>-0.30054127623455246</v>
      </c>
      <c r="D4086" s="52">
        <f ca="1">S0*EXP((μ-0.5*σ*σ)*T+σ*SQRT(T)*$C4086)</f>
        <v>0.59250883260453135</v>
      </c>
      <c r="E4086" s="52">
        <f t="shared" ca="1" si="167"/>
        <v>0</v>
      </c>
      <c r="F4086" s="17">
        <f t="shared" ca="1" si="168"/>
        <v>0</v>
      </c>
      <c r="H4086" s="17">
        <v>4077</v>
      </c>
      <c r="I4086" s="45">
        <v>0.67076215221118596</v>
      </c>
      <c r="J4086" s="45">
        <v>1.8725283092254259E-2</v>
      </c>
      <c r="K4086" s="45">
        <v>0.2424</v>
      </c>
      <c r="N4086" s="54"/>
    </row>
    <row r="4087" spans="2:14" x14ac:dyDescent="0.2">
      <c r="B4087">
        <f t="shared" si="169"/>
        <v>4078</v>
      </c>
      <c r="C4087" s="52">
        <f ca="1"/>
        <v>-1.4815166017995727</v>
      </c>
      <c r="D4087" s="52">
        <f ca="1">S0*EXP((μ-0.5*σ*σ)*T+σ*SQRT(T)*$C4087)</f>
        <v>0.42747927309257766</v>
      </c>
      <c r="E4087" s="52">
        <f t="shared" ca="1" si="167"/>
        <v>0.10692072690742233</v>
      </c>
      <c r="F4087" s="17">
        <f t="shared" ca="1" si="168"/>
        <v>1</v>
      </c>
      <c r="H4087" s="17">
        <v>4078</v>
      </c>
      <c r="I4087" s="45">
        <v>0.67100124870609612</v>
      </c>
      <c r="J4087" s="45">
        <v>1.8941725922366377E-2</v>
      </c>
      <c r="K4087" s="45">
        <v>0.24940000000000001</v>
      </c>
      <c r="N4087" s="54"/>
    </row>
    <row r="4088" spans="2:14" x14ac:dyDescent="0.2">
      <c r="B4088">
        <f t="shared" si="169"/>
        <v>4079</v>
      </c>
      <c r="C4088" s="52">
        <f ca="1"/>
        <v>-0.17672434979944601</v>
      </c>
      <c r="D4088" s="52">
        <f ca="1">S0*EXP((μ-0.5*σ*σ)*T+σ*SQRT(T)*$C4088)</f>
        <v>0.613139699268484</v>
      </c>
      <c r="E4088" s="52">
        <f t="shared" ca="1" si="167"/>
        <v>0</v>
      </c>
      <c r="F4088" s="17">
        <f t="shared" ca="1" si="168"/>
        <v>0</v>
      </c>
      <c r="H4088" s="17">
        <v>4079</v>
      </c>
      <c r="I4088" s="45">
        <v>0.67171961600974028</v>
      </c>
      <c r="J4088" s="45">
        <v>1.9868874064159069E-2</v>
      </c>
      <c r="K4088" s="45">
        <v>0.25340000000000001</v>
      </c>
      <c r="N4088" s="54"/>
    </row>
    <row r="4089" spans="2:14" x14ac:dyDescent="0.2">
      <c r="B4089">
        <f t="shared" si="169"/>
        <v>4080</v>
      </c>
      <c r="C4089" s="52">
        <f ca="1"/>
        <v>-0.44318172177803922</v>
      </c>
      <c r="D4089" s="52">
        <f ca="1">S0*EXP((μ-0.5*σ*σ)*T+σ*SQRT(T)*$C4089)</f>
        <v>0.56960054871440746</v>
      </c>
      <c r="E4089" s="52">
        <f t="shared" ca="1" si="167"/>
        <v>0</v>
      </c>
      <c r="F4089" s="17">
        <f t="shared" ca="1" si="168"/>
        <v>0</v>
      </c>
      <c r="H4089" s="17">
        <v>4080</v>
      </c>
      <c r="I4089" s="45">
        <v>0.67109203410173746</v>
      </c>
      <c r="J4089" s="45">
        <v>1.8939004254965447E-2</v>
      </c>
      <c r="K4089" s="45">
        <v>0.24399999999999999</v>
      </c>
      <c r="N4089" s="54"/>
    </row>
    <row r="4090" spans="2:14" x14ac:dyDescent="0.2">
      <c r="B4090">
        <f t="shared" si="169"/>
        <v>4081</v>
      </c>
      <c r="C4090" s="52">
        <f ca="1"/>
        <v>-0.76036325678964112</v>
      </c>
      <c r="D4090" s="52">
        <f ca="1">S0*EXP((μ-0.5*σ*σ)*T+σ*SQRT(T)*$C4090)</f>
        <v>0.52178521340262329</v>
      </c>
      <c r="E4090" s="52">
        <f t="shared" ca="1" si="167"/>
        <v>1.2614786597376693E-2</v>
      </c>
      <c r="F4090" s="17">
        <f t="shared" ca="1" si="168"/>
        <v>1</v>
      </c>
      <c r="H4090" s="17">
        <v>4081</v>
      </c>
      <c r="I4090" s="45">
        <v>0.66977402870077285</v>
      </c>
      <c r="J4090" s="45">
        <v>1.8225200402503968E-2</v>
      </c>
      <c r="K4090" s="45">
        <v>0.24179999999999999</v>
      </c>
      <c r="N4090" s="54"/>
    </row>
    <row r="4091" spans="2:14" x14ac:dyDescent="0.2">
      <c r="B4091">
        <f t="shared" si="169"/>
        <v>4082</v>
      </c>
      <c r="C4091" s="52">
        <f ca="1"/>
        <v>-0.75095173939621973</v>
      </c>
      <c r="D4091" s="52">
        <f ca="1">S0*EXP((μ-0.5*σ*σ)*T+σ*SQRT(T)*$C4091)</f>
        <v>0.52314448299698113</v>
      </c>
      <c r="E4091" s="52">
        <f t="shared" ca="1" si="167"/>
        <v>1.1255517003018856E-2</v>
      </c>
      <c r="F4091" s="17">
        <f t="shared" ca="1" si="168"/>
        <v>1</v>
      </c>
      <c r="H4091" s="17">
        <v>4082</v>
      </c>
      <c r="I4091" s="45">
        <v>0.67104234723283041</v>
      </c>
      <c r="J4091" s="45">
        <v>1.9010832611195478E-2</v>
      </c>
      <c r="K4091" s="45">
        <v>0.245</v>
      </c>
      <c r="N4091" s="54"/>
    </row>
    <row r="4092" spans="2:14" x14ac:dyDescent="0.2">
      <c r="B4092">
        <f t="shared" si="169"/>
        <v>4083</v>
      </c>
      <c r="C4092" s="52">
        <f ca="1"/>
        <v>-1.5632639777308301</v>
      </c>
      <c r="D4092" s="52">
        <f ca="1">S0*EXP((μ-0.5*σ*σ)*T+σ*SQRT(T)*$C4092)</f>
        <v>0.41792758280901654</v>
      </c>
      <c r="E4092" s="52">
        <f t="shared" ca="1" si="167"/>
        <v>0.11647241719098345</v>
      </c>
      <c r="F4092" s="17">
        <f t="shared" ca="1" si="168"/>
        <v>1</v>
      </c>
      <c r="H4092" s="17">
        <v>4083</v>
      </c>
      <c r="I4092" s="45">
        <v>0.67119590234322635</v>
      </c>
      <c r="J4092" s="45">
        <v>1.8786363574756139E-2</v>
      </c>
      <c r="K4092" s="45">
        <v>0.2382</v>
      </c>
      <c r="N4092" s="54"/>
    </row>
    <row r="4093" spans="2:14" x14ac:dyDescent="0.2">
      <c r="B4093">
        <f t="shared" si="169"/>
        <v>4084</v>
      </c>
      <c r="C4093" s="52">
        <f ca="1"/>
        <v>-0.21796033742710991</v>
      </c>
      <c r="D4093" s="52">
        <f ca="1">S0*EXP((μ-0.5*σ*σ)*T+σ*SQRT(T)*$C4093)</f>
        <v>0.606190223324372</v>
      </c>
      <c r="E4093" s="52">
        <f t="shared" ca="1" si="167"/>
        <v>0</v>
      </c>
      <c r="F4093" s="17">
        <f t="shared" ca="1" si="168"/>
        <v>0</v>
      </c>
      <c r="H4093" s="17">
        <v>4084</v>
      </c>
      <c r="I4093" s="45">
        <v>0.66924863868794759</v>
      </c>
      <c r="J4093" s="45">
        <v>1.762214695962178E-2</v>
      </c>
      <c r="K4093" s="45">
        <v>0.2356</v>
      </c>
      <c r="N4093" s="54"/>
    </row>
    <row r="4094" spans="2:14" x14ac:dyDescent="0.2">
      <c r="B4094">
        <f t="shared" si="169"/>
        <v>4085</v>
      </c>
      <c r="C4094" s="52">
        <f ca="1"/>
        <v>-0.25333463871395756</v>
      </c>
      <c r="D4094" s="52">
        <f ca="1">S0*EXP((μ-0.5*σ*σ)*T+σ*SQRT(T)*$C4094)</f>
        <v>0.60029141542922426</v>
      </c>
      <c r="E4094" s="52">
        <f t="shared" ca="1" si="167"/>
        <v>0</v>
      </c>
      <c r="F4094" s="17">
        <f t="shared" ca="1" si="168"/>
        <v>0</v>
      </c>
      <c r="H4094" s="17">
        <v>4085</v>
      </c>
      <c r="I4094" s="45">
        <v>0.670984927024453</v>
      </c>
      <c r="J4094" s="45">
        <v>1.8766934293871679E-2</v>
      </c>
      <c r="K4094" s="45">
        <v>0.2442</v>
      </c>
      <c r="N4094" s="54"/>
    </row>
    <row r="4095" spans="2:14" x14ac:dyDescent="0.2">
      <c r="B4095">
        <f t="shared" si="169"/>
        <v>4086</v>
      </c>
      <c r="C4095" s="52">
        <f ca="1"/>
        <v>0.25720696284257216</v>
      </c>
      <c r="D4095" s="52">
        <f ca="1">S0*EXP((μ-0.5*σ*σ)*T+σ*SQRT(T)*$C4095)</f>
        <v>0.69128039822258802</v>
      </c>
      <c r="E4095" s="52">
        <f t="shared" ca="1" si="167"/>
        <v>0</v>
      </c>
      <c r="F4095" s="17">
        <f t="shared" ca="1" si="168"/>
        <v>0</v>
      </c>
      <c r="H4095" s="17">
        <v>4086</v>
      </c>
      <c r="I4095" s="45">
        <v>0.671897122007861</v>
      </c>
      <c r="J4095" s="45">
        <v>1.9823585377229985E-2</v>
      </c>
      <c r="K4095" s="45">
        <v>0.25059999999999999</v>
      </c>
      <c r="N4095" s="54"/>
    </row>
    <row r="4096" spans="2:14" x14ac:dyDescent="0.2">
      <c r="B4096">
        <f t="shared" si="169"/>
        <v>4087</v>
      </c>
      <c r="C4096" s="52">
        <f ca="1"/>
        <v>-1.4613327962024507</v>
      </c>
      <c r="D4096" s="52">
        <f ca="1">S0*EXP((μ-0.5*σ*σ)*T+σ*SQRT(T)*$C4096)</f>
        <v>0.42987104282891914</v>
      </c>
      <c r="E4096" s="52">
        <f t="shared" ca="1" si="167"/>
        <v>0.10452895717108085</v>
      </c>
      <c r="F4096" s="17">
        <f t="shared" ca="1" si="168"/>
        <v>1</v>
      </c>
      <c r="H4096" s="17">
        <v>4087</v>
      </c>
      <c r="I4096" s="45">
        <v>0.67106324602273115</v>
      </c>
      <c r="J4096" s="45">
        <v>1.8911797157492579E-2</v>
      </c>
      <c r="K4096" s="45">
        <v>0.24299999999999999</v>
      </c>
      <c r="N4096" s="54"/>
    </row>
    <row r="4097" spans="2:14" x14ac:dyDescent="0.2">
      <c r="B4097">
        <f t="shared" si="169"/>
        <v>4088</v>
      </c>
      <c r="C4097" s="52">
        <f ca="1"/>
        <v>0.30158892332057968</v>
      </c>
      <c r="D4097" s="52">
        <f ca="1">S0*EXP((μ-0.5*σ*σ)*T+σ*SQRT(T)*$C4097)</f>
        <v>0.69981369139332472</v>
      </c>
      <c r="E4097" s="52">
        <f t="shared" ca="1" si="167"/>
        <v>0</v>
      </c>
      <c r="F4097" s="17">
        <f t="shared" ca="1" si="168"/>
        <v>0</v>
      </c>
      <c r="H4097" s="17">
        <v>4088</v>
      </c>
      <c r="I4097" s="45">
        <v>0.67111646603432817</v>
      </c>
      <c r="J4097" s="45">
        <v>1.905476221824123E-2</v>
      </c>
      <c r="K4097" s="45">
        <v>0.255</v>
      </c>
      <c r="N4097" s="54"/>
    </row>
    <row r="4098" spans="2:14" x14ac:dyDescent="0.2">
      <c r="B4098">
        <f t="shared" si="169"/>
        <v>4089</v>
      </c>
      <c r="C4098" s="52">
        <f ca="1"/>
        <v>-0.22173193509157477</v>
      </c>
      <c r="D4098" s="52">
        <f ca="1">S0*EXP((μ-0.5*σ*σ)*T+σ*SQRT(T)*$C4098)</f>
        <v>0.60555854346291171</v>
      </c>
      <c r="E4098" s="52">
        <f t="shared" ca="1" si="167"/>
        <v>0</v>
      </c>
      <c r="F4098" s="17">
        <f t="shared" ca="1" si="168"/>
        <v>0</v>
      </c>
      <c r="H4098" s="17">
        <v>4089</v>
      </c>
      <c r="I4098" s="45">
        <v>0.6703011351031114</v>
      </c>
      <c r="J4098" s="45">
        <v>1.8450273864110214E-2</v>
      </c>
      <c r="K4098" s="45">
        <v>0.23799999999999999</v>
      </c>
      <c r="N4098" s="54"/>
    </row>
    <row r="4099" spans="2:14" x14ac:dyDescent="0.2">
      <c r="B4099">
        <f t="shared" si="169"/>
        <v>4090</v>
      </c>
      <c r="C4099" s="52">
        <f ca="1"/>
        <v>-0.4723982503125595</v>
      </c>
      <c r="D4099" s="52">
        <f ca="1">S0*EXP((μ-0.5*σ*σ)*T+σ*SQRT(T)*$C4099)</f>
        <v>0.56501875485331687</v>
      </c>
      <c r="E4099" s="52">
        <f t="shared" ca="1" si="167"/>
        <v>0</v>
      </c>
      <c r="F4099" s="17">
        <f t="shared" ca="1" si="168"/>
        <v>0</v>
      </c>
      <c r="H4099" s="17">
        <v>4090</v>
      </c>
      <c r="I4099" s="45">
        <v>0.67076783346152435</v>
      </c>
      <c r="J4099" s="45">
        <v>1.9070104188140039E-2</v>
      </c>
      <c r="K4099" s="45">
        <v>0.25</v>
      </c>
      <c r="N4099" s="54"/>
    </row>
    <row r="4100" spans="2:14" x14ac:dyDescent="0.2">
      <c r="B4100">
        <f t="shared" si="169"/>
        <v>4091</v>
      </c>
      <c r="C4100" s="52">
        <f ca="1"/>
        <v>-0.40317058132038697</v>
      </c>
      <c r="D4100" s="52">
        <f ca="1">S0*EXP((μ-0.5*σ*σ)*T+σ*SQRT(T)*$C4100)</f>
        <v>0.57593551628509709</v>
      </c>
      <c r="E4100" s="52">
        <f t="shared" ca="1" si="167"/>
        <v>0</v>
      </c>
      <c r="F4100" s="17">
        <f t="shared" ca="1" si="168"/>
        <v>0</v>
      </c>
      <c r="H4100" s="17">
        <v>4091</v>
      </c>
      <c r="I4100" s="45">
        <v>0.67029747190569278</v>
      </c>
      <c r="J4100" s="45">
        <v>1.8848956331036448E-2</v>
      </c>
      <c r="K4100" s="45">
        <v>0.2424</v>
      </c>
      <c r="N4100" s="54"/>
    </row>
    <row r="4101" spans="2:14" x14ac:dyDescent="0.2">
      <c r="B4101">
        <f t="shared" si="169"/>
        <v>4092</v>
      </c>
      <c r="C4101" s="52">
        <f ca="1"/>
        <v>1.311222107984831</v>
      </c>
      <c r="D4101" s="52">
        <f ca="1">S0*EXP((μ-0.5*σ*σ)*T+σ*SQRT(T)*$C4101)</f>
        <v>0.92510716320269903</v>
      </c>
      <c r="E4101" s="52">
        <f t="shared" ca="1" si="167"/>
        <v>0</v>
      </c>
      <c r="F4101" s="17">
        <f t="shared" ca="1" si="168"/>
        <v>0</v>
      </c>
      <c r="H4101" s="17">
        <v>4092</v>
      </c>
      <c r="I4101" s="45">
        <v>0.67059217238821445</v>
      </c>
      <c r="J4101" s="45">
        <v>1.8711138037171976E-2</v>
      </c>
      <c r="K4101" s="45">
        <v>0.24679999999999999</v>
      </c>
      <c r="N4101" s="54"/>
    </row>
    <row r="4102" spans="2:14" x14ac:dyDescent="0.2">
      <c r="B4102">
        <f t="shared" si="169"/>
        <v>4093</v>
      </c>
      <c r="C4102" s="52">
        <f ca="1"/>
        <v>1.2968722988368084</v>
      </c>
      <c r="D4102" s="52">
        <f ca="1">S0*EXP((μ-0.5*σ*σ)*T+σ*SQRT(T)*$C4102)</f>
        <v>0.9214447595731835</v>
      </c>
      <c r="E4102" s="52">
        <f t="shared" ca="1" si="167"/>
        <v>0</v>
      </c>
      <c r="F4102" s="17">
        <f t="shared" ca="1" si="168"/>
        <v>0</v>
      </c>
      <c r="H4102" s="17">
        <v>4093</v>
      </c>
      <c r="I4102" s="45">
        <v>0.6712157970276561</v>
      </c>
      <c r="J4102" s="45">
        <v>1.9279838255007432E-2</v>
      </c>
      <c r="K4102" s="45">
        <v>0.25140000000000001</v>
      </c>
      <c r="N4102" s="54"/>
    </row>
    <row r="4103" spans="2:14" x14ac:dyDescent="0.2">
      <c r="B4103">
        <f t="shared" si="169"/>
        <v>4094</v>
      </c>
      <c r="C4103" s="52">
        <f ca="1"/>
        <v>0.33280284906442215</v>
      </c>
      <c r="D4103" s="52">
        <f ca="1">S0*EXP((μ-0.5*σ*σ)*T+σ*SQRT(T)*$C4103)</f>
        <v>0.70587819084914483</v>
      </c>
      <c r="E4103" s="52">
        <f t="shared" ca="1" si="167"/>
        <v>0</v>
      </c>
      <c r="F4103" s="17">
        <f t="shared" ca="1" si="168"/>
        <v>0</v>
      </c>
      <c r="H4103" s="17">
        <v>4094</v>
      </c>
      <c r="I4103" s="45">
        <v>0.67229899473146737</v>
      </c>
      <c r="J4103" s="45">
        <v>2.0095534884236217E-2</v>
      </c>
      <c r="K4103" s="45">
        <v>0.24940000000000001</v>
      </c>
      <c r="N4103" s="54"/>
    </row>
    <row r="4104" spans="2:14" x14ac:dyDescent="0.2">
      <c r="B4104">
        <f t="shared" si="169"/>
        <v>4095</v>
      </c>
      <c r="C4104" s="52">
        <f ca="1"/>
        <v>1.1208248054947132</v>
      </c>
      <c r="D4104" s="52">
        <f ca="1">S0*EXP((μ-0.5*σ*σ)*T+σ*SQRT(T)*$C4104)</f>
        <v>0.87767606414730093</v>
      </c>
      <c r="E4104" s="52">
        <f t="shared" ca="1" si="167"/>
        <v>0</v>
      </c>
      <c r="F4104" s="17">
        <f t="shared" ca="1" si="168"/>
        <v>0</v>
      </c>
      <c r="H4104" s="17">
        <v>4095</v>
      </c>
      <c r="I4104" s="45">
        <v>0.6707614217971547</v>
      </c>
      <c r="J4104" s="45">
        <v>1.8634255259565514E-2</v>
      </c>
      <c r="K4104" s="45">
        <v>0.24379999999999999</v>
      </c>
      <c r="N4104" s="54"/>
    </row>
    <row r="4105" spans="2:14" x14ac:dyDescent="0.2">
      <c r="B4105">
        <f t="shared" si="169"/>
        <v>4096</v>
      </c>
      <c r="C4105" s="52">
        <f ca="1"/>
        <v>0.3907874587833145</v>
      </c>
      <c r="D4105" s="52">
        <f ca="1">S0*EXP((μ-0.5*σ*σ)*T+σ*SQRT(T)*$C4105)</f>
        <v>0.71728375810690803</v>
      </c>
      <c r="E4105" s="52">
        <f t="shared" ca="1" si="167"/>
        <v>0</v>
      </c>
      <c r="F4105" s="17">
        <f t="shared" ca="1" si="168"/>
        <v>0</v>
      </c>
      <c r="H4105" s="17">
        <v>4096</v>
      </c>
      <c r="I4105" s="45">
        <v>0.67047472136992414</v>
      </c>
      <c r="J4105" s="45">
        <v>1.8829183572535827E-2</v>
      </c>
      <c r="K4105" s="45">
        <v>0.24840000000000001</v>
      </c>
      <c r="N4105" s="54"/>
    </row>
    <row r="4106" spans="2:14" x14ac:dyDescent="0.2">
      <c r="B4106">
        <f t="shared" si="169"/>
        <v>4097</v>
      </c>
      <c r="C4106" s="52">
        <f ca="1"/>
        <v>-0.99318084180177191</v>
      </c>
      <c r="D4106" s="52">
        <f ca="1">S0*EXP((μ-0.5*σ*σ)*T+σ*SQRT(T)*$C4106)</f>
        <v>0.48926178042884433</v>
      </c>
      <c r="E4106" s="52">
        <f t="shared" ref="E4106:E4169" ca="1" si="170">MAX(0,CP*(D4106-K))</f>
        <v>4.5138219571155658E-2</v>
      </c>
      <c r="F4106" s="17">
        <f t="shared" ref="F4106:F4169" ca="1" si="171">(CP*(D4106-K)&gt;0)*1</f>
        <v>1</v>
      </c>
      <c r="H4106" s="17">
        <v>4097</v>
      </c>
      <c r="I4106" s="45">
        <v>0.67206454453369413</v>
      </c>
      <c r="J4106" s="45">
        <v>1.950767384838302E-2</v>
      </c>
      <c r="K4106" s="45">
        <v>0.25159999999999999</v>
      </c>
      <c r="N4106" s="54"/>
    </row>
    <row r="4107" spans="2:14" x14ac:dyDescent="0.2">
      <c r="B4107">
        <f t="shared" si="169"/>
        <v>4098</v>
      </c>
      <c r="C4107" s="52">
        <f ca="1"/>
        <v>-1.3818857329845939</v>
      </c>
      <c r="D4107" s="52">
        <f ca="1">S0*EXP((μ-0.5*σ*σ)*T+σ*SQRT(T)*$C4107)</f>
        <v>0.43941619425188866</v>
      </c>
      <c r="E4107" s="52">
        <f t="shared" ca="1" si="170"/>
        <v>9.4983805748111327E-2</v>
      </c>
      <c r="F4107" s="17">
        <f t="shared" ca="1" si="171"/>
        <v>1</v>
      </c>
      <c r="H4107" s="17">
        <v>4098</v>
      </c>
      <c r="I4107" s="45">
        <v>0.67025708342003731</v>
      </c>
      <c r="J4107" s="45">
        <v>1.8656009236864265E-2</v>
      </c>
      <c r="K4107" s="45">
        <v>0.24740000000000001</v>
      </c>
      <c r="N4107" s="54"/>
    </row>
    <row r="4108" spans="2:14" x14ac:dyDescent="0.2">
      <c r="B4108">
        <f t="shared" si="169"/>
        <v>4099</v>
      </c>
      <c r="C4108" s="52">
        <f ca="1"/>
        <v>1.1457866302597681</v>
      </c>
      <c r="D4108" s="52">
        <f ca="1">S0*EXP((μ-0.5*σ*σ)*T+σ*SQRT(T)*$C4108)</f>
        <v>0.88375319993638879</v>
      </c>
      <c r="E4108" s="52">
        <f t="shared" ca="1" si="170"/>
        <v>0</v>
      </c>
      <c r="F4108" s="17">
        <f t="shared" ca="1" si="171"/>
        <v>0</v>
      </c>
      <c r="H4108" s="17">
        <v>4099</v>
      </c>
      <c r="I4108" s="45">
        <v>0.67122059767107889</v>
      </c>
      <c r="J4108" s="45">
        <v>1.938915050668084E-2</v>
      </c>
      <c r="K4108" s="45">
        <v>0.24959999999999999</v>
      </c>
      <c r="N4108" s="54"/>
    </row>
    <row r="4109" spans="2:14" x14ac:dyDescent="0.2">
      <c r="B4109">
        <f t="shared" si="169"/>
        <v>4100</v>
      </c>
      <c r="C4109" s="52">
        <f ca="1"/>
        <v>-1.8478893982344113</v>
      </c>
      <c r="D4109" s="52">
        <f ca="1">S0*EXP((μ-0.5*σ*σ)*T+σ*SQRT(T)*$C4109)</f>
        <v>0.38630547805132814</v>
      </c>
      <c r="E4109" s="52">
        <f t="shared" ca="1" si="170"/>
        <v>0.14809452194867184</v>
      </c>
      <c r="F4109" s="17">
        <f t="shared" ca="1" si="171"/>
        <v>1</v>
      </c>
      <c r="H4109" s="17">
        <v>4100</v>
      </c>
      <c r="I4109" s="45">
        <v>0.67041680312282714</v>
      </c>
      <c r="J4109" s="45">
        <v>1.8510753904921236E-2</v>
      </c>
      <c r="K4109" s="45">
        <v>0.24340000000000001</v>
      </c>
      <c r="N4109" s="54"/>
    </row>
    <row r="4110" spans="2:14" x14ac:dyDescent="0.2">
      <c r="B4110">
        <f t="shared" si="169"/>
        <v>4101</v>
      </c>
      <c r="C4110" s="52">
        <f ca="1"/>
        <v>-1.5455834934924639</v>
      </c>
      <c r="D4110" s="52">
        <f ca="1">S0*EXP((μ-0.5*σ*σ)*T+σ*SQRT(T)*$C4110)</f>
        <v>0.41997518715780197</v>
      </c>
      <c r="E4110" s="52">
        <f t="shared" ca="1" si="170"/>
        <v>0.11442481284219802</v>
      </c>
      <c r="F4110" s="17">
        <f t="shared" ca="1" si="171"/>
        <v>1</v>
      </c>
      <c r="H4110" s="17">
        <v>4101</v>
      </c>
      <c r="I4110" s="45">
        <v>0.66981836013049367</v>
      </c>
      <c r="J4110" s="45">
        <v>1.8068430038521641E-2</v>
      </c>
      <c r="K4110" s="45">
        <v>0.2366</v>
      </c>
      <c r="N4110" s="54"/>
    </row>
    <row r="4111" spans="2:14" x14ac:dyDescent="0.2">
      <c r="B4111">
        <f t="shared" si="169"/>
        <v>4102</v>
      </c>
      <c r="C4111" s="52">
        <f ca="1"/>
        <v>1.086934497255732</v>
      </c>
      <c r="D4111" s="52">
        <f ca="1">S0*EXP((μ-0.5*σ*σ)*T+σ*SQRT(T)*$C4111)</f>
        <v>0.8694920538927986</v>
      </c>
      <c r="E4111" s="52">
        <f t="shared" ca="1" si="170"/>
        <v>0</v>
      </c>
      <c r="F4111" s="17">
        <f t="shared" ca="1" si="171"/>
        <v>0</v>
      </c>
      <c r="H4111" s="17">
        <v>4102</v>
      </c>
      <c r="I4111" s="45">
        <v>0.67035720096650253</v>
      </c>
      <c r="J4111" s="45">
        <v>1.8488178788693174E-2</v>
      </c>
      <c r="K4111" s="45">
        <v>0.2432</v>
      </c>
      <c r="N4111" s="54"/>
    </row>
    <row r="4112" spans="2:14" x14ac:dyDescent="0.2">
      <c r="B4112">
        <f t="shared" si="169"/>
        <v>4103</v>
      </c>
      <c r="C4112" s="52">
        <f ca="1"/>
        <v>-0.20789313376495996</v>
      </c>
      <c r="D4112" s="52">
        <f ca="1">S0*EXP((μ-0.5*σ*σ)*T+σ*SQRT(T)*$C4112)</f>
        <v>0.60787954106906517</v>
      </c>
      <c r="E4112" s="52">
        <f t="shared" ca="1" si="170"/>
        <v>0</v>
      </c>
      <c r="F4112" s="17">
        <f t="shared" ca="1" si="171"/>
        <v>0</v>
      </c>
      <c r="H4112" s="17">
        <v>4103</v>
      </c>
      <c r="I4112" s="45">
        <v>0.67081090181706704</v>
      </c>
      <c r="J4112" s="45">
        <v>1.8862110559053392E-2</v>
      </c>
      <c r="K4112" s="45">
        <v>0.25019999999999998</v>
      </c>
      <c r="N4112" s="54"/>
    </row>
    <row r="4113" spans="2:14" x14ac:dyDescent="0.2">
      <c r="B4113">
        <f t="shared" si="169"/>
        <v>4104</v>
      </c>
      <c r="C4113" s="52">
        <f ca="1"/>
        <v>9.5212646127317502E-2</v>
      </c>
      <c r="D4113" s="52">
        <f ca="1">S0*EXP((μ-0.5*σ*σ)*T+σ*SQRT(T)*$C4113)</f>
        <v>0.66100739774523354</v>
      </c>
      <c r="E4113" s="52">
        <f t="shared" ca="1" si="170"/>
        <v>0</v>
      </c>
      <c r="F4113" s="17">
        <f t="shared" ca="1" si="171"/>
        <v>0</v>
      </c>
      <c r="H4113" s="17">
        <v>4104</v>
      </c>
      <c r="I4113" s="45">
        <v>0.67089148011556532</v>
      </c>
      <c r="J4113" s="45">
        <v>1.907348588252852E-2</v>
      </c>
      <c r="K4113" s="45">
        <v>0.24360000000000001</v>
      </c>
      <c r="N4113" s="54"/>
    </row>
    <row r="4114" spans="2:14" x14ac:dyDescent="0.2">
      <c r="B4114">
        <f t="shared" si="169"/>
        <v>4105</v>
      </c>
      <c r="C4114" s="52">
        <f ca="1"/>
        <v>0.61683004542078845</v>
      </c>
      <c r="D4114" s="52">
        <f ca="1">S0*EXP((μ-0.5*σ*σ)*T+σ*SQRT(T)*$C4114)</f>
        <v>0.76353353013704728</v>
      </c>
      <c r="E4114" s="52">
        <f t="shared" ca="1" si="170"/>
        <v>0</v>
      </c>
      <c r="F4114" s="17">
        <f t="shared" ca="1" si="171"/>
        <v>0</v>
      </c>
      <c r="H4114" s="17">
        <v>4105</v>
      </c>
      <c r="I4114" s="45">
        <v>0.67171450527254606</v>
      </c>
      <c r="J4114" s="45">
        <v>1.9702582011164441E-2</v>
      </c>
      <c r="K4114" s="45">
        <v>0.25059999999999999</v>
      </c>
      <c r="N4114" s="54"/>
    </row>
    <row r="4115" spans="2:14" x14ac:dyDescent="0.2">
      <c r="B4115">
        <f t="shared" si="169"/>
        <v>4106</v>
      </c>
      <c r="C4115" s="52">
        <f ca="1"/>
        <v>1.6099023991709542</v>
      </c>
      <c r="D4115" s="52">
        <f ca="1">S0*EXP((μ-0.5*σ*σ)*T+σ*SQRT(T)*$C4115)</f>
        <v>1.0047304005939668</v>
      </c>
      <c r="E4115" s="52">
        <f t="shared" ca="1" si="170"/>
        <v>0</v>
      </c>
      <c r="F4115" s="17">
        <f t="shared" ca="1" si="171"/>
        <v>0</v>
      </c>
      <c r="H4115" s="17">
        <v>4106</v>
      </c>
      <c r="I4115" s="45">
        <v>0.67063001517204823</v>
      </c>
      <c r="J4115" s="45">
        <v>1.8892891913843548E-2</v>
      </c>
      <c r="K4115" s="45">
        <v>0.25059999999999999</v>
      </c>
      <c r="N4115" s="54"/>
    </row>
    <row r="4116" spans="2:14" x14ac:dyDescent="0.2">
      <c r="B4116">
        <f t="shared" si="169"/>
        <v>4107</v>
      </c>
      <c r="C4116" s="52">
        <f ca="1"/>
        <v>-1.4005374462395985</v>
      </c>
      <c r="D4116" s="52">
        <f ca="1">S0*EXP((μ-0.5*σ*σ)*T+σ*SQRT(T)*$C4116)</f>
        <v>0.43715642136661026</v>
      </c>
      <c r="E4116" s="52">
        <f t="shared" ca="1" si="170"/>
        <v>9.7243578633389727E-2</v>
      </c>
      <c r="F4116" s="17">
        <f t="shared" ca="1" si="171"/>
        <v>1</v>
      </c>
      <c r="H4116" s="17">
        <v>4107</v>
      </c>
      <c r="I4116" s="45">
        <v>0.67102062877770863</v>
      </c>
      <c r="J4116" s="45">
        <v>1.8873106325177851E-2</v>
      </c>
      <c r="K4116" s="45">
        <v>0.24759999999999999</v>
      </c>
      <c r="N4116" s="54"/>
    </row>
    <row r="4117" spans="2:14" x14ac:dyDescent="0.2">
      <c r="B4117">
        <f t="shared" si="169"/>
        <v>4108</v>
      </c>
      <c r="C4117" s="52">
        <f ca="1"/>
        <v>-1.7555720567629638</v>
      </c>
      <c r="D4117" s="52">
        <f ca="1">S0*EXP((μ-0.5*σ*σ)*T+σ*SQRT(T)*$C4117)</f>
        <v>0.39629067314702349</v>
      </c>
      <c r="E4117" s="52">
        <f t="shared" ca="1" si="170"/>
        <v>0.1381093268529765</v>
      </c>
      <c r="F4117" s="17">
        <f t="shared" ca="1" si="171"/>
        <v>1</v>
      </c>
      <c r="H4117" s="17">
        <v>4108</v>
      </c>
      <c r="I4117" s="45">
        <v>0.67082220710016538</v>
      </c>
      <c r="J4117" s="45">
        <v>1.9019534497491927E-2</v>
      </c>
      <c r="K4117" s="45">
        <v>0.25059999999999999</v>
      </c>
      <c r="N4117" s="54"/>
    </row>
    <row r="4118" spans="2:14" x14ac:dyDescent="0.2">
      <c r="B4118">
        <f t="shared" si="169"/>
        <v>4109</v>
      </c>
      <c r="C4118" s="52">
        <f ca="1"/>
        <v>0.52238068470360366</v>
      </c>
      <c r="D4118" s="52">
        <f ca="1">S0*EXP((μ-0.5*σ*σ)*T+σ*SQRT(T)*$C4118)</f>
        <v>0.74385651936174868</v>
      </c>
      <c r="E4118" s="52">
        <f t="shared" ca="1" si="170"/>
        <v>0</v>
      </c>
      <c r="F4118" s="17">
        <f t="shared" ca="1" si="171"/>
        <v>0</v>
      </c>
      <c r="H4118" s="17">
        <v>4109</v>
      </c>
      <c r="I4118" s="45">
        <v>0.67078193685385423</v>
      </c>
      <c r="J4118" s="45">
        <v>1.8666511944207875E-2</v>
      </c>
      <c r="K4118" s="45">
        <v>0.24260000000000001</v>
      </c>
      <c r="N4118" s="54"/>
    </row>
    <row r="4119" spans="2:14" x14ac:dyDescent="0.2">
      <c r="B4119">
        <f t="shared" si="169"/>
        <v>4110</v>
      </c>
      <c r="C4119" s="52">
        <f ca="1"/>
        <v>-0.90759022152621893</v>
      </c>
      <c r="D4119" s="52">
        <f ca="1">S0*EXP((μ-0.5*σ*σ)*T+σ*SQRT(T)*$C4119)</f>
        <v>0.50097575905022296</v>
      </c>
      <c r="E4119" s="52">
        <f t="shared" ca="1" si="170"/>
        <v>3.3424240949777029E-2</v>
      </c>
      <c r="F4119" s="17">
        <f t="shared" ca="1" si="171"/>
        <v>1</v>
      </c>
      <c r="H4119" s="17">
        <v>4110</v>
      </c>
      <c r="I4119" s="45">
        <v>0.67136924771360562</v>
      </c>
      <c r="J4119" s="45">
        <v>1.9103013883598696E-2</v>
      </c>
      <c r="K4119" s="45">
        <v>0.2432</v>
      </c>
      <c r="N4119" s="54"/>
    </row>
    <row r="4120" spans="2:14" x14ac:dyDescent="0.2">
      <c r="B4120">
        <f t="shared" si="169"/>
        <v>4111</v>
      </c>
      <c r="C4120" s="52">
        <f ca="1"/>
        <v>0.32735432898534084</v>
      </c>
      <c r="D4120" s="52">
        <f ca="1">S0*EXP((μ-0.5*σ*σ)*T+σ*SQRT(T)*$C4120)</f>
        <v>0.70481583398906578</v>
      </c>
      <c r="E4120" s="52">
        <f t="shared" ca="1" si="170"/>
        <v>0</v>
      </c>
      <c r="F4120" s="17">
        <f t="shared" ca="1" si="171"/>
        <v>0</v>
      </c>
      <c r="H4120" s="17">
        <v>4111</v>
      </c>
      <c r="I4120" s="45">
        <v>0.67245089416370507</v>
      </c>
      <c r="J4120" s="45">
        <v>2.0001557462668164E-2</v>
      </c>
      <c r="K4120" s="45">
        <v>0.25359999999999999</v>
      </c>
      <c r="N4120" s="54"/>
    </row>
    <row r="4121" spans="2:14" x14ac:dyDescent="0.2">
      <c r="B4121">
        <f t="shared" si="169"/>
        <v>4112</v>
      </c>
      <c r="C4121" s="52">
        <f ca="1"/>
        <v>0.74481364314437248</v>
      </c>
      <c r="D4121" s="52">
        <f ca="1">S0*EXP((μ-0.5*σ*σ)*T+σ*SQRT(T)*$C4121)</f>
        <v>0.79102997932857222</v>
      </c>
      <c r="E4121" s="52">
        <f t="shared" ca="1" si="170"/>
        <v>0</v>
      </c>
      <c r="F4121" s="17">
        <f t="shared" ca="1" si="171"/>
        <v>0</v>
      </c>
      <c r="H4121" s="17">
        <v>4112</v>
      </c>
      <c r="I4121" s="45">
        <v>0.67033282113030312</v>
      </c>
      <c r="J4121" s="45">
        <v>1.8429701415687227E-2</v>
      </c>
      <c r="K4121" s="45">
        <v>0.2404</v>
      </c>
      <c r="N4121" s="54"/>
    </row>
    <row r="4122" spans="2:14" x14ac:dyDescent="0.2">
      <c r="B4122">
        <f t="shared" si="169"/>
        <v>4113</v>
      </c>
      <c r="C4122" s="52">
        <f ca="1"/>
        <v>0.62010297238575929</v>
      </c>
      <c r="D4122" s="52">
        <f ca="1">S0*EXP((μ-0.5*σ*σ)*T+σ*SQRT(T)*$C4122)</f>
        <v>0.76422464467234053</v>
      </c>
      <c r="E4122" s="52">
        <f t="shared" ca="1" si="170"/>
        <v>0</v>
      </c>
      <c r="F4122" s="17">
        <f t="shared" ca="1" si="171"/>
        <v>0</v>
      </c>
      <c r="H4122" s="17">
        <v>4113</v>
      </c>
      <c r="I4122" s="45">
        <v>0.67037712295788565</v>
      </c>
      <c r="J4122" s="45">
        <v>1.8569215991384246E-2</v>
      </c>
      <c r="K4122" s="45">
        <v>0.2472</v>
      </c>
      <c r="N4122" s="54"/>
    </row>
    <row r="4123" spans="2:14" x14ac:dyDescent="0.2">
      <c r="B4123">
        <f t="shared" si="169"/>
        <v>4114</v>
      </c>
      <c r="C4123" s="52">
        <f ca="1"/>
        <v>0.88156899634376962</v>
      </c>
      <c r="D4123" s="52">
        <f ca="1">S0*EXP((μ-0.5*σ*σ)*T+σ*SQRT(T)*$C4123)</f>
        <v>0.82150620733119173</v>
      </c>
      <c r="E4123" s="52">
        <f t="shared" ca="1" si="170"/>
        <v>0</v>
      </c>
      <c r="F4123" s="17">
        <f t="shared" ca="1" si="171"/>
        <v>0</v>
      </c>
      <c r="H4123" s="17">
        <v>4114</v>
      </c>
      <c r="I4123" s="45">
        <v>0.67096048595240254</v>
      </c>
      <c r="J4123" s="45">
        <v>1.9369490978069091E-2</v>
      </c>
      <c r="K4123" s="45">
        <v>0.252</v>
      </c>
      <c r="N4123" s="54"/>
    </row>
    <row r="4124" spans="2:14" x14ac:dyDescent="0.2">
      <c r="B4124">
        <f t="shared" si="169"/>
        <v>4115</v>
      </c>
      <c r="C4124" s="52">
        <f ca="1"/>
        <v>0.81027901301001737</v>
      </c>
      <c r="D4124" s="52">
        <f ca="1">S0*EXP((μ-0.5*σ*σ)*T+σ*SQRT(T)*$C4124)</f>
        <v>0.80547536954049781</v>
      </c>
      <c r="E4124" s="52">
        <f t="shared" ca="1" si="170"/>
        <v>0</v>
      </c>
      <c r="F4124" s="17">
        <f t="shared" ca="1" si="171"/>
        <v>0</v>
      </c>
      <c r="H4124" s="17">
        <v>4115</v>
      </c>
      <c r="I4124" s="45">
        <v>0.67070851497207373</v>
      </c>
      <c r="J4124" s="45">
        <v>1.8730613256122727E-2</v>
      </c>
      <c r="K4124" s="45">
        <v>0.24379999999999999</v>
      </c>
      <c r="N4124" s="54"/>
    </row>
    <row r="4125" spans="2:14" x14ac:dyDescent="0.2">
      <c r="B4125">
        <f t="shared" si="169"/>
        <v>4116</v>
      </c>
      <c r="C4125" s="52">
        <f ca="1"/>
        <v>-0.62369260932316428</v>
      </c>
      <c r="D4125" s="52">
        <f ca="1">S0*EXP((μ-0.5*σ*σ)*T+σ*SQRT(T)*$C4125)</f>
        <v>0.54187548640180827</v>
      </c>
      <c r="E4125" s="52">
        <f t="shared" ca="1" si="170"/>
        <v>0</v>
      </c>
      <c r="F4125" s="17">
        <f t="shared" ca="1" si="171"/>
        <v>0</v>
      </c>
      <c r="H4125" s="17">
        <v>4116</v>
      </c>
      <c r="I4125" s="45">
        <v>0.67057864345816898</v>
      </c>
      <c r="J4125" s="45">
        <v>1.8585455226722915E-2</v>
      </c>
      <c r="K4125" s="45">
        <v>0.2424</v>
      </c>
      <c r="N4125" s="54"/>
    </row>
    <row r="4126" spans="2:14" x14ac:dyDescent="0.2">
      <c r="B4126">
        <f t="shared" si="169"/>
        <v>4117</v>
      </c>
      <c r="C4126" s="52">
        <f ca="1"/>
        <v>-2.2434970246749417</v>
      </c>
      <c r="D4126" s="52">
        <f ca="1">S0*EXP((μ-0.5*σ*σ)*T+σ*SQRT(T)*$C4126)</f>
        <v>0.34628759874973913</v>
      </c>
      <c r="E4126" s="52">
        <f t="shared" ca="1" si="170"/>
        <v>0.18811240125026085</v>
      </c>
      <c r="F4126" s="17">
        <f t="shared" ca="1" si="171"/>
        <v>1</v>
      </c>
      <c r="H4126" s="17">
        <v>4117</v>
      </c>
      <c r="I4126" s="45">
        <v>0.67114645479054291</v>
      </c>
      <c r="J4126" s="45">
        <v>1.9351112186265815E-2</v>
      </c>
      <c r="K4126" s="45">
        <v>0.25280000000000002</v>
      </c>
      <c r="N4126" s="54"/>
    </row>
    <row r="4127" spans="2:14" x14ac:dyDescent="0.2">
      <c r="B4127">
        <f t="shared" si="169"/>
        <v>4118</v>
      </c>
      <c r="C4127" s="52">
        <f ca="1"/>
        <v>-1.4366117801966465</v>
      </c>
      <c r="D4127" s="52">
        <f ca="1">S0*EXP((μ-0.5*σ*σ)*T+σ*SQRT(T)*$C4127)</f>
        <v>0.43281870963722274</v>
      </c>
      <c r="E4127" s="52">
        <f t="shared" ca="1" si="170"/>
        <v>0.10158129036277724</v>
      </c>
      <c r="F4127" s="17">
        <f t="shared" ca="1" si="171"/>
        <v>1</v>
      </c>
      <c r="H4127" s="17">
        <v>4118</v>
      </c>
      <c r="I4127" s="45">
        <v>0.67029862951993091</v>
      </c>
      <c r="J4127" s="45">
        <v>1.8455438666455125E-2</v>
      </c>
      <c r="K4127" s="45">
        <v>0.24379999999999999</v>
      </c>
      <c r="N4127" s="54"/>
    </row>
    <row r="4128" spans="2:14" x14ac:dyDescent="0.2">
      <c r="B4128">
        <f t="shared" si="169"/>
        <v>4119</v>
      </c>
      <c r="C4128" s="52">
        <f ca="1"/>
        <v>-0.24722931750072499</v>
      </c>
      <c r="D4128" s="52">
        <f ca="1">S0*EXP((μ-0.5*σ*σ)*T+σ*SQRT(T)*$C4128)</f>
        <v>0.60130538823012325</v>
      </c>
      <c r="E4128" s="52">
        <f t="shared" ca="1" si="170"/>
        <v>0</v>
      </c>
      <c r="F4128" s="17">
        <f t="shared" ca="1" si="171"/>
        <v>0</v>
      </c>
      <c r="H4128" s="17">
        <v>4119</v>
      </c>
      <c r="I4128" s="45">
        <v>0.6720345770313253</v>
      </c>
      <c r="J4128" s="45">
        <v>1.9668782509675298E-2</v>
      </c>
      <c r="K4128" s="45">
        <v>0.24840000000000001</v>
      </c>
      <c r="N4128" s="54"/>
    </row>
    <row r="4129" spans="2:14" x14ac:dyDescent="0.2">
      <c r="B4129">
        <f t="shared" si="169"/>
        <v>4120</v>
      </c>
      <c r="C4129" s="52">
        <f ca="1"/>
        <v>-0.24225628786891445</v>
      </c>
      <c r="D4129" s="52">
        <f ca="1">S0*EXP((μ-0.5*σ*σ)*T+σ*SQRT(T)*$C4129)</f>
        <v>0.60213257544336729</v>
      </c>
      <c r="E4129" s="52">
        <f t="shared" ca="1" si="170"/>
        <v>0</v>
      </c>
      <c r="F4129" s="17">
        <f t="shared" ca="1" si="171"/>
        <v>0</v>
      </c>
      <c r="H4129" s="17">
        <v>4120</v>
      </c>
      <c r="I4129" s="45">
        <v>0.66972591725017061</v>
      </c>
      <c r="J4129" s="45">
        <v>1.8251573291821373E-2</v>
      </c>
      <c r="K4129" s="45">
        <v>0.24060000000000001</v>
      </c>
      <c r="N4129" s="54"/>
    </row>
    <row r="4130" spans="2:14" x14ac:dyDescent="0.2">
      <c r="B4130">
        <f t="shared" si="169"/>
        <v>4121</v>
      </c>
      <c r="C4130" s="52">
        <f ca="1"/>
        <v>0.41551208281551988</v>
      </c>
      <c r="D4130" s="52">
        <f ca="1">S0*EXP((μ-0.5*σ*σ)*T+σ*SQRT(T)*$C4130)</f>
        <v>0.72220296166917797</v>
      </c>
      <c r="E4130" s="52">
        <f t="shared" ca="1" si="170"/>
        <v>0</v>
      </c>
      <c r="F4130" s="17">
        <f t="shared" ca="1" si="171"/>
        <v>0</v>
      </c>
      <c r="H4130" s="17">
        <v>4121</v>
      </c>
      <c r="I4130" s="45">
        <v>0.67102085244790199</v>
      </c>
      <c r="J4130" s="45">
        <v>1.9085894629042817E-2</v>
      </c>
      <c r="K4130" s="45">
        <v>0.24340000000000001</v>
      </c>
      <c r="N4130" s="54"/>
    </row>
    <row r="4131" spans="2:14" x14ac:dyDescent="0.2">
      <c r="B4131">
        <f t="shared" si="169"/>
        <v>4122</v>
      </c>
      <c r="C4131" s="52">
        <f ca="1"/>
        <v>-1.3788487359233634</v>
      </c>
      <c r="D4131" s="52">
        <f ca="1">S0*EXP((μ-0.5*σ*σ)*T+σ*SQRT(T)*$C4131)</f>
        <v>0.43978524990755641</v>
      </c>
      <c r="E4131" s="52">
        <f t="shared" ca="1" si="170"/>
        <v>9.4614750092443578E-2</v>
      </c>
      <c r="F4131" s="17">
        <f t="shared" ca="1" si="171"/>
        <v>1</v>
      </c>
      <c r="H4131" s="17">
        <v>4122</v>
      </c>
      <c r="I4131" s="45">
        <v>0.67129517577578079</v>
      </c>
      <c r="J4131" s="45">
        <v>1.9383831939203289E-2</v>
      </c>
      <c r="K4131" s="45">
        <v>0.248</v>
      </c>
      <c r="N4131" s="54"/>
    </row>
    <row r="4132" spans="2:14" x14ac:dyDescent="0.2">
      <c r="B4132">
        <f t="shared" si="169"/>
        <v>4123</v>
      </c>
      <c r="C4132" s="52">
        <f ca="1"/>
        <v>-8.5812615606139314E-2</v>
      </c>
      <c r="D4132" s="52">
        <f ca="1">S0*EXP((μ-0.5*σ*σ)*T+σ*SQRT(T)*$C4132)</f>
        <v>0.62874373900460567</v>
      </c>
      <c r="E4132" s="52">
        <f t="shared" ca="1" si="170"/>
        <v>0</v>
      </c>
      <c r="F4132" s="17">
        <f t="shared" ca="1" si="171"/>
        <v>0</v>
      </c>
      <c r="H4132" s="17">
        <v>4123</v>
      </c>
      <c r="I4132" s="45">
        <v>0.67087096637925003</v>
      </c>
      <c r="J4132" s="45">
        <v>1.9066678037811167E-2</v>
      </c>
      <c r="K4132" s="45">
        <v>0.247</v>
      </c>
      <c r="N4132" s="54"/>
    </row>
    <row r="4133" spans="2:14" x14ac:dyDescent="0.2">
      <c r="B4133">
        <f t="shared" si="169"/>
        <v>4124</v>
      </c>
      <c r="C4133" s="52">
        <f ca="1"/>
        <v>-0.18352006323220332</v>
      </c>
      <c r="D4133" s="52">
        <f ca="1">S0*EXP((μ-0.5*σ*σ)*T+σ*SQRT(T)*$C4133)</f>
        <v>0.61198896312024209</v>
      </c>
      <c r="E4133" s="52">
        <f t="shared" ca="1" si="170"/>
        <v>0</v>
      </c>
      <c r="F4133" s="17">
        <f t="shared" ca="1" si="171"/>
        <v>0</v>
      </c>
      <c r="H4133" s="17">
        <v>4124</v>
      </c>
      <c r="I4133" s="45">
        <v>0.66959035763382024</v>
      </c>
      <c r="J4133" s="45">
        <v>1.8153376047404125E-2</v>
      </c>
      <c r="K4133" s="45">
        <v>0.2394</v>
      </c>
      <c r="N4133" s="54"/>
    </row>
    <row r="4134" spans="2:14" x14ac:dyDescent="0.2">
      <c r="B4134">
        <f t="shared" si="169"/>
        <v>4125</v>
      </c>
      <c r="C4134" s="52">
        <f ca="1"/>
        <v>-0.21732956927676692</v>
      </c>
      <c r="D4134" s="52">
        <f ca="1">S0*EXP((μ-0.5*σ*σ)*T+σ*SQRT(T)*$C4134)</f>
        <v>0.60629593079209532</v>
      </c>
      <c r="E4134" s="52">
        <f t="shared" ca="1" si="170"/>
        <v>0</v>
      </c>
      <c r="F4134" s="17">
        <f t="shared" ca="1" si="171"/>
        <v>0</v>
      </c>
      <c r="H4134" s="17">
        <v>4125</v>
      </c>
      <c r="I4134" s="45">
        <v>0.67061540941902509</v>
      </c>
      <c r="J4134" s="45">
        <v>1.8851987909515557E-2</v>
      </c>
      <c r="K4134" s="45">
        <v>0.24079999999999999</v>
      </c>
      <c r="N4134" s="54"/>
    </row>
    <row r="4135" spans="2:14" x14ac:dyDescent="0.2">
      <c r="B4135">
        <f t="shared" si="169"/>
        <v>4126</v>
      </c>
      <c r="C4135" s="52">
        <f ca="1"/>
        <v>0.16612038591300932</v>
      </c>
      <c r="D4135" s="52">
        <f ca="1">S0*EXP((μ-0.5*σ*σ)*T+σ*SQRT(T)*$C4135)</f>
        <v>0.6740917547138161</v>
      </c>
      <c r="E4135" s="52">
        <f t="shared" ca="1" si="170"/>
        <v>0</v>
      </c>
      <c r="F4135" s="17">
        <f t="shared" ca="1" si="171"/>
        <v>0</v>
      </c>
      <c r="H4135" s="17">
        <v>4126</v>
      </c>
      <c r="I4135" s="45">
        <v>0.67016671546266648</v>
      </c>
      <c r="J4135" s="45">
        <v>1.877800190143078E-2</v>
      </c>
      <c r="K4135" s="45">
        <v>0.2402</v>
      </c>
      <c r="N4135" s="54"/>
    </row>
    <row r="4136" spans="2:14" x14ac:dyDescent="0.2">
      <c r="B4136">
        <f t="shared" si="169"/>
        <v>4127</v>
      </c>
      <c r="C4136" s="52">
        <f ca="1"/>
        <v>0.5593847882442986</v>
      </c>
      <c r="D4136" s="52">
        <f ca="1">S0*EXP((μ-0.5*σ*σ)*T+σ*SQRT(T)*$C4136)</f>
        <v>0.75150457969627571</v>
      </c>
      <c r="E4136" s="52">
        <f t="shared" ca="1" si="170"/>
        <v>0</v>
      </c>
      <c r="F4136" s="17">
        <f t="shared" ca="1" si="171"/>
        <v>0</v>
      </c>
      <c r="H4136" s="17">
        <v>4127</v>
      </c>
      <c r="I4136" s="45">
        <v>0.67129601978502285</v>
      </c>
      <c r="J4136" s="45">
        <v>1.9370524911467891E-2</v>
      </c>
      <c r="K4136" s="45">
        <v>0.25240000000000001</v>
      </c>
      <c r="N4136" s="54"/>
    </row>
    <row r="4137" spans="2:14" x14ac:dyDescent="0.2">
      <c r="B4137">
        <f t="shared" si="169"/>
        <v>4128</v>
      </c>
      <c r="C4137" s="52">
        <f ca="1"/>
        <v>-3.1220467152726901</v>
      </c>
      <c r="D4137" s="52">
        <f ca="1">S0*EXP((μ-0.5*σ*σ)*T+σ*SQRT(T)*$C4137)</f>
        <v>0.27162160544396352</v>
      </c>
      <c r="E4137" s="52">
        <f t="shared" ca="1" si="170"/>
        <v>0.26277839455603647</v>
      </c>
      <c r="F4137" s="17">
        <f t="shared" ca="1" si="171"/>
        <v>1</v>
      </c>
      <c r="H4137" s="17">
        <v>4128</v>
      </c>
      <c r="I4137" s="45">
        <v>0.67121429373224839</v>
      </c>
      <c r="J4137" s="45">
        <v>1.9083015401613484E-2</v>
      </c>
      <c r="K4137" s="45">
        <v>0.24560000000000001</v>
      </c>
      <c r="N4137" s="54"/>
    </row>
    <row r="4138" spans="2:14" x14ac:dyDescent="0.2">
      <c r="B4138">
        <f t="shared" si="169"/>
        <v>4129</v>
      </c>
      <c r="C4138" s="52">
        <f ca="1"/>
        <v>-1.1317025147964455</v>
      </c>
      <c r="D4138" s="52">
        <f ca="1">S0*EXP((μ-0.5*σ*σ)*T+σ*SQRT(T)*$C4138)</f>
        <v>0.47088117996851953</v>
      </c>
      <c r="E4138" s="52">
        <f t="shared" ca="1" si="170"/>
        <v>6.3518820031480461E-2</v>
      </c>
      <c r="F4138" s="17">
        <f t="shared" ca="1" si="171"/>
        <v>1</v>
      </c>
      <c r="H4138" s="17">
        <v>4129</v>
      </c>
      <c r="I4138" s="45">
        <v>0.67111651355669777</v>
      </c>
      <c r="J4138" s="45">
        <v>1.9342935949409539E-2</v>
      </c>
      <c r="K4138" s="45">
        <v>0.2462</v>
      </c>
      <c r="N4138" s="54"/>
    </row>
    <row r="4139" spans="2:14" x14ac:dyDescent="0.2">
      <c r="B4139">
        <f t="shared" ref="B4139:B4202" si="172">B4138+1</f>
        <v>4130</v>
      </c>
      <c r="C4139" s="52">
        <f ca="1"/>
        <v>-0.27979235826367266</v>
      </c>
      <c r="D4139" s="52">
        <f ca="1">S0*EXP((μ-0.5*σ*σ)*T+σ*SQRT(T)*$C4139)</f>
        <v>0.59591703585144296</v>
      </c>
      <c r="E4139" s="52">
        <f t="shared" ca="1" si="170"/>
        <v>0</v>
      </c>
      <c r="F4139" s="17">
        <f t="shared" ca="1" si="171"/>
        <v>0</v>
      </c>
      <c r="H4139" s="17">
        <v>4130</v>
      </c>
      <c r="I4139" s="45">
        <v>0.67266768318794312</v>
      </c>
      <c r="J4139" s="45">
        <v>1.9858293402877064E-2</v>
      </c>
      <c r="K4139" s="45">
        <v>0.24759999999999999</v>
      </c>
      <c r="N4139" s="54"/>
    </row>
    <row r="4140" spans="2:14" x14ac:dyDescent="0.2">
      <c r="B4140">
        <f t="shared" si="172"/>
        <v>4131</v>
      </c>
      <c r="C4140" s="52">
        <f ca="1"/>
        <v>-0.9898699744251872</v>
      </c>
      <c r="D4140" s="52">
        <f ca="1">S0*EXP((μ-0.5*σ*σ)*T+σ*SQRT(T)*$C4140)</f>
        <v>0.48970977314501979</v>
      </c>
      <c r="E4140" s="52">
        <f t="shared" ca="1" si="170"/>
        <v>4.4690226854980197E-2</v>
      </c>
      <c r="F4140" s="17">
        <f t="shared" ca="1" si="171"/>
        <v>1</v>
      </c>
      <c r="H4140" s="17">
        <v>4131</v>
      </c>
      <c r="I4140" s="45">
        <v>0.67019891240768925</v>
      </c>
      <c r="J4140" s="45">
        <v>1.8263019069623052E-2</v>
      </c>
      <c r="K4140" s="45">
        <v>0.24060000000000001</v>
      </c>
      <c r="N4140" s="54"/>
    </row>
    <row r="4141" spans="2:14" x14ac:dyDescent="0.2">
      <c r="B4141">
        <f t="shared" si="172"/>
        <v>4132</v>
      </c>
      <c r="C4141" s="52">
        <f ca="1"/>
        <v>0.85237764677862005</v>
      </c>
      <c r="D4141" s="52">
        <f ca="1">S0*EXP((μ-0.5*σ*σ)*T+σ*SQRT(T)*$C4141)</f>
        <v>0.81490378855903656</v>
      </c>
      <c r="E4141" s="52">
        <f t="shared" ca="1" si="170"/>
        <v>0</v>
      </c>
      <c r="F4141" s="17">
        <f t="shared" ca="1" si="171"/>
        <v>0</v>
      </c>
      <c r="H4141" s="17">
        <v>4132</v>
      </c>
      <c r="I4141" s="45">
        <v>0.67141376558843613</v>
      </c>
      <c r="J4141" s="45">
        <v>1.9259019918065647E-2</v>
      </c>
      <c r="K4141" s="45">
        <v>0.25159999999999999</v>
      </c>
      <c r="N4141" s="54"/>
    </row>
    <row r="4142" spans="2:14" x14ac:dyDescent="0.2">
      <c r="B4142">
        <f t="shared" si="172"/>
        <v>4133</v>
      </c>
      <c r="C4142" s="52">
        <f ca="1"/>
        <v>0.59635582064060444</v>
      </c>
      <c r="D4142" s="52">
        <f ca="1">S0*EXP((μ-0.5*σ*σ)*T+σ*SQRT(T)*$C4142)</f>
        <v>0.75922433377177911</v>
      </c>
      <c r="E4142" s="52">
        <f t="shared" ca="1" si="170"/>
        <v>0</v>
      </c>
      <c r="F4142" s="17">
        <f t="shared" ca="1" si="171"/>
        <v>0</v>
      </c>
      <c r="H4142" s="17">
        <v>4133</v>
      </c>
      <c r="I4142" s="45">
        <v>0.66988182490556869</v>
      </c>
      <c r="J4142" s="45">
        <v>1.8190479449427539E-2</v>
      </c>
      <c r="K4142" s="45">
        <v>0.2422</v>
      </c>
      <c r="N4142" s="54"/>
    </row>
    <row r="4143" spans="2:14" x14ac:dyDescent="0.2">
      <c r="B4143">
        <f t="shared" si="172"/>
        <v>4134</v>
      </c>
      <c r="C4143" s="52">
        <f ca="1"/>
        <v>0.29352119290428769</v>
      </c>
      <c r="D4143" s="52">
        <f ca="1">S0*EXP((μ-0.5*σ*σ)*T+σ*SQRT(T)*$C4143)</f>
        <v>0.69825471784467308</v>
      </c>
      <c r="E4143" s="52">
        <f t="shared" ca="1" si="170"/>
        <v>0</v>
      </c>
      <c r="F4143" s="17">
        <f t="shared" ca="1" si="171"/>
        <v>0</v>
      </c>
      <c r="H4143" s="17">
        <v>4134</v>
      </c>
      <c r="I4143" s="45">
        <v>0.67192602953523584</v>
      </c>
      <c r="J4143" s="45">
        <v>1.9912287823149605E-2</v>
      </c>
      <c r="K4143" s="45">
        <v>0.25640000000000002</v>
      </c>
      <c r="N4143" s="54"/>
    </row>
    <row r="4144" spans="2:14" x14ac:dyDescent="0.2">
      <c r="B4144">
        <f t="shared" si="172"/>
        <v>4135</v>
      </c>
      <c r="C4144" s="52">
        <f ca="1"/>
        <v>-0.71790288800978164</v>
      </c>
      <c r="D4144" s="52">
        <f ca="1">S0*EXP((μ-0.5*σ*σ)*T+σ*SQRT(T)*$C4144)</f>
        <v>0.52794571244105215</v>
      </c>
      <c r="E4144" s="52">
        <f t="shared" ca="1" si="170"/>
        <v>6.4542875589478355E-3</v>
      </c>
      <c r="F4144" s="17">
        <f t="shared" ca="1" si="171"/>
        <v>1</v>
      </c>
      <c r="H4144" s="17">
        <v>4135</v>
      </c>
      <c r="I4144" s="45">
        <v>0.67102080873471137</v>
      </c>
      <c r="J4144" s="45">
        <v>1.9072381268286524E-2</v>
      </c>
      <c r="K4144" s="45">
        <v>0.24340000000000001</v>
      </c>
      <c r="N4144" s="54"/>
    </row>
    <row r="4145" spans="2:14" x14ac:dyDescent="0.2">
      <c r="B4145">
        <f t="shared" si="172"/>
        <v>4136</v>
      </c>
      <c r="C4145" s="52">
        <f ca="1"/>
        <v>-0.88581757157393837</v>
      </c>
      <c r="D4145" s="52">
        <f ca="1">S0*EXP((μ-0.5*σ*σ)*T+σ*SQRT(T)*$C4145)</f>
        <v>0.50400005798754188</v>
      </c>
      <c r="E4145" s="52">
        <f t="shared" ca="1" si="170"/>
        <v>3.0399942012458103E-2</v>
      </c>
      <c r="F4145" s="17">
        <f t="shared" ca="1" si="171"/>
        <v>1</v>
      </c>
      <c r="H4145" s="17">
        <v>4136</v>
      </c>
      <c r="I4145" s="45">
        <v>0.67085385054319013</v>
      </c>
      <c r="J4145" s="45">
        <v>1.8722707805144019E-2</v>
      </c>
      <c r="K4145" s="45">
        <v>0.23719999999999999</v>
      </c>
      <c r="N4145" s="54"/>
    </row>
    <row r="4146" spans="2:14" x14ac:dyDescent="0.2">
      <c r="B4146">
        <f t="shared" si="172"/>
        <v>4137</v>
      </c>
      <c r="C4146" s="52">
        <f ca="1"/>
        <v>-0.78459961964356673</v>
      </c>
      <c r="D4146" s="52">
        <f ca="1">S0*EXP((μ-0.5*σ*σ)*T+σ*SQRT(T)*$C4146)</f>
        <v>0.51830108363346195</v>
      </c>
      <c r="E4146" s="52">
        <f t="shared" ca="1" si="170"/>
        <v>1.6098916366538041E-2</v>
      </c>
      <c r="F4146" s="17">
        <f t="shared" ca="1" si="171"/>
        <v>1</v>
      </c>
      <c r="H4146" s="17">
        <v>4137</v>
      </c>
      <c r="I4146" s="45">
        <v>0.66985989682764735</v>
      </c>
      <c r="J4146" s="45">
        <v>1.82665523332943E-2</v>
      </c>
      <c r="K4146" s="45">
        <v>0.24060000000000001</v>
      </c>
      <c r="N4146" s="54"/>
    </row>
    <row r="4147" spans="2:14" x14ac:dyDescent="0.2">
      <c r="B4147">
        <f t="shared" si="172"/>
        <v>4138</v>
      </c>
      <c r="C4147" s="52">
        <f ca="1"/>
        <v>-0.35150991763188755</v>
      </c>
      <c r="D4147" s="52">
        <f ca="1">S0*EXP((μ-0.5*σ*σ)*T+σ*SQRT(T)*$C4147)</f>
        <v>0.58421927930844819</v>
      </c>
      <c r="E4147" s="52">
        <f t="shared" ca="1" si="170"/>
        <v>0</v>
      </c>
      <c r="F4147" s="17">
        <f t="shared" ca="1" si="171"/>
        <v>0</v>
      </c>
      <c r="H4147" s="17">
        <v>4138</v>
      </c>
      <c r="I4147" s="45">
        <v>0.67177391813684584</v>
      </c>
      <c r="J4147" s="45">
        <v>1.9441329610635646E-2</v>
      </c>
      <c r="K4147" s="45">
        <v>0.24540000000000001</v>
      </c>
      <c r="N4147" s="54"/>
    </row>
    <row r="4148" spans="2:14" x14ac:dyDescent="0.2">
      <c r="B4148">
        <f t="shared" si="172"/>
        <v>4139</v>
      </c>
      <c r="C4148" s="52">
        <f ca="1"/>
        <v>-0.48343044470004681</v>
      </c>
      <c r="D4148" s="52">
        <f ca="1">S0*EXP((μ-0.5*σ*σ)*T+σ*SQRT(T)*$C4148)</f>
        <v>0.56329826611289935</v>
      </c>
      <c r="E4148" s="52">
        <f t="shared" ca="1" si="170"/>
        <v>0</v>
      </c>
      <c r="F4148" s="17">
        <f t="shared" ca="1" si="171"/>
        <v>0</v>
      </c>
      <c r="H4148" s="17">
        <v>4139</v>
      </c>
      <c r="I4148" s="45">
        <v>0.67172204998786145</v>
      </c>
      <c r="J4148" s="45">
        <v>1.9522218768964466E-2</v>
      </c>
      <c r="K4148" s="45">
        <v>0.24340000000000001</v>
      </c>
      <c r="N4148" s="54"/>
    </row>
    <row r="4149" spans="2:14" x14ac:dyDescent="0.2">
      <c r="B4149">
        <f t="shared" si="172"/>
        <v>4140</v>
      </c>
      <c r="C4149" s="52">
        <f ca="1"/>
        <v>1.7622423280354391</v>
      </c>
      <c r="D4149" s="52">
        <f ca="1">S0*EXP((μ-0.5*σ*σ)*T+σ*SQRT(T)*$C4149)</f>
        <v>1.0479448461291512</v>
      </c>
      <c r="E4149" s="52">
        <f t="shared" ca="1" si="170"/>
        <v>0</v>
      </c>
      <c r="F4149" s="17">
        <f t="shared" ca="1" si="171"/>
        <v>0</v>
      </c>
      <c r="H4149" s="17">
        <v>4140</v>
      </c>
      <c r="I4149" s="45">
        <v>0.67035308126585391</v>
      </c>
      <c r="J4149" s="45">
        <v>1.8706735713665167E-2</v>
      </c>
      <c r="K4149" s="45">
        <v>0.24099999999999999</v>
      </c>
      <c r="N4149" s="54"/>
    </row>
    <row r="4150" spans="2:14" x14ac:dyDescent="0.2">
      <c r="B4150">
        <f t="shared" si="172"/>
        <v>4141</v>
      </c>
      <c r="C4150" s="52">
        <f ca="1"/>
        <v>-0.11516479194276501</v>
      </c>
      <c r="D4150" s="52">
        <f ca="1">S0*EXP((μ-0.5*σ*σ)*T+σ*SQRT(T)*$C4150)</f>
        <v>0.62366281868389273</v>
      </c>
      <c r="E4150" s="52">
        <f t="shared" ca="1" si="170"/>
        <v>0</v>
      </c>
      <c r="F4150" s="17">
        <f t="shared" ca="1" si="171"/>
        <v>0</v>
      </c>
      <c r="H4150" s="17">
        <v>4141</v>
      </c>
      <c r="I4150" s="45">
        <v>0.6703077893665218</v>
      </c>
      <c r="J4150" s="45">
        <v>1.8636719759511148E-2</v>
      </c>
      <c r="K4150" s="45">
        <v>0.24099999999999999</v>
      </c>
      <c r="N4150" s="54"/>
    </row>
    <row r="4151" spans="2:14" x14ac:dyDescent="0.2">
      <c r="B4151">
        <f t="shared" si="172"/>
        <v>4142</v>
      </c>
      <c r="C4151" s="52">
        <f ca="1"/>
        <v>-1.1861657022285854</v>
      </c>
      <c r="D4151" s="52">
        <f ca="1">S0*EXP((μ-0.5*σ*σ)*T+σ*SQRT(T)*$C4151)</f>
        <v>0.46384497676093289</v>
      </c>
      <c r="E4151" s="52">
        <f t="shared" ca="1" si="170"/>
        <v>7.0555023239067094E-2</v>
      </c>
      <c r="F4151" s="17">
        <f t="shared" ca="1" si="171"/>
        <v>1</v>
      </c>
      <c r="H4151" s="17">
        <v>4142</v>
      </c>
      <c r="I4151" s="45">
        <v>0.67131570955252085</v>
      </c>
      <c r="J4151" s="45">
        <v>1.9072173113135603E-2</v>
      </c>
      <c r="K4151" s="45">
        <v>0.24959999999999999</v>
      </c>
      <c r="N4151" s="54"/>
    </row>
    <row r="4152" spans="2:14" x14ac:dyDescent="0.2">
      <c r="B4152">
        <f t="shared" si="172"/>
        <v>4143</v>
      </c>
      <c r="C4152" s="52">
        <f ca="1"/>
        <v>-0.69446933949561784</v>
      </c>
      <c r="D4152" s="52">
        <f ca="1">S0*EXP((μ-0.5*σ*σ)*T+σ*SQRT(T)*$C4152)</f>
        <v>0.5313767371203687</v>
      </c>
      <c r="E4152" s="52">
        <f t="shared" ca="1" si="170"/>
        <v>3.0232628796312833E-3</v>
      </c>
      <c r="F4152" s="17">
        <f t="shared" ca="1" si="171"/>
        <v>1</v>
      </c>
      <c r="H4152" s="17">
        <v>4143</v>
      </c>
      <c r="I4152" s="45">
        <v>0.67000925954017088</v>
      </c>
      <c r="J4152" s="45">
        <v>1.833109822556726E-2</v>
      </c>
      <c r="K4152" s="45">
        <v>0.24379999999999999</v>
      </c>
      <c r="N4152" s="54"/>
    </row>
    <row r="4153" spans="2:14" x14ac:dyDescent="0.2">
      <c r="B4153">
        <f t="shared" si="172"/>
        <v>4144</v>
      </c>
      <c r="C4153" s="52">
        <f ca="1"/>
        <v>-1.7203681285902559</v>
      </c>
      <c r="D4153" s="52">
        <f ca="1">S0*EXP((μ-0.5*σ*σ)*T+σ*SQRT(T)*$C4153)</f>
        <v>0.400166005763541</v>
      </c>
      <c r="E4153" s="52">
        <f t="shared" ca="1" si="170"/>
        <v>0.13423399423645899</v>
      </c>
      <c r="F4153" s="17">
        <f t="shared" ca="1" si="171"/>
        <v>1</v>
      </c>
      <c r="H4153" s="17">
        <v>4144</v>
      </c>
      <c r="I4153" s="45">
        <v>0.67073476113901653</v>
      </c>
      <c r="J4153" s="45">
        <v>1.883085242056548E-2</v>
      </c>
      <c r="K4153" s="45">
        <v>0.2432</v>
      </c>
      <c r="N4153" s="54"/>
    </row>
    <row r="4154" spans="2:14" x14ac:dyDescent="0.2">
      <c r="B4154">
        <f t="shared" si="172"/>
        <v>4145</v>
      </c>
      <c r="C4154" s="52">
        <f ca="1"/>
        <v>0.73794003097067706</v>
      </c>
      <c r="D4154" s="52">
        <f ca="1">S0*EXP((μ-0.5*σ*σ)*T+σ*SQRT(T)*$C4154)</f>
        <v>0.78952837830510147</v>
      </c>
      <c r="E4154" s="52">
        <f t="shared" ca="1" si="170"/>
        <v>0</v>
      </c>
      <c r="F4154" s="17">
        <f t="shared" ca="1" si="171"/>
        <v>0</v>
      </c>
      <c r="H4154" s="17">
        <v>4145</v>
      </c>
      <c r="I4154" s="45">
        <v>0.67047301229987122</v>
      </c>
      <c r="J4154" s="45">
        <v>1.8751887800854333E-2</v>
      </c>
      <c r="K4154" s="45">
        <v>0.24660000000000001</v>
      </c>
      <c r="N4154" s="54"/>
    </row>
    <row r="4155" spans="2:14" x14ac:dyDescent="0.2">
      <c r="B4155">
        <f t="shared" si="172"/>
        <v>4146</v>
      </c>
      <c r="C4155" s="52">
        <f ca="1"/>
        <v>0.87056514770835847</v>
      </c>
      <c r="D4155" s="52">
        <f ca="1">S0*EXP((μ-0.5*σ*σ)*T+σ*SQRT(T)*$C4155)</f>
        <v>0.81901112877757054</v>
      </c>
      <c r="E4155" s="52">
        <f t="shared" ca="1" si="170"/>
        <v>0</v>
      </c>
      <c r="F4155" s="17">
        <f t="shared" ca="1" si="171"/>
        <v>0</v>
      </c>
      <c r="H4155" s="17">
        <v>4146</v>
      </c>
      <c r="I4155" s="45">
        <v>0.67115418899105739</v>
      </c>
      <c r="J4155" s="45">
        <v>1.9127600112648101E-2</v>
      </c>
      <c r="K4155" s="45">
        <v>0.24479999999999999</v>
      </c>
      <c r="N4155" s="54"/>
    </row>
    <row r="4156" spans="2:14" x14ac:dyDescent="0.2">
      <c r="B4156">
        <f t="shared" si="172"/>
        <v>4147</v>
      </c>
      <c r="C4156" s="52">
        <f ca="1"/>
        <v>0.38159884734326377</v>
      </c>
      <c r="D4156" s="52">
        <f ca="1">S0*EXP((μ-0.5*σ*σ)*T+σ*SQRT(T)*$C4156)</f>
        <v>0.71546414707287553</v>
      </c>
      <c r="E4156" s="52">
        <f t="shared" ca="1" si="170"/>
        <v>0</v>
      </c>
      <c r="F4156" s="17">
        <f t="shared" ca="1" si="171"/>
        <v>0</v>
      </c>
      <c r="H4156" s="17">
        <v>4147</v>
      </c>
      <c r="I4156" s="45">
        <v>0.67084149381921965</v>
      </c>
      <c r="J4156" s="45">
        <v>1.8827874006265573E-2</v>
      </c>
      <c r="K4156" s="45">
        <v>0.23880000000000001</v>
      </c>
      <c r="N4156" s="54"/>
    </row>
    <row r="4157" spans="2:14" x14ac:dyDescent="0.2">
      <c r="B4157">
        <f t="shared" si="172"/>
        <v>4148</v>
      </c>
      <c r="C4157" s="52">
        <f ca="1"/>
        <v>0.47291085039697206</v>
      </c>
      <c r="D4157" s="52">
        <f ca="1">S0*EXP((μ-0.5*σ*σ)*T+σ*SQRT(T)*$C4157)</f>
        <v>0.73375346635862959</v>
      </c>
      <c r="E4157" s="52">
        <f t="shared" ca="1" si="170"/>
        <v>0</v>
      </c>
      <c r="F4157" s="17">
        <f t="shared" ca="1" si="171"/>
        <v>0</v>
      </c>
      <c r="H4157" s="17">
        <v>4148</v>
      </c>
      <c r="I4157" s="45">
        <v>0.67041039236610067</v>
      </c>
      <c r="J4157" s="45">
        <v>1.8796005476479683E-2</v>
      </c>
      <c r="K4157" s="45">
        <v>0.2452</v>
      </c>
      <c r="N4157" s="54"/>
    </row>
    <row r="4158" spans="2:14" x14ac:dyDescent="0.2">
      <c r="B4158">
        <f t="shared" si="172"/>
        <v>4149</v>
      </c>
      <c r="C4158" s="52">
        <f ca="1"/>
        <v>-2.627174790477043E-2</v>
      </c>
      <c r="D4158" s="52">
        <f ca="1">S0*EXP((μ-0.5*σ*σ)*T+σ*SQRT(T)*$C4158)</f>
        <v>0.63917788454314073</v>
      </c>
      <c r="E4158" s="52">
        <f t="shared" ca="1" si="170"/>
        <v>0</v>
      </c>
      <c r="F4158" s="17">
        <f t="shared" ca="1" si="171"/>
        <v>0</v>
      </c>
      <c r="H4158" s="17">
        <v>4149</v>
      </c>
      <c r="I4158" s="45">
        <v>0.67148292668959875</v>
      </c>
      <c r="J4158" s="45">
        <v>1.932366571245869E-2</v>
      </c>
      <c r="K4158" s="45">
        <v>0.25</v>
      </c>
      <c r="N4158" s="54"/>
    </row>
    <row r="4159" spans="2:14" x14ac:dyDescent="0.2">
      <c r="B4159">
        <f t="shared" si="172"/>
        <v>4150</v>
      </c>
      <c r="C4159" s="52">
        <f ca="1"/>
        <v>0.81091327300838678</v>
      </c>
      <c r="D4159" s="52">
        <f ca="1">S0*EXP((μ-0.5*σ*σ)*T+σ*SQRT(T)*$C4159)</f>
        <v>0.80561660598684059</v>
      </c>
      <c r="E4159" s="52">
        <f t="shared" ca="1" si="170"/>
        <v>0</v>
      </c>
      <c r="F4159" s="17">
        <f t="shared" ca="1" si="171"/>
        <v>0</v>
      </c>
      <c r="H4159" s="17">
        <v>4150</v>
      </c>
      <c r="I4159" s="45">
        <v>0.67193679308381848</v>
      </c>
      <c r="J4159" s="45">
        <v>1.9424007775811287E-2</v>
      </c>
      <c r="K4159" s="45">
        <v>0.24959999999999999</v>
      </c>
      <c r="N4159" s="54"/>
    </row>
    <row r="4160" spans="2:14" x14ac:dyDescent="0.2">
      <c r="B4160">
        <f t="shared" si="172"/>
        <v>4151</v>
      </c>
      <c r="C4160" s="52">
        <f ca="1"/>
        <v>0.81789760251423715</v>
      </c>
      <c r="D4160" s="52">
        <f ca="1">S0*EXP((μ-0.5*σ*σ)*T+σ*SQRT(T)*$C4160)</f>
        <v>0.80717350901915574</v>
      </c>
      <c r="E4160" s="52">
        <f t="shared" ca="1" si="170"/>
        <v>0</v>
      </c>
      <c r="F4160" s="17">
        <f t="shared" ca="1" si="171"/>
        <v>0</v>
      </c>
      <c r="H4160" s="17">
        <v>4151</v>
      </c>
      <c r="I4160" s="45">
        <v>0.67122798970620667</v>
      </c>
      <c r="J4160" s="45">
        <v>1.9090073343360475E-2</v>
      </c>
      <c r="K4160" s="45">
        <v>0.24360000000000001</v>
      </c>
      <c r="N4160" s="54"/>
    </row>
    <row r="4161" spans="2:14" x14ac:dyDescent="0.2">
      <c r="B4161">
        <f t="shared" si="172"/>
        <v>4152</v>
      </c>
      <c r="C4161" s="52">
        <f ca="1"/>
        <v>-0.21049244363689318</v>
      </c>
      <c r="D4161" s="52">
        <f ca="1">S0*EXP((μ-0.5*σ*σ)*T+σ*SQRT(T)*$C4161)</f>
        <v>0.60744291598052991</v>
      </c>
      <c r="E4161" s="52">
        <f t="shared" ca="1" si="170"/>
        <v>0</v>
      </c>
      <c r="F4161" s="17">
        <f t="shared" ca="1" si="171"/>
        <v>0</v>
      </c>
      <c r="H4161" s="17">
        <v>4152</v>
      </c>
      <c r="I4161" s="45">
        <v>0.67257859840635015</v>
      </c>
      <c r="J4161" s="45">
        <v>2.0086338992422573E-2</v>
      </c>
      <c r="K4161" s="45">
        <v>0.25019999999999998</v>
      </c>
      <c r="N4161" s="54"/>
    </row>
    <row r="4162" spans="2:14" x14ac:dyDescent="0.2">
      <c r="B4162">
        <f t="shared" si="172"/>
        <v>4153</v>
      </c>
      <c r="C4162" s="52">
        <f ca="1"/>
        <v>1.0417665950818731</v>
      </c>
      <c r="D4162" s="52">
        <f ca="1">S0*EXP((μ-0.5*σ*σ)*T+σ*SQRT(T)*$C4162)</f>
        <v>0.85870317776302985</v>
      </c>
      <c r="E4162" s="52">
        <f t="shared" ca="1" si="170"/>
        <v>0</v>
      </c>
      <c r="F4162" s="17">
        <f t="shared" ca="1" si="171"/>
        <v>0</v>
      </c>
      <c r="H4162" s="17">
        <v>4153</v>
      </c>
      <c r="I4162" s="45">
        <v>0.67116022946613041</v>
      </c>
      <c r="J4162" s="45">
        <v>1.9006989612837772E-2</v>
      </c>
      <c r="K4162" s="45">
        <v>0.24299999999999999</v>
      </c>
      <c r="N4162" s="54"/>
    </row>
    <row r="4163" spans="2:14" x14ac:dyDescent="0.2">
      <c r="B4163">
        <f t="shared" si="172"/>
        <v>4154</v>
      </c>
      <c r="C4163" s="52">
        <f ca="1"/>
        <v>1.3641230445183194</v>
      </c>
      <c r="D4163" s="52">
        <f ca="1">S0*EXP((μ-0.5*σ*σ)*T+σ*SQRT(T)*$C4163)</f>
        <v>0.93873490376432134</v>
      </c>
      <c r="E4163" s="52">
        <f t="shared" ca="1" si="170"/>
        <v>0</v>
      </c>
      <c r="F4163" s="17">
        <f t="shared" ca="1" si="171"/>
        <v>0</v>
      </c>
      <c r="H4163" s="17">
        <v>4154</v>
      </c>
      <c r="I4163" s="45">
        <v>0.67192228538134469</v>
      </c>
      <c r="J4163" s="45">
        <v>1.9735856768162686E-2</v>
      </c>
      <c r="K4163" s="45">
        <v>0.25740000000000002</v>
      </c>
      <c r="N4163" s="54"/>
    </row>
    <row r="4164" spans="2:14" x14ac:dyDescent="0.2">
      <c r="B4164">
        <f t="shared" si="172"/>
        <v>4155</v>
      </c>
      <c r="C4164" s="52">
        <f ca="1"/>
        <v>-0.78452134108373817</v>
      </c>
      <c r="D4164" s="52">
        <f ca="1">S0*EXP((μ-0.5*σ*σ)*T+σ*SQRT(T)*$C4164)</f>
        <v>0.51831229913668231</v>
      </c>
      <c r="E4164" s="52">
        <f t="shared" ca="1" si="170"/>
        <v>1.6087700863317678E-2</v>
      </c>
      <c r="F4164" s="17">
        <f t="shared" ca="1" si="171"/>
        <v>1</v>
      </c>
      <c r="H4164" s="17">
        <v>4155</v>
      </c>
      <c r="I4164" s="45">
        <v>0.67001056151573379</v>
      </c>
      <c r="J4164" s="45">
        <v>1.8281743885195507E-2</v>
      </c>
      <c r="K4164" s="45">
        <v>0.23980000000000001</v>
      </c>
      <c r="N4164" s="54"/>
    </row>
    <row r="4165" spans="2:14" x14ac:dyDescent="0.2">
      <c r="B4165">
        <f t="shared" si="172"/>
        <v>4156</v>
      </c>
      <c r="C4165" s="52">
        <f ca="1"/>
        <v>-0.46298116456957156</v>
      </c>
      <c r="D4165" s="52">
        <f ca="1">S0*EXP((μ-0.5*σ*σ)*T+σ*SQRT(T)*$C4165)</f>
        <v>0.56649152139119097</v>
      </c>
      <c r="E4165" s="52">
        <f t="shared" ca="1" si="170"/>
        <v>0</v>
      </c>
      <c r="F4165" s="17">
        <f t="shared" ca="1" si="171"/>
        <v>0</v>
      </c>
      <c r="H4165" s="17">
        <v>4156</v>
      </c>
      <c r="I4165" s="45">
        <v>0.67079631185172206</v>
      </c>
      <c r="J4165" s="45">
        <v>1.867588199871845E-2</v>
      </c>
      <c r="K4165" s="45">
        <v>0.24179999999999999</v>
      </c>
      <c r="N4165" s="54"/>
    </row>
    <row r="4166" spans="2:14" x14ac:dyDescent="0.2">
      <c r="B4166">
        <f t="shared" si="172"/>
        <v>4157</v>
      </c>
      <c r="C4166" s="52">
        <f ca="1"/>
        <v>-0.8585541413925255</v>
      </c>
      <c r="D4166" s="52">
        <f ca="1">S0*EXP((μ-0.5*σ*σ)*T+σ*SQRT(T)*$C4166)</f>
        <v>0.50781280300468634</v>
      </c>
      <c r="E4166" s="52">
        <f t="shared" ca="1" si="170"/>
        <v>2.6587196995313644E-2</v>
      </c>
      <c r="F4166" s="17">
        <f t="shared" ca="1" si="171"/>
        <v>1</v>
      </c>
      <c r="H4166" s="17">
        <v>4157</v>
      </c>
      <c r="I4166" s="45">
        <v>0.67079349414938338</v>
      </c>
      <c r="J4166" s="45">
        <v>1.8522725107975809E-2</v>
      </c>
      <c r="K4166" s="45">
        <v>0.24640000000000001</v>
      </c>
      <c r="N4166" s="54"/>
    </row>
    <row r="4167" spans="2:14" x14ac:dyDescent="0.2">
      <c r="B4167">
        <f t="shared" si="172"/>
        <v>4158</v>
      </c>
      <c r="C4167" s="52">
        <f ca="1"/>
        <v>-0.62298246301223004</v>
      </c>
      <c r="D4167" s="52">
        <f ca="1">S0*EXP((μ-0.5*σ*σ)*T+σ*SQRT(T)*$C4167)</f>
        <v>0.54198187108146412</v>
      </c>
      <c r="E4167" s="52">
        <f t="shared" ca="1" si="170"/>
        <v>0</v>
      </c>
      <c r="F4167" s="17">
        <f t="shared" ca="1" si="171"/>
        <v>0</v>
      </c>
      <c r="H4167" s="17">
        <v>4158</v>
      </c>
      <c r="I4167" s="45">
        <v>0.66965308972789295</v>
      </c>
      <c r="J4167" s="45">
        <v>1.8057203565598097E-2</v>
      </c>
      <c r="K4167" s="45">
        <v>0.2422</v>
      </c>
      <c r="N4167" s="54"/>
    </row>
    <row r="4168" spans="2:14" x14ac:dyDescent="0.2">
      <c r="B4168">
        <f t="shared" si="172"/>
        <v>4159</v>
      </c>
      <c r="C4168" s="52">
        <f ca="1"/>
        <v>0.83122575244179608</v>
      </c>
      <c r="D4168" s="52">
        <f ca="1">S0*EXP((μ-0.5*σ*σ)*T+σ*SQRT(T)*$C4168)</f>
        <v>0.81015289095349108</v>
      </c>
      <c r="E4168" s="52">
        <f t="shared" ca="1" si="170"/>
        <v>0</v>
      </c>
      <c r="F4168" s="17">
        <f t="shared" ca="1" si="171"/>
        <v>0</v>
      </c>
      <c r="H4168" s="17">
        <v>4159</v>
      </c>
      <c r="I4168" s="45">
        <v>0.67099211560935912</v>
      </c>
      <c r="J4168" s="45">
        <v>1.8831334884527585E-2</v>
      </c>
      <c r="K4168" s="45">
        <v>0.2472</v>
      </c>
      <c r="N4168" s="54"/>
    </row>
    <row r="4169" spans="2:14" x14ac:dyDescent="0.2">
      <c r="B4169">
        <f t="shared" si="172"/>
        <v>4160</v>
      </c>
      <c r="C4169" s="52">
        <f ca="1"/>
        <v>0.29195440294884428</v>
      </c>
      <c r="D4169" s="52">
        <f ca="1">S0*EXP((μ-0.5*σ*σ)*T+σ*SQRT(T)*$C4169)</f>
        <v>0.69795236104931335</v>
      </c>
      <c r="E4169" s="52">
        <f t="shared" ca="1" si="170"/>
        <v>0</v>
      </c>
      <c r="F4169" s="17">
        <f t="shared" ca="1" si="171"/>
        <v>0</v>
      </c>
      <c r="H4169" s="17">
        <v>4160</v>
      </c>
      <c r="I4169" s="45">
        <v>0.67197032059591855</v>
      </c>
      <c r="J4169" s="45">
        <v>1.9608339851320936E-2</v>
      </c>
      <c r="K4169" s="45">
        <v>0.24859999999999999</v>
      </c>
      <c r="N4169" s="54"/>
    </row>
    <row r="4170" spans="2:14" x14ac:dyDescent="0.2">
      <c r="B4170">
        <f t="shared" si="172"/>
        <v>4161</v>
      </c>
      <c r="C4170" s="52">
        <f ca="1"/>
        <v>0.15544927693783106</v>
      </c>
      <c r="D4170" s="52">
        <f ca="1">S0*EXP((μ-0.5*σ*σ)*T+σ*SQRT(T)*$C4170)</f>
        <v>0.67210622084565952</v>
      </c>
      <c r="E4170" s="52">
        <f t="shared" ref="E4170:E4233" ca="1" si="173">MAX(0,CP*(D4170-K))</f>
        <v>0</v>
      </c>
      <c r="F4170" s="17">
        <f t="shared" ref="F4170:F4233" ca="1" si="174">(CP*(D4170-K)&gt;0)*1</f>
        <v>0</v>
      </c>
      <c r="H4170" s="17">
        <v>4161</v>
      </c>
      <c r="I4170" s="45">
        <v>0.67169529491516811</v>
      </c>
      <c r="J4170" s="45">
        <v>1.9428226760460618E-2</v>
      </c>
      <c r="K4170" s="45">
        <v>0.24679999999999999</v>
      </c>
      <c r="N4170" s="54"/>
    </row>
    <row r="4171" spans="2:14" x14ac:dyDescent="0.2">
      <c r="B4171">
        <f t="shared" si="172"/>
        <v>4162</v>
      </c>
      <c r="C4171" s="52">
        <f ca="1"/>
        <v>0.16219495068861065</v>
      </c>
      <c r="D4171" s="52">
        <f ca="1">S0*EXP((μ-0.5*σ*σ)*T+σ*SQRT(T)*$C4171)</f>
        <v>0.67336068239012736</v>
      </c>
      <c r="E4171" s="52">
        <f t="shared" ca="1" si="173"/>
        <v>0</v>
      </c>
      <c r="F4171" s="17">
        <f t="shared" ca="1" si="174"/>
        <v>0</v>
      </c>
      <c r="H4171" s="17">
        <v>4162</v>
      </c>
      <c r="I4171" s="45">
        <v>0.67104647639354265</v>
      </c>
      <c r="J4171" s="45">
        <v>1.9038483382610827E-2</v>
      </c>
      <c r="K4171" s="45">
        <v>0.24560000000000001</v>
      </c>
      <c r="N4171" s="54"/>
    </row>
    <row r="4172" spans="2:14" x14ac:dyDescent="0.2">
      <c r="B4172">
        <f t="shared" si="172"/>
        <v>4163</v>
      </c>
      <c r="C4172" s="52">
        <f ca="1"/>
        <v>-1.5029446015195957</v>
      </c>
      <c r="D4172" s="52">
        <f ca="1">S0*EXP((μ-0.5*σ*σ)*T+σ*SQRT(T)*$C4172)</f>
        <v>0.42495462877251455</v>
      </c>
      <c r="E4172" s="52">
        <f t="shared" ca="1" si="173"/>
        <v>0.10944537122748543</v>
      </c>
      <c r="F4172" s="17">
        <f t="shared" ca="1" si="174"/>
        <v>1</v>
      </c>
      <c r="H4172" s="17">
        <v>4163</v>
      </c>
      <c r="I4172" s="45">
        <v>0.66976960637852867</v>
      </c>
      <c r="J4172" s="45">
        <v>1.8243064940962117E-2</v>
      </c>
      <c r="K4172" s="45">
        <v>0.2422</v>
      </c>
      <c r="N4172" s="54"/>
    </row>
    <row r="4173" spans="2:14" x14ac:dyDescent="0.2">
      <c r="B4173">
        <f t="shared" si="172"/>
        <v>4164</v>
      </c>
      <c r="C4173" s="52">
        <f ca="1"/>
        <v>0.50967772893338137</v>
      </c>
      <c r="D4173" s="52">
        <f ca="1">S0*EXP((μ-0.5*σ*σ)*T+σ*SQRT(T)*$C4173)</f>
        <v>0.7412490405390646</v>
      </c>
      <c r="E4173" s="52">
        <f t="shared" ca="1" si="173"/>
        <v>0</v>
      </c>
      <c r="F4173" s="17">
        <f t="shared" ca="1" si="174"/>
        <v>0</v>
      </c>
      <c r="H4173" s="17">
        <v>4164</v>
      </c>
      <c r="I4173" s="45">
        <v>0.6708761317620674</v>
      </c>
      <c r="J4173" s="45">
        <v>1.8691104989590469E-2</v>
      </c>
      <c r="K4173" s="45">
        <v>0.24959999999999999</v>
      </c>
      <c r="N4173" s="54"/>
    </row>
    <row r="4174" spans="2:14" x14ac:dyDescent="0.2">
      <c r="B4174">
        <f t="shared" si="172"/>
        <v>4165</v>
      </c>
      <c r="C4174" s="52">
        <f ca="1"/>
        <v>1.6985621676396931</v>
      </c>
      <c r="D4174" s="52">
        <f ca="1">S0*EXP((μ-0.5*σ*σ)*T+σ*SQRT(T)*$C4174)</f>
        <v>1.0296590108553938</v>
      </c>
      <c r="E4174" s="52">
        <f t="shared" ca="1" si="173"/>
        <v>0</v>
      </c>
      <c r="F4174" s="17">
        <f t="shared" ca="1" si="174"/>
        <v>0</v>
      </c>
      <c r="H4174" s="17">
        <v>4165</v>
      </c>
      <c r="I4174" s="45">
        <v>0.67097745886434912</v>
      </c>
      <c r="J4174" s="45">
        <v>1.9118900299587609E-2</v>
      </c>
      <c r="K4174" s="45">
        <v>0.2492</v>
      </c>
      <c r="N4174" s="54"/>
    </row>
    <row r="4175" spans="2:14" x14ac:dyDescent="0.2">
      <c r="B4175">
        <f t="shared" si="172"/>
        <v>4166</v>
      </c>
      <c r="C4175" s="52">
        <f ca="1"/>
        <v>-0.50130195898128538</v>
      </c>
      <c r="D4175" s="52">
        <f ca="1">S0*EXP((μ-0.5*σ*σ)*T+σ*SQRT(T)*$C4175)</f>
        <v>0.56052228462910825</v>
      </c>
      <c r="E4175" s="52">
        <f t="shared" ca="1" si="173"/>
        <v>0</v>
      </c>
      <c r="F4175" s="17">
        <f t="shared" ca="1" si="174"/>
        <v>0</v>
      </c>
      <c r="H4175" s="17">
        <v>4166</v>
      </c>
      <c r="I4175" s="45">
        <v>0.67079038896199383</v>
      </c>
      <c r="J4175" s="45">
        <v>1.8969834509057107E-2</v>
      </c>
      <c r="K4175" s="45">
        <v>0.246</v>
      </c>
      <c r="N4175" s="54"/>
    </row>
    <row r="4176" spans="2:14" x14ac:dyDescent="0.2">
      <c r="B4176">
        <f t="shared" si="172"/>
        <v>4167</v>
      </c>
      <c r="C4176" s="52">
        <f ca="1"/>
        <v>-0.76615601893702046</v>
      </c>
      <c r="D4176" s="52">
        <f ca="1">S0*EXP((μ-0.5*σ*σ)*T+σ*SQRT(T)*$C4176)</f>
        <v>0.52095034329212109</v>
      </c>
      <c r="E4176" s="52">
        <f t="shared" ca="1" si="173"/>
        <v>1.3449656707878899E-2</v>
      </c>
      <c r="F4176" s="17">
        <f t="shared" ca="1" si="174"/>
        <v>1</v>
      </c>
      <c r="H4176" s="17">
        <v>4167</v>
      </c>
      <c r="I4176" s="45">
        <v>0.67071567161677803</v>
      </c>
      <c r="J4176" s="45">
        <v>1.8821212060278213E-2</v>
      </c>
      <c r="K4176" s="45">
        <v>0.24679999999999999</v>
      </c>
      <c r="N4176" s="54"/>
    </row>
    <row r="4177" spans="2:14" x14ac:dyDescent="0.2">
      <c r="B4177">
        <f t="shared" si="172"/>
        <v>4168</v>
      </c>
      <c r="C4177" s="52">
        <f ca="1"/>
        <v>0.74396177101704486</v>
      </c>
      <c r="D4177" s="52">
        <f ca="1">S0*EXP((μ-0.5*σ*σ)*T+σ*SQRT(T)*$C4177)</f>
        <v>0.79084372544380332</v>
      </c>
      <c r="E4177" s="52">
        <f t="shared" ca="1" si="173"/>
        <v>0</v>
      </c>
      <c r="F4177" s="17">
        <f t="shared" ca="1" si="174"/>
        <v>0</v>
      </c>
      <c r="H4177" s="17">
        <v>4168</v>
      </c>
      <c r="I4177" s="45">
        <v>0.67206821835734631</v>
      </c>
      <c r="J4177" s="45">
        <v>1.9845405619044125E-2</v>
      </c>
      <c r="K4177" s="45">
        <v>0.25800000000000001</v>
      </c>
      <c r="N4177" s="54"/>
    </row>
    <row r="4178" spans="2:14" x14ac:dyDescent="0.2">
      <c r="B4178">
        <f t="shared" si="172"/>
        <v>4169</v>
      </c>
      <c r="C4178" s="52">
        <f ca="1"/>
        <v>-1.5471944598635821</v>
      </c>
      <c r="D4178" s="52">
        <f ca="1">S0*EXP((μ-0.5*σ*σ)*T+σ*SQRT(T)*$C4178)</f>
        <v>0.4197882039820538</v>
      </c>
      <c r="E4178" s="52">
        <f t="shared" ca="1" si="173"/>
        <v>0.11461179601794619</v>
      </c>
      <c r="F4178" s="17">
        <f t="shared" ca="1" si="174"/>
        <v>1</v>
      </c>
      <c r="H4178" s="17">
        <v>4169</v>
      </c>
      <c r="I4178" s="45">
        <v>0.67165264933207547</v>
      </c>
      <c r="J4178" s="45">
        <v>1.9630957702218087E-2</v>
      </c>
      <c r="K4178" s="45">
        <v>0.25019999999999998</v>
      </c>
      <c r="N4178" s="54"/>
    </row>
    <row r="4179" spans="2:14" x14ac:dyDescent="0.2">
      <c r="B4179">
        <f t="shared" si="172"/>
        <v>4170</v>
      </c>
      <c r="C4179" s="52">
        <f ca="1"/>
        <v>0.53722922007994889</v>
      </c>
      <c r="D4179" s="52">
        <f ca="1">S0*EXP((μ-0.5*σ*σ)*T+σ*SQRT(T)*$C4179)</f>
        <v>0.74691604097033981</v>
      </c>
      <c r="E4179" s="52">
        <f t="shared" ca="1" si="173"/>
        <v>0</v>
      </c>
      <c r="F4179" s="17">
        <f t="shared" ca="1" si="174"/>
        <v>0</v>
      </c>
      <c r="H4179" s="17">
        <v>4170</v>
      </c>
      <c r="I4179" s="45">
        <v>0.66990268413255827</v>
      </c>
      <c r="J4179" s="45">
        <v>1.819031731906641E-2</v>
      </c>
      <c r="K4179" s="45">
        <v>0.2402</v>
      </c>
      <c r="N4179" s="54"/>
    </row>
    <row r="4180" spans="2:14" x14ac:dyDescent="0.2">
      <c r="B4180">
        <f t="shared" si="172"/>
        <v>4171</v>
      </c>
      <c r="C4180" s="52">
        <f ca="1"/>
        <v>1.0638164388978233</v>
      </c>
      <c r="D4180" s="52">
        <f ca="1">S0*EXP((μ-0.5*σ*σ)*T+σ*SQRT(T)*$C4180)</f>
        <v>0.86395320985420931</v>
      </c>
      <c r="E4180" s="52">
        <f t="shared" ca="1" si="173"/>
        <v>0</v>
      </c>
      <c r="F4180" s="17">
        <f t="shared" ca="1" si="174"/>
        <v>0</v>
      </c>
      <c r="H4180" s="17">
        <v>4171</v>
      </c>
      <c r="I4180" s="45">
        <v>0.6705055530706221</v>
      </c>
      <c r="J4180" s="45">
        <v>1.8555718893792813E-2</v>
      </c>
      <c r="K4180" s="45">
        <v>0.2432</v>
      </c>
      <c r="N4180" s="54"/>
    </row>
    <row r="4181" spans="2:14" x14ac:dyDescent="0.2">
      <c r="B4181">
        <f t="shared" si="172"/>
        <v>4172</v>
      </c>
      <c r="C4181" s="52">
        <f ca="1"/>
        <v>0.19613368989276483</v>
      </c>
      <c r="D4181" s="52">
        <f ca="1">S0*EXP((μ-0.5*σ*σ)*T+σ*SQRT(T)*$C4181)</f>
        <v>0.67970772478485364</v>
      </c>
      <c r="E4181" s="52">
        <f t="shared" ca="1" si="173"/>
        <v>0</v>
      </c>
      <c r="F4181" s="17">
        <f t="shared" ca="1" si="174"/>
        <v>0</v>
      </c>
      <c r="H4181" s="17">
        <v>4172</v>
      </c>
      <c r="I4181" s="45">
        <v>0.67080831358950699</v>
      </c>
      <c r="J4181" s="45">
        <v>1.8762427433198458E-2</v>
      </c>
      <c r="K4181" s="45">
        <v>0.2392</v>
      </c>
      <c r="N4181" s="54"/>
    </row>
    <row r="4182" spans="2:14" x14ac:dyDescent="0.2">
      <c r="B4182">
        <f t="shared" si="172"/>
        <v>4173</v>
      </c>
      <c r="C4182" s="52">
        <f ca="1"/>
        <v>-0.12531204269748702</v>
      </c>
      <c r="D4182" s="52">
        <f ca="1">S0*EXP((μ-0.5*σ*σ)*T+σ*SQRT(T)*$C4182)</f>
        <v>0.62191587700862805</v>
      </c>
      <c r="E4182" s="52">
        <f t="shared" ca="1" si="173"/>
        <v>0</v>
      </c>
      <c r="F4182" s="17">
        <f t="shared" ca="1" si="174"/>
        <v>0</v>
      </c>
      <c r="H4182" s="17">
        <v>4173</v>
      </c>
      <c r="I4182" s="45">
        <v>0.67079646761249934</v>
      </c>
      <c r="J4182" s="45">
        <v>1.8818485482817657E-2</v>
      </c>
      <c r="K4182" s="45">
        <v>0.24660000000000001</v>
      </c>
      <c r="N4182" s="54"/>
    </row>
    <row r="4183" spans="2:14" x14ac:dyDescent="0.2">
      <c r="B4183">
        <f t="shared" si="172"/>
        <v>4174</v>
      </c>
      <c r="C4183" s="52">
        <f ca="1"/>
        <v>0.95680090837571663</v>
      </c>
      <c r="D4183" s="52">
        <f ca="1">S0*EXP((μ-0.5*σ*σ)*T+σ*SQRT(T)*$C4183)</f>
        <v>0.83876958651557609</v>
      </c>
      <c r="E4183" s="52">
        <f t="shared" ca="1" si="173"/>
        <v>0</v>
      </c>
      <c r="F4183" s="17">
        <f t="shared" ca="1" si="174"/>
        <v>0</v>
      </c>
      <c r="H4183" s="17">
        <v>4174</v>
      </c>
      <c r="I4183" s="45">
        <v>0.67171030712635982</v>
      </c>
      <c r="J4183" s="45">
        <v>1.9488549532833865E-2</v>
      </c>
      <c r="K4183" s="45">
        <v>0.25219999999999998</v>
      </c>
      <c r="N4183" s="54"/>
    </row>
    <row r="4184" spans="2:14" x14ac:dyDescent="0.2">
      <c r="B4184">
        <f t="shared" si="172"/>
        <v>4175</v>
      </c>
      <c r="C4184" s="52">
        <f ca="1"/>
        <v>0.9421721652878029</v>
      </c>
      <c r="D4184" s="52">
        <f ca="1">S0*EXP((μ-0.5*σ*σ)*T+σ*SQRT(T)*$C4184)</f>
        <v>0.83538456843890629</v>
      </c>
      <c r="E4184" s="52">
        <f t="shared" ca="1" si="173"/>
        <v>0</v>
      </c>
      <c r="F4184" s="17">
        <f t="shared" ca="1" si="174"/>
        <v>0</v>
      </c>
      <c r="H4184" s="17">
        <v>4175</v>
      </c>
      <c r="I4184" s="45">
        <v>0.67126471152931066</v>
      </c>
      <c r="J4184" s="45">
        <v>1.9221767141870551E-2</v>
      </c>
      <c r="K4184" s="45">
        <v>0.2472</v>
      </c>
      <c r="N4184" s="54"/>
    </row>
    <row r="4185" spans="2:14" x14ac:dyDescent="0.2">
      <c r="B4185">
        <f t="shared" si="172"/>
        <v>4176</v>
      </c>
      <c r="C4185" s="52">
        <f ca="1"/>
        <v>-0.38082451352371788</v>
      </c>
      <c r="D4185" s="52">
        <f ca="1">S0*EXP((μ-0.5*σ*σ)*T+σ*SQRT(T)*$C4185)</f>
        <v>0.57950418425542072</v>
      </c>
      <c r="E4185" s="52">
        <f t="shared" ca="1" si="173"/>
        <v>0</v>
      </c>
      <c r="F4185" s="17">
        <f t="shared" ca="1" si="174"/>
        <v>0</v>
      </c>
      <c r="H4185" s="17">
        <v>4176</v>
      </c>
      <c r="I4185" s="45">
        <v>0.67100511637612004</v>
      </c>
      <c r="J4185" s="45">
        <v>1.9185316698246281E-2</v>
      </c>
      <c r="K4185" s="45">
        <v>0.25800000000000001</v>
      </c>
      <c r="N4185" s="54"/>
    </row>
    <row r="4186" spans="2:14" x14ac:dyDescent="0.2">
      <c r="B4186">
        <f t="shared" si="172"/>
        <v>4177</v>
      </c>
      <c r="C4186" s="52">
        <f ca="1"/>
        <v>-1.2092954219788452</v>
      </c>
      <c r="D4186" s="52">
        <f ca="1">S0*EXP((μ-0.5*σ*σ)*T+σ*SQRT(T)*$C4186)</f>
        <v>0.46088870270118365</v>
      </c>
      <c r="E4186" s="52">
        <f t="shared" ca="1" si="173"/>
        <v>7.3511297298816336E-2</v>
      </c>
      <c r="F4186" s="17">
        <f t="shared" ca="1" si="174"/>
        <v>1</v>
      </c>
      <c r="H4186" s="17">
        <v>4177</v>
      </c>
      <c r="I4186" s="45">
        <v>0.67197667687682361</v>
      </c>
      <c r="J4186" s="45">
        <v>1.9768985434174852E-2</v>
      </c>
      <c r="K4186" s="45">
        <v>0.25</v>
      </c>
      <c r="N4186" s="54"/>
    </row>
    <row r="4187" spans="2:14" x14ac:dyDescent="0.2">
      <c r="B4187">
        <f t="shared" si="172"/>
        <v>4178</v>
      </c>
      <c r="C4187" s="52">
        <f ca="1"/>
        <v>1.0866108326559143</v>
      </c>
      <c r="D4187" s="52">
        <f ca="1">S0*EXP((μ-0.5*σ*σ)*T+σ*SQRT(T)*$C4187)</f>
        <v>0.86941426268528721</v>
      </c>
      <c r="E4187" s="52">
        <f t="shared" ca="1" si="173"/>
        <v>0</v>
      </c>
      <c r="F4187" s="17">
        <f t="shared" ca="1" si="174"/>
        <v>0</v>
      </c>
      <c r="H4187" s="17">
        <v>4178</v>
      </c>
      <c r="I4187" s="45">
        <v>0.66987166477073601</v>
      </c>
      <c r="J4187" s="45">
        <v>1.8054644806885362E-2</v>
      </c>
      <c r="K4187" s="45">
        <v>0.2412</v>
      </c>
      <c r="N4187" s="54"/>
    </row>
    <row r="4188" spans="2:14" x14ac:dyDescent="0.2">
      <c r="B4188">
        <f t="shared" si="172"/>
        <v>4179</v>
      </c>
      <c r="C4188" s="52">
        <f ca="1"/>
        <v>-2.26640771154681</v>
      </c>
      <c r="D4188" s="52">
        <f ca="1">S0*EXP((μ-0.5*σ*σ)*T+σ*SQRT(T)*$C4188)</f>
        <v>0.34410139997476674</v>
      </c>
      <c r="E4188" s="52">
        <f t="shared" ca="1" si="173"/>
        <v>0.19029860002523324</v>
      </c>
      <c r="F4188" s="17">
        <f t="shared" ca="1" si="174"/>
        <v>1</v>
      </c>
      <c r="H4188" s="17">
        <v>4179</v>
      </c>
      <c r="I4188" s="45">
        <v>0.67187946562834444</v>
      </c>
      <c r="J4188" s="45">
        <v>1.9760918131361362E-2</v>
      </c>
      <c r="K4188" s="45">
        <v>0.25740000000000002</v>
      </c>
      <c r="N4188" s="54"/>
    </row>
    <row r="4189" spans="2:14" x14ac:dyDescent="0.2">
      <c r="B4189">
        <f t="shared" si="172"/>
        <v>4180</v>
      </c>
      <c r="C4189" s="52">
        <f ca="1"/>
        <v>-0.24620499039381907</v>
      </c>
      <c r="D4189" s="52">
        <f ca="1">S0*EXP((μ-0.5*σ*σ)*T+σ*SQRT(T)*$C4189)</f>
        <v>0.60147567635815735</v>
      </c>
      <c r="E4189" s="52">
        <f t="shared" ca="1" si="173"/>
        <v>0</v>
      </c>
      <c r="F4189" s="17">
        <f t="shared" ca="1" si="174"/>
        <v>0</v>
      </c>
      <c r="H4189" s="17">
        <v>4180</v>
      </c>
      <c r="I4189" s="45">
        <v>0.67066828492330399</v>
      </c>
      <c r="J4189" s="45">
        <v>1.887180635996458E-2</v>
      </c>
      <c r="K4189" s="45">
        <v>0.25119999999999998</v>
      </c>
      <c r="N4189" s="54"/>
    </row>
    <row r="4190" spans="2:14" x14ac:dyDescent="0.2">
      <c r="B4190">
        <f t="shared" si="172"/>
        <v>4181</v>
      </c>
      <c r="C4190" s="52">
        <f ca="1"/>
        <v>-1.0984363038607032</v>
      </c>
      <c r="D4190" s="52">
        <f ca="1">S0*EXP((μ-0.5*σ*σ)*T+σ*SQRT(T)*$C4190)</f>
        <v>0.47523130939335584</v>
      </c>
      <c r="E4190" s="52">
        <f t="shared" ca="1" si="173"/>
        <v>5.9168690606644148E-2</v>
      </c>
      <c r="F4190" s="17">
        <f t="shared" ca="1" si="174"/>
        <v>1</v>
      </c>
      <c r="H4190" s="17">
        <v>4181</v>
      </c>
      <c r="I4190" s="45">
        <v>0.67019599810867081</v>
      </c>
      <c r="J4190" s="45">
        <v>1.8375626834376792E-2</v>
      </c>
      <c r="K4190" s="45">
        <v>0.2432</v>
      </c>
      <c r="N4190" s="54"/>
    </row>
    <row r="4191" spans="2:14" x14ac:dyDescent="0.2">
      <c r="B4191">
        <f t="shared" si="172"/>
        <v>4182</v>
      </c>
      <c r="C4191" s="52">
        <f ca="1"/>
        <v>-1.4977371737043943</v>
      </c>
      <c r="D4191" s="52">
        <f ca="1">S0*EXP((μ-0.5*σ*σ)*T+σ*SQRT(T)*$C4191)</f>
        <v>0.42556679246217943</v>
      </c>
      <c r="E4191" s="52">
        <f t="shared" ca="1" si="173"/>
        <v>0.10883320753782055</v>
      </c>
      <c r="F4191" s="17">
        <f t="shared" ca="1" si="174"/>
        <v>1</v>
      </c>
      <c r="H4191" s="17">
        <v>4182</v>
      </c>
      <c r="I4191" s="45">
        <v>0.67012930763128453</v>
      </c>
      <c r="J4191" s="45">
        <v>1.8178222359125383E-2</v>
      </c>
      <c r="K4191" s="45">
        <v>0.23619999999999999</v>
      </c>
      <c r="N4191" s="54"/>
    </row>
    <row r="4192" spans="2:14" x14ac:dyDescent="0.2">
      <c r="B4192">
        <f t="shared" si="172"/>
        <v>4183</v>
      </c>
      <c r="C4192" s="52">
        <f ca="1"/>
        <v>0.14435023975678263</v>
      </c>
      <c r="D4192" s="52">
        <f ca="1">S0*EXP((μ-0.5*σ*σ)*T+σ*SQRT(T)*$C4192)</f>
        <v>0.67004726858723118</v>
      </c>
      <c r="E4192" s="52">
        <f t="shared" ca="1" si="173"/>
        <v>0</v>
      </c>
      <c r="F4192" s="17">
        <f t="shared" ca="1" si="174"/>
        <v>0</v>
      </c>
      <c r="H4192" s="17">
        <v>4183</v>
      </c>
      <c r="I4192" s="45">
        <v>0.67061093807916761</v>
      </c>
      <c r="J4192" s="45">
        <v>1.8481941692172824E-2</v>
      </c>
      <c r="K4192" s="45">
        <v>0.24299999999999999</v>
      </c>
      <c r="N4192" s="54"/>
    </row>
    <row r="4193" spans="2:14" x14ac:dyDescent="0.2">
      <c r="B4193">
        <f t="shared" si="172"/>
        <v>4184</v>
      </c>
      <c r="C4193" s="52">
        <f ca="1"/>
        <v>1.3478533930281427</v>
      </c>
      <c r="D4193" s="52">
        <f ca="1">S0*EXP((μ-0.5*σ*σ)*T+σ*SQRT(T)*$C4193)</f>
        <v>0.93452246022656982</v>
      </c>
      <c r="E4193" s="52">
        <f t="shared" ca="1" si="173"/>
        <v>0</v>
      </c>
      <c r="F4193" s="17">
        <f t="shared" ca="1" si="174"/>
        <v>0</v>
      </c>
      <c r="H4193" s="17">
        <v>4184</v>
      </c>
      <c r="I4193" s="45">
        <v>0.67129612915346781</v>
      </c>
      <c r="J4193" s="45">
        <v>1.9127868501282112E-2</v>
      </c>
      <c r="K4193" s="45">
        <v>0.24260000000000001</v>
      </c>
      <c r="N4193" s="54"/>
    </row>
    <row r="4194" spans="2:14" x14ac:dyDescent="0.2">
      <c r="B4194">
        <f t="shared" si="172"/>
        <v>4185</v>
      </c>
      <c r="C4194" s="52">
        <f ca="1"/>
        <v>9.7989810173459826E-2</v>
      </c>
      <c r="D4194" s="52">
        <f ca="1">S0*EXP((μ-0.5*σ*σ)*T+σ*SQRT(T)*$C4194)</f>
        <v>0.66151504692667162</v>
      </c>
      <c r="E4194" s="52">
        <f t="shared" ca="1" si="173"/>
        <v>0</v>
      </c>
      <c r="F4194" s="17">
        <f t="shared" ca="1" si="174"/>
        <v>0</v>
      </c>
      <c r="H4194" s="17">
        <v>4185</v>
      </c>
      <c r="I4194" s="45">
        <v>0.67142161844040316</v>
      </c>
      <c r="J4194" s="45">
        <v>1.9245237517347656E-2</v>
      </c>
      <c r="K4194" s="45">
        <v>0.24940000000000001</v>
      </c>
      <c r="N4194" s="54"/>
    </row>
    <row r="4195" spans="2:14" x14ac:dyDescent="0.2">
      <c r="B4195">
        <f t="shared" si="172"/>
        <v>4186</v>
      </c>
      <c r="C4195" s="52">
        <f ca="1"/>
        <v>0.68752698769706355</v>
      </c>
      <c r="D4195" s="52">
        <f ca="1">S0*EXP((μ-0.5*σ*σ)*T+σ*SQRT(T)*$C4195)</f>
        <v>0.7786019763136085</v>
      </c>
      <c r="E4195" s="52">
        <f t="shared" ca="1" si="173"/>
        <v>0</v>
      </c>
      <c r="F4195" s="17">
        <f t="shared" ca="1" si="174"/>
        <v>0</v>
      </c>
      <c r="H4195" s="17">
        <v>4186</v>
      </c>
      <c r="I4195" s="45">
        <v>0.67055791009037125</v>
      </c>
      <c r="J4195" s="45">
        <v>1.8639945875771464E-2</v>
      </c>
      <c r="K4195" s="45">
        <v>0.24060000000000001</v>
      </c>
      <c r="N4195" s="54"/>
    </row>
    <row r="4196" spans="2:14" x14ac:dyDescent="0.2">
      <c r="B4196">
        <f t="shared" si="172"/>
        <v>4187</v>
      </c>
      <c r="C4196" s="52">
        <f ca="1"/>
        <v>0.25661537821611674</v>
      </c>
      <c r="D4196" s="52">
        <f ca="1">S0*EXP((μ-0.5*σ*σ)*T+σ*SQRT(T)*$C4196)</f>
        <v>0.69116736015271751</v>
      </c>
      <c r="E4196" s="52">
        <f t="shared" ca="1" si="173"/>
        <v>0</v>
      </c>
      <c r="F4196" s="17">
        <f t="shared" ca="1" si="174"/>
        <v>0</v>
      </c>
      <c r="H4196" s="17">
        <v>4187</v>
      </c>
      <c r="I4196" s="45">
        <v>0.67052577657849233</v>
      </c>
      <c r="J4196" s="45">
        <v>1.8926025791044625E-2</v>
      </c>
      <c r="K4196" s="45">
        <v>0.25340000000000001</v>
      </c>
      <c r="N4196" s="54"/>
    </row>
    <row r="4197" spans="2:14" x14ac:dyDescent="0.2">
      <c r="B4197">
        <f t="shared" si="172"/>
        <v>4188</v>
      </c>
      <c r="C4197" s="52">
        <f ca="1"/>
        <v>0.19005368783810683</v>
      </c>
      <c r="D4197" s="52">
        <f ca="1">S0*EXP((μ-0.5*σ*σ)*T+σ*SQRT(T)*$C4197)</f>
        <v>0.67856629252396228</v>
      </c>
      <c r="E4197" s="52">
        <f t="shared" ca="1" si="173"/>
        <v>0</v>
      </c>
      <c r="F4197" s="17">
        <f t="shared" ca="1" si="174"/>
        <v>0</v>
      </c>
      <c r="H4197" s="17">
        <v>4188</v>
      </c>
      <c r="I4197" s="45">
        <v>0.67149340775650568</v>
      </c>
      <c r="J4197" s="45">
        <v>1.9516178974438168E-2</v>
      </c>
      <c r="K4197" s="45">
        <v>0.25380000000000003</v>
      </c>
      <c r="N4197" s="54"/>
    </row>
    <row r="4198" spans="2:14" x14ac:dyDescent="0.2">
      <c r="B4198">
        <f t="shared" si="172"/>
        <v>4189</v>
      </c>
      <c r="C4198" s="52">
        <f ca="1"/>
        <v>-0.23517341725346158</v>
      </c>
      <c r="D4198" s="52">
        <f ca="1">S0*EXP((μ-0.5*σ*σ)*T+σ*SQRT(T)*$C4198)</f>
        <v>0.60331266721804255</v>
      </c>
      <c r="E4198" s="52">
        <f t="shared" ca="1" si="173"/>
        <v>0</v>
      </c>
      <c r="F4198" s="17">
        <f t="shared" ca="1" si="174"/>
        <v>0</v>
      </c>
      <c r="H4198" s="17">
        <v>4189</v>
      </c>
      <c r="I4198" s="45">
        <v>0.67141898744970185</v>
      </c>
      <c r="J4198" s="45">
        <v>1.9271249122708244E-2</v>
      </c>
      <c r="K4198" s="45">
        <v>0.25140000000000001</v>
      </c>
      <c r="N4198" s="54"/>
    </row>
    <row r="4199" spans="2:14" x14ac:dyDescent="0.2">
      <c r="B4199">
        <f t="shared" si="172"/>
        <v>4190</v>
      </c>
      <c r="C4199" s="52">
        <f ca="1"/>
        <v>-1.2060166679751978</v>
      </c>
      <c r="D4199" s="52">
        <f ca="1">S0*EXP((μ-0.5*σ*σ)*T+σ*SQRT(T)*$C4199)</f>
        <v>0.4613066204787995</v>
      </c>
      <c r="E4199" s="52">
        <f t="shared" ca="1" si="173"/>
        <v>7.3093379521200486E-2</v>
      </c>
      <c r="F4199" s="17">
        <f t="shared" ca="1" si="174"/>
        <v>1</v>
      </c>
      <c r="H4199" s="17">
        <v>4190</v>
      </c>
      <c r="I4199" s="45">
        <v>0.67072553039570826</v>
      </c>
      <c r="J4199" s="45">
        <v>1.8734005843064106E-2</v>
      </c>
      <c r="K4199" s="45">
        <v>0.247</v>
      </c>
      <c r="N4199" s="54"/>
    </row>
    <row r="4200" spans="2:14" x14ac:dyDescent="0.2">
      <c r="B4200">
        <f t="shared" si="172"/>
        <v>4191</v>
      </c>
      <c r="C4200" s="52">
        <f ca="1"/>
        <v>0.23555284064256324</v>
      </c>
      <c r="D4200" s="52">
        <f ca="1">S0*EXP((μ-0.5*σ*σ)*T+σ*SQRT(T)*$C4200)</f>
        <v>0.68715482049856202</v>
      </c>
      <c r="E4200" s="52">
        <f t="shared" ca="1" si="173"/>
        <v>0</v>
      </c>
      <c r="F4200" s="17">
        <f t="shared" ca="1" si="174"/>
        <v>0</v>
      </c>
      <c r="H4200" s="17">
        <v>4191</v>
      </c>
      <c r="I4200" s="45">
        <v>0.67083837156965453</v>
      </c>
      <c r="J4200" s="45">
        <v>1.8870275316546208E-2</v>
      </c>
      <c r="K4200" s="45">
        <v>0.2404</v>
      </c>
      <c r="N4200" s="54"/>
    </row>
    <row r="4201" spans="2:14" x14ac:dyDescent="0.2">
      <c r="B4201">
        <f t="shared" si="172"/>
        <v>4192</v>
      </c>
      <c r="C4201" s="52">
        <f ca="1"/>
        <v>0.44919427570848036</v>
      </c>
      <c r="D4201" s="52">
        <f ca="1">S0*EXP((μ-0.5*σ*σ)*T+σ*SQRT(T)*$C4201)</f>
        <v>0.72895868943309317</v>
      </c>
      <c r="E4201" s="52">
        <f t="shared" ca="1" si="173"/>
        <v>0</v>
      </c>
      <c r="F4201" s="17">
        <f t="shared" ca="1" si="174"/>
        <v>0</v>
      </c>
      <c r="H4201" s="17">
        <v>4192</v>
      </c>
      <c r="I4201" s="45">
        <v>0.67220461955260313</v>
      </c>
      <c r="J4201" s="45">
        <v>1.9769314386988278E-2</v>
      </c>
      <c r="K4201" s="45">
        <v>0.2492</v>
      </c>
      <c r="N4201" s="54"/>
    </row>
    <row r="4202" spans="2:14" x14ac:dyDescent="0.2">
      <c r="B4202">
        <f t="shared" si="172"/>
        <v>4193</v>
      </c>
      <c r="C4202" s="52">
        <f ca="1"/>
        <v>-0.9973414830331484</v>
      </c>
      <c r="D4202" s="52">
        <f ca="1">S0*EXP((μ-0.5*σ*σ)*T+σ*SQRT(T)*$C4202)</f>
        <v>0.48869938606873226</v>
      </c>
      <c r="E4202" s="52">
        <f t="shared" ca="1" si="173"/>
        <v>4.5700613931267731E-2</v>
      </c>
      <c r="F4202" s="17">
        <f t="shared" ca="1" si="174"/>
        <v>1</v>
      </c>
      <c r="H4202" s="17">
        <v>4193</v>
      </c>
      <c r="I4202" s="45">
        <v>0.67193637571608056</v>
      </c>
      <c r="J4202" s="45">
        <v>1.9600335641491957E-2</v>
      </c>
      <c r="K4202" s="45">
        <v>0.25459999999999999</v>
      </c>
      <c r="N4202" s="54"/>
    </row>
    <row r="4203" spans="2:14" x14ac:dyDescent="0.2">
      <c r="B4203">
        <f t="shared" ref="B4203:B4266" si="175">B4202+1</f>
        <v>4194</v>
      </c>
      <c r="C4203" s="52">
        <f ca="1"/>
        <v>0.99462658111042423</v>
      </c>
      <c r="D4203" s="52">
        <f ca="1">S0*EXP((μ-0.5*σ*σ)*T+σ*SQRT(T)*$C4203)</f>
        <v>0.8475859803200505</v>
      </c>
      <c r="E4203" s="52">
        <f t="shared" ca="1" si="173"/>
        <v>0</v>
      </c>
      <c r="F4203" s="17">
        <f t="shared" ca="1" si="174"/>
        <v>0</v>
      </c>
      <c r="H4203" s="17">
        <v>4194</v>
      </c>
      <c r="I4203" s="45">
        <v>0.67123377240293314</v>
      </c>
      <c r="J4203" s="45">
        <v>1.9336132585336452E-2</v>
      </c>
      <c r="K4203" s="45">
        <v>0.25180000000000002</v>
      </c>
      <c r="N4203" s="54"/>
    </row>
    <row r="4204" spans="2:14" x14ac:dyDescent="0.2">
      <c r="B4204">
        <f t="shared" si="175"/>
        <v>4195</v>
      </c>
      <c r="C4204" s="52">
        <f ca="1"/>
        <v>1.4385040221057084</v>
      </c>
      <c r="D4204" s="52">
        <f ca="1">S0*EXP((μ-0.5*σ*σ)*T+σ*SQRT(T)*$C4204)</f>
        <v>0.95823633356726989</v>
      </c>
      <c r="E4204" s="52">
        <f t="shared" ca="1" si="173"/>
        <v>0</v>
      </c>
      <c r="F4204" s="17">
        <f t="shared" ca="1" si="174"/>
        <v>0</v>
      </c>
      <c r="H4204" s="17">
        <v>4195</v>
      </c>
      <c r="I4204" s="45">
        <v>0.67199439013764539</v>
      </c>
      <c r="J4204" s="45">
        <v>1.9873884344065746E-2</v>
      </c>
      <c r="K4204" s="45">
        <v>0.253</v>
      </c>
      <c r="N4204" s="54"/>
    </row>
    <row r="4205" spans="2:14" x14ac:dyDescent="0.2">
      <c r="B4205">
        <f t="shared" si="175"/>
        <v>4196</v>
      </c>
      <c r="C4205" s="52">
        <f ca="1"/>
        <v>-6.5958895577750393E-2</v>
      </c>
      <c r="D4205" s="52">
        <f ca="1">S0*EXP((μ-0.5*σ*σ)*T+σ*SQRT(T)*$C4205)</f>
        <v>0.63220390540050087</v>
      </c>
      <c r="E4205" s="52">
        <f t="shared" ca="1" si="173"/>
        <v>0</v>
      </c>
      <c r="F4205" s="17">
        <f t="shared" ca="1" si="174"/>
        <v>0</v>
      </c>
      <c r="H4205" s="17">
        <v>4196</v>
      </c>
      <c r="I4205" s="45">
        <v>0.67154255331715063</v>
      </c>
      <c r="J4205" s="45">
        <v>1.9131018153850862E-2</v>
      </c>
      <c r="K4205" s="45">
        <v>0.23799999999999999</v>
      </c>
      <c r="N4205" s="54"/>
    </row>
    <row r="4206" spans="2:14" x14ac:dyDescent="0.2">
      <c r="B4206">
        <f t="shared" si="175"/>
        <v>4197</v>
      </c>
      <c r="C4206" s="52">
        <f ca="1"/>
        <v>0.28783150103161609</v>
      </c>
      <c r="D4206" s="52">
        <f ca="1">S0*EXP((μ-0.5*σ*σ)*T+σ*SQRT(T)*$C4206)</f>
        <v>0.69715735497731735</v>
      </c>
      <c r="E4206" s="52">
        <f t="shared" ca="1" si="173"/>
        <v>0</v>
      </c>
      <c r="F4206" s="17">
        <f t="shared" ca="1" si="174"/>
        <v>0</v>
      </c>
      <c r="H4206" s="17">
        <v>4197</v>
      </c>
      <c r="I4206" s="45">
        <v>0.67020808191179537</v>
      </c>
      <c r="J4206" s="45">
        <v>1.8358624310003423E-2</v>
      </c>
      <c r="K4206" s="45">
        <v>0.2414</v>
      </c>
      <c r="N4206" s="54"/>
    </row>
    <row r="4207" spans="2:14" x14ac:dyDescent="0.2">
      <c r="B4207">
        <f t="shared" si="175"/>
        <v>4198</v>
      </c>
      <c r="C4207" s="52">
        <f ca="1"/>
        <v>1.1091668941082</v>
      </c>
      <c r="D4207" s="52">
        <f ca="1">S0*EXP((μ-0.5*σ*σ)*T+σ*SQRT(T)*$C4207)</f>
        <v>0.87485219525097024</v>
      </c>
      <c r="E4207" s="52">
        <f t="shared" ca="1" si="173"/>
        <v>0</v>
      </c>
      <c r="F4207" s="17">
        <f t="shared" ca="1" si="174"/>
        <v>0</v>
      </c>
      <c r="H4207" s="17">
        <v>4198</v>
      </c>
      <c r="I4207" s="45">
        <v>0.67091509557967355</v>
      </c>
      <c r="J4207" s="45">
        <v>1.8968859602931626E-2</v>
      </c>
      <c r="K4207" s="45">
        <v>0.25159999999999999</v>
      </c>
      <c r="N4207" s="54"/>
    </row>
    <row r="4208" spans="2:14" x14ac:dyDescent="0.2">
      <c r="B4208">
        <f t="shared" si="175"/>
        <v>4199</v>
      </c>
      <c r="C4208" s="52">
        <f ca="1"/>
        <v>0.37721392873445869</v>
      </c>
      <c r="D4208" s="52">
        <f ca="1">S0*EXP((μ-0.5*σ*σ)*T+σ*SQRT(T)*$C4208)</f>
        <v>0.71459743399644271</v>
      </c>
      <c r="E4208" s="52">
        <f t="shared" ca="1" si="173"/>
        <v>0</v>
      </c>
      <c r="F4208" s="17">
        <f t="shared" ca="1" si="174"/>
        <v>0</v>
      </c>
      <c r="H4208" s="17">
        <v>4199</v>
      </c>
      <c r="I4208" s="45">
        <v>0.6707010874058098</v>
      </c>
      <c r="J4208" s="45">
        <v>1.8672849630062213E-2</v>
      </c>
      <c r="K4208" s="45">
        <v>0.23980000000000001</v>
      </c>
      <c r="N4208" s="54"/>
    </row>
    <row r="4209" spans="2:14" x14ac:dyDescent="0.2">
      <c r="B4209">
        <f t="shared" si="175"/>
        <v>4200</v>
      </c>
      <c r="C4209" s="52">
        <f ca="1"/>
        <v>1.3117362641782162</v>
      </c>
      <c r="D4209" s="52">
        <f ca="1">S0*EXP((μ-0.5*σ*σ)*T+σ*SQRT(T)*$C4209)</f>
        <v>0.92523865755510892</v>
      </c>
      <c r="E4209" s="52">
        <f t="shared" ca="1" si="173"/>
        <v>0</v>
      </c>
      <c r="F4209" s="17">
        <f t="shared" ca="1" si="174"/>
        <v>0</v>
      </c>
      <c r="H4209" s="17">
        <v>4200</v>
      </c>
      <c r="I4209" s="45">
        <v>0.67090405715817458</v>
      </c>
      <c r="J4209" s="45">
        <v>1.9027435752703818E-2</v>
      </c>
      <c r="K4209" s="45">
        <v>0.24979999999999999</v>
      </c>
      <c r="N4209" s="54"/>
    </row>
    <row r="4210" spans="2:14" x14ac:dyDescent="0.2">
      <c r="B4210">
        <f t="shared" si="175"/>
        <v>4201</v>
      </c>
      <c r="C4210" s="52">
        <f ca="1"/>
        <v>-0.3267381041711423</v>
      </c>
      <c r="D4210" s="52">
        <f ca="1">S0*EXP((μ-0.5*σ*σ)*T+σ*SQRT(T)*$C4210)</f>
        <v>0.58823358667801628</v>
      </c>
      <c r="E4210" s="52">
        <f t="shared" ca="1" si="173"/>
        <v>0</v>
      </c>
      <c r="F4210" s="17">
        <f t="shared" ca="1" si="174"/>
        <v>0</v>
      </c>
      <c r="H4210" s="17">
        <v>4201</v>
      </c>
      <c r="I4210" s="45">
        <v>0.67143953503109366</v>
      </c>
      <c r="J4210" s="45">
        <v>1.9489767627669297E-2</v>
      </c>
      <c r="K4210" s="45">
        <v>0.24959999999999999</v>
      </c>
      <c r="N4210" s="54"/>
    </row>
    <row r="4211" spans="2:14" x14ac:dyDescent="0.2">
      <c r="B4211">
        <f t="shared" si="175"/>
        <v>4202</v>
      </c>
      <c r="C4211" s="52">
        <f ca="1"/>
        <v>-8.0970592741105921E-2</v>
      </c>
      <c r="D4211" s="52">
        <f ca="1">S0*EXP((μ-0.5*σ*σ)*T+σ*SQRT(T)*$C4211)</f>
        <v>0.62958587128240251</v>
      </c>
      <c r="E4211" s="52">
        <f t="shared" ca="1" si="173"/>
        <v>0</v>
      </c>
      <c r="F4211" s="17">
        <f t="shared" ca="1" si="174"/>
        <v>0</v>
      </c>
      <c r="H4211" s="17">
        <v>4202</v>
      </c>
      <c r="I4211" s="45">
        <v>0.6708541766143048</v>
      </c>
      <c r="J4211" s="45">
        <v>1.8955892676697391E-2</v>
      </c>
      <c r="K4211" s="45">
        <v>0.24959999999999999</v>
      </c>
      <c r="N4211" s="54"/>
    </row>
    <row r="4212" spans="2:14" x14ac:dyDescent="0.2">
      <c r="B4212">
        <f t="shared" si="175"/>
        <v>4203</v>
      </c>
      <c r="C4212" s="52">
        <f ca="1"/>
        <v>0.43107521384405195</v>
      </c>
      <c r="D4212" s="52">
        <f ca="1">S0*EXP((μ-0.5*σ*σ)*T+σ*SQRT(T)*$C4212)</f>
        <v>0.72531668411176242</v>
      </c>
      <c r="E4212" s="52">
        <f t="shared" ca="1" si="173"/>
        <v>0</v>
      </c>
      <c r="F4212" s="17">
        <f t="shared" ca="1" si="174"/>
        <v>0</v>
      </c>
      <c r="H4212" s="17">
        <v>4203</v>
      </c>
      <c r="I4212" s="45">
        <v>0.66986786733089532</v>
      </c>
      <c r="J4212" s="45">
        <v>1.8316027133496757E-2</v>
      </c>
      <c r="K4212" s="45">
        <v>0.245</v>
      </c>
      <c r="N4212" s="54"/>
    </row>
    <row r="4213" spans="2:14" x14ac:dyDescent="0.2">
      <c r="B4213">
        <f t="shared" si="175"/>
        <v>4204</v>
      </c>
      <c r="C4213" s="52">
        <f ca="1"/>
        <v>0.76135942920271749</v>
      </c>
      <c r="D4213" s="52">
        <f ca="1">S0*EXP((μ-0.5*σ*σ)*T+σ*SQRT(T)*$C4213)</f>
        <v>0.79465627352280277</v>
      </c>
      <c r="E4213" s="52">
        <f t="shared" ca="1" si="173"/>
        <v>0</v>
      </c>
      <c r="F4213" s="17">
        <f t="shared" ca="1" si="174"/>
        <v>0</v>
      </c>
      <c r="H4213" s="17">
        <v>4204</v>
      </c>
      <c r="I4213" s="45">
        <v>0.6707863655400309</v>
      </c>
      <c r="J4213" s="45">
        <v>1.8803020609822668E-2</v>
      </c>
      <c r="K4213" s="45">
        <v>0.24579999999999999</v>
      </c>
      <c r="N4213" s="54"/>
    </row>
    <row r="4214" spans="2:14" x14ac:dyDescent="0.2">
      <c r="B4214">
        <f t="shared" si="175"/>
        <v>4205</v>
      </c>
      <c r="C4214" s="52">
        <f ca="1"/>
        <v>1.0083116866945951</v>
      </c>
      <c r="D4214" s="52">
        <f ca="1">S0*EXP((μ-0.5*σ*σ)*T+σ*SQRT(T)*$C4214)</f>
        <v>0.85079847759265625</v>
      </c>
      <c r="E4214" s="52">
        <f t="shared" ca="1" si="173"/>
        <v>0</v>
      </c>
      <c r="F4214" s="17">
        <f t="shared" ca="1" si="174"/>
        <v>0</v>
      </c>
      <c r="H4214" s="17">
        <v>4205</v>
      </c>
      <c r="I4214" s="45">
        <v>0.67002526472796287</v>
      </c>
      <c r="J4214" s="45">
        <v>1.8313084403436902E-2</v>
      </c>
      <c r="K4214" s="45">
        <v>0.23860000000000001</v>
      </c>
      <c r="N4214" s="54"/>
    </row>
    <row r="4215" spans="2:14" x14ac:dyDescent="0.2">
      <c r="B4215">
        <f t="shared" si="175"/>
        <v>4206</v>
      </c>
      <c r="C4215" s="52">
        <f ca="1"/>
        <v>-1.2289090785996619</v>
      </c>
      <c r="D4215" s="52">
        <f ca="1">S0*EXP((μ-0.5*σ*σ)*T+σ*SQRT(T)*$C4215)</f>
        <v>0.45839659421455076</v>
      </c>
      <c r="E4215" s="52">
        <f t="shared" ca="1" si="173"/>
        <v>7.600340578544923E-2</v>
      </c>
      <c r="F4215" s="17">
        <f t="shared" ca="1" si="174"/>
        <v>1</v>
      </c>
      <c r="H4215" s="17">
        <v>4206</v>
      </c>
      <c r="I4215" s="45">
        <v>0.67192596787633341</v>
      </c>
      <c r="J4215" s="45">
        <v>1.9777651901193568E-2</v>
      </c>
      <c r="K4215" s="45">
        <v>0.24859999999999999</v>
      </c>
      <c r="N4215" s="54"/>
    </row>
    <row r="4216" spans="2:14" x14ac:dyDescent="0.2">
      <c r="B4216">
        <f t="shared" si="175"/>
        <v>4207</v>
      </c>
      <c r="C4216" s="52">
        <f ca="1"/>
        <v>-1.0787240866885526</v>
      </c>
      <c r="D4216" s="52">
        <f ca="1">S0*EXP((μ-0.5*σ*σ)*T+σ*SQRT(T)*$C4216)</f>
        <v>0.47782795951750789</v>
      </c>
      <c r="E4216" s="52">
        <f t="shared" ca="1" si="173"/>
        <v>5.6572040482492092E-2</v>
      </c>
      <c r="F4216" s="17">
        <f t="shared" ca="1" si="174"/>
        <v>1</v>
      </c>
      <c r="H4216" s="17">
        <v>4207</v>
      </c>
      <c r="I4216" s="45">
        <v>0.67064045353770296</v>
      </c>
      <c r="J4216" s="45">
        <v>1.8789648997796334E-2</v>
      </c>
      <c r="K4216" s="45">
        <v>0.24440000000000001</v>
      </c>
      <c r="N4216" s="54"/>
    </row>
    <row r="4217" spans="2:14" x14ac:dyDescent="0.2">
      <c r="B4217">
        <f t="shared" si="175"/>
        <v>4208</v>
      </c>
      <c r="C4217" s="52">
        <f ca="1"/>
        <v>2.045249050358584E-2</v>
      </c>
      <c r="D4217" s="52">
        <f ca="1">S0*EXP((μ-0.5*σ*σ)*T+σ*SQRT(T)*$C4217)</f>
        <v>0.64748711505401968</v>
      </c>
      <c r="E4217" s="52">
        <f t="shared" ca="1" si="173"/>
        <v>0</v>
      </c>
      <c r="F4217" s="17">
        <f t="shared" ca="1" si="174"/>
        <v>0</v>
      </c>
      <c r="H4217" s="17">
        <v>4208</v>
      </c>
      <c r="I4217" s="45">
        <v>0.67128662262378291</v>
      </c>
      <c r="J4217" s="45">
        <v>1.9128477558021564E-2</v>
      </c>
      <c r="K4217" s="45">
        <v>0.25080000000000002</v>
      </c>
      <c r="N4217" s="54"/>
    </row>
    <row r="4218" spans="2:14" x14ac:dyDescent="0.2">
      <c r="B4218">
        <f t="shared" si="175"/>
        <v>4209</v>
      </c>
      <c r="C4218" s="52">
        <f ca="1"/>
        <v>-0.14416132761578718</v>
      </c>
      <c r="D4218" s="52">
        <f ca="1">S0*EXP((μ-0.5*σ*σ)*T+σ*SQRT(T)*$C4218)</f>
        <v>0.61868377783097017</v>
      </c>
      <c r="E4218" s="52">
        <f t="shared" ca="1" si="173"/>
        <v>0</v>
      </c>
      <c r="F4218" s="17">
        <f t="shared" ca="1" si="174"/>
        <v>0</v>
      </c>
      <c r="H4218" s="17">
        <v>4209</v>
      </c>
      <c r="I4218" s="45">
        <v>0.67069458009646754</v>
      </c>
      <c r="J4218" s="45">
        <v>1.8700757258106469E-2</v>
      </c>
      <c r="K4218" s="45">
        <v>0.24540000000000001</v>
      </c>
      <c r="N4218" s="54"/>
    </row>
    <row r="4219" spans="2:14" x14ac:dyDescent="0.2">
      <c r="B4219">
        <f t="shared" si="175"/>
        <v>4210</v>
      </c>
      <c r="C4219" s="52">
        <f ca="1"/>
        <v>6.5228725660326323E-2</v>
      </c>
      <c r="D4219" s="52">
        <f ca="1">S0*EXP((μ-0.5*σ*σ)*T+σ*SQRT(T)*$C4219)</f>
        <v>0.65555126069399972</v>
      </c>
      <c r="E4219" s="52">
        <f t="shared" ca="1" si="173"/>
        <v>0</v>
      </c>
      <c r="F4219" s="17">
        <f t="shared" ca="1" si="174"/>
        <v>0</v>
      </c>
      <c r="H4219" s="17">
        <v>4210</v>
      </c>
      <c r="I4219" s="45">
        <v>0.6704365706675115</v>
      </c>
      <c r="J4219" s="45">
        <v>1.8875853162696261E-2</v>
      </c>
      <c r="K4219" s="45">
        <v>0.25</v>
      </c>
      <c r="N4219" s="54"/>
    </row>
    <row r="4220" spans="2:14" x14ac:dyDescent="0.2">
      <c r="B4220">
        <f t="shared" si="175"/>
        <v>4211</v>
      </c>
      <c r="C4220" s="52">
        <f ca="1"/>
        <v>-0.69435966719241926</v>
      </c>
      <c r="D4220" s="52">
        <f ca="1">S0*EXP((μ-0.5*σ*σ)*T+σ*SQRT(T)*$C4220)</f>
        <v>0.53139284710799817</v>
      </c>
      <c r="E4220" s="52">
        <f t="shared" ca="1" si="173"/>
        <v>3.0071528920018187E-3</v>
      </c>
      <c r="F4220" s="17">
        <f t="shared" ca="1" si="174"/>
        <v>1</v>
      </c>
      <c r="H4220" s="17">
        <v>4211</v>
      </c>
      <c r="I4220" s="45">
        <v>0.67109323936518617</v>
      </c>
      <c r="J4220" s="45">
        <v>1.8940129363210035E-2</v>
      </c>
      <c r="K4220" s="45">
        <v>0.25159999999999999</v>
      </c>
      <c r="N4220" s="54"/>
    </row>
    <row r="4221" spans="2:14" x14ac:dyDescent="0.2">
      <c r="B4221">
        <f t="shared" si="175"/>
        <v>4212</v>
      </c>
      <c r="C4221" s="52">
        <f ca="1"/>
        <v>-0.23615460197540847</v>
      </c>
      <c r="D4221" s="52">
        <f ca="1">S0*EXP((μ-0.5*σ*σ)*T+σ*SQRT(T)*$C4221)</f>
        <v>0.60314905209354774</v>
      </c>
      <c r="E4221" s="52">
        <f t="shared" ca="1" si="173"/>
        <v>0</v>
      </c>
      <c r="F4221" s="17">
        <f t="shared" ca="1" si="174"/>
        <v>0</v>
      </c>
      <c r="H4221" s="17">
        <v>4212</v>
      </c>
      <c r="I4221" s="45">
        <v>0.67076786894848917</v>
      </c>
      <c r="J4221" s="45">
        <v>1.8945910051511711E-2</v>
      </c>
      <c r="K4221" s="45">
        <v>0.24560000000000001</v>
      </c>
      <c r="N4221" s="54"/>
    </row>
    <row r="4222" spans="2:14" x14ac:dyDescent="0.2">
      <c r="B4222">
        <f t="shared" si="175"/>
        <v>4213</v>
      </c>
      <c r="C4222" s="52">
        <f ca="1"/>
        <v>-0.6015841574450389</v>
      </c>
      <c r="D4222" s="52">
        <f ca="1">S0*EXP((μ-0.5*σ*σ)*T+σ*SQRT(T)*$C4222)</f>
        <v>0.54519729595134558</v>
      </c>
      <c r="E4222" s="52">
        <f t="shared" ca="1" si="173"/>
        <v>0</v>
      </c>
      <c r="F4222" s="17">
        <f t="shared" ca="1" si="174"/>
        <v>0</v>
      </c>
      <c r="H4222" s="17">
        <v>4213</v>
      </c>
      <c r="I4222" s="45">
        <v>0.67103296156978809</v>
      </c>
      <c r="J4222" s="45">
        <v>1.9135942831233693E-2</v>
      </c>
      <c r="K4222" s="45">
        <v>0.25019999999999998</v>
      </c>
      <c r="N4222" s="54"/>
    </row>
    <row r="4223" spans="2:14" x14ac:dyDescent="0.2">
      <c r="B4223">
        <f t="shared" si="175"/>
        <v>4214</v>
      </c>
      <c r="C4223" s="52">
        <f ca="1"/>
        <v>2.0460219401487514</v>
      </c>
      <c r="D4223" s="52">
        <f ca="1">S0*EXP((μ-0.5*σ*σ)*T+σ*SQRT(T)*$C4223)</f>
        <v>1.1334622291500249</v>
      </c>
      <c r="E4223" s="52">
        <f t="shared" ca="1" si="173"/>
        <v>0</v>
      </c>
      <c r="F4223" s="17">
        <f t="shared" ca="1" si="174"/>
        <v>0</v>
      </c>
      <c r="H4223" s="17">
        <v>4214</v>
      </c>
      <c r="I4223" s="45">
        <v>0.67089212235919515</v>
      </c>
      <c r="J4223" s="45">
        <v>1.9100152709115064E-2</v>
      </c>
      <c r="K4223" s="45">
        <v>0.24879999999999999</v>
      </c>
      <c r="N4223" s="54"/>
    </row>
    <row r="4224" spans="2:14" x14ac:dyDescent="0.2">
      <c r="B4224">
        <f t="shared" si="175"/>
        <v>4215</v>
      </c>
      <c r="C4224" s="52">
        <f ca="1"/>
        <v>1.0964136272007128</v>
      </c>
      <c r="D4224" s="52">
        <f ca="1">S0*EXP((μ-0.5*σ*σ)*T+σ*SQRT(T)*$C4224)</f>
        <v>0.87177340610423282</v>
      </c>
      <c r="E4224" s="52">
        <f t="shared" ca="1" si="173"/>
        <v>0</v>
      </c>
      <c r="F4224" s="17">
        <f t="shared" ca="1" si="174"/>
        <v>0</v>
      </c>
      <c r="H4224" s="17">
        <v>4215</v>
      </c>
      <c r="I4224" s="45">
        <v>0.67090423147644718</v>
      </c>
      <c r="J4224" s="45">
        <v>1.8900654175152007E-2</v>
      </c>
      <c r="K4224" s="45">
        <v>0.25080000000000002</v>
      </c>
      <c r="N4224" s="54"/>
    </row>
    <row r="4225" spans="2:14" x14ac:dyDescent="0.2">
      <c r="B4225">
        <f t="shared" si="175"/>
        <v>4216</v>
      </c>
      <c r="C4225" s="52">
        <f ca="1"/>
        <v>2.2425421258101768</v>
      </c>
      <c r="D4225" s="52">
        <f ca="1">S0*EXP((μ-0.5*σ*σ)*T+σ*SQRT(T)*$C4225)</f>
        <v>1.1967402914979766</v>
      </c>
      <c r="E4225" s="52">
        <f t="shared" ca="1" si="173"/>
        <v>0</v>
      </c>
      <c r="F4225" s="17">
        <f t="shared" ca="1" si="174"/>
        <v>0</v>
      </c>
      <c r="H4225" s="17">
        <v>4216</v>
      </c>
      <c r="I4225" s="45">
        <v>0.67069804169549063</v>
      </c>
      <c r="J4225" s="45">
        <v>1.8683232184571272E-2</v>
      </c>
      <c r="K4225" s="45">
        <v>0.2424</v>
      </c>
      <c r="N4225" s="54"/>
    </row>
    <row r="4226" spans="2:14" x14ac:dyDescent="0.2">
      <c r="B4226">
        <f t="shared" si="175"/>
        <v>4217</v>
      </c>
      <c r="C4226" s="52">
        <f ca="1"/>
        <v>-0.27315482702444849</v>
      </c>
      <c r="D4226" s="52">
        <f ca="1">S0*EXP((μ-0.5*σ*σ)*T+σ*SQRT(T)*$C4226)</f>
        <v>0.59701144569363662</v>
      </c>
      <c r="E4226" s="52">
        <f t="shared" ca="1" si="173"/>
        <v>0</v>
      </c>
      <c r="F4226" s="17">
        <f t="shared" ca="1" si="174"/>
        <v>0</v>
      </c>
      <c r="H4226" s="17">
        <v>4217</v>
      </c>
      <c r="I4226" s="45">
        <v>0.67149978421697099</v>
      </c>
      <c r="J4226" s="45">
        <v>1.9094469683084259E-2</v>
      </c>
      <c r="K4226" s="45">
        <v>0.25040000000000001</v>
      </c>
      <c r="N4226" s="54"/>
    </row>
    <row r="4227" spans="2:14" x14ac:dyDescent="0.2">
      <c r="B4227">
        <f t="shared" si="175"/>
        <v>4218</v>
      </c>
      <c r="C4227" s="52">
        <f ca="1"/>
        <v>-1.034355343078283</v>
      </c>
      <c r="D4227" s="52">
        <f ca="1">S0*EXP((μ-0.5*σ*σ)*T+σ*SQRT(T)*$C4227)</f>
        <v>0.48372458895545928</v>
      </c>
      <c r="E4227" s="52">
        <f t="shared" ca="1" si="173"/>
        <v>5.0675411044540708E-2</v>
      </c>
      <c r="F4227" s="17">
        <f t="shared" ca="1" si="174"/>
        <v>1</v>
      </c>
      <c r="H4227" s="17">
        <v>4218</v>
      </c>
      <c r="I4227" s="45">
        <v>0.67095548462758747</v>
      </c>
      <c r="J4227" s="45">
        <v>1.8893835783024237E-2</v>
      </c>
      <c r="K4227" s="45">
        <v>0.24379999999999999</v>
      </c>
      <c r="N4227" s="54"/>
    </row>
    <row r="4228" spans="2:14" x14ac:dyDescent="0.2">
      <c r="B4228">
        <f t="shared" si="175"/>
        <v>4219</v>
      </c>
      <c r="C4228" s="52">
        <f ca="1"/>
        <v>-0.95184344929000209</v>
      </c>
      <c r="D4228" s="52">
        <f ca="1">S0*EXP((μ-0.5*σ*σ)*T+σ*SQRT(T)*$C4228)</f>
        <v>0.49488463946680944</v>
      </c>
      <c r="E4228" s="52">
        <f t="shared" ca="1" si="173"/>
        <v>3.9515360533190547E-2</v>
      </c>
      <c r="F4228" s="17">
        <f t="shared" ca="1" si="174"/>
        <v>1</v>
      </c>
      <c r="H4228" s="17">
        <v>4219</v>
      </c>
      <c r="I4228" s="45">
        <v>0.67045356496307329</v>
      </c>
      <c r="J4228" s="45">
        <v>1.8372349799383157E-2</v>
      </c>
      <c r="K4228" s="45">
        <v>0.23480000000000001</v>
      </c>
      <c r="N4228" s="54"/>
    </row>
    <row r="4229" spans="2:14" x14ac:dyDescent="0.2">
      <c r="B4229">
        <f t="shared" si="175"/>
        <v>4220</v>
      </c>
      <c r="C4229" s="52">
        <f ca="1"/>
        <v>-1.1768677112486172</v>
      </c>
      <c r="D4229" s="52">
        <f ca="1">S0*EXP((μ-0.5*σ*σ)*T+σ*SQRT(T)*$C4229)</f>
        <v>0.46503871566027799</v>
      </c>
      <c r="E4229" s="52">
        <f t="shared" ca="1" si="173"/>
        <v>6.9361284339721996E-2</v>
      </c>
      <c r="F4229" s="17">
        <f t="shared" ca="1" si="174"/>
        <v>1</v>
      </c>
      <c r="H4229" s="17">
        <v>4220</v>
      </c>
      <c r="I4229" s="45">
        <v>0.67116671806841044</v>
      </c>
      <c r="J4229" s="45">
        <v>1.9275607020866694E-2</v>
      </c>
      <c r="K4229" s="45">
        <v>0.2394</v>
      </c>
      <c r="N4229" s="54"/>
    </row>
    <row r="4230" spans="2:14" x14ac:dyDescent="0.2">
      <c r="B4230">
        <f t="shared" si="175"/>
        <v>4221</v>
      </c>
      <c r="C4230" s="52">
        <f ca="1"/>
        <v>1.0361825633554671</v>
      </c>
      <c r="D4230" s="52">
        <f ca="1">S0*EXP((μ-0.5*σ*σ)*T+σ*SQRT(T)*$C4230)</f>
        <v>0.85737869923525001</v>
      </c>
      <c r="E4230" s="52">
        <f t="shared" ca="1" si="173"/>
        <v>0</v>
      </c>
      <c r="F4230" s="17">
        <f t="shared" ca="1" si="174"/>
        <v>0</v>
      </c>
      <c r="H4230" s="17">
        <v>4221</v>
      </c>
      <c r="I4230" s="45">
        <v>0.67111077013899145</v>
      </c>
      <c r="J4230" s="45">
        <v>1.9064206484365361E-2</v>
      </c>
      <c r="K4230" s="45">
        <v>0.25340000000000001</v>
      </c>
      <c r="N4230" s="54"/>
    </row>
    <row r="4231" spans="2:14" x14ac:dyDescent="0.2">
      <c r="B4231">
        <f t="shared" si="175"/>
        <v>4222</v>
      </c>
      <c r="C4231" s="52">
        <f ca="1"/>
        <v>0.14545226444775211</v>
      </c>
      <c r="D4231" s="52">
        <f ca="1">S0*EXP((μ-0.5*σ*σ)*T+σ*SQRT(T)*$C4231)</f>
        <v>0.67025141983585368</v>
      </c>
      <c r="E4231" s="52">
        <f t="shared" ca="1" si="173"/>
        <v>0</v>
      </c>
      <c r="F4231" s="17">
        <f t="shared" ca="1" si="174"/>
        <v>0</v>
      </c>
      <c r="H4231" s="17">
        <v>4222</v>
      </c>
      <c r="I4231" s="45">
        <v>0.66987204193174321</v>
      </c>
      <c r="J4231" s="45">
        <v>1.8301586542515184E-2</v>
      </c>
      <c r="K4231" s="45">
        <v>0.23619999999999999</v>
      </c>
      <c r="N4231" s="54"/>
    </row>
    <row r="4232" spans="2:14" x14ac:dyDescent="0.2">
      <c r="B4232">
        <f t="shared" si="175"/>
        <v>4223</v>
      </c>
      <c r="C4232" s="52">
        <f ca="1"/>
        <v>-0.92574423503356806</v>
      </c>
      <c r="D4232" s="52">
        <f ca="1">S0*EXP((μ-0.5*σ*σ)*T+σ*SQRT(T)*$C4232)</f>
        <v>0.49846798028375733</v>
      </c>
      <c r="E4232" s="52">
        <f t="shared" ca="1" si="173"/>
        <v>3.5932019716242658E-2</v>
      </c>
      <c r="F4232" s="17">
        <f t="shared" ca="1" si="174"/>
        <v>1</v>
      </c>
      <c r="H4232" s="17">
        <v>4223</v>
      </c>
      <c r="I4232" s="45">
        <v>0.66993219768544177</v>
      </c>
      <c r="J4232" s="45">
        <v>1.8244594663656497E-2</v>
      </c>
      <c r="K4232" s="45">
        <v>0.2462</v>
      </c>
      <c r="N4232" s="54"/>
    </row>
    <row r="4233" spans="2:14" x14ac:dyDescent="0.2">
      <c r="B4233">
        <f t="shared" si="175"/>
        <v>4224</v>
      </c>
      <c r="C4233" s="52">
        <f ca="1"/>
        <v>-1.0790421489965716</v>
      </c>
      <c r="D4233" s="52">
        <f ca="1">S0*EXP((μ-0.5*σ*σ)*T+σ*SQRT(T)*$C4233)</f>
        <v>0.47778594940987151</v>
      </c>
      <c r="E4233" s="52">
        <f t="shared" ca="1" si="173"/>
        <v>5.6614050590128473E-2</v>
      </c>
      <c r="F4233" s="17">
        <f t="shared" ca="1" si="174"/>
        <v>1</v>
      </c>
      <c r="H4233" s="17">
        <v>4224</v>
      </c>
      <c r="I4233" s="45">
        <v>0.67101445223528222</v>
      </c>
      <c r="J4233" s="45">
        <v>1.9173222434279002E-2</v>
      </c>
      <c r="K4233" s="45">
        <v>0.25059999999999999</v>
      </c>
      <c r="N4233" s="54"/>
    </row>
    <row r="4234" spans="2:14" x14ac:dyDescent="0.2">
      <c r="B4234">
        <f t="shared" si="175"/>
        <v>4225</v>
      </c>
      <c r="C4234" s="52">
        <f ca="1"/>
        <v>1.2492609034518627</v>
      </c>
      <c r="D4234" s="52">
        <f ca="1">S0*EXP((μ-0.5*σ*σ)*T+σ*SQRT(T)*$C4234)</f>
        <v>0.90939677167618038</v>
      </c>
      <c r="E4234" s="52">
        <f t="shared" ref="E4234:E4297" ca="1" si="176">MAX(0,CP*(D4234-K))</f>
        <v>0</v>
      </c>
      <c r="F4234" s="17">
        <f t="shared" ref="F4234:F4297" ca="1" si="177">(CP*(D4234-K)&gt;0)*1</f>
        <v>0</v>
      </c>
      <c r="H4234" s="17">
        <v>4225</v>
      </c>
      <c r="I4234" s="45">
        <v>0.67074704912213878</v>
      </c>
      <c r="J4234" s="45">
        <v>1.8573320991316967E-2</v>
      </c>
      <c r="K4234" s="45">
        <v>0.24399999999999999</v>
      </c>
      <c r="N4234" s="54"/>
    </row>
    <row r="4235" spans="2:14" x14ac:dyDescent="0.2">
      <c r="B4235">
        <f t="shared" si="175"/>
        <v>4226</v>
      </c>
      <c r="C4235" s="52">
        <f ca="1"/>
        <v>0.71525237667218511</v>
      </c>
      <c r="D4235" s="52">
        <f ca="1">S0*EXP((μ-0.5*σ*σ)*T+σ*SQRT(T)*$C4235)</f>
        <v>0.78459226281301875</v>
      </c>
      <c r="E4235" s="52">
        <f t="shared" ca="1" si="176"/>
        <v>0</v>
      </c>
      <c r="F4235" s="17">
        <f t="shared" ca="1" si="177"/>
        <v>0</v>
      </c>
      <c r="H4235" s="17">
        <v>4226</v>
      </c>
      <c r="I4235" s="45">
        <v>0.67174673239476168</v>
      </c>
      <c r="J4235" s="45">
        <v>1.9701813227773594E-2</v>
      </c>
      <c r="K4235" s="45">
        <v>0.25159999999999999</v>
      </c>
      <c r="N4235" s="54"/>
    </row>
    <row r="4236" spans="2:14" x14ac:dyDescent="0.2">
      <c r="B4236">
        <f t="shared" si="175"/>
        <v>4227</v>
      </c>
      <c r="C4236" s="52">
        <f ca="1"/>
        <v>1.819104868419426</v>
      </c>
      <c r="D4236" s="52">
        <f ca="1">S0*EXP((μ-0.5*σ*σ)*T+σ*SQRT(T)*$C4236)</f>
        <v>1.0645472716168856</v>
      </c>
      <c r="E4236" s="52">
        <f t="shared" ca="1" si="176"/>
        <v>0</v>
      </c>
      <c r="F4236" s="17">
        <f t="shared" ca="1" si="177"/>
        <v>0</v>
      </c>
      <c r="H4236" s="17">
        <v>4227</v>
      </c>
      <c r="I4236" s="45">
        <v>0.67023223603139881</v>
      </c>
      <c r="J4236" s="45">
        <v>1.8474157658446868E-2</v>
      </c>
      <c r="K4236" s="45">
        <v>0.24379999999999999</v>
      </c>
      <c r="N4236" s="54"/>
    </row>
    <row r="4237" spans="2:14" x14ac:dyDescent="0.2">
      <c r="B4237">
        <f t="shared" si="175"/>
        <v>4228</v>
      </c>
      <c r="C4237" s="52">
        <f ca="1"/>
        <v>1.3066223644043029</v>
      </c>
      <c r="D4237" s="52">
        <f ca="1">S0*EXP((μ-0.5*σ*σ)*T+σ*SQRT(T)*$C4237)</f>
        <v>0.92393161968748549</v>
      </c>
      <c r="E4237" s="52">
        <f t="shared" ca="1" si="176"/>
        <v>0</v>
      </c>
      <c r="F4237" s="17">
        <f t="shared" ca="1" si="177"/>
        <v>0</v>
      </c>
      <c r="H4237" s="17">
        <v>4228</v>
      </c>
      <c r="I4237" s="45">
        <v>0.67174938602967071</v>
      </c>
      <c r="J4237" s="45">
        <v>1.9360014298006753E-2</v>
      </c>
      <c r="K4237" s="45">
        <v>0.246</v>
      </c>
      <c r="N4237" s="54"/>
    </row>
    <row r="4238" spans="2:14" x14ac:dyDescent="0.2">
      <c r="B4238">
        <f t="shared" si="175"/>
        <v>4229</v>
      </c>
      <c r="C4238" s="52">
        <f ca="1"/>
        <v>-1.2381569411405585E-2</v>
      </c>
      <c r="D4238" s="52">
        <f ca="1">S0*EXP((μ-0.5*σ*σ)*T+σ*SQRT(T)*$C4238)</f>
        <v>0.64163685173831109</v>
      </c>
      <c r="E4238" s="52">
        <f t="shared" ca="1" si="176"/>
        <v>0</v>
      </c>
      <c r="F4238" s="17">
        <f t="shared" ca="1" si="177"/>
        <v>0</v>
      </c>
      <c r="H4238" s="17">
        <v>4229</v>
      </c>
      <c r="I4238" s="45">
        <v>0.67055545660862825</v>
      </c>
      <c r="J4238" s="45">
        <v>1.8721979477876922E-2</v>
      </c>
      <c r="K4238" s="45">
        <v>0.247</v>
      </c>
      <c r="N4238" s="54"/>
    </row>
    <row r="4239" spans="2:14" x14ac:dyDescent="0.2">
      <c r="B4239">
        <f t="shared" si="175"/>
        <v>4230</v>
      </c>
      <c r="C4239" s="52">
        <f ca="1"/>
        <v>-1.2844903210446279</v>
      </c>
      <c r="D4239" s="52">
        <f ca="1">S0*EXP((μ-0.5*σ*σ)*T+σ*SQRT(T)*$C4239)</f>
        <v>0.45140740696631659</v>
      </c>
      <c r="E4239" s="52">
        <f t="shared" ca="1" si="176"/>
        <v>8.2992593033683393E-2</v>
      </c>
      <c r="F4239" s="17">
        <f t="shared" ca="1" si="177"/>
        <v>1</v>
      </c>
      <c r="H4239" s="17">
        <v>4230</v>
      </c>
      <c r="I4239" s="45">
        <v>0.67074528134547107</v>
      </c>
      <c r="J4239" s="45">
        <v>1.8764884708753118E-2</v>
      </c>
      <c r="K4239" s="45">
        <v>0.25</v>
      </c>
      <c r="N4239" s="54"/>
    </row>
    <row r="4240" spans="2:14" x14ac:dyDescent="0.2">
      <c r="B4240">
        <f t="shared" si="175"/>
        <v>4231</v>
      </c>
      <c r="C4240" s="52">
        <f ca="1"/>
        <v>-1.1469043918748822</v>
      </c>
      <c r="D4240" s="52">
        <f ca="1">S0*EXP((μ-0.5*σ*σ)*T+σ*SQRT(T)*$C4240)</f>
        <v>0.46890655113337382</v>
      </c>
      <c r="E4240" s="52">
        <f t="shared" ca="1" si="176"/>
        <v>6.5493448866626169E-2</v>
      </c>
      <c r="F4240" s="17">
        <f t="shared" ca="1" si="177"/>
        <v>1</v>
      </c>
      <c r="H4240" s="17">
        <v>4231</v>
      </c>
      <c r="I4240" s="45">
        <v>0.67135970920565036</v>
      </c>
      <c r="J4240" s="45">
        <v>1.9180005972007141E-2</v>
      </c>
      <c r="K4240" s="45">
        <v>0.24199999999999999</v>
      </c>
      <c r="N4240" s="54"/>
    </row>
    <row r="4241" spans="2:14" x14ac:dyDescent="0.2">
      <c r="B4241">
        <f t="shared" si="175"/>
        <v>4232</v>
      </c>
      <c r="C4241" s="52">
        <f ca="1"/>
        <v>1.2644257847733162</v>
      </c>
      <c r="D4241" s="52">
        <f ca="1">S0*EXP((μ-0.5*σ*σ)*T+σ*SQRT(T)*$C4241)</f>
        <v>0.91321702497627577</v>
      </c>
      <c r="E4241" s="52">
        <f t="shared" ca="1" si="176"/>
        <v>0</v>
      </c>
      <c r="F4241" s="17">
        <f t="shared" ca="1" si="177"/>
        <v>0</v>
      </c>
      <c r="H4241" s="17">
        <v>4232</v>
      </c>
      <c r="I4241" s="45">
        <v>0.67208031068518381</v>
      </c>
      <c r="J4241" s="45">
        <v>1.9819029969397675E-2</v>
      </c>
      <c r="K4241" s="45">
        <v>0.25540000000000002</v>
      </c>
      <c r="N4241" s="54"/>
    </row>
    <row r="4242" spans="2:14" x14ac:dyDescent="0.2">
      <c r="B4242">
        <f t="shared" si="175"/>
        <v>4233</v>
      </c>
      <c r="C4242" s="52">
        <f ca="1"/>
        <v>2.0140155087331251</v>
      </c>
      <c r="D4242" s="52">
        <f ca="1">S0*EXP((μ-0.5*σ*σ)*T+σ*SQRT(T)*$C4242)</f>
        <v>1.1234780213848063</v>
      </c>
      <c r="E4242" s="52">
        <f t="shared" ca="1" si="176"/>
        <v>0</v>
      </c>
      <c r="F4242" s="17">
        <f t="shared" ca="1" si="177"/>
        <v>0</v>
      </c>
      <c r="H4242" s="17">
        <v>4233</v>
      </c>
      <c r="I4242" s="45">
        <v>0.67112559850172371</v>
      </c>
      <c r="J4242" s="45">
        <v>1.9398115301514161E-2</v>
      </c>
      <c r="K4242" s="45">
        <v>0.24779999999999999</v>
      </c>
      <c r="N4242" s="54"/>
    </row>
    <row r="4243" spans="2:14" x14ac:dyDescent="0.2">
      <c r="B4243">
        <f t="shared" si="175"/>
        <v>4234</v>
      </c>
      <c r="C4243" s="52">
        <f ca="1"/>
        <v>0.43657561226599634</v>
      </c>
      <c r="D4243" s="52">
        <f ca="1">S0*EXP((μ-0.5*σ*σ)*T+σ*SQRT(T)*$C4243)</f>
        <v>0.72642035897130874</v>
      </c>
      <c r="E4243" s="52">
        <f t="shared" ca="1" si="176"/>
        <v>0</v>
      </c>
      <c r="F4243" s="17">
        <f t="shared" ca="1" si="177"/>
        <v>0</v>
      </c>
      <c r="H4243" s="17">
        <v>4234</v>
      </c>
      <c r="I4243" s="45">
        <v>0.67106331827558696</v>
      </c>
      <c r="J4243" s="45">
        <v>1.8941164862729665E-2</v>
      </c>
      <c r="K4243" s="45">
        <v>0.25319999999999998</v>
      </c>
      <c r="N4243" s="54"/>
    </row>
    <row r="4244" spans="2:14" x14ac:dyDescent="0.2">
      <c r="B4244">
        <f t="shared" si="175"/>
        <v>4235</v>
      </c>
      <c r="C4244" s="52">
        <f ca="1"/>
        <v>1.646053390720525</v>
      </c>
      <c r="D4244" s="52">
        <f ca="1">S0*EXP((μ-0.5*σ*σ)*T+σ*SQRT(T)*$C4244)</f>
        <v>1.0148213192504509</v>
      </c>
      <c r="E4244" s="52">
        <f t="shared" ca="1" si="176"/>
        <v>0</v>
      </c>
      <c r="F4244" s="17">
        <f t="shared" ca="1" si="177"/>
        <v>0</v>
      </c>
      <c r="H4244" s="17">
        <v>4235</v>
      </c>
      <c r="I4244" s="45">
        <v>0.67166279923079664</v>
      </c>
      <c r="J4244" s="45">
        <v>1.9505281367968981E-2</v>
      </c>
      <c r="K4244" s="45">
        <v>0.25159999999999999</v>
      </c>
      <c r="N4244" s="54"/>
    </row>
    <row r="4245" spans="2:14" x14ac:dyDescent="0.2">
      <c r="B4245">
        <f t="shared" si="175"/>
        <v>4236</v>
      </c>
      <c r="C4245" s="52">
        <f ca="1"/>
        <v>-0.78339549244618822</v>
      </c>
      <c r="D4245" s="52">
        <f ca="1">S0*EXP((μ-0.5*σ*σ)*T+σ*SQRT(T)*$C4245)</f>
        <v>0.51847363399999036</v>
      </c>
      <c r="E4245" s="52">
        <f t="shared" ca="1" si="176"/>
        <v>1.5926366000009629E-2</v>
      </c>
      <c r="F4245" s="17">
        <f t="shared" ca="1" si="177"/>
        <v>1</v>
      </c>
      <c r="H4245" s="17">
        <v>4236</v>
      </c>
      <c r="I4245" s="45">
        <v>0.67005961919585244</v>
      </c>
      <c r="J4245" s="45">
        <v>1.8431732712945122E-2</v>
      </c>
      <c r="K4245" s="45">
        <v>0.2432</v>
      </c>
      <c r="N4245" s="54"/>
    </row>
    <row r="4246" spans="2:14" x14ac:dyDescent="0.2">
      <c r="B4246">
        <f t="shared" si="175"/>
        <v>4237</v>
      </c>
      <c r="C4246" s="52">
        <f ca="1"/>
        <v>0.29650411723982739</v>
      </c>
      <c r="D4246" s="52">
        <f ca="1">S0*EXP((μ-0.5*σ*σ)*T+σ*SQRT(T)*$C4246)</f>
        <v>0.69883072026040993</v>
      </c>
      <c r="E4246" s="52">
        <f t="shared" ca="1" si="176"/>
        <v>0</v>
      </c>
      <c r="F4246" s="17">
        <f t="shared" ca="1" si="177"/>
        <v>0</v>
      </c>
      <c r="H4246" s="17">
        <v>4237</v>
      </c>
      <c r="I4246" s="45">
        <v>0.67130757723911405</v>
      </c>
      <c r="J4246" s="45">
        <v>1.9223171660942881E-2</v>
      </c>
      <c r="K4246" s="45">
        <v>0.2452</v>
      </c>
      <c r="N4246" s="54"/>
    </row>
    <row r="4247" spans="2:14" x14ac:dyDescent="0.2">
      <c r="B4247">
        <f t="shared" si="175"/>
        <v>4238</v>
      </c>
      <c r="C4247" s="52">
        <f ca="1"/>
        <v>0.64427146349257414</v>
      </c>
      <c r="D4247" s="52">
        <f ca="1">S0*EXP((μ-0.5*σ*σ)*T+σ*SQRT(T)*$C4247)</f>
        <v>0.76934749015663018</v>
      </c>
      <c r="E4247" s="52">
        <f t="shared" ca="1" si="176"/>
        <v>0</v>
      </c>
      <c r="F4247" s="17">
        <f t="shared" ca="1" si="177"/>
        <v>0</v>
      </c>
      <c r="H4247" s="17">
        <v>4238</v>
      </c>
      <c r="I4247" s="45">
        <v>0.67226073248124785</v>
      </c>
      <c r="J4247" s="45">
        <v>2.0018031095998631E-2</v>
      </c>
      <c r="K4247" s="45">
        <v>0.25219999999999998</v>
      </c>
      <c r="N4247" s="54"/>
    </row>
    <row r="4248" spans="2:14" x14ac:dyDescent="0.2">
      <c r="B4248">
        <f t="shared" si="175"/>
        <v>4239</v>
      </c>
      <c r="C4248" s="52">
        <f ca="1"/>
        <v>-0.49891359150287057</v>
      </c>
      <c r="D4248" s="52">
        <f ca="1">S0*EXP((μ-0.5*σ*σ)*T+σ*SQRT(T)*$C4248)</f>
        <v>0.56089247620153182</v>
      </c>
      <c r="E4248" s="52">
        <f t="shared" ca="1" si="176"/>
        <v>0</v>
      </c>
      <c r="F4248" s="17">
        <f t="shared" ca="1" si="177"/>
        <v>0</v>
      </c>
      <c r="H4248" s="17">
        <v>4239</v>
      </c>
      <c r="I4248" s="45">
        <v>0.66988131168777032</v>
      </c>
      <c r="J4248" s="45">
        <v>1.8252808077044769E-2</v>
      </c>
      <c r="K4248" s="45">
        <v>0.2422</v>
      </c>
      <c r="N4248" s="54"/>
    </row>
    <row r="4249" spans="2:14" x14ac:dyDescent="0.2">
      <c r="B4249">
        <f t="shared" si="175"/>
        <v>4240</v>
      </c>
      <c r="C4249" s="52">
        <f ca="1"/>
        <v>0.14862909476973463</v>
      </c>
      <c r="D4249" s="52">
        <f ca="1">S0*EXP((μ-0.5*σ*σ)*T+σ*SQRT(T)*$C4249)</f>
        <v>0.67084027920852418</v>
      </c>
      <c r="E4249" s="52">
        <f t="shared" ca="1" si="176"/>
        <v>0</v>
      </c>
      <c r="F4249" s="17">
        <f t="shared" ca="1" si="177"/>
        <v>0</v>
      </c>
      <c r="H4249" s="17">
        <v>4240</v>
      </c>
      <c r="I4249" s="45">
        <v>0.67166654754400756</v>
      </c>
      <c r="J4249" s="45">
        <v>1.9675935517033075E-2</v>
      </c>
      <c r="K4249" s="45">
        <v>0.25019999999999998</v>
      </c>
      <c r="N4249" s="54"/>
    </row>
    <row r="4250" spans="2:14" x14ac:dyDescent="0.2">
      <c r="B4250">
        <f t="shared" si="175"/>
        <v>4241</v>
      </c>
      <c r="C4250" s="52">
        <f ca="1"/>
        <v>1.9943731432660181</v>
      </c>
      <c r="D4250" s="52">
        <f ca="1">S0*EXP((μ-0.5*σ*σ)*T+σ*SQRT(T)*$C4250)</f>
        <v>1.11739430499685</v>
      </c>
      <c r="E4250" s="52">
        <f t="shared" ca="1" si="176"/>
        <v>0</v>
      </c>
      <c r="F4250" s="17">
        <f t="shared" ca="1" si="177"/>
        <v>0</v>
      </c>
      <c r="H4250" s="17">
        <v>4241</v>
      </c>
      <c r="I4250" s="45">
        <v>0.67142281438749962</v>
      </c>
      <c r="J4250" s="45">
        <v>1.95863767682674E-2</v>
      </c>
      <c r="K4250" s="45">
        <v>0.252</v>
      </c>
      <c r="N4250" s="54"/>
    </row>
    <row r="4251" spans="2:14" x14ac:dyDescent="0.2">
      <c r="B4251">
        <f t="shared" si="175"/>
        <v>4242</v>
      </c>
      <c r="C4251" s="52">
        <f ca="1"/>
        <v>0.94213996803644362</v>
      </c>
      <c r="D4251" s="52">
        <f ca="1">S0*EXP((μ-0.5*σ*σ)*T+σ*SQRT(T)*$C4251)</f>
        <v>0.83537713324266127</v>
      </c>
      <c r="E4251" s="52">
        <f t="shared" ca="1" si="176"/>
        <v>0</v>
      </c>
      <c r="F4251" s="17">
        <f t="shared" ca="1" si="177"/>
        <v>0</v>
      </c>
      <c r="H4251" s="17">
        <v>4242</v>
      </c>
      <c r="I4251" s="45">
        <v>0.67165822778528883</v>
      </c>
      <c r="J4251" s="45">
        <v>1.9825306015204665E-2</v>
      </c>
      <c r="K4251" s="45">
        <v>0.25080000000000002</v>
      </c>
      <c r="N4251" s="54"/>
    </row>
    <row r="4252" spans="2:14" x14ac:dyDescent="0.2">
      <c r="B4252">
        <f t="shared" si="175"/>
        <v>4243</v>
      </c>
      <c r="C4252" s="52">
        <f ca="1"/>
        <v>0.82487982465224929</v>
      </c>
      <c r="D4252" s="52">
        <f ca="1">S0*EXP((μ-0.5*σ*σ)*T+σ*SQRT(T)*$C4252)</f>
        <v>0.80873294973769971</v>
      </c>
      <c r="E4252" s="52">
        <f t="shared" ca="1" si="176"/>
        <v>0</v>
      </c>
      <c r="F4252" s="17">
        <f t="shared" ca="1" si="177"/>
        <v>0</v>
      </c>
      <c r="H4252" s="17">
        <v>4243</v>
      </c>
      <c r="I4252" s="45">
        <v>0.66979512397898211</v>
      </c>
      <c r="J4252" s="45">
        <v>1.8048644713034242E-2</v>
      </c>
      <c r="K4252" s="45">
        <v>0.24099999999999999</v>
      </c>
      <c r="N4252" s="54"/>
    </row>
    <row r="4253" spans="2:14" x14ac:dyDescent="0.2">
      <c r="B4253">
        <f t="shared" si="175"/>
        <v>4244</v>
      </c>
      <c r="C4253" s="52">
        <f ca="1"/>
        <v>-1.808682691716601</v>
      </c>
      <c r="D4253" s="52">
        <f ca="1">S0*EXP((μ-0.5*σ*σ)*T+σ*SQRT(T)*$C4253)</f>
        <v>0.39051503044786257</v>
      </c>
      <c r="E4253" s="52">
        <f t="shared" ca="1" si="176"/>
        <v>0.14388496955213742</v>
      </c>
      <c r="F4253" s="17">
        <f t="shared" ca="1" si="177"/>
        <v>1</v>
      </c>
      <c r="H4253" s="17">
        <v>4244</v>
      </c>
      <c r="I4253" s="45">
        <v>0.67126363058213279</v>
      </c>
      <c r="J4253" s="45">
        <v>1.9139268049080501E-2</v>
      </c>
      <c r="K4253" s="45">
        <v>0.24940000000000001</v>
      </c>
      <c r="N4253" s="54"/>
    </row>
    <row r="4254" spans="2:14" x14ac:dyDescent="0.2">
      <c r="B4254">
        <f t="shared" si="175"/>
        <v>4245</v>
      </c>
      <c r="C4254" s="52">
        <f ca="1"/>
        <v>0.76173607954335398</v>
      </c>
      <c r="D4254" s="52">
        <f ca="1">S0*EXP((μ-0.5*σ*σ)*T+σ*SQRT(T)*$C4254)</f>
        <v>0.79473901617014053</v>
      </c>
      <c r="E4254" s="52">
        <f t="shared" ca="1" si="176"/>
        <v>0</v>
      </c>
      <c r="F4254" s="17">
        <f t="shared" ca="1" si="177"/>
        <v>0</v>
      </c>
      <c r="H4254" s="17">
        <v>4245</v>
      </c>
      <c r="I4254" s="45">
        <v>0.67074287963663981</v>
      </c>
      <c r="J4254" s="45">
        <v>1.875042770059843E-2</v>
      </c>
      <c r="K4254" s="45">
        <v>0.24479999999999999</v>
      </c>
      <c r="N4254" s="54"/>
    </row>
    <row r="4255" spans="2:14" x14ac:dyDescent="0.2">
      <c r="B4255">
        <f t="shared" si="175"/>
        <v>4246</v>
      </c>
      <c r="C4255" s="52">
        <f ca="1"/>
        <v>2.0412656797609459</v>
      </c>
      <c r="D4255" s="52">
        <f ca="1">S0*EXP((μ-0.5*σ*σ)*T+σ*SQRT(T)*$C4255)</f>
        <v>1.1319729492560207</v>
      </c>
      <c r="E4255" s="52">
        <f t="shared" ca="1" si="176"/>
        <v>0</v>
      </c>
      <c r="F4255" s="17">
        <f t="shared" ca="1" si="177"/>
        <v>0</v>
      </c>
      <c r="H4255" s="17">
        <v>4246</v>
      </c>
      <c r="I4255" s="45">
        <v>0.67119759539309265</v>
      </c>
      <c r="J4255" s="45">
        <v>1.898294032439285E-2</v>
      </c>
      <c r="K4255" s="45">
        <v>0.247</v>
      </c>
      <c r="N4255" s="54"/>
    </row>
    <row r="4256" spans="2:14" x14ac:dyDescent="0.2">
      <c r="B4256">
        <f t="shared" si="175"/>
        <v>4247</v>
      </c>
      <c r="C4256" s="52">
        <f ca="1"/>
        <v>-1.613139342979226</v>
      </c>
      <c r="D4256" s="52">
        <f ca="1">S0*EXP((μ-0.5*σ*σ)*T+σ*SQRT(T)*$C4256)</f>
        <v>0.41220508230832187</v>
      </c>
      <c r="E4256" s="52">
        <f t="shared" ca="1" si="176"/>
        <v>0.12219491769167812</v>
      </c>
      <c r="F4256" s="17">
        <f t="shared" ca="1" si="177"/>
        <v>1</v>
      </c>
      <c r="H4256" s="17">
        <v>4247</v>
      </c>
      <c r="I4256" s="45">
        <v>0.67037791520623524</v>
      </c>
      <c r="J4256" s="45">
        <v>1.8492075827903669E-2</v>
      </c>
      <c r="K4256" s="45">
        <v>0.2382</v>
      </c>
      <c r="N4256" s="54"/>
    </row>
    <row r="4257" spans="2:14" x14ac:dyDescent="0.2">
      <c r="B4257">
        <f t="shared" si="175"/>
        <v>4248</v>
      </c>
      <c r="C4257" s="52">
        <f ca="1"/>
        <v>0.14134445460455111</v>
      </c>
      <c r="D4257" s="52">
        <f ca="1">S0*EXP((μ-0.5*σ*σ)*T+σ*SQRT(T)*$C4257)</f>
        <v>0.66949075972670424</v>
      </c>
      <c r="E4257" s="52">
        <f t="shared" ca="1" si="176"/>
        <v>0</v>
      </c>
      <c r="F4257" s="17">
        <f t="shared" ca="1" si="177"/>
        <v>0</v>
      </c>
      <c r="H4257" s="17">
        <v>4248</v>
      </c>
      <c r="I4257" s="45">
        <v>0.67038630779976061</v>
      </c>
      <c r="J4257" s="45">
        <v>1.846650231153733E-2</v>
      </c>
      <c r="K4257" s="45">
        <v>0.23219999999999999</v>
      </c>
      <c r="N4257" s="54"/>
    </row>
    <row r="4258" spans="2:14" x14ac:dyDescent="0.2">
      <c r="B4258">
        <f t="shared" si="175"/>
        <v>4249</v>
      </c>
      <c r="C4258" s="52">
        <f ca="1"/>
        <v>-1.028716460840801</v>
      </c>
      <c r="D4258" s="52">
        <f ca="1">S0*EXP((μ-0.5*σ*σ)*T+σ*SQRT(T)*$C4258)</f>
        <v>0.48447919249442944</v>
      </c>
      <c r="E4258" s="52">
        <f t="shared" ca="1" si="176"/>
        <v>4.9920807505570541E-2</v>
      </c>
      <c r="F4258" s="17">
        <f t="shared" ca="1" si="177"/>
        <v>1</v>
      </c>
      <c r="H4258" s="17">
        <v>4249</v>
      </c>
      <c r="I4258" s="45">
        <v>0.67043974689505814</v>
      </c>
      <c r="J4258" s="45">
        <v>1.8529897058455518E-2</v>
      </c>
      <c r="K4258" s="45">
        <v>0.24360000000000001</v>
      </c>
      <c r="N4258" s="54"/>
    </row>
    <row r="4259" spans="2:14" x14ac:dyDescent="0.2">
      <c r="B4259">
        <f t="shared" si="175"/>
        <v>4250</v>
      </c>
      <c r="C4259" s="52">
        <f ca="1"/>
        <v>-3.6539829279747832E-2</v>
      </c>
      <c r="D4259" s="52">
        <f ca="1">S0*EXP((μ-0.5*σ*σ)*T+σ*SQRT(T)*$C4259)</f>
        <v>0.63736619427288554</v>
      </c>
      <c r="E4259" s="52">
        <f t="shared" ca="1" si="176"/>
        <v>0</v>
      </c>
      <c r="F4259" s="17">
        <f t="shared" ca="1" si="177"/>
        <v>0</v>
      </c>
      <c r="H4259" s="17">
        <v>4250</v>
      </c>
      <c r="I4259" s="45">
        <v>0.67089883339720979</v>
      </c>
      <c r="J4259" s="45">
        <v>1.8841052690436181E-2</v>
      </c>
      <c r="K4259" s="45">
        <v>0.24740000000000001</v>
      </c>
      <c r="N4259" s="54"/>
    </row>
    <row r="4260" spans="2:14" x14ac:dyDescent="0.2">
      <c r="B4260">
        <f t="shared" si="175"/>
        <v>4251</v>
      </c>
      <c r="C4260" s="52">
        <f ca="1"/>
        <v>0.14518764268443052</v>
      </c>
      <c r="D4260" s="52">
        <f ca="1">S0*EXP((μ-0.5*σ*σ)*T+σ*SQRT(T)*$C4260)</f>
        <v>0.67020239269811843</v>
      </c>
      <c r="E4260" s="52">
        <f t="shared" ca="1" si="176"/>
        <v>0</v>
      </c>
      <c r="F4260" s="17">
        <f t="shared" ca="1" si="177"/>
        <v>0</v>
      </c>
      <c r="H4260" s="17">
        <v>4251</v>
      </c>
      <c r="I4260" s="45">
        <v>0.66895783469962011</v>
      </c>
      <c r="J4260" s="45">
        <v>1.7372642470072665E-2</v>
      </c>
      <c r="K4260" s="45">
        <v>0.23400000000000001</v>
      </c>
      <c r="N4260" s="54"/>
    </row>
    <row r="4261" spans="2:14" x14ac:dyDescent="0.2">
      <c r="B4261">
        <f t="shared" si="175"/>
        <v>4252</v>
      </c>
      <c r="C4261" s="52">
        <f ca="1"/>
        <v>0.98951194958462263</v>
      </c>
      <c r="D4261" s="52">
        <f ca="1">S0*EXP((μ-0.5*σ*σ)*T+σ*SQRT(T)*$C4261)</f>
        <v>0.846388467255628</v>
      </c>
      <c r="E4261" s="52">
        <f t="shared" ca="1" si="176"/>
        <v>0</v>
      </c>
      <c r="F4261" s="17">
        <f t="shared" ca="1" si="177"/>
        <v>0</v>
      </c>
      <c r="H4261" s="17">
        <v>4252</v>
      </c>
      <c r="I4261" s="45">
        <v>0.66955243636520079</v>
      </c>
      <c r="J4261" s="45">
        <v>1.7928515410233287E-2</v>
      </c>
      <c r="K4261" s="45">
        <v>0.2414</v>
      </c>
      <c r="N4261" s="54"/>
    </row>
    <row r="4262" spans="2:14" x14ac:dyDescent="0.2">
      <c r="B4262">
        <f t="shared" si="175"/>
        <v>4253</v>
      </c>
      <c r="C4262" s="52">
        <f ca="1"/>
        <v>-0.31558348819890453</v>
      </c>
      <c r="D4262" s="52">
        <f ca="1">S0*EXP((μ-0.5*σ*σ)*T+σ*SQRT(T)*$C4262)</f>
        <v>0.59005020340290293</v>
      </c>
      <c r="E4262" s="52">
        <f t="shared" ca="1" si="176"/>
        <v>0</v>
      </c>
      <c r="F4262" s="17">
        <f t="shared" ca="1" si="177"/>
        <v>0</v>
      </c>
      <c r="H4262" s="17">
        <v>4253</v>
      </c>
      <c r="I4262" s="45">
        <v>0.67084821968414965</v>
      </c>
      <c r="J4262" s="45">
        <v>1.8952158011968458E-2</v>
      </c>
      <c r="K4262" s="45">
        <v>0.251</v>
      </c>
      <c r="N4262" s="54"/>
    </row>
    <row r="4263" spans="2:14" x14ac:dyDescent="0.2">
      <c r="B4263">
        <f t="shared" si="175"/>
        <v>4254</v>
      </c>
      <c r="C4263" s="52">
        <f ca="1"/>
        <v>1.6324014225207399</v>
      </c>
      <c r="D4263" s="52">
        <f ca="1">S0*EXP((μ-0.5*σ*σ)*T+σ*SQRT(T)*$C4263)</f>
        <v>1.0109987553933355</v>
      </c>
      <c r="E4263" s="52">
        <f t="shared" ca="1" si="176"/>
        <v>0</v>
      </c>
      <c r="F4263" s="17">
        <f t="shared" ca="1" si="177"/>
        <v>0</v>
      </c>
      <c r="H4263" s="17">
        <v>4254</v>
      </c>
      <c r="I4263" s="45">
        <v>0.66992926195179792</v>
      </c>
      <c r="J4263" s="45">
        <v>1.8020844777769076E-2</v>
      </c>
      <c r="K4263" s="45">
        <v>0.24260000000000001</v>
      </c>
      <c r="N4263" s="54"/>
    </row>
    <row r="4264" spans="2:14" x14ac:dyDescent="0.2">
      <c r="B4264">
        <f t="shared" si="175"/>
        <v>4255</v>
      </c>
      <c r="C4264" s="52">
        <f ca="1"/>
        <v>-6.8324726436125763E-2</v>
      </c>
      <c r="D4264" s="52">
        <f ca="1">S0*EXP((μ-0.5*σ*σ)*T+σ*SQRT(T)*$C4264)</f>
        <v>0.63179058391326981</v>
      </c>
      <c r="E4264" s="52">
        <f t="shared" ca="1" si="176"/>
        <v>0</v>
      </c>
      <c r="F4264" s="17">
        <f t="shared" ca="1" si="177"/>
        <v>0</v>
      </c>
      <c r="H4264" s="17">
        <v>4255</v>
      </c>
      <c r="I4264" s="45">
        <v>0.67009675519546785</v>
      </c>
      <c r="J4264" s="45">
        <v>1.8513133548854501E-2</v>
      </c>
      <c r="K4264" s="45">
        <v>0.2492</v>
      </c>
      <c r="N4264" s="54"/>
    </row>
    <row r="4265" spans="2:14" x14ac:dyDescent="0.2">
      <c r="B4265">
        <f t="shared" si="175"/>
        <v>4256</v>
      </c>
      <c r="C4265" s="52">
        <f ca="1"/>
        <v>-0.73111179285720473</v>
      </c>
      <c r="D4265" s="52">
        <f ca="1">S0*EXP((μ-0.5*σ*σ)*T+σ*SQRT(T)*$C4265)</f>
        <v>0.52602150204392639</v>
      </c>
      <c r="E4265" s="52">
        <f t="shared" ca="1" si="176"/>
        <v>8.3784979560735939E-3</v>
      </c>
      <c r="F4265" s="17">
        <f t="shared" ca="1" si="177"/>
        <v>1</v>
      </c>
      <c r="H4265" s="17">
        <v>4256</v>
      </c>
      <c r="I4265" s="45">
        <v>0.67108092327840729</v>
      </c>
      <c r="J4265" s="45">
        <v>1.9198915668539568E-2</v>
      </c>
      <c r="K4265" s="45">
        <v>0.25159999999999999</v>
      </c>
      <c r="N4265" s="54"/>
    </row>
    <row r="4266" spans="2:14" x14ac:dyDescent="0.2">
      <c r="B4266">
        <f t="shared" si="175"/>
        <v>4257</v>
      </c>
      <c r="C4266" s="52">
        <f ca="1"/>
        <v>1.5791259667854605</v>
      </c>
      <c r="D4266" s="52">
        <f ca="1">S0*EXP((μ-0.5*σ*σ)*T+σ*SQRT(T)*$C4266)</f>
        <v>0.99621880764186843</v>
      </c>
      <c r="E4266" s="52">
        <f t="shared" ca="1" si="176"/>
        <v>0</v>
      </c>
      <c r="F4266" s="17">
        <f t="shared" ca="1" si="177"/>
        <v>0</v>
      </c>
      <c r="H4266" s="17">
        <v>4257</v>
      </c>
      <c r="I4266" s="45">
        <v>0.67021600860324104</v>
      </c>
      <c r="J4266" s="45">
        <v>1.8254166163128343E-2</v>
      </c>
      <c r="K4266" s="45">
        <v>0.248</v>
      </c>
      <c r="N4266" s="54"/>
    </row>
    <row r="4267" spans="2:14" x14ac:dyDescent="0.2">
      <c r="B4267">
        <f t="shared" ref="B4267:B4330" si="178">B4266+1</f>
        <v>4258</v>
      </c>
      <c r="C4267" s="52">
        <f ca="1"/>
        <v>-0.95586994337408371</v>
      </c>
      <c r="D4267" s="52">
        <f ca="1">S0*EXP((μ-0.5*σ*σ)*T+σ*SQRT(T)*$C4267)</f>
        <v>0.49433411263940991</v>
      </c>
      <c r="E4267" s="52">
        <f t="shared" ca="1" si="176"/>
        <v>4.006588736059008E-2</v>
      </c>
      <c r="F4267" s="17">
        <f t="shared" ca="1" si="177"/>
        <v>1</v>
      </c>
      <c r="H4267" s="17">
        <v>4258</v>
      </c>
      <c r="I4267" s="45">
        <v>0.67149803716410739</v>
      </c>
      <c r="J4267" s="45">
        <v>1.9035047775029609E-2</v>
      </c>
      <c r="K4267" s="45">
        <v>0.24740000000000001</v>
      </c>
      <c r="N4267" s="54"/>
    </row>
    <row r="4268" spans="2:14" x14ac:dyDescent="0.2">
      <c r="B4268">
        <f t="shared" si="178"/>
        <v>4259</v>
      </c>
      <c r="C4268" s="52">
        <f ca="1"/>
        <v>1.2402127033278469</v>
      </c>
      <c r="D4268" s="52">
        <f ca="1">S0*EXP((μ-0.5*σ*σ)*T+σ*SQRT(T)*$C4268)</f>
        <v>0.9071250155469035</v>
      </c>
      <c r="E4268" s="52">
        <f t="shared" ca="1" si="176"/>
        <v>0</v>
      </c>
      <c r="F4268" s="17">
        <f t="shared" ca="1" si="177"/>
        <v>0</v>
      </c>
      <c r="H4268" s="17">
        <v>4259</v>
      </c>
      <c r="I4268" s="45">
        <v>0.67146622926569066</v>
      </c>
      <c r="J4268" s="45">
        <v>1.9376499411583779E-2</v>
      </c>
      <c r="K4268" s="45">
        <v>0.24759999999999999</v>
      </c>
      <c r="N4268" s="54"/>
    </row>
    <row r="4269" spans="2:14" x14ac:dyDescent="0.2">
      <c r="B4269">
        <f t="shared" si="178"/>
        <v>4260</v>
      </c>
      <c r="C4269" s="52">
        <f ca="1"/>
        <v>1.201868844219373</v>
      </c>
      <c r="D4269" s="52">
        <f ca="1">S0*EXP((μ-0.5*σ*σ)*T+σ*SQRT(T)*$C4269)</f>
        <v>0.89756073143071802</v>
      </c>
      <c r="E4269" s="52">
        <f t="shared" ca="1" si="176"/>
        <v>0</v>
      </c>
      <c r="F4269" s="17">
        <f t="shared" ca="1" si="177"/>
        <v>0</v>
      </c>
      <c r="H4269" s="17">
        <v>4260</v>
      </c>
      <c r="I4269" s="45">
        <v>0.67060546828047951</v>
      </c>
      <c r="J4269" s="45">
        <v>1.8598331075603151E-2</v>
      </c>
      <c r="K4269" s="45">
        <v>0.24179999999999999</v>
      </c>
      <c r="N4269" s="54"/>
    </row>
    <row r="4270" spans="2:14" x14ac:dyDescent="0.2">
      <c r="B4270">
        <f t="shared" si="178"/>
        <v>4261</v>
      </c>
      <c r="C4270" s="52">
        <f ca="1"/>
        <v>-0.88742790519379089</v>
      </c>
      <c r="D4270" s="52">
        <f ca="1">S0*EXP((μ-0.5*σ*σ)*T+σ*SQRT(T)*$C4270)</f>
        <v>0.50377575301102095</v>
      </c>
      <c r="E4270" s="52">
        <f t="shared" ca="1" si="176"/>
        <v>3.0624246988979031E-2</v>
      </c>
      <c r="F4270" s="17">
        <f t="shared" ca="1" si="177"/>
        <v>1</v>
      </c>
      <c r="H4270" s="17">
        <v>4261</v>
      </c>
      <c r="I4270" s="45">
        <v>0.67035246409161409</v>
      </c>
      <c r="J4270" s="45">
        <v>1.8613576945981286E-2</v>
      </c>
      <c r="K4270" s="45">
        <v>0.246</v>
      </c>
      <c r="N4270" s="54"/>
    </row>
    <row r="4271" spans="2:14" x14ac:dyDescent="0.2">
      <c r="B4271">
        <f t="shared" si="178"/>
        <v>4262</v>
      </c>
      <c r="C4271" s="52">
        <f ca="1"/>
        <v>0.6129313822400253</v>
      </c>
      <c r="D4271" s="52">
        <f ca="1">S0*EXP((μ-0.5*σ*σ)*T+σ*SQRT(T)*$C4271)</f>
        <v>0.7627111001258291</v>
      </c>
      <c r="E4271" s="52">
        <f t="shared" ca="1" si="176"/>
        <v>0</v>
      </c>
      <c r="F4271" s="17">
        <f t="shared" ca="1" si="177"/>
        <v>0</v>
      </c>
      <c r="H4271" s="17">
        <v>4262</v>
      </c>
      <c r="I4271" s="45">
        <v>0.67242693282286603</v>
      </c>
      <c r="J4271" s="45">
        <v>1.9779914820922166E-2</v>
      </c>
      <c r="K4271" s="45">
        <v>0.246</v>
      </c>
      <c r="N4271" s="54"/>
    </row>
    <row r="4272" spans="2:14" x14ac:dyDescent="0.2">
      <c r="B4272">
        <f t="shared" si="178"/>
        <v>4263</v>
      </c>
      <c r="C4272" s="52">
        <f ca="1"/>
        <v>-0.6445219743128271</v>
      </c>
      <c r="D4272" s="52">
        <f ca="1">S0*EXP((μ-0.5*σ*σ)*T+σ*SQRT(T)*$C4272)</f>
        <v>0.53876437944848132</v>
      </c>
      <c r="E4272" s="52">
        <f t="shared" ca="1" si="176"/>
        <v>0</v>
      </c>
      <c r="F4272" s="17">
        <f t="shared" ca="1" si="177"/>
        <v>0</v>
      </c>
      <c r="H4272" s="17">
        <v>4263</v>
      </c>
      <c r="I4272" s="45">
        <v>0.67194412886176091</v>
      </c>
      <c r="J4272" s="45">
        <v>1.9903602173899981E-2</v>
      </c>
      <c r="K4272" s="45">
        <v>0.25380000000000003</v>
      </c>
      <c r="N4272" s="54"/>
    </row>
    <row r="4273" spans="2:14" x14ac:dyDescent="0.2">
      <c r="B4273">
        <f t="shared" si="178"/>
        <v>4264</v>
      </c>
      <c r="C4273" s="52">
        <f ca="1"/>
        <v>0.21571202250719471</v>
      </c>
      <c r="D4273" s="52">
        <f ca="1">S0*EXP((μ-0.5*σ*σ)*T+σ*SQRT(T)*$C4273)</f>
        <v>0.68339633512938636</v>
      </c>
      <c r="E4273" s="52">
        <f t="shared" ca="1" si="176"/>
        <v>0</v>
      </c>
      <c r="F4273" s="17">
        <f t="shared" ca="1" si="177"/>
        <v>0</v>
      </c>
      <c r="H4273" s="17">
        <v>4264</v>
      </c>
      <c r="I4273" s="45">
        <v>0.67129022986729892</v>
      </c>
      <c r="J4273" s="45">
        <v>1.8923415322352845E-2</v>
      </c>
      <c r="K4273" s="45">
        <v>0.24379999999999999</v>
      </c>
      <c r="N4273" s="54"/>
    </row>
    <row r="4274" spans="2:14" x14ac:dyDescent="0.2">
      <c r="B4274">
        <f t="shared" si="178"/>
        <v>4265</v>
      </c>
      <c r="C4274" s="52">
        <f ca="1"/>
        <v>0.5827994894963936</v>
      </c>
      <c r="D4274" s="52">
        <f ca="1">S0*EXP((μ-0.5*σ*σ)*T+σ*SQRT(T)*$C4274)</f>
        <v>0.7563845326646732</v>
      </c>
      <c r="E4274" s="52">
        <f t="shared" ca="1" si="176"/>
        <v>0</v>
      </c>
      <c r="F4274" s="17">
        <f t="shared" ca="1" si="177"/>
        <v>0</v>
      </c>
      <c r="H4274" s="17">
        <v>4265</v>
      </c>
      <c r="I4274" s="45">
        <v>0.67089245027133826</v>
      </c>
      <c r="J4274" s="45">
        <v>1.9003807018356141E-2</v>
      </c>
      <c r="K4274" s="45">
        <v>0.24360000000000001</v>
      </c>
      <c r="N4274" s="54"/>
    </row>
    <row r="4275" spans="2:14" x14ac:dyDescent="0.2">
      <c r="B4275">
        <f t="shared" si="178"/>
        <v>4266</v>
      </c>
      <c r="C4275" s="52">
        <f ca="1"/>
        <v>6.1291564746691611E-2</v>
      </c>
      <c r="D4275" s="52">
        <f ca="1">S0*EXP((μ-0.5*σ*σ)*T+σ*SQRT(T)*$C4275)</f>
        <v>0.65483817351025164</v>
      </c>
      <c r="E4275" s="52">
        <f t="shared" ca="1" si="176"/>
        <v>0</v>
      </c>
      <c r="F4275" s="17">
        <f t="shared" ca="1" si="177"/>
        <v>0</v>
      </c>
      <c r="H4275" s="17">
        <v>4266</v>
      </c>
      <c r="I4275" s="45">
        <v>0.670706684736318</v>
      </c>
      <c r="J4275" s="45">
        <v>1.877607602926502E-2</v>
      </c>
      <c r="K4275" s="45">
        <v>0.25019999999999998</v>
      </c>
      <c r="N4275" s="54"/>
    </row>
    <row r="4276" spans="2:14" x14ac:dyDescent="0.2">
      <c r="B4276">
        <f t="shared" si="178"/>
        <v>4267</v>
      </c>
      <c r="C4276" s="52">
        <f ca="1"/>
        <v>5.951026968846445E-2</v>
      </c>
      <c r="D4276" s="52">
        <f ca="1">S0*EXP((μ-0.5*σ*σ)*T+σ*SQRT(T)*$C4276)</f>
        <v>0.65451580541527465</v>
      </c>
      <c r="E4276" s="52">
        <f t="shared" ca="1" si="176"/>
        <v>0</v>
      </c>
      <c r="F4276" s="17">
        <f t="shared" ca="1" si="177"/>
        <v>0</v>
      </c>
      <c r="H4276" s="17">
        <v>4267</v>
      </c>
      <c r="I4276" s="45">
        <v>0.67077565368506864</v>
      </c>
      <c r="J4276" s="45">
        <v>1.8774275196441575E-2</v>
      </c>
      <c r="K4276" s="45">
        <v>0.23960000000000001</v>
      </c>
      <c r="N4276" s="54"/>
    </row>
    <row r="4277" spans="2:14" x14ac:dyDescent="0.2">
      <c r="B4277">
        <f t="shared" si="178"/>
        <v>4268</v>
      </c>
      <c r="C4277" s="52">
        <f ca="1"/>
        <v>-2.3135271658599308</v>
      </c>
      <c r="D4277" s="52">
        <f ca="1">S0*EXP((μ-0.5*σ*σ)*T+σ*SQRT(T)*$C4277)</f>
        <v>0.33964842283961277</v>
      </c>
      <c r="E4277" s="52">
        <f t="shared" ca="1" si="176"/>
        <v>0.19475157716038721</v>
      </c>
      <c r="F4277" s="17">
        <f t="shared" ca="1" si="177"/>
        <v>1</v>
      </c>
      <c r="H4277" s="17">
        <v>4268</v>
      </c>
      <c r="I4277" s="45">
        <v>0.67126525184191921</v>
      </c>
      <c r="J4277" s="45">
        <v>1.9041033400428658E-2</v>
      </c>
      <c r="K4277" s="45">
        <v>0.24840000000000001</v>
      </c>
      <c r="N4277" s="54"/>
    </row>
    <row r="4278" spans="2:14" x14ac:dyDescent="0.2">
      <c r="B4278">
        <f t="shared" si="178"/>
        <v>4269</v>
      </c>
      <c r="C4278" s="52">
        <f ca="1"/>
        <v>-0.23681125433058639</v>
      </c>
      <c r="D4278" s="52">
        <f ca="1">S0*EXP((μ-0.5*σ*σ)*T+σ*SQRT(T)*$C4278)</f>
        <v>0.6030395783771324</v>
      </c>
      <c r="E4278" s="52">
        <f t="shared" ca="1" si="176"/>
        <v>0</v>
      </c>
      <c r="F4278" s="17">
        <f t="shared" ca="1" si="177"/>
        <v>0</v>
      </c>
      <c r="H4278" s="17">
        <v>4269</v>
      </c>
      <c r="I4278" s="45">
        <v>0.67076520469761103</v>
      </c>
      <c r="J4278" s="45">
        <v>1.8911091529366895E-2</v>
      </c>
      <c r="K4278" s="45">
        <v>0.24099999999999999</v>
      </c>
      <c r="N4278" s="54"/>
    </row>
    <row r="4279" spans="2:14" x14ac:dyDescent="0.2">
      <c r="B4279">
        <f t="shared" si="178"/>
        <v>4270</v>
      </c>
      <c r="C4279" s="52">
        <f ca="1"/>
        <v>-0.20871473764390966</v>
      </c>
      <c r="D4279" s="52">
        <f ca="1">S0*EXP((μ-0.5*σ*σ)*T+σ*SQRT(T)*$C4279)</f>
        <v>0.60774149634510544</v>
      </c>
      <c r="E4279" s="52">
        <f t="shared" ca="1" si="176"/>
        <v>0</v>
      </c>
      <c r="F4279" s="17">
        <f t="shared" ca="1" si="177"/>
        <v>0</v>
      </c>
      <c r="H4279" s="17">
        <v>4270</v>
      </c>
      <c r="I4279" s="45">
        <v>0.67147338438979465</v>
      </c>
      <c r="J4279" s="45">
        <v>1.9194910013366848E-2</v>
      </c>
      <c r="K4279" s="45">
        <v>0.24260000000000001</v>
      </c>
      <c r="N4279" s="54"/>
    </row>
    <row r="4280" spans="2:14" x14ac:dyDescent="0.2">
      <c r="B4280">
        <f t="shared" si="178"/>
        <v>4271</v>
      </c>
      <c r="C4280" s="52">
        <f ca="1"/>
        <v>-1.3252429969141526</v>
      </c>
      <c r="D4280" s="52">
        <f ca="1">S0*EXP((μ-0.5*σ*σ)*T+σ*SQRT(T)*$C4280)</f>
        <v>0.4463506743891873</v>
      </c>
      <c r="E4280" s="52">
        <f t="shared" ca="1" si="176"/>
        <v>8.804932561081269E-2</v>
      </c>
      <c r="F4280" s="17">
        <f t="shared" ca="1" si="177"/>
        <v>1</v>
      </c>
      <c r="H4280" s="17">
        <v>4271</v>
      </c>
      <c r="I4280" s="45">
        <v>0.67184874611293777</v>
      </c>
      <c r="J4280" s="45">
        <v>1.9832136374230085E-2</v>
      </c>
      <c r="K4280" s="45">
        <v>0.253</v>
      </c>
      <c r="N4280" s="54"/>
    </row>
    <row r="4281" spans="2:14" x14ac:dyDescent="0.2">
      <c r="B4281">
        <f t="shared" si="178"/>
        <v>4272</v>
      </c>
      <c r="C4281" s="52">
        <f ca="1"/>
        <v>0.52338229794663516</v>
      </c>
      <c r="D4281" s="52">
        <f ca="1">S0*EXP((μ-0.5*σ*σ)*T+σ*SQRT(T)*$C4281)</f>
        <v>0.74406250572890442</v>
      </c>
      <c r="E4281" s="52">
        <f t="shared" ca="1" si="176"/>
        <v>0</v>
      </c>
      <c r="F4281" s="17">
        <f t="shared" ca="1" si="177"/>
        <v>0</v>
      </c>
      <c r="H4281" s="17">
        <v>4272</v>
      </c>
      <c r="I4281" s="45">
        <v>0.66978976763015585</v>
      </c>
      <c r="J4281" s="45">
        <v>1.8183997536289954E-2</v>
      </c>
      <c r="K4281" s="45">
        <v>0.24579999999999999</v>
      </c>
      <c r="N4281" s="54"/>
    </row>
    <row r="4282" spans="2:14" x14ac:dyDescent="0.2">
      <c r="B4282">
        <f t="shared" si="178"/>
        <v>4273</v>
      </c>
      <c r="C4282" s="52">
        <f ca="1"/>
        <v>-0.82332185229667254</v>
      </c>
      <c r="D4282" s="52">
        <f ca="1">S0*EXP((μ-0.5*σ*σ)*T+σ*SQRT(T)*$C4282)</f>
        <v>0.51278273239238792</v>
      </c>
      <c r="E4282" s="52">
        <f t="shared" ca="1" si="176"/>
        <v>2.1617267607612067E-2</v>
      </c>
      <c r="F4282" s="17">
        <f t="shared" ca="1" si="177"/>
        <v>1</v>
      </c>
      <c r="H4282" s="17">
        <v>4273</v>
      </c>
      <c r="I4282" s="45">
        <v>0.67234226843883249</v>
      </c>
      <c r="J4282" s="45">
        <v>2.0151079842888258E-2</v>
      </c>
      <c r="K4282" s="45">
        <v>0.254</v>
      </c>
      <c r="N4282" s="54"/>
    </row>
    <row r="4283" spans="2:14" x14ac:dyDescent="0.2">
      <c r="B4283">
        <f t="shared" si="178"/>
        <v>4274</v>
      </c>
      <c r="C4283" s="52">
        <f ca="1"/>
        <v>-0.68252915469022191</v>
      </c>
      <c r="D4283" s="52">
        <f ca="1">S0*EXP((μ-0.5*σ*σ)*T+σ*SQRT(T)*$C4283)</f>
        <v>0.53313352624224697</v>
      </c>
      <c r="E4283" s="52">
        <f t="shared" ca="1" si="176"/>
        <v>1.2664737577530172E-3</v>
      </c>
      <c r="F4283" s="17">
        <f t="shared" ca="1" si="177"/>
        <v>1</v>
      </c>
      <c r="H4283" s="17">
        <v>4274</v>
      </c>
      <c r="I4283" s="45">
        <v>0.67131758408353825</v>
      </c>
      <c r="J4283" s="45">
        <v>1.9292955272217183E-2</v>
      </c>
      <c r="K4283" s="45">
        <v>0.251</v>
      </c>
      <c r="N4283" s="54"/>
    </row>
    <row r="4284" spans="2:14" x14ac:dyDescent="0.2">
      <c r="B4284">
        <f t="shared" si="178"/>
        <v>4275</v>
      </c>
      <c r="C4284" s="52">
        <f ca="1"/>
        <v>-0.62450972100938695</v>
      </c>
      <c r="D4284" s="52">
        <f ca="1">S0*EXP((μ-0.5*σ*σ)*T+σ*SQRT(T)*$C4284)</f>
        <v>0.54175310342833438</v>
      </c>
      <c r="E4284" s="52">
        <f t="shared" ca="1" si="176"/>
        <v>0</v>
      </c>
      <c r="F4284" s="17">
        <f t="shared" ca="1" si="177"/>
        <v>0</v>
      </c>
      <c r="H4284" s="17">
        <v>4275</v>
      </c>
      <c r="I4284" s="45">
        <v>0.67089808523922967</v>
      </c>
      <c r="J4284" s="45">
        <v>1.9026352712629351E-2</v>
      </c>
      <c r="K4284" s="45">
        <v>0.25</v>
      </c>
      <c r="N4284" s="54"/>
    </row>
    <row r="4285" spans="2:14" x14ac:dyDescent="0.2">
      <c r="B4285">
        <f t="shared" si="178"/>
        <v>4276</v>
      </c>
      <c r="C4285" s="52">
        <f ca="1"/>
        <v>1.6124003907096947</v>
      </c>
      <c r="D4285" s="52">
        <f ca="1">S0*EXP((μ-0.5*σ*σ)*T+σ*SQRT(T)*$C4285)</f>
        <v>1.0054244327335202</v>
      </c>
      <c r="E4285" s="52">
        <f t="shared" ca="1" si="176"/>
        <v>0</v>
      </c>
      <c r="F4285" s="17">
        <f t="shared" ca="1" si="177"/>
        <v>0</v>
      </c>
      <c r="H4285" s="17">
        <v>4276</v>
      </c>
      <c r="I4285" s="45">
        <v>0.67041701226342532</v>
      </c>
      <c r="J4285" s="45">
        <v>1.8734021925830683E-2</v>
      </c>
      <c r="K4285" s="45">
        <v>0.25</v>
      </c>
      <c r="N4285" s="54"/>
    </row>
    <row r="4286" spans="2:14" x14ac:dyDescent="0.2">
      <c r="B4286">
        <f t="shared" si="178"/>
        <v>4277</v>
      </c>
      <c r="C4286" s="52">
        <f ca="1"/>
        <v>0.78694117485806081</v>
      </c>
      <c r="D4286" s="52">
        <f ca="1">S0*EXP((μ-0.5*σ*σ)*T+σ*SQRT(T)*$C4286)</f>
        <v>0.80029570214162182</v>
      </c>
      <c r="E4286" s="52">
        <f t="shared" ca="1" si="176"/>
        <v>0</v>
      </c>
      <c r="F4286" s="17">
        <f t="shared" ca="1" si="177"/>
        <v>0</v>
      </c>
      <c r="H4286" s="17">
        <v>4277</v>
      </c>
      <c r="I4286" s="45">
        <v>0.67051576353275433</v>
      </c>
      <c r="J4286" s="45">
        <v>1.8652550263080069E-2</v>
      </c>
      <c r="K4286" s="45">
        <v>0.24379999999999999</v>
      </c>
      <c r="N4286" s="54"/>
    </row>
    <row r="4287" spans="2:14" x14ac:dyDescent="0.2">
      <c r="B4287">
        <f t="shared" si="178"/>
        <v>4278</v>
      </c>
      <c r="C4287" s="52">
        <f ca="1"/>
        <v>-0.92647235868162792</v>
      </c>
      <c r="D4287" s="52">
        <f ca="1">S0*EXP((μ-0.5*σ*σ)*T+σ*SQRT(T)*$C4287)</f>
        <v>0.49836766021566348</v>
      </c>
      <c r="E4287" s="52">
        <f t="shared" ca="1" si="176"/>
        <v>3.6032339784336509E-2</v>
      </c>
      <c r="F4287" s="17">
        <f t="shared" ca="1" si="177"/>
        <v>1</v>
      </c>
      <c r="H4287" s="17">
        <v>4278</v>
      </c>
      <c r="I4287" s="45">
        <v>0.67093161012574931</v>
      </c>
      <c r="J4287" s="45">
        <v>1.8995192629184674E-2</v>
      </c>
      <c r="K4287" s="45">
        <v>0.2452</v>
      </c>
      <c r="N4287" s="54"/>
    </row>
    <row r="4288" spans="2:14" x14ac:dyDescent="0.2">
      <c r="B4288">
        <f t="shared" si="178"/>
        <v>4279</v>
      </c>
      <c r="C4288" s="52">
        <f ca="1"/>
        <v>-0.93777643522296972</v>
      </c>
      <c r="D4288" s="52">
        <f ca="1">S0*EXP((μ-0.5*σ*σ)*T+σ*SQRT(T)*$C4288)</f>
        <v>0.49681278444581067</v>
      </c>
      <c r="E4288" s="52">
        <f t="shared" ca="1" si="176"/>
        <v>3.7587215554189313E-2</v>
      </c>
      <c r="F4288" s="17">
        <f t="shared" ca="1" si="177"/>
        <v>1</v>
      </c>
      <c r="H4288" s="17">
        <v>4279</v>
      </c>
      <c r="I4288" s="45">
        <v>0.67244627677047042</v>
      </c>
      <c r="J4288" s="45">
        <v>2.0059159955558924E-2</v>
      </c>
      <c r="K4288" s="45">
        <v>0.25640000000000002</v>
      </c>
      <c r="N4288" s="54"/>
    </row>
    <row r="4289" spans="2:14" x14ac:dyDescent="0.2">
      <c r="B4289">
        <f t="shared" si="178"/>
        <v>4280</v>
      </c>
      <c r="C4289" s="52">
        <f ca="1"/>
        <v>-0.74626191724063817</v>
      </c>
      <c r="D4289" s="52">
        <f ca="1">S0*EXP((μ-0.5*σ*σ)*T+σ*SQRT(T)*$C4289)</f>
        <v>0.52382313742929276</v>
      </c>
      <c r="E4289" s="52">
        <f t="shared" ca="1" si="176"/>
        <v>1.0576862570707224E-2</v>
      </c>
      <c r="F4289" s="17">
        <f t="shared" ca="1" si="177"/>
        <v>1</v>
      </c>
      <c r="H4289" s="17">
        <v>4280</v>
      </c>
      <c r="I4289" s="45">
        <v>0.67104315499296951</v>
      </c>
      <c r="J4289" s="45">
        <v>1.9316566322461485E-2</v>
      </c>
      <c r="K4289" s="45">
        <v>0.25580000000000003</v>
      </c>
      <c r="N4289" s="54"/>
    </row>
    <row r="4290" spans="2:14" x14ac:dyDescent="0.2">
      <c r="B4290">
        <f t="shared" si="178"/>
        <v>4281</v>
      </c>
      <c r="C4290" s="52">
        <f ca="1"/>
        <v>-0.55573098198311854</v>
      </c>
      <c r="D4290" s="52">
        <f ca="1">S0*EXP((μ-0.5*σ*σ)*T+σ*SQRT(T)*$C4290)</f>
        <v>0.55215182215430059</v>
      </c>
      <c r="E4290" s="52">
        <f t="shared" ca="1" si="176"/>
        <v>0</v>
      </c>
      <c r="F4290" s="17">
        <f t="shared" ca="1" si="177"/>
        <v>0</v>
      </c>
      <c r="H4290" s="17">
        <v>4281</v>
      </c>
      <c r="I4290" s="45">
        <v>0.66943309470868573</v>
      </c>
      <c r="J4290" s="45">
        <v>1.790211617707578E-2</v>
      </c>
      <c r="K4290" s="45">
        <v>0.24440000000000001</v>
      </c>
      <c r="N4290" s="54"/>
    </row>
    <row r="4291" spans="2:14" x14ac:dyDescent="0.2">
      <c r="B4291">
        <f t="shared" si="178"/>
        <v>4282</v>
      </c>
      <c r="C4291" s="52">
        <f ca="1"/>
        <v>0.10246606384009373</v>
      </c>
      <c r="D4291" s="52">
        <f ca="1">S0*EXP((μ-0.5*σ*σ)*T+σ*SQRT(T)*$C4291)</f>
        <v>0.66233410040801333</v>
      </c>
      <c r="E4291" s="52">
        <f t="shared" ca="1" si="176"/>
        <v>0</v>
      </c>
      <c r="F4291" s="17">
        <f t="shared" ca="1" si="177"/>
        <v>0</v>
      </c>
      <c r="H4291" s="17">
        <v>4282</v>
      </c>
      <c r="I4291" s="45">
        <v>0.67071924843589126</v>
      </c>
      <c r="J4291" s="45">
        <v>1.8473414966343943E-2</v>
      </c>
      <c r="K4291" s="45">
        <v>0.24560000000000001</v>
      </c>
      <c r="N4291" s="54"/>
    </row>
    <row r="4292" spans="2:14" x14ac:dyDescent="0.2">
      <c r="B4292">
        <f t="shared" si="178"/>
        <v>4283</v>
      </c>
      <c r="C4292" s="52">
        <f ca="1"/>
        <v>1.0544364869688854</v>
      </c>
      <c r="D4292" s="52">
        <f ca="1">S0*EXP((μ-0.5*σ*σ)*T+σ*SQRT(T)*$C4292)</f>
        <v>0.86171594689442088</v>
      </c>
      <c r="E4292" s="52">
        <f t="shared" ca="1" si="176"/>
        <v>0</v>
      </c>
      <c r="F4292" s="17">
        <f t="shared" ca="1" si="177"/>
        <v>0</v>
      </c>
      <c r="H4292" s="17">
        <v>4283</v>
      </c>
      <c r="I4292" s="45">
        <v>0.6708168412019242</v>
      </c>
      <c r="J4292" s="45">
        <v>1.8752807941786416E-2</v>
      </c>
      <c r="K4292" s="45">
        <v>0.24859999999999999</v>
      </c>
      <c r="N4292" s="54"/>
    </row>
    <row r="4293" spans="2:14" x14ac:dyDescent="0.2">
      <c r="B4293">
        <f t="shared" si="178"/>
        <v>4284</v>
      </c>
      <c r="C4293" s="52">
        <f ca="1"/>
        <v>-3.2641791280654531E-2</v>
      </c>
      <c r="D4293" s="52">
        <f ca="1">S0*EXP((μ-0.5*σ*σ)*T+σ*SQRT(T)*$C4293)</f>
        <v>0.63805335482821424</v>
      </c>
      <c r="E4293" s="52">
        <f t="shared" ca="1" si="176"/>
        <v>0</v>
      </c>
      <c r="F4293" s="17">
        <f t="shared" ca="1" si="177"/>
        <v>0</v>
      </c>
      <c r="H4293" s="17">
        <v>4284</v>
      </c>
      <c r="I4293" s="45">
        <v>0.6715056086050667</v>
      </c>
      <c r="J4293" s="45">
        <v>1.9435547397552162E-2</v>
      </c>
      <c r="K4293" s="45">
        <v>0.25080000000000002</v>
      </c>
      <c r="N4293" s="54"/>
    </row>
    <row r="4294" spans="2:14" x14ac:dyDescent="0.2">
      <c r="B4294">
        <f t="shared" si="178"/>
        <v>4285</v>
      </c>
      <c r="C4294" s="52">
        <f ca="1"/>
        <v>1.6448028913430057</v>
      </c>
      <c r="D4294" s="52">
        <f ca="1">S0*EXP((μ-0.5*σ*σ)*T+σ*SQRT(T)*$C4294)</f>
        <v>1.0144705777762786</v>
      </c>
      <c r="E4294" s="52">
        <f t="shared" ca="1" si="176"/>
        <v>0</v>
      </c>
      <c r="F4294" s="17">
        <f t="shared" ca="1" si="177"/>
        <v>0</v>
      </c>
      <c r="H4294" s="17">
        <v>4285</v>
      </c>
      <c r="I4294" s="45">
        <v>0.67172700070571389</v>
      </c>
      <c r="J4294" s="45">
        <v>1.9305139864634457E-2</v>
      </c>
      <c r="K4294" s="45">
        <v>0.25180000000000002</v>
      </c>
      <c r="N4294" s="54"/>
    </row>
    <row r="4295" spans="2:14" x14ac:dyDescent="0.2">
      <c r="B4295">
        <f t="shared" si="178"/>
        <v>4286</v>
      </c>
      <c r="C4295" s="52">
        <f ca="1"/>
        <v>0.49081410153737509</v>
      </c>
      <c r="D4295" s="52">
        <f ca="1">S0*EXP((μ-0.5*σ*σ)*T+σ*SQRT(T)*$C4295)</f>
        <v>0.73739384288558463</v>
      </c>
      <c r="E4295" s="52">
        <f t="shared" ca="1" si="176"/>
        <v>0</v>
      </c>
      <c r="F4295" s="17">
        <f t="shared" ca="1" si="177"/>
        <v>0</v>
      </c>
      <c r="H4295" s="17">
        <v>4286</v>
      </c>
      <c r="I4295" s="45">
        <v>0.67146422543019324</v>
      </c>
      <c r="J4295" s="45">
        <v>1.9998360690356654E-2</v>
      </c>
      <c r="K4295" s="45">
        <v>0.26019999999999999</v>
      </c>
      <c r="N4295" s="54"/>
    </row>
    <row r="4296" spans="2:14" x14ac:dyDescent="0.2">
      <c r="B4296">
        <f t="shared" si="178"/>
        <v>4287</v>
      </c>
      <c r="C4296" s="52">
        <f ca="1"/>
        <v>0.35455851732824223</v>
      </c>
      <c r="D4296" s="52">
        <f ca="1">S0*EXP((μ-0.5*σ*σ)*T+σ*SQRT(T)*$C4296)</f>
        <v>0.71013611465984794</v>
      </c>
      <c r="E4296" s="52">
        <f t="shared" ca="1" si="176"/>
        <v>0</v>
      </c>
      <c r="F4296" s="17">
        <f t="shared" ca="1" si="177"/>
        <v>0</v>
      </c>
      <c r="H4296" s="17">
        <v>4287</v>
      </c>
      <c r="I4296" s="45">
        <v>0.67200333514080135</v>
      </c>
      <c r="J4296" s="45">
        <v>1.9741841482755623E-2</v>
      </c>
      <c r="K4296" s="45">
        <v>0.25679999999999997</v>
      </c>
      <c r="N4296" s="54"/>
    </row>
    <row r="4297" spans="2:14" x14ac:dyDescent="0.2">
      <c r="B4297">
        <f t="shared" si="178"/>
        <v>4288</v>
      </c>
      <c r="C4297" s="52">
        <f ca="1"/>
        <v>1.3512871801536135</v>
      </c>
      <c r="D4297" s="52">
        <f ca="1">S0*EXP((μ-0.5*σ*σ)*T+σ*SQRT(T)*$C4297)</f>
        <v>0.93540993980457465</v>
      </c>
      <c r="E4297" s="52">
        <f t="shared" ca="1" si="176"/>
        <v>0</v>
      </c>
      <c r="F4297" s="17">
        <f t="shared" ca="1" si="177"/>
        <v>0</v>
      </c>
      <c r="H4297" s="17">
        <v>4288</v>
      </c>
      <c r="I4297" s="45">
        <v>0.66943203803652096</v>
      </c>
      <c r="J4297" s="45">
        <v>1.7902290595692476E-2</v>
      </c>
      <c r="K4297" s="45">
        <v>0.2412</v>
      </c>
      <c r="N4297" s="54"/>
    </row>
    <row r="4298" spans="2:14" x14ac:dyDescent="0.2">
      <c r="B4298">
        <f t="shared" si="178"/>
        <v>4289</v>
      </c>
      <c r="C4298" s="52">
        <f ca="1"/>
        <v>0.87144637986125384</v>
      </c>
      <c r="D4298" s="52">
        <f ca="1">S0*EXP((μ-0.5*σ*σ)*T+σ*SQRT(T)*$C4298)</f>
        <v>0.81921066518922769</v>
      </c>
      <c r="E4298" s="52">
        <f t="shared" ref="E4298:E4361" ca="1" si="179">MAX(0,CP*(D4298-K))</f>
        <v>0</v>
      </c>
      <c r="F4298" s="17">
        <f t="shared" ref="F4298:F4361" ca="1" si="180">(CP*(D4298-K)&gt;0)*1</f>
        <v>0</v>
      </c>
      <c r="H4298" s="17">
        <v>4289</v>
      </c>
      <c r="I4298" s="45">
        <v>0.6715552165223666</v>
      </c>
      <c r="J4298" s="45">
        <v>1.9461809079511002E-2</v>
      </c>
      <c r="K4298" s="45">
        <v>0.24759999999999999</v>
      </c>
      <c r="N4298" s="54"/>
    </row>
    <row r="4299" spans="2:14" x14ac:dyDescent="0.2">
      <c r="B4299">
        <f t="shared" si="178"/>
        <v>4290</v>
      </c>
      <c r="C4299" s="52">
        <f ca="1"/>
        <v>0.74269389929452356</v>
      </c>
      <c r="D4299" s="52">
        <f ca="1">S0*EXP((μ-0.5*σ*σ)*T+σ*SQRT(T)*$C4299)</f>
        <v>0.79056659833734622</v>
      </c>
      <c r="E4299" s="52">
        <f t="shared" ca="1" si="179"/>
        <v>0</v>
      </c>
      <c r="F4299" s="17">
        <f t="shared" ca="1" si="180"/>
        <v>0</v>
      </c>
      <c r="H4299" s="17">
        <v>4290</v>
      </c>
      <c r="I4299" s="45">
        <v>0.67034598564803993</v>
      </c>
      <c r="J4299" s="45">
        <v>1.8585714951658814E-2</v>
      </c>
      <c r="K4299" s="45">
        <v>0.247</v>
      </c>
      <c r="N4299" s="54"/>
    </row>
    <row r="4300" spans="2:14" x14ac:dyDescent="0.2">
      <c r="B4300">
        <f t="shared" si="178"/>
        <v>4291</v>
      </c>
      <c r="C4300" s="52">
        <f ca="1"/>
        <v>1.0537062709938754</v>
      </c>
      <c r="D4300" s="52">
        <f ca="1">S0*EXP((μ-0.5*σ*σ)*T+σ*SQRT(T)*$C4300)</f>
        <v>0.86154202239977773</v>
      </c>
      <c r="E4300" s="52">
        <f t="shared" ca="1" si="179"/>
        <v>0</v>
      </c>
      <c r="F4300" s="17">
        <f t="shared" ca="1" si="180"/>
        <v>0</v>
      </c>
      <c r="H4300" s="17">
        <v>4291</v>
      </c>
      <c r="I4300" s="45">
        <v>0.67068680771407185</v>
      </c>
      <c r="J4300" s="45">
        <v>1.8889563431274865E-2</v>
      </c>
      <c r="K4300" s="45">
        <v>0.25019999999999998</v>
      </c>
      <c r="N4300" s="54"/>
    </row>
    <row r="4301" spans="2:14" x14ac:dyDescent="0.2">
      <c r="B4301">
        <f t="shared" si="178"/>
        <v>4292</v>
      </c>
      <c r="C4301" s="52">
        <f ca="1"/>
        <v>-0.2405587507075615</v>
      </c>
      <c r="D4301" s="52">
        <f ca="1">S0*EXP((μ-0.5*σ*σ)*T+σ*SQRT(T)*$C4301)</f>
        <v>0.60241519514706232</v>
      </c>
      <c r="E4301" s="52">
        <f t="shared" ca="1" si="179"/>
        <v>0</v>
      </c>
      <c r="F4301" s="17">
        <f t="shared" ca="1" si="180"/>
        <v>0</v>
      </c>
      <c r="H4301" s="17">
        <v>4292</v>
      </c>
      <c r="I4301" s="45">
        <v>0.67026517389182538</v>
      </c>
      <c r="J4301" s="45">
        <v>1.8637627012156391E-2</v>
      </c>
      <c r="K4301" s="45">
        <v>0.24299999999999999</v>
      </c>
      <c r="N4301" s="54"/>
    </row>
    <row r="4302" spans="2:14" x14ac:dyDescent="0.2">
      <c r="B4302">
        <f t="shared" si="178"/>
        <v>4293</v>
      </c>
      <c r="C4302" s="52">
        <f ca="1"/>
        <v>0.37564112788118215</v>
      </c>
      <c r="D4302" s="52">
        <f ca="1">S0*EXP((μ-0.5*σ*σ)*T+σ*SQRT(T)*$C4302)</f>
        <v>0.71428681364698665</v>
      </c>
      <c r="E4302" s="52">
        <f t="shared" ca="1" si="179"/>
        <v>0</v>
      </c>
      <c r="F4302" s="17">
        <f t="shared" ca="1" si="180"/>
        <v>0</v>
      </c>
      <c r="H4302" s="17">
        <v>4293</v>
      </c>
      <c r="I4302" s="45">
        <v>0.67158275133265011</v>
      </c>
      <c r="J4302" s="45">
        <v>1.9391514176767568E-2</v>
      </c>
      <c r="K4302" s="45">
        <v>0.247</v>
      </c>
      <c r="N4302" s="54"/>
    </row>
    <row r="4303" spans="2:14" x14ac:dyDescent="0.2">
      <c r="B4303">
        <f t="shared" si="178"/>
        <v>4294</v>
      </c>
      <c r="C4303" s="52">
        <f ca="1"/>
        <v>0.66260495935499464</v>
      </c>
      <c r="D4303" s="52">
        <f ca="1">S0*EXP((μ-0.5*σ*σ)*T+σ*SQRT(T)*$C4303)</f>
        <v>0.7732564203024862</v>
      </c>
      <c r="E4303" s="52">
        <f t="shared" ca="1" si="179"/>
        <v>0</v>
      </c>
      <c r="F4303" s="17">
        <f t="shared" ca="1" si="180"/>
        <v>0</v>
      </c>
      <c r="H4303" s="17">
        <v>4294</v>
      </c>
      <c r="I4303" s="45">
        <v>0.67073968908066683</v>
      </c>
      <c r="J4303" s="45">
        <v>1.9114763565497978E-2</v>
      </c>
      <c r="K4303" s="45">
        <v>0.24579999999999999</v>
      </c>
      <c r="N4303" s="54"/>
    </row>
    <row r="4304" spans="2:14" x14ac:dyDescent="0.2">
      <c r="B4304">
        <f t="shared" si="178"/>
        <v>4295</v>
      </c>
      <c r="C4304" s="52">
        <f ca="1"/>
        <v>-0.4531962480679449</v>
      </c>
      <c r="D4304" s="52">
        <f ca="1">S0*EXP((μ-0.5*σ*σ)*T+σ*SQRT(T)*$C4304)</f>
        <v>0.56802588096443751</v>
      </c>
      <c r="E4304" s="52">
        <f t="shared" ca="1" si="179"/>
        <v>0</v>
      </c>
      <c r="F4304" s="17">
        <f t="shared" ca="1" si="180"/>
        <v>0</v>
      </c>
      <c r="H4304" s="17">
        <v>4295</v>
      </c>
      <c r="I4304" s="45">
        <v>0.66994096060540498</v>
      </c>
      <c r="J4304" s="45">
        <v>1.839608780688733E-2</v>
      </c>
      <c r="K4304" s="45">
        <v>0.24959999999999999</v>
      </c>
      <c r="N4304" s="54"/>
    </row>
    <row r="4305" spans="2:14" x14ac:dyDescent="0.2">
      <c r="B4305">
        <f t="shared" si="178"/>
        <v>4296</v>
      </c>
      <c r="C4305" s="52">
        <f ca="1"/>
        <v>-2.7020095646599125</v>
      </c>
      <c r="D4305" s="52">
        <f ca="1">S0*EXP((μ-0.5*σ*σ)*T+σ*SQRT(T)*$C4305)</f>
        <v>0.3050640841126756</v>
      </c>
      <c r="E4305" s="52">
        <f t="shared" ca="1" si="179"/>
        <v>0.22933591588732438</v>
      </c>
      <c r="F4305" s="17">
        <f t="shared" ca="1" si="180"/>
        <v>1</v>
      </c>
      <c r="H4305" s="17">
        <v>4296</v>
      </c>
      <c r="I4305" s="45">
        <v>0.67132955303102848</v>
      </c>
      <c r="J4305" s="45">
        <v>1.9240889450580771E-2</v>
      </c>
      <c r="K4305" s="45">
        <v>0.253</v>
      </c>
      <c r="N4305" s="54"/>
    </row>
    <row r="4306" spans="2:14" x14ac:dyDescent="0.2">
      <c r="B4306">
        <f t="shared" si="178"/>
        <v>4297</v>
      </c>
      <c r="C4306" s="52">
        <f ca="1"/>
        <v>-1.2665549139561463</v>
      </c>
      <c r="D4306" s="52">
        <f ca="1">S0*EXP((μ-0.5*σ*σ)*T+σ*SQRT(T)*$C4306)</f>
        <v>0.45365101035302241</v>
      </c>
      <c r="E4306" s="52">
        <f t="shared" ca="1" si="179"/>
        <v>8.0748989646977576E-2</v>
      </c>
      <c r="F4306" s="17">
        <f t="shared" ca="1" si="180"/>
        <v>1</v>
      </c>
      <c r="H4306" s="17">
        <v>4297</v>
      </c>
      <c r="I4306" s="45">
        <v>0.67032609383428776</v>
      </c>
      <c r="J4306" s="45">
        <v>1.8506625268432341E-2</v>
      </c>
      <c r="K4306" s="45">
        <v>0.24440000000000001</v>
      </c>
      <c r="N4306" s="54"/>
    </row>
    <row r="4307" spans="2:14" x14ac:dyDescent="0.2">
      <c r="B4307">
        <f t="shared" si="178"/>
        <v>4298</v>
      </c>
      <c r="C4307" s="52">
        <f ca="1"/>
        <v>-0.67978041074498763</v>
      </c>
      <c r="D4307" s="52">
        <f ca="1">S0*EXP((μ-0.5*σ*σ)*T+σ*SQRT(T)*$C4307)</f>
        <v>0.53353877753581025</v>
      </c>
      <c r="E4307" s="52">
        <f t="shared" ca="1" si="179"/>
        <v>8.6122246418973702E-4</v>
      </c>
      <c r="F4307" s="17">
        <f t="shared" ca="1" si="180"/>
        <v>1</v>
      </c>
      <c r="H4307" s="17">
        <v>4298</v>
      </c>
      <c r="I4307" s="45">
        <v>0.6711810688560006</v>
      </c>
      <c r="J4307" s="45">
        <v>1.9009233234942177E-2</v>
      </c>
      <c r="K4307" s="45">
        <v>0.25</v>
      </c>
      <c r="N4307" s="54"/>
    </row>
    <row r="4308" spans="2:14" x14ac:dyDescent="0.2">
      <c r="B4308">
        <f t="shared" si="178"/>
        <v>4299</v>
      </c>
      <c r="C4308" s="52">
        <f ca="1"/>
        <v>0.59306373038030613</v>
      </c>
      <c r="D4308" s="52">
        <f ca="1">S0*EXP((μ-0.5*σ*σ)*T+σ*SQRT(T)*$C4308)</f>
        <v>0.75853372295374721</v>
      </c>
      <c r="E4308" s="52">
        <f t="shared" ca="1" si="179"/>
        <v>0</v>
      </c>
      <c r="F4308" s="17">
        <f t="shared" ca="1" si="180"/>
        <v>0</v>
      </c>
      <c r="H4308" s="17">
        <v>4299</v>
      </c>
      <c r="I4308" s="45">
        <v>0.67139405622601422</v>
      </c>
      <c r="J4308" s="45">
        <v>1.934336295729569E-2</v>
      </c>
      <c r="K4308" s="45">
        <v>0.25219999999999998</v>
      </c>
      <c r="N4308" s="54"/>
    </row>
    <row r="4309" spans="2:14" x14ac:dyDescent="0.2">
      <c r="B4309">
        <f t="shared" si="178"/>
        <v>4300</v>
      </c>
      <c r="C4309" s="52">
        <f ca="1"/>
        <v>-0.8306491325708919</v>
      </c>
      <c r="D4309" s="52">
        <f ca="1">S0*EXP((μ-0.5*σ*σ)*T+σ*SQRT(T)*$C4309)</f>
        <v>0.51174514290997486</v>
      </c>
      <c r="E4309" s="52">
        <f t="shared" ca="1" si="179"/>
        <v>2.2654857090025127E-2</v>
      </c>
      <c r="F4309" s="17">
        <f t="shared" ca="1" si="180"/>
        <v>1</v>
      </c>
      <c r="H4309" s="17">
        <v>4300</v>
      </c>
      <c r="I4309" s="45">
        <v>0.66960896330129616</v>
      </c>
      <c r="J4309" s="45">
        <v>1.7967299872755683E-2</v>
      </c>
      <c r="K4309" s="45">
        <v>0.24299999999999999</v>
      </c>
      <c r="N4309" s="54"/>
    </row>
    <row r="4310" spans="2:14" x14ac:dyDescent="0.2">
      <c r="B4310">
        <f t="shared" si="178"/>
        <v>4301</v>
      </c>
      <c r="C4310" s="52">
        <f ca="1"/>
        <v>2.9401783479828336</v>
      </c>
      <c r="D4310" s="52">
        <f ca="1">S0*EXP((μ-0.5*σ*σ)*T+σ*SQRT(T)*$C4310)</f>
        <v>1.4512870318664961</v>
      </c>
      <c r="E4310" s="52">
        <f t="shared" ca="1" si="179"/>
        <v>0</v>
      </c>
      <c r="F4310" s="17">
        <f t="shared" ca="1" si="180"/>
        <v>0</v>
      </c>
      <c r="H4310" s="17">
        <v>4301</v>
      </c>
      <c r="I4310" s="45">
        <v>0.67175829131630538</v>
      </c>
      <c r="J4310" s="45">
        <v>1.9413630660103109E-2</v>
      </c>
      <c r="K4310" s="45">
        <v>0.2404</v>
      </c>
      <c r="N4310" s="54"/>
    </row>
    <row r="4311" spans="2:14" x14ac:dyDescent="0.2">
      <c r="B4311">
        <f t="shared" si="178"/>
        <v>4302</v>
      </c>
      <c r="C4311" s="52">
        <f ca="1"/>
        <v>0.45622059210856469</v>
      </c>
      <c r="D4311" s="52">
        <f ca="1">S0*EXP((μ-0.5*σ*σ)*T+σ*SQRT(T)*$C4311)</f>
        <v>0.73037592347483427</v>
      </c>
      <c r="E4311" s="52">
        <f t="shared" ca="1" si="179"/>
        <v>0</v>
      </c>
      <c r="F4311" s="17">
        <f t="shared" ca="1" si="180"/>
        <v>0</v>
      </c>
      <c r="H4311" s="17">
        <v>4302</v>
      </c>
      <c r="I4311" s="45">
        <v>0.67052479965582479</v>
      </c>
      <c r="J4311" s="45">
        <v>1.8783799693551609E-2</v>
      </c>
      <c r="K4311" s="45">
        <v>0.23860000000000001</v>
      </c>
      <c r="N4311" s="54"/>
    </row>
    <row r="4312" spans="2:14" x14ac:dyDescent="0.2">
      <c r="B4312">
        <f t="shared" si="178"/>
        <v>4303</v>
      </c>
      <c r="C4312" s="52">
        <f ca="1"/>
        <v>0.66900603335822395</v>
      </c>
      <c r="D4312" s="52">
        <f ca="1">S0*EXP((μ-0.5*σ*σ)*T+σ*SQRT(T)*$C4312)</f>
        <v>0.7746258817027456</v>
      </c>
      <c r="E4312" s="52">
        <f t="shared" ca="1" si="179"/>
        <v>0</v>
      </c>
      <c r="F4312" s="17">
        <f t="shared" ca="1" si="180"/>
        <v>0</v>
      </c>
      <c r="H4312" s="17">
        <v>4303</v>
      </c>
      <c r="I4312" s="45">
        <v>0.67149297500853433</v>
      </c>
      <c r="J4312" s="45">
        <v>1.9247976957340356E-2</v>
      </c>
      <c r="K4312" s="45">
        <v>0.24759999999999999</v>
      </c>
      <c r="N4312" s="54"/>
    </row>
    <row r="4313" spans="2:14" x14ac:dyDescent="0.2">
      <c r="B4313">
        <f t="shared" si="178"/>
        <v>4304</v>
      </c>
      <c r="C4313" s="52">
        <f ca="1"/>
        <v>2.1540558071610127</v>
      </c>
      <c r="D4313" s="52">
        <f ca="1">S0*EXP((μ-0.5*σ*σ)*T+σ*SQRT(T)*$C4313)</f>
        <v>1.167822544094822</v>
      </c>
      <c r="E4313" s="52">
        <f t="shared" ca="1" si="179"/>
        <v>0</v>
      </c>
      <c r="F4313" s="17">
        <f t="shared" ca="1" si="180"/>
        <v>0</v>
      </c>
      <c r="H4313" s="17">
        <v>4304</v>
      </c>
      <c r="I4313" s="45">
        <v>0.66994100436070791</v>
      </c>
      <c r="J4313" s="45">
        <v>1.8158968855997656E-2</v>
      </c>
      <c r="K4313" s="45">
        <v>0.24660000000000001</v>
      </c>
      <c r="N4313" s="54"/>
    </row>
    <row r="4314" spans="2:14" x14ac:dyDescent="0.2">
      <c r="B4314">
        <f t="shared" si="178"/>
        <v>4305</v>
      </c>
      <c r="C4314" s="52">
        <f ca="1"/>
        <v>0.42874496824789632</v>
      </c>
      <c r="D4314" s="52">
        <f ca="1">S0*EXP((μ-0.5*σ*σ)*T+σ*SQRT(T)*$C4314)</f>
        <v>0.72484961772238743</v>
      </c>
      <c r="E4314" s="52">
        <f t="shared" ca="1" si="179"/>
        <v>0</v>
      </c>
      <c r="F4314" s="17">
        <f t="shared" ca="1" si="180"/>
        <v>0</v>
      </c>
      <c r="H4314" s="17">
        <v>4305</v>
      </c>
      <c r="I4314" s="45">
        <v>0.67172800486804773</v>
      </c>
      <c r="J4314" s="45">
        <v>1.9292842425175399E-2</v>
      </c>
      <c r="K4314" s="45">
        <v>0.23599999999999999</v>
      </c>
      <c r="N4314" s="54"/>
    </row>
    <row r="4315" spans="2:14" x14ac:dyDescent="0.2">
      <c r="B4315">
        <f t="shared" si="178"/>
        <v>4306</v>
      </c>
      <c r="C4315" s="52">
        <f ca="1"/>
        <v>0.34265578575932748</v>
      </c>
      <c r="D4315" s="52">
        <f ca="1">S0*EXP((μ-0.5*σ*σ)*T+σ*SQRT(T)*$C4315)</f>
        <v>0.70780339216734567</v>
      </c>
      <c r="E4315" s="52">
        <f t="shared" ca="1" si="179"/>
        <v>0</v>
      </c>
      <c r="F4315" s="17">
        <f t="shared" ca="1" si="180"/>
        <v>0</v>
      </c>
      <c r="H4315" s="17">
        <v>4306</v>
      </c>
      <c r="I4315" s="45">
        <v>0.67133632432792001</v>
      </c>
      <c r="J4315" s="45">
        <v>1.9283027740848228E-2</v>
      </c>
      <c r="K4315" s="45">
        <v>0.24579999999999999</v>
      </c>
      <c r="N4315" s="54"/>
    </row>
    <row r="4316" spans="2:14" x14ac:dyDescent="0.2">
      <c r="B4316">
        <f t="shared" si="178"/>
        <v>4307</v>
      </c>
      <c r="C4316" s="52">
        <f ca="1"/>
        <v>-0.36380744949036664</v>
      </c>
      <c r="D4316" s="52">
        <f ca="1">S0*EXP((μ-0.5*σ*σ)*T+σ*SQRT(T)*$C4316)</f>
        <v>0.58223663415165594</v>
      </c>
      <c r="E4316" s="52">
        <f t="shared" ca="1" si="179"/>
        <v>0</v>
      </c>
      <c r="F4316" s="17">
        <f t="shared" ca="1" si="180"/>
        <v>0</v>
      </c>
      <c r="H4316" s="17">
        <v>4307</v>
      </c>
      <c r="I4316" s="45">
        <v>0.67045646491925492</v>
      </c>
      <c r="J4316" s="45">
        <v>1.8471311541030776E-2</v>
      </c>
      <c r="K4316" s="45">
        <v>0.23760000000000001</v>
      </c>
      <c r="N4316" s="54"/>
    </row>
    <row r="4317" spans="2:14" x14ac:dyDescent="0.2">
      <c r="B4317">
        <f t="shared" si="178"/>
        <v>4308</v>
      </c>
      <c r="C4317" s="52">
        <f ca="1"/>
        <v>-0.76674449292986613</v>
      </c>
      <c r="D4317" s="52">
        <f ca="1">S0*EXP((μ-0.5*σ*σ)*T+σ*SQRT(T)*$C4317)</f>
        <v>0.52086560544984706</v>
      </c>
      <c r="E4317" s="52">
        <f t="shared" ca="1" si="179"/>
        <v>1.3534394550152928E-2</v>
      </c>
      <c r="F4317" s="17">
        <f t="shared" ca="1" si="180"/>
        <v>1</v>
      </c>
      <c r="H4317" s="17">
        <v>4308</v>
      </c>
      <c r="I4317" s="45">
        <v>0.67250233104804069</v>
      </c>
      <c r="J4317" s="45">
        <v>2.0298785821499191E-2</v>
      </c>
      <c r="K4317" s="45">
        <v>0.25080000000000002</v>
      </c>
      <c r="N4317" s="54"/>
    </row>
    <row r="4318" spans="2:14" x14ac:dyDescent="0.2">
      <c r="B4318">
        <f t="shared" si="178"/>
        <v>4309</v>
      </c>
      <c r="C4318" s="52">
        <f ca="1"/>
        <v>-0.70507046479065383</v>
      </c>
      <c r="D4318" s="52">
        <f ca="1">S0*EXP((μ-0.5*σ*σ)*T+σ*SQRT(T)*$C4318)</f>
        <v>0.52982181932672479</v>
      </c>
      <c r="E4318" s="52">
        <f t="shared" ca="1" si="179"/>
        <v>4.5781806732752006E-3</v>
      </c>
      <c r="F4318" s="17">
        <f t="shared" ca="1" si="180"/>
        <v>1</v>
      </c>
      <c r="H4318" s="17">
        <v>4309</v>
      </c>
      <c r="I4318" s="45">
        <v>0.67029048337134078</v>
      </c>
      <c r="J4318" s="45">
        <v>1.8763444101652562E-2</v>
      </c>
      <c r="K4318" s="45">
        <v>0.25280000000000002</v>
      </c>
      <c r="N4318" s="54"/>
    </row>
    <row r="4319" spans="2:14" x14ac:dyDescent="0.2">
      <c r="B4319">
        <f t="shared" si="178"/>
        <v>4310</v>
      </c>
      <c r="C4319" s="52">
        <f ca="1"/>
        <v>0.45018499740492729</v>
      </c>
      <c r="D4319" s="52">
        <f ca="1">S0*EXP((μ-0.5*σ*σ)*T+σ*SQRT(T)*$C4319)</f>
        <v>0.72915835500391324</v>
      </c>
      <c r="E4319" s="52">
        <f t="shared" ca="1" si="179"/>
        <v>0</v>
      </c>
      <c r="F4319" s="17">
        <f t="shared" ca="1" si="180"/>
        <v>0</v>
      </c>
      <c r="H4319" s="17">
        <v>4310</v>
      </c>
      <c r="I4319" s="45">
        <v>0.67111108851040591</v>
      </c>
      <c r="J4319" s="45">
        <v>1.9228637164839503E-2</v>
      </c>
      <c r="K4319" s="45">
        <v>0.25</v>
      </c>
      <c r="N4319" s="54"/>
    </row>
    <row r="4320" spans="2:14" x14ac:dyDescent="0.2">
      <c r="B4320">
        <f t="shared" si="178"/>
        <v>4311</v>
      </c>
      <c r="C4320" s="52">
        <f ca="1"/>
        <v>-0.88218819510997304</v>
      </c>
      <c r="D4320" s="52">
        <f ca="1">S0*EXP((μ-0.5*σ*σ)*T+σ*SQRT(T)*$C4320)</f>
        <v>0.50450596372415446</v>
      </c>
      <c r="E4320" s="52">
        <f t="shared" ca="1" si="179"/>
        <v>2.9894036275845526E-2</v>
      </c>
      <c r="F4320" s="17">
        <f t="shared" ca="1" si="180"/>
        <v>1</v>
      </c>
      <c r="H4320" s="17">
        <v>4311</v>
      </c>
      <c r="I4320" s="45">
        <v>0.67110004082051877</v>
      </c>
      <c r="J4320" s="45">
        <v>1.8942358162696384E-2</v>
      </c>
      <c r="K4320" s="45">
        <v>0.252</v>
      </c>
      <c r="N4320" s="54"/>
    </row>
    <row r="4321" spans="2:14" x14ac:dyDescent="0.2">
      <c r="B4321">
        <f t="shared" si="178"/>
        <v>4312</v>
      </c>
      <c r="C4321" s="52">
        <f ca="1"/>
        <v>-0.65786844944030598</v>
      </c>
      <c r="D4321" s="52">
        <f ca="1">S0*EXP((μ-0.5*σ*σ)*T+σ*SQRT(T)*$C4321)</f>
        <v>0.53678032456677249</v>
      </c>
      <c r="E4321" s="52">
        <f t="shared" ca="1" si="179"/>
        <v>0</v>
      </c>
      <c r="F4321" s="17">
        <f t="shared" ca="1" si="180"/>
        <v>0</v>
      </c>
      <c r="H4321" s="17">
        <v>4312</v>
      </c>
      <c r="I4321" s="45">
        <v>0.67136851794271735</v>
      </c>
      <c r="J4321" s="45">
        <v>1.9388969131575798E-2</v>
      </c>
      <c r="K4321" s="45">
        <v>0.25180000000000002</v>
      </c>
      <c r="N4321" s="54"/>
    </row>
    <row r="4322" spans="2:14" x14ac:dyDescent="0.2">
      <c r="B4322">
        <f t="shared" si="178"/>
        <v>4313</v>
      </c>
      <c r="C4322" s="52">
        <f ca="1"/>
        <v>0.7158954035827747</v>
      </c>
      <c r="D4322" s="52">
        <f ca="1">S0*EXP((μ-0.5*σ*σ)*T+σ*SQRT(T)*$C4322)</f>
        <v>0.78473173926482376</v>
      </c>
      <c r="E4322" s="52">
        <f t="shared" ca="1" si="179"/>
        <v>0</v>
      </c>
      <c r="F4322" s="17">
        <f t="shared" ca="1" si="180"/>
        <v>0</v>
      </c>
      <c r="H4322" s="17">
        <v>4313</v>
      </c>
      <c r="I4322" s="45">
        <v>0.67037454307832445</v>
      </c>
      <c r="J4322" s="45">
        <v>1.8514816447307781E-2</v>
      </c>
      <c r="K4322" s="45">
        <v>0.2442</v>
      </c>
      <c r="N4322" s="54"/>
    </row>
    <row r="4323" spans="2:14" x14ac:dyDescent="0.2">
      <c r="B4323">
        <f t="shared" si="178"/>
        <v>4314</v>
      </c>
      <c r="C4323" s="52">
        <f ca="1"/>
        <v>0.2489256808308776</v>
      </c>
      <c r="D4323" s="52">
        <f ca="1">S0*EXP((μ-0.5*σ*σ)*T+σ*SQRT(T)*$C4323)</f>
        <v>0.68969971830167776</v>
      </c>
      <c r="E4323" s="52">
        <f t="shared" ca="1" si="179"/>
        <v>0</v>
      </c>
      <c r="F4323" s="17">
        <f t="shared" ca="1" si="180"/>
        <v>0</v>
      </c>
      <c r="H4323" s="17">
        <v>4314</v>
      </c>
      <c r="I4323" s="45">
        <v>0.66959483236377781</v>
      </c>
      <c r="J4323" s="45">
        <v>1.7923307473814345E-2</v>
      </c>
      <c r="K4323" s="45">
        <v>0.23619999999999999</v>
      </c>
      <c r="N4323" s="54"/>
    </row>
    <row r="4324" spans="2:14" x14ac:dyDescent="0.2">
      <c r="B4324">
        <f t="shared" si="178"/>
        <v>4315</v>
      </c>
      <c r="C4324" s="52">
        <f ca="1"/>
        <v>-2.9683143978449928</v>
      </c>
      <c r="D4324" s="52">
        <f ca="1">S0*EXP((μ-0.5*σ*σ)*T+σ*SQRT(T)*$C4324)</f>
        <v>0.28341338384223852</v>
      </c>
      <c r="E4324" s="52">
        <f t="shared" ca="1" si="179"/>
        <v>0.25098661615776147</v>
      </c>
      <c r="F4324" s="17">
        <f t="shared" ca="1" si="180"/>
        <v>1</v>
      </c>
      <c r="H4324" s="17">
        <v>4315</v>
      </c>
      <c r="I4324" s="45">
        <v>0.67099502687569623</v>
      </c>
      <c r="J4324" s="45">
        <v>1.877152904938675E-2</v>
      </c>
      <c r="K4324" s="45">
        <v>0.2394</v>
      </c>
      <c r="N4324" s="54"/>
    </row>
    <row r="4325" spans="2:14" x14ac:dyDescent="0.2">
      <c r="B4325">
        <f t="shared" si="178"/>
        <v>4316</v>
      </c>
      <c r="C4325" s="52">
        <f ca="1"/>
        <v>0.80822743233886618</v>
      </c>
      <c r="D4325" s="52">
        <f ca="1">S0*EXP((μ-0.5*σ*σ)*T+σ*SQRT(T)*$C4325)</f>
        <v>0.80501869495647349</v>
      </c>
      <c r="E4325" s="52">
        <f t="shared" ca="1" si="179"/>
        <v>0</v>
      </c>
      <c r="F4325" s="17">
        <f t="shared" ca="1" si="180"/>
        <v>0</v>
      </c>
      <c r="H4325" s="17">
        <v>4316</v>
      </c>
      <c r="I4325" s="45">
        <v>0.67131938959179538</v>
      </c>
      <c r="J4325" s="45">
        <v>1.9507488995587862E-2</v>
      </c>
      <c r="K4325" s="45">
        <v>0.25340000000000001</v>
      </c>
      <c r="N4325" s="54"/>
    </row>
    <row r="4326" spans="2:14" x14ac:dyDescent="0.2">
      <c r="B4326">
        <f t="shared" si="178"/>
        <v>4317</v>
      </c>
      <c r="C4326" s="52">
        <f ca="1"/>
        <v>1.3215611215142475</v>
      </c>
      <c r="D4326" s="52">
        <f ca="1">S0*EXP((μ-0.5*σ*σ)*T+σ*SQRT(T)*$C4326)</f>
        <v>0.92775493792940689</v>
      </c>
      <c r="E4326" s="52">
        <f t="shared" ca="1" si="179"/>
        <v>0</v>
      </c>
      <c r="F4326" s="17">
        <f t="shared" ca="1" si="180"/>
        <v>0</v>
      </c>
      <c r="H4326" s="17">
        <v>4317</v>
      </c>
      <c r="I4326" s="45">
        <v>0.6703290154412942</v>
      </c>
      <c r="J4326" s="45">
        <v>1.8273302791089074E-2</v>
      </c>
      <c r="K4326" s="45">
        <v>0.23499999999999999</v>
      </c>
      <c r="N4326" s="54"/>
    </row>
    <row r="4327" spans="2:14" x14ac:dyDescent="0.2">
      <c r="B4327">
        <f t="shared" si="178"/>
        <v>4318</v>
      </c>
      <c r="C4327" s="52">
        <f ca="1"/>
        <v>0.17173309792304886</v>
      </c>
      <c r="D4327" s="52">
        <f ca="1">S0*EXP((μ-0.5*σ*σ)*T+σ*SQRT(T)*$C4327)</f>
        <v>0.67513844417458757</v>
      </c>
      <c r="E4327" s="52">
        <f t="shared" ca="1" si="179"/>
        <v>0</v>
      </c>
      <c r="F4327" s="17">
        <f t="shared" ca="1" si="180"/>
        <v>0</v>
      </c>
      <c r="H4327" s="17">
        <v>4318</v>
      </c>
      <c r="I4327" s="45">
        <v>0.67160792497739685</v>
      </c>
      <c r="J4327" s="45">
        <v>1.9494268865180988E-2</v>
      </c>
      <c r="K4327" s="45">
        <v>0.24740000000000001</v>
      </c>
      <c r="N4327" s="54"/>
    </row>
    <row r="4328" spans="2:14" x14ac:dyDescent="0.2">
      <c r="B4328">
        <f t="shared" si="178"/>
        <v>4319</v>
      </c>
      <c r="C4328" s="52">
        <f ca="1"/>
        <v>-0.81456162956890021</v>
      </c>
      <c r="D4328" s="52">
        <f ca="1">S0*EXP((μ-0.5*σ*σ)*T+σ*SQRT(T)*$C4328)</f>
        <v>0.51402599712525521</v>
      </c>
      <c r="E4328" s="52">
        <f t="shared" ca="1" si="179"/>
        <v>2.0374002874744779E-2</v>
      </c>
      <c r="F4328" s="17">
        <f t="shared" ca="1" si="180"/>
        <v>1</v>
      </c>
      <c r="H4328" s="17">
        <v>4319</v>
      </c>
      <c r="I4328" s="45">
        <v>0.67224932445371666</v>
      </c>
      <c r="J4328" s="45">
        <v>1.9949637594821573E-2</v>
      </c>
      <c r="K4328" s="45">
        <v>0.24940000000000001</v>
      </c>
      <c r="N4328" s="54"/>
    </row>
    <row r="4329" spans="2:14" x14ac:dyDescent="0.2">
      <c r="B4329">
        <f t="shared" si="178"/>
        <v>4320</v>
      </c>
      <c r="C4329" s="52">
        <f ca="1"/>
        <v>-1.1289855384754526</v>
      </c>
      <c r="D4329" s="52">
        <f ca="1">S0*EXP((μ-0.5*σ*σ)*T+σ*SQRT(T)*$C4329)</f>
        <v>0.47123497310980561</v>
      </c>
      <c r="E4329" s="52">
        <f t="shared" ca="1" si="179"/>
        <v>6.3165026890194376E-2</v>
      </c>
      <c r="F4329" s="17">
        <f t="shared" ca="1" si="180"/>
        <v>1</v>
      </c>
      <c r="H4329" s="17">
        <v>4320</v>
      </c>
      <c r="I4329" s="45">
        <v>0.67204783894385323</v>
      </c>
      <c r="J4329" s="45">
        <v>1.957024765545521E-2</v>
      </c>
      <c r="K4329" s="45">
        <v>0.24399999999999999</v>
      </c>
      <c r="N4329" s="54"/>
    </row>
    <row r="4330" spans="2:14" x14ac:dyDescent="0.2">
      <c r="B4330">
        <f t="shared" si="178"/>
        <v>4321</v>
      </c>
      <c r="C4330" s="52">
        <f ca="1"/>
        <v>1.5046391409490996</v>
      </c>
      <c r="D4330" s="52">
        <f ca="1">S0*EXP((μ-0.5*σ*σ)*T+σ*SQRT(T)*$C4330)</f>
        <v>0.97591582653825315</v>
      </c>
      <c r="E4330" s="52">
        <f t="shared" ca="1" si="179"/>
        <v>0</v>
      </c>
      <c r="F4330" s="17">
        <f t="shared" ca="1" si="180"/>
        <v>0</v>
      </c>
      <c r="H4330" s="17">
        <v>4321</v>
      </c>
      <c r="I4330" s="45">
        <v>0.67086839097443185</v>
      </c>
      <c r="J4330" s="45">
        <v>1.8732555081401869E-2</v>
      </c>
      <c r="K4330" s="45">
        <v>0.2472</v>
      </c>
      <c r="N4330" s="54"/>
    </row>
    <row r="4331" spans="2:14" x14ac:dyDescent="0.2">
      <c r="B4331">
        <f t="shared" ref="B4331:B4394" si="181">B4330+1</f>
        <v>4322</v>
      </c>
      <c r="C4331" s="52">
        <f ca="1"/>
        <v>-2.2367754860818283</v>
      </c>
      <c r="D4331" s="52">
        <f ca="1">S0*EXP((μ-0.5*σ*σ)*T+σ*SQRT(T)*$C4331)</f>
        <v>0.34693161717199966</v>
      </c>
      <c r="E4331" s="52">
        <f t="shared" ca="1" si="179"/>
        <v>0.18746838282800032</v>
      </c>
      <c r="F4331" s="17">
        <f t="shared" ca="1" si="180"/>
        <v>1</v>
      </c>
      <c r="H4331" s="17">
        <v>4322</v>
      </c>
      <c r="I4331" s="45">
        <v>0.66961350884757187</v>
      </c>
      <c r="J4331" s="45">
        <v>1.79982097189882E-2</v>
      </c>
      <c r="K4331" s="45">
        <v>0.245</v>
      </c>
      <c r="N4331" s="54"/>
    </row>
    <row r="4332" spans="2:14" x14ac:dyDescent="0.2">
      <c r="B4332">
        <f t="shared" si="181"/>
        <v>4323</v>
      </c>
      <c r="C4332" s="52">
        <f ca="1"/>
        <v>-1.0070353213177294</v>
      </c>
      <c r="D4332" s="52">
        <f ca="1">S0*EXP((μ-0.5*σ*σ)*T+σ*SQRT(T)*$C4332)</f>
        <v>0.48739157524327459</v>
      </c>
      <c r="E4332" s="52">
        <f t="shared" ca="1" si="179"/>
        <v>4.7008424756725398E-2</v>
      </c>
      <c r="F4332" s="17">
        <f t="shared" ca="1" si="180"/>
        <v>1</v>
      </c>
      <c r="H4332" s="17">
        <v>4323</v>
      </c>
      <c r="I4332" s="45">
        <v>0.67190066478451804</v>
      </c>
      <c r="J4332" s="45">
        <v>1.9485674005116835E-2</v>
      </c>
      <c r="K4332" s="45">
        <v>0.25340000000000001</v>
      </c>
      <c r="N4332" s="54"/>
    </row>
    <row r="4333" spans="2:14" x14ac:dyDescent="0.2">
      <c r="B4333">
        <f t="shared" si="181"/>
        <v>4324</v>
      </c>
      <c r="C4333" s="52">
        <f ca="1"/>
        <v>0.23717735619718308</v>
      </c>
      <c r="D4333" s="52">
        <f ca="1">S0*EXP((μ-0.5*σ*σ)*T+σ*SQRT(T)*$C4333)</f>
        <v>0.68746346966692229</v>
      </c>
      <c r="E4333" s="52">
        <f t="shared" ca="1" si="179"/>
        <v>0</v>
      </c>
      <c r="F4333" s="17">
        <f t="shared" ca="1" si="180"/>
        <v>0</v>
      </c>
      <c r="H4333" s="17">
        <v>4324</v>
      </c>
      <c r="I4333" s="45">
        <v>0.67054730354217595</v>
      </c>
      <c r="J4333" s="45">
        <v>1.8702314644148677E-2</v>
      </c>
      <c r="K4333" s="45">
        <v>0.2492</v>
      </c>
      <c r="N4333" s="54"/>
    </row>
    <row r="4334" spans="2:14" x14ac:dyDescent="0.2">
      <c r="B4334">
        <f t="shared" si="181"/>
        <v>4325</v>
      </c>
      <c r="C4334" s="52">
        <f ca="1"/>
        <v>-0.60039902638091436</v>
      </c>
      <c r="D4334" s="52">
        <f ca="1">S0*EXP((μ-0.5*σ*σ)*T+σ*SQRT(T)*$C4334)</f>
        <v>0.54537593662102335</v>
      </c>
      <c r="E4334" s="52">
        <f t="shared" ca="1" si="179"/>
        <v>0</v>
      </c>
      <c r="F4334" s="17">
        <f t="shared" ca="1" si="180"/>
        <v>0</v>
      </c>
      <c r="H4334" s="17">
        <v>4325</v>
      </c>
      <c r="I4334" s="45">
        <v>0.67064290285324413</v>
      </c>
      <c r="J4334" s="45">
        <v>1.8740638119158711E-2</v>
      </c>
      <c r="K4334" s="45">
        <v>0.2432</v>
      </c>
      <c r="N4334" s="54"/>
    </row>
    <row r="4335" spans="2:14" x14ac:dyDescent="0.2">
      <c r="B4335">
        <f t="shared" si="181"/>
        <v>4326</v>
      </c>
      <c r="C4335" s="52">
        <f ca="1"/>
        <v>0.62428142128326525</v>
      </c>
      <c r="D4335" s="52">
        <f ca="1">S0*EXP((μ-0.5*σ*σ)*T+σ*SQRT(T)*$C4335)</f>
        <v>0.7651078793208459</v>
      </c>
      <c r="E4335" s="52">
        <f t="shared" ca="1" si="179"/>
        <v>0</v>
      </c>
      <c r="F4335" s="17">
        <f t="shared" ca="1" si="180"/>
        <v>0</v>
      </c>
      <c r="H4335" s="17">
        <v>4326</v>
      </c>
      <c r="I4335" s="45">
        <v>0.67142892145021948</v>
      </c>
      <c r="J4335" s="45">
        <v>1.9610467909523661E-2</v>
      </c>
      <c r="K4335" s="45">
        <v>0.25019999999999998</v>
      </c>
      <c r="N4335" s="54"/>
    </row>
    <row r="4336" spans="2:14" x14ac:dyDescent="0.2">
      <c r="B4336">
        <f t="shared" si="181"/>
        <v>4327</v>
      </c>
      <c r="C4336" s="52">
        <f ca="1"/>
        <v>-1.2705934702928472</v>
      </c>
      <c r="D4336" s="52">
        <f ca="1">S0*EXP((μ-0.5*σ*σ)*T+σ*SQRT(T)*$C4336)</f>
        <v>0.4531448422758137</v>
      </c>
      <c r="E4336" s="52">
        <f t="shared" ca="1" si="179"/>
        <v>8.1255157724186289E-2</v>
      </c>
      <c r="F4336" s="17">
        <f t="shared" ca="1" si="180"/>
        <v>1</v>
      </c>
      <c r="H4336" s="17">
        <v>4327</v>
      </c>
      <c r="I4336" s="45">
        <v>0.6711301842401115</v>
      </c>
      <c r="J4336" s="45">
        <v>1.9220256989588652E-2</v>
      </c>
      <c r="K4336" s="45">
        <v>0.25259999999999999</v>
      </c>
      <c r="N4336" s="54"/>
    </row>
    <row r="4337" spans="2:14" x14ac:dyDescent="0.2">
      <c r="B4337">
        <f t="shared" si="181"/>
        <v>4328</v>
      </c>
      <c r="C4337" s="52">
        <f ca="1"/>
        <v>-1.5255876988735899</v>
      </c>
      <c r="D4337" s="52">
        <f ca="1">S0*EXP((μ-0.5*σ*σ)*T+σ*SQRT(T)*$C4337)</f>
        <v>0.42230302247636026</v>
      </c>
      <c r="E4337" s="52">
        <f t="shared" ca="1" si="179"/>
        <v>0.11209697752363973</v>
      </c>
      <c r="F4337" s="17">
        <f t="shared" ca="1" si="180"/>
        <v>1</v>
      </c>
      <c r="H4337" s="17">
        <v>4328</v>
      </c>
      <c r="I4337" s="45">
        <v>0.6710514037751254</v>
      </c>
      <c r="J4337" s="45">
        <v>1.9311807451934254E-2</v>
      </c>
      <c r="K4337" s="45">
        <v>0.24740000000000001</v>
      </c>
      <c r="N4337" s="54"/>
    </row>
    <row r="4338" spans="2:14" x14ac:dyDescent="0.2">
      <c r="B4338">
        <f t="shared" si="181"/>
        <v>4329</v>
      </c>
      <c r="C4338" s="52">
        <f ca="1"/>
        <v>-1.211549318118905</v>
      </c>
      <c r="D4338" s="52">
        <f ca="1">S0*EXP((μ-0.5*σ*σ)*T+σ*SQRT(T)*$C4338)</f>
        <v>0.46060163535271798</v>
      </c>
      <c r="E4338" s="52">
        <f t="shared" ca="1" si="179"/>
        <v>7.3798364647282011E-2</v>
      </c>
      <c r="F4338" s="17">
        <f t="shared" ca="1" si="180"/>
        <v>1</v>
      </c>
      <c r="H4338" s="17">
        <v>4329</v>
      </c>
      <c r="I4338" s="45">
        <v>0.67234335857262872</v>
      </c>
      <c r="J4338" s="45">
        <v>1.9897826509587723E-2</v>
      </c>
      <c r="K4338" s="45">
        <v>0.252</v>
      </c>
      <c r="N4338" s="54"/>
    </row>
    <row r="4339" spans="2:14" x14ac:dyDescent="0.2">
      <c r="B4339">
        <f t="shared" si="181"/>
        <v>4330</v>
      </c>
      <c r="C4339" s="52">
        <f ca="1"/>
        <v>1.1256774683078763</v>
      </c>
      <c r="D4339" s="52">
        <f ca="1">S0*EXP((μ-0.5*σ*σ)*T+σ*SQRT(T)*$C4339)</f>
        <v>0.87885419848223745</v>
      </c>
      <c r="E4339" s="52">
        <f t="shared" ca="1" si="179"/>
        <v>0</v>
      </c>
      <c r="F4339" s="17">
        <f t="shared" ca="1" si="180"/>
        <v>0</v>
      </c>
      <c r="H4339" s="17">
        <v>4330</v>
      </c>
      <c r="I4339" s="45">
        <v>0.6708660947717201</v>
      </c>
      <c r="J4339" s="45">
        <v>1.8774331719016893E-2</v>
      </c>
      <c r="K4339" s="45">
        <v>0.24859999999999999</v>
      </c>
      <c r="N4339" s="54"/>
    </row>
    <row r="4340" spans="2:14" x14ac:dyDescent="0.2">
      <c r="B4340">
        <f t="shared" si="181"/>
        <v>4331</v>
      </c>
      <c r="C4340" s="52">
        <f ca="1"/>
        <v>0.57521289935292708</v>
      </c>
      <c r="D4340" s="52">
        <f ca="1">S0*EXP((μ-0.5*σ*σ)*T+σ*SQRT(T)*$C4340)</f>
        <v>0.75479992020516251</v>
      </c>
      <c r="E4340" s="52">
        <f t="shared" ca="1" si="179"/>
        <v>0</v>
      </c>
      <c r="F4340" s="17">
        <f t="shared" ca="1" si="180"/>
        <v>0</v>
      </c>
      <c r="H4340" s="17">
        <v>4331</v>
      </c>
      <c r="I4340" s="45">
        <v>0.67157193993036113</v>
      </c>
      <c r="J4340" s="45">
        <v>1.9610627041289404E-2</v>
      </c>
      <c r="K4340" s="45">
        <v>0.25059999999999999</v>
      </c>
      <c r="N4340" s="54"/>
    </row>
    <row r="4341" spans="2:14" x14ac:dyDescent="0.2">
      <c r="B4341">
        <f t="shared" si="181"/>
        <v>4332</v>
      </c>
      <c r="C4341" s="52">
        <f ca="1"/>
        <v>-0.36377837373640154</v>
      </c>
      <c r="D4341" s="52">
        <f ca="1">S0*EXP((μ-0.5*σ*σ)*T+σ*SQRT(T)*$C4341)</f>
        <v>0.58224131388793998</v>
      </c>
      <c r="E4341" s="52">
        <f t="shared" ca="1" si="179"/>
        <v>0</v>
      </c>
      <c r="F4341" s="17">
        <f t="shared" ca="1" si="180"/>
        <v>0</v>
      </c>
      <c r="H4341" s="17">
        <v>4332</v>
      </c>
      <c r="I4341" s="45">
        <v>0.6705272940035033</v>
      </c>
      <c r="J4341" s="45">
        <v>1.8525712956088212E-2</v>
      </c>
      <c r="K4341" s="45">
        <v>0.24479999999999999</v>
      </c>
      <c r="N4341" s="54"/>
    </row>
    <row r="4342" spans="2:14" x14ac:dyDescent="0.2">
      <c r="B4342">
        <f t="shared" si="181"/>
        <v>4333</v>
      </c>
      <c r="C4342" s="52">
        <f ca="1"/>
        <v>-1.8212027869543148</v>
      </c>
      <c r="D4342" s="52">
        <f ca="1">S0*EXP((μ-0.5*σ*σ)*T+σ*SQRT(T)*$C4342)</f>
        <v>0.38916580915360488</v>
      </c>
      <c r="E4342" s="52">
        <f t="shared" ca="1" si="179"/>
        <v>0.14523419084639511</v>
      </c>
      <c r="F4342" s="17">
        <f t="shared" ca="1" si="180"/>
        <v>1</v>
      </c>
      <c r="H4342" s="17">
        <v>4333</v>
      </c>
      <c r="I4342" s="45">
        <v>0.67153753871538446</v>
      </c>
      <c r="J4342" s="45">
        <v>1.9419291976597142E-2</v>
      </c>
      <c r="K4342" s="45">
        <v>0.25440000000000002</v>
      </c>
      <c r="N4342" s="54"/>
    </row>
    <row r="4343" spans="2:14" x14ac:dyDescent="0.2">
      <c r="B4343">
        <f t="shared" si="181"/>
        <v>4334</v>
      </c>
      <c r="C4343" s="52">
        <f ca="1"/>
        <v>-1.2641772802191285</v>
      </c>
      <c r="D4343" s="52">
        <f ca="1">S0*EXP((μ-0.5*σ*σ)*T+σ*SQRT(T)*$C4343)</f>
        <v>0.45394927287640002</v>
      </c>
      <c r="E4343" s="52">
        <f t="shared" ca="1" si="179"/>
        <v>8.0450727123599963E-2</v>
      </c>
      <c r="F4343" s="17">
        <f t="shared" ca="1" si="180"/>
        <v>1</v>
      </c>
      <c r="H4343" s="17">
        <v>4334</v>
      </c>
      <c r="I4343" s="45">
        <v>0.6702823287802242</v>
      </c>
      <c r="J4343" s="45">
        <v>1.8635365986481252E-2</v>
      </c>
      <c r="K4343" s="45">
        <v>0.2414</v>
      </c>
      <c r="N4343" s="54"/>
    </row>
    <row r="4344" spans="2:14" x14ac:dyDescent="0.2">
      <c r="B4344">
        <f t="shared" si="181"/>
        <v>4335</v>
      </c>
      <c r="C4344" s="52">
        <f ca="1"/>
        <v>-0.5754719131190339</v>
      </c>
      <c r="D4344" s="52">
        <f ca="1">S0*EXP((μ-0.5*σ*σ)*T+σ*SQRT(T)*$C4344)</f>
        <v>0.54914691661807569</v>
      </c>
      <c r="E4344" s="52">
        <f t="shared" ca="1" si="179"/>
        <v>0</v>
      </c>
      <c r="F4344" s="17">
        <f t="shared" ca="1" si="180"/>
        <v>0</v>
      </c>
      <c r="H4344" s="17">
        <v>4335</v>
      </c>
      <c r="I4344" s="45">
        <v>0.67079071055034445</v>
      </c>
      <c r="J4344" s="45">
        <v>1.8671403029915629E-2</v>
      </c>
      <c r="K4344" s="45">
        <v>0.2356</v>
      </c>
      <c r="N4344" s="54"/>
    </row>
    <row r="4345" spans="2:14" x14ac:dyDescent="0.2">
      <c r="B4345">
        <f t="shared" si="181"/>
        <v>4336</v>
      </c>
      <c r="C4345" s="52">
        <f ca="1"/>
        <v>0.43447676084702741</v>
      </c>
      <c r="D4345" s="52">
        <f ca="1">S0*EXP((μ-0.5*σ*σ)*T+σ*SQRT(T)*$C4345)</f>
        <v>0.72599901882297335</v>
      </c>
      <c r="E4345" s="52">
        <f t="shared" ca="1" si="179"/>
        <v>0</v>
      </c>
      <c r="F4345" s="17">
        <f t="shared" ca="1" si="180"/>
        <v>0</v>
      </c>
      <c r="H4345" s="17">
        <v>4336</v>
      </c>
      <c r="I4345" s="45">
        <v>0.66889849817586278</v>
      </c>
      <c r="J4345" s="45">
        <v>1.7498289173951572E-2</v>
      </c>
      <c r="K4345" s="45">
        <v>0.2422</v>
      </c>
      <c r="N4345" s="54"/>
    </row>
    <row r="4346" spans="2:14" x14ac:dyDescent="0.2">
      <c r="B4346">
        <f t="shared" si="181"/>
        <v>4337</v>
      </c>
      <c r="C4346" s="52">
        <f ca="1"/>
        <v>-0.54689151570159633</v>
      </c>
      <c r="D4346" s="52">
        <f ca="1">S0*EXP((μ-0.5*σ*σ)*T+σ*SQRT(T)*$C4346)</f>
        <v>0.55350266362785727</v>
      </c>
      <c r="E4346" s="52">
        <f t="shared" ca="1" si="179"/>
        <v>0</v>
      </c>
      <c r="F4346" s="17">
        <f t="shared" ca="1" si="180"/>
        <v>0</v>
      </c>
      <c r="H4346" s="17">
        <v>4337</v>
      </c>
      <c r="I4346" s="45">
        <v>0.6713849382620608</v>
      </c>
      <c r="J4346" s="45">
        <v>1.9692620511969967E-2</v>
      </c>
      <c r="K4346" s="45">
        <v>0.25080000000000002</v>
      </c>
      <c r="N4346" s="54"/>
    </row>
    <row r="4347" spans="2:14" x14ac:dyDescent="0.2">
      <c r="B4347">
        <f t="shared" si="181"/>
        <v>4338</v>
      </c>
      <c r="C4347" s="52">
        <f ca="1"/>
        <v>-2.2451168799593613</v>
      </c>
      <c r="D4347" s="52">
        <f ca="1">S0*EXP((μ-0.5*σ*σ)*T+σ*SQRT(T)*$C4347)</f>
        <v>0.34613257256926011</v>
      </c>
      <c r="E4347" s="52">
        <f t="shared" ca="1" si="179"/>
        <v>0.18826742743073988</v>
      </c>
      <c r="F4347" s="17">
        <f t="shared" ca="1" si="180"/>
        <v>1</v>
      </c>
      <c r="H4347" s="17">
        <v>4338</v>
      </c>
      <c r="I4347" s="45">
        <v>0.67058381391110877</v>
      </c>
      <c r="J4347" s="45">
        <v>1.8665470388172383E-2</v>
      </c>
      <c r="K4347" s="45">
        <v>0.24479999999999999</v>
      </c>
      <c r="N4347" s="54"/>
    </row>
    <row r="4348" spans="2:14" x14ac:dyDescent="0.2">
      <c r="B4348">
        <f t="shared" si="181"/>
        <v>4339</v>
      </c>
      <c r="C4348" s="52">
        <f ca="1"/>
        <v>-9.2289603833385706E-2</v>
      </c>
      <c r="D4348" s="52">
        <f ca="1">S0*EXP((μ-0.5*σ*σ)*T+σ*SQRT(T)*$C4348)</f>
        <v>0.6276190118782714</v>
      </c>
      <c r="E4348" s="52">
        <f t="shared" ca="1" si="179"/>
        <v>0</v>
      </c>
      <c r="F4348" s="17">
        <f t="shared" ca="1" si="180"/>
        <v>0</v>
      </c>
      <c r="H4348" s="17">
        <v>4339</v>
      </c>
      <c r="I4348" s="45">
        <v>0.67178695128603538</v>
      </c>
      <c r="J4348" s="45">
        <v>1.9672232338531725E-2</v>
      </c>
      <c r="K4348" s="45">
        <v>0.25340000000000001</v>
      </c>
      <c r="N4348" s="54"/>
    </row>
    <row r="4349" spans="2:14" x14ac:dyDescent="0.2">
      <c r="B4349">
        <f t="shared" si="181"/>
        <v>4340</v>
      </c>
      <c r="C4349" s="52">
        <f ca="1"/>
        <v>0.11878688964801412</v>
      </c>
      <c r="D4349" s="52">
        <f ca="1">S0*EXP((μ-0.5*σ*σ)*T+σ*SQRT(T)*$C4349)</f>
        <v>0.66532904242090696</v>
      </c>
      <c r="E4349" s="52">
        <f t="shared" ca="1" si="179"/>
        <v>0</v>
      </c>
      <c r="F4349" s="17">
        <f t="shared" ca="1" si="180"/>
        <v>0</v>
      </c>
      <c r="H4349" s="17">
        <v>4340</v>
      </c>
      <c r="I4349" s="45">
        <v>0.67127184616889535</v>
      </c>
      <c r="J4349" s="45">
        <v>1.9255506901411954E-2</v>
      </c>
      <c r="K4349" s="45">
        <v>0.24579999999999999</v>
      </c>
      <c r="N4349" s="54"/>
    </row>
    <row r="4350" spans="2:14" x14ac:dyDescent="0.2">
      <c r="B4350">
        <f t="shared" si="181"/>
        <v>4341</v>
      </c>
      <c r="C4350" s="52">
        <f ca="1"/>
        <v>9.4643086057492984E-2</v>
      </c>
      <c r="D4350" s="52">
        <f ca="1">S0*EXP((μ-0.5*σ*σ)*T+σ*SQRT(T)*$C4350)</f>
        <v>0.66090333367984</v>
      </c>
      <c r="E4350" s="52">
        <f t="shared" ca="1" si="179"/>
        <v>0</v>
      </c>
      <c r="F4350" s="17">
        <f t="shared" ca="1" si="180"/>
        <v>0</v>
      </c>
      <c r="H4350" s="17">
        <v>4341</v>
      </c>
      <c r="I4350" s="45">
        <v>0.67145430309244825</v>
      </c>
      <c r="J4350" s="45">
        <v>1.911455204157261E-2</v>
      </c>
      <c r="K4350" s="45">
        <v>0.24759999999999999</v>
      </c>
      <c r="N4350" s="54"/>
    </row>
    <row r="4351" spans="2:14" x14ac:dyDescent="0.2">
      <c r="B4351">
        <f t="shared" si="181"/>
        <v>4342</v>
      </c>
      <c r="C4351" s="52">
        <f ca="1"/>
        <v>-2.1712550610588028</v>
      </c>
      <c r="D4351" s="52">
        <f ca="1">S0*EXP((μ-0.5*σ*σ)*T+σ*SQRT(T)*$C4351)</f>
        <v>0.35327248367741559</v>
      </c>
      <c r="E4351" s="52">
        <f t="shared" ca="1" si="179"/>
        <v>0.18112751632258439</v>
      </c>
      <c r="F4351" s="17">
        <f t="shared" ca="1" si="180"/>
        <v>1</v>
      </c>
      <c r="H4351" s="17">
        <v>4342</v>
      </c>
      <c r="I4351" s="45">
        <v>0.67099751552347042</v>
      </c>
      <c r="J4351" s="45">
        <v>1.9114214740066301E-2</v>
      </c>
      <c r="K4351" s="45">
        <v>0.24779999999999999</v>
      </c>
      <c r="N4351" s="54"/>
    </row>
    <row r="4352" spans="2:14" x14ac:dyDescent="0.2">
      <c r="B4352">
        <f t="shared" si="181"/>
        <v>4343</v>
      </c>
      <c r="C4352" s="52">
        <f ca="1"/>
        <v>-1.0763528096443351</v>
      </c>
      <c r="D4352" s="52">
        <f ca="1">S0*EXP((μ-0.5*σ*σ)*T+σ*SQRT(T)*$C4352)</f>
        <v>0.47814127750233948</v>
      </c>
      <c r="E4352" s="52">
        <f t="shared" ca="1" si="179"/>
        <v>5.6258722497660507E-2</v>
      </c>
      <c r="F4352" s="17">
        <f t="shared" ca="1" si="180"/>
        <v>1</v>
      </c>
      <c r="H4352" s="17">
        <v>4343</v>
      </c>
      <c r="I4352" s="45">
        <v>0.67150322446698529</v>
      </c>
      <c r="J4352" s="45">
        <v>1.9589506571548881E-2</v>
      </c>
      <c r="K4352" s="45">
        <v>0.255</v>
      </c>
      <c r="N4352" s="54"/>
    </row>
    <row r="4353" spans="2:14" x14ac:dyDescent="0.2">
      <c r="B4353">
        <f t="shared" si="181"/>
        <v>4344</v>
      </c>
      <c r="C4353" s="52">
        <f ca="1"/>
        <v>1.3694103877767054</v>
      </c>
      <c r="D4353" s="52">
        <f ca="1">S0*EXP((μ-0.5*σ*σ)*T+σ*SQRT(T)*$C4353)</f>
        <v>0.94010795585439244</v>
      </c>
      <c r="E4353" s="52">
        <f t="shared" ca="1" si="179"/>
        <v>0</v>
      </c>
      <c r="F4353" s="17">
        <f t="shared" ca="1" si="180"/>
        <v>0</v>
      </c>
      <c r="H4353" s="17">
        <v>4344</v>
      </c>
      <c r="I4353" s="45">
        <v>0.67182290647625675</v>
      </c>
      <c r="J4353" s="45">
        <v>1.9802627392269578E-2</v>
      </c>
      <c r="K4353" s="45">
        <v>0.25240000000000001</v>
      </c>
      <c r="N4353" s="54"/>
    </row>
    <row r="4354" spans="2:14" x14ac:dyDescent="0.2">
      <c r="B4354">
        <f t="shared" si="181"/>
        <v>4345</v>
      </c>
      <c r="C4354" s="52">
        <f ca="1"/>
        <v>-1.0540476693214702</v>
      </c>
      <c r="D4354" s="52">
        <f ca="1">S0*EXP((μ-0.5*σ*σ)*T+σ*SQRT(T)*$C4354)</f>
        <v>0.48109854021855403</v>
      </c>
      <c r="E4354" s="52">
        <f t="shared" ca="1" si="179"/>
        <v>5.3301459781445959E-2</v>
      </c>
      <c r="F4354" s="17">
        <f t="shared" ca="1" si="180"/>
        <v>1</v>
      </c>
      <c r="H4354" s="17">
        <v>4345</v>
      </c>
      <c r="I4354" s="45">
        <v>0.6707252498871269</v>
      </c>
      <c r="J4354" s="45">
        <v>1.8739551568092351E-2</v>
      </c>
      <c r="K4354" s="45">
        <v>0.24379999999999999</v>
      </c>
      <c r="N4354" s="54"/>
    </row>
    <row r="4355" spans="2:14" x14ac:dyDescent="0.2">
      <c r="B4355">
        <f t="shared" si="181"/>
        <v>4346</v>
      </c>
      <c r="C4355" s="52">
        <f ca="1"/>
        <v>-0.4037214649560853</v>
      </c>
      <c r="D4355" s="52">
        <f ca="1">S0*EXP((μ-0.5*σ*σ)*T+σ*SQRT(T)*$C4355)</f>
        <v>0.57584781826528053</v>
      </c>
      <c r="E4355" s="52">
        <f t="shared" ca="1" si="179"/>
        <v>0</v>
      </c>
      <c r="F4355" s="17">
        <f t="shared" ca="1" si="180"/>
        <v>0</v>
      </c>
      <c r="H4355" s="17">
        <v>4346</v>
      </c>
      <c r="I4355" s="45">
        <v>0.67073529497799467</v>
      </c>
      <c r="J4355" s="45">
        <v>1.9157702804305489E-2</v>
      </c>
      <c r="K4355" s="45">
        <v>0.24460000000000001</v>
      </c>
      <c r="N4355" s="54"/>
    </row>
    <row r="4356" spans="2:14" x14ac:dyDescent="0.2">
      <c r="B4356">
        <f t="shared" si="181"/>
        <v>4347</v>
      </c>
      <c r="C4356" s="52">
        <f ca="1"/>
        <v>2.6577476419239576</v>
      </c>
      <c r="D4356" s="52">
        <f ca="1">S0*EXP((μ-0.5*σ*σ)*T+σ*SQRT(T)*$C4356)</f>
        <v>1.3422908463353369</v>
      </c>
      <c r="E4356" s="52">
        <f t="shared" ca="1" si="179"/>
        <v>0</v>
      </c>
      <c r="F4356" s="17">
        <f t="shared" ca="1" si="180"/>
        <v>0</v>
      </c>
      <c r="H4356" s="17">
        <v>4347</v>
      </c>
      <c r="I4356" s="45">
        <v>0.67167685722879233</v>
      </c>
      <c r="J4356" s="45">
        <v>1.9452463805744634E-2</v>
      </c>
      <c r="K4356" s="45">
        <v>0.2482</v>
      </c>
      <c r="N4356" s="54"/>
    </row>
    <row r="4357" spans="2:14" x14ac:dyDescent="0.2">
      <c r="B4357">
        <f t="shared" si="181"/>
        <v>4348</v>
      </c>
      <c r="C4357" s="52">
        <f ca="1"/>
        <v>-0.19352543382376683</v>
      </c>
      <c r="D4357" s="52">
        <f ca="1">S0*EXP((μ-0.5*σ*σ)*T+σ*SQRT(T)*$C4357)</f>
        <v>0.61029865669813632</v>
      </c>
      <c r="E4357" s="52">
        <f t="shared" ca="1" si="179"/>
        <v>0</v>
      </c>
      <c r="F4357" s="17">
        <f t="shared" ca="1" si="180"/>
        <v>0</v>
      </c>
      <c r="H4357" s="17">
        <v>4348</v>
      </c>
      <c r="I4357" s="45">
        <v>0.67049193201380686</v>
      </c>
      <c r="J4357" s="45">
        <v>1.844849043626251E-2</v>
      </c>
      <c r="K4357" s="45">
        <v>0.24460000000000001</v>
      </c>
      <c r="N4357" s="54"/>
    </row>
    <row r="4358" spans="2:14" x14ac:dyDescent="0.2">
      <c r="B4358">
        <f t="shared" si="181"/>
        <v>4349</v>
      </c>
      <c r="C4358" s="52">
        <f ca="1"/>
        <v>0.78821942808129064</v>
      </c>
      <c r="D4358" s="52">
        <f ca="1">S0*EXP((μ-0.5*σ*σ)*T+σ*SQRT(T)*$C4358)</f>
        <v>0.80057853719584304</v>
      </c>
      <c r="E4358" s="52">
        <f t="shared" ca="1" si="179"/>
        <v>0</v>
      </c>
      <c r="F4358" s="17">
        <f t="shared" ca="1" si="180"/>
        <v>0</v>
      </c>
      <c r="H4358" s="17">
        <v>4349</v>
      </c>
      <c r="I4358" s="45">
        <v>0.67053145763696698</v>
      </c>
      <c r="J4358" s="45">
        <v>1.8825957114695854E-2</v>
      </c>
      <c r="K4358" s="45">
        <v>0.24179999999999999</v>
      </c>
      <c r="N4358" s="54"/>
    </row>
    <row r="4359" spans="2:14" x14ac:dyDescent="0.2">
      <c r="B4359">
        <f t="shared" si="181"/>
        <v>4350</v>
      </c>
      <c r="C4359" s="52">
        <f ca="1"/>
        <v>-1.1013902529312807</v>
      </c>
      <c r="D4359" s="52">
        <f ca="1">S0*EXP((μ-0.5*σ*σ)*T+σ*SQRT(T)*$C4359)</f>
        <v>0.47484340931516328</v>
      </c>
      <c r="E4359" s="52">
        <f t="shared" ca="1" si="179"/>
        <v>5.9556590684836708E-2</v>
      </c>
      <c r="F4359" s="17">
        <f t="shared" ca="1" si="180"/>
        <v>1</v>
      </c>
      <c r="H4359" s="17">
        <v>4350</v>
      </c>
      <c r="I4359" s="45">
        <v>0.67147165893593097</v>
      </c>
      <c r="J4359" s="45">
        <v>1.9197345488871413E-2</v>
      </c>
      <c r="K4359" s="45">
        <v>0.24440000000000001</v>
      </c>
      <c r="N4359" s="54"/>
    </row>
    <row r="4360" spans="2:14" x14ac:dyDescent="0.2">
      <c r="B4360">
        <f t="shared" si="181"/>
        <v>4351</v>
      </c>
      <c r="C4360" s="52">
        <f ca="1"/>
        <v>-0.97467381305687428</v>
      </c>
      <c r="D4360" s="52">
        <f ca="1">S0*EXP((μ-0.5*σ*σ)*T+σ*SQRT(T)*$C4360)</f>
        <v>0.49177123015538227</v>
      </c>
      <c r="E4360" s="52">
        <f t="shared" ca="1" si="179"/>
        <v>4.262876984461772E-2</v>
      </c>
      <c r="F4360" s="17">
        <f t="shared" ca="1" si="180"/>
        <v>1</v>
      </c>
      <c r="H4360" s="17">
        <v>4351</v>
      </c>
      <c r="I4360" s="45">
        <v>0.67108408946326803</v>
      </c>
      <c r="J4360" s="45">
        <v>1.9123685874389829E-2</v>
      </c>
      <c r="K4360" s="45">
        <v>0.25180000000000002</v>
      </c>
      <c r="N4360" s="54"/>
    </row>
    <row r="4361" spans="2:14" x14ac:dyDescent="0.2">
      <c r="B4361">
        <f t="shared" si="181"/>
        <v>4352</v>
      </c>
      <c r="C4361" s="52">
        <f ca="1"/>
        <v>-0.96885706696019969</v>
      </c>
      <c r="D4361" s="52">
        <f ca="1">S0*EXP((μ-0.5*σ*σ)*T+σ*SQRT(T)*$C4361)</f>
        <v>0.49256260374551403</v>
      </c>
      <c r="E4361" s="52">
        <f t="shared" ca="1" si="179"/>
        <v>4.1837396254485959E-2</v>
      </c>
      <c r="F4361" s="17">
        <f t="shared" ca="1" si="180"/>
        <v>1</v>
      </c>
      <c r="H4361" s="17">
        <v>4352</v>
      </c>
      <c r="I4361" s="45">
        <v>0.67140136493887315</v>
      </c>
      <c r="J4361" s="45">
        <v>1.9521458444667471E-2</v>
      </c>
      <c r="K4361" s="45">
        <v>0.24360000000000001</v>
      </c>
      <c r="N4361" s="54"/>
    </row>
    <row r="4362" spans="2:14" x14ac:dyDescent="0.2">
      <c r="B4362">
        <f t="shared" si="181"/>
        <v>4353</v>
      </c>
      <c r="C4362" s="52">
        <f ca="1"/>
        <v>-0.1156688780461058</v>
      </c>
      <c r="D4362" s="52">
        <f ca="1">S0*EXP((μ-0.5*σ*σ)*T+σ*SQRT(T)*$C4362)</f>
        <v>0.62357591995140649</v>
      </c>
      <c r="E4362" s="52">
        <f t="shared" ref="E4362:E4425" ca="1" si="182">MAX(0,CP*(D4362-K))</f>
        <v>0</v>
      </c>
      <c r="F4362" s="17">
        <f t="shared" ref="F4362:F4425" ca="1" si="183">(CP*(D4362-K)&gt;0)*1</f>
        <v>0</v>
      </c>
      <c r="H4362" s="17">
        <v>4353</v>
      </c>
      <c r="I4362" s="45">
        <v>0.67155136394042669</v>
      </c>
      <c r="J4362" s="45">
        <v>1.9488365426766945E-2</v>
      </c>
      <c r="K4362" s="45">
        <v>0.25</v>
      </c>
      <c r="N4362" s="54"/>
    </row>
    <row r="4363" spans="2:14" x14ac:dyDescent="0.2">
      <c r="B4363">
        <f t="shared" si="181"/>
        <v>4354</v>
      </c>
      <c r="C4363" s="52">
        <f ca="1"/>
        <v>0.82573128895838299</v>
      </c>
      <c r="D4363" s="52">
        <f ca="1">S0*EXP((μ-0.5*σ*σ)*T+σ*SQRT(T)*$C4363)</f>
        <v>0.80892332557122715</v>
      </c>
      <c r="E4363" s="52">
        <f t="shared" ca="1" si="182"/>
        <v>0</v>
      </c>
      <c r="F4363" s="17">
        <f t="shared" ca="1" si="183"/>
        <v>0</v>
      </c>
      <c r="H4363" s="17">
        <v>4354</v>
      </c>
      <c r="I4363" s="45">
        <v>0.67047709434479141</v>
      </c>
      <c r="J4363" s="45">
        <v>1.8554044650983311E-2</v>
      </c>
      <c r="K4363" s="45">
        <v>0.24479999999999999</v>
      </c>
      <c r="N4363" s="54"/>
    </row>
    <row r="4364" spans="2:14" x14ac:dyDescent="0.2">
      <c r="B4364">
        <f t="shared" si="181"/>
        <v>4355</v>
      </c>
      <c r="C4364" s="52">
        <f ca="1"/>
        <v>-0.75156039688183951</v>
      </c>
      <c r="D4364" s="52">
        <f ca="1">S0*EXP((μ-0.5*σ*σ)*T+σ*SQRT(T)*$C4364)</f>
        <v>0.52305646992007637</v>
      </c>
      <c r="E4364" s="52">
        <f t="shared" ca="1" si="182"/>
        <v>1.1343530079923614E-2</v>
      </c>
      <c r="F4364" s="17">
        <f t="shared" ca="1" si="183"/>
        <v>1</v>
      </c>
      <c r="H4364" s="17">
        <v>4355</v>
      </c>
      <c r="I4364" s="45">
        <v>0.6713676991725529</v>
      </c>
      <c r="J4364" s="45">
        <v>1.9499336804440204E-2</v>
      </c>
      <c r="K4364" s="45">
        <v>0.25679999999999997</v>
      </c>
      <c r="N4364" s="54"/>
    </row>
    <row r="4365" spans="2:14" x14ac:dyDescent="0.2">
      <c r="B4365">
        <f t="shared" si="181"/>
        <v>4356</v>
      </c>
      <c r="C4365" s="52">
        <f ca="1"/>
        <v>-0.3373499054264682</v>
      </c>
      <c r="D4365" s="52">
        <f ca="1">S0*EXP((μ-0.5*σ*σ)*T+σ*SQRT(T)*$C4365)</f>
        <v>0.58651056312807026</v>
      </c>
      <c r="E4365" s="52">
        <f t="shared" ca="1" si="182"/>
        <v>0</v>
      </c>
      <c r="F4365" s="17">
        <f t="shared" ca="1" si="183"/>
        <v>0</v>
      </c>
      <c r="H4365" s="17">
        <v>4356</v>
      </c>
      <c r="I4365" s="45">
        <v>0.67152244806912809</v>
      </c>
      <c r="J4365" s="45">
        <v>1.9337262231086286E-2</v>
      </c>
      <c r="K4365" s="45">
        <v>0.24540000000000001</v>
      </c>
      <c r="N4365" s="54"/>
    </row>
    <row r="4366" spans="2:14" x14ac:dyDescent="0.2">
      <c r="B4366">
        <f t="shared" si="181"/>
        <v>4357</v>
      </c>
      <c r="C4366" s="52">
        <f ca="1"/>
        <v>-0.47253484156413417</v>
      </c>
      <c r="D4366" s="52">
        <f ca="1">S0*EXP((μ-0.5*σ*σ)*T+σ*SQRT(T)*$C4366)</f>
        <v>0.56499742112937712</v>
      </c>
      <c r="E4366" s="52">
        <f t="shared" ca="1" si="182"/>
        <v>0</v>
      </c>
      <c r="F4366" s="17">
        <f t="shared" ca="1" si="183"/>
        <v>0</v>
      </c>
      <c r="H4366" s="17">
        <v>4357</v>
      </c>
      <c r="I4366" s="45">
        <v>0.67276435192005923</v>
      </c>
      <c r="J4366" s="45">
        <v>2.0115284124123226E-2</v>
      </c>
      <c r="K4366" s="45">
        <v>0.254</v>
      </c>
      <c r="N4366" s="54"/>
    </row>
    <row r="4367" spans="2:14" x14ac:dyDescent="0.2">
      <c r="B4367">
        <f t="shared" si="181"/>
        <v>4358</v>
      </c>
      <c r="C4367" s="52">
        <f ca="1"/>
        <v>0.2269049850325035</v>
      </c>
      <c r="D4367" s="52">
        <f ca="1">S0*EXP((μ-0.5*σ*σ)*T+σ*SQRT(T)*$C4367)</f>
        <v>0.68551410548747804</v>
      </c>
      <c r="E4367" s="52">
        <f t="shared" ca="1" si="182"/>
        <v>0</v>
      </c>
      <c r="F4367" s="17">
        <f t="shared" ca="1" si="183"/>
        <v>0</v>
      </c>
      <c r="H4367" s="17">
        <v>4358</v>
      </c>
      <c r="I4367" s="45">
        <v>0.67162447345620968</v>
      </c>
      <c r="J4367" s="45">
        <v>1.9319617217385017E-2</v>
      </c>
      <c r="K4367" s="45">
        <v>0.24879999999999999</v>
      </c>
      <c r="N4367" s="54"/>
    </row>
    <row r="4368" spans="2:14" x14ac:dyDescent="0.2">
      <c r="B4368">
        <f t="shared" si="181"/>
        <v>4359</v>
      </c>
      <c r="C4368" s="52">
        <f ca="1"/>
        <v>0.62242522224255692</v>
      </c>
      <c r="D4368" s="52">
        <f ca="1">S0*EXP((μ-0.5*σ*σ)*T+σ*SQRT(T)*$C4368)</f>
        <v>0.76471539263967803</v>
      </c>
      <c r="E4368" s="52">
        <f t="shared" ca="1" si="182"/>
        <v>0</v>
      </c>
      <c r="F4368" s="17">
        <f t="shared" ca="1" si="183"/>
        <v>0</v>
      </c>
      <c r="H4368" s="17">
        <v>4359</v>
      </c>
      <c r="I4368" s="45">
        <v>0.6707790979848004</v>
      </c>
      <c r="J4368" s="45">
        <v>1.8707722440896562E-2</v>
      </c>
      <c r="K4368" s="45">
        <v>0.2432</v>
      </c>
      <c r="N4368" s="54"/>
    </row>
    <row r="4369" spans="2:14" x14ac:dyDescent="0.2">
      <c r="B4369">
        <f t="shared" si="181"/>
        <v>4360</v>
      </c>
      <c r="C4369" s="52">
        <f ca="1"/>
        <v>0.16636153826256531</v>
      </c>
      <c r="D4369" s="52">
        <f ca="1">S0*EXP((μ-0.5*σ*σ)*T+σ*SQRT(T)*$C4369)</f>
        <v>0.67413669275212484</v>
      </c>
      <c r="E4369" s="52">
        <f t="shared" ca="1" si="182"/>
        <v>0</v>
      </c>
      <c r="F4369" s="17">
        <f t="shared" ca="1" si="183"/>
        <v>0</v>
      </c>
      <c r="H4369" s="17">
        <v>4360</v>
      </c>
      <c r="I4369" s="45">
        <v>0.670872952767404</v>
      </c>
      <c r="J4369" s="45">
        <v>1.905065937656663E-2</v>
      </c>
      <c r="K4369" s="45">
        <v>0.25019999999999998</v>
      </c>
      <c r="N4369" s="54"/>
    </row>
    <row r="4370" spans="2:14" x14ac:dyDescent="0.2">
      <c r="B4370">
        <f t="shared" si="181"/>
        <v>4361</v>
      </c>
      <c r="C4370" s="52">
        <f ca="1"/>
        <v>1.1142182105826242</v>
      </c>
      <c r="D4370" s="52">
        <f ca="1">S0*EXP((μ-0.5*σ*σ)*T+σ*SQRT(T)*$C4370)</f>
        <v>0.87607464674299784</v>
      </c>
      <c r="E4370" s="52">
        <f t="shared" ca="1" si="182"/>
        <v>0</v>
      </c>
      <c r="F4370" s="17">
        <f t="shared" ca="1" si="183"/>
        <v>0</v>
      </c>
      <c r="H4370" s="17">
        <v>4361</v>
      </c>
      <c r="I4370" s="45">
        <v>0.67048449029657153</v>
      </c>
      <c r="J4370" s="45">
        <v>1.8408646537830465E-2</v>
      </c>
      <c r="K4370" s="45">
        <v>0.2482</v>
      </c>
      <c r="N4370" s="54"/>
    </row>
    <row r="4371" spans="2:14" x14ac:dyDescent="0.2">
      <c r="B4371">
        <f t="shared" si="181"/>
        <v>4362</v>
      </c>
      <c r="C4371" s="52">
        <f ca="1"/>
        <v>1.3508139606725325</v>
      </c>
      <c r="D4371" s="52">
        <f ca="1">S0*EXP((μ-0.5*σ*σ)*T+σ*SQRT(T)*$C4371)</f>
        <v>0.93528758379300081</v>
      </c>
      <c r="E4371" s="52">
        <f t="shared" ca="1" si="182"/>
        <v>0</v>
      </c>
      <c r="F4371" s="17">
        <f t="shared" ca="1" si="183"/>
        <v>0</v>
      </c>
      <c r="H4371" s="17">
        <v>4362</v>
      </c>
      <c r="I4371" s="45">
        <v>0.67169248074261645</v>
      </c>
      <c r="J4371" s="45">
        <v>1.9713882139566357E-2</v>
      </c>
      <c r="K4371" s="45">
        <v>0.252</v>
      </c>
      <c r="N4371" s="54"/>
    </row>
    <row r="4372" spans="2:14" x14ac:dyDescent="0.2">
      <c r="B4372">
        <f t="shared" si="181"/>
        <v>4363</v>
      </c>
      <c r="C4372" s="52">
        <f ca="1"/>
        <v>1.0088510086772875</v>
      </c>
      <c r="D4372" s="52">
        <f ca="1">S0*EXP((μ-0.5*σ*σ)*T+σ*SQRT(T)*$C4372)</f>
        <v>0.85092532930161568</v>
      </c>
      <c r="E4372" s="52">
        <f t="shared" ca="1" si="182"/>
        <v>0</v>
      </c>
      <c r="F4372" s="17">
        <f t="shared" ca="1" si="183"/>
        <v>0</v>
      </c>
      <c r="H4372" s="17">
        <v>4363</v>
      </c>
      <c r="I4372" s="45">
        <v>0.67097502655621444</v>
      </c>
      <c r="J4372" s="45">
        <v>1.9097550464359379E-2</v>
      </c>
      <c r="K4372" s="45">
        <v>0.2422</v>
      </c>
      <c r="N4372" s="54"/>
    </row>
    <row r="4373" spans="2:14" x14ac:dyDescent="0.2">
      <c r="B4373">
        <f t="shared" si="181"/>
        <v>4364</v>
      </c>
      <c r="C4373" s="52">
        <f ca="1"/>
        <v>1.7735539577439328</v>
      </c>
      <c r="D4373" s="52">
        <f ca="1">S0*EXP((μ-0.5*σ*σ)*T+σ*SQRT(T)*$C4373)</f>
        <v>1.0512267956953287</v>
      </c>
      <c r="E4373" s="52">
        <f t="shared" ca="1" si="182"/>
        <v>0</v>
      </c>
      <c r="F4373" s="17">
        <f t="shared" ca="1" si="183"/>
        <v>0</v>
      </c>
      <c r="H4373" s="17">
        <v>4364</v>
      </c>
      <c r="I4373" s="45">
        <v>0.67190004520356361</v>
      </c>
      <c r="J4373" s="45">
        <v>2.0045271618306271E-2</v>
      </c>
      <c r="K4373" s="45">
        <v>0.2576</v>
      </c>
      <c r="N4373" s="54"/>
    </row>
    <row r="4374" spans="2:14" x14ac:dyDescent="0.2">
      <c r="B4374">
        <f t="shared" si="181"/>
        <v>4365</v>
      </c>
      <c r="C4374" s="52">
        <f ca="1"/>
        <v>-0.81162233634464565</v>
      </c>
      <c r="D4374" s="52">
        <f ca="1">S0*EXP((μ-0.5*σ*σ)*T+σ*SQRT(T)*$C4374)</f>
        <v>0.51444382130300381</v>
      </c>
      <c r="E4374" s="52">
        <f t="shared" ca="1" si="182"/>
        <v>1.9956178696996174E-2</v>
      </c>
      <c r="F4374" s="17">
        <f t="shared" ca="1" si="183"/>
        <v>1</v>
      </c>
      <c r="H4374" s="17">
        <v>4365</v>
      </c>
      <c r="I4374" s="45">
        <v>0.67134777409513835</v>
      </c>
      <c r="J4374" s="45">
        <v>1.9402118061846104E-2</v>
      </c>
      <c r="K4374" s="45">
        <v>0.24940000000000001</v>
      </c>
      <c r="N4374" s="54"/>
    </row>
    <row r="4375" spans="2:14" x14ac:dyDescent="0.2">
      <c r="B4375">
        <f t="shared" si="181"/>
        <v>4366</v>
      </c>
      <c r="C4375" s="52">
        <f ca="1"/>
        <v>-0.63057203953690844</v>
      </c>
      <c r="D4375" s="52">
        <f ca="1">S0*EXP((μ-0.5*σ*σ)*T+σ*SQRT(T)*$C4375)</f>
        <v>0.54084598198804013</v>
      </c>
      <c r="E4375" s="52">
        <f t="shared" ca="1" si="182"/>
        <v>0</v>
      </c>
      <c r="F4375" s="17">
        <f t="shared" ca="1" si="183"/>
        <v>0</v>
      </c>
      <c r="H4375" s="17">
        <v>4366</v>
      </c>
      <c r="I4375" s="45">
        <v>0.67091712918235324</v>
      </c>
      <c r="J4375" s="45">
        <v>1.9135110903207617E-2</v>
      </c>
      <c r="K4375" s="45">
        <v>0.24460000000000001</v>
      </c>
      <c r="N4375" s="54"/>
    </row>
    <row r="4376" spans="2:14" x14ac:dyDescent="0.2">
      <c r="B4376">
        <f t="shared" si="181"/>
        <v>4367</v>
      </c>
      <c r="C4376" s="52">
        <f ca="1"/>
        <v>8.1095299777708043E-3</v>
      </c>
      <c r="D4376" s="52">
        <f ca="1">S0*EXP((μ-0.5*σ*σ)*T+σ*SQRT(T)*$C4376)</f>
        <v>0.6452816565159788</v>
      </c>
      <c r="E4376" s="52">
        <f t="shared" ca="1" si="182"/>
        <v>0</v>
      </c>
      <c r="F4376" s="17">
        <f t="shared" ca="1" si="183"/>
        <v>0</v>
      </c>
      <c r="H4376" s="17">
        <v>4367</v>
      </c>
      <c r="I4376" s="45">
        <v>0.67103028288169986</v>
      </c>
      <c r="J4376" s="45">
        <v>1.8775623018858014E-2</v>
      </c>
      <c r="K4376" s="45">
        <v>0.24379999999999999</v>
      </c>
      <c r="N4376" s="54"/>
    </row>
    <row r="4377" spans="2:14" x14ac:dyDescent="0.2">
      <c r="B4377">
        <f t="shared" si="181"/>
        <v>4368</v>
      </c>
      <c r="C4377" s="52">
        <f ca="1"/>
        <v>-0.78470373385732839</v>
      </c>
      <c r="D4377" s="52">
        <f ca="1">S0*EXP((μ-0.5*σ*σ)*T+σ*SQRT(T)*$C4377)</f>
        <v>0.51828616685592366</v>
      </c>
      <c r="E4377" s="52">
        <f t="shared" ca="1" si="182"/>
        <v>1.6113833144076328E-2</v>
      </c>
      <c r="F4377" s="17">
        <f t="shared" ca="1" si="183"/>
        <v>1</v>
      </c>
      <c r="H4377" s="17">
        <v>4368</v>
      </c>
      <c r="I4377" s="45">
        <v>0.67101014881830789</v>
      </c>
      <c r="J4377" s="45">
        <v>1.9119033337369432E-2</v>
      </c>
      <c r="K4377" s="45">
        <v>0.249</v>
      </c>
      <c r="N4377" s="54"/>
    </row>
    <row r="4378" spans="2:14" x14ac:dyDescent="0.2">
      <c r="B4378">
        <f t="shared" si="181"/>
        <v>4369</v>
      </c>
      <c r="C4378" s="52">
        <f ca="1"/>
        <v>0.7876712301691724</v>
      </c>
      <c r="D4378" s="52">
        <f ca="1">S0*EXP((μ-0.5*σ*σ)*T+σ*SQRT(T)*$C4378)</f>
        <v>0.80045722693519294</v>
      </c>
      <c r="E4378" s="52">
        <f t="shared" ca="1" si="182"/>
        <v>0</v>
      </c>
      <c r="F4378" s="17">
        <f t="shared" ca="1" si="183"/>
        <v>0</v>
      </c>
      <c r="H4378" s="17">
        <v>4369</v>
      </c>
      <c r="I4378" s="45">
        <v>0.6709509793755728</v>
      </c>
      <c r="J4378" s="45">
        <v>1.9058705756829237E-2</v>
      </c>
      <c r="K4378" s="45">
        <v>0.25159999999999999</v>
      </c>
      <c r="N4378" s="54"/>
    </row>
    <row r="4379" spans="2:14" x14ac:dyDescent="0.2">
      <c r="B4379">
        <f t="shared" si="181"/>
        <v>4370</v>
      </c>
      <c r="C4379" s="52">
        <f ca="1"/>
        <v>-1.0156348840930127</v>
      </c>
      <c r="D4379" s="52">
        <f ca="1">S0*EXP((μ-0.5*σ*σ)*T+σ*SQRT(T)*$C4379)</f>
        <v>0.48623432465278471</v>
      </c>
      <c r="E4379" s="52">
        <f t="shared" ca="1" si="182"/>
        <v>4.8165675347215275E-2</v>
      </c>
      <c r="F4379" s="17">
        <f t="shared" ca="1" si="183"/>
        <v>1</v>
      </c>
      <c r="H4379" s="17">
        <v>4370</v>
      </c>
      <c r="I4379" s="45">
        <v>0.67015169034639444</v>
      </c>
      <c r="J4379" s="45">
        <v>1.8281153857742195E-2</v>
      </c>
      <c r="K4379" s="45">
        <v>0.2374</v>
      </c>
      <c r="N4379" s="54"/>
    </row>
    <row r="4380" spans="2:14" x14ac:dyDescent="0.2">
      <c r="B4380">
        <f t="shared" si="181"/>
        <v>4371</v>
      </c>
      <c r="C4380" s="52">
        <f ca="1"/>
        <v>-1.2170120744369293</v>
      </c>
      <c r="D4380" s="52">
        <f ca="1">S0*EXP((μ-0.5*σ*σ)*T+σ*SQRT(T)*$C4380)</f>
        <v>0.45990661334563693</v>
      </c>
      <c r="E4380" s="52">
        <f t="shared" ca="1" si="182"/>
        <v>7.4493386654363059E-2</v>
      </c>
      <c r="F4380" s="17">
        <f t="shared" ca="1" si="183"/>
        <v>1</v>
      </c>
      <c r="H4380" s="17">
        <v>4371</v>
      </c>
      <c r="I4380" s="45">
        <v>0.67013491097471922</v>
      </c>
      <c r="J4380" s="45">
        <v>1.8346096557866998E-2</v>
      </c>
      <c r="K4380" s="45">
        <v>0.24279999999999999</v>
      </c>
      <c r="N4380" s="54"/>
    </row>
    <row r="4381" spans="2:14" x14ac:dyDescent="0.2">
      <c r="B4381">
        <f t="shared" si="181"/>
        <v>4372</v>
      </c>
      <c r="C4381" s="52">
        <f ca="1"/>
        <v>-0.36473827650236113</v>
      </c>
      <c r="D4381" s="52">
        <f ca="1">S0*EXP((μ-0.5*σ*σ)*T+σ*SQRT(T)*$C4381)</f>
        <v>0.58208683762132785</v>
      </c>
      <c r="E4381" s="52">
        <f t="shared" ca="1" si="182"/>
        <v>0</v>
      </c>
      <c r="F4381" s="17">
        <f t="shared" ca="1" si="183"/>
        <v>0</v>
      </c>
      <c r="H4381" s="17">
        <v>4372</v>
      </c>
      <c r="I4381" s="45">
        <v>0.67103502361142575</v>
      </c>
      <c r="J4381" s="45">
        <v>1.9043698003078448E-2</v>
      </c>
      <c r="K4381" s="45">
        <v>0.2482</v>
      </c>
      <c r="N4381" s="54"/>
    </row>
    <row r="4382" spans="2:14" x14ac:dyDescent="0.2">
      <c r="B4382">
        <f t="shared" si="181"/>
        <v>4373</v>
      </c>
      <c r="C4382" s="52">
        <f ca="1"/>
        <v>4.940926502655734E-2</v>
      </c>
      <c r="D4382" s="52">
        <f ca="1">S0*EXP((μ-0.5*σ*σ)*T+σ*SQRT(T)*$C4382)</f>
        <v>0.65269078534688918</v>
      </c>
      <c r="E4382" s="52">
        <f t="shared" ca="1" si="182"/>
        <v>0</v>
      </c>
      <c r="F4382" s="17">
        <f t="shared" ca="1" si="183"/>
        <v>0</v>
      </c>
      <c r="H4382" s="17">
        <v>4373</v>
      </c>
      <c r="I4382" s="45">
        <v>0.67153881468624776</v>
      </c>
      <c r="J4382" s="45">
        <v>1.9435133847840489E-2</v>
      </c>
      <c r="K4382" s="45">
        <v>0.2492</v>
      </c>
      <c r="N4382" s="54"/>
    </row>
    <row r="4383" spans="2:14" x14ac:dyDescent="0.2">
      <c r="B4383">
        <f t="shared" si="181"/>
        <v>4374</v>
      </c>
      <c r="C4383" s="52">
        <f ca="1"/>
        <v>0.36712328823731993</v>
      </c>
      <c r="D4383" s="52">
        <f ca="1">S0*EXP((μ-0.5*σ*σ)*T+σ*SQRT(T)*$C4383)</f>
        <v>0.71260692684463456</v>
      </c>
      <c r="E4383" s="52">
        <f t="shared" ca="1" si="182"/>
        <v>0</v>
      </c>
      <c r="F4383" s="17">
        <f t="shared" ca="1" si="183"/>
        <v>0</v>
      </c>
      <c r="H4383" s="17">
        <v>4374</v>
      </c>
      <c r="I4383" s="45">
        <v>0.67075415712464737</v>
      </c>
      <c r="J4383" s="45">
        <v>1.8859155337751673E-2</v>
      </c>
      <c r="K4383" s="45">
        <v>0.24099999999999999</v>
      </c>
      <c r="N4383" s="54"/>
    </row>
    <row r="4384" spans="2:14" x14ac:dyDescent="0.2">
      <c r="B4384">
        <f t="shared" si="181"/>
        <v>4375</v>
      </c>
      <c r="C4384" s="52">
        <f ca="1"/>
        <v>-0.56717522603638448</v>
      </c>
      <c r="D4384" s="52">
        <f ca="1">S0*EXP((μ-0.5*σ*σ)*T+σ*SQRT(T)*$C4384)</f>
        <v>0.55040781619392587</v>
      </c>
      <c r="E4384" s="52">
        <f t="shared" ca="1" si="182"/>
        <v>0</v>
      </c>
      <c r="F4384" s="17">
        <f t="shared" ca="1" si="183"/>
        <v>0</v>
      </c>
      <c r="H4384" s="17">
        <v>4375</v>
      </c>
      <c r="I4384" s="45">
        <v>0.67133546819686241</v>
      </c>
      <c r="J4384" s="45">
        <v>1.9486489778649418E-2</v>
      </c>
      <c r="K4384" s="45">
        <v>0.25319999999999998</v>
      </c>
      <c r="N4384" s="54"/>
    </row>
    <row r="4385" spans="2:14" x14ac:dyDescent="0.2">
      <c r="B4385">
        <f t="shared" si="181"/>
        <v>4376</v>
      </c>
      <c r="C4385" s="52">
        <f ca="1"/>
        <v>-1.1669585424961872</v>
      </c>
      <c r="D4385" s="52">
        <f ca="1">S0*EXP((μ-0.5*σ*σ)*T+σ*SQRT(T)*$C4385)</f>
        <v>0.46631430360427811</v>
      </c>
      <c r="E4385" s="52">
        <f t="shared" ca="1" si="182"/>
        <v>6.8085696395721873E-2</v>
      </c>
      <c r="F4385" s="17">
        <f t="shared" ca="1" si="183"/>
        <v>1</v>
      </c>
      <c r="H4385" s="17">
        <v>4376</v>
      </c>
      <c r="I4385" s="45">
        <v>0.67035594659243602</v>
      </c>
      <c r="J4385" s="45">
        <v>1.844744254610358E-2</v>
      </c>
      <c r="K4385" s="45">
        <v>0.24399999999999999</v>
      </c>
      <c r="N4385" s="54"/>
    </row>
    <row r="4386" spans="2:14" x14ac:dyDescent="0.2">
      <c r="B4386">
        <f t="shared" si="181"/>
        <v>4377</v>
      </c>
      <c r="C4386" s="52">
        <f ca="1"/>
        <v>7.4597549854942463E-2</v>
      </c>
      <c r="D4386" s="52">
        <f ca="1">S0*EXP((μ-0.5*σ*σ)*T+σ*SQRT(T)*$C4386)</f>
        <v>0.65725123895580706</v>
      </c>
      <c r="E4386" s="52">
        <f t="shared" ca="1" si="182"/>
        <v>0</v>
      </c>
      <c r="F4386" s="17">
        <f t="shared" ca="1" si="183"/>
        <v>0</v>
      </c>
      <c r="H4386" s="17">
        <v>4377</v>
      </c>
      <c r="I4386" s="45">
        <v>0.67098316733255425</v>
      </c>
      <c r="J4386" s="45">
        <v>1.8842599749318064E-2</v>
      </c>
      <c r="K4386" s="45">
        <v>0.24679999999999999</v>
      </c>
      <c r="N4386" s="54"/>
    </row>
    <row r="4387" spans="2:14" x14ac:dyDescent="0.2">
      <c r="B4387">
        <f t="shared" si="181"/>
        <v>4378</v>
      </c>
      <c r="C4387" s="52">
        <f ca="1"/>
        <v>-0.21217068207338172</v>
      </c>
      <c r="D4387" s="52">
        <f ca="1">S0*EXP((μ-0.5*σ*σ)*T+σ*SQRT(T)*$C4387)</f>
        <v>0.60716117662163438</v>
      </c>
      <c r="E4387" s="52">
        <f t="shared" ca="1" si="182"/>
        <v>0</v>
      </c>
      <c r="F4387" s="17">
        <f t="shared" ca="1" si="183"/>
        <v>0</v>
      </c>
      <c r="H4387" s="17">
        <v>4378</v>
      </c>
      <c r="I4387" s="45">
        <v>0.66911966659051259</v>
      </c>
      <c r="J4387" s="45">
        <v>1.772514057345223E-2</v>
      </c>
      <c r="K4387" s="45">
        <v>0.23139999999999999</v>
      </c>
      <c r="N4387" s="54"/>
    </row>
    <row r="4388" spans="2:14" x14ac:dyDescent="0.2">
      <c r="B4388">
        <f t="shared" si="181"/>
        <v>4379</v>
      </c>
      <c r="C4388" s="52">
        <f ca="1"/>
        <v>1.1352816894811968</v>
      </c>
      <c r="D4388" s="52">
        <f ca="1">S0*EXP((μ-0.5*σ*σ)*T+σ*SQRT(T)*$C4388)</f>
        <v>0.88119058527355576</v>
      </c>
      <c r="E4388" s="52">
        <f t="shared" ca="1" si="182"/>
        <v>0</v>
      </c>
      <c r="F4388" s="17">
        <f t="shared" ca="1" si="183"/>
        <v>0</v>
      </c>
      <c r="H4388" s="17">
        <v>4379</v>
      </c>
      <c r="I4388" s="45">
        <v>0.67106571823606387</v>
      </c>
      <c r="J4388" s="45">
        <v>1.9154055654697747E-2</v>
      </c>
      <c r="K4388" s="45">
        <v>0.24859999999999999</v>
      </c>
      <c r="N4388" s="54"/>
    </row>
    <row r="4389" spans="2:14" x14ac:dyDescent="0.2">
      <c r="B4389">
        <f t="shared" si="181"/>
        <v>4380</v>
      </c>
      <c r="C4389" s="52">
        <f ca="1"/>
        <v>-0.84283024418750863</v>
      </c>
      <c r="D4389" s="52">
        <f ca="1">S0*EXP((μ-0.5*σ*σ)*T+σ*SQRT(T)*$C4389)</f>
        <v>0.51002486430170402</v>
      </c>
      <c r="E4389" s="52">
        <f t="shared" ca="1" si="182"/>
        <v>2.4375135698295969E-2</v>
      </c>
      <c r="F4389" s="17">
        <f t="shared" ca="1" si="183"/>
        <v>1</v>
      </c>
      <c r="H4389" s="17">
        <v>4380</v>
      </c>
      <c r="I4389" s="45">
        <v>0.66978481216805119</v>
      </c>
      <c r="J4389" s="45">
        <v>1.7944805090501732E-2</v>
      </c>
      <c r="K4389" s="45">
        <v>0.24399999999999999</v>
      </c>
      <c r="N4389" s="54"/>
    </row>
    <row r="4390" spans="2:14" x14ac:dyDescent="0.2">
      <c r="B4390">
        <f t="shared" si="181"/>
        <v>4381</v>
      </c>
      <c r="C4390" s="52">
        <f ca="1"/>
        <v>-0.95983138281149993</v>
      </c>
      <c r="D4390" s="52">
        <f ca="1">S0*EXP((μ-0.5*σ*σ)*T+σ*SQRT(T)*$C4390)</f>
        <v>0.4937930781465838</v>
      </c>
      <c r="E4390" s="52">
        <f t="shared" ca="1" si="182"/>
        <v>4.0606921853416189E-2</v>
      </c>
      <c r="F4390" s="17">
        <f t="shared" ca="1" si="183"/>
        <v>1</v>
      </c>
      <c r="H4390" s="17">
        <v>4381</v>
      </c>
      <c r="I4390" s="45">
        <v>0.67109229697228812</v>
      </c>
      <c r="J4390" s="45">
        <v>1.89176874017714E-2</v>
      </c>
      <c r="K4390" s="45">
        <v>0.24579999999999999</v>
      </c>
      <c r="N4390" s="54"/>
    </row>
    <row r="4391" spans="2:14" x14ac:dyDescent="0.2">
      <c r="B4391">
        <f t="shared" si="181"/>
        <v>4382</v>
      </c>
      <c r="C4391" s="52">
        <f ca="1"/>
        <v>0.36059708961706893</v>
      </c>
      <c r="D4391" s="52">
        <f ca="1">S0*EXP((μ-0.5*σ*σ)*T+σ*SQRT(T)*$C4391)</f>
        <v>0.71132250476628134</v>
      </c>
      <c r="E4391" s="52">
        <f t="shared" ca="1" si="182"/>
        <v>0</v>
      </c>
      <c r="F4391" s="17">
        <f t="shared" ca="1" si="183"/>
        <v>0</v>
      </c>
      <c r="H4391" s="17">
        <v>4382</v>
      </c>
      <c r="I4391" s="45">
        <v>0.67035680082227622</v>
      </c>
      <c r="J4391" s="45">
        <v>1.867563311265381E-2</v>
      </c>
      <c r="K4391" s="45">
        <v>0.2422</v>
      </c>
      <c r="N4391" s="54"/>
    </row>
    <row r="4392" spans="2:14" x14ac:dyDescent="0.2">
      <c r="B4392">
        <f t="shared" si="181"/>
        <v>4383</v>
      </c>
      <c r="C4392" s="52">
        <f ca="1"/>
        <v>0.21700623606616168</v>
      </c>
      <c r="D4392" s="52">
        <f ca="1">S0*EXP((μ-0.5*σ*σ)*T+σ*SQRT(T)*$C4392)</f>
        <v>0.68364087259241613</v>
      </c>
      <c r="E4392" s="52">
        <f t="shared" ca="1" si="182"/>
        <v>0</v>
      </c>
      <c r="F4392" s="17">
        <f t="shared" ca="1" si="183"/>
        <v>0</v>
      </c>
      <c r="H4392" s="17">
        <v>4383</v>
      </c>
      <c r="I4392" s="45">
        <v>0.67077747610929095</v>
      </c>
      <c r="J4392" s="45">
        <v>1.90862408887922E-2</v>
      </c>
      <c r="K4392" s="45">
        <v>0.25380000000000003</v>
      </c>
      <c r="N4392" s="54"/>
    </row>
    <row r="4393" spans="2:14" x14ac:dyDescent="0.2">
      <c r="B4393">
        <f t="shared" si="181"/>
        <v>4384</v>
      </c>
      <c r="C4393" s="52">
        <f ca="1"/>
        <v>-0.77901849142753665</v>
      </c>
      <c r="D4393" s="52">
        <f ca="1">S0*EXP((μ-0.5*σ*σ)*T+σ*SQRT(T)*$C4393)</f>
        <v>0.51910133845127993</v>
      </c>
      <c r="E4393" s="52">
        <f t="shared" ca="1" si="182"/>
        <v>1.5298661548720061E-2</v>
      </c>
      <c r="F4393" s="17">
        <f t="shared" ca="1" si="183"/>
        <v>1</v>
      </c>
      <c r="H4393" s="17">
        <v>4384</v>
      </c>
      <c r="I4393" s="45">
        <v>0.67099585082919089</v>
      </c>
      <c r="J4393" s="45">
        <v>1.9211082180632836E-2</v>
      </c>
      <c r="K4393" s="45">
        <v>0.25180000000000002</v>
      </c>
      <c r="N4393" s="54"/>
    </row>
    <row r="4394" spans="2:14" x14ac:dyDescent="0.2">
      <c r="B4394">
        <f t="shared" si="181"/>
        <v>4385</v>
      </c>
      <c r="C4394" s="52">
        <f ca="1"/>
        <v>-2.5581479803304963</v>
      </c>
      <c r="D4394" s="52">
        <f ca="1">S0*EXP((μ-0.5*σ*σ)*T+σ*SQRT(T)*$C4394)</f>
        <v>0.31744033698371266</v>
      </c>
      <c r="E4394" s="52">
        <f t="shared" ca="1" si="182"/>
        <v>0.21695966301628733</v>
      </c>
      <c r="F4394" s="17">
        <f t="shared" ca="1" si="183"/>
        <v>1</v>
      </c>
      <c r="H4394" s="17">
        <v>4385</v>
      </c>
      <c r="I4394" s="45">
        <v>0.66998086989568473</v>
      </c>
      <c r="J4394" s="45">
        <v>1.8260731926243577E-2</v>
      </c>
      <c r="K4394" s="45">
        <v>0.2442</v>
      </c>
      <c r="N4394" s="54"/>
    </row>
    <row r="4395" spans="2:14" x14ac:dyDescent="0.2">
      <c r="B4395">
        <f t="shared" ref="B4395:B4458" si="184">B4394+1</f>
        <v>4386</v>
      </c>
      <c r="C4395" s="52">
        <f ca="1"/>
        <v>0.4589278493050919</v>
      </c>
      <c r="D4395" s="52">
        <f ca="1">S0*EXP((μ-0.5*σ*σ)*T+σ*SQRT(T)*$C4395)</f>
        <v>0.73092272234006916</v>
      </c>
      <c r="E4395" s="52">
        <f t="shared" ca="1" si="182"/>
        <v>0</v>
      </c>
      <c r="F4395" s="17">
        <f t="shared" ca="1" si="183"/>
        <v>0</v>
      </c>
      <c r="H4395" s="17">
        <v>4386</v>
      </c>
      <c r="I4395" s="45">
        <v>0.67143942254084754</v>
      </c>
      <c r="J4395" s="45">
        <v>1.9400966318928944E-2</v>
      </c>
      <c r="K4395" s="45">
        <v>0.24099999999999999</v>
      </c>
      <c r="N4395" s="54"/>
    </row>
    <row r="4396" spans="2:14" x14ac:dyDescent="0.2">
      <c r="B4396">
        <f t="shared" si="184"/>
        <v>4387</v>
      </c>
      <c r="C4396" s="52">
        <f ca="1"/>
        <v>-0.99337443926500368</v>
      </c>
      <c r="D4396" s="52">
        <f ca="1">S0*EXP((μ-0.5*σ*σ)*T+σ*SQRT(T)*$C4396)</f>
        <v>0.48923559748618478</v>
      </c>
      <c r="E4396" s="52">
        <f t="shared" ca="1" si="182"/>
        <v>4.5164402513815205E-2</v>
      </c>
      <c r="F4396" s="17">
        <f t="shared" ca="1" si="183"/>
        <v>1</v>
      </c>
      <c r="H4396" s="17">
        <v>4387</v>
      </c>
      <c r="I4396" s="45">
        <v>0.67077127613457244</v>
      </c>
      <c r="J4396" s="45">
        <v>1.8887921116218741E-2</v>
      </c>
      <c r="K4396" s="45">
        <v>0.24460000000000001</v>
      </c>
      <c r="N4396" s="54"/>
    </row>
    <row r="4397" spans="2:14" x14ac:dyDescent="0.2">
      <c r="B4397">
        <f t="shared" si="184"/>
        <v>4388</v>
      </c>
      <c r="C4397" s="52">
        <f ca="1"/>
        <v>-0.29768702049421908</v>
      </c>
      <c r="D4397" s="52">
        <f ca="1">S0*EXP((μ-0.5*σ*σ)*T+σ*SQRT(T)*$C4397)</f>
        <v>0.59297651193497392</v>
      </c>
      <c r="E4397" s="52">
        <f t="shared" ca="1" si="182"/>
        <v>0</v>
      </c>
      <c r="F4397" s="17">
        <f t="shared" ca="1" si="183"/>
        <v>0</v>
      </c>
      <c r="H4397" s="17">
        <v>4388</v>
      </c>
      <c r="I4397" s="45">
        <v>0.67071180623109117</v>
      </c>
      <c r="J4397" s="45">
        <v>1.8630828370568859E-2</v>
      </c>
      <c r="K4397" s="45">
        <v>0.2432</v>
      </c>
      <c r="N4397" s="54"/>
    </row>
    <row r="4398" spans="2:14" x14ac:dyDescent="0.2">
      <c r="B4398">
        <f t="shared" si="184"/>
        <v>4389</v>
      </c>
      <c r="C4398" s="52">
        <f ca="1"/>
        <v>1.7903525190552805</v>
      </c>
      <c r="D4398" s="52">
        <f ca="1">S0*EXP((μ-0.5*σ*σ)*T+σ*SQRT(T)*$C4398)</f>
        <v>1.0561196961834898</v>
      </c>
      <c r="E4398" s="52">
        <f t="shared" ca="1" si="182"/>
        <v>0</v>
      </c>
      <c r="F4398" s="17">
        <f t="shared" ca="1" si="183"/>
        <v>0</v>
      </c>
      <c r="H4398" s="17">
        <v>4389</v>
      </c>
      <c r="I4398" s="45">
        <v>0.67024431580506205</v>
      </c>
      <c r="J4398" s="45">
        <v>1.8555635794751633E-2</v>
      </c>
      <c r="K4398" s="45">
        <v>0.2384</v>
      </c>
      <c r="N4398" s="54"/>
    </row>
    <row r="4399" spans="2:14" x14ac:dyDescent="0.2">
      <c r="B4399">
        <f t="shared" si="184"/>
        <v>4390</v>
      </c>
      <c r="C4399" s="52">
        <f ca="1"/>
        <v>1.0025012291578941</v>
      </c>
      <c r="D4399" s="52">
        <f ca="1">S0*EXP((μ-0.5*σ*σ)*T+σ*SQRT(T)*$C4399)</f>
        <v>0.8494330224967841</v>
      </c>
      <c r="E4399" s="52">
        <f t="shared" ca="1" si="182"/>
        <v>0</v>
      </c>
      <c r="F4399" s="17">
        <f t="shared" ca="1" si="183"/>
        <v>0</v>
      </c>
      <c r="H4399" s="17">
        <v>4390</v>
      </c>
      <c r="I4399" s="45">
        <v>0.67031498788410504</v>
      </c>
      <c r="J4399" s="45">
        <v>1.8536338832931668E-2</v>
      </c>
      <c r="K4399" s="45">
        <v>0.24779999999999999</v>
      </c>
      <c r="N4399" s="54"/>
    </row>
    <row r="4400" spans="2:14" x14ac:dyDescent="0.2">
      <c r="B4400">
        <f t="shared" si="184"/>
        <v>4391</v>
      </c>
      <c r="C4400" s="52">
        <f ca="1"/>
        <v>3.8891856468933096E-2</v>
      </c>
      <c r="D4400" s="52">
        <f ca="1">S0*EXP((μ-0.5*σ*σ)*T+σ*SQRT(T)*$C4400)</f>
        <v>0.65079593822169968</v>
      </c>
      <c r="E4400" s="52">
        <f t="shared" ca="1" si="182"/>
        <v>0</v>
      </c>
      <c r="F4400" s="17">
        <f t="shared" ca="1" si="183"/>
        <v>0</v>
      </c>
      <c r="H4400" s="17">
        <v>4391</v>
      </c>
      <c r="I4400" s="45">
        <v>0.67104810908180867</v>
      </c>
      <c r="J4400" s="45">
        <v>1.9017030805163058E-2</v>
      </c>
      <c r="K4400" s="45">
        <v>0.2462</v>
      </c>
      <c r="N4400" s="54"/>
    </row>
    <row r="4401" spans="2:14" x14ac:dyDescent="0.2">
      <c r="B4401">
        <f t="shared" si="184"/>
        <v>4392</v>
      </c>
      <c r="C4401" s="52">
        <f ca="1"/>
        <v>-1.8789560693214109</v>
      </c>
      <c r="D4401" s="52">
        <f ca="1">S0*EXP((μ-0.5*σ*σ)*T+σ*SQRT(T)*$C4401)</f>
        <v>0.38300215371206547</v>
      </c>
      <c r="E4401" s="52">
        <f t="shared" ca="1" si="182"/>
        <v>0.15139784628793451</v>
      </c>
      <c r="F4401" s="17">
        <f t="shared" ca="1" si="183"/>
        <v>1</v>
      </c>
      <c r="H4401" s="17">
        <v>4392</v>
      </c>
      <c r="I4401" s="45">
        <v>0.67055444506771289</v>
      </c>
      <c r="J4401" s="45">
        <v>1.8583681314284759E-2</v>
      </c>
      <c r="K4401" s="45">
        <v>0.249</v>
      </c>
      <c r="N4401" s="54"/>
    </row>
    <row r="4402" spans="2:14" x14ac:dyDescent="0.2">
      <c r="B4402">
        <f t="shared" si="184"/>
        <v>4393</v>
      </c>
      <c r="C4402" s="52">
        <f ca="1"/>
        <v>2.3200211967995621</v>
      </c>
      <c r="D4402" s="52">
        <f ca="1">S0*EXP((μ-0.5*σ*σ)*T+σ*SQRT(T)*$C4402)</f>
        <v>1.222648211191538</v>
      </c>
      <c r="E4402" s="52">
        <f t="shared" ca="1" si="182"/>
        <v>0</v>
      </c>
      <c r="F4402" s="17">
        <f t="shared" ca="1" si="183"/>
        <v>0</v>
      </c>
      <c r="H4402" s="17">
        <v>4393</v>
      </c>
      <c r="I4402" s="45">
        <v>0.67161780242530844</v>
      </c>
      <c r="J4402" s="45">
        <v>1.9330986804044152E-2</v>
      </c>
      <c r="K4402" s="45">
        <v>0.24840000000000001</v>
      </c>
      <c r="N4402" s="54"/>
    </row>
    <row r="4403" spans="2:14" x14ac:dyDescent="0.2">
      <c r="B4403">
        <f t="shared" si="184"/>
        <v>4394</v>
      </c>
      <c r="C4403" s="52">
        <f ca="1"/>
        <v>8.9341497672386153E-3</v>
      </c>
      <c r="D4403" s="52">
        <f ca="1">S0*EXP((μ-0.5*σ*σ)*T+σ*SQRT(T)*$C4403)</f>
        <v>0.6454287663462337</v>
      </c>
      <c r="E4403" s="52">
        <f t="shared" ca="1" si="182"/>
        <v>0</v>
      </c>
      <c r="F4403" s="17">
        <f t="shared" ca="1" si="183"/>
        <v>0</v>
      </c>
      <c r="H4403" s="17">
        <v>4394</v>
      </c>
      <c r="I4403" s="45">
        <v>0.67181042844650984</v>
      </c>
      <c r="J4403" s="45">
        <v>1.9690276781456878E-2</v>
      </c>
      <c r="K4403" s="45">
        <v>0.24879999999999999</v>
      </c>
      <c r="N4403" s="54"/>
    </row>
    <row r="4404" spans="2:14" x14ac:dyDescent="0.2">
      <c r="B4404">
        <f t="shared" si="184"/>
        <v>4395</v>
      </c>
      <c r="C4404" s="52">
        <f ca="1"/>
        <v>-1.3721435631143544</v>
      </c>
      <c r="D4404" s="52">
        <f ca="1">S0*EXP((μ-0.5*σ*σ)*T+σ*SQRT(T)*$C4404)</f>
        <v>0.44060116000338723</v>
      </c>
      <c r="E4404" s="52">
        <f t="shared" ca="1" si="182"/>
        <v>9.379883999661276E-2</v>
      </c>
      <c r="F4404" s="17">
        <f t="shared" ca="1" si="183"/>
        <v>1</v>
      </c>
      <c r="H4404" s="17">
        <v>4395</v>
      </c>
      <c r="I4404" s="45">
        <v>0.67028224732593766</v>
      </c>
      <c r="J4404" s="45">
        <v>1.8393247236700969E-2</v>
      </c>
      <c r="K4404" s="45">
        <v>0.24160000000000001</v>
      </c>
      <c r="N4404" s="54"/>
    </row>
    <row r="4405" spans="2:14" x14ac:dyDescent="0.2">
      <c r="B4405">
        <f t="shared" si="184"/>
        <v>4396</v>
      </c>
      <c r="C4405" s="52">
        <f ca="1"/>
        <v>1.5771462304930739</v>
      </c>
      <c r="D4405" s="52">
        <f ca="1">S0*EXP((μ-0.5*σ*σ)*T+σ*SQRT(T)*$C4405)</f>
        <v>0.99567376262718232</v>
      </c>
      <c r="E4405" s="52">
        <f t="shared" ca="1" si="182"/>
        <v>0</v>
      </c>
      <c r="F4405" s="17">
        <f t="shared" ca="1" si="183"/>
        <v>0</v>
      </c>
      <c r="H4405" s="17">
        <v>4396</v>
      </c>
      <c r="I4405" s="45">
        <v>0.6704932661896772</v>
      </c>
      <c r="J4405" s="45">
        <v>1.8671015350407369E-2</v>
      </c>
      <c r="K4405" s="45">
        <v>0.2412</v>
      </c>
      <c r="N4405" s="54"/>
    </row>
    <row r="4406" spans="2:14" x14ac:dyDescent="0.2">
      <c r="B4406">
        <f t="shared" si="184"/>
        <v>4397</v>
      </c>
      <c r="C4406" s="52">
        <f ca="1"/>
        <v>-0.10756700461247586</v>
      </c>
      <c r="D4406" s="52">
        <f ca="1">S0*EXP((μ-0.5*σ*σ)*T+σ*SQRT(T)*$C4406)</f>
        <v>0.6249740588887116</v>
      </c>
      <c r="E4406" s="52">
        <f t="shared" ca="1" si="182"/>
        <v>0</v>
      </c>
      <c r="F4406" s="17">
        <f t="shared" ca="1" si="183"/>
        <v>0</v>
      </c>
      <c r="H4406" s="17">
        <v>4397</v>
      </c>
      <c r="I4406" s="45">
        <v>0.671145818833361</v>
      </c>
      <c r="J4406" s="45">
        <v>1.9161964892698224E-2</v>
      </c>
      <c r="K4406" s="45">
        <v>0.2472</v>
      </c>
      <c r="N4406" s="54"/>
    </row>
    <row r="4407" spans="2:14" x14ac:dyDescent="0.2">
      <c r="B4407">
        <f t="shared" si="184"/>
        <v>4398</v>
      </c>
      <c r="C4407" s="52">
        <f ca="1"/>
        <v>0.74286131082185813</v>
      </c>
      <c r="D4407" s="52">
        <f ca="1">S0*EXP((μ-0.5*σ*σ)*T+σ*SQRT(T)*$C4407)</f>
        <v>0.79060318501642357</v>
      </c>
      <c r="E4407" s="52">
        <f t="shared" ca="1" si="182"/>
        <v>0</v>
      </c>
      <c r="F4407" s="17">
        <f t="shared" ca="1" si="183"/>
        <v>0</v>
      </c>
      <c r="H4407" s="17">
        <v>4398</v>
      </c>
      <c r="I4407" s="45">
        <v>0.67145975656852086</v>
      </c>
      <c r="J4407" s="45">
        <v>1.9279930389867042E-2</v>
      </c>
      <c r="K4407" s="45">
        <v>0.251</v>
      </c>
      <c r="N4407" s="54"/>
    </row>
    <row r="4408" spans="2:14" x14ac:dyDescent="0.2">
      <c r="B4408">
        <f t="shared" si="184"/>
        <v>4399</v>
      </c>
      <c r="C4408" s="52">
        <f ca="1"/>
        <v>-1.4422622926036937</v>
      </c>
      <c r="D4408" s="52">
        <f ca="1">S0*EXP((μ-0.5*σ*σ)*T+σ*SQRT(T)*$C4408)</f>
        <v>0.43214318087633125</v>
      </c>
      <c r="E4408" s="52">
        <f t="shared" ca="1" si="182"/>
        <v>0.10225681912366874</v>
      </c>
      <c r="F4408" s="17">
        <f t="shared" ca="1" si="183"/>
        <v>1</v>
      </c>
      <c r="H4408" s="17">
        <v>4399</v>
      </c>
      <c r="I4408" s="45">
        <v>0.67045989193129507</v>
      </c>
      <c r="J4408" s="45">
        <v>1.886840605030967E-2</v>
      </c>
      <c r="K4408" s="45">
        <v>0.2462</v>
      </c>
      <c r="N4408" s="54"/>
    </row>
    <row r="4409" spans="2:14" x14ac:dyDescent="0.2">
      <c r="B4409">
        <f t="shared" si="184"/>
        <v>4400</v>
      </c>
      <c r="C4409" s="52">
        <f ca="1"/>
        <v>5.3425780590535245E-2</v>
      </c>
      <c r="D4409" s="52">
        <f ca="1">S0*EXP((μ-0.5*σ*σ)*T+σ*SQRT(T)*$C4409)</f>
        <v>0.65341586743598845</v>
      </c>
      <c r="E4409" s="52">
        <f t="shared" ca="1" si="182"/>
        <v>0</v>
      </c>
      <c r="F4409" s="17">
        <f t="shared" ca="1" si="183"/>
        <v>0</v>
      </c>
      <c r="H4409" s="17">
        <v>4400</v>
      </c>
      <c r="I4409" s="45">
        <v>0.67064986604234345</v>
      </c>
      <c r="J4409" s="45">
        <v>1.866323581966375E-2</v>
      </c>
      <c r="K4409" s="45">
        <v>0.24460000000000001</v>
      </c>
      <c r="N4409" s="54"/>
    </row>
    <row r="4410" spans="2:14" x14ac:dyDescent="0.2">
      <c r="B4410">
        <f t="shared" si="184"/>
        <v>4401</v>
      </c>
      <c r="C4410" s="52">
        <f ca="1"/>
        <v>0.57016260527958174</v>
      </c>
      <c r="D4410" s="52">
        <f ca="1">S0*EXP((μ-0.5*σ*σ)*T+σ*SQRT(T)*$C4410)</f>
        <v>0.7537469053005813</v>
      </c>
      <c r="E4410" s="52">
        <f t="shared" ca="1" si="182"/>
        <v>0</v>
      </c>
      <c r="F4410" s="17">
        <f t="shared" ca="1" si="183"/>
        <v>0</v>
      </c>
      <c r="H4410" s="17">
        <v>4401</v>
      </c>
      <c r="I4410" s="45">
        <v>0.67155182300115956</v>
      </c>
      <c r="J4410" s="45">
        <v>1.9417686043117117E-2</v>
      </c>
      <c r="K4410" s="45">
        <v>0.247</v>
      </c>
      <c r="N4410" s="54"/>
    </row>
    <row r="4411" spans="2:14" x14ac:dyDescent="0.2">
      <c r="B4411">
        <f t="shared" si="184"/>
        <v>4402</v>
      </c>
      <c r="C4411" s="52">
        <f ca="1"/>
        <v>1.2510962558823848</v>
      </c>
      <c r="D4411" s="52">
        <f ca="1">S0*EXP((μ-0.5*σ*σ)*T+σ*SQRT(T)*$C4411)</f>
        <v>0.90985827217612569</v>
      </c>
      <c r="E4411" s="52">
        <f t="shared" ca="1" si="182"/>
        <v>0</v>
      </c>
      <c r="F4411" s="17">
        <f t="shared" ca="1" si="183"/>
        <v>0</v>
      </c>
      <c r="H4411" s="17">
        <v>4402</v>
      </c>
      <c r="I4411" s="45">
        <v>0.67042162431947605</v>
      </c>
      <c r="J4411" s="45">
        <v>1.8502534188456168E-2</v>
      </c>
      <c r="K4411" s="45">
        <v>0.2422</v>
      </c>
      <c r="N4411" s="54"/>
    </row>
    <row r="4412" spans="2:14" x14ac:dyDescent="0.2">
      <c r="B4412">
        <f t="shared" si="184"/>
        <v>4403</v>
      </c>
      <c r="C4412" s="52">
        <f ca="1"/>
        <v>-1.3399115686402245</v>
      </c>
      <c r="D4412" s="52">
        <f ca="1">S0*EXP((μ-0.5*σ*σ)*T+σ*SQRT(T)*$C4412)</f>
        <v>0.44454444485361388</v>
      </c>
      <c r="E4412" s="52">
        <f t="shared" ca="1" si="182"/>
        <v>8.9855555146386101E-2</v>
      </c>
      <c r="F4412" s="17">
        <f t="shared" ca="1" si="183"/>
        <v>1</v>
      </c>
      <c r="H4412" s="17">
        <v>4403</v>
      </c>
      <c r="I4412" s="45">
        <v>0.6702074734580985</v>
      </c>
      <c r="J4412" s="45">
        <v>1.842456542950879E-2</v>
      </c>
      <c r="K4412" s="45">
        <v>0.23880000000000001</v>
      </c>
      <c r="N4412" s="54"/>
    </row>
    <row r="4413" spans="2:14" x14ac:dyDescent="0.2">
      <c r="B4413">
        <f t="shared" si="184"/>
        <v>4404</v>
      </c>
      <c r="C4413" s="52">
        <f ca="1"/>
        <v>-4.545810804084173E-2</v>
      </c>
      <c r="D4413" s="52">
        <f ca="1">S0*EXP((μ-0.5*σ*σ)*T+σ*SQRT(T)*$C4413)</f>
        <v>0.63579682926019077</v>
      </c>
      <c r="E4413" s="52">
        <f t="shared" ca="1" si="182"/>
        <v>0</v>
      </c>
      <c r="F4413" s="17">
        <f t="shared" ca="1" si="183"/>
        <v>0</v>
      </c>
      <c r="H4413" s="17">
        <v>4404</v>
      </c>
      <c r="I4413" s="45">
        <v>0.67094985115888872</v>
      </c>
      <c r="J4413" s="45">
        <v>1.8958333208069951E-2</v>
      </c>
      <c r="K4413" s="45">
        <v>0.24279999999999999</v>
      </c>
      <c r="N4413" s="54"/>
    </row>
    <row r="4414" spans="2:14" x14ac:dyDescent="0.2">
      <c r="B4414">
        <f t="shared" si="184"/>
        <v>4405</v>
      </c>
      <c r="C4414" s="52">
        <f ca="1"/>
        <v>1.0268320342694857</v>
      </c>
      <c r="D4414" s="52">
        <f ca="1">S0*EXP((μ-0.5*σ*σ)*T+σ*SQRT(T)*$C4414)</f>
        <v>0.85516541679792113</v>
      </c>
      <c r="E4414" s="52">
        <f t="shared" ca="1" si="182"/>
        <v>0</v>
      </c>
      <c r="F4414" s="17">
        <f t="shared" ca="1" si="183"/>
        <v>0</v>
      </c>
      <c r="H4414" s="17">
        <v>4405</v>
      </c>
      <c r="I4414" s="45">
        <v>0.67165933515378018</v>
      </c>
      <c r="J4414" s="45">
        <v>1.9616297541082236E-2</v>
      </c>
      <c r="K4414" s="45">
        <v>0.24959999999999999</v>
      </c>
      <c r="N4414" s="54"/>
    </row>
    <row r="4415" spans="2:14" x14ac:dyDescent="0.2">
      <c r="B4415">
        <f t="shared" si="184"/>
        <v>4406</v>
      </c>
      <c r="C4415" s="52">
        <f ca="1"/>
        <v>0.1749251429391443</v>
      </c>
      <c r="D4415" s="52">
        <f ca="1">S0*EXP((μ-0.5*σ*σ)*T+σ*SQRT(T)*$C4415)</f>
        <v>0.67573443913765552</v>
      </c>
      <c r="E4415" s="52">
        <f t="shared" ca="1" si="182"/>
        <v>0</v>
      </c>
      <c r="F4415" s="17">
        <f t="shared" ca="1" si="183"/>
        <v>0</v>
      </c>
      <c r="H4415" s="17">
        <v>4406</v>
      </c>
      <c r="I4415" s="45">
        <v>0.6709070304446545</v>
      </c>
      <c r="J4415" s="45">
        <v>1.9045604080985611E-2</v>
      </c>
      <c r="K4415" s="45">
        <v>0.25119999999999998</v>
      </c>
      <c r="N4415" s="54"/>
    </row>
    <row r="4416" spans="2:14" x14ac:dyDescent="0.2">
      <c r="B4416">
        <f t="shared" si="184"/>
        <v>4407</v>
      </c>
      <c r="C4416" s="52">
        <f ca="1"/>
        <v>1.1652756890278528</v>
      </c>
      <c r="D4416" s="52">
        <f ca="1">S0*EXP((μ-0.5*σ*σ)*T+σ*SQRT(T)*$C4416)</f>
        <v>0.88852718848255885</v>
      </c>
      <c r="E4416" s="52">
        <f t="shared" ca="1" si="182"/>
        <v>0</v>
      </c>
      <c r="F4416" s="17">
        <f t="shared" ca="1" si="183"/>
        <v>0</v>
      </c>
      <c r="H4416" s="17">
        <v>4407</v>
      </c>
      <c r="I4416" s="45">
        <v>0.67120671864369774</v>
      </c>
      <c r="J4416" s="45">
        <v>1.9175812205489289E-2</v>
      </c>
      <c r="K4416" s="45">
        <v>0.24460000000000001</v>
      </c>
      <c r="N4416" s="54"/>
    </row>
    <row r="4417" spans="2:14" x14ac:dyDescent="0.2">
      <c r="B4417">
        <f t="shared" si="184"/>
        <v>4408</v>
      </c>
      <c r="C4417" s="52">
        <f ca="1"/>
        <v>-0.7600312016588624</v>
      </c>
      <c r="D4417" s="52">
        <f ca="1">S0*EXP((μ-0.5*σ*σ)*T+σ*SQRT(T)*$C4417)</f>
        <v>0.52183311070089722</v>
      </c>
      <c r="E4417" s="52">
        <f t="shared" ca="1" si="182"/>
        <v>1.2566889299102768E-2</v>
      </c>
      <c r="F4417" s="17">
        <f t="shared" ca="1" si="183"/>
        <v>1</v>
      </c>
      <c r="H4417" s="17">
        <v>4408</v>
      </c>
      <c r="I4417" s="45">
        <v>0.67058430426204541</v>
      </c>
      <c r="J4417" s="45">
        <v>1.9085401155809846E-2</v>
      </c>
      <c r="K4417" s="45">
        <v>0.24840000000000001</v>
      </c>
      <c r="N4417" s="54"/>
    </row>
    <row r="4418" spans="2:14" x14ac:dyDescent="0.2">
      <c r="B4418">
        <f t="shared" si="184"/>
        <v>4409</v>
      </c>
      <c r="C4418" s="52">
        <f ca="1"/>
        <v>1.4535481542132183</v>
      </c>
      <c r="D4418" s="52">
        <f ca="1">S0*EXP((μ-0.5*σ*σ)*T+σ*SQRT(T)*$C4418)</f>
        <v>0.96222963647852</v>
      </c>
      <c r="E4418" s="52">
        <f t="shared" ca="1" si="182"/>
        <v>0</v>
      </c>
      <c r="F4418" s="17">
        <f t="shared" ca="1" si="183"/>
        <v>0</v>
      </c>
      <c r="H4418" s="17">
        <v>4409</v>
      </c>
      <c r="I4418" s="45">
        <v>0.67246258377997437</v>
      </c>
      <c r="J4418" s="45">
        <v>1.9981897030024835E-2</v>
      </c>
      <c r="K4418" s="45">
        <v>0.25040000000000001</v>
      </c>
      <c r="N4418" s="54"/>
    </row>
    <row r="4419" spans="2:14" x14ac:dyDescent="0.2">
      <c r="B4419">
        <f t="shared" si="184"/>
        <v>4410</v>
      </c>
      <c r="C4419" s="52">
        <f ca="1"/>
        <v>-1.048165170268878E-2</v>
      </c>
      <c r="D4419" s="52">
        <f ca="1">S0*EXP((μ-0.5*σ*σ)*T+σ*SQRT(T)*$C4419)</f>
        <v>0.64197392729648051</v>
      </c>
      <c r="E4419" s="52">
        <f t="shared" ca="1" si="182"/>
        <v>0</v>
      </c>
      <c r="F4419" s="17">
        <f t="shared" ca="1" si="183"/>
        <v>0</v>
      </c>
      <c r="H4419" s="17">
        <v>4410</v>
      </c>
      <c r="I4419" s="45">
        <v>0.67085537254149807</v>
      </c>
      <c r="J4419" s="45">
        <v>1.892469321653974E-2</v>
      </c>
      <c r="K4419" s="45">
        <v>0.24679999999999999</v>
      </c>
      <c r="N4419" s="54"/>
    </row>
    <row r="4420" spans="2:14" x14ac:dyDescent="0.2">
      <c r="B4420">
        <f t="shared" si="184"/>
        <v>4411</v>
      </c>
      <c r="C4420" s="52">
        <f ca="1"/>
        <v>-0.36948383457665324</v>
      </c>
      <c r="D4420" s="52">
        <f ca="1">S0*EXP((μ-0.5*σ*σ)*T+σ*SQRT(T)*$C4420)</f>
        <v>0.58132374129122288</v>
      </c>
      <c r="E4420" s="52">
        <f t="shared" ca="1" si="182"/>
        <v>0</v>
      </c>
      <c r="F4420" s="17">
        <f t="shared" ca="1" si="183"/>
        <v>0</v>
      </c>
      <c r="H4420" s="17">
        <v>4411</v>
      </c>
      <c r="I4420" s="45">
        <v>0.66988111570039144</v>
      </c>
      <c r="J4420" s="45">
        <v>1.8314527789172287E-2</v>
      </c>
      <c r="K4420" s="45">
        <v>0.24660000000000001</v>
      </c>
      <c r="N4420" s="54"/>
    </row>
    <row r="4421" spans="2:14" x14ac:dyDescent="0.2">
      <c r="B4421">
        <f t="shared" si="184"/>
        <v>4412</v>
      </c>
      <c r="C4421" s="52">
        <f ca="1"/>
        <v>-0.80144283285426854</v>
      </c>
      <c r="D4421" s="52">
        <f ca="1">S0*EXP((μ-0.5*σ*σ)*T+σ*SQRT(T)*$C4421)</f>
        <v>0.51589347696739862</v>
      </c>
      <c r="E4421" s="52">
        <f t="shared" ca="1" si="182"/>
        <v>1.8506523032601363E-2</v>
      </c>
      <c r="F4421" s="17">
        <f t="shared" ca="1" si="183"/>
        <v>1</v>
      </c>
      <c r="H4421" s="17">
        <v>4412</v>
      </c>
      <c r="I4421" s="45">
        <v>0.67049879479589425</v>
      </c>
      <c r="J4421" s="45">
        <v>1.8827469170262151E-2</v>
      </c>
      <c r="K4421" s="45">
        <v>0.24740000000000001</v>
      </c>
      <c r="N4421" s="54"/>
    </row>
    <row r="4422" spans="2:14" x14ac:dyDescent="0.2">
      <c r="B4422">
        <f t="shared" si="184"/>
        <v>4413</v>
      </c>
      <c r="C4422" s="52">
        <f ca="1"/>
        <v>1.1850927328926548</v>
      </c>
      <c r="D4422" s="52">
        <f ca="1">S0*EXP((μ-0.5*σ*σ)*T+σ*SQRT(T)*$C4422)</f>
        <v>0.89340796369133224</v>
      </c>
      <c r="E4422" s="52">
        <f t="shared" ca="1" si="182"/>
        <v>0</v>
      </c>
      <c r="F4422" s="17">
        <f t="shared" ca="1" si="183"/>
        <v>0</v>
      </c>
      <c r="H4422" s="17">
        <v>4413</v>
      </c>
      <c r="I4422" s="45">
        <v>0.67096534395641505</v>
      </c>
      <c r="J4422" s="45">
        <v>1.9027333042009899E-2</v>
      </c>
      <c r="K4422" s="45">
        <v>0.2492</v>
      </c>
      <c r="N4422" s="54"/>
    </row>
    <row r="4423" spans="2:14" x14ac:dyDescent="0.2">
      <c r="B4423">
        <f t="shared" si="184"/>
        <v>4414</v>
      </c>
      <c r="C4423" s="52">
        <f ca="1"/>
        <v>-0.57341545570276009</v>
      </c>
      <c r="D4423" s="52">
        <f ca="1">S0*EXP((μ-0.5*σ*σ)*T+σ*SQRT(T)*$C4423)</f>
        <v>0.54945917984262005</v>
      </c>
      <c r="E4423" s="52">
        <f t="shared" ca="1" si="182"/>
        <v>0</v>
      </c>
      <c r="F4423" s="17">
        <f t="shared" ca="1" si="183"/>
        <v>0</v>
      </c>
      <c r="H4423" s="17">
        <v>4414</v>
      </c>
      <c r="I4423" s="45">
        <v>0.67056086685607574</v>
      </c>
      <c r="J4423" s="45">
        <v>1.8781420482564818E-2</v>
      </c>
      <c r="K4423" s="45">
        <v>0.24979999999999999</v>
      </c>
      <c r="N4423" s="54"/>
    </row>
    <row r="4424" spans="2:14" x14ac:dyDescent="0.2">
      <c r="B4424">
        <f t="shared" si="184"/>
        <v>4415</v>
      </c>
      <c r="C4424" s="52">
        <f ca="1"/>
        <v>1.3809051226065807</v>
      </c>
      <c r="D4424" s="52">
        <f ca="1">S0*EXP((μ-0.5*σ*σ)*T+σ*SQRT(T)*$C4424)</f>
        <v>0.94309991720409436</v>
      </c>
      <c r="E4424" s="52">
        <f t="shared" ca="1" si="182"/>
        <v>0</v>
      </c>
      <c r="F4424" s="17">
        <f t="shared" ca="1" si="183"/>
        <v>0</v>
      </c>
      <c r="H4424" s="17">
        <v>4415</v>
      </c>
      <c r="I4424" s="45">
        <v>0.67123243269363519</v>
      </c>
      <c r="J4424" s="45">
        <v>1.9202655852010139E-2</v>
      </c>
      <c r="K4424" s="45">
        <v>0.24759999999999999</v>
      </c>
      <c r="N4424" s="54"/>
    </row>
    <row r="4425" spans="2:14" x14ac:dyDescent="0.2">
      <c r="B4425">
        <f t="shared" si="184"/>
        <v>4416</v>
      </c>
      <c r="C4425" s="52">
        <f ca="1"/>
        <v>1.2501552255509067</v>
      </c>
      <c r="D4425" s="52">
        <f ca="1">S0*EXP((μ-0.5*σ*σ)*T+σ*SQRT(T)*$C4425)</f>
        <v>0.90962162027040638</v>
      </c>
      <c r="E4425" s="52">
        <f t="shared" ca="1" si="182"/>
        <v>0</v>
      </c>
      <c r="F4425" s="17">
        <f t="shared" ca="1" si="183"/>
        <v>0</v>
      </c>
      <c r="H4425" s="17">
        <v>4416</v>
      </c>
      <c r="I4425" s="45">
        <v>0.6720223395528051</v>
      </c>
      <c r="J4425" s="45">
        <v>1.9734220313886514E-2</v>
      </c>
      <c r="K4425" s="45">
        <v>0.247</v>
      </c>
      <c r="N4425" s="54"/>
    </row>
    <row r="4426" spans="2:14" x14ac:dyDescent="0.2">
      <c r="B4426">
        <f t="shared" si="184"/>
        <v>4417</v>
      </c>
      <c r="C4426" s="52">
        <f ca="1"/>
        <v>-3.0143105234452916</v>
      </c>
      <c r="D4426" s="52">
        <f ca="1">S0*EXP((μ-0.5*σ*σ)*T+σ*SQRT(T)*$C4426)</f>
        <v>0.27983264485523884</v>
      </c>
      <c r="E4426" s="52">
        <f t="shared" ref="E4426:E4489" ca="1" si="185">MAX(0,CP*(D4426-K))</f>
        <v>0.25456735514476114</v>
      </c>
      <c r="F4426" s="17">
        <f t="shared" ref="F4426:F4489" ca="1" si="186">(CP*(D4426-K)&gt;0)*1</f>
        <v>1</v>
      </c>
      <c r="H4426" s="17">
        <v>4417</v>
      </c>
      <c r="I4426" s="45">
        <v>0.67035265574598157</v>
      </c>
      <c r="J4426" s="45">
        <v>1.8554035699513763E-2</v>
      </c>
      <c r="K4426" s="45">
        <v>0.24579999999999999</v>
      </c>
      <c r="N4426" s="54"/>
    </row>
    <row r="4427" spans="2:14" x14ac:dyDescent="0.2">
      <c r="B4427">
        <f t="shared" si="184"/>
        <v>4418</v>
      </c>
      <c r="C4427" s="52">
        <f ca="1"/>
        <v>-0.80491515009963621</v>
      </c>
      <c r="D4427" s="52">
        <f ca="1">S0*EXP((μ-0.5*σ*σ)*T+σ*SQRT(T)*$C4427)</f>
        <v>0.51539852832063793</v>
      </c>
      <c r="E4427" s="52">
        <f t="shared" ca="1" si="185"/>
        <v>1.9001471679362059E-2</v>
      </c>
      <c r="F4427" s="17">
        <f t="shared" ca="1" si="186"/>
        <v>1</v>
      </c>
      <c r="H4427" s="17">
        <v>4418</v>
      </c>
      <c r="I4427" s="45">
        <v>0.6716094533241761</v>
      </c>
      <c r="J4427" s="45">
        <v>1.907479919149534E-2</v>
      </c>
      <c r="K4427" s="45">
        <v>0.245</v>
      </c>
      <c r="N4427" s="54"/>
    </row>
    <row r="4428" spans="2:14" x14ac:dyDescent="0.2">
      <c r="B4428">
        <f t="shared" si="184"/>
        <v>4419</v>
      </c>
      <c r="C4428" s="52">
        <f ca="1"/>
        <v>0.35157614811535831</v>
      </c>
      <c r="D4428" s="52">
        <f ca="1">S0*EXP((μ-0.5*σ*σ)*T+σ*SQRT(T)*$C4428)</f>
        <v>0.709550902798609</v>
      </c>
      <c r="E4428" s="52">
        <f t="shared" ca="1" si="185"/>
        <v>0</v>
      </c>
      <c r="F4428" s="17">
        <f t="shared" ca="1" si="186"/>
        <v>0</v>
      </c>
      <c r="H4428" s="17">
        <v>4419</v>
      </c>
      <c r="I4428" s="45">
        <v>0.67207740176025832</v>
      </c>
      <c r="J4428" s="45">
        <v>1.9680141862833428E-2</v>
      </c>
      <c r="K4428" s="45">
        <v>0.248</v>
      </c>
      <c r="N4428" s="54"/>
    </row>
    <row r="4429" spans="2:14" x14ac:dyDescent="0.2">
      <c r="B4429">
        <f t="shared" si="184"/>
        <v>4420</v>
      </c>
      <c r="C4429" s="52">
        <f ca="1"/>
        <v>0.83052101058978489</v>
      </c>
      <c r="D4429" s="52">
        <f ca="1">S0*EXP((μ-0.5*σ*σ)*T+σ*SQRT(T)*$C4429)</f>
        <v>0.80999507755630662</v>
      </c>
      <c r="E4429" s="52">
        <f t="shared" ca="1" si="185"/>
        <v>0</v>
      </c>
      <c r="F4429" s="17">
        <f t="shared" ca="1" si="186"/>
        <v>0</v>
      </c>
      <c r="H4429" s="17">
        <v>4420</v>
      </c>
      <c r="I4429" s="45">
        <v>0.6711378466902026</v>
      </c>
      <c r="J4429" s="45">
        <v>1.9398699199467261E-2</v>
      </c>
      <c r="K4429" s="45">
        <v>0.25480000000000003</v>
      </c>
      <c r="N4429" s="54"/>
    </row>
    <row r="4430" spans="2:14" x14ac:dyDescent="0.2">
      <c r="B4430">
        <f t="shared" si="184"/>
        <v>4421</v>
      </c>
      <c r="C4430" s="52">
        <f ca="1"/>
        <v>1.9776865510110184</v>
      </c>
      <c r="D4430" s="52">
        <f ca="1">S0*EXP((μ-0.5*σ*σ)*T+σ*SQRT(T)*$C4430)</f>
        <v>1.1122519509323059</v>
      </c>
      <c r="E4430" s="52">
        <f t="shared" ca="1" si="185"/>
        <v>0</v>
      </c>
      <c r="F4430" s="17">
        <f t="shared" ca="1" si="186"/>
        <v>0</v>
      </c>
      <c r="H4430" s="17">
        <v>4421</v>
      </c>
      <c r="I4430" s="45">
        <v>0.67082866764366456</v>
      </c>
      <c r="J4430" s="45">
        <v>1.8844127075788253E-2</v>
      </c>
      <c r="K4430" s="45">
        <v>0.2442</v>
      </c>
      <c r="N4430" s="54"/>
    </row>
    <row r="4431" spans="2:14" x14ac:dyDescent="0.2">
      <c r="B4431">
        <f t="shared" si="184"/>
        <v>4422</v>
      </c>
      <c r="C4431" s="52">
        <f ca="1"/>
        <v>1.4782670161108049</v>
      </c>
      <c r="D4431" s="52">
        <f ca="1">S0*EXP((μ-0.5*σ*σ)*T+σ*SQRT(T)*$C4431)</f>
        <v>0.96882716011886039</v>
      </c>
      <c r="E4431" s="52">
        <f t="shared" ca="1" si="185"/>
        <v>0</v>
      </c>
      <c r="F4431" s="17">
        <f t="shared" ca="1" si="186"/>
        <v>0</v>
      </c>
      <c r="H4431" s="17">
        <v>4422</v>
      </c>
      <c r="I4431" s="45">
        <v>0.67042594708329739</v>
      </c>
      <c r="J4431" s="45">
        <v>1.8678999609396899E-2</v>
      </c>
      <c r="K4431" s="45">
        <v>0.24460000000000001</v>
      </c>
      <c r="N4431" s="54"/>
    </row>
    <row r="4432" spans="2:14" x14ac:dyDescent="0.2">
      <c r="B4432">
        <f t="shared" si="184"/>
        <v>4423</v>
      </c>
      <c r="C4432" s="52">
        <f ca="1"/>
        <v>0.71878359453246266</v>
      </c>
      <c r="D4432" s="52">
        <f ca="1">S0*EXP((μ-0.5*σ*σ)*T+σ*SQRT(T)*$C4432)</f>
        <v>0.78535851131667522</v>
      </c>
      <c r="E4432" s="52">
        <f t="shared" ca="1" si="185"/>
        <v>0</v>
      </c>
      <c r="F4432" s="17">
        <f t="shared" ca="1" si="186"/>
        <v>0</v>
      </c>
      <c r="H4432" s="17">
        <v>4423</v>
      </c>
      <c r="I4432" s="45">
        <v>0.66935610955258917</v>
      </c>
      <c r="J4432" s="45">
        <v>1.7497133189152879E-2</v>
      </c>
      <c r="K4432" s="45">
        <v>0.23019999999999999</v>
      </c>
      <c r="N4432" s="54"/>
    </row>
    <row r="4433" spans="2:14" x14ac:dyDescent="0.2">
      <c r="B4433">
        <f t="shared" si="184"/>
        <v>4424</v>
      </c>
      <c r="C4433" s="52">
        <f ca="1"/>
        <v>-1.3738783653745579</v>
      </c>
      <c r="D4433" s="52">
        <f ca="1">S0*EXP((μ-0.5*σ*σ)*T+σ*SQRT(T)*$C4433)</f>
        <v>0.44038991783962278</v>
      </c>
      <c r="E4433" s="52">
        <f t="shared" ca="1" si="185"/>
        <v>9.4010082160377206E-2</v>
      </c>
      <c r="F4433" s="17">
        <f t="shared" ca="1" si="186"/>
        <v>1</v>
      </c>
      <c r="H4433" s="17">
        <v>4424</v>
      </c>
      <c r="I4433" s="45">
        <v>0.67132516236088902</v>
      </c>
      <c r="J4433" s="45">
        <v>1.9460556955380643E-2</v>
      </c>
      <c r="K4433" s="45">
        <v>0.25280000000000002</v>
      </c>
      <c r="N4433" s="54"/>
    </row>
    <row r="4434" spans="2:14" x14ac:dyDescent="0.2">
      <c r="B4434">
        <f t="shared" si="184"/>
        <v>4425</v>
      </c>
      <c r="C4434" s="52">
        <f ca="1"/>
        <v>-0.64569262880968548</v>
      </c>
      <c r="D4434" s="52">
        <f ca="1">S0*EXP((μ-0.5*σ*σ)*T+σ*SQRT(T)*$C4434)</f>
        <v>0.53859005975016339</v>
      </c>
      <c r="E4434" s="52">
        <f t="shared" ca="1" si="185"/>
        <v>0</v>
      </c>
      <c r="F4434" s="17">
        <f t="shared" ca="1" si="186"/>
        <v>0</v>
      </c>
      <c r="H4434" s="17">
        <v>4425</v>
      </c>
      <c r="I4434" s="45">
        <v>0.67096810744083824</v>
      </c>
      <c r="J4434" s="45">
        <v>1.8862801106760203E-2</v>
      </c>
      <c r="K4434" s="45">
        <v>0.24660000000000001</v>
      </c>
      <c r="N4434" s="54"/>
    </row>
    <row r="4435" spans="2:14" x14ac:dyDescent="0.2">
      <c r="B4435">
        <f t="shared" si="184"/>
        <v>4426</v>
      </c>
      <c r="C4435" s="52">
        <f ca="1"/>
        <v>0.58109883552886255</v>
      </c>
      <c r="D4435" s="52">
        <f ca="1">S0*EXP((μ-0.5*σ*σ)*T+σ*SQRT(T)*$C4435)</f>
        <v>0.75602902772673752</v>
      </c>
      <c r="E4435" s="52">
        <f t="shared" ca="1" si="185"/>
        <v>0</v>
      </c>
      <c r="F4435" s="17">
        <f t="shared" ca="1" si="186"/>
        <v>0</v>
      </c>
      <c r="H4435" s="17">
        <v>4426</v>
      </c>
      <c r="I4435" s="45">
        <v>0.66898050759173389</v>
      </c>
      <c r="J4435" s="45">
        <v>1.7812726563024767E-2</v>
      </c>
      <c r="K4435" s="45">
        <v>0.24440000000000001</v>
      </c>
      <c r="N4435" s="54"/>
    </row>
    <row r="4436" spans="2:14" x14ac:dyDescent="0.2">
      <c r="B4436">
        <f t="shared" si="184"/>
        <v>4427</v>
      </c>
      <c r="C4436" s="52">
        <f ca="1"/>
        <v>1.1887494688506834</v>
      </c>
      <c r="D4436" s="52">
        <f ca="1">S0*EXP((μ-0.5*σ*σ)*T+σ*SQRT(T)*$C4436)</f>
        <v>0.8943115134273979</v>
      </c>
      <c r="E4436" s="52">
        <f t="shared" ca="1" si="185"/>
        <v>0</v>
      </c>
      <c r="F4436" s="17">
        <f t="shared" ca="1" si="186"/>
        <v>0</v>
      </c>
      <c r="H4436" s="17">
        <v>4427</v>
      </c>
      <c r="I4436" s="45">
        <v>0.67137966551933281</v>
      </c>
      <c r="J4436" s="45">
        <v>1.9324907937954085E-2</v>
      </c>
      <c r="K4436" s="45">
        <v>0.24859999999999999</v>
      </c>
      <c r="N4436" s="54"/>
    </row>
    <row r="4437" spans="2:14" x14ac:dyDescent="0.2">
      <c r="B4437">
        <f t="shared" si="184"/>
        <v>4428</v>
      </c>
      <c r="C4437" s="52">
        <f ca="1"/>
        <v>-1.0339971491693896</v>
      </c>
      <c r="D4437" s="52">
        <f ca="1">S0*EXP((μ-0.5*σ*σ)*T+σ*SQRT(T)*$C4437)</f>
        <v>0.48377248801470635</v>
      </c>
      <c r="E4437" s="52">
        <f t="shared" ca="1" si="185"/>
        <v>5.0627511985293638E-2</v>
      </c>
      <c r="F4437" s="17">
        <f t="shared" ca="1" si="186"/>
        <v>1</v>
      </c>
      <c r="H4437" s="17">
        <v>4428</v>
      </c>
      <c r="I4437" s="45">
        <v>0.67074767030168692</v>
      </c>
      <c r="J4437" s="45">
        <v>1.8909821208425298E-2</v>
      </c>
      <c r="K4437" s="45">
        <v>0.24879999999999999</v>
      </c>
      <c r="N4437" s="54"/>
    </row>
    <row r="4438" spans="2:14" x14ac:dyDescent="0.2">
      <c r="B4438">
        <f t="shared" si="184"/>
        <v>4429</v>
      </c>
      <c r="C4438" s="52">
        <f ca="1"/>
        <v>0.85050629995830285</v>
      </c>
      <c r="D4438" s="52">
        <f ca="1">S0*EXP((μ-0.5*σ*σ)*T+σ*SQRT(T)*$C4438)</f>
        <v>0.81448234694487009</v>
      </c>
      <c r="E4438" s="52">
        <f t="shared" ca="1" si="185"/>
        <v>0</v>
      </c>
      <c r="F4438" s="17">
        <f t="shared" ca="1" si="186"/>
        <v>0</v>
      </c>
      <c r="H4438" s="17">
        <v>4429</v>
      </c>
      <c r="I4438" s="45">
        <v>0.67181132885742478</v>
      </c>
      <c r="J4438" s="45">
        <v>1.9572779437131683E-2</v>
      </c>
      <c r="K4438" s="45">
        <v>0.25240000000000001</v>
      </c>
      <c r="N4438" s="54"/>
    </row>
    <row r="4439" spans="2:14" x14ac:dyDescent="0.2">
      <c r="B4439">
        <f t="shared" si="184"/>
        <v>4430</v>
      </c>
      <c r="C4439" s="52">
        <f ca="1"/>
        <v>1.3530284632131135</v>
      </c>
      <c r="D4439" s="52">
        <f ca="1">S0*EXP((μ-0.5*σ*σ)*T+σ*SQRT(T)*$C4439)</f>
        <v>0.93586030519095553</v>
      </c>
      <c r="E4439" s="52">
        <f t="shared" ca="1" si="185"/>
        <v>0</v>
      </c>
      <c r="F4439" s="17">
        <f t="shared" ca="1" si="186"/>
        <v>0</v>
      </c>
      <c r="H4439" s="17">
        <v>4430</v>
      </c>
      <c r="I4439" s="45">
        <v>0.67152403963893914</v>
      </c>
      <c r="J4439" s="45">
        <v>1.9289805085555077E-2</v>
      </c>
      <c r="K4439" s="45">
        <v>0.2482</v>
      </c>
      <c r="N4439" s="54"/>
    </row>
    <row r="4440" spans="2:14" x14ac:dyDescent="0.2">
      <c r="B4440">
        <f t="shared" si="184"/>
        <v>4431</v>
      </c>
      <c r="C4440" s="52">
        <f ca="1"/>
        <v>-1.755166398709725</v>
      </c>
      <c r="D4440" s="52">
        <f ca="1">S0*EXP((μ-0.5*σ*σ)*T+σ*SQRT(T)*$C4440)</f>
        <v>0.3963351145157063</v>
      </c>
      <c r="E4440" s="52">
        <f t="shared" ca="1" si="185"/>
        <v>0.13806488548429369</v>
      </c>
      <c r="F4440" s="17">
        <f t="shared" ca="1" si="186"/>
        <v>1</v>
      </c>
      <c r="H4440" s="17">
        <v>4431</v>
      </c>
      <c r="I4440" s="45">
        <v>0.6694606476856777</v>
      </c>
      <c r="J4440" s="45">
        <v>1.7891164516784061E-2</v>
      </c>
      <c r="K4440" s="45">
        <v>0.2326</v>
      </c>
      <c r="N4440" s="54"/>
    </row>
    <row r="4441" spans="2:14" x14ac:dyDescent="0.2">
      <c r="B4441">
        <f t="shared" si="184"/>
        <v>4432</v>
      </c>
      <c r="C4441" s="52">
        <f ca="1"/>
        <v>0.85834655367982082</v>
      </c>
      <c r="D4441" s="52">
        <f ca="1">S0*EXP((μ-0.5*σ*σ)*T+σ*SQRT(T)*$C4441)</f>
        <v>0.81624948965490074</v>
      </c>
      <c r="E4441" s="52">
        <f t="shared" ca="1" si="185"/>
        <v>0</v>
      </c>
      <c r="F4441" s="17">
        <f t="shared" ca="1" si="186"/>
        <v>0</v>
      </c>
      <c r="H4441" s="17">
        <v>4432</v>
      </c>
      <c r="I4441" s="45">
        <v>0.67067942282301807</v>
      </c>
      <c r="J4441" s="45">
        <v>1.8764404855582673E-2</v>
      </c>
      <c r="K4441" s="45">
        <v>0.24479999999999999</v>
      </c>
      <c r="N4441" s="54"/>
    </row>
    <row r="4442" spans="2:14" x14ac:dyDescent="0.2">
      <c r="B4442">
        <f t="shared" si="184"/>
        <v>4433</v>
      </c>
      <c r="C4442" s="52">
        <f ca="1"/>
        <v>-0.96791166819576602</v>
      </c>
      <c r="D4442" s="52">
        <f ca="1">S0*EXP((μ-0.5*σ*σ)*T+σ*SQRT(T)*$C4442)</f>
        <v>0.49269134636425888</v>
      </c>
      <c r="E4442" s="52">
        <f t="shared" ca="1" si="185"/>
        <v>4.1708653635741111E-2</v>
      </c>
      <c r="F4442" s="17">
        <f t="shared" ca="1" si="186"/>
        <v>1</v>
      </c>
      <c r="H4442" s="17">
        <v>4433</v>
      </c>
      <c r="I4442" s="45">
        <v>0.67157642568894771</v>
      </c>
      <c r="J4442" s="45">
        <v>1.9857817112523348E-2</v>
      </c>
      <c r="K4442" s="45">
        <v>0.251</v>
      </c>
      <c r="N4442" s="54"/>
    </row>
    <row r="4443" spans="2:14" x14ac:dyDescent="0.2">
      <c r="B4443">
        <f t="shared" si="184"/>
        <v>4434</v>
      </c>
      <c r="C4443" s="52">
        <f ca="1"/>
        <v>0.87628562134400523</v>
      </c>
      <c r="D4443" s="52">
        <f ca="1">S0*EXP((μ-0.5*σ*σ)*T+σ*SQRT(T)*$C4443)</f>
        <v>0.82030727601592701</v>
      </c>
      <c r="E4443" s="52">
        <f t="shared" ca="1" si="185"/>
        <v>0</v>
      </c>
      <c r="F4443" s="17">
        <f t="shared" ca="1" si="186"/>
        <v>0</v>
      </c>
      <c r="H4443" s="17">
        <v>4434</v>
      </c>
      <c r="I4443" s="45">
        <v>0.67022047017169917</v>
      </c>
      <c r="J4443" s="45">
        <v>1.8517752162272569E-2</v>
      </c>
      <c r="K4443" s="45">
        <v>0.24</v>
      </c>
      <c r="N4443" s="54"/>
    </row>
    <row r="4444" spans="2:14" x14ac:dyDescent="0.2">
      <c r="B4444">
        <f t="shared" si="184"/>
        <v>4435</v>
      </c>
      <c r="C4444" s="52">
        <f ca="1"/>
        <v>-4.4048965716510048E-2</v>
      </c>
      <c r="D4444" s="52">
        <f ca="1">S0*EXP((μ-0.5*σ*σ)*T+σ*SQRT(T)*$C4444)</f>
        <v>0.6360445411928326</v>
      </c>
      <c r="E4444" s="52">
        <f t="shared" ca="1" si="185"/>
        <v>0</v>
      </c>
      <c r="F4444" s="17">
        <f t="shared" ca="1" si="186"/>
        <v>0</v>
      </c>
      <c r="H4444" s="17">
        <v>4435</v>
      </c>
      <c r="I4444" s="45">
        <v>0.67128074830566908</v>
      </c>
      <c r="J4444" s="45">
        <v>1.9183930082355426E-2</v>
      </c>
      <c r="K4444" s="45">
        <v>0.2462</v>
      </c>
      <c r="N4444" s="54"/>
    </row>
    <row r="4445" spans="2:14" x14ac:dyDescent="0.2">
      <c r="B4445">
        <f t="shared" si="184"/>
        <v>4436</v>
      </c>
      <c r="C4445" s="52">
        <f ca="1"/>
        <v>0.14565725087688453</v>
      </c>
      <c r="D4445" s="52">
        <f ca="1">S0*EXP((μ-0.5*σ*σ)*T+σ*SQRT(T)*$C4445)</f>
        <v>0.6702894006508201</v>
      </c>
      <c r="E4445" s="52">
        <f t="shared" ca="1" si="185"/>
        <v>0</v>
      </c>
      <c r="F4445" s="17">
        <f t="shared" ca="1" si="186"/>
        <v>0</v>
      </c>
      <c r="H4445" s="17">
        <v>4436</v>
      </c>
      <c r="I4445" s="45">
        <v>0.67125619191151298</v>
      </c>
      <c r="J4445" s="45">
        <v>1.9258219762720692E-2</v>
      </c>
      <c r="K4445" s="45">
        <v>0.24879999999999999</v>
      </c>
      <c r="N4445" s="54"/>
    </row>
    <row r="4446" spans="2:14" x14ac:dyDescent="0.2">
      <c r="B4446">
        <f t="shared" si="184"/>
        <v>4437</v>
      </c>
      <c r="C4446" s="52">
        <f ca="1"/>
        <v>0.6386021923251084</v>
      </c>
      <c r="D4446" s="52">
        <f ca="1">S0*EXP((μ-0.5*σ*σ)*T+σ*SQRT(T)*$C4446)</f>
        <v>0.76814273545157008</v>
      </c>
      <c r="E4446" s="52">
        <f t="shared" ca="1" si="185"/>
        <v>0</v>
      </c>
      <c r="F4446" s="17">
        <f t="shared" ca="1" si="186"/>
        <v>0</v>
      </c>
      <c r="H4446" s="17">
        <v>4437</v>
      </c>
      <c r="I4446" s="45">
        <v>0.67081126300458516</v>
      </c>
      <c r="J4446" s="45">
        <v>1.8987992423657059E-2</v>
      </c>
      <c r="K4446" s="45">
        <v>0.249</v>
      </c>
      <c r="N4446" s="54"/>
    </row>
    <row r="4447" spans="2:14" x14ac:dyDescent="0.2">
      <c r="B4447">
        <f t="shared" si="184"/>
        <v>4438</v>
      </c>
      <c r="C4447" s="52">
        <f ca="1"/>
        <v>-1.6584331398581289</v>
      </c>
      <c r="D4447" s="52">
        <f ca="1">S0*EXP((μ-0.5*σ*σ)*T+σ*SQRT(T)*$C4447)</f>
        <v>0.40707617089182224</v>
      </c>
      <c r="E4447" s="52">
        <f t="shared" ca="1" si="185"/>
        <v>0.12732382910817774</v>
      </c>
      <c r="F4447" s="17">
        <f t="shared" ca="1" si="186"/>
        <v>1</v>
      </c>
      <c r="H4447" s="17">
        <v>4438</v>
      </c>
      <c r="I4447" s="45">
        <v>0.67027241619702549</v>
      </c>
      <c r="J4447" s="45">
        <v>1.8612675653627116E-2</v>
      </c>
      <c r="K4447" s="45">
        <v>0.24379999999999999</v>
      </c>
      <c r="N4447" s="54"/>
    </row>
    <row r="4448" spans="2:14" x14ac:dyDescent="0.2">
      <c r="B4448">
        <f t="shared" si="184"/>
        <v>4439</v>
      </c>
      <c r="C4448" s="52">
        <f ca="1"/>
        <v>0.65335046310352429</v>
      </c>
      <c r="D4448" s="52">
        <f ca="1">S0*EXP((μ-0.5*σ*σ)*T+σ*SQRT(T)*$C4448)</f>
        <v>0.77128077014600205</v>
      </c>
      <c r="E4448" s="52">
        <f t="shared" ca="1" si="185"/>
        <v>0</v>
      </c>
      <c r="F4448" s="17">
        <f t="shared" ca="1" si="186"/>
        <v>0</v>
      </c>
      <c r="H4448" s="17">
        <v>4439</v>
      </c>
      <c r="I4448" s="45">
        <v>0.67087924808473531</v>
      </c>
      <c r="J4448" s="45">
        <v>1.8668996270148071E-2</v>
      </c>
      <c r="K4448" s="45">
        <v>0.24460000000000001</v>
      </c>
      <c r="N4448" s="54"/>
    </row>
    <row r="4449" spans="2:14" x14ac:dyDescent="0.2">
      <c r="B4449">
        <f t="shared" si="184"/>
        <v>4440</v>
      </c>
      <c r="C4449" s="52">
        <f ca="1"/>
        <v>1.8355879434981135</v>
      </c>
      <c r="D4449" s="52">
        <f ca="1">S0*EXP((μ-0.5*σ*σ)*T+σ*SQRT(T)*$C4449)</f>
        <v>1.0694089039065811</v>
      </c>
      <c r="E4449" s="52">
        <f t="shared" ca="1" si="185"/>
        <v>0</v>
      </c>
      <c r="F4449" s="17">
        <f t="shared" ca="1" si="186"/>
        <v>0</v>
      </c>
      <c r="H4449" s="17">
        <v>4440</v>
      </c>
      <c r="I4449" s="45">
        <v>0.67118871118254897</v>
      </c>
      <c r="J4449" s="45">
        <v>1.9324934845802069E-2</v>
      </c>
      <c r="K4449" s="45">
        <v>0.24299999999999999</v>
      </c>
      <c r="N4449" s="54"/>
    </row>
    <row r="4450" spans="2:14" x14ac:dyDescent="0.2">
      <c r="B4450">
        <f t="shared" si="184"/>
        <v>4441</v>
      </c>
      <c r="C4450" s="52">
        <f ca="1"/>
        <v>0.59139313479840594</v>
      </c>
      <c r="D4450" s="52">
        <f ca="1">S0*EXP((μ-0.5*σ*σ)*T+σ*SQRT(T)*$C4450)</f>
        <v>0.75818350769226195</v>
      </c>
      <c r="E4450" s="52">
        <f t="shared" ca="1" si="185"/>
        <v>0</v>
      </c>
      <c r="F4450" s="17">
        <f t="shared" ca="1" si="186"/>
        <v>0</v>
      </c>
      <c r="H4450" s="17">
        <v>4441</v>
      </c>
      <c r="I4450" s="45">
        <v>0.67083168813948246</v>
      </c>
      <c r="J4450" s="45">
        <v>1.905384080376589E-2</v>
      </c>
      <c r="K4450" s="45">
        <v>0.25219999999999998</v>
      </c>
      <c r="N4450" s="54"/>
    </row>
    <row r="4451" spans="2:14" x14ac:dyDescent="0.2">
      <c r="B4451">
        <f t="shared" si="184"/>
        <v>4442</v>
      </c>
      <c r="C4451" s="52">
        <f ca="1"/>
        <v>-0.36729297178032633</v>
      </c>
      <c r="D4451" s="52">
        <f ca="1">S0*EXP((μ-0.5*σ*σ)*T+σ*SQRT(T)*$C4451)</f>
        <v>0.58167591252508344</v>
      </c>
      <c r="E4451" s="52">
        <f t="shared" ca="1" si="185"/>
        <v>0</v>
      </c>
      <c r="F4451" s="17">
        <f t="shared" ca="1" si="186"/>
        <v>0</v>
      </c>
      <c r="H4451" s="17">
        <v>4442</v>
      </c>
      <c r="I4451" s="45">
        <v>0.67218349972540103</v>
      </c>
      <c r="J4451" s="45">
        <v>1.9792376517298978E-2</v>
      </c>
      <c r="K4451" s="45">
        <v>0.24979999999999999</v>
      </c>
      <c r="N4451" s="54"/>
    </row>
    <row r="4452" spans="2:14" x14ac:dyDescent="0.2">
      <c r="B4452">
        <f t="shared" si="184"/>
        <v>4443</v>
      </c>
      <c r="C4452" s="52">
        <f ca="1"/>
        <v>0.50262116824450009</v>
      </c>
      <c r="D4452" s="52">
        <f ca="1">S0*EXP((μ-0.5*σ*σ)*T+σ*SQRT(T)*$C4452)</f>
        <v>0.73980452294831012</v>
      </c>
      <c r="E4452" s="52">
        <f t="shared" ca="1" si="185"/>
        <v>0</v>
      </c>
      <c r="F4452" s="17">
        <f t="shared" ca="1" si="186"/>
        <v>0</v>
      </c>
      <c r="H4452" s="17">
        <v>4443</v>
      </c>
      <c r="I4452" s="45">
        <v>0.67221399264573123</v>
      </c>
      <c r="J4452" s="45">
        <v>2.0020626223784838E-2</v>
      </c>
      <c r="K4452" s="45">
        <v>0.25259999999999999</v>
      </c>
      <c r="N4452" s="54"/>
    </row>
    <row r="4453" spans="2:14" x14ac:dyDescent="0.2">
      <c r="B4453">
        <f t="shared" si="184"/>
        <v>4444</v>
      </c>
      <c r="C4453" s="52">
        <f ca="1"/>
        <v>0.3718049265191089</v>
      </c>
      <c r="D4453" s="52">
        <f ca="1">S0*EXP((μ-0.5*σ*σ)*T+σ*SQRT(T)*$C4453)</f>
        <v>0.71352974912201894</v>
      </c>
      <c r="E4453" s="52">
        <f t="shared" ca="1" si="185"/>
        <v>0</v>
      </c>
      <c r="F4453" s="17">
        <f t="shared" ca="1" si="186"/>
        <v>0</v>
      </c>
      <c r="H4453" s="17">
        <v>4444</v>
      </c>
      <c r="I4453" s="45">
        <v>0.67121021208167986</v>
      </c>
      <c r="J4453" s="45">
        <v>1.9215095270750757E-2</v>
      </c>
      <c r="K4453" s="45">
        <v>0.24940000000000001</v>
      </c>
      <c r="N4453" s="54"/>
    </row>
    <row r="4454" spans="2:14" x14ac:dyDescent="0.2">
      <c r="B4454">
        <f t="shared" si="184"/>
        <v>4445</v>
      </c>
      <c r="C4454" s="52">
        <f ca="1"/>
        <v>8.1701205054563159E-2</v>
      </c>
      <c r="D4454" s="52">
        <f ca="1">S0*EXP((μ-0.5*σ*σ)*T+σ*SQRT(T)*$C4454)</f>
        <v>0.65854313892050154</v>
      </c>
      <c r="E4454" s="52">
        <f t="shared" ca="1" si="185"/>
        <v>0</v>
      </c>
      <c r="F4454" s="17">
        <f t="shared" ca="1" si="186"/>
        <v>0</v>
      </c>
      <c r="H4454" s="17">
        <v>4445</v>
      </c>
      <c r="I4454" s="45">
        <v>0.67026454168147809</v>
      </c>
      <c r="J4454" s="45">
        <v>1.8498478836046529E-2</v>
      </c>
      <c r="K4454" s="45">
        <v>0.24260000000000001</v>
      </c>
      <c r="N4454" s="54"/>
    </row>
    <row r="4455" spans="2:14" x14ac:dyDescent="0.2">
      <c r="B4455">
        <f t="shared" si="184"/>
        <v>4446</v>
      </c>
      <c r="C4455" s="52">
        <f ca="1"/>
        <v>-2.123199791330284</v>
      </c>
      <c r="D4455" s="52">
        <f ca="1">S0*EXP((μ-0.5*σ*σ)*T+σ*SQRT(T)*$C4455)</f>
        <v>0.3579966778374154</v>
      </c>
      <c r="E4455" s="52">
        <f t="shared" ca="1" si="185"/>
        <v>0.17640332216258459</v>
      </c>
      <c r="F4455" s="17">
        <f t="shared" ca="1" si="186"/>
        <v>1</v>
      </c>
      <c r="H4455" s="17">
        <v>4446</v>
      </c>
      <c r="I4455" s="45">
        <v>0.67078081443349746</v>
      </c>
      <c r="J4455" s="45">
        <v>1.8881320961079199E-2</v>
      </c>
      <c r="K4455" s="45">
        <v>0.24</v>
      </c>
      <c r="N4455" s="54"/>
    </row>
    <row r="4456" spans="2:14" x14ac:dyDescent="0.2">
      <c r="B4456">
        <f t="shared" si="184"/>
        <v>4447</v>
      </c>
      <c r="C4456" s="52">
        <f ca="1"/>
        <v>2.3717877194030157</v>
      </c>
      <c r="D4456" s="52">
        <f ca="1">S0*EXP((μ-0.5*σ*σ)*T+σ*SQRT(T)*$C4456)</f>
        <v>1.2402700288356194</v>
      </c>
      <c r="E4456" s="52">
        <f t="shared" ca="1" si="185"/>
        <v>0</v>
      </c>
      <c r="F4456" s="17">
        <f t="shared" ca="1" si="186"/>
        <v>0</v>
      </c>
      <c r="H4456" s="17">
        <v>4447</v>
      </c>
      <c r="I4456" s="45">
        <v>0.67123481596260937</v>
      </c>
      <c r="J4456" s="45">
        <v>1.9068950793843548E-2</v>
      </c>
      <c r="K4456" s="45">
        <v>0.25119999999999998</v>
      </c>
      <c r="N4456" s="54"/>
    </row>
    <row r="4457" spans="2:14" x14ac:dyDescent="0.2">
      <c r="B4457">
        <f t="shared" si="184"/>
        <v>4448</v>
      </c>
      <c r="C4457" s="52">
        <f ca="1"/>
        <v>-1.7349614132418569</v>
      </c>
      <c r="D4457" s="52">
        <f ca="1">S0*EXP((μ-0.5*σ*σ)*T+σ*SQRT(T)*$C4457)</f>
        <v>0.39855496444904481</v>
      </c>
      <c r="E4457" s="52">
        <f t="shared" ca="1" si="185"/>
        <v>0.13584503555095517</v>
      </c>
      <c r="F4457" s="17">
        <f t="shared" ca="1" si="186"/>
        <v>1</v>
      </c>
      <c r="H4457" s="17">
        <v>4448</v>
      </c>
      <c r="I4457" s="45">
        <v>0.67028149286156113</v>
      </c>
      <c r="J4457" s="45">
        <v>1.8327772463820561E-2</v>
      </c>
      <c r="K4457" s="45">
        <v>0.24179999999999999</v>
      </c>
      <c r="N4457" s="54"/>
    </row>
    <row r="4458" spans="2:14" x14ac:dyDescent="0.2">
      <c r="B4458">
        <f t="shared" si="184"/>
        <v>4449</v>
      </c>
      <c r="C4458" s="52">
        <f ca="1"/>
        <v>0.57765430051685163</v>
      </c>
      <c r="D4458" s="52">
        <f ca="1">S0*EXP((μ-0.5*σ*σ)*T+σ*SQRT(T)*$C4458)</f>
        <v>0.75530949351407073</v>
      </c>
      <c r="E4458" s="52">
        <f t="shared" ca="1" si="185"/>
        <v>0</v>
      </c>
      <c r="F4458" s="17">
        <f t="shared" ca="1" si="186"/>
        <v>0</v>
      </c>
      <c r="H4458" s="17">
        <v>4449</v>
      </c>
      <c r="I4458" s="45">
        <v>0.67013667967995738</v>
      </c>
      <c r="J4458" s="45">
        <v>1.8654977412311355E-2</v>
      </c>
      <c r="K4458" s="45">
        <v>0.24759999999999999</v>
      </c>
      <c r="N4458" s="54"/>
    </row>
    <row r="4459" spans="2:14" x14ac:dyDescent="0.2">
      <c r="B4459">
        <f t="shared" ref="B4459:B4522" si="187">B4458+1</f>
        <v>4450</v>
      </c>
      <c r="C4459" s="52">
        <f ca="1"/>
        <v>0.77927273923844642</v>
      </c>
      <c r="D4459" s="52">
        <f ca="1">S0*EXP((μ-0.5*σ*σ)*T+σ*SQRT(T)*$C4459)</f>
        <v>0.79860102819115253</v>
      </c>
      <c r="E4459" s="52">
        <f t="shared" ca="1" si="185"/>
        <v>0</v>
      </c>
      <c r="F4459" s="17">
        <f t="shared" ca="1" si="186"/>
        <v>0</v>
      </c>
      <c r="H4459" s="17">
        <v>4450</v>
      </c>
      <c r="I4459" s="45">
        <v>0.67257340252425035</v>
      </c>
      <c r="J4459" s="45">
        <v>2.0053489266825559E-2</v>
      </c>
      <c r="K4459" s="45">
        <v>0.24879999999999999</v>
      </c>
      <c r="N4459" s="54"/>
    </row>
    <row r="4460" spans="2:14" x14ac:dyDescent="0.2">
      <c r="B4460">
        <f t="shared" si="187"/>
        <v>4451</v>
      </c>
      <c r="C4460" s="52">
        <f ca="1"/>
        <v>0.51152637119798383</v>
      </c>
      <c r="D4460" s="52">
        <f ca="1">S0*EXP((μ-0.5*σ*σ)*T+σ*SQRT(T)*$C4460)</f>
        <v>0.74162793400539517</v>
      </c>
      <c r="E4460" s="52">
        <f t="shared" ca="1" si="185"/>
        <v>0</v>
      </c>
      <c r="F4460" s="17">
        <f t="shared" ca="1" si="186"/>
        <v>0</v>
      </c>
      <c r="H4460" s="17">
        <v>4451</v>
      </c>
      <c r="I4460" s="45">
        <v>0.67129588268115559</v>
      </c>
      <c r="J4460" s="45">
        <v>1.9317700403308814E-2</v>
      </c>
      <c r="K4460" s="45">
        <v>0.24779999999999999</v>
      </c>
      <c r="N4460" s="54"/>
    </row>
    <row r="4461" spans="2:14" x14ac:dyDescent="0.2">
      <c r="B4461">
        <f t="shared" si="187"/>
        <v>4452</v>
      </c>
      <c r="C4461" s="52">
        <f ca="1"/>
        <v>-1.2502337976074813</v>
      </c>
      <c r="D4461" s="52">
        <f ca="1">S0*EXP((μ-0.5*σ*σ)*T+σ*SQRT(T)*$C4461)</f>
        <v>0.45570236587055524</v>
      </c>
      <c r="E4461" s="52">
        <f t="shared" ca="1" si="185"/>
        <v>7.8697634129444749E-2</v>
      </c>
      <c r="F4461" s="17">
        <f t="shared" ca="1" si="186"/>
        <v>1</v>
      </c>
      <c r="H4461" s="17">
        <v>4452</v>
      </c>
      <c r="I4461" s="45">
        <v>0.67201863318424171</v>
      </c>
      <c r="J4461" s="45">
        <v>1.9879370431500322E-2</v>
      </c>
      <c r="K4461" s="45">
        <v>0.2492</v>
      </c>
      <c r="N4461" s="54"/>
    </row>
    <row r="4462" spans="2:14" x14ac:dyDescent="0.2">
      <c r="B4462">
        <f t="shared" si="187"/>
        <v>4453</v>
      </c>
      <c r="C4462" s="52">
        <f ca="1"/>
        <v>-7.8696115988294027E-2</v>
      </c>
      <c r="D4462" s="52">
        <f ca="1">S0*EXP((μ-0.5*σ*σ)*T+σ*SQRT(T)*$C4462)</f>
        <v>0.6299818411457242</v>
      </c>
      <c r="E4462" s="52">
        <f t="shared" ca="1" si="185"/>
        <v>0</v>
      </c>
      <c r="F4462" s="17">
        <f t="shared" ca="1" si="186"/>
        <v>0</v>
      </c>
      <c r="H4462" s="17">
        <v>4453</v>
      </c>
      <c r="I4462" s="45">
        <v>0.67204299778612298</v>
      </c>
      <c r="J4462" s="45">
        <v>1.958427428634919E-2</v>
      </c>
      <c r="K4462" s="45">
        <v>0.25119999999999998</v>
      </c>
      <c r="N4462" s="54"/>
    </row>
    <row r="4463" spans="2:14" x14ac:dyDescent="0.2">
      <c r="B4463">
        <f t="shared" si="187"/>
        <v>4454</v>
      </c>
      <c r="C4463" s="52">
        <f ca="1"/>
        <v>1.0291956951062304</v>
      </c>
      <c r="D4463" s="52">
        <f ca="1">S0*EXP((μ-0.5*σ*σ)*T+σ*SQRT(T)*$C4463)</f>
        <v>0.85572435822705528</v>
      </c>
      <c r="E4463" s="52">
        <f t="shared" ca="1" si="185"/>
        <v>0</v>
      </c>
      <c r="F4463" s="17">
        <f t="shared" ca="1" si="186"/>
        <v>0</v>
      </c>
      <c r="H4463" s="17">
        <v>4454</v>
      </c>
      <c r="I4463" s="45">
        <v>0.67081214322751204</v>
      </c>
      <c r="J4463" s="45">
        <v>1.8998169376007196E-2</v>
      </c>
      <c r="K4463" s="45">
        <v>0.2472</v>
      </c>
      <c r="N4463" s="54"/>
    </row>
    <row r="4464" spans="2:14" x14ac:dyDescent="0.2">
      <c r="B4464">
        <f t="shared" si="187"/>
        <v>4455</v>
      </c>
      <c r="C4464" s="52">
        <f ca="1"/>
        <v>1.6704127718758564</v>
      </c>
      <c r="D4464" s="52">
        <f ca="1">S0*EXP((μ-0.5*σ*σ)*T+σ*SQRT(T)*$C4464)</f>
        <v>1.0216779061625878</v>
      </c>
      <c r="E4464" s="52">
        <f t="shared" ca="1" si="185"/>
        <v>0</v>
      </c>
      <c r="F4464" s="17">
        <f t="shared" ca="1" si="186"/>
        <v>0</v>
      </c>
      <c r="H4464" s="17">
        <v>4455</v>
      </c>
      <c r="I4464" s="45">
        <v>0.67181808057622983</v>
      </c>
      <c r="J4464" s="45">
        <v>1.9492663541172957E-2</v>
      </c>
      <c r="K4464" s="45">
        <v>0.24940000000000001</v>
      </c>
      <c r="N4464" s="54"/>
    </row>
    <row r="4465" spans="2:14" x14ac:dyDescent="0.2">
      <c r="B4465">
        <f t="shared" si="187"/>
        <v>4456</v>
      </c>
      <c r="C4465" s="52">
        <f ca="1"/>
        <v>-0.40001836373987509</v>
      </c>
      <c r="D4465" s="52">
        <f ca="1">S0*EXP((μ-0.5*σ*σ)*T+σ*SQRT(T)*$C4465)</f>
        <v>0.5764375910577455</v>
      </c>
      <c r="E4465" s="52">
        <f t="shared" ca="1" si="185"/>
        <v>0</v>
      </c>
      <c r="F4465" s="17">
        <f t="shared" ca="1" si="186"/>
        <v>0</v>
      </c>
      <c r="H4465" s="17">
        <v>4456</v>
      </c>
      <c r="I4465" s="45">
        <v>0.67065716823312282</v>
      </c>
      <c r="J4465" s="45">
        <v>1.8797114916383025E-2</v>
      </c>
      <c r="K4465" s="45">
        <v>0.2452</v>
      </c>
      <c r="N4465" s="54"/>
    </row>
    <row r="4466" spans="2:14" x14ac:dyDescent="0.2">
      <c r="B4466">
        <f t="shared" si="187"/>
        <v>4457</v>
      </c>
      <c r="C4466" s="52">
        <f ca="1"/>
        <v>-0.58405766967969797</v>
      </c>
      <c r="D4466" s="52">
        <f ca="1">S0*EXP((μ-0.5*σ*σ)*T+σ*SQRT(T)*$C4466)</f>
        <v>0.54784512650075323</v>
      </c>
      <c r="E4466" s="52">
        <f t="shared" ca="1" si="185"/>
        <v>0</v>
      </c>
      <c r="F4466" s="17">
        <f t="shared" ca="1" si="186"/>
        <v>0</v>
      </c>
      <c r="H4466" s="17">
        <v>4457</v>
      </c>
      <c r="I4466" s="45">
        <v>0.67105891819432251</v>
      </c>
      <c r="J4466" s="45">
        <v>1.9179681615183783E-2</v>
      </c>
      <c r="K4466" s="45">
        <v>0.24979999999999999</v>
      </c>
      <c r="N4466" s="54"/>
    </row>
    <row r="4467" spans="2:14" x14ac:dyDescent="0.2">
      <c r="B4467">
        <f t="shared" si="187"/>
        <v>4458</v>
      </c>
      <c r="C4467" s="52">
        <f ca="1"/>
        <v>-1.4737355975821773</v>
      </c>
      <c r="D4467" s="52">
        <f ca="1">S0*EXP((μ-0.5*σ*σ)*T+σ*SQRT(T)*$C4467)</f>
        <v>0.42839973746943322</v>
      </c>
      <c r="E4467" s="52">
        <f t="shared" ca="1" si="185"/>
        <v>0.10600026253056677</v>
      </c>
      <c r="F4467" s="17">
        <f t="shared" ca="1" si="186"/>
        <v>1</v>
      </c>
      <c r="H4467" s="17">
        <v>4458</v>
      </c>
      <c r="I4467" s="45">
        <v>0.66965710753359153</v>
      </c>
      <c r="J4467" s="45">
        <v>1.8148493951802406E-2</v>
      </c>
      <c r="K4467" s="45">
        <v>0.24360000000000001</v>
      </c>
      <c r="N4467" s="54"/>
    </row>
    <row r="4468" spans="2:14" x14ac:dyDescent="0.2">
      <c r="B4468">
        <f t="shared" si="187"/>
        <v>4459</v>
      </c>
      <c r="C4468" s="52">
        <f ca="1"/>
        <v>-0.87988863396992034</v>
      </c>
      <c r="D4468" s="52">
        <f ca="1">S0*EXP((μ-0.5*σ*σ)*T+σ*SQRT(T)*$C4468)</f>
        <v>0.50482676673027782</v>
      </c>
      <c r="E4468" s="52">
        <f t="shared" ca="1" si="185"/>
        <v>2.9573233269722166E-2</v>
      </c>
      <c r="F4468" s="17">
        <f t="shared" ca="1" si="186"/>
        <v>1</v>
      </c>
      <c r="H4468" s="17">
        <v>4459</v>
      </c>
      <c r="I4468" s="45">
        <v>0.66936846462222677</v>
      </c>
      <c r="J4468" s="45">
        <v>1.7807342894040956E-2</v>
      </c>
      <c r="K4468" s="45">
        <v>0.23719999999999999</v>
      </c>
      <c r="N4468" s="54"/>
    </row>
    <row r="4469" spans="2:14" x14ac:dyDescent="0.2">
      <c r="B4469">
        <f t="shared" si="187"/>
        <v>4460</v>
      </c>
      <c r="C4469" s="52">
        <f ca="1"/>
        <v>0.80762730541085204</v>
      </c>
      <c r="D4469" s="52">
        <f ca="1">S0*EXP((μ-0.5*σ*σ)*T+σ*SQRT(T)*$C4469)</f>
        <v>0.80488515778309588</v>
      </c>
      <c r="E4469" s="52">
        <f t="shared" ca="1" si="185"/>
        <v>0</v>
      </c>
      <c r="F4469" s="17">
        <f t="shared" ca="1" si="186"/>
        <v>0</v>
      </c>
      <c r="H4469" s="17">
        <v>4460</v>
      </c>
      <c r="I4469" s="45">
        <v>0.6716694461757079</v>
      </c>
      <c r="J4469" s="45">
        <v>1.9538101449544237E-2</v>
      </c>
      <c r="K4469" s="45">
        <v>0.24640000000000001</v>
      </c>
      <c r="N4469" s="54"/>
    </row>
    <row r="4470" spans="2:14" x14ac:dyDescent="0.2">
      <c r="B4470">
        <f t="shared" si="187"/>
        <v>4461</v>
      </c>
      <c r="C4470" s="52">
        <f ca="1"/>
        <v>1.0124758574489312</v>
      </c>
      <c r="D4470" s="52">
        <f ca="1">S0*EXP((μ-0.5*σ*σ)*T+σ*SQRT(T)*$C4470)</f>
        <v>0.85177840598375898</v>
      </c>
      <c r="E4470" s="52">
        <f t="shared" ca="1" si="185"/>
        <v>0</v>
      </c>
      <c r="F4470" s="17">
        <f t="shared" ca="1" si="186"/>
        <v>0</v>
      </c>
      <c r="H4470" s="17">
        <v>4461</v>
      </c>
      <c r="I4470" s="45">
        <v>0.67001373771864092</v>
      </c>
      <c r="J4470" s="45">
        <v>1.820281165655278E-2</v>
      </c>
      <c r="K4470" s="45">
        <v>0.24199999999999999</v>
      </c>
      <c r="N4470" s="54"/>
    </row>
    <row r="4471" spans="2:14" x14ac:dyDescent="0.2">
      <c r="B4471">
        <f t="shared" si="187"/>
        <v>4462</v>
      </c>
      <c r="C4471" s="52">
        <f ca="1"/>
        <v>-0.9233239728760142</v>
      </c>
      <c r="D4471" s="52">
        <f ca="1">S0*EXP((μ-0.5*σ*σ)*T+σ*SQRT(T)*$C4471)</f>
        <v>0.49880158646311062</v>
      </c>
      <c r="E4471" s="52">
        <f t="shared" ca="1" si="185"/>
        <v>3.5598413536889362E-2</v>
      </c>
      <c r="F4471" s="17">
        <f t="shared" ca="1" si="186"/>
        <v>1</v>
      </c>
      <c r="H4471" s="17">
        <v>4462</v>
      </c>
      <c r="I4471" s="45">
        <v>0.67018816958500071</v>
      </c>
      <c r="J4471" s="45">
        <v>1.8454275687093978E-2</v>
      </c>
      <c r="K4471" s="45">
        <v>0.24160000000000001</v>
      </c>
      <c r="N4471" s="54"/>
    </row>
    <row r="4472" spans="2:14" x14ac:dyDescent="0.2">
      <c r="B4472">
        <f t="shared" si="187"/>
        <v>4463</v>
      </c>
      <c r="C4472" s="52">
        <f ca="1"/>
        <v>1.0299907072469781</v>
      </c>
      <c r="D4472" s="52">
        <f ca="1">S0*EXP((μ-0.5*σ*σ)*T+σ*SQRT(T)*$C4472)</f>
        <v>0.85591243904284198</v>
      </c>
      <c r="E4472" s="52">
        <f t="shared" ca="1" si="185"/>
        <v>0</v>
      </c>
      <c r="F4472" s="17">
        <f t="shared" ca="1" si="186"/>
        <v>0</v>
      </c>
      <c r="H4472" s="17">
        <v>4463</v>
      </c>
      <c r="I4472" s="45">
        <v>0.67033062306687141</v>
      </c>
      <c r="J4472" s="45">
        <v>1.8615310978761856E-2</v>
      </c>
      <c r="K4472" s="45">
        <v>0.24540000000000001</v>
      </c>
      <c r="N4472" s="54"/>
    </row>
    <row r="4473" spans="2:14" x14ac:dyDescent="0.2">
      <c r="B4473">
        <f t="shared" si="187"/>
        <v>4464</v>
      </c>
      <c r="C4473" s="52">
        <f ca="1"/>
        <v>0.64296188492067241</v>
      </c>
      <c r="D4473" s="52">
        <f ca="1">S0*EXP((μ-0.5*σ*σ)*T+σ*SQRT(T)*$C4473)</f>
        <v>0.76906902900408036</v>
      </c>
      <c r="E4473" s="52">
        <f t="shared" ca="1" si="185"/>
        <v>0</v>
      </c>
      <c r="F4473" s="17">
        <f t="shared" ca="1" si="186"/>
        <v>0</v>
      </c>
      <c r="H4473" s="17">
        <v>4464</v>
      </c>
      <c r="I4473" s="45">
        <v>0.671655698373402</v>
      </c>
      <c r="J4473" s="45">
        <v>1.9610435264166406E-2</v>
      </c>
      <c r="K4473" s="45">
        <v>0.24940000000000001</v>
      </c>
      <c r="N4473" s="54"/>
    </row>
    <row r="4474" spans="2:14" x14ac:dyDescent="0.2">
      <c r="B4474">
        <f t="shared" si="187"/>
        <v>4465</v>
      </c>
      <c r="C4474" s="52">
        <f ca="1"/>
        <v>1.5536703214224425</v>
      </c>
      <c r="D4474" s="52">
        <f ca="1">S0*EXP((μ-0.5*σ*σ)*T+σ*SQRT(T)*$C4474)</f>
        <v>0.98923325368361958</v>
      </c>
      <c r="E4474" s="52">
        <f t="shared" ca="1" si="185"/>
        <v>0</v>
      </c>
      <c r="F4474" s="17">
        <f t="shared" ca="1" si="186"/>
        <v>0</v>
      </c>
      <c r="H4474" s="17">
        <v>4465</v>
      </c>
      <c r="I4474" s="45">
        <v>0.67106710428798266</v>
      </c>
      <c r="J4474" s="45">
        <v>1.9223156844594861E-2</v>
      </c>
      <c r="K4474" s="45">
        <v>0.24840000000000001</v>
      </c>
      <c r="N4474" s="54"/>
    </row>
    <row r="4475" spans="2:14" x14ac:dyDescent="0.2">
      <c r="B4475">
        <f t="shared" si="187"/>
        <v>4466</v>
      </c>
      <c r="C4475" s="52">
        <f ca="1"/>
        <v>0.3181436149488524</v>
      </c>
      <c r="D4475" s="52">
        <f ca="1">S0*EXP((μ-0.5*σ*σ)*T+σ*SQRT(T)*$C4475)</f>
        <v>0.70302355628214297</v>
      </c>
      <c r="E4475" s="52">
        <f t="shared" ca="1" si="185"/>
        <v>0</v>
      </c>
      <c r="F4475" s="17">
        <f t="shared" ca="1" si="186"/>
        <v>0</v>
      </c>
      <c r="H4475" s="17">
        <v>4466</v>
      </c>
      <c r="I4475" s="45">
        <v>0.67121537174581869</v>
      </c>
      <c r="J4475" s="45">
        <v>1.8992739635138089E-2</v>
      </c>
      <c r="K4475" s="45">
        <v>0.25480000000000003</v>
      </c>
      <c r="N4475" s="54"/>
    </row>
    <row r="4476" spans="2:14" x14ac:dyDescent="0.2">
      <c r="B4476">
        <f t="shared" si="187"/>
        <v>4467</v>
      </c>
      <c r="C4476" s="52">
        <f ca="1"/>
        <v>1.0017195055894306</v>
      </c>
      <c r="D4476" s="52">
        <f ca="1">S0*EXP((μ-0.5*σ*σ)*T+σ*SQRT(T)*$C4476)</f>
        <v>0.84924948510954601</v>
      </c>
      <c r="E4476" s="52">
        <f t="shared" ca="1" si="185"/>
        <v>0</v>
      </c>
      <c r="F4476" s="17">
        <f t="shared" ca="1" si="186"/>
        <v>0</v>
      </c>
      <c r="H4476" s="17">
        <v>4467</v>
      </c>
      <c r="I4476" s="45">
        <v>0.67224832010676105</v>
      </c>
      <c r="J4476" s="45">
        <v>2.0013976356335051E-2</v>
      </c>
      <c r="K4476" s="45">
        <v>0.24840000000000001</v>
      </c>
      <c r="N4476" s="54"/>
    </row>
    <row r="4477" spans="2:14" x14ac:dyDescent="0.2">
      <c r="B4477">
        <f t="shared" si="187"/>
        <v>4468</v>
      </c>
      <c r="C4477" s="52">
        <f ca="1"/>
        <v>1.795273845435359</v>
      </c>
      <c r="D4477" s="52">
        <f ca="1">S0*EXP((μ-0.5*σ*σ)*T+σ*SQRT(T)*$C4477)</f>
        <v>1.0575574345955563</v>
      </c>
      <c r="E4477" s="52">
        <f t="shared" ca="1" si="185"/>
        <v>0</v>
      </c>
      <c r="F4477" s="17">
        <f t="shared" ca="1" si="186"/>
        <v>0</v>
      </c>
      <c r="H4477" s="17">
        <v>4468</v>
      </c>
      <c r="I4477" s="45">
        <v>0.67193861198220006</v>
      </c>
      <c r="J4477" s="45">
        <v>1.958076811172748E-2</v>
      </c>
      <c r="K4477" s="45">
        <v>0.253</v>
      </c>
      <c r="N4477" s="54"/>
    </row>
    <row r="4478" spans="2:14" x14ac:dyDescent="0.2">
      <c r="B4478">
        <f t="shared" si="187"/>
        <v>4469</v>
      </c>
      <c r="C4478" s="52">
        <f ca="1"/>
        <v>-0.70518968535922599</v>
      </c>
      <c r="D4478" s="52">
        <f ca="1">S0*EXP((μ-0.5*σ*σ)*T+σ*SQRT(T)*$C4478)</f>
        <v>0.52980435857272223</v>
      </c>
      <c r="E4478" s="52">
        <f t="shared" ca="1" si="185"/>
        <v>4.5956414272777524E-3</v>
      </c>
      <c r="F4478" s="17">
        <f t="shared" ca="1" si="186"/>
        <v>1</v>
      </c>
      <c r="H4478" s="17">
        <v>4469</v>
      </c>
      <c r="I4478" s="45">
        <v>0.6726898004577232</v>
      </c>
      <c r="J4478" s="45">
        <v>2.0467308782450146E-2</v>
      </c>
      <c r="K4478" s="45">
        <v>0.25</v>
      </c>
      <c r="N4478" s="54"/>
    </row>
    <row r="4479" spans="2:14" x14ac:dyDescent="0.2">
      <c r="B4479">
        <f t="shared" si="187"/>
        <v>4470</v>
      </c>
      <c r="C4479" s="52">
        <f ca="1"/>
        <v>-0.78056792698544875</v>
      </c>
      <c r="D4479" s="52">
        <f ca="1">S0*EXP((μ-0.5*σ*σ)*T+σ*SQRT(T)*$C4479)</f>
        <v>0.51887904749972791</v>
      </c>
      <c r="E4479" s="52">
        <f t="shared" ca="1" si="185"/>
        <v>1.5520952500272078E-2</v>
      </c>
      <c r="F4479" s="17">
        <f t="shared" ca="1" si="186"/>
        <v>1</v>
      </c>
      <c r="H4479" s="17">
        <v>4470</v>
      </c>
      <c r="I4479" s="45">
        <v>0.67094854687053918</v>
      </c>
      <c r="J4479" s="45">
        <v>1.8961273653417775E-2</v>
      </c>
      <c r="K4479" s="45">
        <v>0.249</v>
      </c>
      <c r="N4479" s="54"/>
    </row>
    <row r="4480" spans="2:14" x14ac:dyDescent="0.2">
      <c r="B4480">
        <f t="shared" si="187"/>
        <v>4471</v>
      </c>
      <c r="C4480" s="52">
        <f ca="1"/>
        <v>-0.92166669403263923</v>
      </c>
      <c r="D4480" s="52">
        <f ca="1">S0*EXP((μ-0.5*σ*σ)*T+σ*SQRT(T)*$C4480)</f>
        <v>0.49903015266874906</v>
      </c>
      <c r="E4480" s="52">
        <f t="shared" ca="1" si="185"/>
        <v>3.5369847331250925E-2</v>
      </c>
      <c r="F4480" s="17">
        <f t="shared" ca="1" si="186"/>
        <v>1</v>
      </c>
      <c r="H4480" s="17">
        <v>4471</v>
      </c>
      <c r="I4480" s="45">
        <v>0.67196663919438204</v>
      </c>
      <c r="J4480" s="45">
        <v>1.9552152719636347E-2</v>
      </c>
      <c r="K4480" s="45">
        <v>0.2432</v>
      </c>
      <c r="N4480" s="54"/>
    </row>
    <row r="4481" spans="2:14" x14ac:dyDescent="0.2">
      <c r="B4481">
        <f t="shared" si="187"/>
        <v>4472</v>
      </c>
      <c r="C4481" s="52">
        <f ca="1"/>
        <v>0.33725792950007649</v>
      </c>
      <c r="D4481" s="52">
        <f ca="1">S0*EXP((μ-0.5*σ*σ)*T+σ*SQRT(T)*$C4481)</f>
        <v>0.70674803587822188</v>
      </c>
      <c r="E4481" s="52">
        <f t="shared" ca="1" si="185"/>
        <v>0</v>
      </c>
      <c r="F4481" s="17">
        <f t="shared" ca="1" si="186"/>
        <v>0</v>
      </c>
      <c r="H4481" s="17">
        <v>4472</v>
      </c>
      <c r="I4481" s="45">
        <v>0.67043316873351055</v>
      </c>
      <c r="J4481" s="45">
        <v>1.8528254870777507E-2</v>
      </c>
      <c r="K4481" s="45">
        <v>0.24399999999999999</v>
      </c>
      <c r="N4481" s="54"/>
    </row>
    <row r="4482" spans="2:14" x14ac:dyDescent="0.2">
      <c r="B4482">
        <f t="shared" si="187"/>
        <v>4473</v>
      </c>
      <c r="C4482" s="52">
        <f ca="1"/>
        <v>-0.49451546203178443</v>
      </c>
      <c r="D4482" s="52">
        <f ca="1">S0*EXP((μ-0.5*σ*σ)*T+σ*SQRT(T)*$C4482)</f>
        <v>0.56157481611722415</v>
      </c>
      <c r="E4482" s="52">
        <f t="shared" ca="1" si="185"/>
        <v>0</v>
      </c>
      <c r="F4482" s="17">
        <f t="shared" ca="1" si="186"/>
        <v>0</v>
      </c>
      <c r="H4482" s="17">
        <v>4473</v>
      </c>
      <c r="I4482" s="45">
        <v>0.6702706657450056</v>
      </c>
      <c r="J4482" s="45">
        <v>1.8662746160997896E-2</v>
      </c>
      <c r="K4482" s="45">
        <v>0.24859999999999999</v>
      </c>
      <c r="N4482" s="54"/>
    </row>
    <row r="4483" spans="2:14" x14ac:dyDescent="0.2">
      <c r="B4483">
        <f t="shared" si="187"/>
        <v>4474</v>
      </c>
      <c r="C4483" s="52">
        <f ca="1"/>
        <v>-0.43816973681186688</v>
      </c>
      <c r="D4483" s="52">
        <f ca="1">S0*EXP((μ-0.5*σ*σ)*T+σ*SQRT(T)*$C4483)</f>
        <v>0.5703902633148471</v>
      </c>
      <c r="E4483" s="52">
        <f t="shared" ca="1" si="185"/>
        <v>0</v>
      </c>
      <c r="F4483" s="17">
        <f t="shared" ca="1" si="186"/>
        <v>0</v>
      </c>
      <c r="H4483" s="17">
        <v>4474</v>
      </c>
      <c r="I4483" s="45">
        <v>0.66981086745066143</v>
      </c>
      <c r="J4483" s="45">
        <v>1.8199657337376576E-2</v>
      </c>
      <c r="K4483" s="45">
        <v>0.24959999999999999</v>
      </c>
      <c r="N4483" s="54"/>
    </row>
    <row r="4484" spans="2:14" x14ac:dyDescent="0.2">
      <c r="B4484">
        <f t="shared" si="187"/>
        <v>4475</v>
      </c>
      <c r="C4484" s="52">
        <f ca="1"/>
        <v>9.7352854943806827E-2</v>
      </c>
      <c r="D4484" s="52">
        <f ca="1">S0*EXP((μ-0.5*σ*σ)*T+σ*SQRT(T)*$C4484)</f>
        <v>0.66139858082930247</v>
      </c>
      <c r="E4484" s="52">
        <f t="shared" ca="1" si="185"/>
        <v>0</v>
      </c>
      <c r="F4484" s="17">
        <f t="shared" ca="1" si="186"/>
        <v>0</v>
      </c>
      <c r="H4484" s="17">
        <v>4475</v>
      </c>
      <c r="I4484" s="45">
        <v>0.67115968117121616</v>
      </c>
      <c r="J4484" s="45">
        <v>1.9242796578630247E-2</v>
      </c>
      <c r="K4484" s="45">
        <v>0.253</v>
      </c>
      <c r="N4484" s="54"/>
    </row>
    <row r="4485" spans="2:14" x14ac:dyDescent="0.2">
      <c r="B4485">
        <f t="shared" si="187"/>
        <v>4476</v>
      </c>
      <c r="C4485" s="52">
        <f ca="1"/>
        <v>0.99374647773119129</v>
      </c>
      <c r="D4485" s="52">
        <f ca="1">S0*EXP((μ-0.5*σ*σ)*T+σ*SQRT(T)*$C4485)</f>
        <v>0.84737979689655629</v>
      </c>
      <c r="E4485" s="52">
        <f t="shared" ca="1" si="185"/>
        <v>0</v>
      </c>
      <c r="F4485" s="17">
        <f t="shared" ca="1" si="186"/>
        <v>0</v>
      </c>
      <c r="H4485" s="17">
        <v>4476</v>
      </c>
      <c r="I4485" s="45">
        <v>0.67136938575135707</v>
      </c>
      <c r="J4485" s="45">
        <v>1.9334799452384924E-2</v>
      </c>
      <c r="K4485" s="45">
        <v>0.2482</v>
      </c>
      <c r="N4485" s="54"/>
    </row>
    <row r="4486" spans="2:14" x14ac:dyDescent="0.2">
      <c r="B4486">
        <f t="shared" si="187"/>
        <v>4477</v>
      </c>
      <c r="C4486" s="52">
        <f ca="1"/>
        <v>0.72612953957138582</v>
      </c>
      <c r="D4486" s="52">
        <f ca="1">S0*EXP((μ-0.5*σ*σ)*T+σ*SQRT(T)*$C4486)</f>
        <v>0.78695492623566821</v>
      </c>
      <c r="E4486" s="52">
        <f t="shared" ca="1" si="185"/>
        <v>0</v>
      </c>
      <c r="F4486" s="17">
        <f t="shared" ca="1" si="186"/>
        <v>0</v>
      </c>
      <c r="H4486" s="17">
        <v>4477</v>
      </c>
      <c r="I4486" s="45">
        <v>0.67129717442726822</v>
      </c>
      <c r="J4486" s="45">
        <v>1.9135699137590865E-2</v>
      </c>
      <c r="K4486" s="45">
        <v>0.24440000000000001</v>
      </c>
      <c r="N4486" s="54"/>
    </row>
    <row r="4487" spans="2:14" x14ac:dyDescent="0.2">
      <c r="B4487">
        <f t="shared" si="187"/>
        <v>4478</v>
      </c>
      <c r="C4487" s="52">
        <f ca="1"/>
        <v>-1.813149333209285</v>
      </c>
      <c r="D4487" s="52">
        <f ca="1">S0*EXP((μ-0.5*σ*σ)*T+σ*SQRT(T)*$C4487)</f>
        <v>0.39003314935976852</v>
      </c>
      <c r="E4487" s="52">
        <f t="shared" ca="1" si="185"/>
        <v>0.14436685064023147</v>
      </c>
      <c r="F4487" s="17">
        <f t="shared" ca="1" si="186"/>
        <v>1</v>
      </c>
      <c r="H4487" s="17">
        <v>4478</v>
      </c>
      <c r="I4487" s="45">
        <v>0.66978145634397135</v>
      </c>
      <c r="J4487" s="45">
        <v>1.8119641570336593E-2</v>
      </c>
      <c r="K4487" s="45">
        <v>0.24160000000000001</v>
      </c>
      <c r="N4487" s="54"/>
    </row>
    <row r="4488" spans="2:14" x14ac:dyDescent="0.2">
      <c r="B4488">
        <f t="shared" si="187"/>
        <v>4479</v>
      </c>
      <c r="C4488" s="52">
        <f ca="1"/>
        <v>1.37643787711594</v>
      </c>
      <c r="D4488" s="52">
        <f ca="1">S0*EXP((μ-0.5*σ*σ)*T+σ*SQRT(T)*$C4488)</f>
        <v>0.94193600955608081</v>
      </c>
      <c r="E4488" s="52">
        <f t="shared" ca="1" si="185"/>
        <v>0</v>
      </c>
      <c r="F4488" s="17">
        <f t="shared" ca="1" si="186"/>
        <v>0</v>
      </c>
      <c r="H4488" s="17">
        <v>4479</v>
      </c>
      <c r="I4488" s="45">
        <v>0.67168794902446005</v>
      </c>
      <c r="J4488" s="45">
        <v>1.9562193054515627E-2</v>
      </c>
      <c r="K4488" s="45">
        <v>0.24579999999999999</v>
      </c>
      <c r="N4488" s="54"/>
    </row>
    <row r="4489" spans="2:14" x14ac:dyDescent="0.2">
      <c r="B4489">
        <f t="shared" si="187"/>
        <v>4480</v>
      </c>
      <c r="C4489" s="52">
        <f ca="1"/>
        <v>0.8022051711273559</v>
      </c>
      <c r="D4489" s="52">
        <f ca="1">S0*EXP((μ-0.5*σ*σ)*T+σ*SQRT(T)*$C4489)</f>
        <v>0.80367965594058632</v>
      </c>
      <c r="E4489" s="52">
        <f t="shared" ca="1" si="185"/>
        <v>0</v>
      </c>
      <c r="F4489" s="17">
        <f t="shared" ca="1" si="186"/>
        <v>0</v>
      </c>
      <c r="H4489" s="17">
        <v>4480</v>
      </c>
      <c r="I4489" s="45">
        <v>0.66992486789831884</v>
      </c>
      <c r="J4489" s="45">
        <v>1.8148986594309659E-2</v>
      </c>
      <c r="K4489" s="45">
        <v>0.23880000000000001</v>
      </c>
      <c r="N4489" s="54"/>
    </row>
    <row r="4490" spans="2:14" x14ac:dyDescent="0.2">
      <c r="B4490">
        <f t="shared" si="187"/>
        <v>4481</v>
      </c>
      <c r="C4490" s="52">
        <f ca="1"/>
        <v>0.19266430381357699</v>
      </c>
      <c r="D4490" s="52">
        <f ca="1">S0*EXP((μ-0.5*σ*σ)*T+σ*SQRT(T)*$C4490)</f>
        <v>0.67905616282581216</v>
      </c>
      <c r="E4490" s="52">
        <f t="shared" ref="E4490:E4553" ca="1" si="188">MAX(0,CP*(D4490-K))</f>
        <v>0</v>
      </c>
      <c r="F4490" s="17">
        <f t="shared" ref="F4490:F4553" ca="1" si="189">(CP*(D4490-K)&gt;0)*1</f>
        <v>0</v>
      </c>
      <c r="H4490" s="17">
        <v>4481</v>
      </c>
      <c r="I4490" s="45">
        <v>0.67065013397441731</v>
      </c>
      <c r="J4490" s="45">
        <v>1.8905507737062999E-2</v>
      </c>
      <c r="K4490" s="45">
        <v>0.24399999999999999</v>
      </c>
      <c r="N4490" s="54"/>
    </row>
    <row r="4491" spans="2:14" x14ac:dyDescent="0.2">
      <c r="B4491">
        <f t="shared" si="187"/>
        <v>4482</v>
      </c>
      <c r="C4491" s="52">
        <f ca="1"/>
        <v>-1.2044005123877413</v>
      </c>
      <c r="D4491" s="52">
        <f ca="1">S0*EXP((μ-0.5*σ*σ)*T+σ*SQRT(T)*$C4491)</f>
        <v>0.46151275892265653</v>
      </c>
      <c r="E4491" s="52">
        <f t="shared" ca="1" si="188"/>
        <v>7.2887241077343456E-2</v>
      </c>
      <c r="F4491" s="17">
        <f t="shared" ca="1" si="189"/>
        <v>1</v>
      </c>
      <c r="H4491" s="17">
        <v>4482</v>
      </c>
      <c r="I4491" s="45">
        <v>0.67157919520111997</v>
      </c>
      <c r="J4491" s="45">
        <v>1.9637066644493491E-2</v>
      </c>
      <c r="K4491" s="45">
        <v>0.25619999999999998</v>
      </c>
      <c r="N4491" s="54"/>
    </row>
    <row r="4492" spans="2:14" x14ac:dyDescent="0.2">
      <c r="B4492">
        <f t="shared" si="187"/>
        <v>4483</v>
      </c>
      <c r="C4492" s="52">
        <f ca="1"/>
        <v>7.8178339900327562E-2</v>
      </c>
      <c r="D4492" s="52">
        <f ca="1">S0*EXP((μ-0.5*σ*σ)*T+σ*SQRT(T)*$C4492)</f>
        <v>0.6579021390779769</v>
      </c>
      <c r="E4492" s="52">
        <f t="shared" ca="1" si="188"/>
        <v>0</v>
      </c>
      <c r="F4492" s="17">
        <f t="shared" ca="1" si="189"/>
        <v>0</v>
      </c>
      <c r="H4492" s="17">
        <v>4483</v>
      </c>
      <c r="I4492" s="45">
        <v>0.67238471272813294</v>
      </c>
      <c r="J4492" s="45">
        <v>1.9879557114632941E-2</v>
      </c>
      <c r="K4492" s="45">
        <v>0.24379999999999999</v>
      </c>
      <c r="N4492" s="54"/>
    </row>
    <row r="4493" spans="2:14" x14ac:dyDescent="0.2">
      <c r="B4493">
        <f t="shared" si="187"/>
        <v>4484</v>
      </c>
      <c r="C4493" s="52">
        <f ca="1"/>
        <v>1.411255290531179</v>
      </c>
      <c r="D4493" s="52">
        <f ca="1">S0*EXP((μ-0.5*σ*σ)*T+σ*SQRT(T)*$C4493)</f>
        <v>0.95104559621997165</v>
      </c>
      <c r="E4493" s="52">
        <f t="shared" ca="1" si="188"/>
        <v>0</v>
      </c>
      <c r="F4493" s="17">
        <f t="shared" ca="1" si="189"/>
        <v>0</v>
      </c>
      <c r="H4493" s="17">
        <v>4484</v>
      </c>
      <c r="I4493" s="45">
        <v>0.67160922201599593</v>
      </c>
      <c r="J4493" s="45">
        <v>1.9740615616414211E-2</v>
      </c>
      <c r="K4493" s="45">
        <v>0.24859999999999999</v>
      </c>
      <c r="N4493" s="54"/>
    </row>
    <row r="4494" spans="2:14" x14ac:dyDescent="0.2">
      <c r="B4494">
        <f t="shared" si="187"/>
        <v>4485</v>
      </c>
      <c r="C4494" s="52">
        <f ca="1"/>
        <v>0.89349932749835836</v>
      </c>
      <c r="D4494" s="52">
        <f ca="1">S0*EXP((μ-0.5*σ*σ)*T+σ*SQRT(T)*$C4494)</f>
        <v>0.82421995087615052</v>
      </c>
      <c r="E4494" s="52">
        <f t="shared" ca="1" si="188"/>
        <v>0</v>
      </c>
      <c r="F4494" s="17">
        <f t="shared" ca="1" si="189"/>
        <v>0</v>
      </c>
      <c r="H4494" s="17">
        <v>4485</v>
      </c>
      <c r="I4494" s="45">
        <v>0.67077346613435163</v>
      </c>
      <c r="J4494" s="45">
        <v>1.8399940140201073E-2</v>
      </c>
      <c r="K4494" s="45">
        <v>0.23880000000000001</v>
      </c>
      <c r="N4494" s="54"/>
    </row>
    <row r="4495" spans="2:14" x14ac:dyDescent="0.2">
      <c r="B4495">
        <f t="shared" si="187"/>
        <v>4486</v>
      </c>
      <c r="C4495" s="52">
        <f ca="1"/>
        <v>1.5917097284850485</v>
      </c>
      <c r="D4495" s="52">
        <f ca="1">S0*EXP((μ-0.5*σ*σ)*T+σ*SQRT(T)*$C4495)</f>
        <v>0.99969024971453135</v>
      </c>
      <c r="E4495" s="52">
        <f t="shared" ca="1" si="188"/>
        <v>0</v>
      </c>
      <c r="F4495" s="17">
        <f t="shared" ca="1" si="189"/>
        <v>0</v>
      </c>
      <c r="H4495" s="17">
        <v>4486</v>
      </c>
      <c r="I4495" s="45">
        <v>0.67241287399690786</v>
      </c>
      <c r="J4495" s="45">
        <v>2.0104186523720511E-2</v>
      </c>
      <c r="K4495" s="45">
        <v>0.25519999999999998</v>
      </c>
      <c r="N4495" s="54"/>
    </row>
    <row r="4496" spans="2:14" x14ac:dyDescent="0.2">
      <c r="B4496">
        <f t="shared" si="187"/>
        <v>4487</v>
      </c>
      <c r="C4496" s="52">
        <f ca="1"/>
        <v>0.32795958017791893</v>
      </c>
      <c r="D4496" s="52">
        <f ca="1">S0*EXP((μ-0.5*σ*σ)*T+σ*SQRT(T)*$C4496)</f>
        <v>0.70493376737280822</v>
      </c>
      <c r="E4496" s="52">
        <f t="shared" ca="1" si="188"/>
        <v>0</v>
      </c>
      <c r="F4496" s="17">
        <f t="shared" ca="1" si="189"/>
        <v>0</v>
      </c>
      <c r="H4496" s="17">
        <v>4487</v>
      </c>
      <c r="I4496" s="45">
        <v>0.66977884590582404</v>
      </c>
      <c r="J4496" s="45">
        <v>1.8111148733263766E-2</v>
      </c>
      <c r="K4496" s="45">
        <v>0.2392</v>
      </c>
      <c r="N4496" s="54"/>
    </row>
    <row r="4497" spans="2:14" x14ac:dyDescent="0.2">
      <c r="B4497">
        <f t="shared" si="187"/>
        <v>4488</v>
      </c>
      <c r="C4497" s="52">
        <f ca="1"/>
        <v>-0.93264666498619098</v>
      </c>
      <c r="D4497" s="52">
        <f ca="1">S0*EXP((μ-0.5*σ*σ)*T+σ*SQRT(T)*$C4497)</f>
        <v>0.49751778223829163</v>
      </c>
      <c r="E4497" s="52">
        <f t="shared" ca="1" si="188"/>
        <v>3.6882217761708358E-2</v>
      </c>
      <c r="F4497" s="17">
        <f t="shared" ca="1" si="189"/>
        <v>1</v>
      </c>
      <c r="H4497" s="17">
        <v>4488</v>
      </c>
      <c r="I4497" s="45">
        <v>0.67266490661983602</v>
      </c>
      <c r="J4497" s="45">
        <v>2.0256058395366015E-2</v>
      </c>
      <c r="K4497" s="45">
        <v>0.25840000000000002</v>
      </c>
      <c r="N4497" s="54"/>
    </row>
    <row r="4498" spans="2:14" x14ac:dyDescent="0.2">
      <c r="B4498">
        <f t="shared" si="187"/>
        <v>4489</v>
      </c>
      <c r="C4498" s="52">
        <f ca="1"/>
        <v>0.24882046035846384</v>
      </c>
      <c r="D4498" s="52">
        <f ca="1">S0*EXP((μ-0.5*σ*σ)*T+σ*SQRT(T)*$C4498)</f>
        <v>0.6896796577393951</v>
      </c>
      <c r="E4498" s="52">
        <f t="shared" ca="1" si="188"/>
        <v>0</v>
      </c>
      <c r="F4498" s="17">
        <f t="shared" ca="1" si="189"/>
        <v>0</v>
      </c>
      <c r="H4498" s="17">
        <v>4489</v>
      </c>
      <c r="I4498" s="45">
        <v>0.67137888184353445</v>
      </c>
      <c r="J4498" s="45">
        <v>1.9196466342742885E-2</v>
      </c>
      <c r="K4498" s="45">
        <v>0.2482</v>
      </c>
      <c r="N4498" s="54"/>
    </row>
    <row r="4499" spans="2:14" x14ac:dyDescent="0.2">
      <c r="B4499">
        <f t="shared" si="187"/>
        <v>4490</v>
      </c>
      <c r="C4499" s="52">
        <f ca="1"/>
        <v>-0.51032705751953933</v>
      </c>
      <c r="D4499" s="52">
        <f ca="1">S0*EXP((μ-0.5*σ*σ)*T+σ*SQRT(T)*$C4499)</f>
        <v>0.55912561938880523</v>
      </c>
      <c r="E4499" s="52">
        <f t="shared" ca="1" si="188"/>
        <v>0</v>
      </c>
      <c r="F4499" s="17">
        <f t="shared" ca="1" si="189"/>
        <v>0</v>
      </c>
      <c r="H4499" s="17">
        <v>4490</v>
      </c>
      <c r="I4499" s="45">
        <v>0.67249224947031705</v>
      </c>
      <c r="J4499" s="45">
        <v>1.9980552289887574E-2</v>
      </c>
      <c r="K4499" s="45">
        <v>0.2452</v>
      </c>
      <c r="N4499" s="54"/>
    </row>
    <row r="4500" spans="2:14" x14ac:dyDescent="0.2">
      <c r="B4500">
        <f t="shared" si="187"/>
        <v>4491</v>
      </c>
      <c r="C4500" s="52">
        <f ca="1"/>
        <v>0.8828497212921832</v>
      </c>
      <c r="D4500" s="52">
        <f ca="1">S0*EXP((μ-0.5*σ*σ)*T+σ*SQRT(T)*$C4500)</f>
        <v>0.82179709996281025</v>
      </c>
      <c r="E4500" s="52">
        <f t="shared" ca="1" si="188"/>
        <v>0</v>
      </c>
      <c r="F4500" s="17">
        <f t="shared" ca="1" si="189"/>
        <v>0</v>
      </c>
      <c r="H4500" s="17">
        <v>4491</v>
      </c>
      <c r="I4500" s="45">
        <v>0.66961247171392713</v>
      </c>
      <c r="J4500" s="45">
        <v>1.7976992767303159E-2</v>
      </c>
      <c r="K4500" s="45">
        <v>0.2366</v>
      </c>
      <c r="N4500" s="54"/>
    </row>
    <row r="4501" spans="2:14" x14ac:dyDescent="0.2">
      <c r="B4501">
        <f t="shared" si="187"/>
        <v>4492</v>
      </c>
      <c r="C4501" s="52">
        <f ca="1"/>
        <v>-0.50074279269002075</v>
      </c>
      <c r="D4501" s="52">
        <f ca="1">S0*EXP((μ-0.5*σ*σ)*T+σ*SQRT(T)*$C4501)</f>
        <v>0.56060893223214203</v>
      </c>
      <c r="E4501" s="52">
        <f t="shared" ca="1" si="188"/>
        <v>0</v>
      </c>
      <c r="F4501" s="17">
        <f t="shared" ca="1" si="189"/>
        <v>0</v>
      </c>
      <c r="H4501" s="17">
        <v>4492</v>
      </c>
      <c r="I4501" s="45">
        <v>0.67100407402223072</v>
      </c>
      <c r="J4501" s="45">
        <v>1.9313309268985546E-2</v>
      </c>
      <c r="K4501" s="45">
        <v>0.24779999999999999</v>
      </c>
      <c r="N4501" s="54"/>
    </row>
    <row r="4502" spans="2:14" x14ac:dyDescent="0.2">
      <c r="B4502">
        <f t="shared" si="187"/>
        <v>4493</v>
      </c>
      <c r="C4502" s="52">
        <f ca="1"/>
        <v>-1.2317953666493362</v>
      </c>
      <c r="D4502" s="52">
        <f ca="1">S0*EXP((μ-0.5*σ*σ)*T+σ*SQRT(T)*$C4502)</f>
        <v>0.45803100200482016</v>
      </c>
      <c r="E4502" s="52">
        <f t="shared" ca="1" si="188"/>
        <v>7.6368997995179821E-2</v>
      </c>
      <c r="F4502" s="17">
        <f t="shared" ca="1" si="189"/>
        <v>1</v>
      </c>
      <c r="H4502" s="17">
        <v>4493</v>
      </c>
      <c r="I4502" s="45">
        <v>0.67026672321814129</v>
      </c>
      <c r="J4502" s="45">
        <v>1.8410799636562999E-2</v>
      </c>
      <c r="K4502" s="45">
        <v>0.24579999999999999</v>
      </c>
      <c r="N4502" s="54"/>
    </row>
    <row r="4503" spans="2:14" x14ac:dyDescent="0.2">
      <c r="B4503">
        <f t="shared" si="187"/>
        <v>4494</v>
      </c>
      <c r="C4503" s="52">
        <f ca="1"/>
        <v>0.25999592404574789</v>
      </c>
      <c r="D4503" s="52">
        <f ca="1">S0*EXP((μ-0.5*σ*σ)*T+σ*SQRT(T)*$C4503)</f>
        <v>0.69181355294408797</v>
      </c>
      <c r="E4503" s="52">
        <f t="shared" ca="1" si="188"/>
        <v>0</v>
      </c>
      <c r="F4503" s="17">
        <f t="shared" ca="1" si="189"/>
        <v>0</v>
      </c>
      <c r="H4503" s="17">
        <v>4494</v>
      </c>
      <c r="I4503" s="45">
        <v>0.67109562159776426</v>
      </c>
      <c r="J4503" s="45">
        <v>1.9071364219568055E-2</v>
      </c>
      <c r="K4503" s="45">
        <v>0.24440000000000001</v>
      </c>
      <c r="N4503" s="54"/>
    </row>
    <row r="4504" spans="2:14" x14ac:dyDescent="0.2">
      <c r="B4504">
        <f t="shared" si="187"/>
        <v>4495</v>
      </c>
      <c r="C4504" s="52">
        <f ca="1"/>
        <v>-0.7013712536637362</v>
      </c>
      <c r="D4504" s="52">
        <f ca="1">S0*EXP((μ-0.5*σ*σ)*T+σ*SQRT(T)*$C4504)</f>
        <v>0.53036388280815006</v>
      </c>
      <c r="E4504" s="52">
        <f t="shared" ca="1" si="188"/>
        <v>4.0361171918499306E-3</v>
      </c>
      <c r="F4504" s="17">
        <f t="shared" ca="1" si="189"/>
        <v>1</v>
      </c>
      <c r="H4504" s="17">
        <v>4495</v>
      </c>
      <c r="I4504" s="45">
        <v>0.67053222116301237</v>
      </c>
      <c r="J4504" s="45">
        <v>1.8558217629497848E-2</v>
      </c>
      <c r="K4504" s="45">
        <v>0.23780000000000001</v>
      </c>
      <c r="N4504" s="54"/>
    </row>
    <row r="4505" spans="2:14" x14ac:dyDescent="0.2">
      <c r="B4505">
        <f t="shared" si="187"/>
        <v>4496</v>
      </c>
      <c r="C4505" s="52">
        <f ca="1"/>
        <v>0.95577810234171034</v>
      </c>
      <c r="D4505" s="52">
        <f ca="1">S0*EXP((μ-0.5*σ*σ)*T+σ*SQRT(T)*$C4505)</f>
        <v>0.83853246897378386</v>
      </c>
      <c r="E4505" s="52">
        <f t="shared" ca="1" si="188"/>
        <v>0</v>
      </c>
      <c r="F4505" s="17">
        <f t="shared" ca="1" si="189"/>
        <v>0</v>
      </c>
      <c r="H4505" s="17">
        <v>4496</v>
      </c>
      <c r="I4505" s="45">
        <v>0.67034665369635904</v>
      </c>
      <c r="J4505" s="45">
        <v>1.8161129643806298E-2</v>
      </c>
      <c r="K4505" s="45">
        <v>0.2404</v>
      </c>
      <c r="N4505" s="54"/>
    </row>
    <row r="4506" spans="2:14" x14ac:dyDescent="0.2">
      <c r="B4506">
        <f t="shared" si="187"/>
        <v>4497</v>
      </c>
      <c r="C4506" s="52">
        <f ca="1"/>
        <v>0.36401296715157999</v>
      </c>
      <c r="D4506" s="52">
        <f ca="1">S0*EXP((μ-0.5*σ*σ)*T+σ*SQRT(T)*$C4506)</f>
        <v>0.71199449509464197</v>
      </c>
      <c r="E4506" s="52">
        <f t="shared" ca="1" si="188"/>
        <v>0</v>
      </c>
      <c r="F4506" s="17">
        <f t="shared" ca="1" si="189"/>
        <v>0</v>
      </c>
      <c r="H4506" s="17">
        <v>4497</v>
      </c>
      <c r="I4506" s="45">
        <v>0.67188411897665823</v>
      </c>
      <c r="J4506" s="45">
        <v>1.9781616437183454E-2</v>
      </c>
      <c r="K4506" s="45">
        <v>0.25559999999999999</v>
      </c>
      <c r="N4506" s="54"/>
    </row>
    <row r="4507" spans="2:14" x14ac:dyDescent="0.2">
      <c r="B4507">
        <f t="shared" si="187"/>
        <v>4498</v>
      </c>
      <c r="C4507" s="52">
        <f ca="1"/>
        <v>0.72765036403199834</v>
      </c>
      <c r="D4507" s="52">
        <f ca="1">S0*EXP((μ-0.5*σ*σ)*T+σ*SQRT(T)*$C4507)</f>
        <v>0.78728583583235168</v>
      </c>
      <c r="E4507" s="52">
        <f t="shared" ca="1" si="188"/>
        <v>0</v>
      </c>
      <c r="F4507" s="17">
        <f t="shared" ca="1" si="189"/>
        <v>0</v>
      </c>
      <c r="H4507" s="17">
        <v>4498</v>
      </c>
      <c r="I4507" s="45">
        <v>0.66992842984265943</v>
      </c>
      <c r="J4507" s="45">
        <v>1.8255365058061458E-2</v>
      </c>
      <c r="K4507" s="45">
        <v>0.24379999999999999</v>
      </c>
      <c r="N4507" s="54"/>
    </row>
    <row r="4508" spans="2:14" x14ac:dyDescent="0.2">
      <c r="B4508">
        <f t="shared" si="187"/>
        <v>4499</v>
      </c>
      <c r="C4508" s="52">
        <f ca="1"/>
        <v>-2.1872153953316316</v>
      </c>
      <c r="D4508" s="52">
        <f ca="1">S0*EXP((μ-0.5*σ*σ)*T+σ*SQRT(T)*$C4508)</f>
        <v>0.35171729450194555</v>
      </c>
      <c r="E4508" s="52">
        <f t="shared" ca="1" si="188"/>
        <v>0.18268270549805443</v>
      </c>
      <c r="F4508" s="17">
        <f t="shared" ca="1" si="189"/>
        <v>1</v>
      </c>
      <c r="H4508" s="17">
        <v>4499</v>
      </c>
      <c r="I4508" s="45">
        <v>0.67109834157698212</v>
      </c>
      <c r="J4508" s="45">
        <v>1.9189279798773187E-2</v>
      </c>
      <c r="K4508" s="45">
        <v>0.25140000000000001</v>
      </c>
      <c r="N4508" s="54"/>
    </row>
    <row r="4509" spans="2:14" x14ac:dyDescent="0.2">
      <c r="B4509">
        <f t="shared" si="187"/>
        <v>4500</v>
      </c>
      <c r="C4509" s="52">
        <f ca="1"/>
        <v>-0.66143404944988893</v>
      </c>
      <c r="D4509" s="52">
        <f ca="1">S0*EXP((μ-0.5*σ*σ)*T+σ*SQRT(T)*$C4509)</f>
        <v>0.5362515088921479</v>
      </c>
      <c r="E4509" s="52">
        <f t="shared" ca="1" si="188"/>
        <v>0</v>
      </c>
      <c r="F4509" s="17">
        <f t="shared" ca="1" si="189"/>
        <v>0</v>
      </c>
      <c r="H4509" s="17">
        <v>4500</v>
      </c>
      <c r="I4509" s="45">
        <v>0.67161058478268765</v>
      </c>
      <c r="J4509" s="45">
        <v>1.9373976973633345E-2</v>
      </c>
      <c r="K4509" s="45">
        <v>0.24779999999999999</v>
      </c>
      <c r="N4509" s="54"/>
    </row>
    <row r="4510" spans="2:14" x14ac:dyDescent="0.2">
      <c r="B4510">
        <f t="shared" si="187"/>
        <v>4501</v>
      </c>
      <c r="C4510" s="52">
        <f ca="1"/>
        <v>-2.2966868127372231</v>
      </c>
      <c r="D4510" s="52">
        <f ca="1">S0*EXP((μ-0.5*σ*σ)*T+σ*SQRT(T)*$C4510)</f>
        <v>0.34123324734779781</v>
      </c>
      <c r="E4510" s="52">
        <f t="shared" ca="1" si="188"/>
        <v>0.19316675265220218</v>
      </c>
      <c r="F4510" s="17">
        <f t="shared" ca="1" si="189"/>
        <v>1</v>
      </c>
      <c r="H4510" s="17">
        <v>4501</v>
      </c>
      <c r="I4510" s="45">
        <v>0.67140025578899742</v>
      </c>
      <c r="J4510" s="45">
        <v>1.92195206590773E-2</v>
      </c>
      <c r="K4510" s="45">
        <v>0.24099999999999999</v>
      </c>
      <c r="N4510" s="54"/>
    </row>
    <row r="4511" spans="2:14" x14ac:dyDescent="0.2">
      <c r="B4511">
        <f t="shared" si="187"/>
        <v>4502</v>
      </c>
      <c r="C4511" s="52">
        <f ca="1"/>
        <v>-0.74759291509533143</v>
      </c>
      <c r="D4511" s="52">
        <f ca="1">S0*EXP((μ-0.5*σ*σ)*T+σ*SQRT(T)*$C4511)</f>
        <v>0.52363044206716047</v>
      </c>
      <c r="E4511" s="52">
        <f t="shared" ca="1" si="188"/>
        <v>1.0769557932839513E-2</v>
      </c>
      <c r="F4511" s="17">
        <f t="shared" ca="1" si="189"/>
        <v>1</v>
      </c>
      <c r="H4511" s="17">
        <v>4502</v>
      </c>
      <c r="I4511" s="45">
        <v>0.66976639887520373</v>
      </c>
      <c r="J4511" s="45">
        <v>1.8072220399034465E-2</v>
      </c>
      <c r="K4511" s="45">
        <v>0.2402</v>
      </c>
      <c r="N4511" s="54"/>
    </row>
    <row r="4512" spans="2:14" x14ac:dyDescent="0.2">
      <c r="B4512">
        <f t="shared" si="187"/>
        <v>4503</v>
      </c>
      <c r="C4512" s="52">
        <f ca="1"/>
        <v>0.8587463270273723</v>
      </c>
      <c r="D4512" s="52">
        <f ca="1">S0*EXP((μ-0.5*σ*σ)*T+σ*SQRT(T)*$C4512)</f>
        <v>0.81633969865700606</v>
      </c>
      <c r="E4512" s="52">
        <f t="shared" ca="1" si="188"/>
        <v>0</v>
      </c>
      <c r="F4512" s="17">
        <f t="shared" ca="1" si="189"/>
        <v>0</v>
      </c>
      <c r="H4512" s="17">
        <v>4503</v>
      </c>
      <c r="I4512" s="45">
        <v>0.67167770960496676</v>
      </c>
      <c r="J4512" s="45">
        <v>1.94599053006978E-2</v>
      </c>
      <c r="K4512" s="45">
        <v>0.25</v>
      </c>
      <c r="N4512" s="54"/>
    </row>
    <row r="4513" spans="2:14" x14ac:dyDescent="0.2">
      <c r="B4513">
        <f t="shared" si="187"/>
        <v>4504</v>
      </c>
      <c r="C4513" s="52">
        <f ca="1"/>
        <v>-0.2649148685510076</v>
      </c>
      <c r="D4513" s="52">
        <f ca="1">S0*EXP((μ-0.5*σ*σ)*T+σ*SQRT(T)*$C4513)</f>
        <v>0.59837286376924526</v>
      </c>
      <c r="E4513" s="52">
        <f t="shared" ca="1" si="188"/>
        <v>0</v>
      </c>
      <c r="F4513" s="17">
        <f t="shared" ca="1" si="189"/>
        <v>0</v>
      </c>
      <c r="H4513" s="17">
        <v>4504</v>
      </c>
      <c r="I4513" s="45">
        <v>0.67132397215797734</v>
      </c>
      <c r="J4513" s="45">
        <v>1.9154632044728372E-2</v>
      </c>
      <c r="K4513" s="45">
        <v>0.25340000000000001</v>
      </c>
      <c r="N4513" s="54"/>
    </row>
    <row r="4514" spans="2:14" x14ac:dyDescent="0.2">
      <c r="B4514">
        <f t="shared" si="187"/>
        <v>4505</v>
      </c>
      <c r="C4514" s="52">
        <f ca="1"/>
        <v>-1.9880530419673166</v>
      </c>
      <c r="D4514" s="52">
        <f ca="1">S0*EXP((μ-0.5*σ*σ)*T+σ*SQRT(T)*$C4514)</f>
        <v>0.37162402664337069</v>
      </c>
      <c r="E4514" s="52">
        <f t="shared" ca="1" si="188"/>
        <v>0.1627759733566293</v>
      </c>
      <c r="F4514" s="17">
        <f t="shared" ca="1" si="189"/>
        <v>1</v>
      </c>
      <c r="H4514" s="17">
        <v>4505</v>
      </c>
      <c r="I4514" s="45">
        <v>0.67194390863385456</v>
      </c>
      <c r="J4514" s="45">
        <v>1.9804767905603326E-2</v>
      </c>
      <c r="K4514" s="45">
        <v>0.24940000000000001</v>
      </c>
      <c r="N4514" s="54"/>
    </row>
    <row r="4515" spans="2:14" x14ac:dyDescent="0.2">
      <c r="B4515">
        <f t="shared" si="187"/>
        <v>4506</v>
      </c>
      <c r="C4515" s="52">
        <f ca="1"/>
        <v>1.0647902467060544</v>
      </c>
      <c r="D4515" s="52">
        <f ca="1">S0*EXP((μ-0.5*σ*σ)*T+σ*SQRT(T)*$C4515)</f>
        <v>0.86418581057303168</v>
      </c>
      <c r="E4515" s="52">
        <f t="shared" ca="1" si="188"/>
        <v>0</v>
      </c>
      <c r="F4515" s="17">
        <f t="shared" ca="1" si="189"/>
        <v>0</v>
      </c>
      <c r="H4515" s="17">
        <v>4506</v>
      </c>
      <c r="I4515" s="45">
        <v>0.67077522359213804</v>
      </c>
      <c r="J4515" s="45">
        <v>1.8586858954749947E-2</v>
      </c>
      <c r="K4515" s="45">
        <v>0.2394</v>
      </c>
      <c r="N4515" s="54"/>
    </row>
    <row r="4516" spans="2:14" x14ac:dyDescent="0.2">
      <c r="B4516">
        <f t="shared" si="187"/>
        <v>4507</v>
      </c>
      <c r="C4516" s="52">
        <f ca="1"/>
        <v>-1.6659909164630962</v>
      </c>
      <c r="D4516" s="52">
        <f ca="1">S0*EXP((μ-0.5*σ*σ)*T+σ*SQRT(T)*$C4516)</f>
        <v>0.40622658896508335</v>
      </c>
      <c r="E4516" s="52">
        <f t="shared" ca="1" si="188"/>
        <v>0.12817341103491664</v>
      </c>
      <c r="F4516" s="17">
        <f t="shared" ca="1" si="189"/>
        <v>1</v>
      </c>
      <c r="H4516" s="17">
        <v>4507</v>
      </c>
      <c r="I4516" s="45">
        <v>0.67176504171266771</v>
      </c>
      <c r="J4516" s="45">
        <v>1.9712228933720367E-2</v>
      </c>
      <c r="K4516" s="45">
        <v>0.25600000000000001</v>
      </c>
      <c r="N4516" s="54"/>
    </row>
    <row r="4517" spans="2:14" x14ac:dyDescent="0.2">
      <c r="B4517">
        <f t="shared" si="187"/>
        <v>4508</v>
      </c>
      <c r="C4517" s="52">
        <f ca="1"/>
        <v>-9.1606216940870913E-2</v>
      </c>
      <c r="D4517" s="52">
        <f ca="1">S0*EXP((μ-0.5*σ*σ)*T+σ*SQRT(T)*$C4517)</f>
        <v>0.62773758680893321</v>
      </c>
      <c r="E4517" s="52">
        <f t="shared" ca="1" si="188"/>
        <v>0</v>
      </c>
      <c r="F4517" s="17">
        <f t="shared" ca="1" si="189"/>
        <v>0</v>
      </c>
      <c r="H4517" s="17">
        <v>4508</v>
      </c>
      <c r="I4517" s="45">
        <v>0.67043457716218846</v>
      </c>
      <c r="J4517" s="45">
        <v>1.871973412336848E-2</v>
      </c>
      <c r="K4517" s="45">
        <v>0.23719999999999999</v>
      </c>
      <c r="N4517" s="54"/>
    </row>
    <row r="4518" spans="2:14" x14ac:dyDescent="0.2">
      <c r="B4518">
        <f t="shared" si="187"/>
        <v>4509</v>
      </c>
      <c r="C4518" s="52">
        <f ca="1"/>
        <v>-0.99521684691118184</v>
      </c>
      <c r="D4518" s="52">
        <f ca="1">S0*EXP((μ-0.5*σ*σ)*T+σ*SQRT(T)*$C4518)</f>
        <v>0.48898649256351295</v>
      </c>
      <c r="E4518" s="52">
        <f t="shared" ca="1" si="188"/>
        <v>4.5413507436487033E-2</v>
      </c>
      <c r="F4518" s="17">
        <f t="shared" ca="1" si="189"/>
        <v>1</v>
      </c>
      <c r="H4518" s="17">
        <v>4509</v>
      </c>
      <c r="I4518" s="45">
        <v>0.67155925967359908</v>
      </c>
      <c r="J4518" s="45">
        <v>1.9396516146232876E-2</v>
      </c>
      <c r="K4518" s="45">
        <v>0.25180000000000002</v>
      </c>
      <c r="N4518" s="54"/>
    </row>
    <row r="4519" spans="2:14" x14ac:dyDescent="0.2">
      <c r="B4519">
        <f t="shared" si="187"/>
        <v>4510</v>
      </c>
      <c r="C4519" s="52">
        <f ca="1"/>
        <v>-0.18578163633769462</v>
      </c>
      <c r="D4519" s="52">
        <f ca="1">S0*EXP((μ-0.5*σ*σ)*T+σ*SQRT(T)*$C4519)</f>
        <v>0.61160648412011964</v>
      </c>
      <c r="E4519" s="52">
        <f t="shared" ca="1" si="188"/>
        <v>0</v>
      </c>
      <c r="F4519" s="17">
        <f t="shared" ca="1" si="189"/>
        <v>0</v>
      </c>
      <c r="H4519" s="17">
        <v>4510</v>
      </c>
      <c r="I4519" s="45">
        <v>0.67042033956856273</v>
      </c>
      <c r="J4519" s="45">
        <v>1.8660457035447182E-2</v>
      </c>
      <c r="K4519" s="45">
        <v>0.247</v>
      </c>
      <c r="N4519" s="54"/>
    </row>
    <row r="4520" spans="2:14" x14ac:dyDescent="0.2">
      <c r="B4520">
        <f t="shared" si="187"/>
        <v>4511</v>
      </c>
      <c r="C4520" s="52">
        <f ca="1"/>
        <v>-0.53814993149867019</v>
      </c>
      <c r="D4520" s="52">
        <f ca="1">S0*EXP((μ-0.5*σ*σ)*T+σ*SQRT(T)*$C4520)</f>
        <v>0.55484179694471292</v>
      </c>
      <c r="E4520" s="52">
        <f t="shared" ca="1" si="188"/>
        <v>0</v>
      </c>
      <c r="F4520" s="17">
        <f t="shared" ca="1" si="189"/>
        <v>0</v>
      </c>
      <c r="H4520" s="17">
        <v>4511</v>
      </c>
      <c r="I4520" s="45">
        <v>0.67236032743156093</v>
      </c>
      <c r="J4520" s="45">
        <v>2.005635096469835E-2</v>
      </c>
      <c r="K4520" s="45">
        <v>0.25</v>
      </c>
      <c r="N4520" s="54"/>
    </row>
    <row r="4521" spans="2:14" x14ac:dyDescent="0.2">
      <c r="B4521">
        <f t="shared" si="187"/>
        <v>4512</v>
      </c>
      <c r="C4521" s="52">
        <f ca="1"/>
        <v>0.30380550009869278</v>
      </c>
      <c r="D4521" s="52">
        <f ca="1">S0*EXP((μ-0.5*σ*σ)*T+σ*SQRT(T)*$C4521)</f>
        <v>0.70024262235490176</v>
      </c>
      <c r="E4521" s="52">
        <f t="shared" ca="1" si="188"/>
        <v>0</v>
      </c>
      <c r="F4521" s="17">
        <f t="shared" ca="1" si="189"/>
        <v>0</v>
      </c>
      <c r="H4521" s="17">
        <v>4512</v>
      </c>
      <c r="I4521" s="45">
        <v>0.67054637032706721</v>
      </c>
      <c r="J4521" s="45">
        <v>1.8705080111235419E-2</v>
      </c>
      <c r="K4521" s="45">
        <v>0.2414</v>
      </c>
      <c r="N4521" s="54"/>
    </row>
    <row r="4522" spans="2:14" x14ac:dyDescent="0.2">
      <c r="B4522">
        <f t="shared" si="187"/>
        <v>4513</v>
      </c>
      <c r="C4522" s="52">
        <f ca="1"/>
        <v>-0.28196232082197553</v>
      </c>
      <c r="D4522" s="52">
        <f ca="1">S0*EXP((μ-0.5*σ*σ)*T+σ*SQRT(T)*$C4522)</f>
        <v>0.59555968327764752</v>
      </c>
      <c r="E4522" s="52">
        <f t="shared" ca="1" si="188"/>
        <v>0</v>
      </c>
      <c r="F4522" s="17">
        <f t="shared" ca="1" si="189"/>
        <v>0</v>
      </c>
      <c r="H4522" s="17">
        <v>4513</v>
      </c>
      <c r="I4522" s="45">
        <v>0.67045979423730673</v>
      </c>
      <c r="J4522" s="45">
        <v>1.859982486973168E-2</v>
      </c>
      <c r="K4522" s="45">
        <v>0.24660000000000001</v>
      </c>
      <c r="N4522" s="54"/>
    </row>
    <row r="4523" spans="2:14" x14ac:dyDescent="0.2">
      <c r="B4523">
        <f t="shared" ref="B4523:B4586" si="190">B4522+1</f>
        <v>4514</v>
      </c>
      <c r="C4523" s="52">
        <f ca="1"/>
        <v>2.8189185803444886E-2</v>
      </c>
      <c r="D4523" s="52">
        <f ca="1">S0*EXP((μ-0.5*σ*σ)*T+σ*SQRT(T)*$C4523)</f>
        <v>0.64887336082825975</v>
      </c>
      <c r="E4523" s="52">
        <f t="shared" ca="1" si="188"/>
        <v>0</v>
      </c>
      <c r="F4523" s="17">
        <f t="shared" ca="1" si="189"/>
        <v>0</v>
      </c>
      <c r="H4523" s="17">
        <v>4514</v>
      </c>
      <c r="I4523" s="45">
        <v>0.67154433978044792</v>
      </c>
      <c r="J4523" s="45">
        <v>1.9765152366666736E-2</v>
      </c>
      <c r="K4523" s="45">
        <v>0.25519999999999998</v>
      </c>
      <c r="N4523" s="54"/>
    </row>
    <row r="4524" spans="2:14" x14ac:dyDescent="0.2">
      <c r="B4524">
        <f t="shared" si="190"/>
        <v>4515</v>
      </c>
      <c r="C4524" s="52">
        <f ca="1"/>
        <v>-0.93747162222169678</v>
      </c>
      <c r="D4524" s="52">
        <f ca="1">S0*EXP((μ-0.5*σ*σ)*T+σ*SQRT(T)*$C4524)</f>
        <v>0.49685464776596489</v>
      </c>
      <c r="E4524" s="52">
        <f t="shared" ca="1" si="188"/>
        <v>3.7545352234035101E-2</v>
      </c>
      <c r="F4524" s="17">
        <f t="shared" ca="1" si="189"/>
        <v>1</v>
      </c>
      <c r="H4524" s="17">
        <v>4515</v>
      </c>
      <c r="I4524" s="45">
        <v>0.67110517276176185</v>
      </c>
      <c r="J4524" s="45">
        <v>1.9228373447576816E-2</v>
      </c>
      <c r="K4524" s="45">
        <v>0.25119999999999998</v>
      </c>
      <c r="N4524" s="54"/>
    </row>
    <row r="4525" spans="2:14" x14ac:dyDescent="0.2">
      <c r="B4525">
        <f t="shared" si="190"/>
        <v>4516</v>
      </c>
      <c r="C4525" s="52">
        <f ca="1"/>
        <v>-0.18207033237553943</v>
      </c>
      <c r="D4525" s="52">
        <f ca="1">S0*EXP((μ-0.5*σ*σ)*T+σ*SQRT(T)*$C4525)</f>
        <v>0.61223426852656426</v>
      </c>
      <c r="E4525" s="52">
        <f t="shared" ca="1" si="188"/>
        <v>0</v>
      </c>
      <c r="F4525" s="17">
        <f t="shared" ca="1" si="189"/>
        <v>0</v>
      </c>
      <c r="H4525" s="17">
        <v>4516</v>
      </c>
      <c r="I4525" s="45">
        <v>0.67148650981725555</v>
      </c>
      <c r="J4525" s="45">
        <v>1.9495709527847776E-2</v>
      </c>
      <c r="K4525" s="45">
        <v>0.24360000000000001</v>
      </c>
      <c r="N4525" s="54"/>
    </row>
    <row r="4526" spans="2:14" x14ac:dyDescent="0.2">
      <c r="B4526">
        <f t="shared" si="190"/>
        <v>4517</v>
      </c>
      <c r="C4526" s="52">
        <f ca="1"/>
        <v>-0.5118738944303779</v>
      </c>
      <c r="D4526" s="52">
        <f ca="1">S0*EXP((μ-0.5*σ*σ)*T+σ*SQRT(T)*$C4526)</f>
        <v>0.55888659060988599</v>
      </c>
      <c r="E4526" s="52">
        <f t="shared" ca="1" si="188"/>
        <v>0</v>
      </c>
      <c r="F4526" s="17">
        <f t="shared" ca="1" si="189"/>
        <v>0</v>
      </c>
      <c r="H4526" s="17">
        <v>4517</v>
      </c>
      <c r="I4526" s="45">
        <v>0.67015916950580157</v>
      </c>
      <c r="J4526" s="45">
        <v>1.8375512570355829E-2</v>
      </c>
      <c r="K4526" s="45">
        <v>0.24260000000000001</v>
      </c>
      <c r="N4526" s="54"/>
    </row>
    <row r="4527" spans="2:14" x14ac:dyDescent="0.2">
      <c r="B4527">
        <f t="shared" si="190"/>
        <v>4518</v>
      </c>
      <c r="C4527" s="52">
        <f ca="1"/>
        <v>1.5360316083359822</v>
      </c>
      <c r="D4527" s="52">
        <f ca="1">S0*EXP((μ-0.5*σ*σ)*T+σ*SQRT(T)*$C4527)</f>
        <v>0.98442157781706008</v>
      </c>
      <c r="E4527" s="52">
        <f t="shared" ca="1" si="188"/>
        <v>0</v>
      </c>
      <c r="F4527" s="17">
        <f t="shared" ca="1" si="189"/>
        <v>0</v>
      </c>
      <c r="H4527" s="17">
        <v>4518</v>
      </c>
      <c r="I4527" s="45">
        <v>0.67176960446634071</v>
      </c>
      <c r="J4527" s="45">
        <v>1.9534813581038278E-2</v>
      </c>
      <c r="K4527" s="45">
        <v>0.24859999999999999</v>
      </c>
      <c r="N4527" s="54"/>
    </row>
    <row r="4528" spans="2:14" x14ac:dyDescent="0.2">
      <c r="B4528">
        <f t="shared" si="190"/>
        <v>4519</v>
      </c>
      <c r="C4528" s="52">
        <f ca="1"/>
        <v>-0.93156994503323864</v>
      </c>
      <c r="D4528" s="52">
        <f ca="1">S0*EXP((μ-0.5*σ*σ)*T+σ*SQRT(T)*$C4528)</f>
        <v>0.49766588567088482</v>
      </c>
      <c r="E4528" s="52">
        <f t="shared" ca="1" si="188"/>
        <v>3.6734114329115164E-2</v>
      </c>
      <c r="F4528" s="17">
        <f t="shared" ca="1" si="189"/>
        <v>1</v>
      </c>
      <c r="H4528" s="17">
        <v>4519</v>
      </c>
      <c r="I4528" s="45">
        <v>0.67175865331637719</v>
      </c>
      <c r="J4528" s="45">
        <v>1.916911960915435E-2</v>
      </c>
      <c r="K4528" s="45">
        <v>0.24759999999999999</v>
      </c>
      <c r="N4528" s="54"/>
    </row>
    <row r="4529" spans="2:14" x14ac:dyDescent="0.2">
      <c r="B4529">
        <f t="shared" si="190"/>
        <v>4520</v>
      </c>
      <c r="C4529" s="52">
        <f ca="1"/>
        <v>0.19719227051561206</v>
      </c>
      <c r="D4529" s="52">
        <f ca="1">S0*EXP((μ-0.5*σ*σ)*T+σ*SQRT(T)*$C4529)</f>
        <v>0.67990665411125084</v>
      </c>
      <c r="E4529" s="52">
        <f t="shared" ca="1" si="188"/>
        <v>0</v>
      </c>
      <c r="F4529" s="17">
        <f t="shared" ca="1" si="189"/>
        <v>0</v>
      </c>
      <c r="H4529" s="17">
        <v>4520</v>
      </c>
      <c r="I4529" s="45">
        <v>0.67059350178050847</v>
      </c>
      <c r="J4529" s="45">
        <v>1.9300625591654057E-2</v>
      </c>
      <c r="K4529" s="45">
        <v>0.25259999999999999</v>
      </c>
      <c r="N4529" s="54"/>
    </row>
    <row r="4530" spans="2:14" x14ac:dyDescent="0.2">
      <c r="B4530">
        <f t="shared" si="190"/>
        <v>4521</v>
      </c>
      <c r="C4530" s="52">
        <f ca="1"/>
        <v>-6.3624607540791606E-2</v>
      </c>
      <c r="D4530" s="52">
        <f ca="1">S0*EXP((μ-0.5*σ*σ)*T+σ*SQRT(T)*$C4530)</f>
        <v>0.63261198122552831</v>
      </c>
      <c r="E4530" s="52">
        <f t="shared" ca="1" si="188"/>
        <v>0</v>
      </c>
      <c r="F4530" s="17">
        <f t="shared" ca="1" si="189"/>
        <v>0</v>
      </c>
      <c r="H4530" s="17">
        <v>4521</v>
      </c>
      <c r="I4530" s="45">
        <v>0.6711881611999706</v>
      </c>
      <c r="J4530" s="45">
        <v>1.9030428830376471E-2</v>
      </c>
      <c r="K4530" s="45">
        <v>0.245</v>
      </c>
      <c r="N4530" s="54"/>
    </row>
    <row r="4531" spans="2:14" x14ac:dyDescent="0.2">
      <c r="B4531">
        <f t="shared" si="190"/>
        <v>4522</v>
      </c>
      <c r="C4531" s="52">
        <f ca="1"/>
        <v>-1.5257919151530193</v>
      </c>
      <c r="D4531" s="52">
        <f ca="1">S0*EXP((μ-0.5*σ*σ)*T+σ*SQRT(T)*$C4531)</f>
        <v>0.42227918329086844</v>
      </c>
      <c r="E4531" s="52">
        <f t="shared" ca="1" si="188"/>
        <v>0.11212081670913154</v>
      </c>
      <c r="F4531" s="17">
        <f t="shared" ca="1" si="189"/>
        <v>1</v>
      </c>
      <c r="H4531" s="17">
        <v>4522</v>
      </c>
      <c r="I4531" s="45">
        <v>0.6708474179894699</v>
      </c>
      <c r="J4531" s="45">
        <v>1.9006162583710445E-2</v>
      </c>
      <c r="K4531" s="45">
        <v>0.2462</v>
      </c>
      <c r="N4531" s="54"/>
    </row>
    <row r="4532" spans="2:14" x14ac:dyDescent="0.2">
      <c r="B4532">
        <f t="shared" si="190"/>
        <v>4523</v>
      </c>
      <c r="C4532" s="52">
        <f ca="1"/>
        <v>-0.2254447954375503</v>
      </c>
      <c r="D4532" s="52">
        <f ca="1">S0*EXP((μ-0.5*σ*σ)*T+σ*SQRT(T)*$C4532)</f>
        <v>0.60493734407293975</v>
      </c>
      <c r="E4532" s="52">
        <f t="shared" ca="1" si="188"/>
        <v>0</v>
      </c>
      <c r="F4532" s="17">
        <f t="shared" ca="1" si="189"/>
        <v>0</v>
      </c>
      <c r="H4532" s="17">
        <v>4523</v>
      </c>
      <c r="I4532" s="45">
        <v>0.67031098318234639</v>
      </c>
      <c r="J4532" s="45">
        <v>1.8598008323794643E-2</v>
      </c>
      <c r="K4532" s="45">
        <v>0.24160000000000001</v>
      </c>
      <c r="N4532" s="54"/>
    </row>
    <row r="4533" spans="2:14" x14ac:dyDescent="0.2">
      <c r="B4533">
        <f t="shared" si="190"/>
        <v>4524</v>
      </c>
      <c r="C4533" s="52">
        <f ca="1"/>
        <v>-1.7457309810675696</v>
      </c>
      <c r="D4533" s="52">
        <f ca="1">S0*EXP((μ-0.5*σ*σ)*T+σ*SQRT(T)*$C4533)</f>
        <v>0.39737020734624351</v>
      </c>
      <c r="E4533" s="52">
        <f t="shared" ca="1" si="188"/>
        <v>0.13702979265375648</v>
      </c>
      <c r="F4533" s="17">
        <f t="shared" ca="1" si="189"/>
        <v>1</v>
      </c>
      <c r="H4533" s="17">
        <v>4524</v>
      </c>
      <c r="I4533" s="45">
        <v>0.67068471239213345</v>
      </c>
      <c r="J4533" s="45">
        <v>1.8486449262308066E-2</v>
      </c>
      <c r="K4533" s="45">
        <v>0.23599999999999999</v>
      </c>
      <c r="N4533" s="54"/>
    </row>
    <row r="4534" spans="2:14" x14ac:dyDescent="0.2">
      <c r="B4534">
        <f t="shared" si="190"/>
        <v>4525</v>
      </c>
      <c r="C4534" s="52">
        <f ca="1"/>
        <v>-1.9066809237760411</v>
      </c>
      <c r="D4534" s="52">
        <f ca="1">S0*EXP((μ-0.5*σ*σ)*T+σ*SQRT(T)*$C4534)</f>
        <v>0.38007802524846129</v>
      </c>
      <c r="E4534" s="52">
        <f t="shared" ca="1" si="188"/>
        <v>0.15432197475153869</v>
      </c>
      <c r="F4534" s="17">
        <f t="shared" ca="1" si="189"/>
        <v>1</v>
      </c>
      <c r="H4534" s="17">
        <v>4525</v>
      </c>
      <c r="I4534" s="45">
        <v>0.67068778878374291</v>
      </c>
      <c r="J4534" s="45">
        <v>1.8941314762414601E-2</v>
      </c>
      <c r="K4534" s="45">
        <v>0.24379999999999999</v>
      </c>
      <c r="N4534" s="54"/>
    </row>
    <row r="4535" spans="2:14" x14ac:dyDescent="0.2">
      <c r="B4535">
        <f t="shared" si="190"/>
        <v>4526</v>
      </c>
      <c r="C4535" s="52">
        <f ca="1"/>
        <v>1.2012166081814375</v>
      </c>
      <c r="D4535" s="52">
        <f ca="1">S0*EXP((μ-0.5*σ*σ)*T+σ*SQRT(T)*$C4535)</f>
        <v>0.89739891649466474</v>
      </c>
      <c r="E4535" s="52">
        <f t="shared" ca="1" si="188"/>
        <v>0</v>
      </c>
      <c r="F4535" s="17">
        <f t="shared" ca="1" si="189"/>
        <v>0</v>
      </c>
      <c r="H4535" s="17">
        <v>4526</v>
      </c>
      <c r="I4535" s="45">
        <v>0.67077708259831847</v>
      </c>
      <c r="J4535" s="45">
        <v>1.8421348492497859E-2</v>
      </c>
      <c r="K4535" s="45">
        <v>0.23480000000000001</v>
      </c>
      <c r="N4535" s="54"/>
    </row>
    <row r="4536" spans="2:14" x14ac:dyDescent="0.2">
      <c r="B4536">
        <f t="shared" si="190"/>
        <v>4527</v>
      </c>
      <c r="C4536" s="52">
        <f ca="1"/>
        <v>-0.13696317187929594</v>
      </c>
      <c r="D4536" s="52">
        <f ca="1">S0*EXP((μ-0.5*σ*σ)*T+σ*SQRT(T)*$C4536)</f>
        <v>0.61991606305620695</v>
      </c>
      <c r="E4536" s="52">
        <f t="shared" ca="1" si="188"/>
        <v>0</v>
      </c>
      <c r="F4536" s="17">
        <f t="shared" ca="1" si="189"/>
        <v>0</v>
      </c>
      <c r="H4536" s="17">
        <v>4527</v>
      </c>
      <c r="I4536" s="45">
        <v>0.67183410335143934</v>
      </c>
      <c r="J4536" s="45">
        <v>1.951376018399667E-2</v>
      </c>
      <c r="K4536" s="45">
        <v>0.25280000000000002</v>
      </c>
      <c r="N4536" s="54"/>
    </row>
    <row r="4537" spans="2:14" x14ac:dyDescent="0.2">
      <c r="B4537">
        <f t="shared" si="190"/>
        <v>4528</v>
      </c>
      <c r="C4537" s="52">
        <f ca="1"/>
        <v>0.96572290622714008</v>
      </c>
      <c r="D4537" s="52">
        <f ca="1">S0*EXP((μ-0.5*σ*σ)*T+σ*SQRT(T)*$C4537)</f>
        <v>0.8408408224767604</v>
      </c>
      <c r="E4537" s="52">
        <f t="shared" ca="1" si="188"/>
        <v>0</v>
      </c>
      <c r="F4537" s="17">
        <f t="shared" ca="1" si="189"/>
        <v>0</v>
      </c>
      <c r="H4537" s="17">
        <v>4528</v>
      </c>
      <c r="I4537" s="45">
        <v>0.67103859302082713</v>
      </c>
      <c r="J4537" s="45">
        <v>1.8992023591105248E-2</v>
      </c>
      <c r="K4537" s="45">
        <v>0.25059999999999999</v>
      </c>
      <c r="N4537" s="54"/>
    </row>
    <row r="4538" spans="2:14" x14ac:dyDescent="0.2">
      <c r="B4538">
        <f t="shared" si="190"/>
        <v>4529</v>
      </c>
      <c r="C4538" s="52">
        <f ca="1"/>
        <v>0.23943171309348665</v>
      </c>
      <c r="D4538" s="52">
        <f ca="1">S0*EXP((μ-0.5*σ*σ)*T+σ*SQRT(T)*$C4538)</f>
        <v>0.68789201497823671</v>
      </c>
      <c r="E4538" s="52">
        <f t="shared" ca="1" si="188"/>
        <v>0</v>
      </c>
      <c r="F4538" s="17">
        <f t="shared" ca="1" si="189"/>
        <v>0</v>
      </c>
      <c r="H4538" s="17">
        <v>4529</v>
      </c>
      <c r="I4538" s="45">
        <v>0.6715438516133293</v>
      </c>
      <c r="J4538" s="45">
        <v>1.9597209846502137E-2</v>
      </c>
      <c r="K4538" s="45">
        <v>0.246</v>
      </c>
      <c r="N4538" s="54"/>
    </row>
    <row r="4539" spans="2:14" x14ac:dyDescent="0.2">
      <c r="B4539">
        <f t="shared" si="190"/>
        <v>4530</v>
      </c>
      <c r="C4539" s="52">
        <f ca="1"/>
        <v>0.31380030251267743</v>
      </c>
      <c r="D4539" s="52">
        <f ca="1">S0*EXP((μ-0.5*σ*σ)*T+σ*SQRT(T)*$C4539)</f>
        <v>0.70217998966953743</v>
      </c>
      <c r="E4539" s="52">
        <f t="shared" ca="1" si="188"/>
        <v>0</v>
      </c>
      <c r="F4539" s="17">
        <f t="shared" ca="1" si="189"/>
        <v>0</v>
      </c>
      <c r="H4539" s="17">
        <v>4530</v>
      </c>
      <c r="I4539" s="45">
        <v>0.67008316789230393</v>
      </c>
      <c r="J4539" s="45">
        <v>1.8518644368196981E-2</v>
      </c>
      <c r="K4539" s="45">
        <v>0.24279999999999999</v>
      </c>
      <c r="N4539" s="54"/>
    </row>
    <row r="4540" spans="2:14" x14ac:dyDescent="0.2">
      <c r="B4540">
        <f t="shared" si="190"/>
        <v>4531</v>
      </c>
      <c r="C4540" s="52">
        <f ca="1"/>
        <v>-0.70481142254685425</v>
      </c>
      <c r="D4540" s="52">
        <f ca="1">S0*EXP((μ-0.5*σ*σ)*T+σ*SQRT(T)*$C4540)</f>
        <v>0.52985976000618951</v>
      </c>
      <c r="E4540" s="52">
        <f t="shared" ca="1" si="188"/>
        <v>4.5402399938104798E-3</v>
      </c>
      <c r="F4540" s="17">
        <f t="shared" ca="1" si="189"/>
        <v>1</v>
      </c>
      <c r="H4540" s="17">
        <v>4531</v>
      </c>
      <c r="I4540" s="45">
        <v>0.67018638995556623</v>
      </c>
      <c r="J4540" s="45">
        <v>1.8460167770652375E-2</v>
      </c>
      <c r="K4540" s="45">
        <v>0.24660000000000001</v>
      </c>
      <c r="N4540" s="54"/>
    </row>
    <row r="4541" spans="2:14" x14ac:dyDescent="0.2">
      <c r="B4541">
        <f t="shared" si="190"/>
        <v>4532</v>
      </c>
      <c r="C4541" s="52">
        <f ca="1"/>
        <v>0.99537093436343793</v>
      </c>
      <c r="D4541" s="52">
        <f ca="1">S0*EXP((μ-0.5*σ*σ)*T+σ*SQRT(T)*$C4541)</f>
        <v>0.84776040047133461</v>
      </c>
      <c r="E4541" s="52">
        <f t="shared" ca="1" si="188"/>
        <v>0</v>
      </c>
      <c r="F4541" s="17">
        <f t="shared" ca="1" si="189"/>
        <v>0</v>
      </c>
      <c r="H4541" s="17">
        <v>4532</v>
      </c>
      <c r="I4541" s="45">
        <v>0.67124266231018537</v>
      </c>
      <c r="J4541" s="45">
        <v>1.9172633573099028E-2</v>
      </c>
      <c r="K4541" s="45">
        <v>0.24579999999999999</v>
      </c>
      <c r="N4541" s="54"/>
    </row>
    <row r="4542" spans="2:14" x14ac:dyDescent="0.2">
      <c r="B4542">
        <f t="shared" si="190"/>
        <v>4533</v>
      </c>
      <c r="C4542" s="52">
        <f ca="1"/>
        <v>-3.6822524719323131E-2</v>
      </c>
      <c r="D4542" s="52">
        <f ca="1">S0*EXP((μ-0.5*σ*σ)*T+σ*SQRT(T)*$C4542)</f>
        <v>0.63731638846601923</v>
      </c>
      <c r="E4542" s="52">
        <f t="shared" ca="1" si="188"/>
        <v>0</v>
      </c>
      <c r="F4542" s="17">
        <f t="shared" ca="1" si="189"/>
        <v>0</v>
      </c>
      <c r="H4542" s="17">
        <v>4533</v>
      </c>
      <c r="I4542" s="45">
        <v>0.67110712718655519</v>
      </c>
      <c r="J4542" s="45">
        <v>1.8881785330517646E-2</v>
      </c>
      <c r="K4542" s="45">
        <v>0.24740000000000001</v>
      </c>
      <c r="N4542" s="54"/>
    </row>
    <row r="4543" spans="2:14" x14ac:dyDescent="0.2">
      <c r="B4543">
        <f t="shared" si="190"/>
        <v>4534</v>
      </c>
      <c r="C4543" s="52">
        <f ca="1"/>
        <v>-1.1584605243441362</v>
      </c>
      <c r="D4543" s="52">
        <f ca="1">S0*EXP((μ-0.5*σ*σ)*T+σ*SQRT(T)*$C4543)</f>
        <v>0.46741102349467872</v>
      </c>
      <c r="E4543" s="52">
        <f t="shared" ca="1" si="188"/>
        <v>6.6988976505321263E-2</v>
      </c>
      <c r="F4543" s="17">
        <f t="shared" ca="1" si="189"/>
        <v>1</v>
      </c>
      <c r="H4543" s="17">
        <v>4534</v>
      </c>
      <c r="I4543" s="45">
        <v>0.67074611428792474</v>
      </c>
      <c r="J4543" s="45">
        <v>1.8834117699817167E-2</v>
      </c>
      <c r="K4543" s="45">
        <v>0.24360000000000001</v>
      </c>
      <c r="N4543" s="54"/>
    </row>
    <row r="4544" spans="2:14" x14ac:dyDescent="0.2">
      <c r="B4544">
        <f t="shared" si="190"/>
        <v>4535</v>
      </c>
      <c r="C4544" s="52">
        <f ca="1"/>
        <v>-1.2306846673538314</v>
      </c>
      <c r="D4544" s="52">
        <f ca="1">S0*EXP((μ-0.5*σ*σ)*T+σ*SQRT(T)*$C4544)</f>
        <v>0.45817165441088969</v>
      </c>
      <c r="E4544" s="52">
        <f t="shared" ca="1" si="188"/>
        <v>7.6228345589110291E-2</v>
      </c>
      <c r="F4544" s="17">
        <f t="shared" ca="1" si="189"/>
        <v>1</v>
      </c>
      <c r="H4544" s="17">
        <v>4535</v>
      </c>
      <c r="I4544" s="45">
        <v>0.67148141356158386</v>
      </c>
      <c r="J4544" s="45">
        <v>1.9147547111199658E-2</v>
      </c>
      <c r="K4544" s="45">
        <v>0.24540000000000001</v>
      </c>
      <c r="N4544" s="54"/>
    </row>
    <row r="4545" spans="2:14" x14ac:dyDescent="0.2">
      <c r="B4545">
        <f t="shared" si="190"/>
        <v>4536</v>
      </c>
      <c r="C4545" s="52">
        <f ca="1"/>
        <v>-1.550272119785304</v>
      </c>
      <c r="D4545" s="52">
        <f ca="1">S0*EXP((μ-0.5*σ*σ)*T+σ*SQRT(T)*$C4545)</f>
        <v>0.41943121463749095</v>
      </c>
      <c r="E4545" s="52">
        <f t="shared" ca="1" si="188"/>
        <v>0.11496878536250904</v>
      </c>
      <c r="F4545" s="17">
        <f t="shared" ca="1" si="189"/>
        <v>1</v>
      </c>
      <c r="H4545" s="17">
        <v>4536</v>
      </c>
      <c r="I4545" s="45">
        <v>0.67112431873309608</v>
      </c>
      <c r="J4545" s="45">
        <v>1.9126511935702643E-2</v>
      </c>
      <c r="K4545" s="45">
        <v>0.2492</v>
      </c>
      <c r="N4545" s="54"/>
    </row>
    <row r="4546" spans="2:14" x14ac:dyDescent="0.2">
      <c r="B4546">
        <f t="shared" si="190"/>
        <v>4537</v>
      </c>
      <c r="C4546" s="52">
        <f ca="1"/>
        <v>2.1810397606036189</v>
      </c>
      <c r="D4546" s="52">
        <f ca="1">S0*EXP((μ-0.5*σ*σ)*T+σ*SQRT(T)*$C4546)</f>
        <v>1.1765661850610936</v>
      </c>
      <c r="E4546" s="52">
        <f t="shared" ca="1" si="188"/>
        <v>0</v>
      </c>
      <c r="F4546" s="17">
        <f t="shared" ca="1" si="189"/>
        <v>0</v>
      </c>
      <c r="H4546" s="17">
        <v>4537</v>
      </c>
      <c r="I4546" s="45">
        <v>0.67095916975590508</v>
      </c>
      <c r="J4546" s="45">
        <v>1.8863885281555678E-2</v>
      </c>
      <c r="K4546" s="45">
        <v>0.24440000000000001</v>
      </c>
      <c r="N4546" s="54"/>
    </row>
    <row r="4547" spans="2:14" x14ac:dyDescent="0.2">
      <c r="B4547">
        <f t="shared" si="190"/>
        <v>4538</v>
      </c>
      <c r="C4547" s="52">
        <f ca="1"/>
        <v>0.34649165281028588</v>
      </c>
      <c r="D4547" s="52">
        <f ca="1">S0*EXP((μ-0.5*σ*σ)*T+σ*SQRT(T)*$C4547)</f>
        <v>0.70855431547098668</v>
      </c>
      <c r="E4547" s="52">
        <f t="shared" ca="1" si="188"/>
        <v>0</v>
      </c>
      <c r="F4547" s="17">
        <f t="shared" ca="1" si="189"/>
        <v>0</v>
      </c>
      <c r="H4547" s="17">
        <v>4538</v>
      </c>
      <c r="I4547" s="45">
        <v>0.67083371043186035</v>
      </c>
      <c r="J4547" s="45">
        <v>1.8714266194922898E-2</v>
      </c>
      <c r="K4547" s="45">
        <v>0.2452</v>
      </c>
      <c r="N4547" s="54"/>
    </row>
    <row r="4548" spans="2:14" x14ac:dyDescent="0.2">
      <c r="B4548">
        <f t="shared" si="190"/>
        <v>4539</v>
      </c>
      <c r="C4548" s="52">
        <f ca="1"/>
        <v>-0.17121890344500584</v>
      </c>
      <c r="D4548" s="52">
        <f ca="1">S0*EXP((μ-0.5*σ*σ)*T+σ*SQRT(T)*$C4548)</f>
        <v>0.61407353741061121</v>
      </c>
      <c r="E4548" s="52">
        <f t="shared" ca="1" si="188"/>
        <v>0</v>
      </c>
      <c r="F4548" s="17">
        <f t="shared" ca="1" si="189"/>
        <v>0</v>
      </c>
      <c r="H4548" s="17">
        <v>4539</v>
      </c>
      <c r="I4548" s="45">
        <v>0.6699241866597726</v>
      </c>
      <c r="J4548" s="45">
        <v>1.8060063117347275E-2</v>
      </c>
      <c r="K4548" s="45">
        <v>0.24299999999999999</v>
      </c>
      <c r="N4548" s="54"/>
    </row>
    <row r="4549" spans="2:14" x14ac:dyDescent="0.2">
      <c r="B4549">
        <f t="shared" si="190"/>
        <v>4540</v>
      </c>
      <c r="C4549" s="52">
        <f ca="1"/>
        <v>-0.67983681584957856</v>
      </c>
      <c r="D4549" s="52">
        <f ca="1">S0*EXP((μ-0.5*σ*σ)*T+σ*SQRT(T)*$C4549)</f>
        <v>0.53353045855477355</v>
      </c>
      <c r="E4549" s="52">
        <f t="shared" ca="1" si="188"/>
        <v>8.695414452264405E-4</v>
      </c>
      <c r="F4549" s="17">
        <f t="shared" ca="1" si="189"/>
        <v>1</v>
      </c>
      <c r="H4549" s="17">
        <v>4540</v>
      </c>
      <c r="I4549" s="45">
        <v>0.6711656149742895</v>
      </c>
      <c r="J4549" s="45">
        <v>1.8896826574425159E-2</v>
      </c>
      <c r="K4549" s="45">
        <v>0.24399999999999999</v>
      </c>
      <c r="N4549" s="54"/>
    </row>
    <row r="4550" spans="2:14" x14ac:dyDescent="0.2">
      <c r="B4550">
        <f t="shared" si="190"/>
        <v>4541</v>
      </c>
      <c r="C4550" s="52">
        <f ca="1"/>
        <v>0.22101393097172442</v>
      </c>
      <c r="D4550" s="52">
        <f ca="1">S0*EXP((μ-0.5*σ*σ)*T+σ*SQRT(T)*$C4550)</f>
        <v>0.68439866872505506</v>
      </c>
      <c r="E4550" s="52">
        <f t="shared" ca="1" si="188"/>
        <v>0</v>
      </c>
      <c r="F4550" s="17">
        <f t="shared" ca="1" si="189"/>
        <v>0</v>
      </c>
      <c r="H4550" s="17">
        <v>4541</v>
      </c>
      <c r="I4550" s="45">
        <v>0.66993197696259332</v>
      </c>
      <c r="J4550" s="45">
        <v>1.8252688759755945E-2</v>
      </c>
      <c r="K4550" s="45">
        <v>0.2424</v>
      </c>
      <c r="N4550" s="54"/>
    </row>
    <row r="4551" spans="2:14" x14ac:dyDescent="0.2">
      <c r="B4551">
        <f t="shared" si="190"/>
        <v>4542</v>
      </c>
      <c r="C4551" s="52">
        <f ca="1"/>
        <v>0.37196768168557359</v>
      </c>
      <c r="D4551" s="52">
        <f ca="1">S0*EXP((μ-0.5*σ*σ)*T+σ*SQRT(T)*$C4551)</f>
        <v>0.71356185213245571</v>
      </c>
      <c r="E4551" s="52">
        <f t="shared" ca="1" si="188"/>
        <v>0</v>
      </c>
      <c r="F4551" s="17">
        <f t="shared" ca="1" si="189"/>
        <v>0</v>
      </c>
      <c r="H4551" s="17">
        <v>4542</v>
      </c>
      <c r="I4551" s="45">
        <v>0.67039609743327411</v>
      </c>
      <c r="J4551" s="45">
        <v>1.8567135564637457E-2</v>
      </c>
      <c r="K4551" s="45">
        <v>0.2462</v>
      </c>
      <c r="N4551" s="54"/>
    </row>
    <row r="4552" spans="2:14" x14ac:dyDescent="0.2">
      <c r="B4552">
        <f t="shared" si="190"/>
        <v>4543</v>
      </c>
      <c r="C4552" s="52">
        <f ca="1"/>
        <v>-0.58736736278714008</v>
      </c>
      <c r="D4552" s="52">
        <f ca="1">S0*EXP((μ-0.5*σ*σ)*T+σ*SQRT(T)*$C4552)</f>
        <v>0.54734412849669023</v>
      </c>
      <c r="E4552" s="52">
        <f t="shared" ca="1" si="188"/>
        <v>0</v>
      </c>
      <c r="F4552" s="17">
        <f t="shared" ca="1" si="189"/>
        <v>0</v>
      </c>
      <c r="H4552" s="17">
        <v>4543</v>
      </c>
      <c r="I4552" s="45">
        <v>0.67214849725435732</v>
      </c>
      <c r="J4552" s="45">
        <v>1.9981085648434826E-2</v>
      </c>
      <c r="K4552" s="45">
        <v>0.2596</v>
      </c>
      <c r="N4552" s="54"/>
    </row>
    <row r="4553" spans="2:14" x14ac:dyDescent="0.2">
      <c r="B4553">
        <f t="shared" si="190"/>
        <v>4544</v>
      </c>
      <c r="C4553" s="52">
        <f ca="1"/>
        <v>1.2319626278514015</v>
      </c>
      <c r="D4553" s="52">
        <f ca="1">S0*EXP((μ-0.5*σ*σ)*T+σ*SQRT(T)*$C4553)</f>
        <v>0.90505859335295979</v>
      </c>
      <c r="E4553" s="52">
        <f t="shared" ca="1" si="188"/>
        <v>0</v>
      </c>
      <c r="F4553" s="17">
        <f t="shared" ca="1" si="189"/>
        <v>0</v>
      </c>
      <c r="H4553" s="17">
        <v>4544</v>
      </c>
      <c r="I4553" s="45">
        <v>0.67153905354688082</v>
      </c>
      <c r="J4553" s="45">
        <v>1.9431480267393653E-2</v>
      </c>
      <c r="K4553" s="45">
        <v>0.25219999999999998</v>
      </c>
      <c r="N4553" s="54"/>
    </row>
    <row r="4554" spans="2:14" x14ac:dyDescent="0.2">
      <c r="B4554">
        <f t="shared" si="190"/>
        <v>4545</v>
      </c>
      <c r="C4554" s="52">
        <f ca="1"/>
        <v>0.2627323820168917</v>
      </c>
      <c r="D4554" s="52">
        <f ca="1">S0*EXP((μ-0.5*σ*σ)*T+σ*SQRT(T)*$C4554)</f>
        <v>0.69233707048832072</v>
      </c>
      <c r="E4554" s="52">
        <f t="shared" ref="E4554:E4617" ca="1" si="191">MAX(0,CP*(D4554-K))</f>
        <v>0</v>
      </c>
      <c r="F4554" s="17">
        <f t="shared" ref="F4554:F4617" ca="1" si="192">(CP*(D4554-K)&gt;0)*1</f>
        <v>0</v>
      </c>
      <c r="H4554" s="17">
        <v>4545</v>
      </c>
      <c r="I4554" s="45">
        <v>0.67053442187687529</v>
      </c>
      <c r="J4554" s="45">
        <v>1.8721957930370171E-2</v>
      </c>
      <c r="K4554" s="45">
        <v>0.25080000000000002</v>
      </c>
      <c r="N4554" s="54"/>
    </row>
    <row r="4555" spans="2:14" x14ac:dyDescent="0.2">
      <c r="B4555">
        <f t="shared" si="190"/>
        <v>4546</v>
      </c>
      <c r="C4555" s="52">
        <f ca="1"/>
        <v>1.09457935820396</v>
      </c>
      <c r="D4555" s="52">
        <f ca="1">S0*EXP((μ-0.5*σ*σ)*T+σ*SQRT(T)*$C4555)</f>
        <v>0.87133148406213889</v>
      </c>
      <c r="E4555" s="52">
        <f t="shared" ca="1" si="191"/>
        <v>0</v>
      </c>
      <c r="F4555" s="17">
        <f t="shared" ca="1" si="192"/>
        <v>0</v>
      </c>
      <c r="H4555" s="17">
        <v>4546</v>
      </c>
      <c r="I4555" s="45">
        <v>0.6717863731635032</v>
      </c>
      <c r="J4555" s="45">
        <v>1.9244558808510691E-2</v>
      </c>
      <c r="K4555" s="45">
        <v>0.2432</v>
      </c>
      <c r="N4555" s="54"/>
    </row>
    <row r="4556" spans="2:14" x14ac:dyDescent="0.2">
      <c r="B4556">
        <f t="shared" si="190"/>
        <v>4547</v>
      </c>
      <c r="C4556" s="52">
        <f ca="1"/>
        <v>0.83952110025235205</v>
      </c>
      <c r="D4556" s="52">
        <f ca="1">S0*EXP((μ-0.5*σ*σ)*T+σ*SQRT(T)*$C4556)</f>
        <v>0.81201278731268989</v>
      </c>
      <c r="E4556" s="52">
        <f t="shared" ca="1" si="191"/>
        <v>0</v>
      </c>
      <c r="F4556" s="17">
        <f t="shared" ca="1" si="192"/>
        <v>0</v>
      </c>
      <c r="H4556" s="17">
        <v>4547</v>
      </c>
      <c r="I4556" s="45">
        <v>0.67144052694739731</v>
      </c>
      <c r="J4556" s="45">
        <v>1.9195247298895143E-2</v>
      </c>
      <c r="K4556" s="45">
        <v>0.24199999999999999</v>
      </c>
      <c r="N4556" s="54"/>
    </row>
    <row r="4557" spans="2:14" x14ac:dyDescent="0.2">
      <c r="B4557">
        <f t="shared" si="190"/>
        <v>4548</v>
      </c>
      <c r="C4557" s="52">
        <f ca="1"/>
        <v>-0.13673996395749949</v>
      </c>
      <c r="D4557" s="52">
        <f ca="1">S0*EXP((μ-0.5*σ*σ)*T+σ*SQRT(T)*$C4557)</f>
        <v>0.61995431425179137</v>
      </c>
      <c r="E4557" s="52">
        <f t="shared" ca="1" si="191"/>
        <v>0</v>
      </c>
      <c r="F4557" s="17">
        <f t="shared" ca="1" si="192"/>
        <v>0</v>
      </c>
      <c r="H4557" s="17">
        <v>4548</v>
      </c>
      <c r="I4557" s="45">
        <v>0.67122098671087371</v>
      </c>
      <c r="J4557" s="45">
        <v>1.8903946563189594E-2</v>
      </c>
      <c r="K4557" s="45">
        <v>0.24360000000000001</v>
      </c>
      <c r="N4557" s="54"/>
    </row>
    <row r="4558" spans="2:14" x14ac:dyDescent="0.2">
      <c r="B4558">
        <f t="shared" si="190"/>
        <v>4549</v>
      </c>
      <c r="C4558" s="52">
        <f ca="1"/>
        <v>0.10211972322607578</v>
      </c>
      <c r="D4558" s="52">
        <f ca="1">S0*EXP((μ-0.5*σ*σ)*T+σ*SQRT(T)*$C4558)</f>
        <v>0.66227069170495934</v>
      </c>
      <c r="E4558" s="52">
        <f t="shared" ca="1" si="191"/>
        <v>0</v>
      </c>
      <c r="F4558" s="17">
        <f t="shared" ca="1" si="192"/>
        <v>0</v>
      </c>
      <c r="H4558" s="17">
        <v>4549</v>
      </c>
      <c r="I4558" s="45">
        <v>0.67241689777571079</v>
      </c>
      <c r="J4558" s="45">
        <v>1.9896331915588365E-2</v>
      </c>
      <c r="K4558" s="45">
        <v>0.25119999999999998</v>
      </c>
      <c r="N4558" s="54"/>
    </row>
    <row r="4559" spans="2:14" x14ac:dyDescent="0.2">
      <c r="B4559">
        <f t="shared" si="190"/>
        <v>4550</v>
      </c>
      <c r="C4559" s="52">
        <f ca="1"/>
        <v>-0.42153544666183318</v>
      </c>
      <c r="D4559" s="52">
        <f ca="1">S0*EXP((μ-0.5*σ*σ)*T+σ*SQRT(T)*$C4559)</f>
        <v>0.57301910467879924</v>
      </c>
      <c r="E4559" s="52">
        <f t="shared" ca="1" si="191"/>
        <v>0</v>
      </c>
      <c r="F4559" s="17">
        <f t="shared" ca="1" si="192"/>
        <v>0</v>
      </c>
      <c r="H4559" s="17">
        <v>4550</v>
      </c>
      <c r="I4559" s="45">
        <v>0.66895502219279679</v>
      </c>
      <c r="J4559" s="45">
        <v>1.7468920977444041E-2</v>
      </c>
      <c r="K4559" s="45">
        <v>0.23480000000000001</v>
      </c>
      <c r="N4559" s="54"/>
    </row>
    <row r="4560" spans="2:14" x14ac:dyDescent="0.2">
      <c r="B4560">
        <f t="shared" si="190"/>
        <v>4551</v>
      </c>
      <c r="C4560" s="52">
        <f ca="1"/>
        <v>0.74931255196584023</v>
      </c>
      <c r="D4560" s="52">
        <f ca="1">S0*EXP((μ-0.5*σ*σ)*T+σ*SQRT(T)*$C4560)</f>
        <v>0.79201435152493838</v>
      </c>
      <c r="E4560" s="52">
        <f t="shared" ca="1" si="191"/>
        <v>0</v>
      </c>
      <c r="F4560" s="17">
        <f t="shared" ca="1" si="192"/>
        <v>0</v>
      </c>
      <c r="H4560" s="17">
        <v>4551</v>
      </c>
      <c r="I4560" s="45">
        <v>0.66958189819828262</v>
      </c>
      <c r="J4560" s="45">
        <v>1.800964255383547E-2</v>
      </c>
      <c r="K4560" s="45">
        <v>0.24679999999999999</v>
      </c>
      <c r="N4560" s="54"/>
    </row>
    <row r="4561" spans="2:14" x14ac:dyDescent="0.2">
      <c r="B4561">
        <f t="shared" si="190"/>
        <v>4552</v>
      </c>
      <c r="C4561" s="52">
        <f ca="1"/>
        <v>-0.47306694725117826</v>
      </c>
      <c r="D4561" s="52">
        <f ca="1">S0*EXP((μ-0.5*σ*σ)*T+σ*SQRT(T)*$C4561)</f>
        <v>0.56491432102908512</v>
      </c>
      <c r="E4561" s="52">
        <f t="shared" ca="1" si="191"/>
        <v>0</v>
      </c>
      <c r="F4561" s="17">
        <f t="shared" ca="1" si="192"/>
        <v>0</v>
      </c>
      <c r="H4561" s="17">
        <v>4552</v>
      </c>
      <c r="I4561" s="45">
        <v>0.6713518437920637</v>
      </c>
      <c r="J4561" s="45">
        <v>1.9282992698390254E-2</v>
      </c>
      <c r="K4561" s="45">
        <v>0.2462</v>
      </c>
      <c r="N4561" s="54"/>
    </row>
    <row r="4562" spans="2:14" x14ac:dyDescent="0.2">
      <c r="B4562">
        <f t="shared" si="190"/>
        <v>4553</v>
      </c>
      <c r="C4562" s="52">
        <f ca="1"/>
        <v>-0.66166597346826539</v>
      </c>
      <c r="D4562" s="52">
        <f ca="1">S0*EXP((μ-0.5*σ*σ)*T+σ*SQRT(T)*$C4562)</f>
        <v>0.53621713019179518</v>
      </c>
      <c r="E4562" s="52">
        <f t="shared" ca="1" si="191"/>
        <v>0</v>
      </c>
      <c r="F4562" s="17">
        <f t="shared" ca="1" si="192"/>
        <v>0</v>
      </c>
      <c r="H4562" s="17">
        <v>4553</v>
      </c>
      <c r="I4562" s="45">
        <v>0.66975493908808226</v>
      </c>
      <c r="J4562" s="45">
        <v>1.8094629076897063E-2</v>
      </c>
      <c r="K4562" s="45">
        <v>0.23699999999999999</v>
      </c>
      <c r="N4562" s="54"/>
    </row>
    <row r="4563" spans="2:14" x14ac:dyDescent="0.2">
      <c r="B4563">
        <f t="shared" si="190"/>
        <v>4554</v>
      </c>
      <c r="C4563" s="52">
        <f ca="1"/>
        <v>0.11631680966748514</v>
      </c>
      <c r="D4563" s="52">
        <f ca="1">S0*EXP((μ-0.5*σ*σ)*T+σ*SQRT(T)*$C4563)</f>
        <v>0.6648749038833579</v>
      </c>
      <c r="E4563" s="52">
        <f t="shared" ca="1" si="191"/>
        <v>0</v>
      </c>
      <c r="F4563" s="17">
        <f t="shared" ca="1" si="192"/>
        <v>0</v>
      </c>
      <c r="H4563" s="17">
        <v>4554</v>
      </c>
      <c r="I4563" s="45">
        <v>0.67250210057857762</v>
      </c>
      <c r="J4563" s="45">
        <v>1.9845864195887165E-2</v>
      </c>
      <c r="K4563" s="45">
        <v>0.25180000000000002</v>
      </c>
      <c r="N4563" s="54"/>
    </row>
    <row r="4564" spans="2:14" x14ac:dyDescent="0.2">
      <c r="B4564">
        <f t="shared" si="190"/>
        <v>4555</v>
      </c>
      <c r="C4564" s="52">
        <f ca="1"/>
        <v>1.8869229267474337</v>
      </c>
      <c r="D4564" s="52">
        <f ca="1">S0*EXP((μ-0.5*σ*σ)*T+σ*SQRT(T)*$C4564)</f>
        <v>1.0846927075161332</v>
      </c>
      <c r="E4564" s="52">
        <f t="shared" ca="1" si="191"/>
        <v>0</v>
      </c>
      <c r="F4564" s="17">
        <f t="shared" ca="1" si="192"/>
        <v>0</v>
      </c>
      <c r="H4564" s="17">
        <v>4555</v>
      </c>
      <c r="I4564" s="45">
        <v>0.67103982585800137</v>
      </c>
      <c r="J4564" s="45">
        <v>1.9316584832840333E-2</v>
      </c>
      <c r="K4564" s="45">
        <v>0.25519999999999998</v>
      </c>
      <c r="N4564" s="54"/>
    </row>
    <row r="4565" spans="2:14" x14ac:dyDescent="0.2">
      <c r="B4565">
        <f t="shared" si="190"/>
        <v>4556</v>
      </c>
      <c r="C4565" s="52">
        <f ca="1"/>
        <v>5.0489109035231274E-2</v>
      </c>
      <c r="D4565" s="52">
        <f ca="1">S0*EXP((μ-0.5*σ*σ)*T+σ*SQRT(T)*$C4565)</f>
        <v>0.6528856452342694</v>
      </c>
      <c r="E4565" s="52">
        <f t="shared" ca="1" si="191"/>
        <v>0</v>
      </c>
      <c r="F4565" s="17">
        <f t="shared" ca="1" si="192"/>
        <v>0</v>
      </c>
      <c r="H4565" s="17">
        <v>4556</v>
      </c>
      <c r="I4565" s="45">
        <v>0.6699101059186795</v>
      </c>
      <c r="J4565" s="45">
        <v>1.8394828772059686E-2</v>
      </c>
      <c r="K4565" s="45">
        <v>0.2442</v>
      </c>
      <c r="N4565" s="54"/>
    </row>
    <row r="4566" spans="2:14" x14ac:dyDescent="0.2">
      <c r="B4566">
        <f t="shared" si="190"/>
        <v>4557</v>
      </c>
      <c r="C4566" s="52">
        <f ca="1"/>
        <v>1.0600526221155653</v>
      </c>
      <c r="D4566" s="52">
        <f ca="1">S0*EXP((μ-0.5*σ*σ)*T+σ*SQRT(T)*$C4566)</f>
        <v>0.86305478468649299</v>
      </c>
      <c r="E4566" s="52">
        <f t="shared" ca="1" si="191"/>
        <v>0</v>
      </c>
      <c r="F4566" s="17">
        <f t="shared" ca="1" si="192"/>
        <v>0</v>
      </c>
      <c r="H4566" s="17">
        <v>4557</v>
      </c>
      <c r="I4566" s="45">
        <v>0.669977140128316</v>
      </c>
      <c r="J4566" s="45">
        <v>1.8036274943290163E-2</v>
      </c>
      <c r="K4566" s="45">
        <v>0.2394</v>
      </c>
      <c r="N4566" s="54"/>
    </row>
    <row r="4567" spans="2:14" x14ac:dyDescent="0.2">
      <c r="B4567">
        <f t="shared" si="190"/>
        <v>4558</v>
      </c>
      <c r="C4567" s="52">
        <f ca="1"/>
        <v>-0.50280153612399603</v>
      </c>
      <c r="D4567" s="52">
        <f ca="1">S0*EXP((μ-0.5*σ*σ)*T+σ*SQRT(T)*$C4567)</f>
        <v>0.56028997842628947</v>
      </c>
      <c r="E4567" s="52">
        <f t="shared" ca="1" si="191"/>
        <v>0</v>
      </c>
      <c r="F4567" s="17">
        <f t="shared" ca="1" si="192"/>
        <v>0</v>
      </c>
      <c r="H4567" s="17">
        <v>4558</v>
      </c>
      <c r="I4567" s="45">
        <v>0.66982804873157642</v>
      </c>
      <c r="J4567" s="45">
        <v>1.8639618125481497E-2</v>
      </c>
      <c r="K4567" s="45">
        <v>0.248</v>
      </c>
      <c r="N4567" s="54"/>
    </row>
    <row r="4568" spans="2:14" x14ac:dyDescent="0.2">
      <c r="B4568">
        <f t="shared" si="190"/>
        <v>4559</v>
      </c>
      <c r="C4568" s="52">
        <f ca="1"/>
        <v>-1.4063531138007841</v>
      </c>
      <c r="D4568" s="52">
        <f ca="1">S0*EXP((μ-0.5*σ*σ)*T+σ*SQRT(T)*$C4568)</f>
        <v>0.43645419600667362</v>
      </c>
      <c r="E4568" s="52">
        <f t="shared" ca="1" si="191"/>
        <v>9.7945803993326364E-2</v>
      </c>
      <c r="F4568" s="17">
        <f t="shared" ca="1" si="192"/>
        <v>1</v>
      </c>
      <c r="H4568" s="17">
        <v>4559</v>
      </c>
      <c r="I4568" s="45">
        <v>0.67045833462700821</v>
      </c>
      <c r="J4568" s="45">
        <v>1.8615072468826769E-2</v>
      </c>
      <c r="K4568" s="45">
        <v>0.24979999999999999</v>
      </c>
      <c r="N4568" s="54"/>
    </row>
    <row r="4569" spans="2:14" x14ac:dyDescent="0.2">
      <c r="B4569">
        <f t="shared" si="190"/>
        <v>4560</v>
      </c>
      <c r="C4569" s="52">
        <f ca="1"/>
        <v>-1.1480357778012016</v>
      </c>
      <c r="D4569" s="52">
        <f ca="1">S0*EXP((μ-0.5*σ*σ)*T+σ*SQRT(T)*$C4569)</f>
        <v>0.4687599226701416</v>
      </c>
      <c r="E4569" s="52">
        <f t="shared" ca="1" si="191"/>
        <v>6.5640077329858382E-2</v>
      </c>
      <c r="F4569" s="17">
        <f t="shared" ca="1" si="192"/>
        <v>1</v>
      </c>
      <c r="H4569" s="17">
        <v>4560</v>
      </c>
      <c r="I4569" s="45">
        <v>0.67042019935887431</v>
      </c>
      <c r="J4569" s="45">
        <v>1.8452608376292139E-2</v>
      </c>
      <c r="K4569" s="45">
        <v>0.2344</v>
      </c>
      <c r="N4569" s="54"/>
    </row>
    <row r="4570" spans="2:14" x14ac:dyDescent="0.2">
      <c r="B4570">
        <f t="shared" si="190"/>
        <v>4561</v>
      </c>
      <c r="C4570" s="52">
        <f ca="1"/>
        <v>-0.46582503402665748</v>
      </c>
      <c r="D4570" s="52">
        <f ca="1">S0*EXP((μ-0.5*σ*σ)*T+σ*SQRT(T)*$C4570)</f>
        <v>0.56604635589417462</v>
      </c>
      <c r="E4570" s="52">
        <f t="shared" ca="1" si="191"/>
        <v>0</v>
      </c>
      <c r="F4570" s="17">
        <f t="shared" ca="1" si="192"/>
        <v>0</v>
      </c>
      <c r="H4570" s="17">
        <v>4561</v>
      </c>
      <c r="I4570" s="45">
        <v>0.67192111140657995</v>
      </c>
      <c r="J4570" s="45">
        <v>1.9900786249126296E-2</v>
      </c>
      <c r="K4570" s="45">
        <v>0.25779999999999997</v>
      </c>
      <c r="N4570" s="54"/>
    </row>
    <row r="4571" spans="2:14" x14ac:dyDescent="0.2">
      <c r="B4571">
        <f t="shared" si="190"/>
        <v>4562</v>
      </c>
      <c r="C4571" s="52">
        <f ca="1"/>
        <v>-1.2648019848874876</v>
      </c>
      <c r="D4571" s="52">
        <f ca="1">S0*EXP((μ-0.5*σ*σ)*T+σ*SQRT(T)*$C4571)</f>
        <v>0.45387088774337053</v>
      </c>
      <c r="E4571" s="52">
        <f t="shared" ca="1" si="191"/>
        <v>8.0529112256629454E-2</v>
      </c>
      <c r="F4571" s="17">
        <f t="shared" ca="1" si="192"/>
        <v>1</v>
      </c>
      <c r="H4571" s="17">
        <v>4562</v>
      </c>
      <c r="I4571" s="45">
        <v>0.67068330731602577</v>
      </c>
      <c r="J4571" s="45">
        <v>1.8938665004450437E-2</v>
      </c>
      <c r="K4571" s="45">
        <v>0.251</v>
      </c>
      <c r="N4571" s="54"/>
    </row>
    <row r="4572" spans="2:14" x14ac:dyDescent="0.2">
      <c r="B4572">
        <f t="shared" si="190"/>
        <v>4563</v>
      </c>
      <c r="C4572" s="52">
        <f ca="1"/>
        <v>0.38633681984538426</v>
      </c>
      <c r="D4572" s="52">
        <f ca="1">S0*EXP((μ-0.5*σ*σ)*T+σ*SQRT(T)*$C4572)</f>
        <v>0.71640182559508392</v>
      </c>
      <c r="E4572" s="52">
        <f t="shared" ca="1" si="191"/>
        <v>0</v>
      </c>
      <c r="F4572" s="17">
        <f t="shared" ca="1" si="192"/>
        <v>0</v>
      </c>
      <c r="H4572" s="17">
        <v>4563</v>
      </c>
      <c r="I4572" s="45">
        <v>0.67070040324319713</v>
      </c>
      <c r="J4572" s="45">
        <v>1.8798058836392507E-2</v>
      </c>
      <c r="K4572" s="45">
        <v>0.24979999999999999</v>
      </c>
      <c r="N4572" s="54"/>
    </row>
    <row r="4573" spans="2:14" x14ac:dyDescent="0.2">
      <c r="B4573">
        <f t="shared" si="190"/>
        <v>4564</v>
      </c>
      <c r="C4573" s="52">
        <f ca="1"/>
        <v>3.8418398257364622E-2</v>
      </c>
      <c r="D4573" s="52">
        <f ca="1">S0*EXP((μ-0.5*σ*σ)*T+σ*SQRT(T)*$C4573)</f>
        <v>0.65071076811543205</v>
      </c>
      <c r="E4573" s="52">
        <f t="shared" ca="1" si="191"/>
        <v>0</v>
      </c>
      <c r="F4573" s="17">
        <f t="shared" ca="1" si="192"/>
        <v>0</v>
      </c>
      <c r="H4573" s="17">
        <v>4564</v>
      </c>
      <c r="I4573" s="45">
        <v>0.6721616364524694</v>
      </c>
      <c r="J4573" s="45">
        <v>2.0353235307648116E-2</v>
      </c>
      <c r="K4573" s="45">
        <v>0.25519999999999998</v>
      </c>
      <c r="N4573" s="54"/>
    </row>
    <row r="4574" spans="2:14" x14ac:dyDescent="0.2">
      <c r="B4574">
        <f t="shared" si="190"/>
        <v>4565</v>
      </c>
      <c r="C4574" s="52">
        <f ca="1"/>
        <v>0.59632235137020451</v>
      </c>
      <c r="D4574" s="52">
        <f ca="1">S0*EXP((μ-0.5*σ*σ)*T+σ*SQRT(T)*$C4574)</f>
        <v>0.75921730946489441</v>
      </c>
      <c r="E4574" s="52">
        <f t="shared" ca="1" si="191"/>
        <v>0</v>
      </c>
      <c r="F4574" s="17">
        <f t="shared" ca="1" si="192"/>
        <v>0</v>
      </c>
      <c r="H4574" s="17">
        <v>4565</v>
      </c>
      <c r="I4574" s="45">
        <v>0.67150900054210116</v>
      </c>
      <c r="J4574" s="45">
        <v>1.9226205915663746E-2</v>
      </c>
      <c r="K4574" s="45">
        <v>0.24360000000000001</v>
      </c>
      <c r="N4574" s="54"/>
    </row>
    <row r="4575" spans="2:14" x14ac:dyDescent="0.2">
      <c r="B4575">
        <f t="shared" si="190"/>
        <v>4566</v>
      </c>
      <c r="C4575" s="52">
        <f ca="1"/>
        <v>-0.25743420191036426</v>
      </c>
      <c r="D4575" s="52">
        <f ca="1">S0*EXP((μ-0.5*σ*σ)*T+σ*SQRT(T)*$C4575)</f>
        <v>0.59961151896795151</v>
      </c>
      <c r="E4575" s="52">
        <f t="shared" ca="1" si="191"/>
        <v>0</v>
      </c>
      <c r="F4575" s="17">
        <f t="shared" ca="1" si="192"/>
        <v>0</v>
      </c>
      <c r="H4575" s="17">
        <v>4566</v>
      </c>
      <c r="I4575" s="45">
        <v>0.67012859250477652</v>
      </c>
      <c r="J4575" s="45">
        <v>1.8290806887188489E-2</v>
      </c>
      <c r="K4575" s="45">
        <v>0.24199999999999999</v>
      </c>
      <c r="N4575" s="54"/>
    </row>
    <row r="4576" spans="2:14" x14ac:dyDescent="0.2">
      <c r="B4576">
        <f t="shared" si="190"/>
        <v>4567</v>
      </c>
      <c r="C4576" s="52">
        <f ca="1"/>
        <v>2.0030590344311192</v>
      </c>
      <c r="D4576" s="52">
        <f ca="1">S0*EXP((μ-0.5*σ*σ)*T+σ*SQRT(T)*$C4576)</f>
        <v>1.1200804623344689</v>
      </c>
      <c r="E4576" s="52">
        <f t="shared" ca="1" si="191"/>
        <v>0</v>
      </c>
      <c r="F4576" s="17">
        <f t="shared" ca="1" si="192"/>
        <v>0</v>
      </c>
      <c r="H4576" s="17">
        <v>4567</v>
      </c>
      <c r="I4576" s="45">
        <v>0.66966027369799108</v>
      </c>
      <c r="J4576" s="45">
        <v>1.8115846703689566E-2</v>
      </c>
      <c r="K4576" s="45">
        <v>0.2412</v>
      </c>
      <c r="N4576" s="54"/>
    </row>
    <row r="4577" spans="2:14" x14ac:dyDescent="0.2">
      <c r="B4577">
        <f t="shared" si="190"/>
        <v>4568</v>
      </c>
      <c r="C4577" s="52">
        <f ca="1"/>
        <v>1.8127671948906536</v>
      </c>
      <c r="D4577" s="52">
        <f ca="1">S0*EXP((μ-0.5*σ*σ)*T+σ*SQRT(T)*$C4577)</f>
        <v>1.0626838824616387</v>
      </c>
      <c r="E4577" s="52">
        <f t="shared" ca="1" si="191"/>
        <v>0</v>
      </c>
      <c r="F4577" s="17">
        <f t="shared" ca="1" si="192"/>
        <v>0</v>
      </c>
      <c r="H4577" s="17">
        <v>4568</v>
      </c>
      <c r="I4577" s="45">
        <v>0.67117633453459669</v>
      </c>
      <c r="J4577" s="45">
        <v>1.940314782409458E-2</v>
      </c>
      <c r="K4577" s="45">
        <v>0.25240000000000001</v>
      </c>
      <c r="N4577" s="54"/>
    </row>
    <row r="4578" spans="2:14" x14ac:dyDescent="0.2">
      <c r="B4578">
        <f t="shared" si="190"/>
        <v>4569</v>
      </c>
      <c r="C4578" s="52">
        <f ca="1"/>
        <v>1.38561761604256</v>
      </c>
      <c r="D4578" s="52">
        <f ca="1">S0*EXP((μ-0.5*σ*σ)*T+σ*SQRT(T)*$C4578)</f>
        <v>0.9443292812069557</v>
      </c>
      <c r="E4578" s="52">
        <f t="shared" ca="1" si="191"/>
        <v>0</v>
      </c>
      <c r="F4578" s="17">
        <f t="shared" ca="1" si="192"/>
        <v>0</v>
      </c>
      <c r="H4578" s="17">
        <v>4569</v>
      </c>
      <c r="I4578" s="45">
        <v>0.67024838406754683</v>
      </c>
      <c r="J4578" s="45">
        <v>1.8400849056772597E-2</v>
      </c>
      <c r="K4578" s="45">
        <v>0.23980000000000001</v>
      </c>
      <c r="N4578" s="54"/>
    </row>
    <row r="4579" spans="2:14" x14ac:dyDescent="0.2">
      <c r="B4579">
        <f t="shared" si="190"/>
        <v>4570</v>
      </c>
      <c r="C4579" s="52">
        <f ca="1"/>
        <v>-1.6505690273852758</v>
      </c>
      <c r="D4579" s="52">
        <f ca="1">S0*EXP((μ-0.5*σ*σ)*T+σ*SQRT(T)*$C4579)</f>
        <v>0.40796207488627911</v>
      </c>
      <c r="E4579" s="52">
        <f t="shared" ca="1" si="191"/>
        <v>0.12643792511372087</v>
      </c>
      <c r="F4579" s="17">
        <f t="shared" ca="1" si="192"/>
        <v>1</v>
      </c>
      <c r="H4579" s="17">
        <v>4570</v>
      </c>
      <c r="I4579" s="45">
        <v>0.67096099021846423</v>
      </c>
      <c r="J4579" s="45">
        <v>1.9238594132311215E-2</v>
      </c>
      <c r="K4579" s="45">
        <v>0.24840000000000001</v>
      </c>
      <c r="N4579" s="54"/>
    </row>
    <row r="4580" spans="2:14" x14ac:dyDescent="0.2">
      <c r="B4580">
        <f t="shared" si="190"/>
        <v>4571</v>
      </c>
      <c r="C4580" s="52">
        <f ca="1"/>
        <v>-2.0230639653746749</v>
      </c>
      <c r="D4580" s="52">
        <f ca="1">S0*EXP((μ-0.5*σ*σ)*T+σ*SQRT(T)*$C4580)</f>
        <v>0.36804473916022656</v>
      </c>
      <c r="E4580" s="52">
        <f t="shared" ca="1" si="191"/>
        <v>0.16635526083977342</v>
      </c>
      <c r="F4580" s="17">
        <f t="shared" ca="1" si="192"/>
        <v>1</v>
      </c>
      <c r="H4580" s="17">
        <v>4571</v>
      </c>
      <c r="I4580" s="45">
        <v>0.67066523578985704</v>
      </c>
      <c r="J4580" s="45">
        <v>1.8852363456452696E-2</v>
      </c>
      <c r="K4580" s="45">
        <v>0.2432</v>
      </c>
      <c r="N4580" s="54"/>
    </row>
    <row r="4581" spans="2:14" x14ac:dyDescent="0.2">
      <c r="B4581">
        <f t="shared" si="190"/>
        <v>4572</v>
      </c>
      <c r="C4581" s="52">
        <f ca="1"/>
        <v>0.52483797731733806</v>
      </c>
      <c r="D4581" s="52">
        <f ca="1">S0*EXP((μ-0.5*σ*σ)*T+σ*SQRT(T)*$C4581)</f>
        <v>0.74436197457697473</v>
      </c>
      <c r="E4581" s="52">
        <f t="shared" ca="1" si="191"/>
        <v>0</v>
      </c>
      <c r="F4581" s="17">
        <f t="shared" ca="1" si="192"/>
        <v>0</v>
      </c>
      <c r="H4581" s="17">
        <v>4572</v>
      </c>
      <c r="I4581" s="45">
        <v>0.67013691830784283</v>
      </c>
      <c r="J4581" s="45">
        <v>1.8096914523556721E-2</v>
      </c>
      <c r="K4581" s="45">
        <v>0.23960000000000001</v>
      </c>
      <c r="N4581" s="54"/>
    </row>
    <row r="4582" spans="2:14" x14ac:dyDescent="0.2">
      <c r="B4582">
        <f t="shared" si="190"/>
        <v>4573</v>
      </c>
      <c r="C4582" s="52">
        <f ca="1"/>
        <v>-0.25845181200586281</v>
      </c>
      <c r="D4582" s="52">
        <f ca="1">S0*EXP((μ-0.5*σ*σ)*T+σ*SQRT(T)*$C4582)</f>
        <v>0.59944287165969246</v>
      </c>
      <c r="E4582" s="52">
        <f t="shared" ca="1" si="191"/>
        <v>0</v>
      </c>
      <c r="F4582" s="17">
        <f t="shared" ca="1" si="192"/>
        <v>0</v>
      </c>
      <c r="H4582" s="17">
        <v>4573</v>
      </c>
      <c r="I4582" s="45">
        <v>0.67121639032286373</v>
      </c>
      <c r="J4582" s="45">
        <v>1.9089202950513265E-2</v>
      </c>
      <c r="K4582" s="45">
        <v>0.2472</v>
      </c>
      <c r="N4582" s="54"/>
    </row>
    <row r="4583" spans="2:14" x14ac:dyDescent="0.2">
      <c r="B4583">
        <f t="shared" si="190"/>
        <v>4574</v>
      </c>
      <c r="C4583" s="52">
        <f ca="1"/>
        <v>-2.1921167319670807</v>
      </c>
      <c r="D4583" s="52">
        <f ca="1">S0*EXP((μ-0.5*σ*σ)*T+σ*SQRT(T)*$C4583)</f>
        <v>0.3512410793598616</v>
      </c>
      <c r="E4583" s="52">
        <f t="shared" ca="1" si="191"/>
        <v>0.18315892064013839</v>
      </c>
      <c r="F4583" s="17">
        <f t="shared" ca="1" si="192"/>
        <v>1</v>
      </c>
      <c r="H4583" s="17">
        <v>4574</v>
      </c>
      <c r="I4583" s="45">
        <v>0.67109202596323181</v>
      </c>
      <c r="J4583" s="45">
        <v>1.9070831974706111E-2</v>
      </c>
      <c r="K4583" s="45">
        <v>0.24779999999999999</v>
      </c>
      <c r="N4583" s="54"/>
    </row>
    <row r="4584" spans="2:14" x14ac:dyDescent="0.2">
      <c r="B4584">
        <f t="shared" si="190"/>
        <v>4575</v>
      </c>
      <c r="C4584" s="52">
        <f ca="1"/>
        <v>1.7865943387323129</v>
      </c>
      <c r="D4584" s="52">
        <f ca="1">S0*EXP((μ-0.5*σ*σ)*T+σ*SQRT(T)*$C4584)</f>
        <v>1.0550230808674617</v>
      </c>
      <c r="E4584" s="52">
        <f t="shared" ca="1" si="191"/>
        <v>0</v>
      </c>
      <c r="F4584" s="17">
        <f t="shared" ca="1" si="192"/>
        <v>0</v>
      </c>
      <c r="H4584" s="17">
        <v>4575</v>
      </c>
      <c r="I4584" s="45">
        <v>0.67106552250992768</v>
      </c>
      <c r="J4584" s="45">
        <v>1.9359521360439867E-2</v>
      </c>
      <c r="K4584" s="45">
        <v>0.24840000000000001</v>
      </c>
      <c r="N4584" s="54"/>
    </row>
    <row r="4585" spans="2:14" x14ac:dyDescent="0.2">
      <c r="B4585">
        <f t="shared" si="190"/>
        <v>4576</v>
      </c>
      <c r="C4585" s="52">
        <f ca="1"/>
        <v>1.9079330591444164</v>
      </c>
      <c r="D4585" s="52">
        <f ca="1">S0*EXP((μ-0.5*σ*σ)*T+σ*SQRT(T)*$C4585)</f>
        <v>1.0910108062397676</v>
      </c>
      <c r="E4585" s="52">
        <f t="shared" ca="1" si="191"/>
        <v>0</v>
      </c>
      <c r="F4585" s="17">
        <f t="shared" ca="1" si="192"/>
        <v>0</v>
      </c>
      <c r="H4585" s="17">
        <v>4576</v>
      </c>
      <c r="I4585" s="45">
        <v>0.67141265376019488</v>
      </c>
      <c r="J4585" s="45">
        <v>1.9251805575181538E-2</v>
      </c>
      <c r="K4585" s="45">
        <v>0.2482</v>
      </c>
      <c r="N4585" s="54"/>
    </row>
    <row r="4586" spans="2:14" x14ac:dyDescent="0.2">
      <c r="B4586">
        <f t="shared" si="190"/>
        <v>4577</v>
      </c>
      <c r="C4586" s="52">
        <f ca="1"/>
        <v>5.4243960003605859E-2</v>
      </c>
      <c r="D4586" s="52">
        <f ca="1">S0*EXP((μ-0.5*σ*σ)*T+σ*SQRT(T)*$C4586)</f>
        <v>0.65356366812529987</v>
      </c>
      <c r="E4586" s="52">
        <f t="shared" ca="1" si="191"/>
        <v>0</v>
      </c>
      <c r="F4586" s="17">
        <f t="shared" ca="1" si="192"/>
        <v>0</v>
      </c>
      <c r="H4586" s="17">
        <v>4577</v>
      </c>
      <c r="I4586" s="45">
        <v>0.67088149431141941</v>
      </c>
      <c r="J4586" s="45">
        <v>1.9227621981727238E-2</v>
      </c>
      <c r="K4586" s="45">
        <v>0.2424</v>
      </c>
      <c r="N4586" s="54"/>
    </row>
    <row r="4587" spans="2:14" x14ac:dyDescent="0.2">
      <c r="B4587">
        <f t="shared" ref="B4587:B4650" si="193">B4586+1</f>
        <v>4578</v>
      </c>
      <c r="C4587" s="52">
        <f ca="1"/>
        <v>1.5791122580239789</v>
      </c>
      <c r="D4587" s="52">
        <f ca="1">S0*EXP((μ-0.5*σ*σ)*T+σ*SQRT(T)*$C4587)</f>
        <v>0.99621503243064291</v>
      </c>
      <c r="E4587" s="52">
        <f t="shared" ca="1" si="191"/>
        <v>0</v>
      </c>
      <c r="F4587" s="17">
        <f t="shared" ca="1" si="192"/>
        <v>0</v>
      </c>
      <c r="H4587" s="17">
        <v>4578</v>
      </c>
      <c r="I4587" s="45">
        <v>0.67128693004764628</v>
      </c>
      <c r="J4587" s="45">
        <v>1.9325500683460801E-2</v>
      </c>
      <c r="K4587" s="45">
        <v>0.24979999999999999</v>
      </c>
      <c r="N4587" s="54"/>
    </row>
    <row r="4588" spans="2:14" x14ac:dyDescent="0.2">
      <c r="B4588">
        <f t="shared" si="193"/>
        <v>4579</v>
      </c>
      <c r="C4588" s="52">
        <f ca="1"/>
        <v>0.31983104958094555</v>
      </c>
      <c r="D4588" s="52">
        <f ca="1">S0*EXP((μ-0.5*σ*σ)*T+σ*SQRT(T)*$C4588)</f>
        <v>0.70335156640889929</v>
      </c>
      <c r="E4588" s="52">
        <f t="shared" ca="1" si="191"/>
        <v>0</v>
      </c>
      <c r="F4588" s="17">
        <f t="shared" ca="1" si="192"/>
        <v>0</v>
      </c>
      <c r="H4588" s="17">
        <v>4579</v>
      </c>
      <c r="I4588" s="45">
        <v>0.67110644129365227</v>
      </c>
      <c r="J4588" s="45">
        <v>1.90319539992105E-2</v>
      </c>
      <c r="K4588" s="45">
        <v>0.24979999999999999</v>
      </c>
      <c r="N4588" s="54"/>
    </row>
    <row r="4589" spans="2:14" x14ac:dyDescent="0.2">
      <c r="B4589">
        <f t="shared" si="193"/>
        <v>4580</v>
      </c>
      <c r="C4589" s="52">
        <f ca="1"/>
        <v>-0.25039177694451481</v>
      </c>
      <c r="D4589" s="52">
        <f ca="1">S0*EXP((μ-0.5*σ*σ)*T+σ*SQRT(T)*$C4589)</f>
        <v>0.60077995278734464</v>
      </c>
      <c r="E4589" s="52">
        <f t="shared" ca="1" si="191"/>
        <v>0</v>
      </c>
      <c r="F4589" s="17">
        <f t="shared" ca="1" si="192"/>
        <v>0</v>
      </c>
      <c r="H4589" s="17">
        <v>4580</v>
      </c>
      <c r="I4589" s="45">
        <v>0.67133787460215022</v>
      </c>
      <c r="J4589" s="45">
        <v>1.9290860860961358E-2</v>
      </c>
      <c r="K4589" s="45">
        <v>0.24560000000000001</v>
      </c>
      <c r="N4589" s="54"/>
    </row>
    <row r="4590" spans="2:14" x14ac:dyDescent="0.2">
      <c r="B4590">
        <f t="shared" si="193"/>
        <v>4581</v>
      </c>
      <c r="C4590" s="52">
        <f ca="1"/>
        <v>0.32788170422128493</v>
      </c>
      <c r="D4590" s="52">
        <f ca="1">S0*EXP((μ-0.5*σ*σ)*T+σ*SQRT(T)*$C4590)</f>
        <v>0.70491859211226204</v>
      </c>
      <c r="E4590" s="52">
        <f t="shared" ca="1" si="191"/>
        <v>0</v>
      </c>
      <c r="F4590" s="17">
        <f t="shared" ca="1" si="192"/>
        <v>0</v>
      </c>
      <c r="H4590" s="17">
        <v>4581</v>
      </c>
      <c r="I4590" s="45">
        <v>0.67002811985139055</v>
      </c>
      <c r="J4590" s="45">
        <v>1.812281280826504E-2</v>
      </c>
      <c r="K4590" s="45">
        <v>0.2382</v>
      </c>
      <c r="N4590" s="54"/>
    </row>
    <row r="4591" spans="2:14" x14ac:dyDescent="0.2">
      <c r="B4591">
        <f t="shared" si="193"/>
        <v>4582</v>
      </c>
      <c r="C4591" s="52">
        <f ca="1"/>
        <v>1.5474334237077116</v>
      </c>
      <c r="D4591" s="52">
        <f ca="1">S0*EXP((μ-0.5*σ*σ)*T+σ*SQRT(T)*$C4591)</f>
        <v>0.98752920450284609</v>
      </c>
      <c r="E4591" s="52">
        <f t="shared" ca="1" si="191"/>
        <v>0</v>
      </c>
      <c r="F4591" s="17">
        <f t="shared" ca="1" si="192"/>
        <v>0</v>
      </c>
      <c r="H4591" s="17">
        <v>4582</v>
      </c>
      <c r="I4591" s="45">
        <v>0.67083759568396861</v>
      </c>
      <c r="J4591" s="45">
        <v>1.8870792559706969E-2</v>
      </c>
      <c r="K4591" s="45">
        <v>0.248</v>
      </c>
      <c r="N4591" s="54"/>
    </row>
    <row r="4592" spans="2:14" x14ac:dyDescent="0.2">
      <c r="B4592">
        <f t="shared" si="193"/>
        <v>4583</v>
      </c>
      <c r="C4592" s="52">
        <f ca="1"/>
        <v>-1.1270895653497273</v>
      </c>
      <c r="D4592" s="52">
        <f ca="1">S0*EXP((μ-0.5*σ*σ)*T+σ*SQRT(T)*$C4592)</f>
        <v>0.47148201615228419</v>
      </c>
      <c r="E4592" s="52">
        <f t="shared" ca="1" si="191"/>
        <v>6.2917983847715797E-2</v>
      </c>
      <c r="F4592" s="17">
        <f t="shared" ca="1" si="192"/>
        <v>1</v>
      </c>
      <c r="H4592" s="17">
        <v>4583</v>
      </c>
      <c r="I4592" s="45">
        <v>0.67058163101104551</v>
      </c>
      <c r="J4592" s="45">
        <v>1.8798685925494867E-2</v>
      </c>
      <c r="K4592" s="45">
        <v>0.2482</v>
      </c>
      <c r="N4592" s="54"/>
    </row>
    <row r="4593" spans="2:14" x14ac:dyDescent="0.2">
      <c r="B4593">
        <f t="shared" si="193"/>
        <v>4584</v>
      </c>
      <c r="C4593" s="52">
        <f ca="1"/>
        <v>-0.31267643399846506</v>
      </c>
      <c r="D4593" s="52">
        <f ca="1">S0*EXP((μ-0.5*σ*σ)*T+σ*SQRT(T)*$C4593)</f>
        <v>0.59052456085474625</v>
      </c>
      <c r="E4593" s="52">
        <f t="shared" ca="1" si="191"/>
        <v>0</v>
      </c>
      <c r="F4593" s="17">
        <f t="shared" ca="1" si="192"/>
        <v>0</v>
      </c>
      <c r="H4593" s="17">
        <v>4584</v>
      </c>
      <c r="I4593" s="45">
        <v>0.67016964597600004</v>
      </c>
      <c r="J4593" s="45">
        <v>1.8327560529219019E-2</v>
      </c>
      <c r="K4593" s="45">
        <v>0.24440000000000001</v>
      </c>
      <c r="N4593" s="54"/>
    </row>
    <row r="4594" spans="2:14" x14ac:dyDescent="0.2">
      <c r="B4594">
        <f t="shared" si="193"/>
        <v>4585</v>
      </c>
      <c r="C4594" s="52">
        <f ca="1"/>
        <v>8.2418213949299171E-2</v>
      </c>
      <c r="D4594" s="52">
        <f ca="1">S0*EXP((μ-0.5*σ*σ)*T+σ*SQRT(T)*$C4594)</f>
        <v>0.65867367811688948</v>
      </c>
      <c r="E4594" s="52">
        <f t="shared" ca="1" si="191"/>
        <v>0</v>
      </c>
      <c r="F4594" s="17">
        <f t="shared" ca="1" si="192"/>
        <v>0</v>
      </c>
      <c r="H4594" s="17">
        <v>4585</v>
      </c>
      <c r="I4594" s="45">
        <v>0.67075220121647239</v>
      </c>
      <c r="J4594" s="45">
        <v>1.9122583111394757E-2</v>
      </c>
      <c r="K4594" s="45">
        <v>0.24879999999999999</v>
      </c>
      <c r="N4594" s="54"/>
    </row>
    <row r="4595" spans="2:14" x14ac:dyDescent="0.2">
      <c r="B4595">
        <f t="shared" si="193"/>
        <v>4586</v>
      </c>
      <c r="C4595" s="52">
        <f ca="1"/>
        <v>0.96722043428906024</v>
      </c>
      <c r="D4595" s="52">
        <f ca="1">S0*EXP((μ-0.5*σ*σ)*T+σ*SQRT(T)*$C4595)</f>
        <v>0.8411889735786795</v>
      </c>
      <c r="E4595" s="52">
        <f t="shared" ca="1" si="191"/>
        <v>0</v>
      </c>
      <c r="F4595" s="17">
        <f t="shared" ca="1" si="192"/>
        <v>0</v>
      </c>
      <c r="H4595" s="17">
        <v>4586</v>
      </c>
      <c r="I4595" s="45">
        <v>0.67154855972810379</v>
      </c>
      <c r="J4595" s="45">
        <v>1.9322775846614897E-2</v>
      </c>
      <c r="K4595" s="45">
        <v>0.24740000000000001</v>
      </c>
      <c r="N4595" s="54"/>
    </row>
    <row r="4596" spans="2:14" x14ac:dyDescent="0.2">
      <c r="B4596">
        <f t="shared" si="193"/>
        <v>4587</v>
      </c>
      <c r="C4596" s="52">
        <f ca="1"/>
        <v>-0.16369331100519355</v>
      </c>
      <c r="D4596" s="52">
        <f ca="1">S0*EXP((μ-0.5*σ*σ)*T+σ*SQRT(T)*$C4596)</f>
        <v>0.61535233560037494</v>
      </c>
      <c r="E4596" s="52">
        <f t="shared" ca="1" si="191"/>
        <v>0</v>
      </c>
      <c r="F4596" s="17">
        <f t="shared" ca="1" si="192"/>
        <v>0</v>
      </c>
      <c r="H4596" s="17">
        <v>4587</v>
      </c>
      <c r="I4596" s="45">
        <v>0.67092716611187375</v>
      </c>
      <c r="J4596" s="45">
        <v>1.9014570915753044E-2</v>
      </c>
      <c r="K4596" s="45">
        <v>0.25059999999999999</v>
      </c>
      <c r="N4596" s="54"/>
    </row>
    <row r="4597" spans="2:14" x14ac:dyDescent="0.2">
      <c r="B4597">
        <f t="shared" si="193"/>
        <v>4588</v>
      </c>
      <c r="C4597" s="52">
        <f ca="1"/>
        <v>0.69042177821789796</v>
      </c>
      <c r="D4597" s="52">
        <f ca="1">S0*EXP((μ-0.5*σ*σ)*T+σ*SQRT(T)*$C4597)</f>
        <v>0.77922527403803421</v>
      </c>
      <c r="E4597" s="52">
        <f t="shared" ca="1" si="191"/>
        <v>0</v>
      </c>
      <c r="F4597" s="17">
        <f t="shared" ca="1" si="192"/>
        <v>0</v>
      </c>
      <c r="H4597" s="17">
        <v>4588</v>
      </c>
      <c r="I4597" s="45">
        <v>0.66977086626226212</v>
      </c>
      <c r="J4597" s="45">
        <v>1.8003035094780916E-2</v>
      </c>
      <c r="K4597" s="45">
        <v>0.23619999999999999</v>
      </c>
      <c r="N4597" s="54"/>
    </row>
    <row r="4598" spans="2:14" x14ac:dyDescent="0.2">
      <c r="B4598">
        <f t="shared" si="193"/>
        <v>4589</v>
      </c>
      <c r="C4598" s="52">
        <f ca="1"/>
        <v>-0.23254088893059097</v>
      </c>
      <c r="D4598" s="52">
        <f ca="1">S0*EXP((μ-0.5*σ*σ)*T+σ*SQRT(T)*$C4598)</f>
        <v>0.60375186753953625</v>
      </c>
      <c r="E4598" s="52">
        <f t="shared" ca="1" si="191"/>
        <v>0</v>
      </c>
      <c r="F4598" s="17">
        <f t="shared" ca="1" si="192"/>
        <v>0</v>
      </c>
      <c r="H4598" s="17">
        <v>4589</v>
      </c>
      <c r="I4598" s="45">
        <v>0.67196923764384697</v>
      </c>
      <c r="J4598" s="45">
        <v>1.956115779940246E-2</v>
      </c>
      <c r="K4598" s="45">
        <v>0.247</v>
      </c>
      <c r="N4598" s="54"/>
    </row>
    <row r="4599" spans="2:14" x14ac:dyDescent="0.2">
      <c r="B4599">
        <f t="shared" si="193"/>
        <v>4590</v>
      </c>
      <c r="C4599" s="52">
        <f ca="1"/>
        <v>-0.26377497126976596</v>
      </c>
      <c r="D4599" s="52">
        <f ca="1">S0*EXP((μ-0.5*σ*σ)*T+σ*SQRT(T)*$C4599)</f>
        <v>0.59856144356265772</v>
      </c>
      <c r="E4599" s="52">
        <f t="shared" ca="1" si="191"/>
        <v>0</v>
      </c>
      <c r="F4599" s="17">
        <f t="shared" ca="1" si="192"/>
        <v>0</v>
      </c>
      <c r="H4599" s="17">
        <v>4590</v>
      </c>
      <c r="I4599" s="45">
        <v>0.6698434194104631</v>
      </c>
      <c r="J4599" s="45">
        <v>1.8205966392691515E-2</v>
      </c>
      <c r="K4599" s="45">
        <v>0.24279999999999999</v>
      </c>
      <c r="N4599" s="54"/>
    </row>
    <row r="4600" spans="2:14" x14ac:dyDescent="0.2">
      <c r="B4600">
        <f t="shared" si="193"/>
        <v>4591</v>
      </c>
      <c r="C4600" s="52">
        <f ca="1"/>
        <v>1.9867389921815171</v>
      </c>
      <c r="D4600" s="52">
        <f ca="1">S0*EXP((μ-0.5*σ*σ)*T+σ*SQRT(T)*$C4600)</f>
        <v>1.115038723388265</v>
      </c>
      <c r="E4600" s="52">
        <f t="shared" ca="1" si="191"/>
        <v>0</v>
      </c>
      <c r="F4600" s="17">
        <f t="shared" ca="1" si="192"/>
        <v>0</v>
      </c>
      <c r="H4600" s="17">
        <v>4591</v>
      </c>
      <c r="I4600" s="45">
        <v>0.67123729320378411</v>
      </c>
      <c r="J4600" s="45">
        <v>1.9183647461534881E-2</v>
      </c>
      <c r="K4600" s="45">
        <v>0.24199999999999999</v>
      </c>
      <c r="N4600" s="54"/>
    </row>
    <row r="4601" spans="2:14" x14ac:dyDescent="0.2">
      <c r="B4601">
        <f t="shared" si="193"/>
        <v>4592</v>
      </c>
      <c r="C4601" s="52">
        <f ca="1"/>
        <v>1.4548544761855433</v>
      </c>
      <c r="D4601" s="52">
        <f ca="1">S0*EXP((μ-0.5*σ*σ)*T+σ*SQRT(T)*$C4601)</f>
        <v>0.96257716983831132</v>
      </c>
      <c r="E4601" s="52">
        <f t="shared" ca="1" si="191"/>
        <v>0</v>
      </c>
      <c r="F4601" s="17">
        <f t="shared" ca="1" si="192"/>
        <v>0</v>
      </c>
      <c r="H4601" s="17">
        <v>4592</v>
      </c>
      <c r="I4601" s="45">
        <v>0.67152653067064116</v>
      </c>
      <c r="J4601" s="45">
        <v>1.9625607251938824E-2</v>
      </c>
      <c r="K4601" s="45">
        <v>0.25380000000000003</v>
      </c>
      <c r="N4601" s="54"/>
    </row>
    <row r="4602" spans="2:14" x14ac:dyDescent="0.2">
      <c r="B4602">
        <f t="shared" si="193"/>
        <v>4593</v>
      </c>
      <c r="C4602" s="52">
        <f ca="1"/>
        <v>2.3601859632340436</v>
      </c>
      <c r="D4602" s="52">
        <f ca="1">S0*EXP((μ-0.5*σ*σ)*T+σ*SQRT(T)*$C4602)</f>
        <v>1.2362987271751433</v>
      </c>
      <c r="E4602" s="52">
        <f t="shared" ca="1" si="191"/>
        <v>0</v>
      </c>
      <c r="F4602" s="17">
        <f t="shared" ca="1" si="192"/>
        <v>0</v>
      </c>
      <c r="H4602" s="17">
        <v>4593</v>
      </c>
      <c r="I4602" s="45">
        <v>0.67096482478236907</v>
      </c>
      <c r="J4602" s="45">
        <v>1.9141976732999461E-2</v>
      </c>
      <c r="K4602" s="45">
        <v>0.25380000000000003</v>
      </c>
      <c r="N4602" s="54"/>
    </row>
    <row r="4603" spans="2:14" x14ac:dyDescent="0.2">
      <c r="B4603">
        <f t="shared" si="193"/>
        <v>4594</v>
      </c>
      <c r="C4603" s="52">
        <f ca="1"/>
        <v>0.52213578258344928</v>
      </c>
      <c r="D4603" s="52">
        <f ca="1">S0*EXP((μ-0.5*σ*σ)*T+σ*SQRT(T)*$C4603)</f>
        <v>0.74380616279185852</v>
      </c>
      <c r="E4603" s="52">
        <f t="shared" ca="1" si="191"/>
        <v>0</v>
      </c>
      <c r="F4603" s="17">
        <f t="shared" ca="1" si="192"/>
        <v>0</v>
      </c>
      <c r="H4603" s="17">
        <v>4594</v>
      </c>
      <c r="I4603" s="45">
        <v>0.67085769331501965</v>
      </c>
      <c r="J4603" s="45">
        <v>1.9030094212658322E-2</v>
      </c>
      <c r="K4603" s="45">
        <v>0.25119999999999998</v>
      </c>
      <c r="N4603" s="54"/>
    </row>
    <row r="4604" spans="2:14" x14ac:dyDescent="0.2">
      <c r="B4604">
        <f t="shared" si="193"/>
        <v>4595</v>
      </c>
      <c r="C4604" s="52">
        <f ca="1"/>
        <v>2.0896984787950587E-2</v>
      </c>
      <c r="D4604" s="52">
        <f ca="1">S0*EXP((μ-0.5*σ*σ)*T+σ*SQRT(T)*$C4604)</f>
        <v>0.64756667841394056</v>
      </c>
      <c r="E4604" s="52">
        <f t="shared" ca="1" si="191"/>
        <v>0</v>
      </c>
      <c r="F4604" s="17">
        <f t="shared" ca="1" si="192"/>
        <v>0</v>
      </c>
      <c r="H4604" s="17">
        <v>4595</v>
      </c>
      <c r="I4604" s="45">
        <v>0.67035964307664153</v>
      </c>
      <c r="J4604" s="45">
        <v>1.8591692192158511E-2</v>
      </c>
      <c r="K4604" s="45">
        <v>0.2462</v>
      </c>
      <c r="N4604" s="54"/>
    </row>
    <row r="4605" spans="2:14" x14ac:dyDescent="0.2">
      <c r="B4605">
        <f t="shared" si="193"/>
        <v>4596</v>
      </c>
      <c r="C4605" s="52">
        <f ca="1"/>
        <v>2.1029487278543093</v>
      </c>
      <c r="D4605" s="52">
        <f ca="1">S0*EXP((μ-0.5*σ*σ)*T+σ*SQRT(T)*$C4605)</f>
        <v>1.151439942543562</v>
      </c>
      <c r="E4605" s="52">
        <f t="shared" ca="1" si="191"/>
        <v>0</v>
      </c>
      <c r="F4605" s="17">
        <f t="shared" ca="1" si="192"/>
        <v>0</v>
      </c>
      <c r="H4605" s="17">
        <v>4596</v>
      </c>
      <c r="I4605" s="45">
        <v>0.67111918024270112</v>
      </c>
      <c r="J4605" s="45">
        <v>1.9285889222828052E-2</v>
      </c>
      <c r="K4605" s="45">
        <v>0.24940000000000001</v>
      </c>
      <c r="N4605" s="54"/>
    </row>
    <row r="4606" spans="2:14" x14ac:dyDescent="0.2">
      <c r="B4606">
        <f t="shared" si="193"/>
        <v>4597</v>
      </c>
      <c r="C4606" s="52">
        <f ca="1"/>
        <v>-0.49116539176645346</v>
      </c>
      <c r="D4606" s="52">
        <f ca="1">S0*EXP((μ-0.5*σ*σ)*T+σ*SQRT(T)*$C4606)</f>
        <v>0.56209511365455134</v>
      </c>
      <c r="E4606" s="52">
        <f t="shared" ca="1" si="191"/>
        <v>0</v>
      </c>
      <c r="F4606" s="17">
        <f t="shared" ca="1" si="192"/>
        <v>0</v>
      </c>
      <c r="H4606" s="17">
        <v>4597</v>
      </c>
      <c r="I4606" s="45">
        <v>0.67066201169865358</v>
      </c>
      <c r="J4606" s="45">
        <v>1.8764286389046796E-2</v>
      </c>
      <c r="K4606" s="45">
        <v>0.24199999999999999</v>
      </c>
      <c r="N4606" s="54"/>
    </row>
    <row r="4607" spans="2:14" x14ac:dyDescent="0.2">
      <c r="B4607">
        <f t="shared" si="193"/>
        <v>4598</v>
      </c>
      <c r="C4607" s="52">
        <f ca="1"/>
        <v>-2.3109060151744236</v>
      </c>
      <c r="D4607" s="52">
        <f ca="1">S0*EXP((μ-0.5*σ*σ)*T+σ*SQRT(T)*$C4607)</f>
        <v>0.33989461150887468</v>
      </c>
      <c r="E4607" s="52">
        <f t="shared" ca="1" si="191"/>
        <v>0.19450538849112531</v>
      </c>
      <c r="F4607" s="17">
        <f t="shared" ca="1" si="192"/>
        <v>1</v>
      </c>
      <c r="H4607" s="17">
        <v>4598</v>
      </c>
      <c r="I4607" s="45">
        <v>0.6709363495799695</v>
      </c>
      <c r="J4607" s="45">
        <v>1.9183268487294708E-2</v>
      </c>
      <c r="K4607" s="45">
        <v>0.25140000000000001</v>
      </c>
      <c r="N4607" s="54"/>
    </row>
    <row r="4608" spans="2:14" x14ac:dyDescent="0.2">
      <c r="B4608">
        <f t="shared" si="193"/>
        <v>4599</v>
      </c>
      <c r="C4608" s="52">
        <f ca="1"/>
        <v>-1.3932319988480826</v>
      </c>
      <c r="D4608" s="52">
        <f ca="1">S0*EXP((μ-0.5*σ*σ)*T+σ*SQRT(T)*$C4608)</f>
        <v>0.43804013467683195</v>
      </c>
      <c r="E4608" s="52">
        <f t="shared" ca="1" si="191"/>
        <v>9.6359865323168037E-2</v>
      </c>
      <c r="F4608" s="17">
        <f t="shared" ca="1" si="192"/>
        <v>1</v>
      </c>
      <c r="H4608" s="17">
        <v>4599</v>
      </c>
      <c r="I4608" s="45">
        <v>0.67183967305707348</v>
      </c>
      <c r="J4608" s="45">
        <v>1.9728829275313269E-2</v>
      </c>
      <c r="K4608" s="45">
        <v>0.25659999999999999</v>
      </c>
      <c r="N4608" s="54"/>
    </row>
    <row r="4609" spans="2:14" x14ac:dyDescent="0.2">
      <c r="B4609">
        <f t="shared" si="193"/>
        <v>4600</v>
      </c>
      <c r="C4609" s="52">
        <f ca="1"/>
        <v>-0.33324916298072821</v>
      </c>
      <c r="D4609" s="52">
        <f ca="1">S0*EXP((μ-0.5*σ*σ)*T+σ*SQRT(T)*$C4609)</f>
        <v>0.58717579589115121</v>
      </c>
      <c r="E4609" s="52">
        <f t="shared" ca="1" si="191"/>
        <v>0</v>
      </c>
      <c r="F4609" s="17">
        <f t="shared" ca="1" si="192"/>
        <v>0</v>
      </c>
      <c r="H4609" s="17">
        <v>4600</v>
      </c>
      <c r="I4609" s="45">
        <v>0.67123349606151483</v>
      </c>
      <c r="J4609" s="45">
        <v>1.9296565593551078E-2</v>
      </c>
      <c r="K4609" s="45">
        <v>0.24079999999999999</v>
      </c>
      <c r="N4609" s="54"/>
    </row>
    <row r="4610" spans="2:14" x14ac:dyDescent="0.2">
      <c r="B4610">
        <f t="shared" si="193"/>
        <v>4601</v>
      </c>
      <c r="C4610" s="52">
        <f ca="1"/>
        <v>-1.4557925210313898</v>
      </c>
      <c r="D4610" s="52">
        <f ca="1">S0*EXP((μ-0.5*σ*σ)*T+σ*SQRT(T)*$C4610)</f>
        <v>0.43052989996547963</v>
      </c>
      <c r="E4610" s="52">
        <f t="shared" ca="1" si="191"/>
        <v>0.10387010003452035</v>
      </c>
      <c r="F4610" s="17">
        <f t="shared" ca="1" si="192"/>
        <v>1</v>
      </c>
      <c r="H4610" s="17">
        <v>4601</v>
      </c>
      <c r="I4610" s="45">
        <v>0.67190050125669742</v>
      </c>
      <c r="J4610" s="45">
        <v>1.9472142309133942E-2</v>
      </c>
      <c r="K4610" s="45">
        <v>0.25</v>
      </c>
      <c r="N4610" s="54"/>
    </row>
    <row r="4611" spans="2:14" x14ac:dyDescent="0.2">
      <c r="B4611">
        <f t="shared" si="193"/>
        <v>4602</v>
      </c>
      <c r="C4611" s="52">
        <f ca="1"/>
        <v>-2.8457128406387686</v>
      </c>
      <c r="D4611" s="52">
        <f ca="1">S0*EXP((μ-0.5*σ*σ)*T+σ*SQRT(T)*$C4611)</f>
        <v>0.29318318213857636</v>
      </c>
      <c r="E4611" s="52">
        <f t="shared" ca="1" si="191"/>
        <v>0.24121681786142363</v>
      </c>
      <c r="F4611" s="17">
        <f t="shared" ca="1" si="192"/>
        <v>1</v>
      </c>
      <c r="H4611" s="17">
        <v>4602</v>
      </c>
      <c r="I4611" s="45">
        <v>0.67028920968106676</v>
      </c>
      <c r="J4611" s="45">
        <v>1.861240354026681E-2</v>
      </c>
      <c r="K4611" s="45">
        <v>0.25</v>
      </c>
      <c r="N4611" s="54"/>
    </row>
    <row r="4612" spans="2:14" x14ac:dyDescent="0.2">
      <c r="B4612">
        <f t="shared" si="193"/>
        <v>4603</v>
      </c>
      <c r="C4612" s="52">
        <f ca="1"/>
        <v>-0.2563993790264873</v>
      </c>
      <c r="D4612" s="52">
        <f ca="1">S0*EXP((μ-0.5*σ*σ)*T+σ*SQRT(T)*$C4612)</f>
        <v>0.59978306758907518</v>
      </c>
      <c r="E4612" s="52">
        <f t="shared" ca="1" si="191"/>
        <v>0</v>
      </c>
      <c r="F4612" s="17">
        <f t="shared" ca="1" si="192"/>
        <v>0</v>
      </c>
      <c r="H4612" s="17">
        <v>4603</v>
      </c>
      <c r="I4612" s="45">
        <v>0.67048277756181096</v>
      </c>
      <c r="J4612" s="45">
        <v>1.8865608725707781E-2</v>
      </c>
      <c r="K4612" s="45">
        <v>0.24779999999999999</v>
      </c>
      <c r="N4612" s="54"/>
    </row>
    <row r="4613" spans="2:14" x14ac:dyDescent="0.2">
      <c r="B4613">
        <f t="shared" si="193"/>
        <v>4604</v>
      </c>
      <c r="C4613" s="52">
        <f ca="1"/>
        <v>-1.1306389447551741</v>
      </c>
      <c r="D4613" s="52">
        <f ca="1">S0*EXP((μ-0.5*σ*σ)*T+σ*SQRT(T)*$C4613)</f>
        <v>0.47101964190286533</v>
      </c>
      <c r="E4613" s="52">
        <f t="shared" ca="1" si="191"/>
        <v>6.3380358097134659E-2</v>
      </c>
      <c r="F4613" s="17">
        <f t="shared" ca="1" si="192"/>
        <v>1</v>
      </c>
      <c r="H4613" s="17">
        <v>4604</v>
      </c>
      <c r="I4613" s="45">
        <v>0.67143667933303963</v>
      </c>
      <c r="J4613" s="45">
        <v>1.9547163728600117E-2</v>
      </c>
      <c r="K4613" s="45">
        <v>0.26140000000000002</v>
      </c>
      <c r="N4613" s="54"/>
    </row>
    <row r="4614" spans="2:14" x14ac:dyDescent="0.2">
      <c r="B4614">
        <f t="shared" si="193"/>
        <v>4605</v>
      </c>
      <c r="C4614" s="52">
        <f ca="1"/>
        <v>6.4736205176980047E-2</v>
      </c>
      <c r="D4614" s="52">
        <f ca="1">S0*EXP((μ-0.5*σ*σ)*T+σ*SQRT(T)*$C4614)</f>
        <v>0.65546201433404094</v>
      </c>
      <c r="E4614" s="52">
        <f t="shared" ca="1" si="191"/>
        <v>0</v>
      </c>
      <c r="F4614" s="17">
        <f t="shared" ca="1" si="192"/>
        <v>0</v>
      </c>
      <c r="H4614" s="17">
        <v>4605</v>
      </c>
      <c r="I4614" s="45">
        <v>0.6714316031130354</v>
      </c>
      <c r="J4614" s="45">
        <v>1.9506898274770718E-2</v>
      </c>
      <c r="K4614" s="45">
        <v>0.24859999999999999</v>
      </c>
      <c r="N4614" s="54"/>
    </row>
    <row r="4615" spans="2:14" x14ac:dyDescent="0.2">
      <c r="B4615">
        <f t="shared" si="193"/>
        <v>4606</v>
      </c>
      <c r="C4615" s="52">
        <f ca="1"/>
        <v>-0.80682809230683261</v>
      </c>
      <c r="D4615" s="52">
        <f ca="1">S0*EXP((μ-0.5*σ*σ)*T+σ*SQRT(T)*$C4615)</f>
        <v>0.51512605792443011</v>
      </c>
      <c r="E4615" s="52">
        <f t="shared" ca="1" si="191"/>
        <v>1.9273942075569872E-2</v>
      </c>
      <c r="F4615" s="17">
        <f t="shared" ca="1" si="192"/>
        <v>1</v>
      </c>
      <c r="H4615" s="17">
        <v>4606</v>
      </c>
      <c r="I4615" s="45">
        <v>0.67030598544916309</v>
      </c>
      <c r="J4615" s="45">
        <v>1.8439126637928151E-2</v>
      </c>
      <c r="K4615" s="45">
        <v>0.2452</v>
      </c>
      <c r="N4615" s="54"/>
    </row>
    <row r="4616" spans="2:14" x14ac:dyDescent="0.2">
      <c r="B4616">
        <f t="shared" si="193"/>
        <v>4607</v>
      </c>
      <c r="C4616" s="52">
        <f ca="1"/>
        <v>0.75601985729743471</v>
      </c>
      <c r="D4616" s="52">
        <f ca="1">S0*EXP((μ-0.5*σ*σ)*T+σ*SQRT(T)*$C4616)</f>
        <v>0.79348420122660912</v>
      </c>
      <c r="E4616" s="52">
        <f t="shared" ca="1" si="191"/>
        <v>0</v>
      </c>
      <c r="F4616" s="17">
        <f t="shared" ca="1" si="192"/>
        <v>0</v>
      </c>
      <c r="H4616" s="17">
        <v>4607</v>
      </c>
      <c r="I4616" s="45">
        <v>0.67022132126659684</v>
      </c>
      <c r="J4616" s="45">
        <v>1.8586109908935357E-2</v>
      </c>
      <c r="K4616" s="45">
        <v>0.24460000000000001</v>
      </c>
      <c r="N4616" s="54"/>
    </row>
    <row r="4617" spans="2:14" x14ac:dyDescent="0.2">
      <c r="B4617">
        <f t="shared" si="193"/>
        <v>4608</v>
      </c>
      <c r="C4617" s="52">
        <f ca="1"/>
        <v>0.58312090709471875</v>
      </c>
      <c r="D4617" s="52">
        <f ca="1">S0*EXP((μ-0.5*σ*σ)*T+σ*SQRT(T)*$C4617)</f>
        <v>0.75645174062365239</v>
      </c>
      <c r="E4617" s="52">
        <f t="shared" ca="1" si="191"/>
        <v>0</v>
      </c>
      <c r="F4617" s="17">
        <f t="shared" ca="1" si="192"/>
        <v>0</v>
      </c>
      <c r="H4617" s="17">
        <v>4608</v>
      </c>
      <c r="I4617" s="45">
        <v>0.67124725716121236</v>
      </c>
      <c r="J4617" s="45">
        <v>1.9222341316740849E-2</v>
      </c>
      <c r="K4617" s="45">
        <v>0.24779999999999999</v>
      </c>
      <c r="N4617" s="54"/>
    </row>
    <row r="4618" spans="2:14" x14ac:dyDescent="0.2">
      <c r="B4618">
        <f t="shared" si="193"/>
        <v>4609</v>
      </c>
      <c r="C4618" s="52">
        <f ca="1"/>
        <v>-1.0787452749921096</v>
      </c>
      <c r="D4618" s="52">
        <f ca="1">S0*EXP((μ-0.5*σ*σ)*T+σ*SQRT(T)*$C4618)</f>
        <v>0.47782516082236132</v>
      </c>
      <c r="E4618" s="52">
        <f t="shared" ref="E4618:E4681" ca="1" si="194">MAX(0,CP*(D4618-K))</f>
        <v>5.6574839177638669E-2</v>
      </c>
      <c r="F4618" s="17">
        <f t="shared" ref="F4618:F4681" ca="1" si="195">(CP*(D4618-K)&gt;0)*1</f>
        <v>1</v>
      </c>
      <c r="H4618" s="17">
        <v>4609</v>
      </c>
      <c r="I4618" s="45">
        <v>0.67049236224190245</v>
      </c>
      <c r="J4618" s="45">
        <v>1.8715224954869072E-2</v>
      </c>
      <c r="K4618" s="45">
        <v>0.2492</v>
      </c>
      <c r="N4618" s="54"/>
    </row>
    <row r="4619" spans="2:14" x14ac:dyDescent="0.2">
      <c r="B4619">
        <f t="shared" si="193"/>
        <v>4610</v>
      </c>
      <c r="C4619" s="52">
        <f ca="1"/>
        <v>-2.7447055449987041</v>
      </c>
      <c r="D4619" s="52">
        <f ca="1">S0*EXP((μ-0.5*σ*σ)*T+σ*SQRT(T)*$C4619)</f>
        <v>0.30148471224954454</v>
      </c>
      <c r="E4619" s="52">
        <f t="shared" ca="1" si="194"/>
        <v>0.23291528775045545</v>
      </c>
      <c r="F4619" s="17">
        <f t="shared" ca="1" si="195"/>
        <v>1</v>
      </c>
      <c r="H4619" s="17">
        <v>4610</v>
      </c>
      <c r="I4619" s="45">
        <v>0.66991533587360186</v>
      </c>
      <c r="J4619" s="45">
        <v>1.8266553294066852E-2</v>
      </c>
      <c r="K4619" s="45">
        <v>0.248</v>
      </c>
      <c r="N4619" s="54"/>
    </row>
    <row r="4620" spans="2:14" x14ac:dyDescent="0.2">
      <c r="B4620">
        <f t="shared" si="193"/>
        <v>4611</v>
      </c>
      <c r="C4620" s="52">
        <f ca="1"/>
        <v>-0.7200170900947005</v>
      </c>
      <c r="D4620" s="52">
        <f ca="1">S0*EXP((μ-0.5*σ*σ)*T+σ*SQRT(T)*$C4620)</f>
        <v>0.52763725305930909</v>
      </c>
      <c r="E4620" s="52">
        <f t="shared" ca="1" si="194"/>
        <v>6.7627469406909002E-3</v>
      </c>
      <c r="F4620" s="17">
        <f t="shared" ca="1" si="195"/>
        <v>1</v>
      </c>
      <c r="H4620" s="17">
        <v>4611</v>
      </c>
      <c r="I4620" s="45">
        <v>0.66992165368359402</v>
      </c>
      <c r="J4620" s="45">
        <v>1.8334823133240686E-2</v>
      </c>
      <c r="K4620" s="45">
        <v>0.24279999999999999</v>
      </c>
      <c r="N4620" s="54"/>
    </row>
    <row r="4621" spans="2:14" x14ac:dyDescent="0.2">
      <c r="B4621">
        <f t="shared" si="193"/>
        <v>4612</v>
      </c>
      <c r="C4621" s="52">
        <f ca="1"/>
        <v>-0.83696234717435125</v>
      </c>
      <c r="D4621" s="52">
        <f ca="1">S0*EXP((μ-0.5*σ*σ)*T+σ*SQRT(T)*$C4621)</f>
        <v>0.51085283550258986</v>
      </c>
      <c r="E4621" s="52">
        <f t="shared" ca="1" si="194"/>
        <v>2.3547164497410122E-2</v>
      </c>
      <c r="F4621" s="17">
        <f t="shared" ca="1" si="195"/>
        <v>1</v>
      </c>
      <c r="H4621" s="17">
        <v>4612</v>
      </c>
      <c r="I4621" s="45">
        <v>0.6708701807095595</v>
      </c>
      <c r="J4621" s="45">
        <v>1.8908392583551651E-2</v>
      </c>
      <c r="K4621" s="45">
        <v>0.2462</v>
      </c>
      <c r="N4621" s="54"/>
    </row>
    <row r="4622" spans="2:14" x14ac:dyDescent="0.2">
      <c r="B4622">
        <f t="shared" si="193"/>
        <v>4613</v>
      </c>
      <c r="C4622" s="52">
        <f ca="1"/>
        <v>-1.3167778465750062</v>
      </c>
      <c r="D4622" s="52">
        <f ca="1">S0*EXP((μ-0.5*σ*σ)*T+σ*SQRT(T)*$C4622)</f>
        <v>0.44739637708001861</v>
      </c>
      <c r="E4622" s="52">
        <f t="shared" ca="1" si="194"/>
        <v>8.7003622919981372E-2</v>
      </c>
      <c r="F4622" s="17">
        <f t="shared" ca="1" si="195"/>
        <v>1</v>
      </c>
      <c r="H4622" s="17">
        <v>4613</v>
      </c>
      <c r="I4622" s="45">
        <v>0.67113644708874531</v>
      </c>
      <c r="J4622" s="45">
        <v>1.912785005920168E-2</v>
      </c>
      <c r="K4622" s="45">
        <v>0.25</v>
      </c>
      <c r="N4622" s="54"/>
    </row>
    <row r="4623" spans="2:14" x14ac:dyDescent="0.2">
      <c r="B4623">
        <f t="shared" si="193"/>
        <v>4614</v>
      </c>
      <c r="C4623" s="52">
        <f ca="1"/>
        <v>2.6257097138492769E-2</v>
      </c>
      <c r="D4623" s="52">
        <f ca="1">S0*EXP((μ-0.5*σ*σ)*T+σ*SQRT(T)*$C4623)</f>
        <v>0.6485268952066372</v>
      </c>
      <c r="E4623" s="52">
        <f t="shared" ca="1" si="194"/>
        <v>0</v>
      </c>
      <c r="F4623" s="17">
        <f t="shared" ca="1" si="195"/>
        <v>0</v>
      </c>
      <c r="H4623" s="17">
        <v>4614</v>
      </c>
      <c r="I4623" s="45">
        <v>0.67220655094160242</v>
      </c>
      <c r="J4623" s="45">
        <v>2.0003019148295591E-2</v>
      </c>
      <c r="K4623" s="45">
        <v>0.253</v>
      </c>
      <c r="N4623" s="54"/>
    </row>
    <row r="4624" spans="2:14" x14ac:dyDescent="0.2">
      <c r="B4624">
        <f t="shared" si="193"/>
        <v>4615</v>
      </c>
      <c r="C4624" s="52">
        <f ca="1"/>
        <v>9.3920266519609441E-2</v>
      </c>
      <c r="D4624" s="52">
        <f ca="1">S0*EXP((μ-0.5*σ*σ)*T+σ*SQRT(T)*$C4624)</f>
        <v>0.66077129123412859</v>
      </c>
      <c r="E4624" s="52">
        <f t="shared" ca="1" si="194"/>
        <v>0</v>
      </c>
      <c r="F4624" s="17">
        <f t="shared" ca="1" si="195"/>
        <v>0</v>
      </c>
      <c r="H4624" s="17">
        <v>4615</v>
      </c>
      <c r="I4624" s="45">
        <v>0.67076143145720135</v>
      </c>
      <c r="J4624" s="45">
        <v>1.8917642870375461E-2</v>
      </c>
      <c r="K4624" s="45">
        <v>0.24440000000000001</v>
      </c>
      <c r="N4624" s="54"/>
    </row>
    <row r="4625" spans="2:14" x14ac:dyDescent="0.2">
      <c r="B4625">
        <f t="shared" si="193"/>
        <v>4616</v>
      </c>
      <c r="C4625" s="52">
        <f ca="1"/>
        <v>4.5422536601050584E-2</v>
      </c>
      <c r="D4625" s="52">
        <f ca="1">S0*EXP((μ-0.5*σ*σ)*T+σ*SQRT(T)*$C4625)</f>
        <v>0.65197187626779773</v>
      </c>
      <c r="E4625" s="52">
        <f t="shared" ca="1" si="194"/>
        <v>0</v>
      </c>
      <c r="F4625" s="17">
        <f t="shared" ca="1" si="195"/>
        <v>0</v>
      </c>
      <c r="H4625" s="17">
        <v>4616</v>
      </c>
      <c r="I4625" s="45">
        <v>0.67087749229728244</v>
      </c>
      <c r="J4625" s="45">
        <v>1.8904033239389752E-2</v>
      </c>
      <c r="K4625" s="45">
        <v>0.24299999999999999</v>
      </c>
      <c r="N4625" s="54"/>
    </row>
    <row r="4626" spans="2:14" x14ac:dyDescent="0.2">
      <c r="B4626">
        <f t="shared" si="193"/>
        <v>4617</v>
      </c>
      <c r="C4626" s="52">
        <f ca="1"/>
        <v>-0.5055449624711319</v>
      </c>
      <c r="D4626" s="52">
        <f ca="1">S0*EXP((μ-0.5*σ*σ)*T+σ*SQRT(T)*$C4626)</f>
        <v>0.55986523113928266</v>
      </c>
      <c r="E4626" s="52">
        <f t="shared" ca="1" si="194"/>
        <v>0</v>
      </c>
      <c r="F4626" s="17">
        <f t="shared" ca="1" si="195"/>
        <v>0</v>
      </c>
      <c r="H4626" s="17">
        <v>4617</v>
      </c>
      <c r="I4626" s="45">
        <v>0.67111823308425278</v>
      </c>
      <c r="J4626" s="45">
        <v>1.9024837324479491E-2</v>
      </c>
      <c r="K4626" s="45">
        <v>0.2482</v>
      </c>
      <c r="N4626" s="54"/>
    </row>
    <row r="4627" spans="2:14" x14ac:dyDescent="0.2">
      <c r="B4627">
        <f t="shared" si="193"/>
        <v>4618</v>
      </c>
      <c r="C4627" s="52">
        <f ca="1"/>
        <v>-0.82033144068025476</v>
      </c>
      <c r="D4627" s="52">
        <f ca="1">S0*EXP((μ-0.5*σ*σ)*T+σ*SQRT(T)*$C4627)</f>
        <v>0.5132067979508782</v>
      </c>
      <c r="E4627" s="52">
        <f t="shared" ca="1" si="194"/>
        <v>2.1193202049121784E-2</v>
      </c>
      <c r="F4627" s="17">
        <f t="shared" ca="1" si="195"/>
        <v>1</v>
      </c>
      <c r="H4627" s="17">
        <v>4618</v>
      </c>
      <c r="I4627" s="45">
        <v>0.67216838343496943</v>
      </c>
      <c r="J4627" s="45">
        <v>1.9928861818337477E-2</v>
      </c>
      <c r="K4627" s="45">
        <v>0.25740000000000002</v>
      </c>
      <c r="N4627" s="54"/>
    </row>
    <row r="4628" spans="2:14" x14ac:dyDescent="0.2">
      <c r="B4628">
        <f t="shared" si="193"/>
        <v>4619</v>
      </c>
      <c r="C4628" s="52">
        <f ca="1"/>
        <v>-0.81943688124678637</v>
      </c>
      <c r="D4628" s="52">
        <f ca="1">S0*EXP((μ-0.5*σ*σ)*T+σ*SQRT(T)*$C4628)</f>
        <v>0.51333372214674278</v>
      </c>
      <c r="E4628" s="52">
        <f t="shared" ca="1" si="194"/>
        <v>2.1066277853257209E-2</v>
      </c>
      <c r="F4628" s="17">
        <f t="shared" ca="1" si="195"/>
        <v>1</v>
      </c>
      <c r="H4628" s="17">
        <v>4619</v>
      </c>
      <c r="I4628" s="45">
        <v>0.67093799747075622</v>
      </c>
      <c r="J4628" s="45">
        <v>1.925257116366787E-2</v>
      </c>
      <c r="K4628" s="45">
        <v>0.24779999999999999</v>
      </c>
      <c r="N4628" s="54"/>
    </row>
    <row r="4629" spans="2:14" x14ac:dyDescent="0.2">
      <c r="B4629">
        <f t="shared" si="193"/>
        <v>4620</v>
      </c>
      <c r="C4629" s="52">
        <f ca="1"/>
        <v>0.67824822559431197</v>
      </c>
      <c r="D4629" s="52">
        <f ca="1">S0*EXP((μ-0.5*σ*σ)*T+σ*SQRT(T)*$C4629)</f>
        <v>0.77660745900021677</v>
      </c>
      <c r="E4629" s="52">
        <f t="shared" ca="1" si="194"/>
        <v>0</v>
      </c>
      <c r="F4629" s="17">
        <f t="shared" ca="1" si="195"/>
        <v>0</v>
      </c>
      <c r="H4629" s="17">
        <v>4620</v>
      </c>
      <c r="I4629" s="45">
        <v>0.67042688401061146</v>
      </c>
      <c r="J4629" s="45">
        <v>1.8421704017336588E-2</v>
      </c>
      <c r="K4629" s="45">
        <v>0.24479999999999999</v>
      </c>
      <c r="N4629" s="54"/>
    </row>
    <row r="4630" spans="2:14" x14ac:dyDescent="0.2">
      <c r="B4630">
        <f t="shared" si="193"/>
        <v>4621</v>
      </c>
      <c r="C4630" s="52">
        <f ca="1"/>
        <v>0.79240452587803467</v>
      </c>
      <c r="D4630" s="52">
        <f ca="1">S0*EXP((μ-0.5*σ*σ)*T+σ*SQRT(T)*$C4630)</f>
        <v>0.80150526014292489</v>
      </c>
      <c r="E4630" s="52">
        <f t="shared" ca="1" si="194"/>
        <v>0</v>
      </c>
      <c r="F4630" s="17">
        <f t="shared" ca="1" si="195"/>
        <v>0</v>
      </c>
      <c r="H4630" s="17">
        <v>4621</v>
      </c>
      <c r="I4630" s="45">
        <v>0.67128943502288829</v>
      </c>
      <c r="J4630" s="45">
        <v>1.94053761020779E-2</v>
      </c>
      <c r="K4630" s="45">
        <v>0.25280000000000002</v>
      </c>
      <c r="N4630" s="54"/>
    </row>
    <row r="4631" spans="2:14" x14ac:dyDescent="0.2">
      <c r="B4631">
        <f t="shared" si="193"/>
        <v>4622</v>
      </c>
      <c r="C4631" s="52">
        <f ca="1"/>
        <v>1.2382865882766749</v>
      </c>
      <c r="D4631" s="52">
        <f ca="1">S0*EXP((μ-0.5*σ*σ)*T+σ*SQRT(T)*$C4631)</f>
        <v>0.90664215371530332</v>
      </c>
      <c r="E4631" s="52">
        <f t="shared" ca="1" si="194"/>
        <v>0</v>
      </c>
      <c r="F4631" s="17">
        <f t="shared" ca="1" si="195"/>
        <v>0</v>
      </c>
      <c r="H4631" s="17">
        <v>4622</v>
      </c>
      <c r="I4631" s="45">
        <v>0.67007282700122051</v>
      </c>
      <c r="J4631" s="45">
        <v>1.8343035182976905E-2</v>
      </c>
      <c r="K4631" s="45">
        <v>0.24879999999999999</v>
      </c>
      <c r="N4631" s="54"/>
    </row>
    <row r="4632" spans="2:14" x14ac:dyDescent="0.2">
      <c r="B4632">
        <f t="shared" si="193"/>
        <v>4623</v>
      </c>
      <c r="C4632" s="52">
        <f ca="1"/>
        <v>0.41124110024106442</v>
      </c>
      <c r="D4632" s="52">
        <f ca="1">S0*EXP((μ-0.5*σ*σ)*T+σ*SQRT(T)*$C4632)</f>
        <v>0.72135080423068454</v>
      </c>
      <c r="E4632" s="52">
        <f t="shared" ca="1" si="194"/>
        <v>0</v>
      </c>
      <c r="F4632" s="17">
        <f t="shared" ca="1" si="195"/>
        <v>0</v>
      </c>
      <c r="H4632" s="17">
        <v>4623</v>
      </c>
      <c r="I4632" s="45">
        <v>0.67084937358238927</v>
      </c>
      <c r="J4632" s="45">
        <v>1.8554154818667099E-2</v>
      </c>
      <c r="K4632" s="45">
        <v>0.24460000000000001</v>
      </c>
      <c r="N4632" s="54"/>
    </row>
    <row r="4633" spans="2:14" x14ac:dyDescent="0.2">
      <c r="B4633">
        <f t="shared" si="193"/>
        <v>4624</v>
      </c>
      <c r="C4633" s="52">
        <f ca="1"/>
        <v>0.14339571387584799</v>
      </c>
      <c r="D4633" s="52">
        <f ca="1">S0*EXP((μ-0.5*σ*σ)*T+σ*SQRT(T)*$C4633)</f>
        <v>0.66987049190624137</v>
      </c>
      <c r="E4633" s="52">
        <f t="shared" ca="1" si="194"/>
        <v>0</v>
      </c>
      <c r="F4633" s="17">
        <f t="shared" ca="1" si="195"/>
        <v>0</v>
      </c>
      <c r="H4633" s="17">
        <v>4624</v>
      </c>
      <c r="I4633" s="45">
        <v>0.67041729203226252</v>
      </c>
      <c r="J4633" s="45">
        <v>1.8274979194821309E-2</v>
      </c>
      <c r="K4633" s="45">
        <v>0.23380000000000001</v>
      </c>
      <c r="N4633" s="54"/>
    </row>
    <row r="4634" spans="2:14" x14ac:dyDescent="0.2">
      <c r="B4634">
        <f t="shared" si="193"/>
        <v>4625</v>
      </c>
      <c r="C4634" s="52">
        <f ca="1"/>
        <v>1.0437866275984662</v>
      </c>
      <c r="D4634" s="52">
        <f ca="1">S0*EXP((μ-0.5*σ*σ)*T+σ*SQRT(T)*$C4634)</f>
        <v>0.85918281380841854</v>
      </c>
      <c r="E4634" s="52">
        <f t="shared" ca="1" si="194"/>
        <v>0</v>
      </c>
      <c r="F4634" s="17">
        <f t="shared" ca="1" si="195"/>
        <v>0</v>
      </c>
      <c r="H4634" s="17">
        <v>4625</v>
      </c>
      <c r="I4634" s="45">
        <v>0.67119939661463945</v>
      </c>
      <c r="J4634" s="45">
        <v>1.9239110434092876E-2</v>
      </c>
      <c r="K4634" s="45">
        <v>0.253</v>
      </c>
      <c r="N4634" s="54"/>
    </row>
    <row r="4635" spans="2:14" x14ac:dyDescent="0.2">
      <c r="B4635">
        <f t="shared" si="193"/>
        <v>4626</v>
      </c>
      <c r="C4635" s="52">
        <f ca="1"/>
        <v>-0.29704668777933319</v>
      </c>
      <c r="D4635" s="52">
        <f ca="1">S0*EXP((μ-0.5*σ*σ)*T+σ*SQRT(T)*$C4635)</f>
        <v>0.59308148327498011</v>
      </c>
      <c r="E4635" s="52">
        <f t="shared" ca="1" si="194"/>
        <v>0</v>
      </c>
      <c r="F4635" s="17">
        <f t="shared" ca="1" si="195"/>
        <v>0</v>
      </c>
      <c r="H4635" s="17">
        <v>4626</v>
      </c>
      <c r="I4635" s="45">
        <v>0.67080079365197065</v>
      </c>
      <c r="J4635" s="45">
        <v>1.8771625945644094E-2</v>
      </c>
      <c r="K4635" s="45">
        <v>0.25119999999999998</v>
      </c>
      <c r="N4635" s="54"/>
    </row>
    <row r="4636" spans="2:14" x14ac:dyDescent="0.2">
      <c r="B4636">
        <f t="shared" si="193"/>
        <v>4627</v>
      </c>
      <c r="C4636" s="52">
        <f ca="1"/>
        <v>1.0511686682850969</v>
      </c>
      <c r="D4636" s="52">
        <f ca="1">S0*EXP((μ-0.5*σ*σ)*T+σ*SQRT(T)*$C4636)</f>
        <v>0.86093788335883714</v>
      </c>
      <c r="E4636" s="52">
        <f t="shared" ca="1" si="194"/>
        <v>0</v>
      </c>
      <c r="F4636" s="17">
        <f t="shared" ca="1" si="195"/>
        <v>0</v>
      </c>
      <c r="H4636" s="17">
        <v>4627</v>
      </c>
      <c r="I4636" s="45">
        <v>0.66996914147261932</v>
      </c>
      <c r="J4636" s="45">
        <v>1.834461335648177E-2</v>
      </c>
      <c r="K4636" s="45">
        <v>0.24379999999999999</v>
      </c>
      <c r="N4636" s="54"/>
    </row>
    <row r="4637" spans="2:14" x14ac:dyDescent="0.2">
      <c r="B4637">
        <f t="shared" si="193"/>
        <v>4628</v>
      </c>
      <c r="C4637" s="52">
        <f ca="1"/>
        <v>-2.617602042739877E-2</v>
      </c>
      <c r="D4637" s="52">
        <f ca="1">S0*EXP((μ-0.5*σ*σ)*T+σ*SQRT(T)*$C4637)</f>
        <v>0.63919479881172625</v>
      </c>
      <c r="E4637" s="52">
        <f t="shared" ca="1" si="194"/>
        <v>0</v>
      </c>
      <c r="F4637" s="17">
        <f t="shared" ca="1" si="195"/>
        <v>0</v>
      </c>
      <c r="H4637" s="17">
        <v>4628</v>
      </c>
      <c r="I4637" s="45">
        <v>0.67038372967195881</v>
      </c>
      <c r="J4637" s="45">
        <v>1.8626488962252788E-2</v>
      </c>
      <c r="K4637" s="45">
        <v>0.24759999999999999</v>
      </c>
      <c r="N4637" s="54"/>
    </row>
    <row r="4638" spans="2:14" x14ac:dyDescent="0.2">
      <c r="B4638">
        <f t="shared" si="193"/>
        <v>4629</v>
      </c>
      <c r="C4638" s="52">
        <f ca="1"/>
        <v>1.379426882182806</v>
      </c>
      <c r="D4638" s="52">
        <f ca="1">S0*EXP((μ-0.5*σ*σ)*T+σ*SQRT(T)*$C4638)</f>
        <v>0.94271461351055552</v>
      </c>
      <c r="E4638" s="52">
        <f t="shared" ca="1" si="194"/>
        <v>0</v>
      </c>
      <c r="F4638" s="17">
        <f t="shared" ca="1" si="195"/>
        <v>0</v>
      </c>
      <c r="H4638" s="17">
        <v>4629</v>
      </c>
      <c r="I4638" s="45">
        <v>0.67065229427972395</v>
      </c>
      <c r="J4638" s="45">
        <v>1.8746139067985307E-2</v>
      </c>
      <c r="K4638" s="45">
        <v>0.24540000000000001</v>
      </c>
      <c r="N4638" s="54"/>
    </row>
    <row r="4639" spans="2:14" x14ac:dyDescent="0.2">
      <c r="B4639">
        <f t="shared" si="193"/>
        <v>4630</v>
      </c>
      <c r="C4639" s="52">
        <f ca="1"/>
        <v>1.0712561234820763</v>
      </c>
      <c r="D4639" s="52">
        <f ca="1">S0*EXP((μ-0.5*σ*σ)*T+σ*SQRT(T)*$C4639)</f>
        <v>0.86573181900743834</v>
      </c>
      <c r="E4639" s="52">
        <f t="shared" ca="1" si="194"/>
        <v>0</v>
      </c>
      <c r="F4639" s="17">
        <f t="shared" ca="1" si="195"/>
        <v>0</v>
      </c>
      <c r="H4639" s="17">
        <v>4630</v>
      </c>
      <c r="I4639" s="45">
        <v>0.67186286773667903</v>
      </c>
      <c r="J4639" s="45">
        <v>1.9580176387344998E-2</v>
      </c>
      <c r="K4639" s="45">
        <v>0.25480000000000003</v>
      </c>
      <c r="N4639" s="54"/>
    </row>
    <row r="4640" spans="2:14" x14ac:dyDescent="0.2">
      <c r="B4640">
        <f t="shared" si="193"/>
        <v>4631</v>
      </c>
      <c r="C4640" s="52">
        <f ca="1"/>
        <v>-1.5209166423312455</v>
      </c>
      <c r="D4640" s="52">
        <f ca="1">S0*EXP((μ-0.5*σ*σ)*T+σ*SQRT(T)*$C4640)</f>
        <v>0.4228486658099902</v>
      </c>
      <c r="E4640" s="52">
        <f t="shared" ca="1" si="194"/>
        <v>0.11155133419000979</v>
      </c>
      <c r="F4640" s="17">
        <f t="shared" ca="1" si="195"/>
        <v>1</v>
      </c>
      <c r="H4640" s="17">
        <v>4631</v>
      </c>
      <c r="I4640" s="45">
        <v>0.67123069468972363</v>
      </c>
      <c r="J4640" s="45">
        <v>1.9476989313819779E-2</v>
      </c>
      <c r="K4640" s="45">
        <v>0.25640000000000002</v>
      </c>
      <c r="N4640" s="54"/>
    </row>
    <row r="4641" spans="2:14" x14ac:dyDescent="0.2">
      <c r="B4641">
        <f t="shared" si="193"/>
        <v>4632</v>
      </c>
      <c r="C4641" s="52">
        <f ca="1"/>
        <v>-0.24945539151770366</v>
      </c>
      <c r="D4641" s="52">
        <f ca="1">S0*EXP((μ-0.5*σ*σ)*T+σ*SQRT(T)*$C4641)</f>
        <v>0.60093548323053625</v>
      </c>
      <c r="E4641" s="52">
        <f t="shared" ca="1" si="194"/>
        <v>0</v>
      </c>
      <c r="F4641" s="17">
        <f t="shared" ca="1" si="195"/>
        <v>0</v>
      </c>
      <c r="H4641" s="17">
        <v>4632</v>
      </c>
      <c r="I4641" s="45">
        <v>0.67107145997278705</v>
      </c>
      <c r="J4641" s="45">
        <v>1.9074197871294125E-2</v>
      </c>
      <c r="K4641" s="45">
        <v>0.25140000000000001</v>
      </c>
      <c r="N4641" s="54"/>
    </row>
    <row r="4642" spans="2:14" x14ac:dyDescent="0.2">
      <c r="B4642">
        <f t="shared" si="193"/>
        <v>4633</v>
      </c>
      <c r="C4642" s="52">
        <f ca="1"/>
        <v>-0.30458390635076282</v>
      </c>
      <c r="D4642" s="52">
        <f ca="1">S0*EXP((μ-0.5*σ*σ)*T+σ*SQRT(T)*$C4642)</f>
        <v>0.59184706528681041</v>
      </c>
      <c r="E4642" s="52">
        <f t="shared" ca="1" si="194"/>
        <v>0</v>
      </c>
      <c r="F4642" s="17">
        <f t="shared" ca="1" si="195"/>
        <v>0</v>
      </c>
      <c r="H4642" s="17">
        <v>4633</v>
      </c>
      <c r="I4642" s="45">
        <v>0.67092144457731984</v>
      </c>
      <c r="J4642" s="45">
        <v>1.9233833383979528E-2</v>
      </c>
      <c r="K4642" s="45">
        <v>0.25040000000000001</v>
      </c>
      <c r="N4642" s="54"/>
    </row>
    <row r="4643" spans="2:14" x14ac:dyDescent="0.2">
      <c r="B4643">
        <f t="shared" si="193"/>
        <v>4634</v>
      </c>
      <c r="C4643" s="52">
        <f ca="1"/>
        <v>1.7184021434767032</v>
      </c>
      <c r="D4643" s="52">
        <f ca="1">S0*EXP((μ-0.5*σ*σ)*T+σ*SQRT(T)*$C4643)</f>
        <v>1.0353216013422091</v>
      </c>
      <c r="E4643" s="52">
        <f t="shared" ca="1" si="194"/>
        <v>0</v>
      </c>
      <c r="F4643" s="17">
        <f t="shared" ca="1" si="195"/>
        <v>0</v>
      </c>
      <c r="H4643" s="17">
        <v>4634</v>
      </c>
      <c r="I4643" s="45">
        <v>0.67180970275216478</v>
      </c>
      <c r="J4643" s="45">
        <v>1.9687317288859581E-2</v>
      </c>
      <c r="K4643" s="45">
        <v>0.25319999999999998</v>
      </c>
      <c r="N4643" s="54"/>
    </row>
    <row r="4644" spans="2:14" x14ac:dyDescent="0.2">
      <c r="B4644">
        <f t="shared" si="193"/>
        <v>4635</v>
      </c>
      <c r="C4644" s="52">
        <f ca="1"/>
        <v>8.8727403482589493E-2</v>
      </c>
      <c r="D4644" s="52">
        <f ca="1">S0*EXP((μ-0.5*σ*σ)*T+σ*SQRT(T)*$C4644)</f>
        <v>0.65982345025012978</v>
      </c>
      <c r="E4644" s="52">
        <f t="shared" ca="1" si="194"/>
        <v>0</v>
      </c>
      <c r="F4644" s="17">
        <f t="shared" ca="1" si="195"/>
        <v>0</v>
      </c>
      <c r="H4644" s="17">
        <v>4635</v>
      </c>
      <c r="I4644" s="45">
        <v>0.67153159322968292</v>
      </c>
      <c r="J4644" s="45">
        <v>1.9170266882439679E-2</v>
      </c>
      <c r="K4644" s="45">
        <v>0.247</v>
      </c>
      <c r="N4644" s="54"/>
    </row>
    <row r="4645" spans="2:14" x14ac:dyDescent="0.2">
      <c r="B4645">
        <f t="shared" si="193"/>
        <v>4636</v>
      </c>
      <c r="C4645" s="52">
        <f ca="1"/>
        <v>-1.2866046709635024</v>
      </c>
      <c r="D4645" s="52">
        <f ca="1">S0*EXP((μ-0.5*σ*σ)*T+σ*SQRT(T)*$C4645)</f>
        <v>0.45114364768226528</v>
      </c>
      <c r="E4645" s="52">
        <f t="shared" ca="1" si="194"/>
        <v>8.3256352317734705E-2</v>
      </c>
      <c r="F4645" s="17">
        <f t="shared" ca="1" si="195"/>
        <v>1</v>
      </c>
      <c r="H4645" s="17">
        <v>4636</v>
      </c>
      <c r="I4645" s="45">
        <v>0.67106430378142423</v>
      </c>
      <c r="J4645" s="45">
        <v>1.9156969751042283E-2</v>
      </c>
      <c r="K4645" s="45">
        <v>0.24160000000000001</v>
      </c>
      <c r="N4645" s="54"/>
    </row>
    <row r="4646" spans="2:14" x14ac:dyDescent="0.2">
      <c r="B4646">
        <f t="shared" si="193"/>
        <v>4637</v>
      </c>
      <c r="C4646" s="52">
        <f ca="1"/>
        <v>9.4133951528073995E-2</v>
      </c>
      <c r="D4646" s="52">
        <f ca="1">S0*EXP((μ-0.5*σ*σ)*T+σ*SQRT(T)*$C4646)</f>
        <v>0.66081032380607063</v>
      </c>
      <c r="E4646" s="52">
        <f t="shared" ca="1" si="194"/>
        <v>0</v>
      </c>
      <c r="F4646" s="17">
        <f t="shared" ca="1" si="195"/>
        <v>0</v>
      </c>
      <c r="H4646" s="17">
        <v>4637</v>
      </c>
      <c r="I4646" s="45">
        <v>0.67183687032083705</v>
      </c>
      <c r="J4646" s="45">
        <v>1.9875339522567901E-2</v>
      </c>
      <c r="K4646" s="45">
        <v>0.24840000000000001</v>
      </c>
      <c r="N4646" s="54"/>
    </row>
    <row r="4647" spans="2:14" x14ac:dyDescent="0.2">
      <c r="B4647">
        <f t="shared" si="193"/>
        <v>4638</v>
      </c>
      <c r="C4647" s="52">
        <f ca="1"/>
        <v>-4.9974583178307684E-2</v>
      </c>
      <c r="D4647" s="52">
        <f ca="1">S0*EXP((μ-0.5*σ*σ)*T+σ*SQRT(T)*$C4647)</f>
        <v>0.63500353187424574</v>
      </c>
      <c r="E4647" s="52">
        <f t="shared" ca="1" si="194"/>
        <v>0</v>
      </c>
      <c r="F4647" s="17">
        <f t="shared" ca="1" si="195"/>
        <v>0</v>
      </c>
      <c r="H4647" s="17">
        <v>4638</v>
      </c>
      <c r="I4647" s="45">
        <v>0.67143313745124722</v>
      </c>
      <c r="J4647" s="45">
        <v>1.9471743895767078E-2</v>
      </c>
      <c r="K4647" s="45">
        <v>0.25080000000000002</v>
      </c>
      <c r="N4647" s="54"/>
    </row>
    <row r="4648" spans="2:14" x14ac:dyDescent="0.2">
      <c r="B4648">
        <f t="shared" si="193"/>
        <v>4639</v>
      </c>
      <c r="C4648" s="52">
        <f ca="1"/>
        <v>0.50692233956768229</v>
      </c>
      <c r="D4648" s="52">
        <f ca="1">S0*EXP((μ-0.5*σ*σ)*T+σ*SQRT(T)*$C4648)</f>
        <v>0.74068466152309465</v>
      </c>
      <c r="E4648" s="52">
        <f t="shared" ca="1" si="194"/>
        <v>0</v>
      </c>
      <c r="F4648" s="17">
        <f t="shared" ca="1" si="195"/>
        <v>0</v>
      </c>
      <c r="H4648" s="17">
        <v>4639</v>
      </c>
      <c r="I4648" s="45">
        <v>0.6715675740301732</v>
      </c>
      <c r="J4648" s="45">
        <v>1.9582674751382565E-2</v>
      </c>
      <c r="K4648" s="45">
        <v>0.25180000000000002</v>
      </c>
      <c r="N4648" s="54"/>
    </row>
    <row r="4649" spans="2:14" x14ac:dyDescent="0.2">
      <c r="B4649">
        <f t="shared" si="193"/>
        <v>4640</v>
      </c>
      <c r="C4649" s="52">
        <f ca="1"/>
        <v>0.25564606857819239</v>
      </c>
      <c r="D4649" s="52">
        <f ca="1">S0*EXP((μ-0.5*σ*σ)*T+σ*SQRT(T)*$C4649)</f>
        <v>0.69098218756719632</v>
      </c>
      <c r="E4649" s="52">
        <f t="shared" ca="1" si="194"/>
        <v>0</v>
      </c>
      <c r="F4649" s="17">
        <f t="shared" ca="1" si="195"/>
        <v>0</v>
      </c>
      <c r="H4649" s="17">
        <v>4640</v>
      </c>
      <c r="I4649" s="45">
        <v>0.67084278123004881</v>
      </c>
      <c r="J4649" s="45">
        <v>1.8680343553924381E-2</v>
      </c>
      <c r="K4649" s="45">
        <v>0.24</v>
      </c>
      <c r="N4649" s="54"/>
    </row>
    <row r="4650" spans="2:14" x14ac:dyDescent="0.2">
      <c r="B4650">
        <f t="shared" si="193"/>
        <v>4641</v>
      </c>
      <c r="C4650" s="52">
        <f ca="1"/>
        <v>1.1738593652035767</v>
      </c>
      <c r="D4650" s="52">
        <f ca="1">S0*EXP((μ-0.5*σ*σ)*T+σ*SQRT(T)*$C4650)</f>
        <v>0.89063799545011402</v>
      </c>
      <c r="E4650" s="52">
        <f t="shared" ca="1" si="194"/>
        <v>0</v>
      </c>
      <c r="F4650" s="17">
        <f t="shared" ca="1" si="195"/>
        <v>0</v>
      </c>
      <c r="H4650" s="17">
        <v>4641</v>
      </c>
      <c r="I4650" s="45">
        <v>0.6719809291019434</v>
      </c>
      <c r="J4650" s="45">
        <v>1.9637288386444605E-2</v>
      </c>
      <c r="K4650" s="45">
        <v>0.25480000000000003</v>
      </c>
      <c r="N4650" s="54"/>
    </row>
    <row r="4651" spans="2:14" x14ac:dyDescent="0.2">
      <c r="B4651">
        <f t="shared" ref="B4651:B4714" si="196">B4650+1</f>
        <v>4642</v>
      </c>
      <c r="C4651" s="52">
        <f ca="1"/>
        <v>-0.66231835023122398</v>
      </c>
      <c r="D4651" s="52">
        <f ca="1">S0*EXP((μ-0.5*σ*σ)*T+σ*SQRT(T)*$C4651)</f>
        <v>0.5361204385064674</v>
      </c>
      <c r="E4651" s="52">
        <f t="shared" ca="1" si="194"/>
        <v>0</v>
      </c>
      <c r="F4651" s="17">
        <f t="shared" ca="1" si="195"/>
        <v>0</v>
      </c>
      <c r="H4651" s="17">
        <v>4642</v>
      </c>
      <c r="I4651" s="45">
        <v>0.67129396578506351</v>
      </c>
      <c r="J4651" s="45">
        <v>1.9398308274171099E-2</v>
      </c>
      <c r="K4651" s="45">
        <v>0.25140000000000001</v>
      </c>
      <c r="N4651" s="54"/>
    </row>
    <row r="4652" spans="2:14" x14ac:dyDescent="0.2">
      <c r="B4652">
        <f t="shared" si="196"/>
        <v>4643</v>
      </c>
      <c r="C4652" s="52">
        <f ca="1"/>
        <v>-1.9390265768279673E-2</v>
      </c>
      <c r="D4652" s="52">
        <f ca="1">S0*EXP((μ-0.5*σ*σ)*T+σ*SQRT(T)*$C4652)</f>
        <v>0.64039492772002538</v>
      </c>
      <c r="E4652" s="52">
        <f t="shared" ca="1" si="194"/>
        <v>0</v>
      </c>
      <c r="F4652" s="17">
        <f t="shared" ca="1" si="195"/>
        <v>0</v>
      </c>
      <c r="H4652" s="17">
        <v>4643</v>
      </c>
      <c r="I4652" s="45">
        <v>0.67103223860350592</v>
      </c>
      <c r="J4652" s="45">
        <v>1.9119431848937656E-2</v>
      </c>
      <c r="K4652" s="45">
        <v>0.25159999999999999</v>
      </c>
      <c r="N4652" s="54"/>
    </row>
    <row r="4653" spans="2:14" x14ac:dyDescent="0.2">
      <c r="B4653">
        <f t="shared" si="196"/>
        <v>4644</v>
      </c>
      <c r="C4653" s="52">
        <f ca="1"/>
        <v>1.1675094242004345</v>
      </c>
      <c r="D4653" s="52">
        <f ca="1">S0*EXP((μ-0.5*σ*σ)*T+σ*SQRT(T)*$C4653)</f>
        <v>0.88907600303218626</v>
      </c>
      <c r="E4653" s="52">
        <f t="shared" ca="1" si="194"/>
        <v>0</v>
      </c>
      <c r="F4653" s="17">
        <f t="shared" ca="1" si="195"/>
        <v>0</v>
      </c>
      <c r="H4653" s="17">
        <v>4644</v>
      </c>
      <c r="I4653" s="45">
        <v>0.67208099940282207</v>
      </c>
      <c r="J4653" s="45">
        <v>1.9826610787381641E-2</v>
      </c>
      <c r="K4653" s="45">
        <v>0.25359999999999999</v>
      </c>
      <c r="N4653" s="54"/>
    </row>
    <row r="4654" spans="2:14" x14ac:dyDescent="0.2">
      <c r="B4654">
        <f t="shared" si="196"/>
        <v>4645</v>
      </c>
      <c r="C4654" s="52">
        <f ca="1"/>
        <v>-6.3063290776942782E-2</v>
      </c>
      <c r="D4654" s="52">
        <f ca="1">S0*EXP((μ-0.5*σ*σ)*T+σ*SQRT(T)*$C4654)</f>
        <v>0.63271014884097154</v>
      </c>
      <c r="E4654" s="52">
        <f t="shared" ca="1" si="194"/>
        <v>0</v>
      </c>
      <c r="F4654" s="17">
        <f t="shared" ca="1" si="195"/>
        <v>0</v>
      </c>
      <c r="H4654" s="17">
        <v>4645</v>
      </c>
      <c r="I4654" s="45">
        <v>0.67015182027636411</v>
      </c>
      <c r="J4654" s="45">
        <v>1.8467844093251105E-2</v>
      </c>
      <c r="K4654" s="45">
        <v>0.2432</v>
      </c>
      <c r="N4654" s="54"/>
    </row>
    <row r="4655" spans="2:14" x14ac:dyDescent="0.2">
      <c r="B4655">
        <f t="shared" si="196"/>
        <v>4646</v>
      </c>
      <c r="C4655" s="52">
        <f ca="1"/>
        <v>1.161234277447196</v>
      </c>
      <c r="D4655" s="52">
        <f ca="1">S0*EXP((μ-0.5*σ*σ)*T+σ*SQRT(T)*$C4655)</f>
        <v>0.88753510011935344</v>
      </c>
      <c r="E4655" s="52">
        <f t="shared" ca="1" si="194"/>
        <v>0</v>
      </c>
      <c r="F4655" s="17">
        <f t="shared" ca="1" si="195"/>
        <v>0</v>
      </c>
      <c r="H4655" s="17">
        <v>4646</v>
      </c>
      <c r="I4655" s="45">
        <v>0.66948670192755477</v>
      </c>
      <c r="J4655" s="45">
        <v>1.8152475845534838E-2</v>
      </c>
      <c r="K4655" s="45">
        <v>0.24879999999999999</v>
      </c>
      <c r="N4655" s="54"/>
    </row>
    <row r="4656" spans="2:14" x14ac:dyDescent="0.2">
      <c r="B4656">
        <f t="shared" si="196"/>
        <v>4647</v>
      </c>
      <c r="C4656" s="52">
        <f ca="1"/>
        <v>-0.3652650850751164</v>
      </c>
      <c r="D4656" s="52">
        <f ca="1">S0*EXP((μ-0.5*σ*σ)*T+σ*SQRT(T)*$C4656)</f>
        <v>0.58200207622308331</v>
      </c>
      <c r="E4656" s="52">
        <f t="shared" ca="1" si="194"/>
        <v>0</v>
      </c>
      <c r="F4656" s="17">
        <f t="shared" ca="1" si="195"/>
        <v>0</v>
      </c>
      <c r="H4656" s="17">
        <v>4647</v>
      </c>
      <c r="I4656" s="45">
        <v>0.67141951809840661</v>
      </c>
      <c r="J4656" s="45">
        <v>1.9211730305963425E-2</v>
      </c>
      <c r="K4656" s="45">
        <v>0.24979999999999999</v>
      </c>
      <c r="N4656" s="54"/>
    </row>
    <row r="4657" spans="2:14" x14ac:dyDescent="0.2">
      <c r="B4657">
        <f t="shared" si="196"/>
        <v>4648</v>
      </c>
      <c r="C4657" s="52">
        <f ca="1"/>
        <v>-4.1221369984531355E-3</v>
      </c>
      <c r="D4657" s="52">
        <f ca="1">S0*EXP((μ-0.5*σ*σ)*T+σ*SQRT(T)*$C4657)</f>
        <v>0.64310349504443098</v>
      </c>
      <c r="E4657" s="52">
        <f t="shared" ca="1" si="194"/>
        <v>0</v>
      </c>
      <c r="F4657" s="17">
        <f t="shared" ca="1" si="195"/>
        <v>0</v>
      </c>
      <c r="H4657" s="17">
        <v>4648</v>
      </c>
      <c r="I4657" s="45">
        <v>0.67092944734122506</v>
      </c>
      <c r="J4657" s="45">
        <v>1.9021333204967711E-2</v>
      </c>
      <c r="K4657" s="45">
        <v>0.247</v>
      </c>
      <c r="N4657" s="54"/>
    </row>
    <row r="4658" spans="2:14" x14ac:dyDescent="0.2">
      <c r="B4658">
        <f t="shared" si="196"/>
        <v>4649</v>
      </c>
      <c r="C4658" s="52">
        <f ca="1"/>
        <v>-0.60975396876988175</v>
      </c>
      <c r="D4658" s="52">
        <f ca="1">S0*EXP((μ-0.5*σ*σ)*T+σ*SQRT(T)*$C4658)</f>
        <v>0.54396741088371336</v>
      </c>
      <c r="E4658" s="52">
        <f t="shared" ca="1" si="194"/>
        <v>0</v>
      </c>
      <c r="F4658" s="17">
        <f t="shared" ca="1" si="195"/>
        <v>0</v>
      </c>
      <c r="H4658" s="17">
        <v>4649</v>
      </c>
      <c r="I4658" s="45">
        <v>0.67124142628306893</v>
      </c>
      <c r="J4658" s="45">
        <v>1.9163676770749403E-2</v>
      </c>
      <c r="K4658" s="45">
        <v>0.252</v>
      </c>
      <c r="N4658" s="54"/>
    </row>
    <row r="4659" spans="2:14" x14ac:dyDescent="0.2">
      <c r="B4659">
        <f t="shared" si="196"/>
        <v>4650</v>
      </c>
      <c r="C4659" s="52">
        <f ca="1"/>
        <v>-1.7163183557823432</v>
      </c>
      <c r="D4659" s="52">
        <f ca="1">S0*EXP((μ-0.5*σ*σ)*T+σ*SQRT(T)*$C4659)</f>
        <v>0.40061423800358942</v>
      </c>
      <c r="E4659" s="52">
        <f t="shared" ca="1" si="194"/>
        <v>0.13378576199641057</v>
      </c>
      <c r="F4659" s="17">
        <f t="shared" ca="1" si="195"/>
        <v>1</v>
      </c>
      <c r="H4659" s="17">
        <v>4650</v>
      </c>
      <c r="I4659" s="45">
        <v>0.67199872136911476</v>
      </c>
      <c r="J4659" s="45">
        <v>1.9765490853815928E-2</v>
      </c>
      <c r="K4659" s="45">
        <v>0.25240000000000001</v>
      </c>
      <c r="N4659" s="54"/>
    </row>
    <row r="4660" spans="2:14" x14ac:dyDescent="0.2">
      <c r="B4660">
        <f t="shared" si="196"/>
        <v>4651</v>
      </c>
      <c r="C4660" s="52">
        <f ca="1"/>
        <v>-0.32926632183029109</v>
      </c>
      <c r="D4660" s="52">
        <f ca="1">S0*EXP((μ-0.5*σ*σ)*T+σ*SQRT(T)*$C4660)</f>
        <v>0.58782262469436719</v>
      </c>
      <c r="E4660" s="52">
        <f t="shared" ca="1" si="194"/>
        <v>0</v>
      </c>
      <c r="F4660" s="17">
        <f t="shared" ca="1" si="195"/>
        <v>0</v>
      </c>
      <c r="H4660" s="17">
        <v>4651</v>
      </c>
      <c r="I4660" s="45">
        <v>0.67185827285352229</v>
      </c>
      <c r="J4660" s="45">
        <v>1.960368593831497E-2</v>
      </c>
      <c r="K4660" s="45">
        <v>0.25119999999999998</v>
      </c>
      <c r="N4660" s="54"/>
    </row>
    <row r="4661" spans="2:14" x14ac:dyDescent="0.2">
      <c r="B4661">
        <f t="shared" si="196"/>
        <v>4652</v>
      </c>
      <c r="C4661" s="52">
        <f ca="1"/>
        <v>0.91600230677075134</v>
      </c>
      <c r="D4661" s="52">
        <f ca="1">S0*EXP((μ-0.5*σ*σ)*T+σ*SQRT(T)*$C4661)</f>
        <v>0.82936303634245911</v>
      </c>
      <c r="E4661" s="52">
        <f t="shared" ca="1" si="194"/>
        <v>0</v>
      </c>
      <c r="F4661" s="17">
        <f t="shared" ca="1" si="195"/>
        <v>0</v>
      </c>
      <c r="H4661" s="17">
        <v>4652</v>
      </c>
      <c r="I4661" s="45">
        <v>0.67255755341982426</v>
      </c>
      <c r="J4661" s="45">
        <v>2.0118838112521881E-2</v>
      </c>
      <c r="K4661" s="45">
        <v>0.26279999999999998</v>
      </c>
      <c r="N4661" s="54"/>
    </row>
    <row r="4662" spans="2:14" x14ac:dyDescent="0.2">
      <c r="B4662">
        <f t="shared" si="196"/>
        <v>4653</v>
      </c>
      <c r="C4662" s="52">
        <f ca="1"/>
        <v>7.404300464395433E-2</v>
      </c>
      <c r="D4662" s="52">
        <f ca="1">S0*EXP((μ-0.5*σ*σ)*T+σ*SQRT(T)*$C4662)</f>
        <v>0.65715049379198454</v>
      </c>
      <c r="E4662" s="52">
        <f t="shared" ca="1" si="194"/>
        <v>0</v>
      </c>
      <c r="F4662" s="17">
        <f t="shared" ca="1" si="195"/>
        <v>0</v>
      </c>
      <c r="H4662" s="17">
        <v>4653</v>
      </c>
      <c r="I4662" s="45">
        <v>0.67025831372121092</v>
      </c>
      <c r="J4662" s="45">
        <v>1.8347796321279315E-2</v>
      </c>
      <c r="K4662" s="45">
        <v>0.24099999999999999</v>
      </c>
      <c r="N4662" s="54"/>
    </row>
    <row r="4663" spans="2:14" x14ac:dyDescent="0.2">
      <c r="B4663">
        <f t="shared" si="196"/>
        <v>4654</v>
      </c>
      <c r="C4663" s="52">
        <f ca="1"/>
        <v>0.38336226255126415</v>
      </c>
      <c r="D4663" s="52">
        <f ca="1">S0*EXP((μ-0.5*σ*σ)*T+σ*SQRT(T)*$C4663)</f>
        <v>0.71581299603509163</v>
      </c>
      <c r="E4663" s="52">
        <f t="shared" ca="1" si="194"/>
        <v>0</v>
      </c>
      <c r="F4663" s="17">
        <f t="shared" ca="1" si="195"/>
        <v>0</v>
      </c>
      <c r="H4663" s="17">
        <v>4654</v>
      </c>
      <c r="I4663" s="45">
        <v>0.67053178086140441</v>
      </c>
      <c r="J4663" s="45">
        <v>1.891921520675293E-2</v>
      </c>
      <c r="K4663" s="45">
        <v>0.248</v>
      </c>
      <c r="N4663" s="54"/>
    </row>
    <row r="4664" spans="2:14" x14ac:dyDescent="0.2">
      <c r="B4664">
        <f t="shared" si="196"/>
        <v>4655</v>
      </c>
      <c r="C4664" s="52">
        <f ca="1"/>
        <v>1.3421556859750337</v>
      </c>
      <c r="D4664" s="52">
        <f ca="1">S0*EXP((μ-0.5*σ*σ)*T+σ*SQRT(T)*$C4664)</f>
        <v>0.93305171647173746</v>
      </c>
      <c r="E4664" s="52">
        <f t="shared" ca="1" si="194"/>
        <v>0</v>
      </c>
      <c r="F4664" s="17">
        <f t="shared" ca="1" si="195"/>
        <v>0</v>
      </c>
      <c r="H4664" s="17">
        <v>4655</v>
      </c>
      <c r="I4664" s="45">
        <v>0.6709808477397653</v>
      </c>
      <c r="J4664" s="45">
        <v>1.9076809790822716E-2</v>
      </c>
      <c r="K4664" s="45">
        <v>0.25059999999999999</v>
      </c>
      <c r="N4664" s="54"/>
    </row>
    <row r="4665" spans="2:14" x14ac:dyDescent="0.2">
      <c r="B4665">
        <f t="shared" si="196"/>
        <v>4656</v>
      </c>
      <c r="C4665" s="52">
        <f ca="1"/>
        <v>0.26711172211350448</v>
      </c>
      <c r="D4665" s="52">
        <f ca="1">S0*EXP((μ-0.5*σ*σ)*T+σ*SQRT(T)*$C4665)</f>
        <v>0.69317571572516834</v>
      </c>
      <c r="E4665" s="52">
        <f t="shared" ca="1" si="194"/>
        <v>0</v>
      </c>
      <c r="F4665" s="17">
        <f t="shared" ca="1" si="195"/>
        <v>0</v>
      </c>
      <c r="H4665" s="17">
        <v>4656</v>
      </c>
      <c r="I4665" s="45">
        <v>0.67149778443696895</v>
      </c>
      <c r="J4665" s="45">
        <v>1.946574144766915E-2</v>
      </c>
      <c r="K4665" s="45">
        <v>0.245</v>
      </c>
      <c r="N4665" s="54"/>
    </row>
    <row r="4666" spans="2:14" x14ac:dyDescent="0.2">
      <c r="B4666">
        <f t="shared" si="196"/>
        <v>4657</v>
      </c>
      <c r="C4666" s="52">
        <f ca="1"/>
        <v>-1.808284394315933</v>
      </c>
      <c r="D4666" s="52">
        <f ca="1">S0*EXP((μ-0.5*σ*σ)*T+σ*SQRT(T)*$C4666)</f>
        <v>0.39055802943806917</v>
      </c>
      <c r="E4666" s="52">
        <f t="shared" ca="1" si="194"/>
        <v>0.14384197056193082</v>
      </c>
      <c r="F4666" s="17">
        <f t="shared" ca="1" si="195"/>
        <v>1</v>
      </c>
      <c r="H4666" s="17">
        <v>4657</v>
      </c>
      <c r="I4666" s="45">
        <v>0.67030658926027975</v>
      </c>
      <c r="J4666" s="45">
        <v>1.8740420309334396E-2</v>
      </c>
      <c r="K4666" s="45">
        <v>0.24779999999999999</v>
      </c>
      <c r="N4666" s="54"/>
    </row>
    <row r="4667" spans="2:14" x14ac:dyDescent="0.2">
      <c r="B4667">
        <f t="shared" si="196"/>
        <v>4658</v>
      </c>
      <c r="C4667" s="52">
        <f ca="1"/>
        <v>0.32252755794642224</v>
      </c>
      <c r="D4667" s="52">
        <f ca="1">S0*EXP((μ-0.5*σ*σ)*T+σ*SQRT(T)*$C4667)</f>
        <v>0.70387604193224207</v>
      </c>
      <c r="E4667" s="52">
        <f t="shared" ca="1" si="194"/>
        <v>0</v>
      </c>
      <c r="F4667" s="17">
        <f t="shared" ca="1" si="195"/>
        <v>0</v>
      </c>
      <c r="H4667" s="17">
        <v>4658</v>
      </c>
      <c r="I4667" s="45">
        <v>0.6719311453536092</v>
      </c>
      <c r="J4667" s="45">
        <v>1.9747447606336458E-2</v>
      </c>
      <c r="K4667" s="45">
        <v>0.25319999999999998</v>
      </c>
      <c r="N4667" s="54"/>
    </row>
    <row r="4668" spans="2:14" x14ac:dyDescent="0.2">
      <c r="B4668">
        <f t="shared" si="196"/>
        <v>4659</v>
      </c>
      <c r="C4668" s="52">
        <f ca="1"/>
        <v>0.69054755008514557</v>
      </c>
      <c r="D4668" s="52">
        <f ca="1">S0*EXP((μ-0.5*σ*σ)*T+σ*SQRT(T)*$C4668)</f>
        <v>0.77925236617175642</v>
      </c>
      <c r="E4668" s="52">
        <f t="shared" ca="1" si="194"/>
        <v>0</v>
      </c>
      <c r="F4668" s="17">
        <f t="shared" ca="1" si="195"/>
        <v>0</v>
      </c>
      <c r="H4668" s="17">
        <v>4659</v>
      </c>
      <c r="I4668" s="45">
        <v>0.6705540619630056</v>
      </c>
      <c r="J4668" s="45">
        <v>1.8766251188966812E-2</v>
      </c>
      <c r="K4668" s="45">
        <v>0.24399999999999999</v>
      </c>
      <c r="N4668" s="54"/>
    </row>
    <row r="4669" spans="2:14" x14ac:dyDescent="0.2">
      <c r="B4669">
        <f t="shared" si="196"/>
        <v>4660</v>
      </c>
      <c r="C4669" s="52">
        <f ca="1"/>
        <v>-0.10936750969061917</v>
      </c>
      <c r="D4669" s="52">
        <f ca="1">S0*EXP((μ-0.5*σ*σ)*T+σ*SQRT(T)*$C4669)</f>
        <v>0.6246630753579252</v>
      </c>
      <c r="E4669" s="52">
        <f t="shared" ca="1" si="194"/>
        <v>0</v>
      </c>
      <c r="F4669" s="17">
        <f t="shared" ca="1" si="195"/>
        <v>0</v>
      </c>
      <c r="H4669" s="17">
        <v>4660</v>
      </c>
      <c r="I4669" s="45">
        <v>0.67110764639713427</v>
      </c>
      <c r="J4669" s="45">
        <v>1.9301867418492501E-2</v>
      </c>
      <c r="K4669" s="45">
        <v>0.253</v>
      </c>
      <c r="N4669" s="54"/>
    </row>
    <row r="4670" spans="2:14" x14ac:dyDescent="0.2">
      <c r="B4670">
        <f t="shared" si="196"/>
        <v>4661</v>
      </c>
      <c r="C4670" s="52">
        <f ca="1"/>
        <v>1.2174115989582512</v>
      </c>
      <c r="D4670" s="52">
        <f ca="1">S0*EXP((μ-0.5*σ*σ)*T+σ*SQRT(T)*$C4670)</f>
        <v>0.90142541794568132</v>
      </c>
      <c r="E4670" s="52">
        <f t="shared" ca="1" si="194"/>
        <v>0</v>
      </c>
      <c r="F4670" s="17">
        <f t="shared" ca="1" si="195"/>
        <v>0</v>
      </c>
      <c r="H4670" s="17">
        <v>4661</v>
      </c>
      <c r="I4670" s="45">
        <v>0.66970375590133158</v>
      </c>
      <c r="J4670" s="45">
        <v>1.8063993544671197E-2</v>
      </c>
      <c r="K4670" s="45">
        <v>0.2424</v>
      </c>
      <c r="N4670" s="54"/>
    </row>
    <row r="4671" spans="2:14" x14ac:dyDescent="0.2">
      <c r="B4671">
        <f t="shared" si="196"/>
        <v>4662</v>
      </c>
      <c r="C4671" s="52">
        <f ca="1"/>
        <v>-1.4042366509573625</v>
      </c>
      <c r="D4671" s="52">
        <f ca="1">S0*EXP((μ-0.5*σ*σ)*T+σ*SQRT(T)*$C4671)</f>
        <v>0.43670962223676235</v>
      </c>
      <c r="E4671" s="52">
        <f t="shared" ca="1" si="194"/>
        <v>9.7690377763237635E-2</v>
      </c>
      <c r="F4671" s="17">
        <f t="shared" ca="1" si="195"/>
        <v>1</v>
      </c>
      <c r="H4671" s="17">
        <v>4662</v>
      </c>
      <c r="I4671" s="45">
        <v>0.6703183091739755</v>
      </c>
      <c r="J4671" s="45">
        <v>1.8542965746227179E-2</v>
      </c>
      <c r="K4671" s="45">
        <v>0.2412</v>
      </c>
      <c r="N4671" s="54"/>
    </row>
    <row r="4672" spans="2:14" x14ac:dyDescent="0.2">
      <c r="B4672">
        <f t="shared" si="196"/>
        <v>4663</v>
      </c>
      <c r="C4672" s="52">
        <f ca="1"/>
        <v>0.93897673028771167</v>
      </c>
      <c r="D4672" s="52">
        <f ca="1">S0*EXP((μ-0.5*σ*σ)*T+σ*SQRT(T)*$C4672)</f>
        <v>0.83464698057667153</v>
      </c>
      <c r="E4672" s="52">
        <f t="shared" ca="1" si="194"/>
        <v>0</v>
      </c>
      <c r="F4672" s="17">
        <f t="shared" ca="1" si="195"/>
        <v>0</v>
      </c>
      <c r="H4672" s="17">
        <v>4663</v>
      </c>
      <c r="I4672" s="45">
        <v>0.67040714581047633</v>
      </c>
      <c r="J4672" s="45">
        <v>1.8547853644848653E-2</v>
      </c>
      <c r="K4672" s="45">
        <v>0.24360000000000001</v>
      </c>
      <c r="N4672" s="54"/>
    </row>
    <row r="4673" spans="2:14" x14ac:dyDescent="0.2">
      <c r="B4673">
        <f t="shared" si="196"/>
        <v>4664</v>
      </c>
      <c r="C4673" s="52">
        <f ca="1"/>
        <v>-0.76439054103852166</v>
      </c>
      <c r="D4673" s="52">
        <f ca="1">S0*EXP((μ-0.5*σ*σ)*T+σ*SQRT(T)*$C4673)</f>
        <v>0.52120464759900276</v>
      </c>
      <c r="E4673" s="52">
        <f t="shared" ca="1" si="194"/>
        <v>1.3195352400997229E-2</v>
      </c>
      <c r="F4673" s="17">
        <f t="shared" ca="1" si="195"/>
        <v>1</v>
      </c>
      <c r="H4673" s="17">
        <v>4664</v>
      </c>
      <c r="I4673" s="45">
        <v>0.67152096614263146</v>
      </c>
      <c r="J4673" s="45">
        <v>1.9446526509032603E-2</v>
      </c>
      <c r="K4673" s="45">
        <v>0.245</v>
      </c>
      <c r="N4673" s="54"/>
    </row>
    <row r="4674" spans="2:14" x14ac:dyDescent="0.2">
      <c r="B4674">
        <f t="shared" si="196"/>
        <v>4665</v>
      </c>
      <c r="C4674" s="52">
        <f ca="1"/>
        <v>1.7854084711135296</v>
      </c>
      <c r="D4674" s="52">
        <f ca="1">S0*EXP((μ-0.5*σ*σ)*T+σ*SQRT(T)*$C4674)</f>
        <v>1.0546772879358881</v>
      </c>
      <c r="E4674" s="52">
        <f t="shared" ca="1" si="194"/>
        <v>0</v>
      </c>
      <c r="F4674" s="17">
        <f t="shared" ca="1" si="195"/>
        <v>0</v>
      </c>
      <c r="H4674" s="17">
        <v>4665</v>
      </c>
      <c r="I4674" s="45">
        <v>0.67224104722428712</v>
      </c>
      <c r="J4674" s="45">
        <v>2.007490150775958E-2</v>
      </c>
      <c r="K4674" s="45">
        <v>0.25159999999999999</v>
      </c>
      <c r="N4674" s="54"/>
    </row>
    <row r="4675" spans="2:14" x14ac:dyDescent="0.2">
      <c r="B4675">
        <f t="shared" si="196"/>
        <v>4666</v>
      </c>
      <c r="C4675" s="52">
        <f ca="1"/>
        <v>-1.7490588511460397</v>
      </c>
      <c r="D4675" s="52">
        <f ca="1">S0*EXP((μ-0.5*σ*σ)*T+σ*SQRT(T)*$C4675)</f>
        <v>0.39700482207029775</v>
      </c>
      <c r="E4675" s="52">
        <f t="shared" ca="1" si="194"/>
        <v>0.13739517792970224</v>
      </c>
      <c r="F4675" s="17">
        <f t="shared" ca="1" si="195"/>
        <v>1</v>
      </c>
      <c r="H4675" s="17">
        <v>4666</v>
      </c>
      <c r="I4675" s="45">
        <v>0.67104989136739446</v>
      </c>
      <c r="J4675" s="45">
        <v>1.9241068800613333E-2</v>
      </c>
      <c r="K4675" s="45">
        <v>0.24840000000000001</v>
      </c>
      <c r="N4675" s="54"/>
    </row>
    <row r="4676" spans="2:14" x14ac:dyDescent="0.2">
      <c r="B4676">
        <f t="shared" si="196"/>
        <v>4667</v>
      </c>
      <c r="C4676" s="52">
        <f ca="1"/>
        <v>-1.3354992134333434</v>
      </c>
      <c r="D4676" s="52">
        <f ca="1">S0*EXP((μ-0.5*σ*σ)*T+σ*SQRT(T)*$C4676)</f>
        <v>0.44508699472133156</v>
      </c>
      <c r="E4676" s="52">
        <f t="shared" ca="1" si="194"/>
        <v>8.9313005278668423E-2</v>
      </c>
      <c r="F4676" s="17">
        <f t="shared" ca="1" si="195"/>
        <v>1</v>
      </c>
      <c r="H4676" s="17">
        <v>4667</v>
      </c>
      <c r="I4676" s="45">
        <v>0.67093934810908962</v>
      </c>
      <c r="J4676" s="45">
        <v>1.893113599917887E-2</v>
      </c>
      <c r="K4676" s="45">
        <v>0.24540000000000001</v>
      </c>
      <c r="N4676" s="54"/>
    </row>
    <row r="4677" spans="2:14" x14ac:dyDescent="0.2">
      <c r="B4677">
        <f t="shared" si="196"/>
        <v>4668</v>
      </c>
      <c r="C4677" s="52">
        <f ca="1"/>
        <v>0.6436181438648606</v>
      </c>
      <c r="D4677" s="52">
        <f ca="1">S0*EXP((μ-0.5*σ*σ)*T+σ*SQRT(T)*$C4677)</f>
        <v>0.76920855947925781</v>
      </c>
      <c r="E4677" s="52">
        <f t="shared" ca="1" si="194"/>
        <v>0</v>
      </c>
      <c r="F4677" s="17">
        <f t="shared" ca="1" si="195"/>
        <v>0</v>
      </c>
      <c r="H4677" s="17">
        <v>4668</v>
      </c>
      <c r="I4677" s="45">
        <v>0.67010842371955381</v>
      </c>
      <c r="J4677" s="45">
        <v>1.8328825978095507E-2</v>
      </c>
      <c r="K4677" s="45">
        <v>0.2412</v>
      </c>
      <c r="N4677" s="54"/>
    </row>
    <row r="4678" spans="2:14" x14ac:dyDescent="0.2">
      <c r="B4678">
        <f t="shared" si="196"/>
        <v>4669</v>
      </c>
      <c r="C4678" s="52">
        <f ca="1"/>
        <v>1.0529314333408946</v>
      </c>
      <c r="D4678" s="52">
        <f ca="1">S0*EXP((μ-0.5*σ*σ)*T+σ*SQRT(T)*$C4678)</f>
        <v>0.86135750819994916</v>
      </c>
      <c r="E4678" s="52">
        <f t="shared" ca="1" si="194"/>
        <v>0</v>
      </c>
      <c r="F4678" s="17">
        <f t="shared" ca="1" si="195"/>
        <v>0</v>
      </c>
      <c r="H4678" s="17">
        <v>4669</v>
      </c>
      <c r="I4678" s="45">
        <v>0.67102851874503278</v>
      </c>
      <c r="J4678" s="45">
        <v>1.8924856605875114E-2</v>
      </c>
      <c r="K4678" s="45">
        <v>0.2462</v>
      </c>
      <c r="N4678" s="54"/>
    </row>
    <row r="4679" spans="2:14" x14ac:dyDescent="0.2">
      <c r="B4679">
        <f t="shared" si="196"/>
        <v>4670</v>
      </c>
      <c r="C4679" s="52">
        <f ca="1"/>
        <v>-0.12174784630783747</v>
      </c>
      <c r="D4679" s="52">
        <f ca="1">S0*EXP((μ-0.5*σ*σ)*T+σ*SQRT(T)*$C4679)</f>
        <v>0.62252892765682732</v>
      </c>
      <c r="E4679" s="52">
        <f t="shared" ca="1" si="194"/>
        <v>0</v>
      </c>
      <c r="F4679" s="17">
        <f t="shared" ca="1" si="195"/>
        <v>0</v>
      </c>
      <c r="H4679" s="17">
        <v>4670</v>
      </c>
      <c r="I4679" s="45">
        <v>0.6715424495227218</v>
      </c>
      <c r="J4679" s="45">
        <v>1.9659280527266221E-2</v>
      </c>
      <c r="K4679" s="45">
        <v>0.25159999999999999</v>
      </c>
      <c r="N4679" s="54"/>
    </row>
    <row r="4680" spans="2:14" x14ac:dyDescent="0.2">
      <c r="B4680">
        <f t="shared" si="196"/>
        <v>4671</v>
      </c>
      <c r="C4680" s="52">
        <f ca="1"/>
        <v>-0.48877996132462215</v>
      </c>
      <c r="D4680" s="52">
        <f ca="1">S0*EXP((μ-0.5*σ*σ)*T+σ*SQRT(T)*$C4680)</f>
        <v>0.56246588732486869</v>
      </c>
      <c r="E4680" s="52">
        <f t="shared" ca="1" si="194"/>
        <v>0</v>
      </c>
      <c r="F4680" s="17">
        <f t="shared" ca="1" si="195"/>
        <v>0</v>
      </c>
      <c r="H4680" s="17">
        <v>4671</v>
      </c>
      <c r="I4680" s="45">
        <v>0.67201759233337033</v>
      </c>
      <c r="J4680" s="45">
        <v>1.9577100711479542E-2</v>
      </c>
      <c r="K4680" s="45">
        <v>0.2432</v>
      </c>
      <c r="N4680" s="54"/>
    </row>
    <row r="4681" spans="2:14" x14ac:dyDescent="0.2">
      <c r="B4681">
        <f t="shared" si="196"/>
        <v>4672</v>
      </c>
      <c r="C4681" s="52">
        <f ca="1"/>
        <v>1.2433044478383237</v>
      </c>
      <c r="D4681" s="52">
        <f ca="1">S0*EXP((μ-0.5*σ*σ)*T+σ*SQRT(T)*$C4681)</f>
        <v>0.9079006292328774</v>
      </c>
      <c r="E4681" s="52">
        <f t="shared" ca="1" si="194"/>
        <v>0</v>
      </c>
      <c r="F4681" s="17">
        <f t="shared" ca="1" si="195"/>
        <v>0</v>
      </c>
      <c r="H4681" s="17">
        <v>4672</v>
      </c>
      <c r="I4681" s="45">
        <v>0.67057018356427101</v>
      </c>
      <c r="J4681" s="45">
        <v>1.8800979375384271E-2</v>
      </c>
      <c r="K4681" s="45">
        <v>0.24360000000000001</v>
      </c>
      <c r="N4681" s="54"/>
    </row>
    <row r="4682" spans="2:14" x14ac:dyDescent="0.2">
      <c r="B4682">
        <f t="shared" si="196"/>
        <v>4673</v>
      </c>
      <c r="C4682" s="52">
        <f ca="1"/>
        <v>0.72874316006176487</v>
      </c>
      <c r="D4682" s="52">
        <f ca="1">S0*EXP((μ-0.5*σ*σ)*T+σ*SQRT(T)*$C4682)</f>
        <v>0.78752369848994974</v>
      </c>
      <c r="E4682" s="52">
        <f t="shared" ref="E4682:E4745" ca="1" si="197">MAX(0,CP*(D4682-K))</f>
        <v>0</v>
      </c>
      <c r="F4682" s="17">
        <f t="shared" ref="F4682:F4745" ca="1" si="198">(CP*(D4682-K)&gt;0)*1</f>
        <v>0</v>
      </c>
      <c r="H4682" s="17">
        <v>4673</v>
      </c>
      <c r="I4682" s="45">
        <v>0.67169719796413041</v>
      </c>
      <c r="J4682" s="45">
        <v>1.9435649723165645E-2</v>
      </c>
      <c r="K4682" s="45">
        <v>0.24660000000000001</v>
      </c>
      <c r="N4682" s="54"/>
    </row>
    <row r="4683" spans="2:14" x14ac:dyDescent="0.2">
      <c r="B4683">
        <f t="shared" si="196"/>
        <v>4674</v>
      </c>
      <c r="C4683" s="52">
        <f ca="1"/>
        <v>0.12865897711947388</v>
      </c>
      <c r="D4683" s="52">
        <f ca="1">S0*EXP((μ-0.5*σ*σ)*T+σ*SQRT(T)*$C4683)</f>
        <v>0.66714718241482118</v>
      </c>
      <c r="E4683" s="52">
        <f t="shared" ca="1" si="197"/>
        <v>0</v>
      </c>
      <c r="F4683" s="17">
        <f t="shared" ca="1" si="198"/>
        <v>0</v>
      </c>
      <c r="H4683" s="17">
        <v>4674</v>
      </c>
      <c r="I4683" s="45">
        <v>0.67023561423644984</v>
      </c>
      <c r="J4683" s="45">
        <v>1.8583946608349861E-2</v>
      </c>
      <c r="K4683" s="45">
        <v>0.25080000000000002</v>
      </c>
      <c r="N4683" s="54"/>
    </row>
    <row r="4684" spans="2:14" x14ac:dyDescent="0.2">
      <c r="B4684">
        <f t="shared" si="196"/>
        <v>4675</v>
      </c>
      <c r="C4684" s="52">
        <f ca="1"/>
        <v>0.24784990966422954</v>
      </c>
      <c r="D4684" s="52">
        <f ca="1">S0*EXP((μ-0.5*σ*σ)*T+σ*SQRT(T)*$C4684)</f>
        <v>0.68949464718459186</v>
      </c>
      <c r="E4684" s="52">
        <f t="shared" ca="1" si="197"/>
        <v>0</v>
      </c>
      <c r="F4684" s="17">
        <f t="shared" ca="1" si="198"/>
        <v>0</v>
      </c>
      <c r="H4684" s="17">
        <v>4675</v>
      </c>
      <c r="I4684" s="45">
        <v>0.67062552654202867</v>
      </c>
      <c r="J4684" s="45">
        <v>1.8705126182548305E-2</v>
      </c>
      <c r="K4684" s="45">
        <v>0.2462</v>
      </c>
      <c r="N4684" s="54"/>
    </row>
    <row r="4685" spans="2:14" x14ac:dyDescent="0.2">
      <c r="B4685">
        <f t="shared" si="196"/>
        <v>4676</v>
      </c>
      <c r="C4685" s="52">
        <f ca="1"/>
        <v>-0.63975862542781148</v>
      </c>
      <c r="D4685" s="52">
        <f ca="1">S0*EXP((μ-0.5*σ*σ)*T+σ*SQRT(T)*$C4685)</f>
        <v>0.53947426174755364</v>
      </c>
      <c r="E4685" s="52">
        <f t="shared" ca="1" si="197"/>
        <v>0</v>
      </c>
      <c r="F4685" s="17">
        <f t="shared" ca="1" si="198"/>
        <v>0</v>
      </c>
      <c r="H4685" s="17">
        <v>4676</v>
      </c>
      <c r="I4685" s="45">
        <v>0.67145741877383935</v>
      </c>
      <c r="J4685" s="45">
        <v>1.9607714211552905E-2</v>
      </c>
      <c r="K4685" s="45">
        <v>0.24979999999999999</v>
      </c>
      <c r="N4685" s="54"/>
    </row>
    <row r="4686" spans="2:14" x14ac:dyDescent="0.2">
      <c r="B4686">
        <f t="shared" si="196"/>
        <v>4677</v>
      </c>
      <c r="C4686" s="52">
        <f ca="1"/>
        <v>-0.8194276560413204</v>
      </c>
      <c r="D4686" s="52">
        <f ca="1">S0*EXP((μ-0.5*σ*σ)*T+σ*SQRT(T)*$C4686)</f>
        <v>0.51333503122472479</v>
      </c>
      <c r="E4686" s="52">
        <f t="shared" ca="1" si="197"/>
        <v>2.1064968775275195E-2</v>
      </c>
      <c r="F4686" s="17">
        <f t="shared" ca="1" si="198"/>
        <v>1</v>
      </c>
      <c r="H4686" s="17">
        <v>4677</v>
      </c>
      <c r="I4686" s="45">
        <v>0.67198216853202652</v>
      </c>
      <c r="J4686" s="45">
        <v>1.9681232757726125E-2</v>
      </c>
      <c r="K4686" s="45">
        <v>0.25559999999999999</v>
      </c>
      <c r="N4686" s="54"/>
    </row>
    <row r="4687" spans="2:14" x14ac:dyDescent="0.2">
      <c r="B4687">
        <f t="shared" si="196"/>
        <v>4678</v>
      </c>
      <c r="C4687" s="52">
        <f ca="1"/>
        <v>-0.93501445147336382</v>
      </c>
      <c r="D4687" s="52">
        <f ca="1">S0*EXP((μ-0.5*σ*σ)*T+σ*SQRT(T)*$C4687)</f>
        <v>0.4971922468961591</v>
      </c>
      <c r="E4687" s="52">
        <f t="shared" ca="1" si="197"/>
        <v>3.720775310384089E-2</v>
      </c>
      <c r="F4687" s="17">
        <f t="shared" ca="1" si="198"/>
        <v>1</v>
      </c>
      <c r="H4687" s="17">
        <v>4678</v>
      </c>
      <c r="I4687" s="45">
        <v>0.66975034181856286</v>
      </c>
      <c r="J4687" s="45">
        <v>1.8110023500708637E-2</v>
      </c>
      <c r="K4687" s="45">
        <v>0.23980000000000001</v>
      </c>
      <c r="N4687" s="54"/>
    </row>
    <row r="4688" spans="2:14" x14ac:dyDescent="0.2">
      <c r="B4688">
        <f t="shared" si="196"/>
        <v>4679</v>
      </c>
      <c r="C4688" s="52">
        <f ca="1"/>
        <v>0.67065069532851362</v>
      </c>
      <c r="D4688" s="52">
        <f ca="1">S0*EXP((μ-0.5*σ*σ)*T+σ*SQRT(T)*$C4688)</f>
        <v>0.77497813616456013</v>
      </c>
      <c r="E4688" s="52">
        <f t="shared" ca="1" si="197"/>
        <v>0</v>
      </c>
      <c r="F4688" s="17">
        <f t="shared" ca="1" si="198"/>
        <v>0</v>
      </c>
      <c r="H4688" s="17">
        <v>4679</v>
      </c>
      <c r="I4688" s="45">
        <v>0.67023699365499201</v>
      </c>
      <c r="J4688" s="45">
        <v>1.8483272477001926E-2</v>
      </c>
      <c r="K4688" s="45">
        <v>0.248</v>
      </c>
      <c r="N4688" s="54"/>
    </row>
    <row r="4689" spans="2:14" x14ac:dyDescent="0.2">
      <c r="B4689">
        <f t="shared" si="196"/>
        <v>4680</v>
      </c>
      <c r="C4689" s="52">
        <f ca="1"/>
        <v>1.4872709450079573</v>
      </c>
      <c r="D4689" s="52">
        <f ca="1">S0*EXP((μ-0.5*σ*σ)*T+σ*SQRT(T)*$C4689)</f>
        <v>0.9712415537172433</v>
      </c>
      <c r="E4689" s="52">
        <f t="shared" ca="1" si="197"/>
        <v>0</v>
      </c>
      <c r="F4689" s="17">
        <f t="shared" ca="1" si="198"/>
        <v>0</v>
      </c>
      <c r="H4689" s="17">
        <v>4680</v>
      </c>
      <c r="I4689" s="45">
        <v>0.67176284978297574</v>
      </c>
      <c r="J4689" s="45">
        <v>1.9456974302679474E-2</v>
      </c>
      <c r="K4689" s="45">
        <v>0.24959999999999999</v>
      </c>
      <c r="N4689" s="54"/>
    </row>
    <row r="4690" spans="2:14" x14ac:dyDescent="0.2">
      <c r="B4690">
        <f t="shared" si="196"/>
        <v>4681</v>
      </c>
      <c r="C4690" s="52">
        <f ca="1"/>
        <v>-1.8082025832631945</v>
      </c>
      <c r="D4690" s="52">
        <f ca="1">S0*EXP((μ-0.5*σ*σ)*T+σ*SQRT(T)*$C4690)</f>
        <v>0.39056686209952296</v>
      </c>
      <c r="E4690" s="52">
        <f t="shared" ca="1" si="197"/>
        <v>0.14383313790047703</v>
      </c>
      <c r="F4690" s="17">
        <f t="shared" ca="1" si="198"/>
        <v>1</v>
      </c>
      <c r="H4690" s="17">
        <v>4681</v>
      </c>
      <c r="I4690" s="45">
        <v>0.66915432186726653</v>
      </c>
      <c r="J4690" s="45">
        <v>1.785239682213351E-2</v>
      </c>
      <c r="K4690" s="45">
        <v>0.2384</v>
      </c>
      <c r="N4690" s="54"/>
    </row>
    <row r="4691" spans="2:14" x14ac:dyDescent="0.2">
      <c r="B4691">
        <f t="shared" si="196"/>
        <v>4682</v>
      </c>
      <c r="C4691" s="52">
        <f ca="1"/>
        <v>0.58053378207013506</v>
      </c>
      <c r="D4691" s="52">
        <f ca="1">S0*EXP((μ-0.5*σ*σ)*T+σ*SQRT(T)*$C4691)</f>
        <v>0.75591094585944674</v>
      </c>
      <c r="E4691" s="52">
        <f t="shared" ca="1" si="197"/>
        <v>0</v>
      </c>
      <c r="F4691" s="17">
        <f t="shared" ca="1" si="198"/>
        <v>0</v>
      </c>
      <c r="H4691" s="17">
        <v>4682</v>
      </c>
      <c r="I4691" s="45">
        <v>0.67158203303574082</v>
      </c>
      <c r="J4691" s="45">
        <v>1.9378871540859006E-2</v>
      </c>
      <c r="K4691" s="45">
        <v>0.249</v>
      </c>
      <c r="N4691" s="54"/>
    </row>
    <row r="4692" spans="2:14" x14ac:dyDescent="0.2">
      <c r="B4692">
        <f t="shared" si="196"/>
        <v>4683</v>
      </c>
      <c r="C4692" s="52">
        <f ca="1"/>
        <v>-1.1327843343933732</v>
      </c>
      <c r="D4692" s="52">
        <f ca="1">S0*EXP((μ-0.5*σ*σ)*T+σ*SQRT(T)*$C4692)</f>
        <v>0.47074038395353096</v>
      </c>
      <c r="E4692" s="52">
        <f t="shared" ca="1" si="197"/>
        <v>6.3659616046469025E-2</v>
      </c>
      <c r="F4692" s="17">
        <f t="shared" ca="1" si="198"/>
        <v>1</v>
      </c>
      <c r="H4692" s="17">
        <v>4683</v>
      </c>
      <c r="I4692" s="45">
        <v>0.67051374877712799</v>
      </c>
      <c r="J4692" s="45">
        <v>1.874475542826488E-2</v>
      </c>
      <c r="K4692" s="45">
        <v>0.2482</v>
      </c>
      <c r="N4692" s="54"/>
    </row>
    <row r="4693" spans="2:14" x14ac:dyDescent="0.2">
      <c r="B4693">
        <f t="shared" si="196"/>
        <v>4684</v>
      </c>
      <c r="C4693" s="52">
        <f ca="1"/>
        <v>-1.111144325619059</v>
      </c>
      <c r="D4693" s="52">
        <f ca="1">S0*EXP((μ-0.5*σ*σ)*T+σ*SQRT(T)*$C4693)</f>
        <v>0.4735647932636779</v>
      </c>
      <c r="E4693" s="52">
        <f t="shared" ca="1" si="197"/>
        <v>6.0835206736322089E-2</v>
      </c>
      <c r="F4693" s="17">
        <f t="shared" ca="1" si="198"/>
        <v>1</v>
      </c>
      <c r="H4693" s="17">
        <v>4684</v>
      </c>
      <c r="I4693" s="45">
        <v>0.67108610411682801</v>
      </c>
      <c r="J4693" s="45">
        <v>1.9108214447940884E-2</v>
      </c>
      <c r="K4693" s="45">
        <v>0.25140000000000001</v>
      </c>
      <c r="N4693" s="54"/>
    </row>
    <row r="4694" spans="2:14" x14ac:dyDescent="0.2">
      <c r="B4694">
        <f t="shared" si="196"/>
        <v>4685</v>
      </c>
      <c r="C4694" s="52">
        <f ca="1"/>
        <v>0.44217212910160542</v>
      </c>
      <c r="D4694" s="52">
        <f ca="1">S0*EXP((μ-0.5*σ*σ)*T+σ*SQRT(T)*$C4694)</f>
        <v>0.72754504403299036</v>
      </c>
      <c r="E4694" s="52">
        <f t="shared" ca="1" si="197"/>
        <v>0</v>
      </c>
      <c r="F4694" s="17">
        <f t="shared" ca="1" si="198"/>
        <v>0</v>
      </c>
      <c r="H4694" s="17">
        <v>4685</v>
      </c>
      <c r="I4694" s="45">
        <v>0.67164168160829874</v>
      </c>
      <c r="J4694" s="45">
        <v>1.9459702132775376E-2</v>
      </c>
      <c r="K4694" s="45">
        <v>0.249</v>
      </c>
      <c r="N4694" s="54"/>
    </row>
    <row r="4695" spans="2:14" x14ac:dyDescent="0.2">
      <c r="B4695">
        <f t="shared" si="196"/>
        <v>4686</v>
      </c>
      <c r="C4695" s="52">
        <f ca="1"/>
        <v>-1.0132319977168456</v>
      </c>
      <c r="D4695" s="52">
        <f ca="1">S0*EXP((μ-0.5*σ*σ)*T+σ*SQRT(T)*$C4695)</f>
        <v>0.48655740624579652</v>
      </c>
      <c r="E4695" s="52">
        <f t="shared" ca="1" si="197"/>
        <v>4.7842593754203466E-2</v>
      </c>
      <c r="F4695" s="17">
        <f t="shared" ca="1" si="198"/>
        <v>1</v>
      </c>
      <c r="H4695" s="17">
        <v>4686</v>
      </c>
      <c r="I4695" s="45">
        <v>0.67130070011791398</v>
      </c>
      <c r="J4695" s="45">
        <v>1.9096430192584914E-2</v>
      </c>
      <c r="K4695" s="45">
        <v>0.24840000000000001</v>
      </c>
      <c r="N4695" s="54"/>
    </row>
    <row r="4696" spans="2:14" x14ac:dyDescent="0.2">
      <c r="B4696">
        <f t="shared" si="196"/>
        <v>4687</v>
      </c>
      <c r="C4696" s="52">
        <f ca="1"/>
        <v>0.4408165566080558</v>
      </c>
      <c r="D4696" s="52">
        <f ca="1">S0*EXP((μ-0.5*σ*σ)*T+σ*SQRT(T)*$C4696)</f>
        <v>0.72727246629162334</v>
      </c>
      <c r="E4696" s="52">
        <f t="shared" ca="1" si="197"/>
        <v>0</v>
      </c>
      <c r="F4696" s="17">
        <f t="shared" ca="1" si="198"/>
        <v>0</v>
      </c>
      <c r="H4696" s="17">
        <v>4687</v>
      </c>
      <c r="I4696" s="45">
        <v>0.66983348763308315</v>
      </c>
      <c r="J4696" s="45">
        <v>1.8221394254335419E-2</v>
      </c>
      <c r="K4696" s="45">
        <v>0.2422</v>
      </c>
      <c r="N4696" s="54"/>
    </row>
    <row r="4697" spans="2:14" x14ac:dyDescent="0.2">
      <c r="B4697">
        <f t="shared" si="196"/>
        <v>4688</v>
      </c>
      <c r="C4697" s="52">
        <f ca="1"/>
        <v>-1.1961930071890368</v>
      </c>
      <c r="D4697" s="52">
        <f ca="1">S0*EXP((μ-0.5*σ*σ)*T+σ*SQRT(T)*$C4697)</f>
        <v>0.46256103762342471</v>
      </c>
      <c r="E4697" s="52">
        <f t="shared" ca="1" si="197"/>
        <v>7.1838962376575277E-2</v>
      </c>
      <c r="F4697" s="17">
        <f t="shared" ca="1" si="198"/>
        <v>1</v>
      </c>
      <c r="H4697" s="17">
        <v>4688</v>
      </c>
      <c r="I4697" s="45">
        <v>0.66970133891470929</v>
      </c>
      <c r="J4697" s="45">
        <v>1.8186280909364468E-2</v>
      </c>
      <c r="K4697" s="45">
        <v>0.24399999999999999</v>
      </c>
      <c r="N4697" s="54"/>
    </row>
    <row r="4698" spans="2:14" x14ac:dyDescent="0.2">
      <c r="B4698">
        <f t="shared" si="196"/>
        <v>4689</v>
      </c>
      <c r="C4698" s="52">
        <f ca="1"/>
        <v>-1.6917417873220162</v>
      </c>
      <c r="D4698" s="52">
        <f ca="1">S0*EXP((μ-0.5*σ*σ)*T+σ*SQRT(T)*$C4698)</f>
        <v>0.40334518221229565</v>
      </c>
      <c r="E4698" s="52">
        <f t="shared" ca="1" si="197"/>
        <v>0.13105481778770434</v>
      </c>
      <c r="F4698" s="17">
        <f t="shared" ca="1" si="198"/>
        <v>1</v>
      </c>
      <c r="H4698" s="17">
        <v>4689</v>
      </c>
      <c r="I4698" s="45">
        <v>0.67064471818136384</v>
      </c>
      <c r="J4698" s="45">
        <v>1.8826425422478588E-2</v>
      </c>
      <c r="K4698" s="45">
        <v>0.2442</v>
      </c>
      <c r="N4698" s="54"/>
    </row>
    <row r="4699" spans="2:14" x14ac:dyDescent="0.2">
      <c r="B4699">
        <f t="shared" si="196"/>
        <v>4690</v>
      </c>
      <c r="C4699" s="52">
        <f ca="1"/>
        <v>-0.95821711322541936</v>
      </c>
      <c r="D4699" s="52">
        <f ca="1">S0*EXP((μ-0.5*σ*σ)*T+σ*SQRT(T)*$C4699)</f>
        <v>0.49401347586116767</v>
      </c>
      <c r="E4699" s="52">
        <f t="shared" ca="1" si="197"/>
        <v>4.0386524138832314E-2</v>
      </c>
      <c r="F4699" s="17">
        <f t="shared" ca="1" si="198"/>
        <v>1</v>
      </c>
      <c r="H4699" s="17">
        <v>4690</v>
      </c>
      <c r="I4699" s="45">
        <v>0.67173599549930685</v>
      </c>
      <c r="J4699" s="45">
        <v>1.9245055034039716E-2</v>
      </c>
      <c r="K4699" s="45">
        <v>0.24260000000000001</v>
      </c>
      <c r="N4699" s="54"/>
    </row>
    <row r="4700" spans="2:14" x14ac:dyDescent="0.2">
      <c r="B4700">
        <f t="shared" si="196"/>
        <v>4691</v>
      </c>
      <c r="C4700" s="52">
        <f ca="1"/>
        <v>0.54129923179521311</v>
      </c>
      <c r="D4700" s="52">
        <f ca="1">S0*EXP((μ-0.5*σ*σ)*T+σ*SQRT(T)*$C4700)</f>
        <v>0.74775685683888182</v>
      </c>
      <c r="E4700" s="52">
        <f t="shared" ca="1" si="197"/>
        <v>0</v>
      </c>
      <c r="F4700" s="17">
        <f t="shared" ca="1" si="198"/>
        <v>0</v>
      </c>
      <c r="H4700" s="17">
        <v>4691</v>
      </c>
      <c r="I4700" s="45">
        <v>0.67099218348854306</v>
      </c>
      <c r="J4700" s="45">
        <v>1.9041765151272257E-2</v>
      </c>
      <c r="K4700" s="45">
        <v>0.24540000000000001</v>
      </c>
      <c r="N4700" s="54"/>
    </row>
    <row r="4701" spans="2:14" x14ac:dyDescent="0.2">
      <c r="B4701">
        <f t="shared" si="196"/>
        <v>4692</v>
      </c>
      <c r="C4701" s="52">
        <f ca="1"/>
        <v>-1.3753437038085454</v>
      </c>
      <c r="D4701" s="52">
        <f ca="1">S0*EXP((μ-0.5*σ*σ)*T+σ*SQRT(T)*$C4701)</f>
        <v>0.44021156645957443</v>
      </c>
      <c r="E4701" s="52">
        <f t="shared" ca="1" si="197"/>
        <v>9.4188433540425553E-2</v>
      </c>
      <c r="F4701" s="17">
        <f t="shared" ca="1" si="198"/>
        <v>1</v>
      </c>
      <c r="H4701" s="17">
        <v>4692</v>
      </c>
      <c r="I4701" s="45">
        <v>0.66991318440468295</v>
      </c>
      <c r="J4701" s="45">
        <v>1.8361382246087021E-2</v>
      </c>
      <c r="K4701" s="45">
        <v>0.24660000000000001</v>
      </c>
      <c r="N4701" s="54"/>
    </row>
    <row r="4702" spans="2:14" x14ac:dyDescent="0.2">
      <c r="B4702">
        <f t="shared" si="196"/>
        <v>4693</v>
      </c>
      <c r="C4702" s="52">
        <f ca="1"/>
        <v>-1.6588409619168893</v>
      </c>
      <c r="D4702" s="52">
        <f ca="1">S0*EXP((μ-0.5*σ*σ)*T+σ*SQRT(T)*$C4702)</f>
        <v>0.40703028163383304</v>
      </c>
      <c r="E4702" s="52">
        <f t="shared" ca="1" si="197"/>
        <v>0.12736971836616695</v>
      </c>
      <c r="F4702" s="17">
        <f t="shared" ca="1" si="198"/>
        <v>1</v>
      </c>
      <c r="H4702" s="17">
        <v>4693</v>
      </c>
      <c r="I4702" s="45">
        <v>0.67021991596042019</v>
      </c>
      <c r="J4702" s="45">
        <v>1.8398300500897035E-2</v>
      </c>
      <c r="K4702" s="45">
        <v>0.24479999999999999</v>
      </c>
      <c r="N4702" s="54"/>
    </row>
    <row r="4703" spans="2:14" x14ac:dyDescent="0.2">
      <c r="B4703">
        <f t="shared" si="196"/>
        <v>4694</v>
      </c>
      <c r="C4703" s="52">
        <f ca="1"/>
        <v>-0.71614642485483981</v>
      </c>
      <c r="D4703" s="52">
        <f ca="1">S0*EXP((μ-0.5*σ*σ)*T+σ*SQRT(T)*$C4703)</f>
        <v>0.52820211530504557</v>
      </c>
      <c r="E4703" s="52">
        <f t="shared" ca="1" si="197"/>
        <v>6.1978846949544142E-3</v>
      </c>
      <c r="F4703" s="17">
        <f t="shared" ca="1" si="198"/>
        <v>1</v>
      </c>
      <c r="H4703" s="17">
        <v>4694</v>
      </c>
      <c r="I4703" s="45">
        <v>0.67037058072781008</v>
      </c>
      <c r="J4703" s="45">
        <v>1.8574861180727244E-2</v>
      </c>
      <c r="K4703" s="45">
        <v>0.25040000000000001</v>
      </c>
      <c r="N4703" s="54"/>
    </row>
    <row r="4704" spans="2:14" x14ac:dyDescent="0.2">
      <c r="B4704">
        <f t="shared" si="196"/>
        <v>4695</v>
      </c>
      <c r="C4704" s="52">
        <f ca="1"/>
        <v>-0.79519097193990584</v>
      </c>
      <c r="D4704" s="52">
        <f ca="1">S0*EXP((μ-0.5*σ*σ)*T+σ*SQRT(T)*$C4704)</f>
        <v>0.51678582402900131</v>
      </c>
      <c r="E4704" s="52">
        <f t="shared" ca="1" si="197"/>
        <v>1.761417597099868E-2</v>
      </c>
      <c r="F4704" s="17">
        <f t="shared" ca="1" si="198"/>
        <v>1</v>
      </c>
      <c r="H4704" s="17">
        <v>4695</v>
      </c>
      <c r="I4704" s="45">
        <v>0.67031480538120158</v>
      </c>
      <c r="J4704" s="45">
        <v>1.8490037922521546E-2</v>
      </c>
      <c r="K4704" s="45">
        <v>0.24260000000000001</v>
      </c>
      <c r="N4704" s="54"/>
    </row>
    <row r="4705" spans="2:14" x14ac:dyDescent="0.2">
      <c r="B4705">
        <f t="shared" si="196"/>
        <v>4696</v>
      </c>
      <c r="C4705" s="52">
        <f ca="1"/>
        <v>-0.31258214211233509</v>
      </c>
      <c r="D4705" s="52">
        <f ca="1">S0*EXP((μ-0.5*σ*σ)*T+σ*SQRT(T)*$C4705)</f>
        <v>0.59053995328060116</v>
      </c>
      <c r="E4705" s="52">
        <f t="shared" ca="1" si="197"/>
        <v>0</v>
      </c>
      <c r="F4705" s="17">
        <f t="shared" ca="1" si="198"/>
        <v>0</v>
      </c>
      <c r="H4705" s="17">
        <v>4696</v>
      </c>
      <c r="I4705" s="45">
        <v>0.67084635780987023</v>
      </c>
      <c r="J4705" s="45">
        <v>1.878257361188897E-2</v>
      </c>
      <c r="K4705" s="45">
        <v>0.24199999999999999</v>
      </c>
      <c r="N4705" s="54"/>
    </row>
    <row r="4706" spans="2:14" x14ac:dyDescent="0.2">
      <c r="B4706">
        <f t="shared" si="196"/>
        <v>4697</v>
      </c>
      <c r="C4706" s="52">
        <f ca="1"/>
        <v>-0.86795563829039135</v>
      </c>
      <c r="D4706" s="52">
        <f ca="1">S0*EXP((μ-0.5*σ*σ)*T+σ*SQRT(T)*$C4706)</f>
        <v>0.50649477220846584</v>
      </c>
      <c r="E4706" s="52">
        <f t="shared" ca="1" si="197"/>
        <v>2.7905227791534148E-2</v>
      </c>
      <c r="F4706" s="17">
        <f t="shared" ca="1" si="198"/>
        <v>1</v>
      </c>
      <c r="H4706" s="17">
        <v>4697</v>
      </c>
      <c r="I4706" s="45">
        <v>0.67143011442762024</v>
      </c>
      <c r="J4706" s="45">
        <v>1.9550489690398399E-2</v>
      </c>
      <c r="K4706" s="45">
        <v>0.24879999999999999</v>
      </c>
      <c r="N4706" s="54"/>
    </row>
    <row r="4707" spans="2:14" x14ac:dyDescent="0.2">
      <c r="B4707">
        <f t="shared" si="196"/>
        <v>4698</v>
      </c>
      <c r="C4707" s="52">
        <f ca="1"/>
        <v>-0.33917491238576969</v>
      </c>
      <c r="D4707" s="52">
        <f ca="1">S0*EXP((μ-0.5*σ*σ)*T+σ*SQRT(T)*$C4707)</f>
        <v>0.58621474829934206</v>
      </c>
      <c r="E4707" s="52">
        <f t="shared" ca="1" si="197"/>
        <v>0</v>
      </c>
      <c r="F4707" s="17">
        <f t="shared" ca="1" si="198"/>
        <v>0</v>
      </c>
      <c r="H4707" s="17">
        <v>4698</v>
      </c>
      <c r="I4707" s="45">
        <v>0.6709214798676626</v>
      </c>
      <c r="J4707" s="45">
        <v>1.9249892404648639E-2</v>
      </c>
      <c r="K4707" s="45">
        <v>0.25040000000000001</v>
      </c>
      <c r="N4707" s="54"/>
    </row>
    <row r="4708" spans="2:14" x14ac:dyDescent="0.2">
      <c r="B4708">
        <f t="shared" si="196"/>
        <v>4699</v>
      </c>
      <c r="C4708" s="52">
        <f ca="1"/>
        <v>-0.14102325457659604</v>
      </c>
      <c r="D4708" s="52">
        <f ca="1">S0*EXP((μ-0.5*σ*σ)*T+σ*SQRT(T)*$C4708)</f>
        <v>0.61922069745774311</v>
      </c>
      <c r="E4708" s="52">
        <f t="shared" ca="1" si="197"/>
        <v>0</v>
      </c>
      <c r="F4708" s="17">
        <f t="shared" ca="1" si="198"/>
        <v>0</v>
      </c>
      <c r="H4708" s="17">
        <v>4699</v>
      </c>
      <c r="I4708" s="45">
        <v>0.67066208653131831</v>
      </c>
      <c r="J4708" s="45">
        <v>1.8876534347893114E-2</v>
      </c>
      <c r="K4708" s="45">
        <v>0.24099999999999999</v>
      </c>
      <c r="N4708" s="54"/>
    </row>
    <row r="4709" spans="2:14" x14ac:dyDescent="0.2">
      <c r="B4709">
        <f t="shared" si="196"/>
        <v>4700</v>
      </c>
      <c r="C4709" s="52">
        <f ca="1"/>
        <v>0.31497716474025039</v>
      </c>
      <c r="D4709" s="52">
        <f ca="1">S0*EXP((μ-0.5*σ*σ)*T+σ*SQRT(T)*$C4709)</f>
        <v>0.70240846212005237</v>
      </c>
      <c r="E4709" s="52">
        <f t="shared" ca="1" si="197"/>
        <v>0</v>
      </c>
      <c r="F4709" s="17">
        <f t="shared" ca="1" si="198"/>
        <v>0</v>
      </c>
      <c r="H4709" s="17">
        <v>4700</v>
      </c>
      <c r="I4709" s="45">
        <v>0.67105133570019848</v>
      </c>
      <c r="J4709" s="45">
        <v>1.8928750072353843E-2</v>
      </c>
      <c r="K4709" s="45">
        <v>0.24440000000000001</v>
      </c>
      <c r="N4709" s="54"/>
    </row>
    <row r="4710" spans="2:14" x14ac:dyDescent="0.2">
      <c r="B4710">
        <f t="shared" si="196"/>
        <v>4701</v>
      </c>
      <c r="C4710" s="52">
        <f ca="1"/>
        <v>-0.30015191657336304</v>
      </c>
      <c r="D4710" s="52">
        <f ca="1">S0*EXP((μ-0.5*σ*σ)*T+σ*SQRT(T)*$C4710)</f>
        <v>0.59257260875154494</v>
      </c>
      <c r="E4710" s="52">
        <f t="shared" ca="1" si="197"/>
        <v>0</v>
      </c>
      <c r="F4710" s="17">
        <f t="shared" ca="1" si="198"/>
        <v>0</v>
      </c>
      <c r="H4710" s="17">
        <v>4701</v>
      </c>
      <c r="I4710" s="45">
        <v>0.67110108241858046</v>
      </c>
      <c r="J4710" s="45">
        <v>1.9316461331772727E-2</v>
      </c>
      <c r="K4710" s="45">
        <v>0.24199999999999999</v>
      </c>
      <c r="N4710" s="54"/>
    </row>
    <row r="4711" spans="2:14" x14ac:dyDescent="0.2">
      <c r="B4711">
        <f t="shared" si="196"/>
        <v>4702</v>
      </c>
      <c r="C4711" s="52">
        <f ca="1"/>
        <v>1.760731668718291</v>
      </c>
      <c r="D4711" s="52">
        <f ca="1">S0*EXP((μ-0.5*σ*σ)*T+σ*SQRT(T)*$C4711)</f>
        <v>1.0475073205936301</v>
      </c>
      <c r="E4711" s="52">
        <f t="shared" ca="1" si="197"/>
        <v>0</v>
      </c>
      <c r="F4711" s="17">
        <f t="shared" ca="1" si="198"/>
        <v>0</v>
      </c>
      <c r="H4711" s="17">
        <v>4702</v>
      </c>
      <c r="I4711" s="45">
        <v>0.67045908456421544</v>
      </c>
      <c r="J4711" s="45">
        <v>1.8942706176892376E-2</v>
      </c>
      <c r="K4711" s="45">
        <v>0.24740000000000001</v>
      </c>
      <c r="N4711" s="54"/>
    </row>
    <row r="4712" spans="2:14" x14ac:dyDescent="0.2">
      <c r="B4712">
        <f t="shared" si="196"/>
        <v>4703</v>
      </c>
      <c r="C4712" s="52">
        <f ca="1"/>
        <v>1.8845688909688816</v>
      </c>
      <c r="D4712" s="52">
        <f ca="1">S0*EXP((μ-0.5*σ*σ)*T+σ*SQRT(T)*$C4712)</f>
        <v>1.0839870928409567</v>
      </c>
      <c r="E4712" s="52">
        <f t="shared" ca="1" si="197"/>
        <v>0</v>
      </c>
      <c r="F4712" s="17">
        <f t="shared" ca="1" si="198"/>
        <v>0</v>
      </c>
      <c r="H4712" s="17">
        <v>4703</v>
      </c>
      <c r="I4712" s="45">
        <v>0.67112133715786171</v>
      </c>
      <c r="J4712" s="45">
        <v>1.9027710106847791E-2</v>
      </c>
      <c r="K4712" s="45">
        <v>0.24740000000000001</v>
      </c>
      <c r="N4712" s="54"/>
    </row>
    <row r="4713" spans="2:14" x14ac:dyDescent="0.2">
      <c r="B4713">
        <f t="shared" si="196"/>
        <v>4704</v>
      </c>
      <c r="C4713" s="52">
        <f ca="1"/>
        <v>0.94119152400343575</v>
      </c>
      <c r="D4713" s="52">
        <f ca="1">S0*EXP((μ-0.5*σ*σ)*T+σ*SQRT(T)*$C4713)</f>
        <v>0.83515814213360995</v>
      </c>
      <c r="E4713" s="52">
        <f t="shared" ca="1" si="197"/>
        <v>0</v>
      </c>
      <c r="F4713" s="17">
        <f t="shared" ca="1" si="198"/>
        <v>0</v>
      </c>
      <c r="H4713" s="17">
        <v>4704</v>
      </c>
      <c r="I4713" s="45">
        <v>0.67034836584128321</v>
      </c>
      <c r="J4713" s="45">
        <v>1.8790011645514831E-2</v>
      </c>
      <c r="K4713" s="45">
        <v>0.24299999999999999</v>
      </c>
      <c r="N4713" s="54"/>
    </row>
    <row r="4714" spans="2:14" x14ac:dyDescent="0.2">
      <c r="B4714">
        <f t="shared" si="196"/>
        <v>4705</v>
      </c>
      <c r="C4714" s="52">
        <f ca="1"/>
        <v>0.13246543044831446</v>
      </c>
      <c r="D4714" s="52">
        <f ca="1">S0*EXP((μ-0.5*σ*σ)*T+σ*SQRT(T)*$C4714)</f>
        <v>0.66784954245602279</v>
      </c>
      <c r="E4714" s="52">
        <f t="shared" ca="1" si="197"/>
        <v>0</v>
      </c>
      <c r="F4714" s="17">
        <f t="shared" ca="1" si="198"/>
        <v>0</v>
      </c>
      <c r="H4714" s="17">
        <v>4705</v>
      </c>
      <c r="I4714" s="45">
        <v>0.67006202702346862</v>
      </c>
      <c r="J4714" s="45">
        <v>1.8537970760484419E-2</v>
      </c>
      <c r="K4714" s="45">
        <v>0.24679999999999999</v>
      </c>
      <c r="N4714" s="54"/>
    </row>
    <row r="4715" spans="2:14" x14ac:dyDescent="0.2">
      <c r="B4715">
        <f t="shared" ref="B4715:B4778" si="199">B4714+1</f>
        <v>4706</v>
      </c>
      <c r="C4715" s="52">
        <f ca="1"/>
        <v>-0.96284013929703494</v>
      </c>
      <c r="D4715" s="52">
        <f ca="1">S0*EXP((μ-0.5*σ*σ)*T+σ*SQRT(T)*$C4715)</f>
        <v>0.4933825522423621</v>
      </c>
      <c r="E4715" s="52">
        <f t="shared" ca="1" si="197"/>
        <v>4.1017447757637882E-2</v>
      </c>
      <c r="F4715" s="17">
        <f t="shared" ca="1" si="198"/>
        <v>1</v>
      </c>
      <c r="H4715" s="17">
        <v>4706</v>
      </c>
      <c r="I4715" s="45">
        <v>0.67170849476057815</v>
      </c>
      <c r="J4715" s="45">
        <v>1.9622011363655083E-2</v>
      </c>
      <c r="K4715" s="45">
        <v>0.25059999999999999</v>
      </c>
      <c r="N4715" s="54"/>
    </row>
    <row r="4716" spans="2:14" x14ac:dyDescent="0.2">
      <c r="B4716">
        <f t="shared" si="199"/>
        <v>4707</v>
      </c>
      <c r="C4716" s="52">
        <f ca="1"/>
        <v>-0.4126685358081455</v>
      </c>
      <c r="D4716" s="52">
        <f ca="1">S0*EXP((μ-0.5*σ*σ)*T+σ*SQRT(T)*$C4716)</f>
        <v>0.57442535593899435</v>
      </c>
      <c r="E4716" s="52">
        <f t="shared" ca="1" si="197"/>
        <v>0</v>
      </c>
      <c r="F4716" s="17">
        <f t="shared" ca="1" si="198"/>
        <v>0</v>
      </c>
      <c r="H4716" s="17">
        <v>4707</v>
      </c>
      <c r="I4716" s="45">
        <v>0.67059512920444553</v>
      </c>
      <c r="J4716" s="45">
        <v>1.8701524086947467E-2</v>
      </c>
      <c r="K4716" s="45">
        <v>0.24579999999999999</v>
      </c>
      <c r="N4716" s="54"/>
    </row>
    <row r="4717" spans="2:14" x14ac:dyDescent="0.2">
      <c r="B4717">
        <f t="shared" si="199"/>
        <v>4708</v>
      </c>
      <c r="C4717" s="52">
        <f ca="1"/>
        <v>-2.8303169680204712E-2</v>
      </c>
      <c r="D4717" s="52">
        <f ca="1">S0*EXP((μ-0.5*σ*σ)*T+σ*SQRT(T)*$C4717)</f>
        <v>0.63881905430622765</v>
      </c>
      <c r="E4717" s="52">
        <f t="shared" ca="1" si="197"/>
        <v>0</v>
      </c>
      <c r="F4717" s="17">
        <f t="shared" ca="1" si="198"/>
        <v>0</v>
      </c>
      <c r="H4717" s="17">
        <v>4708</v>
      </c>
      <c r="I4717" s="45">
        <v>0.67050683794919763</v>
      </c>
      <c r="J4717" s="45">
        <v>1.8404680612331432E-2</v>
      </c>
      <c r="K4717" s="45">
        <v>0.24540000000000001</v>
      </c>
      <c r="N4717" s="54"/>
    </row>
    <row r="4718" spans="2:14" x14ac:dyDescent="0.2">
      <c r="B4718">
        <f t="shared" si="199"/>
        <v>4709</v>
      </c>
      <c r="C4718" s="52">
        <f ca="1"/>
        <v>-0.1940274502890279</v>
      </c>
      <c r="D4718" s="52">
        <f ca="1">S0*EXP((μ-0.5*σ*σ)*T+σ*SQRT(T)*$C4718)</f>
        <v>0.61021396918821647</v>
      </c>
      <c r="E4718" s="52">
        <f t="shared" ca="1" si="197"/>
        <v>0</v>
      </c>
      <c r="F4718" s="17">
        <f t="shared" ca="1" si="198"/>
        <v>0</v>
      </c>
      <c r="H4718" s="17">
        <v>4709</v>
      </c>
      <c r="I4718" s="45">
        <v>0.67263114660029033</v>
      </c>
      <c r="J4718" s="45">
        <v>2.0407537661945176E-2</v>
      </c>
      <c r="K4718" s="45">
        <v>0.25600000000000001</v>
      </c>
      <c r="N4718" s="54"/>
    </row>
    <row r="4719" spans="2:14" x14ac:dyDescent="0.2">
      <c r="B4719">
        <f t="shared" si="199"/>
        <v>4710</v>
      </c>
      <c r="C4719" s="52">
        <f ca="1"/>
        <v>-1.1595490771521715</v>
      </c>
      <c r="D4719" s="52">
        <f ca="1">S0*EXP((μ-0.5*σ*σ)*T+σ*SQRT(T)*$C4719)</f>
        <v>0.46727039535407594</v>
      </c>
      <c r="E4719" s="52">
        <f t="shared" ca="1" si="197"/>
        <v>6.7129604645924046E-2</v>
      </c>
      <c r="F4719" s="17">
        <f t="shared" ca="1" si="198"/>
        <v>1</v>
      </c>
      <c r="H4719" s="17">
        <v>4710</v>
      </c>
      <c r="I4719" s="45">
        <v>0.67045712403137581</v>
      </c>
      <c r="J4719" s="45">
        <v>1.883078546144162E-2</v>
      </c>
      <c r="K4719" s="45">
        <v>0.248</v>
      </c>
      <c r="N4719" s="54"/>
    </row>
    <row r="4720" spans="2:14" x14ac:dyDescent="0.2">
      <c r="B4720">
        <f t="shared" si="199"/>
        <v>4711</v>
      </c>
      <c r="C4720" s="52">
        <f ca="1"/>
        <v>1.1327618943933513</v>
      </c>
      <c r="D4720" s="52">
        <f ca="1">S0*EXP((μ-0.5*σ*σ)*T+σ*SQRT(T)*$C4720)</f>
        <v>0.88057700279494477</v>
      </c>
      <c r="E4720" s="52">
        <f t="shared" ca="1" si="197"/>
        <v>0</v>
      </c>
      <c r="F4720" s="17">
        <f t="shared" ca="1" si="198"/>
        <v>0</v>
      </c>
      <c r="H4720" s="17">
        <v>4711</v>
      </c>
      <c r="I4720" s="45">
        <v>0.67145442328315497</v>
      </c>
      <c r="J4720" s="45">
        <v>1.9367859877437776E-2</v>
      </c>
      <c r="K4720" s="45">
        <v>0.252</v>
      </c>
      <c r="N4720" s="54"/>
    </row>
    <row r="4721" spans="2:14" x14ac:dyDescent="0.2">
      <c r="B4721">
        <f t="shared" si="199"/>
        <v>4712</v>
      </c>
      <c r="C4721" s="52">
        <f ca="1"/>
        <v>1.1483966244365607</v>
      </c>
      <c r="D4721" s="52">
        <f ca="1">S0*EXP((μ-0.5*σ*σ)*T+σ*SQRT(T)*$C4721)</f>
        <v>0.88439104667306889</v>
      </c>
      <c r="E4721" s="52">
        <f t="shared" ca="1" si="197"/>
        <v>0</v>
      </c>
      <c r="F4721" s="17">
        <f t="shared" ca="1" si="198"/>
        <v>0</v>
      </c>
      <c r="H4721" s="17">
        <v>4712</v>
      </c>
      <c r="I4721" s="45">
        <v>0.67197381970310677</v>
      </c>
      <c r="J4721" s="45">
        <v>2.0036066668020849E-2</v>
      </c>
      <c r="K4721" s="45">
        <v>0.25459999999999999</v>
      </c>
      <c r="N4721" s="54"/>
    </row>
    <row r="4722" spans="2:14" x14ac:dyDescent="0.2">
      <c r="B4722">
        <f t="shared" si="199"/>
        <v>4713</v>
      </c>
      <c r="C4722" s="52">
        <f ca="1"/>
        <v>-1.7085829951678477</v>
      </c>
      <c r="D4722" s="52">
        <f ca="1">S0*EXP((μ-0.5*σ*σ)*T+σ*SQRT(T)*$C4722)</f>
        <v>0.40147179002856287</v>
      </c>
      <c r="E4722" s="52">
        <f t="shared" ca="1" si="197"/>
        <v>0.13292820997143712</v>
      </c>
      <c r="F4722" s="17">
        <f t="shared" ca="1" si="198"/>
        <v>1</v>
      </c>
      <c r="H4722" s="17">
        <v>4713</v>
      </c>
      <c r="I4722" s="45">
        <v>0.67189139184612345</v>
      </c>
      <c r="J4722" s="45">
        <v>1.963813888947203E-2</v>
      </c>
      <c r="K4722" s="45">
        <v>0.24560000000000001</v>
      </c>
      <c r="N4722" s="54"/>
    </row>
    <row r="4723" spans="2:14" x14ac:dyDescent="0.2">
      <c r="B4723">
        <f t="shared" si="199"/>
        <v>4714</v>
      </c>
      <c r="C4723" s="52">
        <f ca="1"/>
        <v>2.210118998706132</v>
      </c>
      <c r="D4723" s="52">
        <f ca="1">S0*EXP((μ-0.5*σ*σ)*T+σ*SQRT(T)*$C4723)</f>
        <v>1.1860620647523019</v>
      </c>
      <c r="E4723" s="52">
        <f t="shared" ca="1" si="197"/>
        <v>0</v>
      </c>
      <c r="F4723" s="17">
        <f t="shared" ca="1" si="198"/>
        <v>0</v>
      </c>
      <c r="H4723" s="17">
        <v>4714</v>
      </c>
      <c r="I4723" s="45">
        <v>0.66962610625830499</v>
      </c>
      <c r="J4723" s="45">
        <v>1.7827000848233458E-2</v>
      </c>
      <c r="K4723" s="45">
        <v>0.23480000000000001</v>
      </c>
      <c r="N4723" s="54"/>
    </row>
    <row r="4724" spans="2:14" x14ac:dyDescent="0.2">
      <c r="B4724">
        <f t="shared" si="199"/>
        <v>4715</v>
      </c>
      <c r="C4724" s="52">
        <f ca="1"/>
        <v>1.4379958181792076</v>
      </c>
      <c r="D4724" s="52">
        <f ca="1">S0*EXP((μ-0.5*σ*σ)*T+σ*SQRT(T)*$C4724)</f>
        <v>0.95810172606468891</v>
      </c>
      <c r="E4724" s="52">
        <f t="shared" ca="1" si="197"/>
        <v>0</v>
      </c>
      <c r="F4724" s="17">
        <f t="shared" ca="1" si="198"/>
        <v>0</v>
      </c>
      <c r="H4724" s="17">
        <v>4715</v>
      </c>
      <c r="I4724" s="45">
        <v>0.6703024753636041</v>
      </c>
      <c r="J4724" s="45">
        <v>1.8734023005621478E-2</v>
      </c>
      <c r="K4724" s="45">
        <v>0.25159999999999999</v>
      </c>
      <c r="N4724" s="54"/>
    </row>
    <row r="4725" spans="2:14" x14ac:dyDescent="0.2">
      <c r="B4725">
        <f t="shared" si="199"/>
        <v>4716</v>
      </c>
      <c r="C4725" s="52">
        <f ca="1"/>
        <v>0.60238309569675486</v>
      </c>
      <c r="D4725" s="52">
        <f ca="1">S0*EXP((μ-0.5*σ*σ)*T+σ*SQRT(T)*$C4725)</f>
        <v>0.76049035823877242</v>
      </c>
      <c r="E4725" s="52">
        <f t="shared" ca="1" si="197"/>
        <v>0</v>
      </c>
      <c r="F4725" s="17">
        <f t="shared" ca="1" si="198"/>
        <v>0</v>
      </c>
      <c r="H4725" s="17">
        <v>4716</v>
      </c>
      <c r="I4725" s="45">
        <v>0.67014311389419334</v>
      </c>
      <c r="J4725" s="45">
        <v>1.8215971796385018E-2</v>
      </c>
      <c r="K4725" s="45">
        <v>0.24759999999999999</v>
      </c>
      <c r="N4725" s="54"/>
    </row>
    <row r="4726" spans="2:14" x14ac:dyDescent="0.2">
      <c r="B4726">
        <f t="shared" si="199"/>
        <v>4717</v>
      </c>
      <c r="C4726" s="52">
        <f ca="1"/>
        <v>0.36561907572041374</v>
      </c>
      <c r="D4726" s="52">
        <f ca="1">S0*EXP((μ-0.5*σ*σ)*T+σ*SQRT(T)*$C4726)</f>
        <v>0.71231067704172712</v>
      </c>
      <c r="E4726" s="52">
        <f t="shared" ca="1" si="197"/>
        <v>0</v>
      </c>
      <c r="F4726" s="17">
        <f t="shared" ca="1" si="198"/>
        <v>0</v>
      </c>
      <c r="H4726" s="17">
        <v>4717</v>
      </c>
      <c r="I4726" s="45">
        <v>0.67009045069886419</v>
      </c>
      <c r="J4726" s="45">
        <v>1.8595923877634219E-2</v>
      </c>
      <c r="K4726" s="45">
        <v>0.24560000000000001</v>
      </c>
      <c r="N4726" s="54"/>
    </row>
    <row r="4727" spans="2:14" x14ac:dyDescent="0.2">
      <c r="B4727">
        <f t="shared" si="199"/>
        <v>4718</v>
      </c>
      <c r="C4727" s="52">
        <f ca="1"/>
        <v>0.82279707917887834</v>
      </c>
      <c r="D4727" s="52">
        <f ca="1">S0*EXP((μ-0.5*σ*σ)*T+σ*SQRT(T)*$C4727)</f>
        <v>0.80826746500124425</v>
      </c>
      <c r="E4727" s="52">
        <f t="shared" ca="1" si="197"/>
        <v>0</v>
      </c>
      <c r="F4727" s="17">
        <f t="shared" ca="1" si="198"/>
        <v>0</v>
      </c>
      <c r="H4727" s="17">
        <v>4718</v>
      </c>
      <c r="I4727" s="45">
        <v>0.67040507500722279</v>
      </c>
      <c r="J4727" s="45">
        <v>1.8432705088372223E-2</v>
      </c>
      <c r="K4727" s="45">
        <v>0.23799999999999999</v>
      </c>
      <c r="N4727" s="54"/>
    </row>
    <row r="4728" spans="2:14" x14ac:dyDescent="0.2">
      <c r="B4728">
        <f t="shared" si="199"/>
        <v>4719</v>
      </c>
      <c r="C4728" s="52">
        <f ca="1"/>
        <v>1.24140105015488</v>
      </c>
      <c r="D4728" s="52">
        <f ca="1">S0*EXP((μ-0.5*σ*σ)*T+σ*SQRT(T)*$C4728)</f>
        <v>0.90742305297749015</v>
      </c>
      <c r="E4728" s="52">
        <f t="shared" ca="1" si="197"/>
        <v>0</v>
      </c>
      <c r="F4728" s="17">
        <f t="shared" ca="1" si="198"/>
        <v>0</v>
      </c>
      <c r="H4728" s="17">
        <v>4719</v>
      </c>
      <c r="I4728" s="45">
        <v>0.67109156323430363</v>
      </c>
      <c r="J4728" s="45">
        <v>1.8833192410050277E-2</v>
      </c>
      <c r="K4728" s="45">
        <v>0.24399999999999999</v>
      </c>
      <c r="N4728" s="54"/>
    </row>
    <row r="4729" spans="2:14" x14ac:dyDescent="0.2">
      <c r="B4729">
        <f t="shared" si="199"/>
        <v>4720</v>
      </c>
      <c r="C4729" s="52">
        <f ca="1"/>
        <v>0.43528745530701496</v>
      </c>
      <c r="D4729" s="52">
        <f ca="1">S0*EXP((μ-0.5*σ*σ)*T+σ*SQRT(T)*$C4729)</f>
        <v>0.72616173510973026</v>
      </c>
      <c r="E4729" s="52">
        <f t="shared" ca="1" si="197"/>
        <v>0</v>
      </c>
      <c r="F4729" s="17">
        <f t="shared" ca="1" si="198"/>
        <v>0</v>
      </c>
      <c r="H4729" s="17">
        <v>4720</v>
      </c>
      <c r="I4729" s="45">
        <v>0.67102245808565242</v>
      </c>
      <c r="J4729" s="45">
        <v>1.8884734938937192E-2</v>
      </c>
      <c r="K4729" s="45">
        <v>0.2382</v>
      </c>
      <c r="N4729" s="54"/>
    </row>
    <row r="4730" spans="2:14" x14ac:dyDescent="0.2">
      <c r="B4730">
        <f t="shared" si="199"/>
        <v>4721</v>
      </c>
      <c r="C4730" s="52">
        <f ca="1"/>
        <v>1.0557224649479957</v>
      </c>
      <c r="D4730" s="52">
        <f ca="1">S0*EXP((μ-0.5*σ*σ)*T+σ*SQRT(T)*$C4730)</f>
        <v>0.86202232941088341</v>
      </c>
      <c r="E4730" s="52">
        <f t="shared" ca="1" si="197"/>
        <v>0</v>
      </c>
      <c r="F4730" s="17">
        <f t="shared" ca="1" si="198"/>
        <v>0</v>
      </c>
      <c r="H4730" s="17">
        <v>4721</v>
      </c>
      <c r="I4730" s="45">
        <v>0.67095912826404003</v>
      </c>
      <c r="J4730" s="45">
        <v>1.9260181948850208E-2</v>
      </c>
      <c r="K4730" s="45">
        <v>0.248</v>
      </c>
      <c r="N4730" s="54"/>
    </row>
    <row r="4731" spans="2:14" x14ac:dyDescent="0.2">
      <c r="B4731">
        <f t="shared" si="199"/>
        <v>4722</v>
      </c>
      <c r="C4731" s="52">
        <f ca="1"/>
        <v>-0.23925346465789549</v>
      </c>
      <c r="D4731" s="52">
        <f ca="1">S0*EXP((μ-0.5*σ*σ)*T+σ*SQRT(T)*$C4731)</f>
        <v>0.6026325999279919</v>
      </c>
      <c r="E4731" s="52">
        <f t="shared" ca="1" si="197"/>
        <v>0</v>
      </c>
      <c r="F4731" s="17">
        <f t="shared" ca="1" si="198"/>
        <v>0</v>
      </c>
      <c r="H4731" s="17">
        <v>4722</v>
      </c>
      <c r="I4731" s="45">
        <v>0.67047394243593994</v>
      </c>
      <c r="J4731" s="45">
        <v>1.8586664850522693E-2</v>
      </c>
      <c r="K4731" s="45">
        <v>0.24540000000000001</v>
      </c>
      <c r="N4731" s="54"/>
    </row>
    <row r="4732" spans="2:14" x14ac:dyDescent="0.2">
      <c r="B4732">
        <f t="shared" si="199"/>
        <v>4723</v>
      </c>
      <c r="C4732" s="52">
        <f ca="1"/>
        <v>0.4095934191807945</v>
      </c>
      <c r="D4732" s="52">
        <f ca="1">S0*EXP((μ-0.5*σ*σ)*T+σ*SQRT(T)*$C4732)</f>
        <v>0.72102232350540962</v>
      </c>
      <c r="E4732" s="52">
        <f t="shared" ca="1" si="197"/>
        <v>0</v>
      </c>
      <c r="F4732" s="17">
        <f t="shared" ca="1" si="198"/>
        <v>0</v>
      </c>
      <c r="H4732" s="17">
        <v>4723</v>
      </c>
      <c r="I4732" s="45">
        <v>0.67110006720063597</v>
      </c>
      <c r="J4732" s="45">
        <v>1.8945968397821186E-2</v>
      </c>
      <c r="K4732" s="45">
        <v>0.24460000000000001</v>
      </c>
      <c r="N4732" s="54"/>
    </row>
    <row r="4733" spans="2:14" x14ac:dyDescent="0.2">
      <c r="B4733">
        <f t="shared" si="199"/>
        <v>4724</v>
      </c>
      <c r="C4733" s="52">
        <f ca="1"/>
        <v>-0.1325250408838862</v>
      </c>
      <c r="D4733" s="52">
        <f ca="1">S0*EXP((μ-0.5*σ*σ)*T+σ*SQRT(T)*$C4733)</f>
        <v>0.62067706989800986</v>
      </c>
      <c r="E4733" s="52">
        <f t="shared" ca="1" si="197"/>
        <v>0</v>
      </c>
      <c r="F4733" s="17">
        <f t="shared" ca="1" si="198"/>
        <v>0</v>
      </c>
      <c r="H4733" s="17">
        <v>4724</v>
      </c>
      <c r="I4733" s="45">
        <v>0.67116322798541805</v>
      </c>
      <c r="J4733" s="45">
        <v>1.9194015126293977E-2</v>
      </c>
      <c r="K4733" s="45">
        <v>0.24540000000000001</v>
      </c>
      <c r="N4733" s="54"/>
    </row>
    <row r="4734" spans="2:14" x14ac:dyDescent="0.2">
      <c r="B4734">
        <f t="shared" si="199"/>
        <v>4725</v>
      </c>
      <c r="C4734" s="52">
        <f ca="1"/>
        <v>-1.1790404588659396</v>
      </c>
      <c r="D4734" s="52">
        <f ca="1">S0*EXP((μ-0.5*σ*σ)*T+σ*SQRT(T)*$C4734)</f>
        <v>0.46475948886062968</v>
      </c>
      <c r="E4734" s="52">
        <f t="shared" ca="1" si="197"/>
        <v>6.9640511139370309E-2</v>
      </c>
      <c r="F4734" s="17">
        <f t="shared" ca="1" si="198"/>
        <v>1</v>
      </c>
      <c r="H4734" s="17">
        <v>4725</v>
      </c>
      <c r="I4734" s="45">
        <v>0.6706272069187087</v>
      </c>
      <c r="J4734" s="45">
        <v>1.8829147805331098E-2</v>
      </c>
      <c r="K4734" s="45">
        <v>0.25119999999999998</v>
      </c>
      <c r="N4734" s="54"/>
    </row>
    <row r="4735" spans="2:14" x14ac:dyDescent="0.2">
      <c r="B4735">
        <f t="shared" si="199"/>
        <v>4726</v>
      </c>
      <c r="C4735" s="52">
        <f ca="1"/>
        <v>-1.2644090581436449</v>
      </c>
      <c r="D4735" s="52">
        <f ca="1">S0*EXP((μ-0.5*σ*σ)*T+σ*SQRT(T)*$C4735)</f>
        <v>0.45392018884508978</v>
      </c>
      <c r="E4735" s="52">
        <f t="shared" ca="1" si="197"/>
        <v>8.0479811154910208E-2</v>
      </c>
      <c r="F4735" s="17">
        <f t="shared" ca="1" si="198"/>
        <v>1</v>
      </c>
      <c r="H4735" s="17">
        <v>4726</v>
      </c>
      <c r="I4735" s="45">
        <v>0.67024047995043079</v>
      </c>
      <c r="J4735" s="45">
        <v>1.8285506992727879E-2</v>
      </c>
      <c r="K4735" s="45">
        <v>0.24660000000000001</v>
      </c>
      <c r="N4735" s="54"/>
    </row>
    <row r="4736" spans="2:14" x14ac:dyDescent="0.2">
      <c r="B4736">
        <f t="shared" si="199"/>
        <v>4727</v>
      </c>
      <c r="C4736" s="52">
        <f ca="1"/>
        <v>0.89268961942943825</v>
      </c>
      <c r="D4736" s="52">
        <f ca="1">S0*EXP((μ-0.5*σ*σ)*T+σ*SQRT(T)*$C4736)</f>
        <v>0.8240354866693711</v>
      </c>
      <c r="E4736" s="52">
        <f t="shared" ca="1" si="197"/>
        <v>0</v>
      </c>
      <c r="F4736" s="17">
        <f t="shared" ca="1" si="198"/>
        <v>0</v>
      </c>
      <c r="H4736" s="17">
        <v>4727</v>
      </c>
      <c r="I4736" s="45">
        <v>0.67036894117005619</v>
      </c>
      <c r="J4736" s="45">
        <v>1.8598825576930669E-2</v>
      </c>
      <c r="K4736" s="45">
        <v>0.24340000000000001</v>
      </c>
      <c r="N4736" s="54"/>
    </row>
    <row r="4737" spans="2:14" x14ac:dyDescent="0.2">
      <c r="B4737">
        <f t="shared" si="199"/>
        <v>4728</v>
      </c>
      <c r="C4737" s="52">
        <f ca="1"/>
        <v>0.81541617483721651</v>
      </c>
      <c r="D4737" s="52">
        <f ca="1">S0*EXP((μ-0.5*σ*σ)*T+σ*SQRT(T)*$C4737)</f>
        <v>0.80662002039293335</v>
      </c>
      <c r="E4737" s="52">
        <f t="shared" ca="1" si="197"/>
        <v>0</v>
      </c>
      <c r="F4737" s="17">
        <f t="shared" ca="1" si="198"/>
        <v>0</v>
      </c>
      <c r="H4737" s="17">
        <v>4728</v>
      </c>
      <c r="I4737" s="45">
        <v>0.67158768450355877</v>
      </c>
      <c r="J4737" s="45">
        <v>1.9689477156329602E-2</v>
      </c>
      <c r="K4737" s="45">
        <v>0.25259999999999999</v>
      </c>
      <c r="N4737" s="54"/>
    </row>
    <row r="4738" spans="2:14" x14ac:dyDescent="0.2">
      <c r="B4738">
        <f t="shared" si="199"/>
        <v>4729</v>
      </c>
      <c r="C4738" s="52">
        <f ca="1"/>
        <v>1.0737058779202477</v>
      </c>
      <c r="D4738" s="52">
        <f ca="1">S0*EXP((μ-0.5*σ*σ)*T+σ*SQRT(T)*$C4738)</f>
        <v>0.86631828402736277</v>
      </c>
      <c r="E4738" s="52">
        <f t="shared" ca="1" si="197"/>
        <v>0</v>
      </c>
      <c r="F4738" s="17">
        <f t="shared" ca="1" si="198"/>
        <v>0</v>
      </c>
      <c r="H4738" s="17">
        <v>4729</v>
      </c>
      <c r="I4738" s="45">
        <v>0.67100343749269065</v>
      </c>
      <c r="J4738" s="45">
        <v>1.8662304885201861E-2</v>
      </c>
      <c r="K4738" s="45">
        <v>0.24099999999999999</v>
      </c>
      <c r="N4738" s="54"/>
    </row>
    <row r="4739" spans="2:14" x14ac:dyDescent="0.2">
      <c r="B4739">
        <f t="shared" si="199"/>
        <v>4730</v>
      </c>
      <c r="C4739" s="52">
        <f ca="1"/>
        <v>2.1313524340626926</v>
      </c>
      <c r="D4739" s="52">
        <f ca="1">S0*EXP((μ-0.5*σ*σ)*T+σ*SQRT(T)*$C4739)</f>
        <v>1.1605162984387911</v>
      </c>
      <c r="E4739" s="52">
        <f t="shared" ca="1" si="197"/>
        <v>0</v>
      </c>
      <c r="F4739" s="17">
        <f t="shared" ca="1" si="198"/>
        <v>0</v>
      </c>
      <c r="H4739" s="17">
        <v>4730</v>
      </c>
      <c r="I4739" s="45">
        <v>0.67154664720344348</v>
      </c>
      <c r="J4739" s="45">
        <v>1.9516625275104244E-2</v>
      </c>
      <c r="K4739" s="45">
        <v>0.25719999999999998</v>
      </c>
      <c r="N4739" s="54"/>
    </row>
    <row r="4740" spans="2:14" x14ac:dyDescent="0.2">
      <c r="B4740">
        <f t="shared" si="199"/>
        <v>4731</v>
      </c>
      <c r="C4740" s="52">
        <f ca="1"/>
        <v>-2.1624414214221548</v>
      </c>
      <c r="D4740" s="52">
        <f ca="1">S0*EXP((μ-0.5*σ*σ)*T+σ*SQRT(T)*$C4740)</f>
        <v>0.35413423782615489</v>
      </c>
      <c r="E4740" s="52">
        <f t="shared" ca="1" si="197"/>
        <v>0.1802657621738451</v>
      </c>
      <c r="F4740" s="17">
        <f t="shared" ca="1" si="198"/>
        <v>1</v>
      </c>
      <c r="H4740" s="17">
        <v>4731</v>
      </c>
      <c r="I4740" s="45">
        <v>0.67091118098952274</v>
      </c>
      <c r="J4740" s="45">
        <v>1.8907400741762455E-2</v>
      </c>
      <c r="K4740" s="45">
        <v>0.24959999999999999</v>
      </c>
      <c r="N4740" s="54"/>
    </row>
    <row r="4741" spans="2:14" x14ac:dyDescent="0.2">
      <c r="B4741">
        <f t="shared" si="199"/>
        <v>4732</v>
      </c>
      <c r="C4741" s="52">
        <f ca="1"/>
        <v>1.6098546902461432</v>
      </c>
      <c r="D4741" s="52">
        <f ca="1">S0*EXP((μ-0.5*σ*σ)*T+σ*SQRT(T)*$C4741)</f>
        <v>1.0047171499974326</v>
      </c>
      <c r="E4741" s="52">
        <f t="shared" ca="1" si="197"/>
        <v>0</v>
      </c>
      <c r="F4741" s="17">
        <f t="shared" ca="1" si="198"/>
        <v>0</v>
      </c>
      <c r="H4741" s="17">
        <v>4732</v>
      </c>
      <c r="I4741" s="45">
        <v>0.67179812424553698</v>
      </c>
      <c r="J4741" s="45">
        <v>1.9510200180666092E-2</v>
      </c>
      <c r="K4741" s="45">
        <v>0.24579999999999999</v>
      </c>
      <c r="N4741" s="54"/>
    </row>
    <row r="4742" spans="2:14" x14ac:dyDescent="0.2">
      <c r="B4742">
        <f t="shared" si="199"/>
        <v>4733</v>
      </c>
      <c r="C4742" s="52">
        <f ca="1"/>
        <v>-2.1595661763673299</v>
      </c>
      <c r="D4742" s="52">
        <f ca="1">S0*EXP((μ-0.5*σ*σ)*T+σ*SQRT(T)*$C4742)</f>
        <v>0.35441581957769375</v>
      </c>
      <c r="E4742" s="52">
        <f t="shared" ca="1" si="197"/>
        <v>0.17998418042230624</v>
      </c>
      <c r="F4742" s="17">
        <f t="shared" ca="1" si="198"/>
        <v>1</v>
      </c>
      <c r="H4742" s="17">
        <v>4733</v>
      </c>
      <c r="I4742" s="45">
        <v>0.67072961068761727</v>
      </c>
      <c r="J4742" s="45">
        <v>1.8747474592684919E-2</v>
      </c>
      <c r="K4742" s="45">
        <v>0.24940000000000001</v>
      </c>
      <c r="N4742" s="54"/>
    </row>
    <row r="4743" spans="2:14" x14ac:dyDescent="0.2">
      <c r="B4743">
        <f t="shared" si="199"/>
        <v>4734</v>
      </c>
      <c r="C4743" s="52">
        <f ca="1"/>
        <v>-0.62693923549825437</v>
      </c>
      <c r="D4743" s="52">
        <f ca="1">S0*EXP((μ-0.5*σ*σ)*T+σ*SQRT(T)*$C4743)</f>
        <v>0.54138938592952557</v>
      </c>
      <c r="E4743" s="52">
        <f t="shared" ca="1" si="197"/>
        <v>0</v>
      </c>
      <c r="F4743" s="17">
        <f t="shared" ca="1" si="198"/>
        <v>0</v>
      </c>
      <c r="H4743" s="17">
        <v>4734</v>
      </c>
      <c r="I4743" s="45">
        <v>0.67174128146735868</v>
      </c>
      <c r="J4743" s="45">
        <v>1.9863288568268776E-2</v>
      </c>
      <c r="K4743" s="45">
        <v>0.25540000000000002</v>
      </c>
      <c r="N4743" s="54"/>
    </row>
    <row r="4744" spans="2:14" x14ac:dyDescent="0.2">
      <c r="B4744">
        <f t="shared" si="199"/>
        <v>4735</v>
      </c>
      <c r="C4744" s="52">
        <f ca="1"/>
        <v>1.1534860429846239</v>
      </c>
      <c r="D4744" s="52">
        <f ca="1">S0*EXP((μ-0.5*σ*σ)*T+σ*SQRT(T)*$C4744)</f>
        <v>0.88563615507418758</v>
      </c>
      <c r="E4744" s="52">
        <f t="shared" ca="1" si="197"/>
        <v>0</v>
      </c>
      <c r="F4744" s="17">
        <f t="shared" ca="1" si="198"/>
        <v>0</v>
      </c>
      <c r="H4744" s="17">
        <v>4735</v>
      </c>
      <c r="I4744" s="45">
        <v>0.6700292732786316</v>
      </c>
      <c r="J4744" s="45">
        <v>1.8132842857259614E-2</v>
      </c>
      <c r="K4744" s="45">
        <v>0.23580000000000001</v>
      </c>
      <c r="N4744" s="54"/>
    </row>
    <row r="4745" spans="2:14" x14ac:dyDescent="0.2">
      <c r="B4745">
        <f t="shared" si="199"/>
        <v>4736</v>
      </c>
      <c r="C4745" s="52">
        <f ca="1"/>
        <v>-1.148266358290092</v>
      </c>
      <c r="D4745" s="52">
        <f ca="1">S0*EXP((μ-0.5*σ*σ)*T+σ*SQRT(T)*$C4745)</f>
        <v>0.46873004489113834</v>
      </c>
      <c r="E4745" s="52">
        <f t="shared" ca="1" si="197"/>
        <v>6.5669955108861644E-2</v>
      </c>
      <c r="F4745" s="17">
        <f t="shared" ca="1" si="198"/>
        <v>1</v>
      </c>
      <c r="H4745" s="17">
        <v>4736</v>
      </c>
      <c r="I4745" s="45">
        <v>0.67110070452202908</v>
      </c>
      <c r="J4745" s="45">
        <v>1.904379472677863E-2</v>
      </c>
      <c r="K4745" s="45">
        <v>0.25019999999999998</v>
      </c>
      <c r="N4745" s="54"/>
    </row>
    <row r="4746" spans="2:14" x14ac:dyDescent="0.2">
      <c r="B4746">
        <f t="shared" si="199"/>
        <v>4737</v>
      </c>
      <c r="C4746" s="52">
        <f ca="1"/>
        <v>0.71194241716255202</v>
      </c>
      <c r="D4746" s="52">
        <f ca="1">S0*EXP((μ-0.5*σ*σ)*T+σ*SQRT(T)*$C4746)</f>
        <v>0.78387470457672415</v>
      </c>
      <c r="E4746" s="52">
        <f t="shared" ref="E4746:E4809" ca="1" si="200">MAX(0,CP*(D4746-K))</f>
        <v>0</v>
      </c>
      <c r="F4746" s="17">
        <f t="shared" ref="F4746:F4809" ca="1" si="201">(CP*(D4746-K)&gt;0)*1</f>
        <v>0</v>
      </c>
      <c r="H4746" s="17">
        <v>4737</v>
      </c>
      <c r="I4746" s="45">
        <v>0.67047771957808333</v>
      </c>
      <c r="J4746" s="45">
        <v>1.8585464920568142E-2</v>
      </c>
      <c r="K4746" s="45">
        <v>0.24160000000000001</v>
      </c>
      <c r="N4746" s="54"/>
    </row>
    <row r="4747" spans="2:14" x14ac:dyDescent="0.2">
      <c r="B4747">
        <f t="shared" si="199"/>
        <v>4738</v>
      </c>
      <c r="C4747" s="52">
        <f ca="1"/>
        <v>-0.72335607132100976</v>
      </c>
      <c r="D4747" s="52">
        <f ca="1">S0*EXP((μ-0.5*σ*σ)*T+σ*SQRT(T)*$C4747)</f>
        <v>0.52715046699404056</v>
      </c>
      <c r="E4747" s="52">
        <f t="shared" ca="1" si="200"/>
        <v>7.2495330059594298E-3</v>
      </c>
      <c r="F4747" s="17">
        <f t="shared" ca="1" si="201"/>
        <v>1</v>
      </c>
      <c r="H4747" s="17">
        <v>4738</v>
      </c>
      <c r="I4747" s="45">
        <v>0.67345817511972472</v>
      </c>
      <c r="J4747" s="45">
        <v>2.1005509569548012E-2</v>
      </c>
      <c r="K4747" s="45">
        <v>0.26240000000000002</v>
      </c>
      <c r="N4747" s="54"/>
    </row>
    <row r="4748" spans="2:14" x14ac:dyDescent="0.2">
      <c r="B4748">
        <f t="shared" si="199"/>
        <v>4739</v>
      </c>
      <c r="C4748" s="52">
        <f ca="1"/>
        <v>2.2788701642565288</v>
      </c>
      <c r="D4748" s="52">
        <f ca="1">S0*EXP((μ-0.5*σ*σ)*T+σ*SQRT(T)*$C4748)</f>
        <v>1.2088188040601049</v>
      </c>
      <c r="E4748" s="52">
        <f t="shared" ca="1" si="200"/>
        <v>0</v>
      </c>
      <c r="F4748" s="17">
        <f t="shared" ca="1" si="201"/>
        <v>0</v>
      </c>
      <c r="H4748" s="17">
        <v>4739</v>
      </c>
      <c r="I4748" s="45">
        <v>0.67032224377327354</v>
      </c>
      <c r="J4748" s="45">
        <v>1.8516334468970903E-2</v>
      </c>
      <c r="K4748" s="45">
        <v>0.24340000000000001</v>
      </c>
      <c r="N4748" s="54"/>
    </row>
    <row r="4749" spans="2:14" x14ac:dyDescent="0.2">
      <c r="B4749">
        <f t="shared" si="199"/>
        <v>4740</v>
      </c>
      <c r="C4749" s="52">
        <f ca="1"/>
        <v>1.387238552421975</v>
      </c>
      <c r="D4749" s="52">
        <f ca="1">S0*EXP((μ-0.5*σ*σ)*T+σ*SQRT(T)*$C4749)</f>
        <v>0.94475251062809562</v>
      </c>
      <c r="E4749" s="52">
        <f t="shared" ca="1" si="200"/>
        <v>0</v>
      </c>
      <c r="F4749" s="17">
        <f t="shared" ca="1" si="201"/>
        <v>0</v>
      </c>
      <c r="H4749" s="17">
        <v>4740</v>
      </c>
      <c r="I4749" s="45">
        <v>0.67013038108299627</v>
      </c>
      <c r="J4749" s="45">
        <v>1.8349733103079989E-2</v>
      </c>
      <c r="K4749" s="45">
        <v>0.2392</v>
      </c>
      <c r="N4749" s="54"/>
    </row>
    <row r="4750" spans="2:14" x14ac:dyDescent="0.2">
      <c r="B4750">
        <f t="shared" si="199"/>
        <v>4741</v>
      </c>
      <c r="C4750" s="52">
        <f ca="1"/>
        <v>-8.7921067949076781E-2</v>
      </c>
      <c r="D4750" s="52">
        <f ca="1">S0*EXP((μ-0.5*σ*σ)*T+σ*SQRT(T)*$C4750)</f>
        <v>0.62837738577246038</v>
      </c>
      <c r="E4750" s="52">
        <f t="shared" ca="1" si="200"/>
        <v>0</v>
      </c>
      <c r="F4750" s="17">
        <f t="shared" ca="1" si="201"/>
        <v>0</v>
      </c>
      <c r="H4750" s="17">
        <v>4741</v>
      </c>
      <c r="I4750" s="45">
        <v>0.67042540439084763</v>
      </c>
      <c r="J4750" s="45">
        <v>1.8560586077248045E-2</v>
      </c>
      <c r="K4750" s="45">
        <v>0.24840000000000001</v>
      </c>
      <c r="N4750" s="54"/>
    </row>
    <row r="4751" spans="2:14" x14ac:dyDescent="0.2">
      <c r="B4751">
        <f t="shared" si="199"/>
        <v>4742</v>
      </c>
      <c r="C4751" s="52">
        <f ca="1"/>
        <v>0.31961908826292151</v>
      </c>
      <c r="D4751" s="52">
        <f ca="1">S0*EXP((μ-0.5*σ*σ)*T+σ*SQRT(T)*$C4751)</f>
        <v>0.70331035613803727</v>
      </c>
      <c r="E4751" s="52">
        <f t="shared" ca="1" si="200"/>
        <v>0</v>
      </c>
      <c r="F4751" s="17">
        <f t="shared" ca="1" si="201"/>
        <v>0</v>
      </c>
      <c r="H4751" s="17">
        <v>4742</v>
      </c>
      <c r="I4751" s="45">
        <v>0.67198414878013701</v>
      </c>
      <c r="J4751" s="45">
        <v>1.9906730635289083E-2</v>
      </c>
      <c r="K4751" s="45">
        <v>0.25080000000000002</v>
      </c>
      <c r="N4751" s="54"/>
    </row>
    <row r="4752" spans="2:14" x14ac:dyDescent="0.2">
      <c r="B4752">
        <f t="shared" si="199"/>
        <v>4743</v>
      </c>
      <c r="C4752" s="52">
        <f ca="1"/>
        <v>1.8557188366882298</v>
      </c>
      <c r="D4752" s="52">
        <f ca="1">S0*EXP((μ-0.5*σ*σ)*T+σ*SQRT(T)*$C4752)</f>
        <v>1.0753765754350335</v>
      </c>
      <c r="E4752" s="52">
        <f t="shared" ca="1" si="200"/>
        <v>0</v>
      </c>
      <c r="F4752" s="17">
        <f t="shared" ca="1" si="201"/>
        <v>0</v>
      </c>
      <c r="H4752" s="17">
        <v>4743</v>
      </c>
      <c r="I4752" s="45">
        <v>0.67159262788738472</v>
      </c>
      <c r="J4752" s="45">
        <v>1.9244065286514907E-2</v>
      </c>
      <c r="K4752" s="45">
        <v>0.2472</v>
      </c>
      <c r="N4752" s="54"/>
    </row>
    <row r="4753" spans="2:14" x14ac:dyDescent="0.2">
      <c r="B4753">
        <f t="shared" si="199"/>
        <v>4744</v>
      </c>
      <c r="C4753" s="52">
        <f ca="1"/>
        <v>-0.75852907667203651</v>
      </c>
      <c r="D4753" s="52">
        <f ca="1">S0*EXP((μ-0.5*σ*σ)*T+σ*SQRT(T)*$C4753)</f>
        <v>0.52204983968471075</v>
      </c>
      <c r="E4753" s="52">
        <f t="shared" ca="1" si="200"/>
        <v>1.2350160315289238E-2</v>
      </c>
      <c r="F4753" s="17">
        <f t="shared" ca="1" si="201"/>
        <v>1</v>
      </c>
      <c r="H4753" s="17">
        <v>4744</v>
      </c>
      <c r="I4753" s="45">
        <v>0.67036184731580606</v>
      </c>
      <c r="J4753" s="45">
        <v>1.8500949484978772E-2</v>
      </c>
      <c r="K4753" s="45">
        <v>0.23980000000000001</v>
      </c>
      <c r="N4753" s="54"/>
    </row>
    <row r="4754" spans="2:14" x14ac:dyDescent="0.2">
      <c r="B4754">
        <f t="shared" si="199"/>
        <v>4745</v>
      </c>
      <c r="C4754" s="52">
        <f ca="1"/>
        <v>-1.1507985324748793</v>
      </c>
      <c r="D4754" s="52">
        <f ca="1">S0*EXP((μ-0.5*σ*σ)*T+σ*SQRT(T)*$C4754)</f>
        <v>0.46840206025383968</v>
      </c>
      <c r="E4754" s="52">
        <f t="shared" ca="1" si="200"/>
        <v>6.5997939746160306E-2</v>
      </c>
      <c r="F4754" s="17">
        <f t="shared" ca="1" si="201"/>
        <v>1</v>
      </c>
      <c r="H4754" s="17">
        <v>4745</v>
      </c>
      <c r="I4754" s="45">
        <v>0.67129881599286079</v>
      </c>
      <c r="J4754" s="45">
        <v>1.9508757891511092E-2</v>
      </c>
      <c r="K4754" s="45">
        <v>0.247</v>
      </c>
      <c r="N4754" s="54"/>
    </row>
    <row r="4755" spans="2:14" x14ac:dyDescent="0.2">
      <c r="B4755">
        <f t="shared" si="199"/>
        <v>4746</v>
      </c>
      <c r="C4755" s="52">
        <f ca="1"/>
        <v>1.8003650007724195</v>
      </c>
      <c r="D4755" s="52">
        <f ca="1">S0*EXP((μ-0.5*σ*σ)*T+σ*SQRT(T)*$C4755)</f>
        <v>1.0590468473651296</v>
      </c>
      <c r="E4755" s="52">
        <f t="shared" ca="1" si="200"/>
        <v>0</v>
      </c>
      <c r="F4755" s="17">
        <f t="shared" ca="1" si="201"/>
        <v>0</v>
      </c>
      <c r="H4755" s="17">
        <v>4746</v>
      </c>
      <c r="I4755" s="45">
        <v>0.67021081549703609</v>
      </c>
      <c r="J4755" s="45">
        <v>1.8513882254491503E-2</v>
      </c>
      <c r="K4755" s="45">
        <v>0.2384</v>
      </c>
      <c r="N4755" s="54"/>
    </row>
    <row r="4756" spans="2:14" x14ac:dyDescent="0.2">
      <c r="B4756">
        <f t="shared" si="199"/>
        <v>4747</v>
      </c>
      <c r="C4756" s="52">
        <f ca="1"/>
        <v>1.0985036169065132</v>
      </c>
      <c r="D4756" s="52">
        <f ca="1">S0*EXP((μ-0.5*σ*σ)*T+σ*SQRT(T)*$C4756)</f>
        <v>0.87227721095688693</v>
      </c>
      <c r="E4756" s="52">
        <f t="shared" ca="1" si="200"/>
        <v>0</v>
      </c>
      <c r="F4756" s="17">
        <f t="shared" ca="1" si="201"/>
        <v>0</v>
      </c>
      <c r="H4756" s="17">
        <v>4747</v>
      </c>
      <c r="I4756" s="45">
        <v>0.67170756256576036</v>
      </c>
      <c r="J4756" s="45">
        <v>1.9647074011187055E-2</v>
      </c>
      <c r="K4756" s="45">
        <v>0.25719999999999998</v>
      </c>
      <c r="N4756" s="54"/>
    </row>
    <row r="4757" spans="2:14" x14ac:dyDescent="0.2">
      <c r="B4757">
        <f t="shared" si="199"/>
        <v>4748</v>
      </c>
      <c r="C4757" s="52">
        <f ca="1"/>
        <v>0.39886159104070545</v>
      </c>
      <c r="D4757" s="52">
        <f ca="1">S0*EXP((μ-0.5*σ*σ)*T+σ*SQRT(T)*$C4757)</f>
        <v>0.71888648945102784</v>
      </c>
      <c r="E4757" s="52">
        <f t="shared" ca="1" si="200"/>
        <v>0</v>
      </c>
      <c r="F4757" s="17">
        <f t="shared" ca="1" si="201"/>
        <v>0</v>
      </c>
      <c r="H4757" s="17">
        <v>4748</v>
      </c>
      <c r="I4757" s="45">
        <v>0.67160879416171348</v>
      </c>
      <c r="J4757" s="45">
        <v>1.9509213308441686E-2</v>
      </c>
      <c r="K4757" s="45">
        <v>0.25180000000000002</v>
      </c>
      <c r="N4757" s="54"/>
    </row>
    <row r="4758" spans="2:14" x14ac:dyDescent="0.2">
      <c r="B4758">
        <f t="shared" si="199"/>
        <v>4749</v>
      </c>
      <c r="C4758" s="52">
        <f ca="1"/>
        <v>0.77244213132973283</v>
      </c>
      <c r="D4758" s="52">
        <f ca="1">S0*EXP((μ-0.5*σ*σ)*T+σ*SQRT(T)*$C4758)</f>
        <v>0.79709453077842995</v>
      </c>
      <c r="E4758" s="52">
        <f t="shared" ca="1" si="200"/>
        <v>0</v>
      </c>
      <c r="F4758" s="17">
        <f t="shared" ca="1" si="201"/>
        <v>0</v>
      </c>
      <c r="H4758" s="17">
        <v>4749</v>
      </c>
      <c r="I4758" s="45">
        <v>0.67043057287649421</v>
      </c>
      <c r="J4758" s="45">
        <v>1.8553715569702558E-2</v>
      </c>
      <c r="K4758" s="45">
        <v>0.24560000000000001</v>
      </c>
      <c r="N4758" s="54"/>
    </row>
    <row r="4759" spans="2:14" x14ac:dyDescent="0.2">
      <c r="B4759">
        <f t="shared" si="199"/>
        <v>4750</v>
      </c>
      <c r="C4759" s="52">
        <f ca="1"/>
        <v>0.24353918709067707</v>
      </c>
      <c r="D4759" s="52">
        <f ca="1">S0*EXP((μ-0.5*σ*σ)*T+σ*SQRT(T)*$C4759)</f>
        <v>0.68867351823769796</v>
      </c>
      <c r="E4759" s="52">
        <f t="shared" ca="1" si="200"/>
        <v>0</v>
      </c>
      <c r="F4759" s="17">
        <f t="shared" ca="1" si="201"/>
        <v>0</v>
      </c>
      <c r="H4759" s="17">
        <v>4750</v>
      </c>
      <c r="I4759" s="45">
        <v>0.67106484723519766</v>
      </c>
      <c r="J4759" s="45">
        <v>1.9071195758719864E-2</v>
      </c>
      <c r="K4759" s="45">
        <v>0.25380000000000003</v>
      </c>
      <c r="N4759" s="54"/>
    </row>
    <row r="4760" spans="2:14" x14ac:dyDescent="0.2">
      <c r="B4760">
        <f t="shared" si="199"/>
        <v>4751</v>
      </c>
      <c r="C4760" s="52">
        <f ca="1"/>
        <v>-0.48652515935115914</v>
      </c>
      <c r="D4760" s="52">
        <f ca="1">S0*EXP((μ-0.5*σ*σ)*T+σ*SQRT(T)*$C4760)</f>
        <v>0.56281658191905048</v>
      </c>
      <c r="E4760" s="52">
        <f t="shared" ca="1" si="200"/>
        <v>0</v>
      </c>
      <c r="F4760" s="17">
        <f t="shared" ca="1" si="201"/>
        <v>0</v>
      </c>
      <c r="H4760" s="17">
        <v>4751</v>
      </c>
      <c r="I4760" s="45">
        <v>0.67019909243293618</v>
      </c>
      <c r="J4760" s="45">
        <v>1.8252018116199295E-2</v>
      </c>
      <c r="K4760" s="45">
        <v>0.24</v>
      </c>
      <c r="N4760" s="54"/>
    </row>
    <row r="4761" spans="2:14" x14ac:dyDescent="0.2">
      <c r="B4761">
        <f t="shared" si="199"/>
        <v>4752</v>
      </c>
      <c r="C4761" s="52">
        <f ca="1"/>
        <v>0.77911840403658439</v>
      </c>
      <c r="D4761" s="52">
        <f ca="1">S0*EXP((μ-0.5*σ*σ)*T+σ*SQRT(T)*$C4761)</f>
        <v>0.79856695798848332</v>
      </c>
      <c r="E4761" s="52">
        <f t="shared" ca="1" si="200"/>
        <v>0</v>
      </c>
      <c r="F4761" s="17">
        <f t="shared" ca="1" si="201"/>
        <v>0</v>
      </c>
      <c r="H4761" s="17">
        <v>4752</v>
      </c>
      <c r="I4761" s="45">
        <v>0.67157602353146872</v>
      </c>
      <c r="J4761" s="45">
        <v>1.9720452413258979E-2</v>
      </c>
      <c r="K4761" s="45">
        <v>0.25640000000000002</v>
      </c>
      <c r="N4761" s="54"/>
    </row>
    <row r="4762" spans="2:14" x14ac:dyDescent="0.2">
      <c r="B4762">
        <f t="shared" si="199"/>
        <v>4753</v>
      </c>
      <c r="C4762" s="52">
        <f ca="1"/>
        <v>-0.47691871484300308</v>
      </c>
      <c r="D4762" s="52">
        <f ca="1">S0*EXP((μ-0.5*σ*σ)*T+σ*SQRT(T)*$C4762)</f>
        <v>0.56431314647021247</v>
      </c>
      <c r="E4762" s="52">
        <f t="shared" ca="1" si="200"/>
        <v>0</v>
      </c>
      <c r="F4762" s="17">
        <f t="shared" ca="1" si="201"/>
        <v>0</v>
      </c>
      <c r="H4762" s="17">
        <v>4753</v>
      </c>
      <c r="I4762" s="45">
        <v>0.67089639690138247</v>
      </c>
      <c r="J4762" s="45">
        <v>1.8980547924364911E-2</v>
      </c>
      <c r="K4762" s="45">
        <v>0.246</v>
      </c>
      <c r="N4762" s="54"/>
    </row>
    <row r="4763" spans="2:14" x14ac:dyDescent="0.2">
      <c r="B4763">
        <f t="shared" si="199"/>
        <v>4754</v>
      </c>
      <c r="C4763" s="52">
        <f ca="1"/>
        <v>6.367677809938424E-2</v>
      </c>
      <c r="D4763" s="52">
        <f ca="1">S0*EXP((μ-0.5*σ*σ)*T+σ*SQRT(T)*$C4763)</f>
        <v>0.65527008377569484</v>
      </c>
      <c r="E4763" s="52">
        <f t="shared" ca="1" si="200"/>
        <v>0</v>
      </c>
      <c r="F4763" s="17">
        <f t="shared" ca="1" si="201"/>
        <v>0</v>
      </c>
      <c r="H4763" s="17">
        <v>4754</v>
      </c>
      <c r="I4763" s="45">
        <v>0.67134413966889483</v>
      </c>
      <c r="J4763" s="45">
        <v>1.9430623132357203E-2</v>
      </c>
      <c r="K4763" s="45">
        <v>0.25119999999999998</v>
      </c>
      <c r="N4763" s="54"/>
    </row>
    <row r="4764" spans="2:14" x14ac:dyDescent="0.2">
      <c r="B4764">
        <f t="shared" si="199"/>
        <v>4755</v>
      </c>
      <c r="C4764" s="52">
        <f ca="1"/>
        <v>1.4281636608388826</v>
      </c>
      <c r="D4764" s="52">
        <f ca="1">S0*EXP((μ-0.5*σ*σ)*T+σ*SQRT(T)*$C4764)</f>
        <v>0.95550121020139855</v>
      </c>
      <c r="E4764" s="52">
        <f t="shared" ca="1" si="200"/>
        <v>0</v>
      </c>
      <c r="F4764" s="17">
        <f t="shared" ca="1" si="201"/>
        <v>0</v>
      </c>
      <c r="H4764" s="17">
        <v>4755</v>
      </c>
      <c r="I4764" s="45">
        <v>0.67210375364692954</v>
      </c>
      <c r="J4764" s="45">
        <v>1.9766442019404327E-2</v>
      </c>
      <c r="K4764" s="45">
        <v>0.2492</v>
      </c>
      <c r="N4764" s="54"/>
    </row>
    <row r="4765" spans="2:14" x14ac:dyDescent="0.2">
      <c r="B4765">
        <f t="shared" si="199"/>
        <v>4756</v>
      </c>
      <c r="C4765" s="52">
        <f ca="1"/>
        <v>0.27340605974076165</v>
      </c>
      <c r="D4765" s="52">
        <f ca="1">S0*EXP((μ-0.5*σ*σ)*T+σ*SQRT(T)*$C4765)</f>
        <v>0.69438286333350918</v>
      </c>
      <c r="E4765" s="52">
        <f t="shared" ca="1" si="200"/>
        <v>0</v>
      </c>
      <c r="F4765" s="17">
        <f t="shared" ca="1" si="201"/>
        <v>0</v>
      </c>
      <c r="H4765" s="17">
        <v>4756</v>
      </c>
      <c r="I4765" s="45">
        <v>0.67183075643287204</v>
      </c>
      <c r="J4765" s="45">
        <v>1.9818562155335163E-2</v>
      </c>
      <c r="K4765" s="45">
        <v>0.2596</v>
      </c>
      <c r="N4765" s="54"/>
    </row>
    <row r="4766" spans="2:14" x14ac:dyDescent="0.2">
      <c r="B4766">
        <f t="shared" si="199"/>
        <v>4757</v>
      </c>
      <c r="C4766" s="52">
        <f ca="1"/>
        <v>-1.1192299837622643</v>
      </c>
      <c r="D4766" s="52">
        <f ca="1">S0*EXP((μ-0.5*σ*σ)*T+σ*SQRT(T)*$C4766)</f>
        <v>0.47250749226744748</v>
      </c>
      <c r="E4766" s="52">
        <f t="shared" ca="1" si="200"/>
        <v>6.1892507732552504E-2</v>
      </c>
      <c r="F4766" s="17">
        <f t="shared" ca="1" si="201"/>
        <v>1</v>
      </c>
      <c r="H4766" s="17">
        <v>4757</v>
      </c>
      <c r="I4766" s="45">
        <v>0.67076094456517499</v>
      </c>
      <c r="J4766" s="45">
        <v>1.8958415191893188E-2</v>
      </c>
      <c r="K4766" s="45">
        <v>0.2462</v>
      </c>
      <c r="N4766" s="54"/>
    </row>
    <row r="4767" spans="2:14" x14ac:dyDescent="0.2">
      <c r="B4767">
        <f t="shared" si="199"/>
        <v>4758</v>
      </c>
      <c r="C4767" s="52">
        <f ca="1"/>
        <v>0.22826919257483028</v>
      </c>
      <c r="D4767" s="52">
        <f ca="1">S0*EXP((μ-0.5*σ*σ)*T+σ*SQRT(T)*$C4767)</f>
        <v>0.6857726693667352</v>
      </c>
      <c r="E4767" s="52">
        <f t="shared" ca="1" si="200"/>
        <v>0</v>
      </c>
      <c r="F4767" s="17">
        <f t="shared" ca="1" si="201"/>
        <v>0</v>
      </c>
      <c r="H4767" s="17">
        <v>4758</v>
      </c>
      <c r="I4767" s="45">
        <v>0.67113803770314961</v>
      </c>
      <c r="J4767" s="45">
        <v>1.9353108241453119E-2</v>
      </c>
      <c r="K4767" s="45">
        <v>0.25719999999999998</v>
      </c>
      <c r="N4767" s="54"/>
    </row>
    <row r="4768" spans="2:14" x14ac:dyDescent="0.2">
      <c r="B4768">
        <f t="shared" si="199"/>
        <v>4759</v>
      </c>
      <c r="C4768" s="52">
        <f ca="1"/>
        <v>1.6904234138527907</v>
      </c>
      <c r="D4768" s="52">
        <f ca="1">S0*EXP((μ-0.5*σ*σ)*T+σ*SQRT(T)*$C4768)</f>
        <v>1.0273450713167176</v>
      </c>
      <c r="E4768" s="52">
        <f t="shared" ca="1" si="200"/>
        <v>0</v>
      </c>
      <c r="F4768" s="17">
        <f t="shared" ca="1" si="201"/>
        <v>0</v>
      </c>
      <c r="H4768" s="17">
        <v>4759</v>
      </c>
      <c r="I4768" s="45">
        <v>0.66932229662109843</v>
      </c>
      <c r="J4768" s="45">
        <v>1.7899773277826374E-2</v>
      </c>
      <c r="K4768" s="45">
        <v>0.24299999999999999</v>
      </c>
      <c r="N4768" s="54"/>
    </row>
    <row r="4769" spans="2:14" x14ac:dyDescent="0.2">
      <c r="B4769">
        <f t="shared" si="199"/>
        <v>4760</v>
      </c>
      <c r="C4769" s="52">
        <f ca="1"/>
        <v>0.80184408313338784</v>
      </c>
      <c r="D4769" s="52">
        <f ca="1">S0*EXP((μ-0.5*σ*σ)*T+σ*SQRT(T)*$C4769)</f>
        <v>0.80359943948460832</v>
      </c>
      <c r="E4769" s="52">
        <f t="shared" ca="1" si="200"/>
        <v>0</v>
      </c>
      <c r="F4769" s="17">
        <f t="shared" ca="1" si="201"/>
        <v>0</v>
      </c>
      <c r="H4769" s="17">
        <v>4760</v>
      </c>
      <c r="I4769" s="45">
        <v>0.67082880716651971</v>
      </c>
      <c r="J4769" s="45">
        <v>1.884391243194343E-2</v>
      </c>
      <c r="K4769" s="45">
        <v>0.24859999999999999</v>
      </c>
      <c r="N4769" s="54"/>
    </row>
    <row r="4770" spans="2:14" x14ac:dyDescent="0.2">
      <c r="B4770">
        <f t="shared" si="199"/>
        <v>4761</v>
      </c>
      <c r="C4770" s="52">
        <f ca="1"/>
        <v>0.94985737377127921</v>
      </c>
      <c r="D4770" s="52">
        <f ca="1">S0*EXP((μ-0.5*σ*σ)*T+σ*SQRT(T)*$C4770)</f>
        <v>0.83716118056564515</v>
      </c>
      <c r="E4770" s="52">
        <f t="shared" ca="1" si="200"/>
        <v>0</v>
      </c>
      <c r="F4770" s="17">
        <f t="shared" ca="1" si="201"/>
        <v>0</v>
      </c>
      <c r="H4770" s="17">
        <v>4761</v>
      </c>
      <c r="I4770" s="45">
        <v>0.66975598716079621</v>
      </c>
      <c r="J4770" s="45">
        <v>1.8246866614254852E-2</v>
      </c>
      <c r="K4770" s="45">
        <v>0.24440000000000001</v>
      </c>
      <c r="N4770" s="54"/>
    </row>
    <row r="4771" spans="2:14" x14ac:dyDescent="0.2">
      <c r="B4771">
        <f t="shared" si="199"/>
        <v>4762</v>
      </c>
      <c r="C4771" s="52">
        <f ca="1"/>
        <v>0.57729173240328946</v>
      </c>
      <c r="D4771" s="52">
        <f ca="1">S0*EXP((μ-0.5*σ*σ)*T+σ*SQRT(T)*$C4771)</f>
        <v>0.75523379594922513</v>
      </c>
      <c r="E4771" s="52">
        <f t="shared" ca="1" si="200"/>
        <v>0</v>
      </c>
      <c r="F4771" s="17">
        <f t="shared" ca="1" si="201"/>
        <v>0</v>
      </c>
      <c r="H4771" s="17">
        <v>4762</v>
      </c>
      <c r="I4771" s="45">
        <v>0.67059156676713128</v>
      </c>
      <c r="J4771" s="45">
        <v>1.8813786410425228E-2</v>
      </c>
      <c r="K4771" s="45">
        <v>0.2414</v>
      </c>
      <c r="N4771" s="54"/>
    </row>
    <row r="4772" spans="2:14" x14ac:dyDescent="0.2">
      <c r="B4772">
        <f t="shared" si="199"/>
        <v>4763</v>
      </c>
      <c r="C4772" s="52">
        <f ca="1"/>
        <v>-0.20891186720927482</v>
      </c>
      <c r="D4772" s="52">
        <f ca="1">S0*EXP((μ-0.5*σ*σ)*T+σ*SQRT(T)*$C4772)</f>
        <v>0.60770837957722135</v>
      </c>
      <c r="E4772" s="52">
        <f t="shared" ca="1" si="200"/>
        <v>0</v>
      </c>
      <c r="F4772" s="17">
        <f t="shared" ca="1" si="201"/>
        <v>0</v>
      </c>
      <c r="H4772" s="17">
        <v>4763</v>
      </c>
      <c r="I4772" s="45">
        <v>0.6710426359364815</v>
      </c>
      <c r="J4772" s="45">
        <v>1.8860944888516119E-2</v>
      </c>
      <c r="K4772" s="45">
        <v>0.23960000000000001</v>
      </c>
      <c r="N4772" s="54"/>
    </row>
    <row r="4773" spans="2:14" x14ac:dyDescent="0.2">
      <c r="B4773">
        <f t="shared" si="199"/>
        <v>4764</v>
      </c>
      <c r="C4773" s="52">
        <f ca="1"/>
        <v>-0.46494070448663211</v>
      </c>
      <c r="D4773" s="52">
        <f ca="1">S0*EXP((μ-0.5*σ*σ)*T+σ*SQRT(T)*$C4773)</f>
        <v>0.56618474705028476</v>
      </c>
      <c r="E4773" s="52">
        <f t="shared" ca="1" si="200"/>
        <v>0</v>
      </c>
      <c r="F4773" s="17">
        <f t="shared" ca="1" si="201"/>
        <v>0</v>
      </c>
      <c r="H4773" s="17">
        <v>4764</v>
      </c>
      <c r="I4773" s="45">
        <v>0.66919536543725022</v>
      </c>
      <c r="J4773" s="45">
        <v>1.7518220361277561E-2</v>
      </c>
      <c r="K4773" s="45">
        <v>0.22939999999999999</v>
      </c>
      <c r="N4773" s="54"/>
    </row>
    <row r="4774" spans="2:14" x14ac:dyDescent="0.2">
      <c r="B4774">
        <f t="shared" si="199"/>
        <v>4765</v>
      </c>
      <c r="C4774" s="52">
        <f ca="1"/>
        <v>0.77569291143838159</v>
      </c>
      <c r="D4774" s="52">
        <f ca="1">S0*EXP((μ-0.5*σ*σ)*T+σ*SQRT(T)*$C4774)</f>
        <v>0.7978111388449991</v>
      </c>
      <c r="E4774" s="52">
        <f t="shared" ca="1" si="200"/>
        <v>0</v>
      </c>
      <c r="F4774" s="17">
        <f t="shared" ca="1" si="201"/>
        <v>0</v>
      </c>
      <c r="H4774" s="17">
        <v>4765</v>
      </c>
      <c r="I4774" s="45">
        <v>0.671298902549743</v>
      </c>
      <c r="J4774" s="45">
        <v>1.9325456525396308E-2</v>
      </c>
      <c r="K4774" s="45">
        <v>0.25080000000000002</v>
      </c>
      <c r="N4774" s="54"/>
    </row>
    <row r="4775" spans="2:14" x14ac:dyDescent="0.2">
      <c r="B4775">
        <f t="shared" si="199"/>
        <v>4766</v>
      </c>
      <c r="C4775" s="52">
        <f ca="1"/>
        <v>0.24768201542088172</v>
      </c>
      <c r="D4775" s="52">
        <f ca="1">S0*EXP((μ-0.5*σ*σ)*T+σ*SQRT(T)*$C4775)</f>
        <v>0.68946264749626984</v>
      </c>
      <c r="E4775" s="52">
        <f t="shared" ca="1" si="200"/>
        <v>0</v>
      </c>
      <c r="F4775" s="17">
        <f t="shared" ca="1" si="201"/>
        <v>0</v>
      </c>
      <c r="H4775" s="17">
        <v>4766</v>
      </c>
      <c r="I4775" s="45">
        <v>0.67037239746526844</v>
      </c>
      <c r="J4775" s="45">
        <v>1.8524142308845599E-2</v>
      </c>
      <c r="K4775" s="45">
        <v>0.24979999999999999</v>
      </c>
      <c r="N4775" s="54"/>
    </row>
    <row r="4776" spans="2:14" x14ac:dyDescent="0.2">
      <c r="B4776">
        <f t="shared" si="199"/>
        <v>4767</v>
      </c>
      <c r="C4776" s="52">
        <f ca="1"/>
        <v>1.1275349098518086</v>
      </c>
      <c r="D4776" s="52">
        <f ca="1">S0*EXP((μ-0.5*σ*σ)*T+σ*SQRT(T)*$C4776)</f>
        <v>0.87930556839751273</v>
      </c>
      <c r="E4776" s="52">
        <f t="shared" ca="1" si="200"/>
        <v>0</v>
      </c>
      <c r="F4776" s="17">
        <f t="shared" ca="1" si="201"/>
        <v>0</v>
      </c>
      <c r="H4776" s="17">
        <v>4767</v>
      </c>
      <c r="I4776" s="45">
        <v>0.67107152817899651</v>
      </c>
      <c r="J4776" s="45">
        <v>1.8892983660074227E-2</v>
      </c>
      <c r="K4776" s="45">
        <v>0.25019999999999998</v>
      </c>
      <c r="N4776" s="54"/>
    </row>
    <row r="4777" spans="2:14" x14ac:dyDescent="0.2">
      <c r="B4777">
        <f t="shared" si="199"/>
        <v>4768</v>
      </c>
      <c r="C4777" s="52">
        <f ca="1"/>
        <v>0.93940849988435959</v>
      </c>
      <c r="D4777" s="52">
        <f ca="1">S0*EXP((μ-0.5*σ*σ)*T+σ*SQRT(T)*$C4777)</f>
        <v>0.83474660594138994</v>
      </c>
      <c r="E4777" s="52">
        <f t="shared" ca="1" si="200"/>
        <v>0</v>
      </c>
      <c r="F4777" s="17">
        <f t="shared" ca="1" si="201"/>
        <v>0</v>
      </c>
      <c r="H4777" s="17">
        <v>4768</v>
      </c>
      <c r="I4777" s="45">
        <v>0.67155160992240093</v>
      </c>
      <c r="J4777" s="45">
        <v>1.9511522587428904E-2</v>
      </c>
      <c r="K4777" s="45">
        <v>0.25059999999999999</v>
      </c>
      <c r="N4777" s="54"/>
    </row>
    <row r="4778" spans="2:14" x14ac:dyDescent="0.2">
      <c r="B4778">
        <f t="shared" si="199"/>
        <v>4769</v>
      </c>
      <c r="C4778" s="52">
        <f ca="1"/>
        <v>1.9853991609453738</v>
      </c>
      <c r="D4778" s="52">
        <f ca="1">S0*EXP((μ-0.5*σ*σ)*T+σ*SQRT(T)*$C4778)</f>
        <v>1.1146258197141583</v>
      </c>
      <c r="E4778" s="52">
        <f t="shared" ca="1" si="200"/>
        <v>0</v>
      </c>
      <c r="F4778" s="17">
        <f t="shared" ca="1" si="201"/>
        <v>0</v>
      </c>
      <c r="H4778" s="17">
        <v>4769</v>
      </c>
      <c r="I4778" s="45">
        <v>0.67246786989817553</v>
      </c>
      <c r="J4778" s="45">
        <v>2.0232247117318691E-2</v>
      </c>
      <c r="K4778" s="45">
        <v>0.25559999999999999</v>
      </c>
      <c r="N4778" s="54"/>
    </row>
    <row r="4779" spans="2:14" x14ac:dyDescent="0.2">
      <c r="B4779">
        <f t="shared" ref="B4779:B4842" si="202">B4778+1</f>
        <v>4770</v>
      </c>
      <c r="C4779" s="52">
        <f ca="1"/>
        <v>0.36924473764280663</v>
      </c>
      <c r="D4779" s="52">
        <f ca="1">S0*EXP((μ-0.5*σ*σ)*T+σ*SQRT(T)*$C4779)</f>
        <v>0.71302494889363344</v>
      </c>
      <c r="E4779" s="52">
        <f t="shared" ca="1" si="200"/>
        <v>0</v>
      </c>
      <c r="F4779" s="17">
        <f t="shared" ca="1" si="201"/>
        <v>0</v>
      </c>
      <c r="H4779" s="17">
        <v>4770</v>
      </c>
      <c r="I4779" s="45">
        <v>0.67154292561777751</v>
      </c>
      <c r="J4779" s="45">
        <v>1.9363417038484827E-2</v>
      </c>
      <c r="K4779" s="45">
        <v>0.25119999999999998</v>
      </c>
      <c r="N4779" s="54"/>
    </row>
    <row r="4780" spans="2:14" x14ac:dyDescent="0.2">
      <c r="B4780">
        <f t="shared" si="202"/>
        <v>4771</v>
      </c>
      <c r="C4780" s="52">
        <f ca="1"/>
        <v>0.55415403452630863</v>
      </c>
      <c r="D4780" s="52">
        <f ca="1">S0*EXP((μ-0.5*σ*σ)*T+σ*SQRT(T)*$C4780)</f>
        <v>0.75041872658635378</v>
      </c>
      <c r="E4780" s="52">
        <f t="shared" ca="1" si="200"/>
        <v>0</v>
      </c>
      <c r="F4780" s="17">
        <f t="shared" ca="1" si="201"/>
        <v>0</v>
      </c>
      <c r="H4780" s="17">
        <v>4771</v>
      </c>
      <c r="I4780" s="45">
        <v>0.67170376610301108</v>
      </c>
      <c r="J4780" s="45">
        <v>1.9548290238498283E-2</v>
      </c>
      <c r="K4780" s="45">
        <v>0.25080000000000002</v>
      </c>
      <c r="N4780" s="54"/>
    </row>
    <row r="4781" spans="2:14" x14ac:dyDescent="0.2">
      <c r="B4781">
        <f t="shared" si="202"/>
        <v>4772</v>
      </c>
      <c r="C4781" s="52">
        <f ca="1"/>
        <v>-0.21526503221406043</v>
      </c>
      <c r="D4781" s="52">
        <f ca="1">S0*EXP((μ-0.5*σ*σ)*T+σ*SQRT(T)*$C4781)</f>
        <v>0.60664204576880587</v>
      </c>
      <c r="E4781" s="52">
        <f t="shared" ca="1" si="200"/>
        <v>0</v>
      </c>
      <c r="F4781" s="17">
        <f t="shared" ca="1" si="201"/>
        <v>0</v>
      </c>
      <c r="H4781" s="17">
        <v>4772</v>
      </c>
      <c r="I4781" s="45">
        <v>0.67072641704090263</v>
      </c>
      <c r="J4781" s="45">
        <v>1.8894264599907545E-2</v>
      </c>
      <c r="K4781" s="45">
        <v>0.24340000000000001</v>
      </c>
      <c r="N4781" s="54"/>
    </row>
    <row r="4782" spans="2:14" x14ac:dyDescent="0.2">
      <c r="B4782">
        <f t="shared" si="202"/>
        <v>4773</v>
      </c>
      <c r="C4782" s="52">
        <f ca="1"/>
        <v>0.58844947715477569</v>
      </c>
      <c r="D4782" s="52">
        <f ca="1">S0*EXP((μ-0.5*σ*σ)*T+σ*SQRT(T)*$C4782)</f>
        <v>0.75756680752205208</v>
      </c>
      <c r="E4782" s="52">
        <f t="shared" ca="1" si="200"/>
        <v>0</v>
      </c>
      <c r="F4782" s="17">
        <f t="shared" ca="1" si="201"/>
        <v>0</v>
      </c>
      <c r="H4782" s="17">
        <v>4773</v>
      </c>
      <c r="I4782" s="45">
        <v>0.67095396003530605</v>
      </c>
      <c r="J4782" s="45">
        <v>1.916479205108465E-2</v>
      </c>
      <c r="K4782" s="45">
        <v>0.24859999999999999</v>
      </c>
      <c r="N4782" s="54"/>
    </row>
    <row r="4783" spans="2:14" x14ac:dyDescent="0.2">
      <c r="B4783">
        <f t="shared" si="202"/>
        <v>4774</v>
      </c>
      <c r="C4783" s="52">
        <f ca="1"/>
        <v>0.79699060293188162</v>
      </c>
      <c r="D4783" s="52">
        <f ca="1">S0*EXP((μ-0.5*σ*σ)*T+σ*SQRT(T)*$C4783)</f>
        <v>0.80252200541504659</v>
      </c>
      <c r="E4783" s="52">
        <f t="shared" ca="1" si="200"/>
        <v>0</v>
      </c>
      <c r="F4783" s="17">
        <f t="shared" ca="1" si="201"/>
        <v>0</v>
      </c>
      <c r="H4783" s="17">
        <v>4774</v>
      </c>
      <c r="I4783" s="45">
        <v>0.67000380007413274</v>
      </c>
      <c r="J4783" s="45">
        <v>1.8158112441304379E-2</v>
      </c>
      <c r="K4783" s="45">
        <v>0.2354</v>
      </c>
      <c r="N4783" s="54"/>
    </row>
    <row r="4784" spans="2:14" x14ac:dyDescent="0.2">
      <c r="B4784">
        <f t="shared" si="202"/>
        <v>4775</v>
      </c>
      <c r="C4784" s="52">
        <f ca="1"/>
        <v>0.19983557251233997</v>
      </c>
      <c r="D4784" s="52">
        <f ca="1">S0*EXP((μ-0.5*σ*σ)*T+σ*SQRT(T)*$C4784)</f>
        <v>0.68040363979141494</v>
      </c>
      <c r="E4784" s="52">
        <f t="shared" ca="1" si="200"/>
        <v>0</v>
      </c>
      <c r="F4784" s="17">
        <f t="shared" ca="1" si="201"/>
        <v>0</v>
      </c>
      <c r="H4784" s="17">
        <v>4775</v>
      </c>
      <c r="I4784" s="45">
        <v>0.670646120105722</v>
      </c>
      <c r="J4784" s="45">
        <v>1.8609004650655406E-2</v>
      </c>
      <c r="K4784" s="45">
        <v>0.24379999999999999</v>
      </c>
      <c r="N4784" s="54"/>
    </row>
    <row r="4785" spans="2:14" x14ac:dyDescent="0.2">
      <c r="B4785">
        <f t="shared" si="202"/>
        <v>4776</v>
      </c>
      <c r="C4785" s="52">
        <f ca="1"/>
        <v>1.4754036363258907</v>
      </c>
      <c r="D4785" s="52">
        <f ca="1">S0*EXP((μ-0.5*σ*σ)*T+σ*SQRT(T)*$C4785)</f>
        <v>0.96806060654234904</v>
      </c>
      <c r="E4785" s="52">
        <f t="shared" ca="1" si="200"/>
        <v>0</v>
      </c>
      <c r="F4785" s="17">
        <f t="shared" ca="1" si="201"/>
        <v>0</v>
      </c>
      <c r="H4785" s="17">
        <v>4776</v>
      </c>
      <c r="I4785" s="45">
        <v>0.67244008416665968</v>
      </c>
      <c r="J4785" s="45">
        <v>1.9757216694533643E-2</v>
      </c>
      <c r="K4785" s="45">
        <v>0.25080000000000002</v>
      </c>
      <c r="N4785" s="54"/>
    </row>
    <row r="4786" spans="2:14" x14ac:dyDescent="0.2">
      <c r="B4786">
        <f t="shared" si="202"/>
        <v>4777</v>
      </c>
      <c r="C4786" s="52">
        <f ca="1"/>
        <v>0.12652534699748524</v>
      </c>
      <c r="D4786" s="52">
        <f ca="1">S0*EXP((μ-0.5*σ*σ)*T+σ*SQRT(T)*$C4786)</f>
        <v>0.66675381186404103</v>
      </c>
      <c r="E4786" s="52">
        <f t="shared" ca="1" si="200"/>
        <v>0</v>
      </c>
      <c r="F4786" s="17">
        <f t="shared" ca="1" si="201"/>
        <v>0</v>
      </c>
      <c r="H4786" s="17">
        <v>4777</v>
      </c>
      <c r="I4786" s="45">
        <v>0.67053633521818479</v>
      </c>
      <c r="J4786" s="45">
        <v>1.8877066349843541E-2</v>
      </c>
      <c r="K4786" s="45">
        <v>0.2482</v>
      </c>
      <c r="N4786" s="54"/>
    </row>
    <row r="4787" spans="2:14" x14ac:dyDescent="0.2">
      <c r="B4787">
        <f t="shared" si="202"/>
        <v>4778</v>
      </c>
      <c r="C4787" s="52">
        <f ca="1"/>
        <v>0.64682009392627671</v>
      </c>
      <c r="D4787" s="52">
        <f ca="1">S0*EXP((μ-0.5*σ*σ)*T+σ*SQRT(T)*$C4787)</f>
        <v>0.76988970514991328</v>
      </c>
      <c r="E4787" s="52">
        <f t="shared" ca="1" si="200"/>
        <v>0</v>
      </c>
      <c r="F4787" s="17">
        <f t="shared" ca="1" si="201"/>
        <v>0</v>
      </c>
      <c r="H4787" s="17">
        <v>4778</v>
      </c>
      <c r="I4787" s="45">
        <v>0.67108704978775435</v>
      </c>
      <c r="J4787" s="45">
        <v>1.9170509261355426E-2</v>
      </c>
      <c r="K4787" s="45">
        <v>0.25240000000000001</v>
      </c>
      <c r="N4787" s="54"/>
    </row>
    <row r="4788" spans="2:14" x14ac:dyDescent="0.2">
      <c r="B4788">
        <f t="shared" si="202"/>
        <v>4779</v>
      </c>
      <c r="C4788" s="52">
        <f ca="1"/>
        <v>0.48812754353023013</v>
      </c>
      <c r="D4788" s="52">
        <f ca="1">S0*EXP((μ-0.5*σ*σ)*T+σ*SQRT(T)*$C4788)</f>
        <v>0.73684641918501748</v>
      </c>
      <c r="E4788" s="52">
        <f t="shared" ca="1" si="200"/>
        <v>0</v>
      </c>
      <c r="F4788" s="17">
        <f t="shared" ca="1" si="201"/>
        <v>0</v>
      </c>
      <c r="H4788" s="17">
        <v>4779</v>
      </c>
      <c r="I4788" s="45">
        <v>0.67027588170734442</v>
      </c>
      <c r="J4788" s="45">
        <v>1.8231591645435408E-2</v>
      </c>
      <c r="K4788" s="45">
        <v>0.24160000000000001</v>
      </c>
      <c r="N4788" s="54"/>
    </row>
    <row r="4789" spans="2:14" x14ac:dyDescent="0.2">
      <c r="B4789">
        <f t="shared" si="202"/>
        <v>4780</v>
      </c>
      <c r="C4789" s="52">
        <f ca="1"/>
        <v>0.60613388824046588</v>
      </c>
      <c r="D4789" s="52">
        <f ca="1">S0*EXP((μ-0.5*σ*σ)*T+σ*SQRT(T)*$C4789)</f>
        <v>0.7612792747486653</v>
      </c>
      <c r="E4789" s="52">
        <f t="shared" ca="1" si="200"/>
        <v>0</v>
      </c>
      <c r="F4789" s="17">
        <f t="shared" ca="1" si="201"/>
        <v>0</v>
      </c>
      <c r="H4789" s="17">
        <v>4780</v>
      </c>
      <c r="I4789" s="45">
        <v>0.67062193742927378</v>
      </c>
      <c r="J4789" s="45">
        <v>1.8693879348250717E-2</v>
      </c>
      <c r="K4789" s="45">
        <v>0.24440000000000001</v>
      </c>
      <c r="N4789" s="54"/>
    </row>
    <row r="4790" spans="2:14" x14ac:dyDescent="0.2">
      <c r="B4790">
        <f t="shared" si="202"/>
        <v>4781</v>
      </c>
      <c r="C4790" s="52">
        <f ca="1"/>
        <v>-0.59619336408788537</v>
      </c>
      <c r="D4790" s="52">
        <f ca="1">S0*EXP((μ-0.5*σ*σ)*T+σ*SQRT(T)*$C4790)</f>
        <v>0.54601034946414528</v>
      </c>
      <c r="E4790" s="52">
        <f t="shared" ca="1" si="200"/>
        <v>0</v>
      </c>
      <c r="F4790" s="17">
        <f t="shared" ca="1" si="201"/>
        <v>0</v>
      </c>
      <c r="H4790" s="17">
        <v>4781</v>
      </c>
      <c r="I4790" s="45">
        <v>0.67028284607086153</v>
      </c>
      <c r="J4790" s="45">
        <v>1.8489446156513354E-2</v>
      </c>
      <c r="K4790" s="45">
        <v>0.24160000000000001</v>
      </c>
      <c r="N4790" s="54"/>
    </row>
    <row r="4791" spans="2:14" x14ac:dyDescent="0.2">
      <c r="B4791">
        <f t="shared" si="202"/>
        <v>4782</v>
      </c>
      <c r="C4791" s="52">
        <f ca="1"/>
        <v>1.2019090771760637</v>
      </c>
      <c r="D4791" s="52">
        <f ca="1">S0*EXP((μ-0.5*σ*σ)*T+σ*SQRT(T)*$C4791)</f>
        <v>0.89757071388501319</v>
      </c>
      <c r="E4791" s="52">
        <f t="shared" ca="1" si="200"/>
        <v>0</v>
      </c>
      <c r="F4791" s="17">
        <f t="shared" ca="1" si="201"/>
        <v>0</v>
      </c>
      <c r="H4791" s="17">
        <v>4782</v>
      </c>
      <c r="I4791" s="45">
        <v>0.67171708642631345</v>
      </c>
      <c r="J4791" s="45">
        <v>1.9840682189828786E-2</v>
      </c>
      <c r="K4791" s="45">
        <v>0.25359999999999999</v>
      </c>
      <c r="N4791" s="54"/>
    </row>
    <row r="4792" spans="2:14" x14ac:dyDescent="0.2">
      <c r="B4792">
        <f t="shared" si="202"/>
        <v>4783</v>
      </c>
      <c r="C4792" s="52">
        <f ca="1"/>
        <v>0.55864378888666999</v>
      </c>
      <c r="D4792" s="52">
        <f ca="1">S0*EXP((μ-0.5*σ*σ)*T+σ*SQRT(T)*$C4792)</f>
        <v>0.75135066003250039</v>
      </c>
      <c r="E4792" s="52">
        <f t="shared" ca="1" si="200"/>
        <v>0</v>
      </c>
      <c r="F4792" s="17">
        <f t="shared" ca="1" si="201"/>
        <v>0</v>
      </c>
      <c r="H4792" s="17">
        <v>4783</v>
      </c>
      <c r="I4792" s="45">
        <v>0.67068378628153624</v>
      </c>
      <c r="J4792" s="45">
        <v>1.8680560543742182E-2</v>
      </c>
      <c r="K4792" s="45">
        <v>0.24179999999999999</v>
      </c>
      <c r="N4792" s="54"/>
    </row>
    <row r="4793" spans="2:14" x14ac:dyDescent="0.2">
      <c r="B4793">
        <f t="shared" si="202"/>
        <v>4784</v>
      </c>
      <c r="C4793" s="52">
        <f ca="1"/>
        <v>0.35176076128523165</v>
      </c>
      <c r="D4793" s="52">
        <f ca="1">S0*EXP((μ-0.5*σ*σ)*T+σ*SQRT(T)*$C4793)</f>
        <v>0.70958711429234056</v>
      </c>
      <c r="E4793" s="52">
        <f t="shared" ca="1" si="200"/>
        <v>0</v>
      </c>
      <c r="F4793" s="17">
        <f t="shared" ca="1" si="201"/>
        <v>0</v>
      </c>
      <c r="H4793" s="17">
        <v>4784</v>
      </c>
      <c r="I4793" s="45">
        <v>0.67001541896567762</v>
      </c>
      <c r="J4793" s="45">
        <v>1.8223713836108189E-2</v>
      </c>
      <c r="K4793" s="45">
        <v>0.2462</v>
      </c>
      <c r="N4793" s="54"/>
    </row>
    <row r="4794" spans="2:14" x14ac:dyDescent="0.2">
      <c r="B4794">
        <f t="shared" si="202"/>
        <v>4785</v>
      </c>
      <c r="C4794" s="52">
        <f ca="1"/>
        <v>0.35892682433073619</v>
      </c>
      <c r="D4794" s="52">
        <f ca="1">S0*EXP((μ-0.5*σ*σ)*T+σ*SQRT(T)*$C4794)</f>
        <v>0.71099415185618575</v>
      </c>
      <c r="E4794" s="52">
        <f t="shared" ca="1" si="200"/>
        <v>0</v>
      </c>
      <c r="F4794" s="17">
        <f t="shared" ca="1" si="201"/>
        <v>0</v>
      </c>
      <c r="H4794" s="17">
        <v>4785</v>
      </c>
      <c r="I4794" s="45">
        <v>0.66971146584972807</v>
      </c>
      <c r="J4794" s="45">
        <v>1.8125208315687105E-2</v>
      </c>
      <c r="K4794" s="45">
        <v>0.24199999999999999</v>
      </c>
      <c r="N4794" s="54"/>
    </row>
    <row r="4795" spans="2:14" x14ac:dyDescent="0.2">
      <c r="B4795">
        <f t="shared" si="202"/>
        <v>4786</v>
      </c>
      <c r="C4795" s="52">
        <f ca="1"/>
        <v>-0.7162855312526053</v>
      </c>
      <c r="D4795" s="52">
        <f ca="1">S0*EXP((μ-0.5*σ*σ)*T+σ*SQRT(T)*$C4795)</f>
        <v>0.52818180445908725</v>
      </c>
      <c r="E4795" s="52">
        <f t="shared" ca="1" si="200"/>
        <v>6.218195540912741E-3</v>
      </c>
      <c r="F4795" s="17">
        <f t="shared" ca="1" si="201"/>
        <v>1</v>
      </c>
      <c r="H4795" s="17">
        <v>4786</v>
      </c>
      <c r="I4795" s="45">
        <v>0.67068271730781293</v>
      </c>
      <c r="J4795" s="45">
        <v>1.8704267068657705E-2</v>
      </c>
      <c r="K4795" s="45">
        <v>0.24279999999999999</v>
      </c>
      <c r="N4795" s="54"/>
    </row>
    <row r="4796" spans="2:14" x14ac:dyDescent="0.2">
      <c r="B4796">
        <f t="shared" si="202"/>
        <v>4787</v>
      </c>
      <c r="C4796" s="52">
        <f ca="1"/>
        <v>0.19913399518256969</v>
      </c>
      <c r="D4796" s="52">
        <f ca="1">S0*EXP((μ-0.5*σ*σ)*T+σ*SQRT(T)*$C4796)</f>
        <v>0.68027169593158676</v>
      </c>
      <c r="E4796" s="52">
        <f t="shared" ca="1" si="200"/>
        <v>0</v>
      </c>
      <c r="F4796" s="17">
        <f t="shared" ca="1" si="201"/>
        <v>0</v>
      </c>
      <c r="H4796" s="17">
        <v>4787</v>
      </c>
      <c r="I4796" s="45">
        <v>0.67179832011676044</v>
      </c>
      <c r="J4796" s="45">
        <v>1.978877564168887E-2</v>
      </c>
      <c r="K4796" s="45">
        <v>0.24979999999999999</v>
      </c>
      <c r="N4796" s="54"/>
    </row>
    <row r="4797" spans="2:14" x14ac:dyDescent="0.2">
      <c r="B4797">
        <f t="shared" si="202"/>
        <v>4788</v>
      </c>
      <c r="C4797" s="52">
        <f ca="1"/>
        <v>0.1712027834656967</v>
      </c>
      <c r="D4797" s="52">
        <f ca="1">S0*EXP((μ-0.5*σ*σ)*T+σ*SQRT(T)*$C4797)</f>
        <v>0.67503947872662173</v>
      </c>
      <c r="E4797" s="52">
        <f t="shared" ca="1" si="200"/>
        <v>0</v>
      </c>
      <c r="F4797" s="17">
        <f t="shared" ca="1" si="201"/>
        <v>0</v>
      </c>
      <c r="H4797" s="17">
        <v>4788</v>
      </c>
      <c r="I4797" s="45">
        <v>0.67098679058732846</v>
      </c>
      <c r="J4797" s="45">
        <v>1.9032890679462233E-2</v>
      </c>
      <c r="K4797" s="45">
        <v>0.24859999999999999</v>
      </c>
      <c r="N4797" s="54"/>
    </row>
    <row r="4798" spans="2:14" x14ac:dyDescent="0.2">
      <c r="B4798">
        <f t="shared" si="202"/>
        <v>4789</v>
      </c>
      <c r="C4798" s="52">
        <f ca="1"/>
        <v>1.2743889397114903</v>
      </c>
      <c r="D4798" s="52">
        <f ca="1">S0*EXP((μ-0.5*σ*σ)*T+σ*SQRT(T)*$C4798)</f>
        <v>0.9157356191625915</v>
      </c>
      <c r="E4798" s="52">
        <f t="shared" ca="1" si="200"/>
        <v>0</v>
      </c>
      <c r="F4798" s="17">
        <f t="shared" ca="1" si="201"/>
        <v>0</v>
      </c>
      <c r="H4798" s="17">
        <v>4789</v>
      </c>
      <c r="I4798" s="45">
        <v>0.67132602683353915</v>
      </c>
      <c r="J4798" s="45">
        <v>1.9002520546467165E-2</v>
      </c>
      <c r="K4798" s="45">
        <v>0.2394</v>
      </c>
      <c r="N4798" s="54"/>
    </row>
    <row r="4799" spans="2:14" x14ac:dyDescent="0.2">
      <c r="B4799">
        <f t="shared" si="202"/>
        <v>4790</v>
      </c>
      <c r="C4799" s="52">
        <f ca="1"/>
        <v>-0.57325216100561804</v>
      </c>
      <c r="D4799" s="52">
        <f ca="1">S0*EXP((μ-0.5*σ*σ)*T+σ*SQRT(T)*$C4799)</f>
        <v>0.54948398296973977</v>
      </c>
      <c r="E4799" s="52">
        <f t="shared" ca="1" si="200"/>
        <v>0</v>
      </c>
      <c r="F4799" s="17">
        <f t="shared" ca="1" si="201"/>
        <v>0</v>
      </c>
      <c r="H4799" s="17">
        <v>4790</v>
      </c>
      <c r="I4799" s="45">
        <v>0.67205620622577988</v>
      </c>
      <c r="J4799" s="45">
        <v>1.9747354035327951E-2</v>
      </c>
      <c r="K4799" s="45">
        <v>0.24979999999999999</v>
      </c>
      <c r="N4799" s="54"/>
    </row>
    <row r="4800" spans="2:14" x14ac:dyDescent="0.2">
      <c r="B4800">
        <f t="shared" si="202"/>
        <v>4791</v>
      </c>
      <c r="C4800" s="52">
        <f ca="1"/>
        <v>-0.60287785463365484</v>
      </c>
      <c r="D4800" s="52">
        <f ca="1">S0*EXP((μ-0.5*σ*σ)*T+σ*SQRT(T)*$C4800)</f>
        <v>0.54500235737253788</v>
      </c>
      <c r="E4800" s="52">
        <f t="shared" ca="1" si="200"/>
        <v>0</v>
      </c>
      <c r="F4800" s="17">
        <f t="shared" ca="1" si="201"/>
        <v>0</v>
      </c>
      <c r="H4800" s="17">
        <v>4791</v>
      </c>
      <c r="I4800" s="45">
        <v>0.67119947268110447</v>
      </c>
      <c r="J4800" s="45">
        <v>1.9409179490831312E-2</v>
      </c>
      <c r="K4800" s="45">
        <v>0.25580000000000003</v>
      </c>
      <c r="N4800" s="54"/>
    </row>
    <row r="4801" spans="2:14" x14ac:dyDescent="0.2">
      <c r="B4801">
        <f t="shared" si="202"/>
        <v>4792</v>
      </c>
      <c r="C4801" s="52">
        <f ca="1"/>
        <v>6.8406484676784174E-2</v>
      </c>
      <c r="D4801" s="52">
        <f ca="1">S0*EXP((μ-0.5*σ*σ)*T+σ*SQRT(T)*$C4801)</f>
        <v>0.65612737346468308</v>
      </c>
      <c r="E4801" s="52">
        <f t="shared" ca="1" si="200"/>
        <v>0</v>
      </c>
      <c r="F4801" s="17">
        <f t="shared" ca="1" si="201"/>
        <v>0</v>
      </c>
      <c r="H4801" s="17">
        <v>4792</v>
      </c>
      <c r="I4801" s="45">
        <v>0.67203123122391129</v>
      </c>
      <c r="J4801" s="45">
        <v>1.9679308692804771E-2</v>
      </c>
      <c r="K4801" s="45">
        <v>0.24759999999999999</v>
      </c>
      <c r="N4801" s="54"/>
    </row>
    <row r="4802" spans="2:14" x14ac:dyDescent="0.2">
      <c r="B4802">
        <f t="shared" si="202"/>
        <v>4793</v>
      </c>
      <c r="C4802" s="52">
        <f ca="1"/>
        <v>0.15465390233834256</v>
      </c>
      <c r="D4802" s="52">
        <f ca="1">S0*EXP((μ-0.5*σ*σ)*T+σ*SQRT(T)*$C4802)</f>
        <v>0.67195846284299776</v>
      </c>
      <c r="E4802" s="52">
        <f t="shared" ca="1" si="200"/>
        <v>0</v>
      </c>
      <c r="F4802" s="17">
        <f t="shared" ca="1" si="201"/>
        <v>0</v>
      </c>
      <c r="H4802" s="17">
        <v>4793</v>
      </c>
      <c r="I4802" s="45">
        <v>0.67068308141677058</v>
      </c>
      <c r="J4802" s="45">
        <v>1.8688239176743927E-2</v>
      </c>
      <c r="K4802" s="45">
        <v>0.2404</v>
      </c>
      <c r="N4802" s="54"/>
    </row>
    <row r="4803" spans="2:14" x14ac:dyDescent="0.2">
      <c r="B4803">
        <f t="shared" si="202"/>
        <v>4794</v>
      </c>
      <c r="C4803" s="52">
        <f ca="1"/>
        <v>1.0331778345870088</v>
      </c>
      <c r="D4803" s="52">
        <f ca="1">S0*EXP((μ-0.5*σ*σ)*T+σ*SQRT(T)*$C4803)</f>
        <v>0.85666685210982085</v>
      </c>
      <c r="E4803" s="52">
        <f t="shared" ca="1" si="200"/>
        <v>0</v>
      </c>
      <c r="F4803" s="17">
        <f t="shared" ca="1" si="201"/>
        <v>0</v>
      </c>
      <c r="H4803" s="17">
        <v>4794</v>
      </c>
      <c r="I4803" s="45">
        <v>0.67116567191774013</v>
      </c>
      <c r="J4803" s="45">
        <v>1.9454103557403131E-2</v>
      </c>
      <c r="K4803" s="45">
        <v>0.25600000000000001</v>
      </c>
      <c r="N4803" s="54"/>
    </row>
    <row r="4804" spans="2:14" x14ac:dyDescent="0.2">
      <c r="B4804">
        <f t="shared" si="202"/>
        <v>4795</v>
      </c>
      <c r="C4804" s="52">
        <f ca="1"/>
        <v>0.46042683865017636</v>
      </c>
      <c r="D4804" s="52">
        <f ca="1">S0*EXP((μ-0.5*σ*σ)*T+σ*SQRT(T)*$C4804)</f>
        <v>0.73122565710296306</v>
      </c>
      <c r="E4804" s="52">
        <f t="shared" ca="1" si="200"/>
        <v>0</v>
      </c>
      <c r="F4804" s="17">
        <f t="shared" ca="1" si="201"/>
        <v>0</v>
      </c>
      <c r="H4804" s="17">
        <v>4795</v>
      </c>
      <c r="I4804" s="45">
        <v>0.67079786628793836</v>
      </c>
      <c r="J4804" s="45">
        <v>1.9228892064069737E-2</v>
      </c>
      <c r="K4804" s="45">
        <v>0.25740000000000002</v>
      </c>
      <c r="N4804" s="54"/>
    </row>
    <row r="4805" spans="2:14" x14ac:dyDescent="0.2">
      <c r="B4805">
        <f t="shared" si="202"/>
        <v>4796</v>
      </c>
      <c r="C4805" s="52">
        <f ca="1"/>
        <v>-1.5473231583574358</v>
      </c>
      <c r="D4805" s="52">
        <f ca="1">S0*EXP((μ-0.5*σ*σ)*T+σ*SQRT(T)*$C4805)</f>
        <v>0.41977326967446843</v>
      </c>
      <c r="E4805" s="52">
        <f t="shared" ca="1" si="200"/>
        <v>0.11462673032553156</v>
      </c>
      <c r="F4805" s="17">
        <f t="shared" ca="1" si="201"/>
        <v>1</v>
      </c>
      <c r="H4805" s="17">
        <v>4796</v>
      </c>
      <c r="I4805" s="45">
        <v>0.67212514533374146</v>
      </c>
      <c r="J4805" s="45">
        <v>1.9741791876507531E-2</v>
      </c>
      <c r="K4805" s="45">
        <v>0.25259999999999999</v>
      </c>
      <c r="N4805" s="54"/>
    </row>
    <row r="4806" spans="2:14" x14ac:dyDescent="0.2">
      <c r="B4806">
        <f t="shared" si="202"/>
        <v>4797</v>
      </c>
      <c r="C4806" s="52">
        <f ca="1"/>
        <v>0.98483373985502998</v>
      </c>
      <c r="D4806" s="52">
        <f ca="1">S0*EXP((μ-0.5*σ*σ)*T+σ*SQRT(T)*$C4806)</f>
        <v>0.84529461728304822</v>
      </c>
      <c r="E4806" s="52">
        <f t="shared" ca="1" si="200"/>
        <v>0</v>
      </c>
      <c r="F4806" s="17">
        <f t="shared" ca="1" si="201"/>
        <v>0</v>
      </c>
      <c r="H4806" s="17">
        <v>4797</v>
      </c>
      <c r="I4806" s="45">
        <v>0.67259942214615287</v>
      </c>
      <c r="J4806" s="45">
        <v>2.0553364519510429E-2</v>
      </c>
      <c r="K4806" s="45">
        <v>0.25419999999999998</v>
      </c>
      <c r="N4806" s="54"/>
    </row>
    <row r="4807" spans="2:14" x14ac:dyDescent="0.2">
      <c r="B4807">
        <f t="shared" si="202"/>
        <v>4798</v>
      </c>
      <c r="C4807" s="52">
        <f ca="1"/>
        <v>-0.51713686187364372</v>
      </c>
      <c r="D4807" s="52">
        <f ca="1">S0*EXP((μ-0.5*σ*σ)*T+σ*SQRT(T)*$C4807)</f>
        <v>0.55807408266645153</v>
      </c>
      <c r="E4807" s="52">
        <f t="shared" ca="1" si="200"/>
        <v>0</v>
      </c>
      <c r="F4807" s="17">
        <f t="shared" ca="1" si="201"/>
        <v>0</v>
      </c>
      <c r="H4807" s="17">
        <v>4798</v>
      </c>
      <c r="I4807" s="45">
        <v>0.67051886899082369</v>
      </c>
      <c r="J4807" s="45">
        <v>1.8753971978311156E-2</v>
      </c>
      <c r="K4807" s="45">
        <v>0.24679999999999999</v>
      </c>
      <c r="N4807" s="54"/>
    </row>
    <row r="4808" spans="2:14" x14ac:dyDescent="0.2">
      <c r="B4808">
        <f t="shared" si="202"/>
        <v>4799</v>
      </c>
      <c r="C4808" s="52">
        <f ca="1"/>
        <v>0.72341940405185179</v>
      </c>
      <c r="D4808" s="52">
        <f ca="1">S0*EXP((μ-0.5*σ*σ)*T+σ*SQRT(T)*$C4808)</f>
        <v>0.78636558433627946</v>
      </c>
      <c r="E4808" s="52">
        <f t="shared" ca="1" si="200"/>
        <v>0</v>
      </c>
      <c r="F4808" s="17">
        <f t="shared" ca="1" si="201"/>
        <v>0</v>
      </c>
      <c r="H4808" s="17">
        <v>4799</v>
      </c>
      <c r="I4808" s="45">
        <v>0.67124786782559387</v>
      </c>
      <c r="J4808" s="45">
        <v>1.9090677628784716E-2</v>
      </c>
      <c r="K4808" s="45">
        <v>0.24640000000000001</v>
      </c>
      <c r="N4808" s="54"/>
    </row>
    <row r="4809" spans="2:14" x14ac:dyDescent="0.2">
      <c r="B4809">
        <f t="shared" si="202"/>
        <v>4800</v>
      </c>
      <c r="C4809" s="52">
        <f ca="1"/>
        <v>-6.7696064859473368E-2</v>
      </c>
      <c r="D4809" s="52">
        <f ca="1">S0*EXP((μ-0.5*σ*σ)*T+σ*SQRT(T)*$C4809)</f>
        <v>0.63190038760078227</v>
      </c>
      <c r="E4809" s="52">
        <f t="shared" ca="1" si="200"/>
        <v>0</v>
      </c>
      <c r="F4809" s="17">
        <f t="shared" ca="1" si="201"/>
        <v>0</v>
      </c>
      <c r="H4809" s="17">
        <v>4800</v>
      </c>
      <c r="I4809" s="45">
        <v>0.66992061252838497</v>
      </c>
      <c r="J4809" s="45">
        <v>1.8206498108097831E-2</v>
      </c>
      <c r="K4809" s="45">
        <v>0.24759999999999999</v>
      </c>
      <c r="N4809" s="54"/>
    </row>
    <row r="4810" spans="2:14" x14ac:dyDescent="0.2">
      <c r="B4810">
        <f t="shared" si="202"/>
        <v>4801</v>
      </c>
      <c r="C4810" s="52">
        <f ca="1"/>
        <v>-0.33999226168314212</v>
      </c>
      <c r="D4810" s="52">
        <f ca="1">S0*EXP((μ-0.5*σ*σ)*T+σ*SQRT(T)*$C4810)</f>
        <v>0.58608231277535028</v>
      </c>
      <c r="E4810" s="52">
        <f t="shared" ref="E4810:E4873" ca="1" si="203">MAX(0,CP*(D4810-K))</f>
        <v>0</v>
      </c>
      <c r="F4810" s="17">
        <f t="shared" ref="F4810:F4873" ca="1" si="204">(CP*(D4810-K)&gt;0)*1</f>
        <v>0</v>
      </c>
      <c r="H4810" s="17">
        <v>4801</v>
      </c>
      <c r="I4810" s="45">
        <v>0.6710333521123294</v>
      </c>
      <c r="J4810" s="45">
        <v>1.9155671348041744E-2</v>
      </c>
      <c r="K4810" s="45">
        <v>0.25040000000000001</v>
      </c>
      <c r="N4810" s="54"/>
    </row>
    <row r="4811" spans="2:14" x14ac:dyDescent="0.2">
      <c r="B4811">
        <f t="shared" si="202"/>
        <v>4802</v>
      </c>
      <c r="C4811" s="52">
        <f ca="1"/>
        <v>-0.58432843043828897</v>
      </c>
      <c r="D4811" s="52">
        <f ca="1">S0*EXP((μ-0.5*σ*σ)*T+σ*SQRT(T)*$C4811)</f>
        <v>0.54780412342892904</v>
      </c>
      <c r="E4811" s="52">
        <f t="shared" ca="1" si="203"/>
        <v>0</v>
      </c>
      <c r="F4811" s="17">
        <f t="shared" ca="1" si="204"/>
        <v>0</v>
      </c>
      <c r="H4811" s="17">
        <v>4802</v>
      </c>
      <c r="I4811" s="45">
        <v>0.67154781522999452</v>
      </c>
      <c r="J4811" s="45">
        <v>1.958495156646383E-2</v>
      </c>
      <c r="K4811" s="45">
        <v>0.253</v>
      </c>
      <c r="N4811" s="54"/>
    </row>
    <row r="4812" spans="2:14" x14ac:dyDescent="0.2">
      <c r="B4812">
        <f t="shared" si="202"/>
        <v>4803</v>
      </c>
      <c r="C4812" s="52">
        <f ca="1"/>
        <v>-2.1421068319069909</v>
      </c>
      <c r="D4812" s="52">
        <f ca="1">S0*EXP((μ-0.5*σ*σ)*T+σ*SQRT(T)*$C4812)</f>
        <v>0.35613048187992569</v>
      </c>
      <c r="E4812" s="52">
        <f t="shared" ca="1" si="203"/>
        <v>0.1782695181200743</v>
      </c>
      <c r="F4812" s="17">
        <f t="shared" ca="1" si="204"/>
        <v>1</v>
      </c>
      <c r="H4812" s="17">
        <v>4803</v>
      </c>
      <c r="I4812" s="45">
        <v>0.67005306700868472</v>
      </c>
      <c r="J4812" s="45">
        <v>1.8477609769354423E-2</v>
      </c>
      <c r="K4812" s="45">
        <v>0.24199999999999999</v>
      </c>
      <c r="N4812" s="54"/>
    </row>
    <row r="4813" spans="2:14" x14ac:dyDescent="0.2">
      <c r="B4813">
        <f t="shared" si="202"/>
        <v>4804</v>
      </c>
      <c r="C4813" s="52">
        <f ca="1"/>
        <v>-1.1206438926145981</v>
      </c>
      <c r="D4813" s="52">
        <f ca="1">S0*EXP((μ-0.5*σ*σ)*T+σ*SQRT(T)*$C4813)</f>
        <v>0.47232284862223117</v>
      </c>
      <c r="E4813" s="52">
        <f t="shared" ca="1" si="203"/>
        <v>6.2077151377768813E-2</v>
      </c>
      <c r="F4813" s="17">
        <f t="shared" ca="1" si="204"/>
        <v>1</v>
      </c>
      <c r="H4813" s="17">
        <v>4804</v>
      </c>
      <c r="I4813" s="45">
        <v>0.6717338062589322</v>
      </c>
      <c r="J4813" s="45">
        <v>1.9680356908073331E-2</v>
      </c>
      <c r="K4813" s="45">
        <v>0.25659999999999999</v>
      </c>
      <c r="N4813" s="54"/>
    </row>
    <row r="4814" spans="2:14" x14ac:dyDescent="0.2">
      <c r="B4814">
        <f t="shared" si="202"/>
        <v>4805</v>
      </c>
      <c r="C4814" s="52">
        <f ca="1"/>
        <v>-0.9249447694485583</v>
      </c>
      <c r="D4814" s="52">
        <f ca="1">S0*EXP((μ-0.5*σ*σ)*T+σ*SQRT(T)*$C4814)</f>
        <v>0.49857815302394037</v>
      </c>
      <c r="E4814" s="52">
        <f t="shared" ca="1" si="203"/>
        <v>3.5821846976059613E-2</v>
      </c>
      <c r="F4814" s="17">
        <f t="shared" ca="1" si="204"/>
        <v>1</v>
      </c>
      <c r="H4814" s="17">
        <v>4805</v>
      </c>
      <c r="I4814" s="45">
        <v>0.6706477064921863</v>
      </c>
      <c r="J4814" s="45">
        <v>1.8857539271330985E-2</v>
      </c>
      <c r="K4814" s="45">
        <v>0.249</v>
      </c>
      <c r="N4814" s="54"/>
    </row>
    <row r="4815" spans="2:14" x14ac:dyDescent="0.2">
      <c r="B4815">
        <f t="shared" si="202"/>
        <v>4806</v>
      </c>
      <c r="C4815" s="52">
        <f ca="1"/>
        <v>-0.83185928379873153</v>
      </c>
      <c r="D4815" s="52">
        <f ca="1">S0*EXP((μ-0.5*σ*σ)*T+σ*SQRT(T)*$C4815)</f>
        <v>0.5115739799225848</v>
      </c>
      <c r="E4815" s="52">
        <f t="shared" ca="1" si="203"/>
        <v>2.2826020077415188E-2</v>
      </c>
      <c r="F4815" s="17">
        <f t="shared" ca="1" si="204"/>
        <v>1</v>
      </c>
      <c r="H4815" s="17">
        <v>4806</v>
      </c>
      <c r="I4815" s="45">
        <v>0.67107321835957068</v>
      </c>
      <c r="J4815" s="45">
        <v>1.9210276056106076E-2</v>
      </c>
      <c r="K4815" s="45">
        <v>0.24399999999999999</v>
      </c>
      <c r="N4815" s="54"/>
    </row>
    <row r="4816" spans="2:14" x14ac:dyDescent="0.2">
      <c r="B4816">
        <f t="shared" si="202"/>
        <v>4807</v>
      </c>
      <c r="C4816" s="52">
        <f ca="1"/>
        <v>-1.3366172600380481</v>
      </c>
      <c r="D4816" s="52">
        <f ca="1">S0*EXP((μ-0.5*σ*σ)*T+σ*SQRT(T)*$C4816)</f>
        <v>0.44494945541720199</v>
      </c>
      <c r="E4816" s="52">
        <f t="shared" ca="1" si="203"/>
        <v>8.9450544582797997E-2</v>
      </c>
      <c r="F4816" s="17">
        <f t="shared" ca="1" si="204"/>
        <v>1</v>
      </c>
      <c r="H4816" s="17">
        <v>4807</v>
      </c>
      <c r="I4816" s="45">
        <v>0.67017729448047725</v>
      </c>
      <c r="J4816" s="45">
        <v>1.8204690837497362E-2</v>
      </c>
      <c r="K4816" s="45">
        <v>0.24</v>
      </c>
      <c r="N4816" s="54"/>
    </row>
    <row r="4817" spans="2:14" x14ac:dyDescent="0.2">
      <c r="B4817">
        <f t="shared" si="202"/>
        <v>4808</v>
      </c>
      <c r="C4817" s="52">
        <f ca="1"/>
        <v>-1.1842183388730105</v>
      </c>
      <c r="D4817" s="52">
        <f ca="1">S0*EXP((μ-0.5*σ*σ)*T+σ*SQRT(T)*$C4817)</f>
        <v>0.46409473847821514</v>
      </c>
      <c r="E4817" s="52">
        <f t="shared" ca="1" si="203"/>
        <v>7.0305261521784845E-2</v>
      </c>
      <c r="F4817" s="17">
        <f t="shared" ca="1" si="204"/>
        <v>1</v>
      </c>
      <c r="H4817" s="17">
        <v>4808</v>
      </c>
      <c r="I4817" s="45">
        <v>0.67084238556541897</v>
      </c>
      <c r="J4817" s="45">
        <v>1.9340847321963402E-2</v>
      </c>
      <c r="K4817" s="45">
        <v>0.25019999999999998</v>
      </c>
      <c r="N4817" s="54"/>
    </row>
    <row r="4818" spans="2:14" x14ac:dyDescent="0.2">
      <c r="B4818">
        <f t="shared" si="202"/>
        <v>4809</v>
      </c>
      <c r="C4818" s="52">
        <f ca="1"/>
        <v>-6.0141513147904758E-2</v>
      </c>
      <c r="D4818" s="52">
        <f ca="1">S0*EXP((μ-0.5*σ*σ)*T+σ*SQRT(T)*$C4818)</f>
        <v>0.63322137901401154</v>
      </c>
      <c r="E4818" s="52">
        <f t="shared" ca="1" si="203"/>
        <v>0</v>
      </c>
      <c r="F4818" s="17">
        <f t="shared" ca="1" si="204"/>
        <v>0</v>
      </c>
      <c r="H4818" s="17">
        <v>4809</v>
      </c>
      <c r="I4818" s="45">
        <v>0.66973101053659556</v>
      </c>
      <c r="J4818" s="45">
        <v>1.8026948188644421E-2</v>
      </c>
      <c r="K4818" s="45">
        <v>0.245</v>
      </c>
      <c r="N4818" s="54"/>
    </row>
    <row r="4819" spans="2:14" x14ac:dyDescent="0.2">
      <c r="B4819">
        <f t="shared" si="202"/>
        <v>4810</v>
      </c>
      <c r="C4819" s="52">
        <f ca="1"/>
        <v>-0.50862302685046479</v>
      </c>
      <c r="D4819" s="52">
        <f ca="1">S0*EXP((μ-0.5*σ*σ)*T+σ*SQRT(T)*$C4819)</f>
        <v>0.55938905726238664</v>
      </c>
      <c r="E4819" s="52">
        <f t="shared" ca="1" si="203"/>
        <v>0</v>
      </c>
      <c r="F4819" s="17">
        <f t="shared" ca="1" si="204"/>
        <v>0</v>
      </c>
      <c r="H4819" s="17">
        <v>4810</v>
      </c>
      <c r="I4819" s="45">
        <v>0.67077607205402379</v>
      </c>
      <c r="J4819" s="45">
        <v>1.8778870563403414E-2</v>
      </c>
      <c r="K4819" s="45">
        <v>0.24360000000000001</v>
      </c>
      <c r="N4819" s="54"/>
    </row>
    <row r="4820" spans="2:14" x14ac:dyDescent="0.2">
      <c r="B4820">
        <f t="shared" si="202"/>
        <v>4811</v>
      </c>
      <c r="C4820" s="52">
        <f ca="1"/>
        <v>-0.11082725391921137</v>
      </c>
      <c r="D4820" s="52">
        <f ca="1">S0*EXP((μ-0.5*σ*σ)*T+σ*SQRT(T)*$C4820)</f>
        <v>0.6244110616854025</v>
      </c>
      <c r="E4820" s="52">
        <f t="shared" ca="1" si="203"/>
        <v>0</v>
      </c>
      <c r="F4820" s="17">
        <f t="shared" ca="1" si="204"/>
        <v>0</v>
      </c>
      <c r="H4820" s="17">
        <v>4811</v>
      </c>
      <c r="I4820" s="45">
        <v>0.67268994650047009</v>
      </c>
      <c r="J4820" s="45">
        <v>2.0033300906958842E-2</v>
      </c>
      <c r="K4820" s="45">
        <v>0.25280000000000002</v>
      </c>
      <c r="N4820" s="54"/>
    </row>
    <row r="4821" spans="2:14" x14ac:dyDescent="0.2">
      <c r="B4821">
        <f t="shared" si="202"/>
        <v>4812</v>
      </c>
      <c r="C4821" s="52">
        <f ca="1"/>
        <v>-1.5813961940995167</v>
      </c>
      <c r="D4821" s="52">
        <f ca="1">S0*EXP((μ-0.5*σ*σ)*T+σ*SQRT(T)*$C4821)</f>
        <v>0.41583803125888252</v>
      </c>
      <c r="E4821" s="52">
        <f t="shared" ca="1" si="203"/>
        <v>0.11856196874111746</v>
      </c>
      <c r="F4821" s="17">
        <f t="shared" ca="1" si="204"/>
        <v>1</v>
      </c>
      <c r="H4821" s="17">
        <v>4812</v>
      </c>
      <c r="I4821" s="45">
        <v>0.67033893997647498</v>
      </c>
      <c r="J4821" s="45">
        <v>1.8597859276696615E-2</v>
      </c>
      <c r="K4821" s="45">
        <v>0.24160000000000001</v>
      </c>
      <c r="N4821" s="54"/>
    </row>
    <row r="4822" spans="2:14" x14ac:dyDescent="0.2">
      <c r="B4822">
        <f t="shared" si="202"/>
        <v>4813</v>
      </c>
      <c r="C4822" s="52">
        <f ca="1"/>
        <v>0.46192985613789195</v>
      </c>
      <c r="D4822" s="52">
        <f ca="1">S0*EXP((μ-0.5*σ*σ)*T+σ*SQRT(T)*$C4822)</f>
        <v>0.73152953198345705</v>
      </c>
      <c r="E4822" s="52">
        <f t="shared" ca="1" si="203"/>
        <v>0</v>
      </c>
      <c r="F4822" s="17">
        <f t="shared" ca="1" si="204"/>
        <v>0</v>
      </c>
      <c r="H4822" s="17">
        <v>4813</v>
      </c>
      <c r="I4822" s="45">
        <v>0.67084122595880191</v>
      </c>
      <c r="J4822" s="45">
        <v>1.8888397165037703E-2</v>
      </c>
      <c r="K4822" s="45">
        <v>0.24679999999999999</v>
      </c>
      <c r="N4822" s="54"/>
    </row>
    <row r="4823" spans="2:14" x14ac:dyDescent="0.2">
      <c r="B4823">
        <f t="shared" si="202"/>
        <v>4814</v>
      </c>
      <c r="C4823" s="52">
        <f ca="1"/>
        <v>-0.46153181882504885</v>
      </c>
      <c r="D4823" s="52">
        <f ca="1">S0*EXP((μ-0.5*σ*σ)*T+σ*SQRT(T)*$C4823)</f>
        <v>0.56671852958745428</v>
      </c>
      <c r="E4823" s="52">
        <f t="shared" ca="1" si="203"/>
        <v>0</v>
      </c>
      <c r="F4823" s="17">
        <f t="shared" ca="1" si="204"/>
        <v>0</v>
      </c>
      <c r="H4823" s="17">
        <v>4814</v>
      </c>
      <c r="I4823" s="45">
        <v>0.67021911905015408</v>
      </c>
      <c r="J4823" s="45">
        <v>1.8530519729926156E-2</v>
      </c>
      <c r="K4823" s="45">
        <v>0.24560000000000001</v>
      </c>
      <c r="N4823" s="54"/>
    </row>
    <row r="4824" spans="2:14" x14ac:dyDescent="0.2">
      <c r="B4824">
        <f t="shared" si="202"/>
        <v>4815</v>
      </c>
      <c r="C4824" s="52">
        <f ca="1"/>
        <v>-0.61739726087899227</v>
      </c>
      <c r="D4824" s="52">
        <f ca="1">S0*EXP((μ-0.5*σ*σ)*T+σ*SQRT(T)*$C4824)</f>
        <v>0.54281930024395653</v>
      </c>
      <c r="E4824" s="52">
        <f t="shared" ca="1" si="203"/>
        <v>0</v>
      </c>
      <c r="F4824" s="17">
        <f t="shared" ca="1" si="204"/>
        <v>0</v>
      </c>
      <c r="H4824" s="17">
        <v>4815</v>
      </c>
      <c r="I4824" s="45">
        <v>0.67101146245699406</v>
      </c>
      <c r="J4824" s="45">
        <v>1.9005354420707776E-2</v>
      </c>
      <c r="K4824" s="45">
        <v>0.24540000000000001</v>
      </c>
      <c r="N4824" s="54"/>
    </row>
    <row r="4825" spans="2:14" x14ac:dyDescent="0.2">
      <c r="B4825">
        <f t="shared" si="202"/>
        <v>4816</v>
      </c>
      <c r="C4825" s="52">
        <f ca="1"/>
        <v>0.64466699044722098</v>
      </c>
      <c r="D4825" s="52">
        <f ca="1">S0*EXP((μ-0.5*σ*σ)*T+σ*SQRT(T)*$C4825)</f>
        <v>0.76943161252494618</v>
      </c>
      <c r="E4825" s="52">
        <f t="shared" ca="1" si="203"/>
        <v>0</v>
      </c>
      <c r="F4825" s="17">
        <f t="shared" ca="1" si="204"/>
        <v>0</v>
      </c>
      <c r="H4825" s="17">
        <v>4816</v>
      </c>
      <c r="I4825" s="45">
        <v>0.67136109442013836</v>
      </c>
      <c r="J4825" s="45">
        <v>1.902594578531611E-2</v>
      </c>
      <c r="K4825" s="45">
        <v>0.248</v>
      </c>
      <c r="N4825" s="54"/>
    </row>
    <row r="4826" spans="2:14" x14ac:dyDescent="0.2">
      <c r="B4826">
        <f t="shared" si="202"/>
        <v>4817</v>
      </c>
      <c r="C4826" s="52">
        <f ca="1"/>
        <v>-0.34946804367255518</v>
      </c>
      <c r="D4826" s="52">
        <f ca="1">S0*EXP((μ-0.5*σ*σ)*T+σ*SQRT(T)*$C4826)</f>
        <v>0.5845491293244004</v>
      </c>
      <c r="E4826" s="52">
        <f t="shared" ca="1" si="203"/>
        <v>0</v>
      </c>
      <c r="F4826" s="17">
        <f t="shared" ca="1" si="204"/>
        <v>0</v>
      </c>
      <c r="H4826" s="17">
        <v>4817</v>
      </c>
      <c r="I4826" s="45">
        <v>0.67092154303625218</v>
      </c>
      <c r="J4826" s="45">
        <v>1.889345312430965E-2</v>
      </c>
      <c r="K4826" s="45">
        <v>0.24179999999999999</v>
      </c>
      <c r="N4826" s="54"/>
    </row>
    <row r="4827" spans="2:14" x14ac:dyDescent="0.2">
      <c r="B4827">
        <f t="shared" si="202"/>
        <v>4818</v>
      </c>
      <c r="C4827" s="52">
        <f ca="1"/>
        <v>0.11287280861620046</v>
      </c>
      <c r="D4827" s="52">
        <f ca="1">S0*EXP((μ-0.5*σ*σ)*T+σ*SQRT(T)*$C4827)</f>
        <v>0.66424222167384428</v>
      </c>
      <c r="E4827" s="52">
        <f t="shared" ca="1" si="203"/>
        <v>0</v>
      </c>
      <c r="F4827" s="17">
        <f t="shared" ca="1" si="204"/>
        <v>0</v>
      </c>
      <c r="H4827" s="17">
        <v>4818</v>
      </c>
      <c r="I4827" s="45">
        <v>0.66981715834155009</v>
      </c>
      <c r="J4827" s="45">
        <v>1.8193472361362716E-2</v>
      </c>
      <c r="K4827" s="45">
        <v>0.2432</v>
      </c>
      <c r="N4827" s="54"/>
    </row>
    <row r="4828" spans="2:14" x14ac:dyDescent="0.2">
      <c r="B4828">
        <f t="shared" si="202"/>
        <v>4819</v>
      </c>
      <c r="C4828" s="52">
        <f ca="1"/>
        <v>-1.9306802607880238</v>
      </c>
      <c r="D4828" s="52">
        <f ca="1">S0*EXP((μ-0.5*σ*σ)*T+σ*SQRT(T)*$C4828)</f>
        <v>0.37756485837783166</v>
      </c>
      <c r="E4828" s="52">
        <f t="shared" ca="1" si="203"/>
        <v>0.15683514162216833</v>
      </c>
      <c r="F4828" s="17">
        <f t="shared" ca="1" si="204"/>
        <v>1</v>
      </c>
      <c r="H4828" s="17">
        <v>4819</v>
      </c>
      <c r="I4828" s="45">
        <v>0.67038775579522436</v>
      </c>
      <c r="J4828" s="45">
        <v>1.8667411971525112E-2</v>
      </c>
      <c r="K4828" s="45">
        <v>0.24679999999999999</v>
      </c>
      <c r="N4828" s="54"/>
    </row>
    <row r="4829" spans="2:14" x14ac:dyDescent="0.2">
      <c r="B4829">
        <f t="shared" si="202"/>
        <v>4820</v>
      </c>
      <c r="C4829" s="52">
        <f ca="1"/>
        <v>3.8474058943917519E-2</v>
      </c>
      <c r="D4829" s="52">
        <f ca="1">S0*EXP((μ-0.5*σ*σ)*T+σ*SQRT(T)*$C4829)</f>
        <v>0.65072078030388547</v>
      </c>
      <c r="E4829" s="52">
        <f t="shared" ca="1" si="203"/>
        <v>0</v>
      </c>
      <c r="F4829" s="17">
        <f t="shared" ca="1" si="204"/>
        <v>0</v>
      </c>
      <c r="H4829" s="17">
        <v>4820</v>
      </c>
      <c r="I4829" s="45">
        <v>0.67107803563889268</v>
      </c>
      <c r="J4829" s="45">
        <v>1.9041805738575265E-2</v>
      </c>
      <c r="K4829" s="45">
        <v>0.246</v>
      </c>
      <c r="N4829" s="54"/>
    </row>
    <row r="4830" spans="2:14" x14ac:dyDescent="0.2">
      <c r="B4830">
        <f t="shared" si="202"/>
        <v>4821</v>
      </c>
      <c r="C4830" s="52">
        <f ca="1"/>
        <v>1.0573128788498167</v>
      </c>
      <c r="D4830" s="52">
        <f ca="1">S0*EXP((μ-0.5*σ*σ)*T+σ*SQRT(T)*$C4830)</f>
        <v>0.86240139404831073</v>
      </c>
      <c r="E4830" s="52">
        <f t="shared" ca="1" si="203"/>
        <v>0</v>
      </c>
      <c r="F4830" s="17">
        <f t="shared" ca="1" si="204"/>
        <v>0</v>
      </c>
      <c r="H4830" s="17">
        <v>4821</v>
      </c>
      <c r="I4830" s="45">
        <v>0.67051444562407192</v>
      </c>
      <c r="J4830" s="45">
        <v>1.8386222711812717E-2</v>
      </c>
      <c r="K4830" s="45">
        <v>0.24540000000000001</v>
      </c>
      <c r="N4830" s="54"/>
    </row>
    <row r="4831" spans="2:14" x14ac:dyDescent="0.2">
      <c r="B4831">
        <f t="shared" si="202"/>
        <v>4822</v>
      </c>
      <c r="C4831" s="52">
        <f ca="1"/>
        <v>1.2097829129201754</v>
      </c>
      <c r="D4831" s="52">
        <f ca="1">S0*EXP((μ-0.5*σ*σ)*T+σ*SQRT(T)*$C4831)</f>
        <v>0.89952647979324385</v>
      </c>
      <c r="E4831" s="52">
        <f t="shared" ca="1" si="203"/>
        <v>0</v>
      </c>
      <c r="F4831" s="17">
        <f t="shared" ca="1" si="204"/>
        <v>0</v>
      </c>
      <c r="H4831" s="17">
        <v>4822</v>
      </c>
      <c r="I4831" s="45">
        <v>0.67113589272549046</v>
      </c>
      <c r="J4831" s="45">
        <v>1.9201750422111447E-2</v>
      </c>
      <c r="K4831" s="45">
        <v>0.2472</v>
      </c>
      <c r="N4831" s="54"/>
    </row>
    <row r="4832" spans="2:14" x14ac:dyDescent="0.2">
      <c r="B4832">
        <f t="shared" si="202"/>
        <v>4823</v>
      </c>
      <c r="C4832" s="52">
        <f ca="1"/>
        <v>0.6840385666223</v>
      </c>
      <c r="D4832" s="52">
        <f ca="1">S0*EXP((μ-0.5*σ*σ)*T+σ*SQRT(T)*$C4832)</f>
        <v>0.77785152219731035</v>
      </c>
      <c r="E4832" s="52">
        <f t="shared" ca="1" si="203"/>
        <v>0</v>
      </c>
      <c r="F4832" s="17">
        <f t="shared" ca="1" si="204"/>
        <v>0</v>
      </c>
      <c r="H4832" s="17">
        <v>4823</v>
      </c>
      <c r="I4832" s="45">
        <v>0.67245817561255949</v>
      </c>
      <c r="J4832" s="45">
        <v>2.0140735184077583E-2</v>
      </c>
      <c r="K4832" s="45">
        <v>0.25380000000000003</v>
      </c>
      <c r="N4832" s="54"/>
    </row>
    <row r="4833" spans="2:14" x14ac:dyDescent="0.2">
      <c r="B4833">
        <f t="shared" si="202"/>
        <v>4824</v>
      </c>
      <c r="C4833" s="52">
        <f ca="1"/>
        <v>-0.68055767328704619</v>
      </c>
      <c r="D4833" s="52">
        <f ca="1">S0*EXP((μ-0.5*σ*σ)*T+σ*SQRT(T)*$C4833)</f>
        <v>0.53342415336834881</v>
      </c>
      <c r="E4833" s="52">
        <f t="shared" ca="1" si="203"/>
        <v>9.7584663165117824E-4</v>
      </c>
      <c r="F4833" s="17">
        <f t="shared" ca="1" si="204"/>
        <v>1</v>
      </c>
      <c r="H4833" s="17">
        <v>4824</v>
      </c>
      <c r="I4833" s="45">
        <v>0.67020660500605578</v>
      </c>
      <c r="J4833" s="45">
        <v>1.8295301145807515E-2</v>
      </c>
      <c r="K4833" s="45">
        <v>0.24399999999999999</v>
      </c>
      <c r="N4833" s="54"/>
    </row>
    <row r="4834" spans="2:14" x14ac:dyDescent="0.2">
      <c r="B4834">
        <f t="shared" si="202"/>
        <v>4825</v>
      </c>
      <c r="C4834" s="52">
        <f ca="1"/>
        <v>0.9450464193016096</v>
      </c>
      <c r="D4834" s="52">
        <f ca="1">S0*EXP((μ-0.5*σ*σ)*T+σ*SQRT(T)*$C4834)</f>
        <v>0.83604857635958263</v>
      </c>
      <c r="E4834" s="52">
        <f t="shared" ca="1" si="203"/>
        <v>0</v>
      </c>
      <c r="F4834" s="17">
        <f t="shared" ca="1" si="204"/>
        <v>0</v>
      </c>
      <c r="H4834" s="17">
        <v>4825</v>
      </c>
      <c r="I4834" s="45">
        <v>0.67108843830278297</v>
      </c>
      <c r="J4834" s="45">
        <v>1.8908741457763997E-2</v>
      </c>
      <c r="K4834" s="45">
        <v>0.24460000000000001</v>
      </c>
      <c r="N4834" s="54"/>
    </row>
    <row r="4835" spans="2:14" x14ac:dyDescent="0.2">
      <c r="B4835">
        <f t="shared" si="202"/>
        <v>4826</v>
      </c>
      <c r="C4835" s="52">
        <f ca="1"/>
        <v>0.41921710364847065</v>
      </c>
      <c r="D4835" s="52">
        <f ca="1">S0*EXP((μ-0.5*σ*σ)*T+σ*SQRT(T)*$C4835)</f>
        <v>0.72294301234556713</v>
      </c>
      <c r="E4835" s="52">
        <f t="shared" ca="1" si="203"/>
        <v>0</v>
      </c>
      <c r="F4835" s="17">
        <f t="shared" ca="1" si="204"/>
        <v>0</v>
      </c>
      <c r="H4835" s="17">
        <v>4826</v>
      </c>
      <c r="I4835" s="45">
        <v>0.67055162072841901</v>
      </c>
      <c r="J4835" s="45">
        <v>1.8558492236406116E-2</v>
      </c>
      <c r="K4835" s="45">
        <v>0.24340000000000001</v>
      </c>
      <c r="N4835" s="54"/>
    </row>
    <row r="4836" spans="2:14" x14ac:dyDescent="0.2">
      <c r="B4836">
        <f t="shared" si="202"/>
        <v>4827</v>
      </c>
      <c r="C4836" s="52">
        <f ca="1"/>
        <v>-0.8299322740099041</v>
      </c>
      <c r="D4836" s="52">
        <f ca="1">S0*EXP((μ-0.5*σ*σ)*T+σ*SQRT(T)*$C4836)</f>
        <v>0.51184656191804456</v>
      </c>
      <c r="E4836" s="52">
        <f t="shared" ca="1" si="203"/>
        <v>2.2553438081955424E-2</v>
      </c>
      <c r="F4836" s="17">
        <f t="shared" ca="1" si="204"/>
        <v>1</v>
      </c>
      <c r="H4836" s="17">
        <v>4827</v>
      </c>
      <c r="I4836" s="45">
        <v>0.67149436004338303</v>
      </c>
      <c r="J4836" s="45">
        <v>1.9292449184588868E-2</v>
      </c>
      <c r="K4836" s="45">
        <v>0.2482</v>
      </c>
      <c r="N4836" s="54"/>
    </row>
    <row r="4837" spans="2:14" x14ac:dyDescent="0.2">
      <c r="B4837">
        <f t="shared" si="202"/>
        <v>4828</v>
      </c>
      <c r="C4837" s="52">
        <f ca="1"/>
        <v>1.1883868905432318</v>
      </c>
      <c r="D4837" s="52">
        <f ca="1">S0*EXP((μ-0.5*σ*σ)*T+σ*SQRT(T)*$C4837)</f>
        <v>0.89422188247793111</v>
      </c>
      <c r="E4837" s="52">
        <f t="shared" ca="1" si="203"/>
        <v>0</v>
      </c>
      <c r="F4837" s="17">
        <f t="shared" ca="1" si="204"/>
        <v>0</v>
      </c>
      <c r="H4837" s="17">
        <v>4828</v>
      </c>
      <c r="I4837" s="45">
        <v>0.67116074903477019</v>
      </c>
      <c r="J4837" s="45">
        <v>1.9134775246704896E-2</v>
      </c>
      <c r="K4837" s="45">
        <v>0.24959999999999999</v>
      </c>
      <c r="N4837" s="54"/>
    </row>
    <row r="4838" spans="2:14" x14ac:dyDescent="0.2">
      <c r="B4838">
        <f t="shared" si="202"/>
        <v>4829</v>
      </c>
      <c r="C4838" s="52">
        <f ca="1"/>
        <v>-0.29314854545529068</v>
      </c>
      <c r="D4838" s="52">
        <f ca="1">S0*EXP((μ-0.5*σ*σ)*T+σ*SQRT(T)*$C4838)</f>
        <v>0.59372091648963432</v>
      </c>
      <c r="E4838" s="52">
        <f t="shared" ca="1" si="203"/>
        <v>0</v>
      </c>
      <c r="F4838" s="17">
        <f t="shared" ca="1" si="204"/>
        <v>0</v>
      </c>
      <c r="H4838" s="17">
        <v>4829</v>
      </c>
      <c r="I4838" s="45">
        <v>0.6706784545371447</v>
      </c>
      <c r="J4838" s="45">
        <v>1.867155873785983E-2</v>
      </c>
      <c r="K4838" s="45">
        <v>0.24399999999999999</v>
      </c>
      <c r="N4838" s="54"/>
    </row>
    <row r="4839" spans="2:14" x14ac:dyDescent="0.2">
      <c r="B4839">
        <f t="shared" si="202"/>
        <v>4830</v>
      </c>
      <c r="C4839" s="52">
        <f ca="1"/>
        <v>-0.38597765781863924</v>
      </c>
      <c r="D4839" s="52">
        <f ca="1">S0*EXP((μ-0.5*σ*σ)*T+σ*SQRT(T)*$C4839)</f>
        <v>0.57867927018258603</v>
      </c>
      <c r="E4839" s="52">
        <f t="shared" ca="1" si="203"/>
        <v>0</v>
      </c>
      <c r="F4839" s="17">
        <f t="shared" ca="1" si="204"/>
        <v>0</v>
      </c>
      <c r="H4839" s="17">
        <v>4830</v>
      </c>
      <c r="I4839" s="45">
        <v>0.67167678013002574</v>
      </c>
      <c r="J4839" s="45">
        <v>1.930523999008105E-2</v>
      </c>
      <c r="K4839" s="45">
        <v>0.24460000000000001</v>
      </c>
      <c r="N4839" s="54"/>
    </row>
    <row r="4840" spans="2:14" x14ac:dyDescent="0.2">
      <c r="B4840">
        <f t="shared" si="202"/>
        <v>4831</v>
      </c>
      <c r="C4840" s="52">
        <f ca="1"/>
        <v>0.58268708261077851</v>
      </c>
      <c r="D4840" s="52">
        <f ca="1">S0*EXP((μ-0.5*σ*σ)*T+σ*SQRT(T)*$C4840)</f>
        <v>0.75636102995536292</v>
      </c>
      <c r="E4840" s="52">
        <f t="shared" ca="1" si="203"/>
        <v>0</v>
      </c>
      <c r="F4840" s="17">
        <f t="shared" ca="1" si="204"/>
        <v>0</v>
      </c>
      <c r="H4840" s="17">
        <v>4831</v>
      </c>
      <c r="I4840" s="45">
        <v>0.67080911225414008</v>
      </c>
      <c r="J4840" s="45">
        <v>1.8550612963432363E-2</v>
      </c>
      <c r="K4840" s="45">
        <v>0.23880000000000001</v>
      </c>
      <c r="N4840" s="54"/>
    </row>
    <row r="4841" spans="2:14" x14ac:dyDescent="0.2">
      <c r="B4841">
        <f t="shared" si="202"/>
        <v>4832</v>
      </c>
      <c r="C4841" s="52">
        <f ca="1"/>
        <v>0.94835384998161076</v>
      </c>
      <c r="D4841" s="52">
        <f ca="1">S0*EXP((μ-0.5*σ*σ)*T+σ*SQRT(T)*$C4841)</f>
        <v>0.836813309538468</v>
      </c>
      <c r="E4841" s="52">
        <f t="shared" ca="1" si="203"/>
        <v>0</v>
      </c>
      <c r="F4841" s="17">
        <f t="shared" ca="1" si="204"/>
        <v>0</v>
      </c>
      <c r="H4841" s="17">
        <v>4832</v>
      </c>
      <c r="I4841" s="45">
        <v>0.67060434750697473</v>
      </c>
      <c r="J4841" s="45">
        <v>1.8823821574135053E-2</v>
      </c>
      <c r="K4841" s="45">
        <v>0.25019999999999998</v>
      </c>
      <c r="N4841" s="54"/>
    </row>
    <row r="4842" spans="2:14" x14ac:dyDescent="0.2">
      <c r="B4842">
        <f t="shared" si="202"/>
        <v>4833</v>
      </c>
      <c r="C4842" s="52">
        <f ca="1"/>
        <v>0.54602764052056618</v>
      </c>
      <c r="D4842" s="52">
        <f ca="1">S0*EXP((μ-0.5*σ*σ)*T+σ*SQRT(T)*$C4842)</f>
        <v>0.74873487832771823</v>
      </c>
      <c r="E4842" s="52">
        <f t="shared" ca="1" si="203"/>
        <v>0</v>
      </c>
      <c r="F4842" s="17">
        <f t="shared" ca="1" si="204"/>
        <v>0</v>
      </c>
      <c r="H4842" s="17">
        <v>4833</v>
      </c>
      <c r="I4842" s="45">
        <v>0.67163628255882957</v>
      </c>
      <c r="J4842" s="45">
        <v>1.9812811425804332E-2</v>
      </c>
      <c r="K4842" s="45">
        <v>0.25140000000000001</v>
      </c>
      <c r="N4842" s="54"/>
    </row>
    <row r="4843" spans="2:14" x14ac:dyDescent="0.2">
      <c r="B4843">
        <f t="shared" ref="B4843:B4906" si="205">B4842+1</f>
        <v>4834</v>
      </c>
      <c r="C4843" s="52">
        <f ca="1"/>
        <v>0.13142710931590046</v>
      </c>
      <c r="D4843" s="52">
        <f ca="1">S0*EXP((μ-0.5*σ*σ)*T+σ*SQRT(T)*$C4843)</f>
        <v>0.66765787996763748</v>
      </c>
      <c r="E4843" s="52">
        <f t="shared" ca="1" si="203"/>
        <v>0</v>
      </c>
      <c r="F4843" s="17">
        <f t="shared" ca="1" si="204"/>
        <v>0</v>
      </c>
      <c r="H4843" s="17">
        <v>4834</v>
      </c>
      <c r="I4843" s="45">
        <v>0.67117752747333193</v>
      </c>
      <c r="J4843" s="45">
        <v>1.9178994190699478E-2</v>
      </c>
      <c r="K4843" s="45">
        <v>0.25119999999999998</v>
      </c>
      <c r="N4843" s="54"/>
    </row>
    <row r="4844" spans="2:14" x14ac:dyDescent="0.2">
      <c r="B4844">
        <f t="shared" si="205"/>
        <v>4835</v>
      </c>
      <c r="C4844" s="52">
        <f ca="1"/>
        <v>-0.63027512985710765</v>
      </c>
      <c r="D4844" s="52">
        <f ca="1">S0*EXP((μ-0.5*σ*σ)*T+σ*SQRT(T)*$C4844)</f>
        <v>0.54089037400816686</v>
      </c>
      <c r="E4844" s="52">
        <f t="shared" ca="1" si="203"/>
        <v>0</v>
      </c>
      <c r="F4844" s="17">
        <f t="shared" ca="1" si="204"/>
        <v>0</v>
      </c>
      <c r="H4844" s="17">
        <v>4835</v>
      </c>
      <c r="I4844" s="45">
        <v>0.67131127680377845</v>
      </c>
      <c r="J4844" s="45">
        <v>1.9505448810170807E-2</v>
      </c>
      <c r="K4844" s="45">
        <v>0.25559999999999999</v>
      </c>
      <c r="N4844" s="54"/>
    </row>
    <row r="4845" spans="2:14" x14ac:dyDescent="0.2">
      <c r="B4845">
        <f t="shared" si="205"/>
        <v>4836</v>
      </c>
      <c r="C4845" s="52">
        <f ca="1"/>
        <v>0.82444132579454077</v>
      </c>
      <c r="D4845" s="52">
        <f ca="1">S0*EXP((μ-0.5*σ*σ)*T+σ*SQRT(T)*$C4845)</f>
        <v>0.80863492483845034</v>
      </c>
      <c r="E4845" s="52">
        <f t="shared" ca="1" si="203"/>
        <v>0</v>
      </c>
      <c r="F4845" s="17">
        <f t="shared" ca="1" si="204"/>
        <v>0</v>
      </c>
      <c r="H4845" s="17">
        <v>4836</v>
      </c>
      <c r="I4845" s="45">
        <v>0.66991278634800921</v>
      </c>
      <c r="J4845" s="45">
        <v>1.8117090106973405E-2</v>
      </c>
      <c r="K4845" s="45">
        <v>0.24160000000000001</v>
      </c>
      <c r="N4845" s="54"/>
    </row>
    <row r="4846" spans="2:14" x14ac:dyDescent="0.2">
      <c r="B4846">
        <f t="shared" si="205"/>
        <v>4837</v>
      </c>
      <c r="C4846" s="52">
        <f ca="1"/>
        <v>-0.1993308685726182</v>
      </c>
      <c r="D4846" s="52">
        <f ca="1">S0*EXP((μ-0.5*σ*σ)*T+σ*SQRT(T)*$C4846)</f>
        <v>0.60932002821828624</v>
      </c>
      <c r="E4846" s="52">
        <f t="shared" ca="1" si="203"/>
        <v>0</v>
      </c>
      <c r="F4846" s="17">
        <f t="shared" ca="1" si="204"/>
        <v>0</v>
      </c>
      <c r="H4846" s="17">
        <v>4837</v>
      </c>
      <c r="I4846" s="45">
        <v>0.67072924743224349</v>
      </c>
      <c r="J4846" s="45">
        <v>1.8699090392785118E-2</v>
      </c>
      <c r="K4846" s="45">
        <v>0.24099999999999999</v>
      </c>
      <c r="N4846" s="54"/>
    </row>
    <row r="4847" spans="2:14" x14ac:dyDescent="0.2">
      <c r="B4847">
        <f t="shared" si="205"/>
        <v>4838</v>
      </c>
      <c r="C4847" s="52">
        <f ca="1"/>
        <v>1.718635944215174</v>
      </c>
      <c r="D4847" s="52">
        <f ca="1">S0*EXP((μ-0.5*σ*σ)*T+σ*SQRT(T)*$C4847)</f>
        <v>1.0353885164697636</v>
      </c>
      <c r="E4847" s="52">
        <f t="shared" ca="1" si="203"/>
        <v>0</v>
      </c>
      <c r="F4847" s="17">
        <f t="shared" ca="1" si="204"/>
        <v>0</v>
      </c>
      <c r="H4847" s="17">
        <v>4838</v>
      </c>
      <c r="I4847" s="45">
        <v>0.67173562712399215</v>
      </c>
      <c r="J4847" s="45">
        <v>1.9223807593763919E-2</v>
      </c>
      <c r="K4847" s="45">
        <v>0.24640000000000001</v>
      </c>
      <c r="N4847" s="54"/>
    </row>
    <row r="4848" spans="2:14" x14ac:dyDescent="0.2">
      <c r="B4848">
        <f t="shared" si="205"/>
        <v>4839</v>
      </c>
      <c r="C4848" s="52">
        <f ca="1"/>
        <v>-0.62636990864270192</v>
      </c>
      <c r="D4848" s="52">
        <f ca="1">S0*EXP((μ-0.5*σ*σ)*T+σ*SQRT(T)*$C4848)</f>
        <v>0.54147459674163156</v>
      </c>
      <c r="E4848" s="52">
        <f t="shared" ca="1" si="203"/>
        <v>0</v>
      </c>
      <c r="F4848" s="17">
        <f t="shared" ca="1" si="204"/>
        <v>0</v>
      </c>
      <c r="H4848" s="17">
        <v>4839</v>
      </c>
      <c r="I4848" s="45">
        <v>0.67103384682261169</v>
      </c>
      <c r="J4848" s="45">
        <v>1.9054248539591392E-2</v>
      </c>
      <c r="K4848" s="45">
        <v>0.24979999999999999</v>
      </c>
      <c r="N4848" s="54"/>
    </row>
    <row r="4849" spans="2:14" x14ac:dyDescent="0.2">
      <c r="B4849">
        <f t="shared" si="205"/>
        <v>4840</v>
      </c>
      <c r="C4849" s="52">
        <f ca="1"/>
        <v>-0.24183470603836885</v>
      </c>
      <c r="D4849" s="52">
        <f ca="1">S0*EXP((μ-0.5*σ*σ)*T+σ*SQRT(T)*$C4849)</f>
        <v>0.60220275141536583</v>
      </c>
      <c r="E4849" s="52">
        <f t="shared" ca="1" si="203"/>
        <v>0</v>
      </c>
      <c r="F4849" s="17">
        <f t="shared" ca="1" si="204"/>
        <v>0</v>
      </c>
      <c r="H4849" s="17">
        <v>4840</v>
      </c>
      <c r="I4849" s="45">
        <v>0.67193776781420733</v>
      </c>
      <c r="J4849" s="45">
        <v>1.9460318383910311E-2</v>
      </c>
      <c r="K4849" s="45">
        <v>0.25</v>
      </c>
      <c r="N4849" s="54"/>
    </row>
    <row r="4850" spans="2:14" x14ac:dyDescent="0.2">
      <c r="B4850">
        <f t="shared" si="205"/>
        <v>4841</v>
      </c>
      <c r="C4850" s="52">
        <f ca="1"/>
        <v>0.23040745950469912</v>
      </c>
      <c r="D4850" s="52">
        <f ca="1">S0*EXP((μ-0.5*σ*σ)*T+σ*SQRT(T)*$C4850)</f>
        <v>0.68617814015662992</v>
      </c>
      <c r="E4850" s="52">
        <f t="shared" ca="1" si="203"/>
        <v>0</v>
      </c>
      <c r="F4850" s="17">
        <f t="shared" ca="1" si="204"/>
        <v>0</v>
      </c>
      <c r="H4850" s="17">
        <v>4841</v>
      </c>
      <c r="I4850" s="45">
        <v>0.67048502443533498</v>
      </c>
      <c r="J4850" s="45">
        <v>1.8708357106877814E-2</v>
      </c>
      <c r="K4850" s="45">
        <v>0.24660000000000001</v>
      </c>
      <c r="N4850" s="54"/>
    </row>
    <row r="4851" spans="2:14" x14ac:dyDescent="0.2">
      <c r="B4851">
        <f t="shared" si="205"/>
        <v>4842</v>
      </c>
      <c r="C4851" s="52">
        <f ca="1"/>
        <v>0.55529285285379482</v>
      </c>
      <c r="D4851" s="52">
        <f ca="1">S0*EXP((μ-0.5*σ*σ)*T+σ*SQRT(T)*$C4851)</f>
        <v>0.75065500040156319</v>
      </c>
      <c r="E4851" s="52">
        <f t="shared" ca="1" si="203"/>
        <v>0</v>
      </c>
      <c r="F4851" s="17">
        <f t="shared" ca="1" si="204"/>
        <v>0</v>
      </c>
      <c r="H4851" s="17">
        <v>4842</v>
      </c>
      <c r="I4851" s="45">
        <v>0.67004886534014363</v>
      </c>
      <c r="J4851" s="45">
        <v>1.8422166756620798E-2</v>
      </c>
      <c r="K4851" s="45">
        <v>0.24679999999999999</v>
      </c>
      <c r="N4851" s="54"/>
    </row>
    <row r="4852" spans="2:14" x14ac:dyDescent="0.2">
      <c r="B4852">
        <f t="shared" si="205"/>
        <v>4843</v>
      </c>
      <c r="C4852" s="52">
        <f ca="1"/>
        <v>-1.0423036436008837</v>
      </c>
      <c r="D4852" s="52">
        <f ca="1">S0*EXP((μ-0.5*σ*σ)*T+σ*SQRT(T)*$C4852)</f>
        <v>0.48266293118290982</v>
      </c>
      <c r="E4852" s="52">
        <f t="shared" ca="1" si="203"/>
        <v>5.173706881709017E-2</v>
      </c>
      <c r="F4852" s="17">
        <f t="shared" ca="1" si="204"/>
        <v>1</v>
      </c>
      <c r="H4852" s="17">
        <v>4843</v>
      </c>
      <c r="I4852" s="45">
        <v>0.6714843343227862</v>
      </c>
      <c r="J4852" s="45">
        <v>1.9337269401448087E-2</v>
      </c>
      <c r="K4852" s="45">
        <v>0.245</v>
      </c>
      <c r="N4852" s="54"/>
    </row>
    <row r="4853" spans="2:14" x14ac:dyDescent="0.2">
      <c r="B4853">
        <f t="shared" si="205"/>
        <v>4844</v>
      </c>
      <c r="C4853" s="52">
        <f ca="1"/>
        <v>0.72711812250999486</v>
      </c>
      <c r="D4853" s="52">
        <f ca="1">S0*EXP((μ-0.5*σ*σ)*T+σ*SQRT(T)*$C4853)</f>
        <v>0.78717001188442026</v>
      </c>
      <c r="E4853" s="52">
        <f t="shared" ca="1" si="203"/>
        <v>0</v>
      </c>
      <c r="F4853" s="17">
        <f t="shared" ca="1" si="204"/>
        <v>0</v>
      </c>
      <c r="H4853" s="17">
        <v>4844</v>
      </c>
      <c r="I4853" s="45">
        <v>0.67041925254484069</v>
      </c>
      <c r="J4853" s="45">
        <v>1.8263794790893701E-2</v>
      </c>
      <c r="K4853" s="45">
        <v>0.23300000000000001</v>
      </c>
      <c r="N4853" s="54"/>
    </row>
    <row r="4854" spans="2:14" x14ac:dyDescent="0.2">
      <c r="B4854">
        <f t="shared" si="205"/>
        <v>4845</v>
      </c>
      <c r="C4854" s="52">
        <f ca="1"/>
        <v>0.47950754453270006</v>
      </c>
      <c r="D4854" s="52">
        <f ca="1">S0*EXP((μ-0.5*σ*σ)*T+σ*SQRT(T)*$C4854)</f>
        <v>0.73509271641317808</v>
      </c>
      <c r="E4854" s="52">
        <f t="shared" ca="1" si="203"/>
        <v>0</v>
      </c>
      <c r="F4854" s="17">
        <f t="shared" ca="1" si="204"/>
        <v>0</v>
      </c>
      <c r="H4854" s="17">
        <v>4845</v>
      </c>
      <c r="I4854" s="45">
        <v>0.67140403635134804</v>
      </c>
      <c r="J4854" s="45">
        <v>1.9442599155256143E-2</v>
      </c>
      <c r="K4854" s="45">
        <v>0.2482</v>
      </c>
      <c r="N4854" s="54"/>
    </row>
    <row r="4855" spans="2:14" x14ac:dyDescent="0.2">
      <c r="B4855">
        <f t="shared" si="205"/>
        <v>4846</v>
      </c>
      <c r="C4855" s="52">
        <f ca="1"/>
        <v>0.76096663241101048</v>
      </c>
      <c r="D4855" s="52">
        <f ca="1">S0*EXP((μ-0.5*σ*σ)*T+σ*SQRT(T)*$C4855)</f>
        <v>0.79456999299521269</v>
      </c>
      <c r="E4855" s="52">
        <f t="shared" ca="1" si="203"/>
        <v>0</v>
      </c>
      <c r="F4855" s="17">
        <f t="shared" ca="1" si="204"/>
        <v>0</v>
      </c>
      <c r="H4855" s="17">
        <v>4846</v>
      </c>
      <c r="I4855" s="45">
        <v>0.67117958881340711</v>
      </c>
      <c r="J4855" s="45">
        <v>1.9128566868078119E-2</v>
      </c>
      <c r="K4855" s="45">
        <v>0.24740000000000001</v>
      </c>
      <c r="N4855" s="54"/>
    </row>
    <row r="4856" spans="2:14" x14ac:dyDescent="0.2">
      <c r="B4856">
        <f t="shared" si="205"/>
        <v>4847</v>
      </c>
      <c r="C4856" s="52">
        <f ca="1"/>
        <v>1.091014397435546</v>
      </c>
      <c r="D4856" s="52">
        <f ca="1">S0*EXP((μ-0.5*σ*σ)*T+σ*SQRT(T)*$C4856)</f>
        <v>0.87047323505670871</v>
      </c>
      <c r="E4856" s="52">
        <f t="shared" ca="1" si="203"/>
        <v>0</v>
      </c>
      <c r="F4856" s="17">
        <f t="shared" ca="1" si="204"/>
        <v>0</v>
      </c>
      <c r="H4856" s="17">
        <v>4847</v>
      </c>
      <c r="I4856" s="45">
        <v>0.67187801171900718</v>
      </c>
      <c r="J4856" s="45">
        <v>1.9558541966398623E-2</v>
      </c>
      <c r="K4856" s="45">
        <v>0.25580000000000003</v>
      </c>
      <c r="N4856" s="54"/>
    </row>
    <row r="4857" spans="2:14" x14ac:dyDescent="0.2">
      <c r="B4857">
        <f t="shared" si="205"/>
        <v>4848</v>
      </c>
      <c r="C4857" s="52">
        <f ca="1"/>
        <v>1.5730498319907642</v>
      </c>
      <c r="D4857" s="52">
        <f ca="1">S0*EXP((μ-0.5*σ*σ)*T+σ*SQRT(T)*$C4857)</f>
        <v>0.99454692195484673</v>
      </c>
      <c r="E4857" s="52">
        <f t="shared" ca="1" si="203"/>
        <v>0</v>
      </c>
      <c r="F4857" s="17">
        <f t="shared" ca="1" si="204"/>
        <v>0</v>
      </c>
      <c r="H4857" s="17">
        <v>4848</v>
      </c>
      <c r="I4857" s="45">
        <v>0.67119132144204341</v>
      </c>
      <c r="J4857" s="45">
        <v>1.9037879629805361E-2</v>
      </c>
      <c r="K4857" s="45">
        <v>0.24740000000000001</v>
      </c>
      <c r="N4857" s="54"/>
    </row>
    <row r="4858" spans="2:14" x14ac:dyDescent="0.2">
      <c r="B4858">
        <f t="shared" si="205"/>
        <v>4849</v>
      </c>
      <c r="C4858" s="52">
        <f ca="1"/>
        <v>-0.19916444918946422</v>
      </c>
      <c r="D4858" s="52">
        <f ca="1">S0*EXP((μ-0.5*σ*σ)*T+σ*SQRT(T)*$C4858)</f>
        <v>0.60934805985608564</v>
      </c>
      <c r="E4858" s="52">
        <f t="shared" ca="1" si="203"/>
        <v>0</v>
      </c>
      <c r="F4858" s="17">
        <f t="shared" ca="1" si="204"/>
        <v>0</v>
      </c>
      <c r="H4858" s="17">
        <v>4849</v>
      </c>
      <c r="I4858" s="45">
        <v>0.67225755774247586</v>
      </c>
      <c r="J4858" s="45">
        <v>1.9954171081569032E-2</v>
      </c>
      <c r="K4858" s="45">
        <v>0.24740000000000001</v>
      </c>
      <c r="N4858" s="54"/>
    </row>
    <row r="4859" spans="2:14" x14ac:dyDescent="0.2">
      <c r="B4859">
        <f t="shared" si="205"/>
        <v>4850</v>
      </c>
      <c r="C4859" s="52">
        <f ca="1"/>
        <v>-1.184915849304319</v>
      </c>
      <c r="D4859" s="52">
        <f ca="1">S0*EXP((μ-0.5*σ*σ)*T+σ*SQRT(T)*$C4859)</f>
        <v>0.46400526288115651</v>
      </c>
      <c r="E4859" s="52">
        <f t="shared" ca="1" si="203"/>
        <v>7.0394737118843476E-2</v>
      </c>
      <c r="F4859" s="17">
        <f t="shared" ca="1" si="204"/>
        <v>1</v>
      </c>
      <c r="H4859" s="17">
        <v>4850</v>
      </c>
      <c r="I4859" s="45">
        <v>0.67140967990909561</v>
      </c>
      <c r="J4859" s="45">
        <v>1.9187842902719653E-2</v>
      </c>
      <c r="K4859" s="45">
        <v>0.24440000000000001</v>
      </c>
      <c r="N4859" s="54"/>
    </row>
    <row r="4860" spans="2:14" x14ac:dyDescent="0.2">
      <c r="B4860">
        <f t="shared" si="205"/>
        <v>4851</v>
      </c>
      <c r="C4860" s="52">
        <f ca="1"/>
        <v>-0.29814226373984826</v>
      </c>
      <c r="D4860" s="52">
        <f ca="1">S0*EXP((μ-0.5*σ*σ)*T+σ*SQRT(T)*$C4860)</f>
        <v>0.59290189407360239</v>
      </c>
      <c r="E4860" s="52">
        <f t="shared" ca="1" si="203"/>
        <v>0</v>
      </c>
      <c r="F4860" s="17">
        <f t="shared" ca="1" si="204"/>
        <v>0</v>
      </c>
      <c r="H4860" s="17">
        <v>4851</v>
      </c>
      <c r="I4860" s="45">
        <v>0.67011529876546527</v>
      </c>
      <c r="J4860" s="45">
        <v>1.8177533322711863E-2</v>
      </c>
      <c r="K4860" s="45">
        <v>0.23680000000000001</v>
      </c>
      <c r="N4860" s="54"/>
    </row>
    <row r="4861" spans="2:14" x14ac:dyDescent="0.2">
      <c r="B4861">
        <f t="shared" si="205"/>
        <v>4852</v>
      </c>
      <c r="C4861" s="52">
        <f ca="1"/>
        <v>0.86609168144216131</v>
      </c>
      <c r="D4861" s="52">
        <f ca="1">S0*EXP((μ-0.5*σ*σ)*T+σ*SQRT(T)*$C4861)</f>
        <v>0.81799895614040141</v>
      </c>
      <c r="E4861" s="52">
        <f t="shared" ca="1" si="203"/>
        <v>0</v>
      </c>
      <c r="F4861" s="17">
        <f t="shared" ca="1" si="204"/>
        <v>0</v>
      </c>
      <c r="H4861" s="17">
        <v>4852</v>
      </c>
      <c r="I4861" s="45">
        <v>0.67037284713140166</v>
      </c>
      <c r="J4861" s="45">
        <v>1.8396344119394763E-2</v>
      </c>
      <c r="K4861" s="45">
        <v>0.23960000000000001</v>
      </c>
      <c r="N4861" s="54"/>
    </row>
    <row r="4862" spans="2:14" x14ac:dyDescent="0.2">
      <c r="B4862">
        <f t="shared" si="205"/>
        <v>4853</v>
      </c>
      <c r="C4862" s="52">
        <f ca="1"/>
        <v>-1.1995013828698513</v>
      </c>
      <c r="D4862" s="52">
        <f ca="1">S0*EXP((μ-0.5*σ*σ)*T+σ*SQRT(T)*$C4862)</f>
        <v>0.46213819922917743</v>
      </c>
      <c r="E4862" s="52">
        <f t="shared" ca="1" si="203"/>
        <v>7.226180077082256E-2</v>
      </c>
      <c r="F4862" s="17">
        <f t="shared" ca="1" si="204"/>
        <v>1</v>
      </c>
      <c r="H4862" s="17">
        <v>4853</v>
      </c>
      <c r="I4862" s="45">
        <v>0.67141422238043735</v>
      </c>
      <c r="J4862" s="45">
        <v>1.903962782076718E-2</v>
      </c>
      <c r="K4862" s="45">
        <v>0.245</v>
      </c>
      <c r="N4862" s="54"/>
    </row>
    <row r="4863" spans="2:14" x14ac:dyDescent="0.2">
      <c r="B4863">
        <f t="shared" si="205"/>
        <v>4854</v>
      </c>
      <c r="C4863" s="52">
        <f ca="1"/>
        <v>-0.22297888936830806</v>
      </c>
      <c r="D4863" s="52">
        <f ca="1">S0*EXP((μ-0.5*σ*σ)*T+σ*SQRT(T)*$C4863)</f>
        <v>0.60534984418884319</v>
      </c>
      <c r="E4863" s="52">
        <f t="shared" ca="1" si="203"/>
        <v>0</v>
      </c>
      <c r="F4863" s="17">
        <f t="shared" ca="1" si="204"/>
        <v>0</v>
      </c>
      <c r="H4863" s="17">
        <v>4854</v>
      </c>
      <c r="I4863" s="45">
        <v>0.67086414288782736</v>
      </c>
      <c r="J4863" s="45">
        <v>1.8765299525429387E-2</v>
      </c>
      <c r="K4863" s="45">
        <v>0.24299999999999999</v>
      </c>
      <c r="N4863" s="54"/>
    </row>
    <row r="4864" spans="2:14" x14ac:dyDescent="0.2">
      <c r="B4864">
        <f t="shared" si="205"/>
        <v>4855</v>
      </c>
      <c r="C4864" s="52">
        <f ca="1"/>
        <v>-0.93112366094756127</v>
      </c>
      <c r="D4864" s="52">
        <f ca="1">S0*EXP((μ-0.5*σ*σ)*T+σ*SQRT(T)*$C4864)</f>
        <v>0.4977272852201286</v>
      </c>
      <c r="E4864" s="52">
        <f t="shared" ca="1" si="203"/>
        <v>3.6672714779871385E-2</v>
      </c>
      <c r="F4864" s="17">
        <f t="shared" ca="1" si="204"/>
        <v>1</v>
      </c>
      <c r="H4864" s="17">
        <v>4855</v>
      </c>
      <c r="I4864" s="45">
        <v>0.67157419528611872</v>
      </c>
      <c r="J4864" s="45">
        <v>1.9660240200988811E-2</v>
      </c>
      <c r="K4864" s="45">
        <v>0.2472</v>
      </c>
      <c r="N4864" s="54"/>
    </row>
    <row r="4865" spans="2:14" x14ac:dyDescent="0.2">
      <c r="B4865">
        <f t="shared" si="205"/>
        <v>4856</v>
      </c>
      <c r="C4865" s="52">
        <f ca="1"/>
        <v>-0.51666618376346751</v>
      </c>
      <c r="D4865" s="52">
        <f ca="1">S0*EXP((μ-0.5*σ*σ)*T+σ*SQRT(T)*$C4865)</f>
        <v>0.55814669881827828</v>
      </c>
      <c r="E4865" s="52">
        <f t="shared" ca="1" si="203"/>
        <v>0</v>
      </c>
      <c r="F4865" s="17">
        <f t="shared" ca="1" si="204"/>
        <v>0</v>
      </c>
      <c r="H4865" s="17">
        <v>4856</v>
      </c>
      <c r="I4865" s="45">
        <v>0.67039090613508756</v>
      </c>
      <c r="J4865" s="45">
        <v>1.8496913287764108E-2</v>
      </c>
      <c r="K4865" s="45">
        <v>0.24279999999999999</v>
      </c>
      <c r="N4865" s="54"/>
    </row>
    <row r="4866" spans="2:14" x14ac:dyDescent="0.2">
      <c r="B4866">
        <f t="shared" si="205"/>
        <v>4857</v>
      </c>
      <c r="C4866" s="52">
        <f ca="1"/>
        <v>0.15539147077915852</v>
      </c>
      <c r="D4866" s="52">
        <f ca="1">S0*EXP((μ-0.5*σ*σ)*T+σ*SQRT(T)*$C4866)</f>
        <v>0.67209548100896377</v>
      </c>
      <c r="E4866" s="52">
        <f t="shared" ca="1" si="203"/>
        <v>0</v>
      </c>
      <c r="F4866" s="17">
        <f t="shared" ca="1" si="204"/>
        <v>0</v>
      </c>
      <c r="H4866" s="17">
        <v>4857</v>
      </c>
      <c r="I4866" s="45">
        <v>0.67088943532295886</v>
      </c>
      <c r="J4866" s="45">
        <v>1.8819700387952786E-2</v>
      </c>
      <c r="K4866" s="45">
        <v>0.2452</v>
      </c>
      <c r="N4866" s="54"/>
    </row>
    <row r="4867" spans="2:14" x14ac:dyDescent="0.2">
      <c r="B4867">
        <f t="shared" si="205"/>
        <v>4858</v>
      </c>
      <c r="C4867" s="52">
        <f ca="1"/>
        <v>7.0458189328546431E-3</v>
      </c>
      <c r="D4867" s="52">
        <f ca="1">S0*EXP((μ-0.5*σ*σ)*T+σ*SQRT(T)*$C4867)</f>
        <v>0.64509194300530825</v>
      </c>
      <c r="E4867" s="52">
        <f t="shared" ca="1" si="203"/>
        <v>0</v>
      </c>
      <c r="F4867" s="17">
        <f t="shared" ca="1" si="204"/>
        <v>0</v>
      </c>
      <c r="H4867" s="17">
        <v>4858</v>
      </c>
      <c r="I4867" s="45">
        <v>0.67039760721178954</v>
      </c>
      <c r="J4867" s="45">
        <v>1.8480111237374565E-2</v>
      </c>
      <c r="K4867" s="45">
        <v>0.2472</v>
      </c>
      <c r="N4867" s="54"/>
    </row>
    <row r="4868" spans="2:14" x14ac:dyDescent="0.2">
      <c r="B4868">
        <f t="shared" si="205"/>
        <v>4859</v>
      </c>
      <c r="C4868" s="52">
        <f ca="1"/>
        <v>-0.64152124170802627</v>
      </c>
      <c r="D4868" s="52">
        <f ca="1">S0*EXP((μ-0.5*σ*σ)*T+σ*SQRT(T)*$C4868)</f>
        <v>0.53921146993591107</v>
      </c>
      <c r="E4868" s="52">
        <f t="shared" ca="1" si="203"/>
        <v>0</v>
      </c>
      <c r="F4868" s="17">
        <f t="shared" ca="1" si="204"/>
        <v>0</v>
      </c>
      <c r="H4868" s="17">
        <v>4859</v>
      </c>
      <c r="I4868" s="45">
        <v>0.67141071431950305</v>
      </c>
      <c r="J4868" s="45">
        <v>1.94608140334416E-2</v>
      </c>
      <c r="K4868" s="45">
        <v>0.25140000000000001</v>
      </c>
      <c r="N4868" s="54"/>
    </row>
    <row r="4869" spans="2:14" x14ac:dyDescent="0.2">
      <c r="B4869">
        <f t="shared" si="205"/>
        <v>4860</v>
      </c>
      <c r="C4869" s="52">
        <f ca="1"/>
        <v>0.4319247115554346</v>
      </c>
      <c r="D4869" s="52">
        <f ca="1">S0*EXP((μ-0.5*σ*σ)*T+σ*SQRT(T)*$C4869)</f>
        <v>0.72548702934919029</v>
      </c>
      <c r="E4869" s="52">
        <f t="shared" ca="1" si="203"/>
        <v>0</v>
      </c>
      <c r="F4869" s="17">
        <f t="shared" ca="1" si="204"/>
        <v>0</v>
      </c>
      <c r="H4869" s="17">
        <v>4860</v>
      </c>
      <c r="I4869" s="45">
        <v>0.67110037838176073</v>
      </c>
      <c r="J4869" s="45">
        <v>1.8645353964887392E-2</v>
      </c>
      <c r="K4869" s="45">
        <v>0.24299999999999999</v>
      </c>
      <c r="N4869" s="54"/>
    </row>
    <row r="4870" spans="2:14" x14ac:dyDescent="0.2">
      <c r="B4870">
        <f t="shared" si="205"/>
        <v>4861</v>
      </c>
      <c r="C4870" s="52">
        <f ca="1"/>
        <v>-6.0839067041578813E-2</v>
      </c>
      <c r="D4870" s="52">
        <f ca="1">S0*EXP((μ-0.5*σ*σ)*T+σ*SQRT(T)*$C4870)</f>
        <v>0.63309928887527356</v>
      </c>
      <c r="E4870" s="52">
        <f t="shared" ca="1" si="203"/>
        <v>0</v>
      </c>
      <c r="F4870" s="17">
        <f t="shared" ca="1" si="204"/>
        <v>0</v>
      </c>
      <c r="H4870" s="17">
        <v>4861</v>
      </c>
      <c r="I4870" s="45">
        <v>0.6701747481858511</v>
      </c>
      <c r="J4870" s="45">
        <v>1.8165215020357287E-2</v>
      </c>
      <c r="K4870" s="45">
        <v>0.23899999999999999</v>
      </c>
      <c r="N4870" s="54"/>
    </row>
    <row r="4871" spans="2:14" x14ac:dyDescent="0.2">
      <c r="B4871">
        <f t="shared" si="205"/>
        <v>4862</v>
      </c>
      <c r="C4871" s="52">
        <f ca="1"/>
        <v>7.7198792043071868E-2</v>
      </c>
      <c r="D4871" s="52">
        <f ca="1">S0*EXP((μ-0.5*σ*σ)*T+σ*SQRT(T)*$C4871)</f>
        <v>0.65772401719328932</v>
      </c>
      <c r="E4871" s="52">
        <f t="shared" ca="1" si="203"/>
        <v>0</v>
      </c>
      <c r="F4871" s="17">
        <f t="shared" ca="1" si="204"/>
        <v>0</v>
      </c>
      <c r="H4871" s="17">
        <v>4862</v>
      </c>
      <c r="I4871" s="45">
        <v>0.67057634803629329</v>
      </c>
      <c r="J4871" s="45">
        <v>1.8666236604250316E-2</v>
      </c>
      <c r="K4871" s="45">
        <v>0.2414</v>
      </c>
      <c r="N4871" s="54"/>
    </row>
    <row r="4872" spans="2:14" x14ac:dyDescent="0.2">
      <c r="B4872">
        <f t="shared" si="205"/>
        <v>4863</v>
      </c>
      <c r="C4872" s="52">
        <f ca="1"/>
        <v>7.8002407806466847E-2</v>
      </c>
      <c r="D4872" s="52">
        <f ca="1">S0*EXP((μ-0.5*σ*σ)*T+σ*SQRT(T)*$C4872)</f>
        <v>0.65787014387046283</v>
      </c>
      <c r="E4872" s="52">
        <f t="shared" ca="1" si="203"/>
        <v>0</v>
      </c>
      <c r="F4872" s="17">
        <f t="shared" ca="1" si="204"/>
        <v>0</v>
      </c>
      <c r="H4872" s="17">
        <v>4863</v>
      </c>
      <c r="I4872" s="45">
        <v>0.67141627153416339</v>
      </c>
      <c r="J4872" s="45">
        <v>1.9392134603167185E-2</v>
      </c>
      <c r="K4872" s="45">
        <v>0.247</v>
      </c>
      <c r="N4872" s="54"/>
    </row>
    <row r="4873" spans="2:14" x14ac:dyDescent="0.2">
      <c r="B4873">
        <f t="shared" si="205"/>
        <v>4864</v>
      </c>
      <c r="C4873" s="52">
        <f ca="1"/>
        <v>0.38819266732445784</v>
      </c>
      <c r="D4873" s="52">
        <f ca="1">S0*EXP((μ-0.5*σ*σ)*T+σ*SQRT(T)*$C4873)</f>
        <v>0.71676944590086256</v>
      </c>
      <c r="E4873" s="52">
        <f t="shared" ca="1" si="203"/>
        <v>0</v>
      </c>
      <c r="F4873" s="17">
        <f t="shared" ca="1" si="204"/>
        <v>0</v>
      </c>
      <c r="H4873" s="17">
        <v>4864</v>
      </c>
      <c r="I4873" s="45">
        <v>0.67069849950285321</v>
      </c>
      <c r="J4873" s="45">
        <v>1.8748836691549069E-2</v>
      </c>
      <c r="K4873" s="45">
        <v>0.24440000000000001</v>
      </c>
      <c r="N4873" s="54"/>
    </row>
    <row r="4874" spans="2:14" x14ac:dyDescent="0.2">
      <c r="B4874">
        <f t="shared" si="205"/>
        <v>4865</v>
      </c>
      <c r="C4874" s="52">
        <f ca="1"/>
        <v>-0.34754671534009518</v>
      </c>
      <c r="D4874" s="52">
        <f ca="1">S0*EXP((μ-0.5*σ*σ)*T+σ*SQRT(T)*$C4874)</f>
        <v>0.58485967612743839</v>
      </c>
      <c r="E4874" s="52">
        <f t="shared" ref="E4874:E4937" ca="1" si="206">MAX(0,CP*(D4874-K))</f>
        <v>0</v>
      </c>
      <c r="F4874" s="17">
        <f t="shared" ref="F4874:F4937" ca="1" si="207">(CP*(D4874-K)&gt;0)*1</f>
        <v>0</v>
      </c>
      <c r="H4874" s="17">
        <v>4865</v>
      </c>
      <c r="I4874" s="45">
        <v>0.67047535753912124</v>
      </c>
      <c r="J4874" s="45">
        <v>1.8591547557328884E-2</v>
      </c>
      <c r="K4874" s="45">
        <v>0.24260000000000001</v>
      </c>
      <c r="N4874" s="54"/>
    </row>
    <row r="4875" spans="2:14" x14ac:dyDescent="0.2">
      <c r="B4875">
        <f t="shared" si="205"/>
        <v>4866</v>
      </c>
      <c r="C4875" s="52">
        <f ca="1"/>
        <v>-0.7559989544498058</v>
      </c>
      <c r="D4875" s="52">
        <f ca="1">S0*EXP((μ-0.5*σ*σ)*T+σ*SQRT(T)*$C4875)</f>
        <v>0.52241509325775903</v>
      </c>
      <c r="E4875" s="52">
        <f t="shared" ca="1" si="206"/>
        <v>1.1984906742240953E-2</v>
      </c>
      <c r="F4875" s="17">
        <f t="shared" ca="1" si="207"/>
        <v>1</v>
      </c>
      <c r="H4875" s="17">
        <v>4866</v>
      </c>
      <c r="I4875" s="45">
        <v>0.67156576996910966</v>
      </c>
      <c r="J4875" s="45">
        <v>1.9451955108681595E-2</v>
      </c>
      <c r="K4875" s="45">
        <v>0.25219999999999998</v>
      </c>
      <c r="N4875" s="54"/>
    </row>
    <row r="4876" spans="2:14" x14ac:dyDescent="0.2">
      <c r="B4876">
        <f t="shared" si="205"/>
        <v>4867</v>
      </c>
      <c r="C4876" s="52">
        <f ca="1"/>
        <v>0.47250322674624101</v>
      </c>
      <c r="D4876" s="52">
        <f ca="1">S0*EXP((μ-0.5*σ*σ)*T+σ*SQRT(T)*$C4876)</f>
        <v>0.733670791360445</v>
      </c>
      <c r="E4876" s="52">
        <f t="shared" ca="1" si="206"/>
        <v>0</v>
      </c>
      <c r="F4876" s="17">
        <f t="shared" ca="1" si="207"/>
        <v>0</v>
      </c>
      <c r="H4876" s="17">
        <v>4867</v>
      </c>
      <c r="I4876" s="45">
        <v>0.67207902902619243</v>
      </c>
      <c r="J4876" s="45">
        <v>1.9955926933541437E-2</v>
      </c>
      <c r="K4876" s="45">
        <v>0.26040000000000002</v>
      </c>
      <c r="N4876" s="54"/>
    </row>
    <row r="4877" spans="2:14" x14ac:dyDescent="0.2">
      <c r="B4877">
        <f t="shared" si="205"/>
        <v>4868</v>
      </c>
      <c r="C4877" s="52">
        <f ca="1"/>
        <v>-0.71735727296736485</v>
      </c>
      <c r="D4877" s="52">
        <f ca="1">S0*EXP((μ-0.5*σ*σ)*T+σ*SQRT(T)*$C4877)</f>
        <v>0.52802534624765218</v>
      </c>
      <c r="E4877" s="52">
        <f t="shared" ca="1" si="206"/>
        <v>6.3746537523478031E-3</v>
      </c>
      <c r="F4877" s="17">
        <f t="shared" ca="1" si="207"/>
        <v>1</v>
      </c>
      <c r="H4877" s="17">
        <v>4868</v>
      </c>
      <c r="I4877" s="45">
        <v>0.67200491863787415</v>
      </c>
      <c r="J4877" s="45">
        <v>1.9529676083242301E-2</v>
      </c>
      <c r="K4877" s="45">
        <v>0.246</v>
      </c>
      <c r="N4877" s="54"/>
    </row>
    <row r="4878" spans="2:14" x14ac:dyDescent="0.2">
      <c r="B4878">
        <f t="shared" si="205"/>
        <v>4869</v>
      </c>
      <c r="C4878" s="52">
        <f ca="1"/>
        <v>0.31623764036117152</v>
      </c>
      <c r="D4878" s="52">
        <f ca="1">S0*EXP((μ-0.5*σ*σ)*T+σ*SQRT(T)*$C4878)</f>
        <v>0.70265324947039698</v>
      </c>
      <c r="E4878" s="52">
        <f t="shared" ca="1" si="206"/>
        <v>0</v>
      </c>
      <c r="F4878" s="17">
        <f t="shared" ca="1" si="207"/>
        <v>0</v>
      </c>
      <c r="H4878" s="17">
        <v>4869</v>
      </c>
      <c r="I4878" s="45">
        <v>0.67077836924836332</v>
      </c>
      <c r="J4878" s="45">
        <v>1.886671086434729E-2</v>
      </c>
      <c r="K4878" s="45">
        <v>0.24479999999999999</v>
      </c>
      <c r="N4878" s="54"/>
    </row>
    <row r="4879" spans="2:14" x14ac:dyDescent="0.2">
      <c r="B4879">
        <f t="shared" si="205"/>
        <v>4870</v>
      </c>
      <c r="C4879" s="52">
        <f ca="1"/>
        <v>-0.29993634329516711</v>
      </c>
      <c r="D4879" s="52">
        <f ca="1">S0*EXP((μ-0.5*σ*σ)*T+σ*SQRT(T)*$C4879)</f>
        <v>0.59260792207242652</v>
      </c>
      <c r="E4879" s="52">
        <f t="shared" ca="1" si="206"/>
        <v>0</v>
      </c>
      <c r="F4879" s="17">
        <f t="shared" ca="1" si="207"/>
        <v>0</v>
      </c>
      <c r="H4879" s="17">
        <v>4870</v>
      </c>
      <c r="I4879" s="45">
        <v>0.66989512481948688</v>
      </c>
      <c r="J4879" s="45">
        <v>1.8209984906051871E-2</v>
      </c>
      <c r="K4879" s="45">
        <v>0.24260000000000001</v>
      </c>
      <c r="N4879" s="54"/>
    </row>
    <row r="4880" spans="2:14" x14ac:dyDescent="0.2">
      <c r="B4880">
        <f t="shared" si="205"/>
        <v>4871</v>
      </c>
      <c r="C4880" s="52">
        <f ca="1"/>
        <v>1.1798015886791307</v>
      </c>
      <c r="D4880" s="52">
        <f ca="1">S0*EXP((μ-0.5*σ*σ)*T+σ*SQRT(T)*$C4880)</f>
        <v>0.89210218081389281</v>
      </c>
      <c r="E4880" s="52">
        <f t="shared" ca="1" si="206"/>
        <v>0</v>
      </c>
      <c r="F4880" s="17">
        <f t="shared" ca="1" si="207"/>
        <v>0</v>
      </c>
      <c r="H4880" s="17">
        <v>4871</v>
      </c>
      <c r="I4880" s="45">
        <v>0.67108206297187667</v>
      </c>
      <c r="J4880" s="45">
        <v>1.9211783106764628E-2</v>
      </c>
      <c r="K4880" s="45">
        <v>0.24859999999999999</v>
      </c>
      <c r="N4880" s="54"/>
    </row>
    <row r="4881" spans="2:14" x14ac:dyDescent="0.2">
      <c r="B4881">
        <f t="shared" si="205"/>
        <v>4872</v>
      </c>
      <c r="C4881" s="52">
        <f ca="1"/>
        <v>-0.30226712624712426</v>
      </c>
      <c r="D4881" s="52">
        <f ca="1">S0*EXP((μ-0.5*σ*σ)*T+σ*SQRT(T)*$C4881)</f>
        <v>0.59222622528361857</v>
      </c>
      <c r="E4881" s="52">
        <f t="shared" ca="1" si="206"/>
        <v>0</v>
      </c>
      <c r="F4881" s="17">
        <f t="shared" ca="1" si="207"/>
        <v>0</v>
      </c>
      <c r="H4881" s="17">
        <v>4872</v>
      </c>
      <c r="I4881" s="45">
        <v>0.67026867369095022</v>
      </c>
      <c r="J4881" s="45">
        <v>1.8362792450169304E-2</v>
      </c>
      <c r="K4881" s="45">
        <v>0.2394</v>
      </c>
      <c r="N4881" s="54"/>
    </row>
    <row r="4882" spans="2:14" x14ac:dyDescent="0.2">
      <c r="B4882">
        <f t="shared" si="205"/>
        <v>4873</v>
      </c>
      <c r="C4882" s="52">
        <f ca="1"/>
        <v>-1.044908681196677</v>
      </c>
      <c r="D4882" s="52">
        <f ca="1">S0*EXP((μ-0.5*σ*σ)*T+σ*SQRT(T)*$C4882)</f>
        <v>0.48231548247479439</v>
      </c>
      <c r="E4882" s="52">
        <f t="shared" ca="1" si="206"/>
        <v>5.2084517525205598E-2</v>
      </c>
      <c r="F4882" s="17">
        <f t="shared" ca="1" si="207"/>
        <v>1</v>
      </c>
      <c r="H4882" s="17">
        <v>4873</v>
      </c>
      <c r="I4882" s="45">
        <v>0.67057511785058432</v>
      </c>
      <c r="J4882" s="45">
        <v>1.8827194638085697E-2</v>
      </c>
      <c r="K4882" s="45">
        <v>0.2462</v>
      </c>
      <c r="N4882" s="54"/>
    </row>
    <row r="4883" spans="2:14" x14ac:dyDescent="0.2">
      <c r="B4883">
        <f t="shared" si="205"/>
        <v>4874</v>
      </c>
      <c r="C4883" s="52">
        <f ca="1"/>
        <v>1.0716341761917907</v>
      </c>
      <c r="D4883" s="52">
        <f ca="1">S0*EXP((μ-0.5*σ*σ)*T+σ*SQRT(T)*$C4883)</f>
        <v>0.86582229795709054</v>
      </c>
      <c r="E4883" s="52">
        <f t="shared" ca="1" si="206"/>
        <v>0</v>
      </c>
      <c r="F4883" s="17">
        <f t="shared" ca="1" si="207"/>
        <v>0</v>
      </c>
      <c r="H4883" s="17">
        <v>4874</v>
      </c>
      <c r="I4883" s="45">
        <v>0.67043895329418413</v>
      </c>
      <c r="J4883" s="45">
        <v>1.8390769451028185E-2</v>
      </c>
      <c r="K4883" s="45">
        <v>0.24179999999999999</v>
      </c>
      <c r="N4883" s="54"/>
    </row>
    <row r="4884" spans="2:14" x14ac:dyDescent="0.2">
      <c r="B4884">
        <f t="shared" si="205"/>
        <v>4875</v>
      </c>
      <c r="C4884" s="52">
        <f ca="1"/>
        <v>0.30683533376913824</v>
      </c>
      <c r="D4884" s="52">
        <f ca="1">S0*EXP((μ-0.5*σ*σ)*T+σ*SQRT(T)*$C4884)</f>
        <v>0.70082935240875721</v>
      </c>
      <c r="E4884" s="52">
        <f t="shared" ca="1" si="206"/>
        <v>0</v>
      </c>
      <c r="F4884" s="17">
        <f t="shared" ca="1" si="207"/>
        <v>0</v>
      </c>
      <c r="H4884" s="17">
        <v>4875</v>
      </c>
      <c r="I4884" s="45">
        <v>0.67092123761262046</v>
      </c>
      <c r="J4884" s="45">
        <v>1.918780271380284E-2</v>
      </c>
      <c r="K4884" s="45">
        <v>0.2442</v>
      </c>
      <c r="N4884" s="54"/>
    </row>
    <row r="4885" spans="2:14" x14ac:dyDescent="0.2">
      <c r="B4885">
        <f t="shared" si="205"/>
        <v>4876</v>
      </c>
      <c r="C4885" s="52">
        <f ca="1"/>
        <v>1.2259132912548945</v>
      </c>
      <c r="D4885" s="52">
        <f ca="1">S0*EXP((μ-0.5*σ*σ)*T+σ*SQRT(T)*$C4885)</f>
        <v>0.90354638895066308</v>
      </c>
      <c r="E4885" s="52">
        <f t="shared" ca="1" si="206"/>
        <v>0</v>
      </c>
      <c r="F4885" s="17">
        <f t="shared" ca="1" si="207"/>
        <v>0</v>
      </c>
      <c r="H4885" s="17">
        <v>4876</v>
      </c>
      <c r="I4885" s="45">
        <v>0.67112572310361263</v>
      </c>
      <c r="J4885" s="45">
        <v>1.9029569788757094E-2</v>
      </c>
      <c r="K4885" s="45">
        <v>0.24740000000000001</v>
      </c>
      <c r="N4885" s="54"/>
    </row>
    <row r="4886" spans="2:14" x14ac:dyDescent="0.2">
      <c r="B4886">
        <f t="shared" si="205"/>
        <v>4877</v>
      </c>
      <c r="C4886" s="52">
        <f ca="1"/>
        <v>-0.79346477850664565</v>
      </c>
      <c r="D4886" s="52">
        <f ca="1">S0*EXP((μ-0.5*σ*σ)*T+σ*SQRT(T)*$C4886)</f>
        <v>0.51703248066015139</v>
      </c>
      <c r="E4886" s="52">
        <f t="shared" ca="1" si="206"/>
        <v>1.7367519339848592E-2</v>
      </c>
      <c r="F4886" s="17">
        <f t="shared" ca="1" si="207"/>
        <v>1</v>
      </c>
      <c r="H4886" s="17">
        <v>4877</v>
      </c>
      <c r="I4886" s="45">
        <v>0.67105915075594302</v>
      </c>
      <c r="J4886" s="45">
        <v>1.9079794252062826E-2</v>
      </c>
      <c r="K4886" s="45">
        <v>0.24940000000000001</v>
      </c>
      <c r="N4886" s="54"/>
    </row>
    <row r="4887" spans="2:14" x14ac:dyDescent="0.2">
      <c r="B4887">
        <f t="shared" si="205"/>
        <v>4878</v>
      </c>
      <c r="C4887" s="52">
        <f ca="1"/>
        <v>-0.24290968036547056</v>
      </c>
      <c r="D4887" s="52">
        <f ca="1">S0*EXP((μ-0.5*σ*σ)*T+σ*SQRT(T)*$C4887)</f>
        <v>0.60202382872314675</v>
      </c>
      <c r="E4887" s="52">
        <f t="shared" ca="1" si="206"/>
        <v>0</v>
      </c>
      <c r="F4887" s="17">
        <f t="shared" ca="1" si="207"/>
        <v>0</v>
      </c>
      <c r="H4887" s="17">
        <v>4878</v>
      </c>
      <c r="I4887" s="45">
        <v>0.67152388205258073</v>
      </c>
      <c r="J4887" s="45">
        <v>1.9357284946840927E-2</v>
      </c>
      <c r="K4887" s="45">
        <v>0.24779999999999999</v>
      </c>
      <c r="N4887" s="54"/>
    </row>
    <row r="4888" spans="2:14" x14ac:dyDescent="0.2">
      <c r="B4888">
        <f t="shared" si="205"/>
        <v>4879</v>
      </c>
      <c r="C4888" s="52">
        <f ca="1"/>
        <v>-0.21296301725114172</v>
      </c>
      <c r="D4888" s="52">
        <f ca="1">S0*EXP((μ-0.5*σ*σ)*T+σ*SQRT(T)*$C4888)</f>
        <v>0.60702820636912502</v>
      </c>
      <c r="E4888" s="52">
        <f t="shared" ca="1" si="206"/>
        <v>0</v>
      </c>
      <c r="F4888" s="17">
        <f t="shared" ca="1" si="207"/>
        <v>0</v>
      </c>
      <c r="H4888" s="17">
        <v>4879</v>
      </c>
      <c r="I4888" s="45">
        <v>0.67096219952073277</v>
      </c>
      <c r="J4888" s="45">
        <v>1.8893876927819974E-2</v>
      </c>
      <c r="K4888" s="45">
        <v>0.24279999999999999</v>
      </c>
      <c r="N4888" s="54"/>
    </row>
    <row r="4889" spans="2:14" x14ac:dyDescent="0.2">
      <c r="B4889">
        <f t="shared" si="205"/>
        <v>4880</v>
      </c>
      <c r="C4889" s="52">
        <f ca="1"/>
        <v>1.1764115319447346E-2</v>
      </c>
      <c r="D4889" s="52">
        <f ca="1">S0*EXP((μ-0.5*σ*σ)*T+σ*SQRT(T)*$C4889)</f>
        <v>0.64593387926115209</v>
      </c>
      <c r="E4889" s="52">
        <f t="shared" ca="1" si="206"/>
        <v>0</v>
      </c>
      <c r="F4889" s="17">
        <f t="shared" ca="1" si="207"/>
        <v>0</v>
      </c>
      <c r="H4889" s="17">
        <v>4880</v>
      </c>
      <c r="I4889" s="45">
        <v>0.67121152211573121</v>
      </c>
      <c r="J4889" s="45">
        <v>1.896890635810522E-2</v>
      </c>
      <c r="K4889" s="45">
        <v>0.23760000000000001</v>
      </c>
      <c r="N4889" s="54"/>
    </row>
    <row r="4890" spans="2:14" x14ac:dyDescent="0.2">
      <c r="B4890">
        <f t="shared" si="205"/>
        <v>4881</v>
      </c>
      <c r="C4890" s="52">
        <f ca="1"/>
        <v>9.7043333169670828E-2</v>
      </c>
      <c r="D4890" s="52">
        <f ca="1">S0*EXP((μ-0.5*σ*σ)*T+σ*SQRT(T)*$C4890)</f>
        <v>0.66134199274299765</v>
      </c>
      <c r="E4890" s="52">
        <f t="shared" ca="1" si="206"/>
        <v>0</v>
      </c>
      <c r="F4890" s="17">
        <f t="shared" ca="1" si="207"/>
        <v>0</v>
      </c>
      <c r="H4890" s="17">
        <v>4881</v>
      </c>
      <c r="I4890" s="45">
        <v>0.67101040583748228</v>
      </c>
      <c r="J4890" s="45">
        <v>1.9032137437908034E-2</v>
      </c>
      <c r="K4890" s="45">
        <v>0.25080000000000002</v>
      </c>
      <c r="N4890" s="54"/>
    </row>
    <row r="4891" spans="2:14" x14ac:dyDescent="0.2">
      <c r="B4891">
        <f t="shared" si="205"/>
        <v>4882</v>
      </c>
      <c r="C4891" s="52">
        <f ca="1"/>
        <v>-0.48731007599895265</v>
      </c>
      <c r="D4891" s="52">
        <f ca="1">S0*EXP((μ-0.5*σ*σ)*T+σ*SQRT(T)*$C4891)</f>
        <v>0.56269447720481025</v>
      </c>
      <c r="E4891" s="52">
        <f t="shared" ca="1" si="206"/>
        <v>0</v>
      </c>
      <c r="F4891" s="17">
        <f t="shared" ca="1" si="207"/>
        <v>0</v>
      </c>
      <c r="H4891" s="17">
        <v>4882</v>
      </c>
      <c r="I4891" s="45">
        <v>0.6706222137360488</v>
      </c>
      <c r="J4891" s="45">
        <v>1.8805918693147398E-2</v>
      </c>
      <c r="K4891" s="45">
        <v>0.24399999999999999</v>
      </c>
      <c r="N4891" s="54"/>
    </row>
    <row r="4892" spans="2:14" x14ac:dyDescent="0.2">
      <c r="B4892">
        <f t="shared" si="205"/>
        <v>4883</v>
      </c>
      <c r="C4892" s="52">
        <f ca="1"/>
        <v>-1.4340404858775888</v>
      </c>
      <c r="D4892" s="52">
        <f ca="1">S0*EXP((μ-0.5*σ*σ)*T+σ*SQRT(T)*$C4892)</f>
        <v>0.43312646192720594</v>
      </c>
      <c r="E4892" s="52">
        <f t="shared" ca="1" si="206"/>
        <v>0.10127353807279404</v>
      </c>
      <c r="F4892" s="17">
        <f t="shared" ca="1" si="207"/>
        <v>1</v>
      </c>
      <c r="H4892" s="17">
        <v>4883</v>
      </c>
      <c r="I4892" s="45">
        <v>0.67030100016733818</v>
      </c>
      <c r="J4892" s="45">
        <v>1.8799880289939522E-2</v>
      </c>
      <c r="K4892" s="45">
        <v>0.24759999999999999</v>
      </c>
      <c r="N4892" s="54"/>
    </row>
    <row r="4893" spans="2:14" x14ac:dyDescent="0.2">
      <c r="B4893">
        <f t="shared" si="205"/>
        <v>4884</v>
      </c>
      <c r="C4893" s="52">
        <f ca="1"/>
        <v>0.22138233641636601</v>
      </c>
      <c r="D4893" s="52">
        <f ca="1">S0*EXP((μ-0.5*σ*σ)*T+σ*SQRT(T)*$C4893)</f>
        <v>0.68446837091644563</v>
      </c>
      <c r="E4893" s="52">
        <f t="shared" ca="1" si="206"/>
        <v>0</v>
      </c>
      <c r="F4893" s="17">
        <f t="shared" ca="1" si="207"/>
        <v>0</v>
      </c>
      <c r="H4893" s="17">
        <v>4884</v>
      </c>
      <c r="I4893" s="45">
        <v>0.67026095579390366</v>
      </c>
      <c r="J4893" s="45">
        <v>1.879983592257433E-2</v>
      </c>
      <c r="K4893" s="45">
        <v>0.24460000000000001</v>
      </c>
      <c r="N4893" s="54"/>
    </row>
    <row r="4894" spans="2:14" x14ac:dyDescent="0.2">
      <c r="B4894">
        <f t="shared" si="205"/>
        <v>4885</v>
      </c>
      <c r="C4894" s="52">
        <f ca="1"/>
        <v>0.9300710271240058</v>
      </c>
      <c r="D4894" s="52">
        <f ca="1">S0*EXP((μ-0.5*σ*σ)*T+σ*SQRT(T)*$C4894)</f>
        <v>0.83259475216886236</v>
      </c>
      <c r="E4894" s="52">
        <f t="shared" ca="1" si="206"/>
        <v>0</v>
      </c>
      <c r="F4894" s="17">
        <f t="shared" ca="1" si="207"/>
        <v>0</v>
      </c>
      <c r="H4894" s="17">
        <v>4885</v>
      </c>
      <c r="I4894" s="45">
        <v>0.67138349413759901</v>
      </c>
      <c r="J4894" s="45">
        <v>1.9441619552519863E-2</v>
      </c>
      <c r="K4894" s="45">
        <v>0.25159999999999999</v>
      </c>
      <c r="N4894" s="54"/>
    </row>
    <row r="4895" spans="2:14" x14ac:dyDescent="0.2">
      <c r="B4895">
        <f t="shared" si="205"/>
        <v>4886</v>
      </c>
      <c r="C4895" s="52">
        <f ca="1"/>
        <v>-0.11902124531530951</v>
      </c>
      <c r="D4895" s="52">
        <f ca="1">S0*EXP((μ-0.5*σ*σ)*T+σ*SQRT(T)*$C4895)</f>
        <v>0.62299831775740877</v>
      </c>
      <c r="E4895" s="52">
        <f t="shared" ca="1" si="206"/>
        <v>0</v>
      </c>
      <c r="F4895" s="17">
        <f t="shared" ca="1" si="207"/>
        <v>0</v>
      </c>
      <c r="H4895" s="17">
        <v>4886</v>
      </c>
      <c r="I4895" s="45">
        <v>0.6724583682431341</v>
      </c>
      <c r="J4895" s="45">
        <v>1.9922193064518368E-2</v>
      </c>
      <c r="K4895" s="45">
        <v>0.2492</v>
      </c>
      <c r="N4895" s="54"/>
    </row>
    <row r="4896" spans="2:14" x14ac:dyDescent="0.2">
      <c r="B4896">
        <f t="shared" si="205"/>
        <v>4887</v>
      </c>
      <c r="C4896" s="52">
        <f ca="1"/>
        <v>0.13755924164955022</v>
      </c>
      <c r="D4896" s="52">
        <f ca="1">S0*EXP((μ-0.5*σ*σ)*T+σ*SQRT(T)*$C4896)</f>
        <v>0.66879060047235983</v>
      </c>
      <c r="E4896" s="52">
        <f t="shared" ca="1" si="206"/>
        <v>0</v>
      </c>
      <c r="F4896" s="17">
        <f t="shared" ca="1" si="207"/>
        <v>0</v>
      </c>
      <c r="H4896" s="17">
        <v>4887</v>
      </c>
      <c r="I4896" s="45">
        <v>0.67050852991957788</v>
      </c>
      <c r="J4896" s="45">
        <v>1.8583977029552255E-2</v>
      </c>
      <c r="K4896" s="45">
        <v>0.2462</v>
      </c>
      <c r="N4896" s="54"/>
    </row>
    <row r="4897" spans="2:14" x14ac:dyDescent="0.2">
      <c r="B4897">
        <f t="shared" si="205"/>
        <v>4888</v>
      </c>
      <c r="C4897" s="52">
        <f ca="1"/>
        <v>-0.87960146167513387</v>
      </c>
      <c r="D4897" s="52">
        <f ca="1">S0*EXP((μ-0.5*σ*σ)*T+σ*SQRT(T)*$C4897)</f>
        <v>0.50486684336741749</v>
      </c>
      <c r="E4897" s="52">
        <f t="shared" ca="1" si="206"/>
        <v>2.9533156632582491E-2</v>
      </c>
      <c r="F4897" s="17">
        <f t="shared" ca="1" si="207"/>
        <v>1</v>
      </c>
      <c r="H4897" s="17">
        <v>4888</v>
      </c>
      <c r="I4897" s="45">
        <v>0.67138766848407783</v>
      </c>
      <c r="J4897" s="45">
        <v>1.9171335476088059E-2</v>
      </c>
      <c r="K4897" s="45">
        <v>0.24460000000000001</v>
      </c>
      <c r="N4897" s="54"/>
    </row>
    <row r="4898" spans="2:14" x14ac:dyDescent="0.2">
      <c r="B4898">
        <f t="shared" si="205"/>
        <v>4889</v>
      </c>
      <c r="C4898" s="52">
        <f ca="1"/>
        <v>0.41424224533576814</v>
      </c>
      <c r="D4898" s="52">
        <f ca="1">S0*EXP((μ-0.5*σ*σ)*T+σ*SQRT(T)*$C4898)</f>
        <v>0.72194949532173436</v>
      </c>
      <c r="E4898" s="52">
        <f t="shared" ca="1" si="206"/>
        <v>0</v>
      </c>
      <c r="F4898" s="17">
        <f t="shared" ca="1" si="207"/>
        <v>0</v>
      </c>
      <c r="H4898" s="17">
        <v>4889</v>
      </c>
      <c r="I4898" s="45">
        <v>0.67147429491289323</v>
      </c>
      <c r="J4898" s="45">
        <v>1.936538749715783E-2</v>
      </c>
      <c r="K4898" s="45">
        <v>0.25280000000000002</v>
      </c>
      <c r="N4898" s="54"/>
    </row>
    <row r="4899" spans="2:14" x14ac:dyDescent="0.2">
      <c r="B4899">
        <f t="shared" si="205"/>
        <v>4890</v>
      </c>
      <c r="C4899" s="52">
        <f ca="1"/>
        <v>1.0449596726599328</v>
      </c>
      <c r="D4899" s="52">
        <f ca="1">S0*EXP((μ-0.5*σ*σ)*T+σ*SQRT(T)*$C4899)</f>
        <v>0.85946146430052106</v>
      </c>
      <c r="E4899" s="52">
        <f t="shared" ca="1" si="206"/>
        <v>0</v>
      </c>
      <c r="F4899" s="17">
        <f t="shared" ca="1" si="207"/>
        <v>0</v>
      </c>
      <c r="H4899" s="17">
        <v>4890</v>
      </c>
      <c r="I4899" s="45">
        <v>0.6696566617488714</v>
      </c>
      <c r="J4899" s="45">
        <v>1.8099956400262299E-2</v>
      </c>
      <c r="K4899" s="45">
        <v>0.2414</v>
      </c>
      <c r="N4899" s="54"/>
    </row>
    <row r="4900" spans="2:14" x14ac:dyDescent="0.2">
      <c r="B4900">
        <f t="shared" si="205"/>
        <v>4891</v>
      </c>
      <c r="C4900" s="52">
        <f ca="1"/>
        <v>-1.1460684598681041</v>
      </c>
      <c r="D4900" s="52">
        <f ca="1">S0*EXP((μ-0.5*σ*σ)*T+σ*SQRT(T)*$C4900)</f>
        <v>0.46901491800980527</v>
      </c>
      <c r="E4900" s="52">
        <f t="shared" ca="1" si="206"/>
        <v>6.5385081990194716E-2</v>
      </c>
      <c r="F4900" s="17">
        <f t="shared" ca="1" si="207"/>
        <v>1</v>
      </c>
      <c r="H4900" s="17">
        <v>4891</v>
      </c>
      <c r="I4900" s="45">
        <v>0.66957519281627398</v>
      </c>
      <c r="J4900" s="45">
        <v>1.7824786465721814E-2</v>
      </c>
      <c r="K4900" s="45">
        <v>0.2412</v>
      </c>
      <c r="N4900" s="54"/>
    </row>
    <row r="4901" spans="2:14" x14ac:dyDescent="0.2">
      <c r="B4901">
        <f t="shared" si="205"/>
        <v>4892</v>
      </c>
      <c r="C4901" s="52">
        <f ca="1"/>
        <v>1.7677714328353589</v>
      </c>
      <c r="D4901" s="52">
        <f ca="1">S0*EXP((μ-0.5*σ*σ)*T+σ*SQRT(T)*$C4901)</f>
        <v>1.0495477751990365</v>
      </c>
      <c r="E4901" s="52">
        <f t="shared" ca="1" si="206"/>
        <v>0</v>
      </c>
      <c r="F4901" s="17">
        <f t="shared" ca="1" si="207"/>
        <v>0</v>
      </c>
      <c r="H4901" s="17">
        <v>4892</v>
      </c>
      <c r="I4901" s="45">
        <v>0.67104568621941385</v>
      </c>
      <c r="J4901" s="45">
        <v>1.9066284472616869E-2</v>
      </c>
      <c r="K4901" s="45">
        <v>0.2442</v>
      </c>
      <c r="N4901" s="54"/>
    </row>
    <row r="4902" spans="2:14" x14ac:dyDescent="0.2">
      <c r="B4902">
        <f t="shared" si="205"/>
        <v>4893</v>
      </c>
      <c r="C4902" s="52">
        <f ca="1"/>
        <v>-0.74148525090315109</v>
      </c>
      <c r="D4902" s="52">
        <f ca="1">S0*EXP((μ-0.5*σ*σ)*T+σ*SQRT(T)*$C4902)</f>
        <v>0.52451526390650216</v>
      </c>
      <c r="E4902" s="52">
        <f t="shared" ca="1" si="206"/>
        <v>9.8847360934978257E-3</v>
      </c>
      <c r="F4902" s="17">
        <f t="shared" ca="1" si="207"/>
        <v>1</v>
      </c>
      <c r="H4902" s="17">
        <v>4893</v>
      </c>
      <c r="I4902" s="45">
        <v>0.67190909258275244</v>
      </c>
      <c r="J4902" s="45">
        <v>1.9959096225261961E-2</v>
      </c>
      <c r="K4902" s="45">
        <v>0.254</v>
      </c>
      <c r="N4902" s="54"/>
    </row>
    <row r="4903" spans="2:14" x14ac:dyDescent="0.2">
      <c r="B4903">
        <f t="shared" si="205"/>
        <v>4894</v>
      </c>
      <c r="C4903" s="52">
        <f ca="1"/>
        <v>-0.97127283795827912</v>
      </c>
      <c r="D4903" s="52">
        <f ca="1">S0*EXP((μ-0.5*σ*σ)*T+σ*SQRT(T)*$C4903)</f>
        <v>0.49223378140293317</v>
      </c>
      <c r="E4903" s="52">
        <f t="shared" ca="1" si="206"/>
        <v>4.2166218597066818E-2</v>
      </c>
      <c r="F4903" s="17">
        <f t="shared" ca="1" si="207"/>
        <v>1</v>
      </c>
      <c r="H4903" s="17">
        <v>4894</v>
      </c>
      <c r="I4903" s="45">
        <v>0.67017062238461</v>
      </c>
      <c r="J4903" s="45">
        <v>1.8283255170977307E-2</v>
      </c>
      <c r="K4903" s="45">
        <v>0.24</v>
      </c>
      <c r="N4903" s="54"/>
    </row>
    <row r="4904" spans="2:14" x14ac:dyDescent="0.2">
      <c r="B4904">
        <f t="shared" si="205"/>
        <v>4895</v>
      </c>
      <c r="C4904" s="52">
        <f ca="1"/>
        <v>-1.2812053069358753</v>
      </c>
      <c r="D4904" s="52">
        <f ca="1">S0*EXP((μ-0.5*σ*σ)*T+σ*SQRT(T)*$C4904)</f>
        <v>0.45181750930410508</v>
      </c>
      <c r="E4904" s="52">
        <f t="shared" ca="1" si="206"/>
        <v>8.2582490695894906E-2</v>
      </c>
      <c r="F4904" s="17">
        <f t="shared" ca="1" si="207"/>
        <v>1</v>
      </c>
      <c r="H4904" s="17">
        <v>4895</v>
      </c>
      <c r="I4904" s="45">
        <v>0.67043158768262645</v>
      </c>
      <c r="J4904" s="45">
        <v>1.8673598852071507E-2</v>
      </c>
      <c r="K4904" s="45">
        <v>0.24560000000000001</v>
      </c>
      <c r="N4904" s="54"/>
    </row>
    <row r="4905" spans="2:14" x14ac:dyDescent="0.2">
      <c r="B4905">
        <f t="shared" si="205"/>
        <v>4896</v>
      </c>
      <c r="C4905" s="52">
        <f ca="1"/>
        <v>-0.1111524998683955</v>
      </c>
      <c r="D4905" s="52">
        <f ca="1">S0*EXP((μ-0.5*σ*σ)*T+σ*SQRT(T)*$C4905)</f>
        <v>0.6243549243127251</v>
      </c>
      <c r="E4905" s="52">
        <f t="shared" ca="1" si="206"/>
        <v>0</v>
      </c>
      <c r="F4905" s="17">
        <f t="shared" ca="1" si="207"/>
        <v>0</v>
      </c>
      <c r="H4905" s="17">
        <v>4896</v>
      </c>
      <c r="I4905" s="45">
        <v>0.67137983913550514</v>
      </c>
      <c r="J4905" s="45">
        <v>1.9207501344813825E-2</v>
      </c>
      <c r="K4905" s="45">
        <v>0.24940000000000001</v>
      </c>
      <c r="N4905" s="54"/>
    </row>
    <row r="4906" spans="2:14" x14ac:dyDescent="0.2">
      <c r="B4906">
        <f t="shared" si="205"/>
        <v>4897</v>
      </c>
      <c r="C4906" s="52">
        <f ca="1"/>
        <v>0.17401223140094643</v>
      </c>
      <c r="D4906" s="52">
        <f ca="1">S0*EXP((μ-0.5*σ*σ)*T+σ*SQRT(T)*$C4906)</f>
        <v>0.67556393337024523</v>
      </c>
      <c r="E4906" s="52">
        <f t="shared" ca="1" si="206"/>
        <v>0</v>
      </c>
      <c r="F4906" s="17">
        <f t="shared" ca="1" si="207"/>
        <v>0</v>
      </c>
      <c r="H4906" s="17">
        <v>4897</v>
      </c>
      <c r="I4906" s="45">
        <v>0.67078816484810277</v>
      </c>
      <c r="J4906" s="45">
        <v>1.892362348046259E-2</v>
      </c>
      <c r="K4906" s="45">
        <v>0.24759999999999999</v>
      </c>
      <c r="N4906" s="54"/>
    </row>
    <row r="4907" spans="2:14" x14ac:dyDescent="0.2">
      <c r="B4907">
        <f t="shared" ref="B4907:B4970" si="208">B4906+1</f>
        <v>4898</v>
      </c>
      <c r="C4907" s="52">
        <f ca="1"/>
        <v>-0.57371809199449153</v>
      </c>
      <c r="D4907" s="52">
        <f ca="1">S0*EXP((μ-0.5*σ*σ)*T+σ*SQRT(T)*$C4907)</f>
        <v>0.549413214828681</v>
      </c>
      <c r="E4907" s="52">
        <f t="shared" ca="1" si="206"/>
        <v>0</v>
      </c>
      <c r="F4907" s="17">
        <f t="shared" ca="1" si="207"/>
        <v>0</v>
      </c>
      <c r="H4907" s="17">
        <v>4898</v>
      </c>
      <c r="I4907" s="45">
        <v>0.67039802656447645</v>
      </c>
      <c r="J4907" s="45">
        <v>1.8563905168949679E-2</v>
      </c>
      <c r="K4907" s="45">
        <v>0.249</v>
      </c>
      <c r="N4907" s="54"/>
    </row>
    <row r="4908" spans="2:14" x14ac:dyDescent="0.2">
      <c r="B4908">
        <f t="shared" si="208"/>
        <v>4899</v>
      </c>
      <c r="C4908" s="52">
        <f ca="1"/>
        <v>0.12299120682916174</v>
      </c>
      <c r="D4908" s="52">
        <f ca="1">S0*EXP((μ-0.5*σ*σ)*T+σ*SQRT(T)*$C4908)</f>
        <v>0.66610274397798475</v>
      </c>
      <c r="E4908" s="52">
        <f t="shared" ca="1" si="206"/>
        <v>0</v>
      </c>
      <c r="F4908" s="17">
        <f t="shared" ca="1" si="207"/>
        <v>0</v>
      </c>
      <c r="H4908" s="17">
        <v>4899</v>
      </c>
      <c r="I4908" s="45">
        <v>0.67139947993620142</v>
      </c>
      <c r="J4908" s="45">
        <v>1.9396207064099304E-2</v>
      </c>
      <c r="K4908" s="45">
        <v>0.24779999999999999</v>
      </c>
      <c r="N4908" s="54"/>
    </row>
    <row r="4909" spans="2:14" x14ac:dyDescent="0.2">
      <c r="B4909">
        <f t="shared" si="208"/>
        <v>4900</v>
      </c>
      <c r="C4909" s="52">
        <f ca="1"/>
        <v>-0.20749468701939977</v>
      </c>
      <c r="D4909" s="52">
        <f ca="1">S0*EXP((μ-0.5*σ*σ)*T+σ*SQRT(T)*$C4909)</f>
        <v>0.60794649881888307</v>
      </c>
      <c r="E4909" s="52">
        <f t="shared" ca="1" si="206"/>
        <v>0</v>
      </c>
      <c r="F4909" s="17">
        <f t="shared" ca="1" si="207"/>
        <v>0</v>
      </c>
      <c r="H4909" s="17">
        <v>4900</v>
      </c>
      <c r="I4909" s="45">
        <v>0.67175994274683803</v>
      </c>
      <c r="J4909" s="45">
        <v>1.9966723007042608E-2</v>
      </c>
      <c r="K4909" s="45">
        <v>0.26419999999999999</v>
      </c>
      <c r="N4909" s="54"/>
    </row>
    <row r="4910" spans="2:14" x14ac:dyDescent="0.2">
      <c r="B4910">
        <f t="shared" si="208"/>
        <v>4901</v>
      </c>
      <c r="C4910" s="52">
        <f ca="1"/>
        <v>1.7113455353607119</v>
      </c>
      <c r="D4910" s="52">
        <f ca="1">S0*EXP((μ-0.5*σ*σ)*T+σ*SQRT(T)*$C4910)</f>
        <v>1.0333039929202705</v>
      </c>
      <c r="E4910" s="52">
        <f t="shared" ca="1" si="206"/>
        <v>0</v>
      </c>
      <c r="F4910" s="17">
        <f t="shared" ca="1" si="207"/>
        <v>0</v>
      </c>
      <c r="H4910" s="17">
        <v>4901</v>
      </c>
      <c r="I4910" s="45">
        <v>0.67037378002834369</v>
      </c>
      <c r="J4910" s="45">
        <v>1.8180257178590679E-2</v>
      </c>
      <c r="K4910" s="45">
        <v>0.24560000000000001</v>
      </c>
      <c r="N4910" s="54"/>
    </row>
    <row r="4911" spans="2:14" x14ac:dyDescent="0.2">
      <c r="B4911">
        <f t="shared" si="208"/>
        <v>4902</v>
      </c>
      <c r="C4911" s="52">
        <f ca="1"/>
        <v>6.1902339179914577E-2</v>
      </c>
      <c r="D4911" s="52">
        <f ca="1">S0*EXP((μ-0.5*σ*σ)*T+σ*SQRT(T)*$C4911)</f>
        <v>0.65494874435381978</v>
      </c>
      <c r="E4911" s="52">
        <f t="shared" ca="1" si="206"/>
        <v>0</v>
      </c>
      <c r="F4911" s="17">
        <f t="shared" ca="1" si="207"/>
        <v>0</v>
      </c>
      <c r="H4911" s="17">
        <v>4902</v>
      </c>
      <c r="I4911" s="45">
        <v>0.67276508768369636</v>
      </c>
      <c r="J4911" s="45">
        <v>2.0148059871931905E-2</v>
      </c>
      <c r="K4911" s="45">
        <v>0.25380000000000003</v>
      </c>
      <c r="N4911" s="54"/>
    </row>
    <row r="4912" spans="2:14" x14ac:dyDescent="0.2">
      <c r="B4912">
        <f t="shared" si="208"/>
        <v>4903</v>
      </c>
      <c r="C4912" s="52">
        <f ca="1"/>
        <v>-1.3011316784852629</v>
      </c>
      <c r="D4912" s="52">
        <f ca="1">S0*EXP((μ-0.5*σ*σ)*T+σ*SQRT(T)*$C4912)</f>
        <v>0.44933560609534029</v>
      </c>
      <c r="E4912" s="52">
        <f t="shared" ca="1" si="206"/>
        <v>8.5064393904659696E-2</v>
      </c>
      <c r="F4912" s="17">
        <f t="shared" ca="1" si="207"/>
        <v>1</v>
      </c>
      <c r="H4912" s="17">
        <v>4903</v>
      </c>
      <c r="I4912" s="45">
        <v>0.67010927806066933</v>
      </c>
      <c r="J4912" s="45">
        <v>1.8047198050837685E-2</v>
      </c>
      <c r="K4912" s="45">
        <v>0.2392</v>
      </c>
      <c r="N4912" s="54"/>
    </row>
    <row r="4913" spans="2:14" x14ac:dyDescent="0.2">
      <c r="B4913">
        <f t="shared" si="208"/>
        <v>4904</v>
      </c>
      <c r="C4913" s="52">
        <f ca="1"/>
        <v>0.1670804363106137</v>
      </c>
      <c r="D4913" s="52">
        <f ca="1">S0*EXP((μ-0.5*σ*σ)*T+σ*SQRT(T)*$C4913)</f>
        <v>0.6742706750883023</v>
      </c>
      <c r="E4913" s="52">
        <f t="shared" ca="1" si="206"/>
        <v>0</v>
      </c>
      <c r="F4913" s="17">
        <f t="shared" ca="1" si="207"/>
        <v>0</v>
      </c>
      <c r="H4913" s="17">
        <v>4904</v>
      </c>
      <c r="I4913" s="45">
        <v>0.67146634618168177</v>
      </c>
      <c r="J4913" s="45">
        <v>1.9424391757572341E-2</v>
      </c>
      <c r="K4913" s="45">
        <v>0.25140000000000001</v>
      </c>
      <c r="N4913" s="54"/>
    </row>
    <row r="4914" spans="2:14" x14ac:dyDescent="0.2">
      <c r="B4914">
        <f t="shared" si="208"/>
        <v>4905</v>
      </c>
      <c r="C4914" s="52">
        <f ca="1"/>
        <v>0.91108996211894544</v>
      </c>
      <c r="D4914" s="52">
        <f ca="1">S0*EXP((μ-0.5*σ*σ)*T+σ*SQRT(T)*$C4914)</f>
        <v>0.82823758223876631</v>
      </c>
      <c r="E4914" s="52">
        <f t="shared" ca="1" si="206"/>
        <v>0</v>
      </c>
      <c r="F4914" s="17">
        <f t="shared" ca="1" si="207"/>
        <v>0</v>
      </c>
      <c r="H4914" s="17">
        <v>4905</v>
      </c>
      <c r="I4914" s="45">
        <v>0.67033502257070154</v>
      </c>
      <c r="J4914" s="45">
        <v>1.8697778170374848E-2</v>
      </c>
      <c r="K4914" s="45">
        <v>0.24660000000000001</v>
      </c>
      <c r="N4914" s="54"/>
    </row>
    <row r="4915" spans="2:14" x14ac:dyDescent="0.2">
      <c r="B4915">
        <f t="shared" si="208"/>
        <v>4906</v>
      </c>
      <c r="C4915" s="52">
        <f ca="1"/>
        <v>5.8751915381631862E-4</v>
      </c>
      <c r="D4915" s="52">
        <f ca="1">S0*EXP((μ-0.5*σ*σ)*T+σ*SQRT(T)*$C4915)</f>
        <v>0.6439412980762752</v>
      </c>
      <c r="E4915" s="52">
        <f t="shared" ca="1" si="206"/>
        <v>0</v>
      </c>
      <c r="F4915" s="17">
        <f t="shared" ca="1" si="207"/>
        <v>0</v>
      </c>
      <c r="H4915" s="17">
        <v>4906</v>
      </c>
      <c r="I4915" s="45">
        <v>0.67119971138749868</v>
      </c>
      <c r="J4915" s="45">
        <v>1.9469248337900015E-2</v>
      </c>
      <c r="K4915" s="45">
        <v>0.254</v>
      </c>
      <c r="N4915" s="54"/>
    </row>
    <row r="4916" spans="2:14" x14ac:dyDescent="0.2">
      <c r="B4916">
        <f t="shared" si="208"/>
        <v>4907</v>
      </c>
      <c r="C4916" s="52">
        <f ca="1"/>
        <v>1.8324728277377003</v>
      </c>
      <c r="D4916" s="52">
        <f ca="1">S0*EXP((μ-0.5*σ*σ)*T+σ*SQRT(T)*$C4916)</f>
        <v>1.0684884116671076</v>
      </c>
      <c r="E4916" s="52">
        <f t="shared" ca="1" si="206"/>
        <v>0</v>
      </c>
      <c r="F4916" s="17">
        <f t="shared" ca="1" si="207"/>
        <v>0</v>
      </c>
      <c r="H4916" s="17">
        <v>4907</v>
      </c>
      <c r="I4916" s="45">
        <v>0.67066105172142065</v>
      </c>
      <c r="J4916" s="45">
        <v>1.8894731894397745E-2</v>
      </c>
      <c r="K4916" s="45">
        <v>0.24560000000000001</v>
      </c>
      <c r="N4916" s="54"/>
    </row>
    <row r="4917" spans="2:14" x14ac:dyDescent="0.2">
      <c r="B4917">
        <f t="shared" si="208"/>
        <v>4908</v>
      </c>
      <c r="C4917" s="52">
        <f ca="1"/>
        <v>-0.29870483406927179</v>
      </c>
      <c r="D4917" s="52">
        <f ca="1">S0*EXP((μ-0.5*σ*σ)*T+σ*SQRT(T)*$C4917)</f>
        <v>0.59280969745055034</v>
      </c>
      <c r="E4917" s="52">
        <f t="shared" ca="1" si="206"/>
        <v>0</v>
      </c>
      <c r="F4917" s="17">
        <f t="shared" ca="1" si="207"/>
        <v>0</v>
      </c>
      <c r="H4917" s="17">
        <v>4908</v>
      </c>
      <c r="I4917" s="45">
        <v>0.67091679093207623</v>
      </c>
      <c r="J4917" s="45">
        <v>1.9106966574130465E-2</v>
      </c>
      <c r="K4917" s="45">
        <v>0.248</v>
      </c>
      <c r="N4917" s="54"/>
    </row>
    <row r="4918" spans="2:14" x14ac:dyDescent="0.2">
      <c r="B4918">
        <f t="shared" si="208"/>
        <v>4909</v>
      </c>
      <c r="C4918" s="52">
        <f ca="1"/>
        <v>-0.50216718095238944</v>
      </c>
      <c r="D4918" s="52">
        <f ca="1">S0*EXP((μ-0.5*σ*σ)*T+σ*SQRT(T)*$C4918)</f>
        <v>0.56038823747154998</v>
      </c>
      <c r="E4918" s="52">
        <f t="shared" ca="1" si="206"/>
        <v>0</v>
      </c>
      <c r="F4918" s="17">
        <f t="shared" ca="1" si="207"/>
        <v>0</v>
      </c>
      <c r="H4918" s="17">
        <v>4909</v>
      </c>
      <c r="I4918" s="45">
        <v>0.6712016133154256</v>
      </c>
      <c r="J4918" s="45">
        <v>1.9027458905918459E-2</v>
      </c>
      <c r="K4918" s="45">
        <v>0.23619999999999999</v>
      </c>
      <c r="N4918" s="54"/>
    </row>
    <row r="4919" spans="2:14" x14ac:dyDescent="0.2">
      <c r="B4919">
        <f t="shared" si="208"/>
        <v>4910</v>
      </c>
      <c r="C4919" s="52">
        <f ca="1"/>
        <v>-0.2651043660990744</v>
      </c>
      <c r="D4919" s="52">
        <f ca="1">S0*EXP((μ-0.5*σ*σ)*T+σ*SQRT(T)*$C4919)</f>
        <v>0.59834151985488737</v>
      </c>
      <c r="E4919" s="52">
        <f t="shared" ca="1" si="206"/>
        <v>0</v>
      </c>
      <c r="F4919" s="17">
        <f t="shared" ca="1" si="207"/>
        <v>0</v>
      </c>
      <c r="H4919" s="17">
        <v>4910</v>
      </c>
      <c r="I4919" s="45">
        <v>0.67102473090635528</v>
      </c>
      <c r="J4919" s="45">
        <v>1.8874908827117867E-2</v>
      </c>
      <c r="K4919" s="45">
        <v>0.245</v>
      </c>
      <c r="N4919" s="54"/>
    </row>
    <row r="4920" spans="2:14" x14ac:dyDescent="0.2">
      <c r="B4920">
        <f t="shared" si="208"/>
        <v>4911</v>
      </c>
      <c r="C4920" s="52">
        <f ca="1"/>
        <v>-2.0543888841303972</v>
      </c>
      <c r="D4920" s="52">
        <f ca="1">S0*EXP((μ-0.5*σ*σ)*T+σ*SQRT(T)*$C4920)</f>
        <v>0.36487151524105327</v>
      </c>
      <c r="E4920" s="52">
        <f t="shared" ca="1" si="206"/>
        <v>0.16952848475894672</v>
      </c>
      <c r="F4920" s="17">
        <f t="shared" ca="1" si="207"/>
        <v>1</v>
      </c>
      <c r="H4920" s="17">
        <v>4911</v>
      </c>
      <c r="I4920" s="45">
        <v>0.66973009342472312</v>
      </c>
      <c r="J4920" s="45">
        <v>1.8115684134564981E-2</v>
      </c>
      <c r="K4920" s="45">
        <v>0.246</v>
      </c>
      <c r="N4920" s="54"/>
    </row>
    <row r="4921" spans="2:14" x14ac:dyDescent="0.2">
      <c r="B4921">
        <f t="shared" si="208"/>
        <v>4912</v>
      </c>
      <c r="C4921" s="52">
        <f ca="1"/>
        <v>-1.8217724206025552</v>
      </c>
      <c r="D4921" s="52">
        <f ca="1">S0*EXP((μ-0.5*σ*σ)*T+σ*SQRT(T)*$C4921)</f>
        <v>0.38910453388243316</v>
      </c>
      <c r="E4921" s="52">
        <f t="shared" ca="1" si="206"/>
        <v>0.14529546611756683</v>
      </c>
      <c r="F4921" s="17">
        <f t="shared" ca="1" si="207"/>
        <v>1</v>
      </c>
      <c r="H4921" s="17">
        <v>4912</v>
      </c>
      <c r="I4921" s="45">
        <v>0.67185105365128306</v>
      </c>
      <c r="J4921" s="45">
        <v>1.9924492435050258E-2</v>
      </c>
      <c r="K4921" s="45">
        <v>0.25619999999999998</v>
      </c>
      <c r="N4921" s="54"/>
    </row>
    <row r="4922" spans="2:14" x14ac:dyDescent="0.2">
      <c r="B4922">
        <f t="shared" si="208"/>
        <v>4913</v>
      </c>
      <c r="C4922" s="52">
        <f ca="1"/>
        <v>0.22205148491635385</v>
      </c>
      <c r="D4922" s="52">
        <f ca="1">S0*EXP((μ-0.5*σ*σ)*T+σ*SQRT(T)*$C4922)</f>
        <v>0.68459499175409511</v>
      </c>
      <c r="E4922" s="52">
        <f t="shared" ca="1" si="206"/>
        <v>0</v>
      </c>
      <c r="F4922" s="17">
        <f t="shared" ca="1" si="207"/>
        <v>0</v>
      </c>
      <c r="H4922" s="17">
        <v>4913</v>
      </c>
      <c r="I4922" s="45">
        <v>0.67228234816137</v>
      </c>
      <c r="J4922" s="45">
        <v>1.9751336032306315E-2</v>
      </c>
      <c r="K4922" s="45">
        <v>0.246</v>
      </c>
      <c r="N4922" s="54"/>
    </row>
    <row r="4923" spans="2:14" x14ac:dyDescent="0.2">
      <c r="B4923">
        <f t="shared" si="208"/>
        <v>4914</v>
      </c>
      <c r="C4923" s="52">
        <f ca="1"/>
        <v>-0.92943706647021007</v>
      </c>
      <c r="D4923" s="52">
        <f ca="1">S0*EXP((μ-0.5*σ*σ)*T+σ*SQRT(T)*$C4923)</f>
        <v>0.49795939449213156</v>
      </c>
      <c r="E4923" s="52">
        <f t="shared" ca="1" si="206"/>
        <v>3.6440605507868429E-2</v>
      </c>
      <c r="F4923" s="17">
        <f t="shared" ca="1" si="207"/>
        <v>1</v>
      </c>
      <c r="H4923" s="17">
        <v>4914</v>
      </c>
      <c r="I4923" s="45">
        <v>0.67064190516296174</v>
      </c>
      <c r="J4923" s="45">
        <v>1.878757200587251E-2</v>
      </c>
      <c r="K4923" s="45">
        <v>0.25</v>
      </c>
      <c r="N4923" s="54"/>
    </row>
    <row r="4924" spans="2:14" x14ac:dyDescent="0.2">
      <c r="B4924">
        <f t="shared" si="208"/>
        <v>4915</v>
      </c>
      <c r="C4924" s="52">
        <f ca="1"/>
        <v>0.16075829532576855</v>
      </c>
      <c r="D4924" s="52">
        <f ca="1">S0*EXP((μ-0.5*σ*σ)*T+σ*SQRT(T)*$C4924)</f>
        <v>0.6730933181993638</v>
      </c>
      <c r="E4924" s="52">
        <f t="shared" ca="1" si="206"/>
        <v>0</v>
      </c>
      <c r="F4924" s="17">
        <f t="shared" ca="1" si="207"/>
        <v>0</v>
      </c>
      <c r="H4924" s="17">
        <v>4915</v>
      </c>
      <c r="I4924" s="45">
        <v>0.67018933463243624</v>
      </c>
      <c r="J4924" s="45">
        <v>1.8335905123356814E-2</v>
      </c>
      <c r="K4924" s="45">
        <v>0.24840000000000001</v>
      </c>
      <c r="N4924" s="54"/>
    </row>
    <row r="4925" spans="2:14" x14ac:dyDescent="0.2">
      <c r="B4925">
        <f t="shared" si="208"/>
        <v>4916</v>
      </c>
      <c r="C4925" s="52">
        <f ca="1"/>
        <v>-0.36779601291592845</v>
      </c>
      <c r="D4925" s="52">
        <f ca="1">S0*EXP((μ-0.5*σ*σ)*T+σ*SQRT(T)*$C4925)</f>
        <v>0.581595032084814</v>
      </c>
      <c r="E4925" s="52">
        <f t="shared" ca="1" si="206"/>
        <v>0</v>
      </c>
      <c r="F4925" s="17">
        <f t="shared" ca="1" si="207"/>
        <v>0</v>
      </c>
      <c r="H4925" s="17">
        <v>4916</v>
      </c>
      <c r="I4925" s="45">
        <v>0.67095406282112213</v>
      </c>
      <c r="J4925" s="45">
        <v>1.9187768425466441E-2</v>
      </c>
      <c r="K4925" s="45">
        <v>0.25719999999999998</v>
      </c>
      <c r="N4925" s="54"/>
    </row>
    <row r="4926" spans="2:14" x14ac:dyDescent="0.2">
      <c r="B4926">
        <f t="shared" si="208"/>
        <v>4917</v>
      </c>
      <c r="C4926" s="52">
        <f ca="1"/>
        <v>-1.4350664339321906</v>
      </c>
      <c r="D4926" s="52">
        <f ca="1">S0*EXP((μ-0.5*σ*σ)*T+σ*SQRT(T)*$C4926)</f>
        <v>0.43300364234114996</v>
      </c>
      <c r="E4926" s="52">
        <f t="shared" ca="1" si="206"/>
        <v>0.10139635765885002</v>
      </c>
      <c r="F4926" s="17">
        <f t="shared" ca="1" si="207"/>
        <v>1</v>
      </c>
      <c r="H4926" s="17">
        <v>4917</v>
      </c>
      <c r="I4926" s="45">
        <v>0.67013998222508575</v>
      </c>
      <c r="J4926" s="45">
        <v>1.826567576969599E-2</v>
      </c>
      <c r="K4926" s="45">
        <v>0.24</v>
      </c>
      <c r="N4926" s="54"/>
    </row>
    <row r="4927" spans="2:14" x14ac:dyDescent="0.2">
      <c r="B4927">
        <f t="shared" si="208"/>
        <v>4918</v>
      </c>
      <c r="C4927" s="52">
        <f ca="1"/>
        <v>0.41300992397922209</v>
      </c>
      <c r="D4927" s="52">
        <f ca="1">S0*EXP((μ-0.5*σ*σ)*T+σ*SQRT(T)*$C4927)</f>
        <v>0.72170360244711562</v>
      </c>
      <c r="E4927" s="52">
        <f t="shared" ca="1" si="206"/>
        <v>0</v>
      </c>
      <c r="F4927" s="17">
        <f t="shared" ca="1" si="207"/>
        <v>0</v>
      </c>
      <c r="H4927" s="17">
        <v>4918</v>
      </c>
      <c r="I4927" s="45">
        <v>0.67234137044598608</v>
      </c>
      <c r="J4927" s="45">
        <v>2.0151304575401267E-2</v>
      </c>
      <c r="K4927" s="45">
        <v>0.25659999999999999</v>
      </c>
      <c r="N4927" s="54"/>
    </row>
    <row r="4928" spans="2:14" x14ac:dyDescent="0.2">
      <c r="B4928">
        <f t="shared" si="208"/>
        <v>4919</v>
      </c>
      <c r="C4928" s="52">
        <f ca="1"/>
        <v>2.0674058456007671</v>
      </c>
      <c r="D4928" s="52">
        <f ca="1">S0*EXP((μ-0.5*σ*σ)*T+σ*SQRT(T)*$C4928)</f>
        <v>1.1401822007008822</v>
      </c>
      <c r="E4928" s="52">
        <f t="shared" ca="1" si="206"/>
        <v>0</v>
      </c>
      <c r="F4928" s="17">
        <f t="shared" ca="1" si="207"/>
        <v>0</v>
      </c>
      <c r="H4928" s="17">
        <v>4919</v>
      </c>
      <c r="I4928" s="45">
        <v>0.6717710534868534</v>
      </c>
      <c r="J4928" s="45">
        <v>1.9506644512451855E-2</v>
      </c>
      <c r="K4928" s="45">
        <v>0.24759999999999999</v>
      </c>
      <c r="N4928" s="54"/>
    </row>
    <row r="4929" spans="2:14" x14ac:dyDescent="0.2">
      <c r="B4929">
        <f t="shared" si="208"/>
        <v>4920</v>
      </c>
      <c r="C4929" s="52">
        <f ca="1"/>
        <v>0.1194363108581989</v>
      </c>
      <c r="D4929" s="52">
        <f ca="1">S0*EXP((μ-0.5*σ*σ)*T+σ*SQRT(T)*$C4929)</f>
        <v>0.66544849376886717</v>
      </c>
      <c r="E4929" s="52">
        <f t="shared" ca="1" si="206"/>
        <v>0</v>
      </c>
      <c r="F4929" s="17">
        <f t="shared" ca="1" si="207"/>
        <v>0</v>
      </c>
      <c r="H4929" s="17">
        <v>4920</v>
      </c>
      <c r="I4929" s="45">
        <v>0.67067783313390739</v>
      </c>
      <c r="J4929" s="45">
        <v>1.8932154612393007E-2</v>
      </c>
      <c r="K4929" s="45">
        <v>0.249</v>
      </c>
      <c r="N4929" s="54"/>
    </row>
    <row r="4930" spans="2:14" x14ac:dyDescent="0.2">
      <c r="B4930">
        <f t="shared" si="208"/>
        <v>4921</v>
      </c>
      <c r="C4930" s="52">
        <f ca="1"/>
        <v>-0.93891025639252346</v>
      </c>
      <c r="D4930" s="52">
        <f ca="1">S0*EXP((μ-0.5*σ*σ)*T+σ*SQRT(T)*$C4930)</f>
        <v>0.49665709528107582</v>
      </c>
      <c r="E4930" s="52">
        <f t="shared" ca="1" si="206"/>
        <v>3.7742904718924164E-2</v>
      </c>
      <c r="F4930" s="17">
        <f t="shared" ca="1" si="207"/>
        <v>1</v>
      </c>
      <c r="H4930" s="17">
        <v>4921</v>
      </c>
      <c r="I4930" s="45">
        <v>0.67177171834998806</v>
      </c>
      <c r="J4930" s="45">
        <v>1.9458338992920238E-2</v>
      </c>
      <c r="K4930" s="45">
        <v>0.24560000000000001</v>
      </c>
      <c r="N4930" s="54"/>
    </row>
    <row r="4931" spans="2:14" x14ac:dyDescent="0.2">
      <c r="B4931">
        <f t="shared" si="208"/>
        <v>4922</v>
      </c>
      <c r="C4931" s="52">
        <f ca="1"/>
        <v>-2.0839163373631075E-2</v>
      </c>
      <c r="D4931" s="52">
        <f ca="1">S0*EXP((μ-0.5*σ*σ)*T+σ*SQRT(T)*$C4931)</f>
        <v>0.64013848656134409</v>
      </c>
      <c r="E4931" s="52">
        <f t="shared" ca="1" si="206"/>
        <v>0</v>
      </c>
      <c r="F4931" s="17">
        <f t="shared" ca="1" si="207"/>
        <v>0</v>
      </c>
      <c r="H4931" s="17">
        <v>4922</v>
      </c>
      <c r="I4931" s="45">
        <v>0.67027255787080409</v>
      </c>
      <c r="J4931" s="45">
        <v>1.8532601215923327E-2</v>
      </c>
      <c r="K4931" s="45">
        <v>0.24160000000000001</v>
      </c>
      <c r="N4931" s="54"/>
    </row>
    <row r="4932" spans="2:14" x14ac:dyDescent="0.2">
      <c r="B4932">
        <f t="shared" si="208"/>
        <v>4923</v>
      </c>
      <c r="C4932" s="52">
        <f ca="1"/>
        <v>-0.59330100092005544</v>
      </c>
      <c r="D4932" s="52">
        <f ca="1">S0*EXP((μ-0.5*σ*σ)*T+σ*SQRT(T)*$C4932)</f>
        <v>0.54644708290692845</v>
      </c>
      <c r="E4932" s="52">
        <f t="shared" ca="1" si="206"/>
        <v>0</v>
      </c>
      <c r="F4932" s="17">
        <f t="shared" ca="1" si="207"/>
        <v>0</v>
      </c>
      <c r="H4932" s="17">
        <v>4923</v>
      </c>
      <c r="I4932" s="45">
        <v>0.67109984735339934</v>
      </c>
      <c r="J4932" s="45">
        <v>1.9081148609319372E-2</v>
      </c>
      <c r="K4932" s="45">
        <v>0.25140000000000001</v>
      </c>
      <c r="N4932" s="54"/>
    </row>
    <row r="4933" spans="2:14" x14ac:dyDescent="0.2">
      <c r="B4933">
        <f t="shared" si="208"/>
        <v>4924</v>
      </c>
      <c r="C4933" s="52">
        <f ca="1"/>
        <v>-0.60162095062813714</v>
      </c>
      <c r="D4933" s="52">
        <f ca="1">S0*EXP((μ-0.5*σ*σ)*T+σ*SQRT(T)*$C4933)</f>
        <v>0.54519175086940519</v>
      </c>
      <c r="E4933" s="52">
        <f t="shared" ca="1" si="206"/>
        <v>0</v>
      </c>
      <c r="F4933" s="17">
        <f t="shared" ca="1" si="207"/>
        <v>0</v>
      </c>
      <c r="H4933" s="17">
        <v>4924</v>
      </c>
      <c r="I4933" s="45">
        <v>0.67111845453763586</v>
      </c>
      <c r="J4933" s="45">
        <v>1.9200451327834898E-2</v>
      </c>
      <c r="K4933" s="45">
        <v>0.25159999999999999</v>
      </c>
      <c r="N4933" s="54"/>
    </row>
    <row r="4934" spans="2:14" x14ac:dyDescent="0.2">
      <c r="B4934">
        <f t="shared" si="208"/>
        <v>4925</v>
      </c>
      <c r="C4934" s="52">
        <f ca="1"/>
        <v>-1.4342038545985656</v>
      </c>
      <c r="D4934" s="52">
        <f ca="1">S0*EXP((μ-0.5*σ*σ)*T+σ*SQRT(T)*$C4934)</f>
        <v>0.43310690219330261</v>
      </c>
      <c r="E4934" s="52">
        <f t="shared" ca="1" si="206"/>
        <v>0.10129309780669737</v>
      </c>
      <c r="F4934" s="17">
        <f t="shared" ca="1" si="207"/>
        <v>1</v>
      </c>
      <c r="H4934" s="17">
        <v>4925</v>
      </c>
      <c r="I4934" s="45">
        <v>0.6708308827213908</v>
      </c>
      <c r="J4934" s="45">
        <v>1.8756753638492114E-2</v>
      </c>
      <c r="K4934" s="45">
        <v>0.24360000000000001</v>
      </c>
      <c r="N4934" s="54"/>
    </row>
    <row r="4935" spans="2:14" x14ac:dyDescent="0.2">
      <c r="B4935">
        <f t="shared" si="208"/>
        <v>4926</v>
      </c>
      <c r="C4935" s="52">
        <f ca="1"/>
        <v>0.34293192792233723</v>
      </c>
      <c r="D4935" s="52">
        <f ca="1">S0*EXP((μ-0.5*σ*σ)*T+σ*SQRT(T)*$C4935)</f>
        <v>0.70785742416940589</v>
      </c>
      <c r="E4935" s="52">
        <f t="shared" ca="1" si="206"/>
        <v>0</v>
      </c>
      <c r="F4935" s="17">
        <f t="shared" ca="1" si="207"/>
        <v>0</v>
      </c>
      <c r="H4935" s="17">
        <v>4926</v>
      </c>
      <c r="I4935" s="45">
        <v>0.67094099557700437</v>
      </c>
      <c r="J4935" s="45">
        <v>1.9069850292819372E-2</v>
      </c>
      <c r="K4935" s="45">
        <v>0.249</v>
      </c>
      <c r="N4935" s="54"/>
    </row>
    <row r="4936" spans="2:14" x14ac:dyDescent="0.2">
      <c r="B4936">
        <f t="shared" si="208"/>
        <v>4927</v>
      </c>
      <c r="C4936" s="52">
        <f ca="1"/>
        <v>4.8165139777065817E-2</v>
      </c>
      <c r="D4936" s="52">
        <f ca="1">S0*EXP((μ-0.5*σ*σ)*T+σ*SQRT(T)*$C4936)</f>
        <v>0.65246635270124664</v>
      </c>
      <c r="E4936" s="52">
        <f t="shared" ca="1" si="206"/>
        <v>0</v>
      </c>
      <c r="F4936" s="17">
        <f t="shared" ca="1" si="207"/>
        <v>0</v>
      </c>
      <c r="H4936" s="17">
        <v>4927</v>
      </c>
      <c r="I4936" s="45">
        <v>0.67125859048201175</v>
      </c>
      <c r="J4936" s="45">
        <v>1.9282632009240679E-2</v>
      </c>
      <c r="K4936" s="45">
        <v>0.25180000000000002</v>
      </c>
      <c r="N4936" s="54"/>
    </row>
    <row r="4937" spans="2:14" x14ac:dyDescent="0.2">
      <c r="B4937">
        <f t="shared" si="208"/>
        <v>4928</v>
      </c>
      <c r="C4937" s="52">
        <f ca="1"/>
        <v>0.26969077064924246</v>
      </c>
      <c r="D4937" s="52">
        <f ca="1">S0*EXP((μ-0.5*σ*σ)*T+σ*SQRT(T)*$C4937)</f>
        <v>0.69367007967934835</v>
      </c>
      <c r="E4937" s="52">
        <f t="shared" ca="1" si="206"/>
        <v>0</v>
      </c>
      <c r="F4937" s="17">
        <f t="shared" ca="1" si="207"/>
        <v>0</v>
      </c>
      <c r="H4937" s="17">
        <v>4928</v>
      </c>
      <c r="I4937" s="45">
        <v>0.6721621479311134</v>
      </c>
      <c r="J4937" s="45">
        <v>1.9649096652712673E-2</v>
      </c>
      <c r="K4937" s="45">
        <v>0.24440000000000001</v>
      </c>
      <c r="N4937" s="54"/>
    </row>
    <row r="4938" spans="2:14" x14ac:dyDescent="0.2">
      <c r="B4938">
        <f t="shared" si="208"/>
        <v>4929</v>
      </c>
      <c r="C4938" s="52">
        <f ca="1"/>
        <v>-9.6738068828308516E-2</v>
      </c>
      <c r="D4938" s="52">
        <f ca="1">S0*EXP((μ-0.5*σ*σ)*T+σ*SQRT(T)*$C4938)</f>
        <v>0.6268477028916225</v>
      </c>
      <c r="E4938" s="52">
        <f t="shared" ref="E4938:E5001" ca="1" si="209">MAX(0,CP*(D4938-K))</f>
        <v>0</v>
      </c>
      <c r="F4938" s="17">
        <f t="shared" ref="F4938:F5001" ca="1" si="210">(CP*(D4938-K)&gt;0)*1</f>
        <v>0</v>
      </c>
      <c r="H4938" s="17">
        <v>4929</v>
      </c>
      <c r="I4938" s="45">
        <v>0.67011126928908904</v>
      </c>
      <c r="J4938" s="45">
        <v>1.8417619514615294E-2</v>
      </c>
      <c r="K4938" s="45">
        <v>0.24779999999999999</v>
      </c>
      <c r="N4938" s="54"/>
    </row>
    <row r="4939" spans="2:14" x14ac:dyDescent="0.2">
      <c r="B4939">
        <f t="shared" si="208"/>
        <v>4930</v>
      </c>
      <c r="C4939" s="52">
        <f ca="1"/>
        <v>-1.5064328799010491</v>
      </c>
      <c r="D4939" s="52">
        <f ca="1">S0*EXP((μ-0.5*σ*σ)*T+σ*SQRT(T)*$C4939)</f>
        <v>0.42454505376311036</v>
      </c>
      <c r="E4939" s="52">
        <f t="shared" ca="1" si="209"/>
        <v>0.10985494623688963</v>
      </c>
      <c r="F4939" s="17">
        <f t="shared" ca="1" si="210"/>
        <v>1</v>
      </c>
      <c r="H4939" s="17">
        <v>4930</v>
      </c>
      <c r="I4939" s="45">
        <v>0.67232388949809008</v>
      </c>
      <c r="J4939" s="45">
        <v>2.0021104977386732E-2</v>
      </c>
      <c r="K4939" s="45">
        <v>0.25180000000000002</v>
      </c>
      <c r="N4939" s="54"/>
    </row>
    <row r="4940" spans="2:14" x14ac:dyDescent="0.2">
      <c r="B4940">
        <f t="shared" si="208"/>
        <v>4931</v>
      </c>
      <c r="C4940" s="52">
        <f ca="1"/>
        <v>-0.56594924989782691</v>
      </c>
      <c r="D4940" s="52">
        <f ca="1">S0*EXP((μ-0.5*σ*σ)*T+σ*SQRT(T)*$C4940)</f>
        <v>0.55059438082993262</v>
      </c>
      <c r="E4940" s="52">
        <f t="shared" ca="1" si="209"/>
        <v>0</v>
      </c>
      <c r="F4940" s="17">
        <f t="shared" ca="1" si="210"/>
        <v>0</v>
      </c>
      <c r="H4940" s="17">
        <v>4931</v>
      </c>
      <c r="I4940" s="45">
        <v>0.67095404426720684</v>
      </c>
      <c r="J4940" s="45">
        <v>1.899625679845925E-2</v>
      </c>
      <c r="K4940" s="45">
        <v>0.24440000000000001</v>
      </c>
      <c r="N4940" s="54"/>
    </row>
    <row r="4941" spans="2:14" x14ac:dyDescent="0.2">
      <c r="B4941">
        <f t="shared" si="208"/>
        <v>4932</v>
      </c>
      <c r="C4941" s="52">
        <f ca="1"/>
        <v>0.56126614135129105</v>
      </c>
      <c r="D4941" s="52">
        <f ca="1">S0*EXP((μ-0.5*σ*σ)*T+σ*SQRT(T)*$C4941)</f>
        <v>0.75189551420147394</v>
      </c>
      <c r="E4941" s="52">
        <f t="shared" ca="1" si="209"/>
        <v>0</v>
      </c>
      <c r="F4941" s="17">
        <f t="shared" ca="1" si="210"/>
        <v>0</v>
      </c>
      <c r="H4941" s="17">
        <v>4932</v>
      </c>
      <c r="I4941" s="45">
        <v>0.67053624095923547</v>
      </c>
      <c r="J4941" s="45">
        <v>1.8790975333484061E-2</v>
      </c>
      <c r="K4941" s="45">
        <v>0.246</v>
      </c>
      <c r="N4941" s="54"/>
    </row>
    <row r="4942" spans="2:14" x14ac:dyDescent="0.2">
      <c r="B4942">
        <f t="shared" si="208"/>
        <v>4933</v>
      </c>
      <c r="C4942" s="52">
        <f ca="1"/>
        <v>1.3349050289441622</v>
      </c>
      <c r="D4942" s="52">
        <f ca="1">S0*EXP((μ-0.5*σ*σ)*T+σ*SQRT(T)*$C4942)</f>
        <v>0.93118345765082056</v>
      </c>
      <c r="E4942" s="52">
        <f t="shared" ca="1" si="209"/>
        <v>0</v>
      </c>
      <c r="F4942" s="17">
        <f t="shared" ca="1" si="210"/>
        <v>0</v>
      </c>
      <c r="H4942" s="17">
        <v>4933</v>
      </c>
      <c r="I4942" s="45">
        <v>0.67041758319182021</v>
      </c>
      <c r="J4942" s="45">
        <v>1.8727074724617043E-2</v>
      </c>
      <c r="K4942" s="45">
        <v>0.25</v>
      </c>
      <c r="N4942" s="54"/>
    </row>
    <row r="4943" spans="2:14" x14ac:dyDescent="0.2">
      <c r="B4943">
        <f t="shared" si="208"/>
        <v>4934</v>
      </c>
      <c r="C4943" s="52">
        <f ca="1"/>
        <v>2.0615289715344036</v>
      </c>
      <c r="D4943" s="52">
        <f ca="1">S0*EXP((μ-0.5*σ*σ)*T+σ*SQRT(T)*$C4943)</f>
        <v>1.1383314111345035</v>
      </c>
      <c r="E4943" s="52">
        <f t="shared" ca="1" si="209"/>
        <v>0</v>
      </c>
      <c r="F4943" s="17">
        <f t="shared" ca="1" si="210"/>
        <v>0</v>
      </c>
      <c r="H4943" s="17">
        <v>4934</v>
      </c>
      <c r="I4943" s="45">
        <v>0.67053709676064177</v>
      </c>
      <c r="J4943" s="45">
        <v>1.875801556846728E-2</v>
      </c>
      <c r="K4943" s="45">
        <v>0.24</v>
      </c>
      <c r="N4943" s="54"/>
    </row>
    <row r="4944" spans="2:14" x14ac:dyDescent="0.2">
      <c r="B4944">
        <f t="shared" si="208"/>
        <v>4935</v>
      </c>
      <c r="C4944" s="52">
        <f ca="1"/>
        <v>-0.39135947598672327</v>
      </c>
      <c r="D4944" s="52">
        <f ca="1">S0*EXP((μ-0.5*σ*σ)*T+σ*SQRT(T)*$C4944)</f>
        <v>0.57781900359495186</v>
      </c>
      <c r="E4944" s="52">
        <f t="shared" ca="1" si="209"/>
        <v>0</v>
      </c>
      <c r="F4944" s="17">
        <f t="shared" ca="1" si="210"/>
        <v>0</v>
      </c>
      <c r="H4944" s="17">
        <v>4935</v>
      </c>
      <c r="I4944" s="45">
        <v>0.67128202554094185</v>
      </c>
      <c r="J4944" s="45">
        <v>1.9180481982609198E-2</v>
      </c>
      <c r="K4944" s="45">
        <v>0.2424</v>
      </c>
      <c r="N4944" s="54"/>
    </row>
    <row r="4945" spans="2:14" x14ac:dyDescent="0.2">
      <c r="B4945">
        <f t="shared" si="208"/>
        <v>4936</v>
      </c>
      <c r="C4945" s="52">
        <f ca="1"/>
        <v>0.46041293384092263</v>
      </c>
      <c r="D4945" s="52">
        <f ca="1">S0*EXP((μ-0.5*σ*σ)*T+σ*SQRT(T)*$C4945)</f>
        <v>0.73122284646605951</v>
      </c>
      <c r="E4945" s="52">
        <f t="shared" ca="1" si="209"/>
        <v>0</v>
      </c>
      <c r="F4945" s="17">
        <f t="shared" ca="1" si="210"/>
        <v>0</v>
      </c>
      <c r="H4945" s="17">
        <v>4936</v>
      </c>
      <c r="I4945" s="45">
        <v>0.67118192887213979</v>
      </c>
      <c r="J4945" s="45">
        <v>1.9200576059033955E-2</v>
      </c>
      <c r="K4945" s="45">
        <v>0.2402</v>
      </c>
      <c r="N4945" s="54"/>
    </row>
    <row r="4946" spans="2:14" x14ac:dyDescent="0.2">
      <c r="B4946">
        <f t="shared" si="208"/>
        <v>4937</v>
      </c>
      <c r="C4946" s="52">
        <f ca="1"/>
        <v>0.85146291275362818</v>
      </c>
      <c r="D4946" s="52">
        <f ca="1">S0*EXP((μ-0.5*σ*σ)*T+σ*SQRT(T)*$C4946)</f>
        <v>0.8146977562236859</v>
      </c>
      <c r="E4946" s="52">
        <f t="shared" ca="1" si="209"/>
        <v>0</v>
      </c>
      <c r="F4946" s="17">
        <f t="shared" ca="1" si="210"/>
        <v>0</v>
      </c>
      <c r="H4946" s="17">
        <v>4937</v>
      </c>
      <c r="I4946" s="45">
        <v>0.67079534726601364</v>
      </c>
      <c r="J4946" s="45">
        <v>1.8827127709633979E-2</v>
      </c>
      <c r="K4946" s="45">
        <v>0.24859999999999999</v>
      </c>
      <c r="N4946" s="54"/>
    </row>
    <row r="4947" spans="2:14" x14ac:dyDescent="0.2">
      <c r="B4947">
        <f t="shared" si="208"/>
        <v>4938</v>
      </c>
      <c r="C4947" s="52">
        <f ca="1"/>
        <v>1.9353171541891856</v>
      </c>
      <c r="D4947" s="52">
        <f ca="1">S0*EXP((μ-0.5*σ*σ)*T+σ*SQRT(T)*$C4947)</f>
        <v>1.0993009369372075</v>
      </c>
      <c r="E4947" s="52">
        <f t="shared" ca="1" si="209"/>
        <v>0</v>
      </c>
      <c r="F4947" s="17">
        <f t="shared" ca="1" si="210"/>
        <v>0</v>
      </c>
      <c r="H4947" s="17">
        <v>4938</v>
      </c>
      <c r="I4947" s="45">
        <v>0.67168489458618874</v>
      </c>
      <c r="J4947" s="45">
        <v>1.9641052543373963E-2</v>
      </c>
      <c r="K4947" s="45">
        <v>0.24299999999999999</v>
      </c>
      <c r="N4947" s="54"/>
    </row>
    <row r="4948" spans="2:14" x14ac:dyDescent="0.2">
      <c r="B4948">
        <f t="shared" si="208"/>
        <v>4939</v>
      </c>
      <c r="C4948" s="52">
        <f ca="1"/>
        <v>1.0302388741228867</v>
      </c>
      <c r="D4948" s="52">
        <f ca="1">S0*EXP((μ-0.5*σ*σ)*T+σ*SQRT(T)*$C4948)</f>
        <v>0.85597115784264866</v>
      </c>
      <c r="E4948" s="52">
        <f t="shared" ca="1" si="209"/>
        <v>0</v>
      </c>
      <c r="F4948" s="17">
        <f t="shared" ca="1" si="210"/>
        <v>0</v>
      </c>
      <c r="H4948" s="17">
        <v>4939</v>
      </c>
      <c r="I4948" s="45">
        <v>0.67056905493931218</v>
      </c>
      <c r="J4948" s="45">
        <v>1.848682597423135E-2</v>
      </c>
      <c r="K4948" s="45">
        <v>0.2442</v>
      </c>
      <c r="N4948" s="54"/>
    </row>
    <row r="4949" spans="2:14" x14ac:dyDescent="0.2">
      <c r="B4949">
        <f t="shared" si="208"/>
        <v>4940</v>
      </c>
      <c r="C4949" s="52">
        <f ca="1"/>
        <v>-2.9154615968401094</v>
      </c>
      <c r="D4949" s="52">
        <f ca="1">S0*EXP((μ-0.5*σ*σ)*T+σ*SQRT(T)*$C4949)</f>
        <v>0.28758451570896826</v>
      </c>
      <c r="E4949" s="52">
        <f t="shared" ca="1" si="209"/>
        <v>0.24681548429103173</v>
      </c>
      <c r="F4949" s="17">
        <f t="shared" ca="1" si="210"/>
        <v>1</v>
      </c>
      <c r="H4949" s="17">
        <v>4940</v>
      </c>
      <c r="I4949" s="45">
        <v>0.67148959607801029</v>
      </c>
      <c r="J4949" s="45">
        <v>1.9364655128018739E-2</v>
      </c>
      <c r="K4949" s="45">
        <v>0.25180000000000002</v>
      </c>
      <c r="N4949" s="54"/>
    </row>
    <row r="4950" spans="2:14" x14ac:dyDescent="0.2">
      <c r="B4950">
        <f t="shared" si="208"/>
        <v>4941</v>
      </c>
      <c r="C4950" s="52">
        <f ca="1"/>
        <v>9.3865963318009907E-2</v>
      </c>
      <c r="D4950" s="52">
        <f ca="1">S0*EXP((μ-0.5*σ*σ)*T+σ*SQRT(T)*$C4950)</f>
        <v>0.6607613723580732</v>
      </c>
      <c r="E4950" s="52">
        <f t="shared" ca="1" si="209"/>
        <v>0</v>
      </c>
      <c r="F4950" s="17">
        <f t="shared" ca="1" si="210"/>
        <v>0</v>
      </c>
      <c r="H4950" s="17">
        <v>4941</v>
      </c>
      <c r="I4950" s="45">
        <v>0.6713390372108583</v>
      </c>
      <c r="J4950" s="45">
        <v>1.9344365255179699E-2</v>
      </c>
      <c r="K4950" s="45">
        <v>0.25280000000000002</v>
      </c>
      <c r="N4950" s="54"/>
    </row>
    <row r="4951" spans="2:14" x14ac:dyDescent="0.2">
      <c r="B4951">
        <f t="shared" si="208"/>
        <v>4942</v>
      </c>
      <c r="C4951" s="52">
        <f ca="1"/>
        <v>-0.42640894991582368</v>
      </c>
      <c r="D4951" s="52">
        <f ca="1">S0*EXP((μ-0.5*σ*σ)*T+σ*SQRT(T)*$C4951)</f>
        <v>0.57224765611080197</v>
      </c>
      <c r="E4951" s="52">
        <f t="shared" ca="1" si="209"/>
        <v>0</v>
      </c>
      <c r="F4951" s="17">
        <f t="shared" ca="1" si="210"/>
        <v>0</v>
      </c>
      <c r="H4951" s="17">
        <v>4942</v>
      </c>
      <c r="I4951" s="45">
        <v>0.67062964531899139</v>
      </c>
      <c r="J4951" s="45">
        <v>1.8788481786049638E-2</v>
      </c>
      <c r="K4951" s="45">
        <v>0.246</v>
      </c>
      <c r="N4951" s="54"/>
    </row>
    <row r="4952" spans="2:14" x14ac:dyDescent="0.2">
      <c r="B4952">
        <f t="shared" si="208"/>
        <v>4943</v>
      </c>
      <c r="C4952" s="52">
        <f ca="1"/>
        <v>-2.0876665880627674</v>
      </c>
      <c r="D4952" s="52">
        <f ca="1">S0*EXP((μ-0.5*σ*σ)*T+σ*SQRT(T)*$C4952)</f>
        <v>0.36153043873165452</v>
      </c>
      <c r="E4952" s="52">
        <f t="shared" ca="1" si="209"/>
        <v>0.17286956126834546</v>
      </c>
      <c r="F4952" s="17">
        <f t="shared" ca="1" si="210"/>
        <v>1</v>
      </c>
      <c r="H4952" s="17">
        <v>4943</v>
      </c>
      <c r="I4952" s="45">
        <v>0.67127414444666034</v>
      </c>
      <c r="J4952" s="45">
        <v>1.9137994885066855E-2</v>
      </c>
      <c r="K4952" s="45">
        <v>0.248</v>
      </c>
      <c r="N4952" s="54"/>
    </row>
    <row r="4953" spans="2:14" x14ac:dyDescent="0.2">
      <c r="B4953">
        <f t="shared" si="208"/>
        <v>4944</v>
      </c>
      <c r="C4953" s="52">
        <f ca="1"/>
        <v>3.1885018507757459</v>
      </c>
      <c r="D4953" s="52">
        <f ca="1">S0*EXP((μ-0.5*σ*σ)*T+σ*SQRT(T)*$C4953)</f>
        <v>1.5544090804561872</v>
      </c>
      <c r="E4953" s="52">
        <f t="shared" ca="1" si="209"/>
        <v>0</v>
      </c>
      <c r="F4953" s="17">
        <f t="shared" ca="1" si="210"/>
        <v>0</v>
      </c>
      <c r="H4953" s="17">
        <v>4944</v>
      </c>
      <c r="I4953" s="45">
        <v>0.67027935750062229</v>
      </c>
      <c r="J4953" s="45">
        <v>1.8254344515125323E-2</v>
      </c>
      <c r="K4953" s="45">
        <v>0.23899999999999999</v>
      </c>
      <c r="N4953" s="54"/>
    </row>
    <row r="4954" spans="2:14" x14ac:dyDescent="0.2">
      <c r="B4954">
        <f t="shared" si="208"/>
        <v>4945</v>
      </c>
      <c r="C4954" s="52">
        <f ca="1"/>
        <v>-0.58011925804170783</v>
      </c>
      <c r="D4954" s="52">
        <f ca="1">S0*EXP((μ-0.5*σ*σ)*T+σ*SQRT(T)*$C4954)</f>
        <v>0.54844189303604307</v>
      </c>
      <c r="E4954" s="52">
        <f t="shared" ca="1" si="209"/>
        <v>0</v>
      </c>
      <c r="F4954" s="17">
        <f t="shared" ca="1" si="210"/>
        <v>0</v>
      </c>
      <c r="H4954" s="17">
        <v>4945</v>
      </c>
      <c r="I4954" s="45">
        <v>0.67177798762411844</v>
      </c>
      <c r="J4954" s="45">
        <v>1.9785795618757804E-2</v>
      </c>
      <c r="K4954" s="45">
        <v>0.25140000000000001</v>
      </c>
      <c r="N4954" s="54"/>
    </row>
    <row r="4955" spans="2:14" x14ac:dyDescent="0.2">
      <c r="B4955">
        <f t="shared" si="208"/>
        <v>4946</v>
      </c>
      <c r="C4955" s="52">
        <f ca="1"/>
        <v>-0.69400147813315127</v>
      </c>
      <c r="D4955" s="52">
        <f ca="1">S0*EXP((μ-0.5*σ*σ)*T+σ*SQRT(T)*$C4955)</f>
        <v>0.53144546562981276</v>
      </c>
      <c r="E4955" s="52">
        <f t="shared" ca="1" si="209"/>
        <v>2.9545343701872229E-3</v>
      </c>
      <c r="F4955" s="17">
        <f t="shared" ca="1" si="210"/>
        <v>1</v>
      </c>
      <c r="H4955" s="17">
        <v>4946</v>
      </c>
      <c r="I4955" s="45">
        <v>0.67099833348668925</v>
      </c>
      <c r="J4955" s="45">
        <v>1.9022159356892408E-2</v>
      </c>
      <c r="K4955" s="45">
        <v>0.25</v>
      </c>
      <c r="N4955" s="54"/>
    </row>
    <row r="4956" spans="2:14" x14ac:dyDescent="0.2">
      <c r="B4956">
        <f t="shared" si="208"/>
        <v>4947</v>
      </c>
      <c r="C4956" s="52">
        <f ca="1"/>
        <v>0.27073686720647472</v>
      </c>
      <c r="D4956" s="52">
        <f ca="1">S0*EXP((μ-0.5*σ*σ)*T+σ*SQRT(T)*$C4956)</f>
        <v>0.69387070080003543</v>
      </c>
      <c r="E4956" s="52">
        <f t="shared" ca="1" si="209"/>
        <v>0</v>
      </c>
      <c r="F4956" s="17">
        <f t="shared" ca="1" si="210"/>
        <v>0</v>
      </c>
      <c r="H4956" s="17">
        <v>4947</v>
      </c>
      <c r="I4956" s="45">
        <v>0.67022297790988894</v>
      </c>
      <c r="J4956" s="45">
        <v>1.8072745752483878E-2</v>
      </c>
      <c r="K4956" s="45">
        <v>0.2364</v>
      </c>
      <c r="N4956" s="54"/>
    </row>
    <row r="4957" spans="2:14" x14ac:dyDescent="0.2">
      <c r="B4957">
        <f t="shared" si="208"/>
        <v>4948</v>
      </c>
      <c r="C4957" s="52">
        <f ca="1"/>
        <v>2.279960026159157</v>
      </c>
      <c r="D4957" s="52">
        <f ca="1">S0*EXP((μ-0.5*σ*σ)*T+σ*SQRT(T)*$C4957)</f>
        <v>1.2091830437125568</v>
      </c>
      <c r="E4957" s="52">
        <f t="shared" ca="1" si="209"/>
        <v>0</v>
      </c>
      <c r="F4957" s="17">
        <f t="shared" ca="1" si="210"/>
        <v>0</v>
      </c>
      <c r="H4957" s="17">
        <v>4948</v>
      </c>
      <c r="I4957" s="45">
        <v>0.67000736760705493</v>
      </c>
      <c r="J4957" s="45">
        <v>1.8397130648862479E-2</v>
      </c>
      <c r="K4957" s="45">
        <v>0.24679999999999999</v>
      </c>
      <c r="N4957" s="54"/>
    </row>
    <row r="4958" spans="2:14" x14ac:dyDescent="0.2">
      <c r="B4958">
        <f t="shared" si="208"/>
        <v>4949</v>
      </c>
      <c r="C4958" s="52">
        <f ca="1"/>
        <v>0.80315925058857229</v>
      </c>
      <c r="D4958" s="52">
        <f ca="1">S0*EXP((μ-0.5*σ*σ)*T+σ*SQRT(T)*$C4958)</f>
        <v>0.80389164522793322</v>
      </c>
      <c r="E4958" s="52">
        <f t="shared" ca="1" si="209"/>
        <v>0</v>
      </c>
      <c r="F4958" s="17">
        <f t="shared" ca="1" si="210"/>
        <v>0</v>
      </c>
      <c r="H4958" s="17">
        <v>4949</v>
      </c>
      <c r="I4958" s="45">
        <v>0.67277554499290881</v>
      </c>
      <c r="J4958" s="45">
        <v>2.0550001497018733E-2</v>
      </c>
      <c r="K4958" s="45">
        <v>0.255</v>
      </c>
      <c r="N4958" s="54"/>
    </row>
    <row r="4959" spans="2:14" x14ac:dyDescent="0.2">
      <c r="B4959">
        <f t="shared" si="208"/>
        <v>4950</v>
      </c>
      <c r="C4959" s="52">
        <f ca="1"/>
        <v>-0.29938449655103516</v>
      </c>
      <c r="D4959" s="52">
        <f ca="1">S0*EXP((μ-0.5*σ*σ)*T+σ*SQRT(T)*$C4959)</f>
        <v>0.59269833034790342</v>
      </c>
      <c r="E4959" s="52">
        <f t="shared" ca="1" si="209"/>
        <v>0</v>
      </c>
      <c r="F4959" s="17">
        <f t="shared" ca="1" si="210"/>
        <v>0</v>
      </c>
      <c r="H4959" s="17">
        <v>4950</v>
      </c>
      <c r="I4959" s="45">
        <v>0.67120873276294668</v>
      </c>
      <c r="J4959" s="45">
        <v>1.9102444931335106E-2</v>
      </c>
      <c r="K4959" s="45">
        <v>0.24360000000000001</v>
      </c>
      <c r="N4959" s="54"/>
    </row>
    <row r="4960" spans="2:14" x14ac:dyDescent="0.2">
      <c r="B4960">
        <f t="shared" si="208"/>
        <v>4951</v>
      </c>
      <c r="C4960" s="52">
        <f ca="1"/>
        <v>1.0216806619456502</v>
      </c>
      <c r="D4960" s="52">
        <f ca="1">S0*EXP((μ-0.5*σ*σ)*T+σ*SQRT(T)*$C4960)</f>
        <v>0.85394852207075089</v>
      </c>
      <c r="E4960" s="52">
        <f t="shared" ca="1" si="209"/>
        <v>0</v>
      </c>
      <c r="F4960" s="17">
        <f t="shared" ca="1" si="210"/>
        <v>0</v>
      </c>
      <c r="H4960" s="17">
        <v>4951</v>
      </c>
      <c r="I4960" s="45">
        <v>0.67103886728515738</v>
      </c>
      <c r="J4960" s="45">
        <v>1.9050795226040348E-2</v>
      </c>
      <c r="K4960" s="45">
        <v>0.25</v>
      </c>
      <c r="N4960" s="54"/>
    </row>
    <row r="4961" spans="2:14" x14ac:dyDescent="0.2">
      <c r="B4961">
        <f t="shared" si="208"/>
        <v>4952</v>
      </c>
      <c r="C4961" s="52">
        <f ca="1"/>
        <v>-0.13280950949386514</v>
      </c>
      <c r="D4961" s="52">
        <f ca="1">S0*EXP((μ-0.5*σ*σ)*T+σ*SQRT(T)*$C4961)</f>
        <v>0.62062826402358195</v>
      </c>
      <c r="E4961" s="52">
        <f t="shared" ca="1" si="209"/>
        <v>0</v>
      </c>
      <c r="F4961" s="17">
        <f t="shared" ca="1" si="210"/>
        <v>0</v>
      </c>
      <c r="H4961" s="17">
        <v>4952</v>
      </c>
      <c r="I4961" s="45">
        <v>0.67132877190682005</v>
      </c>
      <c r="J4961" s="45">
        <v>1.9054659281267441E-2</v>
      </c>
      <c r="K4961" s="45">
        <v>0.24779999999999999</v>
      </c>
      <c r="N4961" s="54"/>
    </row>
    <row r="4962" spans="2:14" x14ac:dyDescent="0.2">
      <c r="B4962">
        <f t="shared" si="208"/>
        <v>4953</v>
      </c>
      <c r="C4962" s="52">
        <f ca="1"/>
        <v>-0.75446166700964001</v>
      </c>
      <c r="D4962" s="52">
        <f ca="1">S0*EXP((μ-0.5*σ*σ)*T+σ*SQRT(T)*$C4962)</f>
        <v>0.52263714398401595</v>
      </c>
      <c r="E4962" s="52">
        <f t="shared" ca="1" si="209"/>
        <v>1.1762856015984036E-2</v>
      </c>
      <c r="F4962" s="17">
        <f t="shared" ca="1" si="210"/>
        <v>1</v>
      </c>
      <c r="H4962" s="17">
        <v>4953</v>
      </c>
      <c r="I4962" s="45">
        <v>0.67142412926718031</v>
      </c>
      <c r="J4962" s="45">
        <v>1.9265438594781668E-2</v>
      </c>
      <c r="K4962" s="45">
        <v>0.2442</v>
      </c>
      <c r="N4962" s="54"/>
    </row>
    <row r="4963" spans="2:14" x14ac:dyDescent="0.2">
      <c r="B4963">
        <f t="shared" si="208"/>
        <v>4954</v>
      </c>
      <c r="C4963" s="52">
        <f ca="1"/>
        <v>-0.81206448384024177</v>
      </c>
      <c r="D4963" s="52">
        <f ca="1">S0*EXP((μ-0.5*σ*σ)*T+σ*SQRT(T)*$C4963)</f>
        <v>0.51438094779294719</v>
      </c>
      <c r="E4963" s="52">
        <f t="shared" ca="1" si="209"/>
        <v>2.0019052207052801E-2</v>
      </c>
      <c r="F4963" s="17">
        <f t="shared" ca="1" si="210"/>
        <v>1</v>
      </c>
      <c r="H4963" s="17">
        <v>4954</v>
      </c>
      <c r="I4963" s="45">
        <v>0.67072377685494844</v>
      </c>
      <c r="J4963" s="45">
        <v>1.8631798601799442E-2</v>
      </c>
      <c r="K4963" s="45">
        <v>0.24679999999999999</v>
      </c>
      <c r="N4963" s="54"/>
    </row>
    <row r="4964" spans="2:14" x14ac:dyDescent="0.2">
      <c r="B4964">
        <f t="shared" si="208"/>
        <v>4955</v>
      </c>
      <c r="C4964" s="52">
        <f ca="1"/>
        <v>0.87087973529691953</v>
      </c>
      <c r="D4964" s="52">
        <f ca="1">S0*EXP((μ-0.5*σ*σ)*T+σ*SQRT(T)*$C4964)</f>
        <v>0.81908235491494918</v>
      </c>
      <c r="E4964" s="52">
        <f t="shared" ca="1" si="209"/>
        <v>0</v>
      </c>
      <c r="F4964" s="17">
        <f t="shared" ca="1" si="210"/>
        <v>0</v>
      </c>
      <c r="H4964" s="17">
        <v>4955</v>
      </c>
      <c r="I4964" s="45">
        <v>0.66901613631632606</v>
      </c>
      <c r="J4964" s="45">
        <v>1.7670848157852602E-2</v>
      </c>
      <c r="K4964" s="45">
        <v>0.2382</v>
      </c>
      <c r="N4964" s="54"/>
    </row>
    <row r="4965" spans="2:14" x14ac:dyDescent="0.2">
      <c r="B4965">
        <f t="shared" si="208"/>
        <v>4956</v>
      </c>
      <c r="C4965" s="52">
        <f ca="1"/>
        <v>-0.31428455584434795</v>
      </c>
      <c r="D4965" s="52">
        <f ca="1">S0*EXP((μ-0.5*σ*σ)*T+σ*SQRT(T)*$C4965)</f>
        <v>0.59026210908084498</v>
      </c>
      <c r="E4965" s="52">
        <f t="shared" ca="1" si="209"/>
        <v>0</v>
      </c>
      <c r="F4965" s="17">
        <f t="shared" ca="1" si="210"/>
        <v>0</v>
      </c>
      <c r="H4965" s="17">
        <v>4956</v>
      </c>
      <c r="I4965" s="45">
        <v>0.66940930762917128</v>
      </c>
      <c r="J4965" s="45">
        <v>1.7866814793194196E-2</v>
      </c>
      <c r="K4965" s="45">
        <v>0.24640000000000001</v>
      </c>
      <c r="N4965" s="54"/>
    </row>
    <row r="4966" spans="2:14" x14ac:dyDescent="0.2">
      <c r="B4966">
        <f t="shared" si="208"/>
        <v>4957</v>
      </c>
      <c r="C4966" s="52">
        <f ca="1"/>
        <v>1.7139140147377829</v>
      </c>
      <c r="D4966" s="52">
        <f ca="1">S0*EXP((μ-0.5*σ*σ)*T+σ*SQRT(T)*$C4966)</f>
        <v>1.0340379108514881</v>
      </c>
      <c r="E4966" s="52">
        <f t="shared" ca="1" si="209"/>
        <v>0</v>
      </c>
      <c r="F4966" s="17">
        <f t="shared" ca="1" si="210"/>
        <v>0</v>
      </c>
      <c r="H4966" s="17">
        <v>4957</v>
      </c>
      <c r="I4966" s="45">
        <v>0.67188427218003866</v>
      </c>
      <c r="J4966" s="45">
        <v>1.9588227088315088E-2</v>
      </c>
      <c r="K4966" s="45">
        <v>0.25180000000000002</v>
      </c>
      <c r="N4966" s="54"/>
    </row>
    <row r="4967" spans="2:14" x14ac:dyDescent="0.2">
      <c r="B4967">
        <f t="shared" si="208"/>
        <v>4958</v>
      </c>
      <c r="C4967" s="52">
        <f ca="1"/>
        <v>-0.92683196891322717</v>
      </c>
      <c r="D4967" s="52">
        <f ca="1">S0*EXP((μ-0.5*σ*σ)*T+σ*SQRT(T)*$C4967)</f>
        <v>0.49831812096555894</v>
      </c>
      <c r="E4967" s="52">
        <f t="shared" ca="1" si="209"/>
        <v>3.6081879034441044E-2</v>
      </c>
      <c r="F4967" s="17">
        <f t="shared" ca="1" si="210"/>
        <v>1</v>
      </c>
      <c r="H4967" s="17">
        <v>4958</v>
      </c>
      <c r="I4967" s="45">
        <v>0.67074735546416719</v>
      </c>
      <c r="J4967" s="45">
        <v>1.8993373079502343E-2</v>
      </c>
      <c r="K4967" s="45">
        <v>0.246</v>
      </c>
      <c r="N4967" s="54"/>
    </row>
    <row r="4968" spans="2:14" x14ac:dyDescent="0.2">
      <c r="B4968">
        <f t="shared" si="208"/>
        <v>4959</v>
      </c>
      <c r="C4968" s="52">
        <f ca="1"/>
        <v>0.2838672587104949</v>
      </c>
      <c r="D4968" s="52">
        <f ca="1">S0*EXP((μ-0.5*σ*σ)*T+σ*SQRT(T)*$C4968)</f>
        <v>0.69639379669744583</v>
      </c>
      <c r="E4968" s="52">
        <f t="shared" ca="1" si="209"/>
        <v>0</v>
      </c>
      <c r="F4968" s="17">
        <f t="shared" ca="1" si="210"/>
        <v>0</v>
      </c>
      <c r="H4968" s="17">
        <v>4959</v>
      </c>
      <c r="I4968" s="45">
        <v>0.67003237830957652</v>
      </c>
      <c r="J4968" s="45">
        <v>1.8360095687995886E-2</v>
      </c>
      <c r="K4968" s="45">
        <v>0.2422</v>
      </c>
      <c r="N4968" s="54"/>
    </row>
    <row r="4969" spans="2:14" x14ac:dyDescent="0.2">
      <c r="B4969">
        <f t="shared" si="208"/>
        <v>4960</v>
      </c>
      <c r="C4969" s="52">
        <f ca="1"/>
        <v>1.4834896832895181</v>
      </c>
      <c r="D4969" s="52">
        <f ca="1">S0*EXP((μ-0.5*σ*σ)*T+σ*SQRT(T)*$C4969)</f>
        <v>0.97022688059032913</v>
      </c>
      <c r="E4969" s="52">
        <f t="shared" ca="1" si="209"/>
        <v>0</v>
      </c>
      <c r="F4969" s="17">
        <f t="shared" ca="1" si="210"/>
        <v>0</v>
      </c>
      <c r="H4969" s="17">
        <v>4960</v>
      </c>
      <c r="I4969" s="45">
        <v>0.6709149882716906</v>
      </c>
      <c r="J4969" s="45">
        <v>1.8978123879083406E-2</v>
      </c>
      <c r="K4969" s="45">
        <v>0.23899999999999999</v>
      </c>
      <c r="N4969" s="54"/>
    </row>
    <row r="4970" spans="2:14" x14ac:dyDescent="0.2">
      <c r="B4970">
        <f t="shared" si="208"/>
        <v>4961</v>
      </c>
      <c r="C4970" s="52">
        <f ca="1"/>
        <v>0.36095389778580345</v>
      </c>
      <c r="D4970" s="52">
        <f ca="1">S0*EXP((μ-0.5*σ*σ)*T+σ*SQRT(T)*$C4970)</f>
        <v>0.71139266836848214</v>
      </c>
      <c r="E4970" s="52">
        <f t="shared" ca="1" si="209"/>
        <v>0</v>
      </c>
      <c r="F4970" s="17">
        <f t="shared" ca="1" si="210"/>
        <v>0</v>
      </c>
      <c r="H4970" s="17">
        <v>4961</v>
      </c>
      <c r="I4970" s="45">
        <v>0.67073357729161065</v>
      </c>
      <c r="J4970" s="45">
        <v>1.886118953540767E-2</v>
      </c>
      <c r="K4970" s="45">
        <v>0.252</v>
      </c>
      <c r="N4970" s="54"/>
    </row>
    <row r="4971" spans="2:14" x14ac:dyDescent="0.2">
      <c r="B4971">
        <f t="shared" ref="B4971:B5009" si="211">B4970+1</f>
        <v>4962</v>
      </c>
      <c r="C4971" s="52">
        <f ca="1"/>
        <v>-1.1967036090885914E-2</v>
      </c>
      <c r="D4971" s="52">
        <f ca="1">S0*EXP((μ-0.5*σ*σ)*T+σ*SQRT(T)*$C4971)</f>
        <v>0.6417103814307803</v>
      </c>
      <c r="E4971" s="52">
        <f t="shared" ca="1" si="209"/>
        <v>0</v>
      </c>
      <c r="F4971" s="17">
        <f t="shared" ca="1" si="210"/>
        <v>0</v>
      </c>
      <c r="H4971" s="17">
        <v>4962</v>
      </c>
      <c r="I4971" s="45">
        <v>0.66956960567175783</v>
      </c>
      <c r="J4971" s="45">
        <v>1.7788293997860943E-2</v>
      </c>
      <c r="K4971" s="45">
        <v>0.24</v>
      </c>
      <c r="N4971" s="54"/>
    </row>
    <row r="4972" spans="2:14" x14ac:dyDescent="0.2">
      <c r="B4972">
        <f t="shared" si="211"/>
        <v>4963</v>
      </c>
      <c r="C4972" s="52">
        <f ca="1"/>
        <v>-1.0934784595039213</v>
      </c>
      <c r="D4972" s="52">
        <f ca="1">S0*EXP((μ-0.5*σ*σ)*T+σ*SQRT(T)*$C4972)</f>
        <v>0.47588306487447574</v>
      </c>
      <c r="E4972" s="52">
        <f t="shared" ca="1" si="209"/>
        <v>5.851693512552425E-2</v>
      </c>
      <c r="F4972" s="17">
        <f t="shared" ca="1" si="210"/>
        <v>1</v>
      </c>
      <c r="H4972" s="17">
        <v>4963</v>
      </c>
      <c r="I4972" s="45">
        <v>0.67164709320487059</v>
      </c>
      <c r="J4972" s="45">
        <v>1.9272127591798423E-2</v>
      </c>
      <c r="K4972" s="45">
        <v>0.24640000000000001</v>
      </c>
      <c r="N4972" s="54"/>
    </row>
    <row r="4973" spans="2:14" x14ac:dyDescent="0.2">
      <c r="B4973">
        <f t="shared" si="211"/>
        <v>4964</v>
      </c>
      <c r="C4973" s="52">
        <f ca="1"/>
        <v>-0.97539919578302259</v>
      </c>
      <c r="D4973" s="52">
        <f ca="1">S0*EXP((μ-0.5*σ*σ)*T+σ*SQRT(T)*$C4973)</f>
        <v>0.49167263038409981</v>
      </c>
      <c r="E4973" s="52">
        <f t="shared" ca="1" si="209"/>
        <v>4.2727369615900179E-2</v>
      </c>
      <c r="F4973" s="17">
        <f t="shared" ca="1" si="210"/>
        <v>1</v>
      </c>
      <c r="H4973" s="17">
        <v>4964</v>
      </c>
      <c r="I4973" s="45">
        <v>0.67142456862731847</v>
      </c>
      <c r="J4973" s="45">
        <v>1.9395568567742615E-2</v>
      </c>
      <c r="K4973" s="45">
        <v>0.2482</v>
      </c>
      <c r="N4973" s="54"/>
    </row>
    <row r="4974" spans="2:14" x14ac:dyDescent="0.2">
      <c r="B4974">
        <f t="shared" si="211"/>
        <v>4965</v>
      </c>
      <c r="C4974" s="52">
        <f ca="1"/>
        <v>-1.763231801436993</v>
      </c>
      <c r="D4974" s="52">
        <f ca="1">S0*EXP((μ-0.5*σ*σ)*T+σ*SQRT(T)*$C4974)</f>
        <v>0.39545245403396262</v>
      </c>
      <c r="E4974" s="52">
        <f t="shared" ca="1" si="209"/>
        <v>0.13894754596603737</v>
      </c>
      <c r="F4974" s="17">
        <f t="shared" ca="1" si="210"/>
        <v>1</v>
      </c>
      <c r="H4974" s="17">
        <v>4965</v>
      </c>
      <c r="I4974" s="45">
        <v>0.67011431030064172</v>
      </c>
      <c r="J4974" s="45">
        <v>1.8382088710348035E-2</v>
      </c>
      <c r="K4974" s="45">
        <v>0.24340000000000001</v>
      </c>
      <c r="N4974" s="54"/>
    </row>
    <row r="4975" spans="2:14" x14ac:dyDescent="0.2">
      <c r="B4975">
        <f t="shared" si="211"/>
        <v>4966</v>
      </c>
      <c r="C4975" s="52">
        <f ca="1"/>
        <v>-0.48051447375896472</v>
      </c>
      <c r="D4975" s="52">
        <f ca="1">S0*EXP((μ-0.5*σ*σ)*T+σ*SQRT(T)*$C4975)</f>
        <v>0.56375250653159714</v>
      </c>
      <c r="E4975" s="52">
        <f t="shared" ca="1" si="209"/>
        <v>0</v>
      </c>
      <c r="F4975" s="17">
        <f t="shared" ca="1" si="210"/>
        <v>0</v>
      </c>
      <c r="H4975" s="17">
        <v>4966</v>
      </c>
      <c r="I4975" s="45">
        <v>0.67001914835849252</v>
      </c>
      <c r="J4975" s="45">
        <v>1.8055965277695776E-2</v>
      </c>
      <c r="K4975" s="45">
        <v>0.23799999999999999</v>
      </c>
      <c r="N4975" s="54"/>
    </row>
    <row r="4976" spans="2:14" x14ac:dyDescent="0.2">
      <c r="B4976">
        <f t="shared" si="211"/>
        <v>4967</v>
      </c>
      <c r="C4976" s="52">
        <f ca="1"/>
        <v>0.47137923862589443</v>
      </c>
      <c r="D4976" s="52">
        <f ca="1">S0*EXP((μ-0.5*σ*σ)*T+σ*SQRT(T)*$C4976)</f>
        <v>0.73344287022224375</v>
      </c>
      <c r="E4976" s="52">
        <f t="shared" ca="1" si="209"/>
        <v>0</v>
      </c>
      <c r="F4976" s="17">
        <f t="shared" ca="1" si="210"/>
        <v>0</v>
      </c>
      <c r="H4976" s="17">
        <v>4967</v>
      </c>
      <c r="I4976" s="45">
        <v>0.67110473345526256</v>
      </c>
      <c r="J4976" s="45">
        <v>1.9068239607506549E-2</v>
      </c>
      <c r="K4976" s="45">
        <v>0.24859999999999999</v>
      </c>
      <c r="N4976" s="54"/>
    </row>
    <row r="4977" spans="2:14" x14ac:dyDescent="0.2">
      <c r="B4977">
        <f t="shared" si="211"/>
        <v>4968</v>
      </c>
      <c r="C4977" s="52">
        <f ca="1"/>
        <v>-0.63312967133494102</v>
      </c>
      <c r="D4977" s="52">
        <f ca="1">S0*EXP((μ-0.5*σ*σ)*T+σ*SQRT(T)*$C4977)</f>
        <v>0.54046373221570687</v>
      </c>
      <c r="E4977" s="52">
        <f t="shared" ca="1" si="209"/>
        <v>0</v>
      </c>
      <c r="F4977" s="17">
        <f t="shared" ca="1" si="210"/>
        <v>0</v>
      </c>
      <c r="H4977" s="17">
        <v>4968</v>
      </c>
      <c r="I4977" s="45">
        <v>0.67101293511574167</v>
      </c>
      <c r="J4977" s="45">
        <v>1.8795181571447914E-2</v>
      </c>
      <c r="K4977" s="45">
        <v>0.24779999999999999</v>
      </c>
      <c r="N4977" s="54"/>
    </row>
    <row r="4978" spans="2:14" x14ac:dyDescent="0.2">
      <c r="B4978">
        <f t="shared" si="211"/>
        <v>4969</v>
      </c>
      <c r="C4978" s="52">
        <f ca="1"/>
        <v>1.8636281923799689</v>
      </c>
      <c r="D4978" s="52">
        <f ca="1">S0*EXP((μ-0.5*σ*σ)*T+σ*SQRT(T)*$C4978)</f>
        <v>1.0777303542980856</v>
      </c>
      <c r="E4978" s="52">
        <f t="shared" ca="1" si="209"/>
        <v>0</v>
      </c>
      <c r="F4978" s="17">
        <f t="shared" ca="1" si="210"/>
        <v>0</v>
      </c>
      <c r="H4978" s="17">
        <v>4969</v>
      </c>
      <c r="I4978" s="45">
        <v>0.67080402081784873</v>
      </c>
      <c r="J4978" s="45">
        <v>1.9116163589666918E-2</v>
      </c>
      <c r="K4978" s="45">
        <v>0.25419999999999998</v>
      </c>
      <c r="N4978" s="54"/>
    </row>
    <row r="4979" spans="2:14" x14ac:dyDescent="0.2">
      <c r="B4979">
        <f t="shared" si="211"/>
        <v>4970</v>
      </c>
      <c r="C4979" s="52">
        <f ca="1"/>
        <v>-1.154309010413745</v>
      </c>
      <c r="D4979" s="52">
        <f ca="1">S0*EXP((μ-0.5*σ*σ)*T+σ*SQRT(T)*$C4979)</f>
        <v>0.46794773857370137</v>
      </c>
      <c r="E4979" s="52">
        <f t="shared" ca="1" si="209"/>
        <v>6.645226142629862E-2</v>
      </c>
      <c r="F4979" s="17">
        <f t="shared" ca="1" si="210"/>
        <v>1</v>
      </c>
      <c r="H4979" s="17">
        <v>4970</v>
      </c>
      <c r="I4979" s="45">
        <v>0.67217204054537416</v>
      </c>
      <c r="J4979" s="45">
        <v>1.96138498525107E-2</v>
      </c>
      <c r="K4979" s="45">
        <v>0.24260000000000001</v>
      </c>
      <c r="N4979" s="54"/>
    </row>
    <row r="4980" spans="2:14" x14ac:dyDescent="0.2">
      <c r="B4980">
        <f t="shared" si="211"/>
        <v>4971</v>
      </c>
      <c r="C4980" s="52">
        <f ca="1"/>
        <v>-0.47618812542341915</v>
      </c>
      <c r="D4980" s="52">
        <f ca="1">S0*EXP((μ-0.5*σ*σ)*T+σ*SQRT(T)*$C4980)</f>
        <v>0.5644271259114827</v>
      </c>
      <c r="E4980" s="52">
        <f t="shared" ca="1" si="209"/>
        <v>0</v>
      </c>
      <c r="F4980" s="17">
        <f t="shared" ca="1" si="210"/>
        <v>0</v>
      </c>
      <c r="H4980" s="17">
        <v>4971</v>
      </c>
      <c r="I4980" s="45">
        <v>0.67221057099940495</v>
      </c>
      <c r="J4980" s="45">
        <v>1.9959987812741532E-2</v>
      </c>
      <c r="K4980" s="45">
        <v>0.25740000000000002</v>
      </c>
      <c r="N4980" s="54"/>
    </row>
    <row r="4981" spans="2:14" x14ac:dyDescent="0.2">
      <c r="B4981">
        <f t="shared" si="211"/>
        <v>4972</v>
      </c>
      <c r="C4981" s="52">
        <f ca="1"/>
        <v>-0.16676117566746987</v>
      </c>
      <c r="D4981" s="52">
        <f ca="1">S0*EXP((μ-0.5*σ*σ)*T+σ*SQRT(T)*$C4981)</f>
        <v>0.61483070263220241</v>
      </c>
      <c r="E4981" s="52">
        <f t="shared" ca="1" si="209"/>
        <v>0</v>
      </c>
      <c r="F4981" s="17">
        <f t="shared" ca="1" si="210"/>
        <v>0</v>
      </c>
      <c r="H4981" s="17">
        <v>4972</v>
      </c>
      <c r="I4981" s="45">
        <v>0.67156970575595509</v>
      </c>
      <c r="J4981" s="45">
        <v>1.918356425215342E-2</v>
      </c>
      <c r="K4981" s="45">
        <v>0.24199999999999999</v>
      </c>
      <c r="N4981" s="54"/>
    </row>
    <row r="4982" spans="2:14" x14ac:dyDescent="0.2">
      <c r="B4982">
        <f t="shared" si="211"/>
        <v>4973</v>
      </c>
      <c r="C4982" s="52">
        <f ca="1"/>
        <v>-0.67048914266157178</v>
      </c>
      <c r="D4982" s="52">
        <f ca="1">S0*EXP((μ-0.5*σ*σ)*T+σ*SQRT(T)*$C4982)</f>
        <v>0.53491088442388501</v>
      </c>
      <c r="E4982" s="52">
        <f t="shared" ca="1" si="209"/>
        <v>0</v>
      </c>
      <c r="F4982" s="17">
        <f t="shared" ca="1" si="210"/>
        <v>0</v>
      </c>
      <c r="H4982" s="17">
        <v>4973</v>
      </c>
      <c r="I4982" s="45">
        <v>0.6693281136228898</v>
      </c>
      <c r="J4982" s="45">
        <v>1.7811375971837542E-2</v>
      </c>
      <c r="K4982" s="45">
        <v>0.2402</v>
      </c>
      <c r="N4982" s="54"/>
    </row>
    <row r="4983" spans="2:14" x14ac:dyDescent="0.2">
      <c r="B4983">
        <f t="shared" si="211"/>
        <v>4974</v>
      </c>
      <c r="C4983" s="52">
        <f ca="1"/>
        <v>0.56988664907943365</v>
      </c>
      <c r="D4983" s="52">
        <f ca="1">S0*EXP((μ-0.5*σ*σ)*T+σ*SQRT(T)*$C4983)</f>
        <v>0.75368940921801619</v>
      </c>
      <c r="E4983" s="52">
        <f t="shared" ca="1" si="209"/>
        <v>0</v>
      </c>
      <c r="F4983" s="17">
        <f t="shared" ca="1" si="210"/>
        <v>0</v>
      </c>
      <c r="H4983" s="17">
        <v>4974</v>
      </c>
      <c r="I4983" s="45">
        <v>0.67056126252469317</v>
      </c>
      <c r="J4983" s="45">
        <v>1.8570989836804493E-2</v>
      </c>
      <c r="K4983" s="45">
        <v>0.23599999999999999</v>
      </c>
      <c r="N4983" s="54"/>
    </row>
    <row r="4984" spans="2:14" x14ac:dyDescent="0.2">
      <c r="B4984">
        <f t="shared" si="211"/>
        <v>4975</v>
      </c>
      <c r="C4984" s="52">
        <f ca="1"/>
        <v>0.44995178171880751</v>
      </c>
      <c r="D4984" s="52">
        <f ca="1">S0*EXP((μ-0.5*σ*σ)*T+σ*SQRT(T)*$C4984)</f>
        <v>0.72911134884796458</v>
      </c>
      <c r="E4984" s="52">
        <f t="shared" ca="1" si="209"/>
        <v>0</v>
      </c>
      <c r="F4984" s="17">
        <f t="shared" ca="1" si="210"/>
        <v>0</v>
      </c>
      <c r="H4984" s="17">
        <v>4975</v>
      </c>
      <c r="I4984" s="45">
        <v>0.67282238365378921</v>
      </c>
      <c r="J4984" s="45">
        <v>1.995674666790085E-2</v>
      </c>
      <c r="K4984" s="45">
        <v>0.24940000000000001</v>
      </c>
      <c r="N4984" s="54"/>
    </row>
    <row r="4985" spans="2:14" x14ac:dyDescent="0.2">
      <c r="B4985">
        <f t="shared" si="211"/>
        <v>4976</v>
      </c>
      <c r="C4985" s="52">
        <f ca="1"/>
        <v>-0.30875149095448173</v>
      </c>
      <c r="D4985" s="52">
        <f ca="1">S0*EXP((μ-0.5*σ*σ)*T+σ*SQRT(T)*$C4985)</f>
        <v>0.59116561700075776</v>
      </c>
      <c r="E4985" s="52">
        <f t="shared" ca="1" si="209"/>
        <v>0</v>
      </c>
      <c r="F4985" s="17">
        <f t="shared" ca="1" si="210"/>
        <v>0</v>
      </c>
      <c r="H4985" s="17">
        <v>4976</v>
      </c>
      <c r="I4985" s="45">
        <v>0.6705371237355976</v>
      </c>
      <c r="J4985" s="45">
        <v>1.8570736772138035E-2</v>
      </c>
      <c r="K4985" s="45">
        <v>0.2452</v>
      </c>
      <c r="N4985" s="54"/>
    </row>
    <row r="4986" spans="2:14" x14ac:dyDescent="0.2">
      <c r="B4986">
        <f t="shared" si="211"/>
        <v>4977</v>
      </c>
      <c r="C4986" s="52">
        <f ca="1"/>
        <v>-4.1233128015988975E-2</v>
      </c>
      <c r="D4986" s="52">
        <f ca="1">S0*EXP((μ-0.5*σ*σ)*T+σ*SQRT(T)*$C4986)</f>
        <v>0.63653982406195653</v>
      </c>
      <c r="E4986" s="52">
        <f t="shared" ca="1" si="209"/>
        <v>0</v>
      </c>
      <c r="F4986" s="17">
        <f t="shared" ca="1" si="210"/>
        <v>0</v>
      </c>
      <c r="H4986" s="17">
        <v>4977</v>
      </c>
      <c r="I4986" s="45">
        <v>0.67102180080068774</v>
      </c>
      <c r="J4986" s="45">
        <v>1.8954348409139763E-2</v>
      </c>
      <c r="K4986" s="45">
        <v>0.24859999999999999</v>
      </c>
      <c r="N4986" s="54"/>
    </row>
    <row r="4987" spans="2:14" x14ac:dyDescent="0.2">
      <c r="B4987">
        <f t="shared" si="211"/>
        <v>4978</v>
      </c>
      <c r="C4987" s="52">
        <f ca="1"/>
        <v>0.42064888075356843</v>
      </c>
      <c r="D4987" s="52">
        <f ca="1">S0*EXP((μ-0.5*σ*σ)*T+σ*SQRT(T)*$C4987)</f>
        <v>0.72322920240659683</v>
      </c>
      <c r="E4987" s="52">
        <f t="shared" ca="1" si="209"/>
        <v>0</v>
      </c>
      <c r="F4987" s="17">
        <f t="shared" ca="1" si="210"/>
        <v>0</v>
      </c>
      <c r="H4987" s="17">
        <v>4978</v>
      </c>
      <c r="I4987" s="45">
        <v>0.67012422180061049</v>
      </c>
      <c r="J4987" s="45">
        <v>1.8227319021893795E-2</v>
      </c>
      <c r="K4987" s="45">
        <v>0.245</v>
      </c>
      <c r="N4987" s="54"/>
    </row>
    <row r="4988" spans="2:14" x14ac:dyDescent="0.2">
      <c r="B4988">
        <f t="shared" si="211"/>
        <v>4979</v>
      </c>
      <c r="C4988" s="52">
        <f ca="1"/>
        <v>2.3259874362922099</v>
      </c>
      <c r="D4988" s="52">
        <f ca="1">S0*EXP((μ-0.5*σ*σ)*T+σ*SQRT(T)*$C4988)</f>
        <v>1.2246663428871121</v>
      </c>
      <c r="E4988" s="52">
        <f t="shared" ca="1" si="209"/>
        <v>0</v>
      </c>
      <c r="F4988" s="17">
        <f t="shared" ca="1" si="210"/>
        <v>0</v>
      </c>
      <c r="H4988" s="17">
        <v>4979</v>
      </c>
      <c r="I4988" s="45">
        <v>0.67069737766377269</v>
      </c>
      <c r="J4988" s="45">
        <v>1.8847654038001382E-2</v>
      </c>
      <c r="K4988" s="45">
        <v>0.24740000000000001</v>
      </c>
      <c r="N4988" s="54"/>
    </row>
    <row r="4989" spans="2:14" x14ac:dyDescent="0.2">
      <c r="B4989">
        <f t="shared" si="211"/>
        <v>4980</v>
      </c>
      <c r="C4989" s="52">
        <f ca="1"/>
        <v>-1.2660431880426384</v>
      </c>
      <c r="D4989" s="52">
        <f ca="1">S0*EXP((μ-0.5*σ*σ)*T+σ*SQRT(T)*$C4989)</f>
        <v>0.45371518731164018</v>
      </c>
      <c r="E4989" s="52">
        <f t="shared" ca="1" si="209"/>
        <v>8.0684812688359808E-2</v>
      </c>
      <c r="F4989" s="17">
        <f t="shared" ca="1" si="210"/>
        <v>1</v>
      </c>
      <c r="H4989" s="17">
        <v>4980</v>
      </c>
      <c r="I4989" s="45">
        <v>0.67061897244873159</v>
      </c>
      <c r="J4989" s="45">
        <v>1.863364690616286E-2</v>
      </c>
      <c r="K4989" s="45">
        <v>0.2482</v>
      </c>
      <c r="N4989" s="54"/>
    </row>
    <row r="4990" spans="2:14" x14ac:dyDescent="0.2">
      <c r="B4990">
        <f t="shared" si="211"/>
        <v>4981</v>
      </c>
      <c r="C4990" s="52">
        <f ca="1"/>
        <v>-0.45749935575423983</v>
      </c>
      <c r="D4990" s="52">
        <f ca="1">S0*EXP((μ-0.5*σ*σ)*T+σ*SQRT(T)*$C4990)</f>
        <v>0.56735060516583857</v>
      </c>
      <c r="E4990" s="52">
        <f t="shared" ca="1" si="209"/>
        <v>0</v>
      </c>
      <c r="F4990" s="17">
        <f t="shared" ca="1" si="210"/>
        <v>0</v>
      </c>
      <c r="H4990" s="17">
        <v>4981</v>
      </c>
      <c r="I4990" s="45">
        <v>0.67052071348610065</v>
      </c>
      <c r="J4990" s="45">
        <v>1.861876860438828E-2</v>
      </c>
      <c r="K4990" s="45">
        <v>0.247</v>
      </c>
      <c r="N4990" s="54"/>
    </row>
    <row r="4991" spans="2:14" x14ac:dyDescent="0.2">
      <c r="B4991">
        <f t="shared" si="211"/>
        <v>4982</v>
      </c>
      <c r="C4991" s="52">
        <f ca="1"/>
        <v>0.35706996806144481</v>
      </c>
      <c r="D4991" s="52">
        <f ca="1">S0*EXP((μ-0.5*σ*σ)*T+σ*SQRT(T)*$C4991)</f>
        <v>0.71062929544433284</v>
      </c>
      <c r="E4991" s="52">
        <f t="shared" ca="1" si="209"/>
        <v>0</v>
      </c>
      <c r="F4991" s="17">
        <f t="shared" ca="1" si="210"/>
        <v>0</v>
      </c>
      <c r="H4991" s="17">
        <v>4982</v>
      </c>
      <c r="I4991" s="45">
        <v>0.67146511629875649</v>
      </c>
      <c r="J4991" s="45">
        <v>1.9363753908569335E-2</v>
      </c>
      <c r="K4991" s="45">
        <v>0.24679999999999999</v>
      </c>
      <c r="N4991" s="54"/>
    </row>
    <row r="4992" spans="2:14" x14ac:dyDescent="0.2">
      <c r="B4992">
        <f t="shared" si="211"/>
        <v>4983</v>
      </c>
      <c r="C4992" s="52">
        <f ca="1"/>
        <v>6.5576538854091981E-2</v>
      </c>
      <c r="D4992" s="52">
        <f ca="1">S0*EXP((μ-0.5*σ*σ)*T+σ*SQRT(T)*$C4992)</f>
        <v>0.65561429292938189</v>
      </c>
      <c r="E4992" s="52">
        <f t="shared" ca="1" si="209"/>
        <v>0</v>
      </c>
      <c r="F4992" s="17">
        <f t="shared" ca="1" si="210"/>
        <v>0</v>
      </c>
      <c r="H4992" s="17">
        <v>4983</v>
      </c>
      <c r="I4992" s="45">
        <v>0.6702647257740828</v>
      </c>
      <c r="J4992" s="45">
        <v>1.8603001158966074E-2</v>
      </c>
      <c r="K4992" s="45">
        <v>0.24560000000000001</v>
      </c>
      <c r="N4992" s="54"/>
    </row>
    <row r="4993" spans="2:14" x14ac:dyDescent="0.2">
      <c r="B4993">
        <f t="shared" si="211"/>
        <v>4984</v>
      </c>
      <c r="C4993" s="52">
        <f ca="1"/>
        <v>1.0999887298409559E-2</v>
      </c>
      <c r="D4993" s="52">
        <f ca="1">S0*EXP((μ-0.5*σ*σ)*T+σ*SQRT(T)*$C4993)</f>
        <v>0.645797435315415</v>
      </c>
      <c r="E4993" s="52">
        <f t="shared" ca="1" si="209"/>
        <v>0</v>
      </c>
      <c r="F4993" s="17">
        <f t="shared" ca="1" si="210"/>
        <v>0</v>
      </c>
      <c r="H4993" s="17">
        <v>4984</v>
      </c>
      <c r="I4993" s="45">
        <v>0.67168508577514963</v>
      </c>
      <c r="J4993" s="45">
        <v>1.9500760985565933E-2</v>
      </c>
      <c r="K4993" s="45">
        <v>0.24779999999999999</v>
      </c>
      <c r="N4993" s="54"/>
    </row>
    <row r="4994" spans="2:14" x14ac:dyDescent="0.2">
      <c r="B4994">
        <f t="shared" si="211"/>
        <v>4985</v>
      </c>
      <c r="C4994" s="52">
        <f ca="1"/>
        <v>0.65605562431928777</v>
      </c>
      <c r="D4994" s="52">
        <f ca="1">S0*EXP((μ-0.5*σ*σ)*T+σ*SQRT(T)*$C4994)</f>
        <v>0.77185774537643059</v>
      </c>
      <c r="E4994" s="52">
        <f t="shared" ca="1" si="209"/>
        <v>0</v>
      </c>
      <c r="F4994" s="17">
        <f t="shared" ca="1" si="210"/>
        <v>0</v>
      </c>
      <c r="H4994" s="17">
        <v>4985</v>
      </c>
      <c r="I4994" s="45">
        <v>0.67126166103227192</v>
      </c>
      <c r="J4994" s="45">
        <v>1.9433540664925291E-2</v>
      </c>
      <c r="K4994" s="45">
        <v>0.2462</v>
      </c>
      <c r="N4994" s="54"/>
    </row>
    <row r="4995" spans="2:14" x14ac:dyDescent="0.2">
      <c r="B4995">
        <f t="shared" si="211"/>
        <v>4986</v>
      </c>
      <c r="C4995" s="52">
        <f ca="1"/>
        <v>0.67243158988370366</v>
      </c>
      <c r="D4995" s="52">
        <f ca="1">S0*EXP((μ-0.5*σ*σ)*T+σ*SQRT(T)*$C4995)</f>
        <v>0.77535974962385457</v>
      </c>
      <c r="E4995" s="52">
        <f t="shared" ca="1" si="209"/>
        <v>0</v>
      </c>
      <c r="F4995" s="17">
        <f t="shared" ca="1" si="210"/>
        <v>0</v>
      </c>
      <c r="H4995" s="17">
        <v>4986</v>
      </c>
      <c r="I4995" s="45">
        <v>0.66990646469617499</v>
      </c>
      <c r="J4995" s="45">
        <v>1.8213075672199541E-2</v>
      </c>
      <c r="K4995" s="45">
        <v>0.24079999999999999</v>
      </c>
      <c r="N4995" s="54"/>
    </row>
    <row r="4996" spans="2:14" x14ac:dyDescent="0.2">
      <c r="B4996">
        <f t="shared" si="211"/>
        <v>4987</v>
      </c>
      <c r="C4996" s="52">
        <f ca="1"/>
        <v>0.2689346242106932</v>
      </c>
      <c r="D4996" s="52">
        <f ca="1">S0*EXP((μ-0.5*σ*σ)*T+σ*SQRT(T)*$C4996)</f>
        <v>0.69352510151149926</v>
      </c>
      <c r="E4996" s="52">
        <f t="shared" ca="1" si="209"/>
        <v>0</v>
      </c>
      <c r="F4996" s="17">
        <f t="shared" ca="1" si="210"/>
        <v>0</v>
      </c>
      <c r="H4996" s="17">
        <v>4987</v>
      </c>
      <c r="I4996" s="45">
        <v>0.67031348459438822</v>
      </c>
      <c r="J4996" s="45">
        <v>1.8212285492803015E-2</v>
      </c>
      <c r="K4996" s="45">
        <v>0.2374</v>
      </c>
      <c r="N4996" s="54"/>
    </row>
    <row r="4997" spans="2:14" x14ac:dyDescent="0.2">
      <c r="B4997">
        <f t="shared" si="211"/>
        <v>4988</v>
      </c>
      <c r="C4997" s="52">
        <f ca="1"/>
        <v>0.8267804524645781</v>
      </c>
      <c r="D4997" s="52">
        <f ca="1">S0*EXP((μ-0.5*σ*σ)*T+σ*SQRT(T)*$C4997)</f>
        <v>0.80915796588757061</v>
      </c>
      <c r="E4997" s="52">
        <f t="shared" ca="1" si="209"/>
        <v>0</v>
      </c>
      <c r="F4997" s="17">
        <f t="shared" ca="1" si="210"/>
        <v>0</v>
      </c>
      <c r="H4997" s="17">
        <v>4988</v>
      </c>
      <c r="I4997" s="45">
        <v>0.67209951879379448</v>
      </c>
      <c r="J4997" s="45">
        <v>1.9739844256369321E-2</v>
      </c>
      <c r="K4997" s="45">
        <v>0.25059999999999999</v>
      </c>
      <c r="N4997" s="54"/>
    </row>
    <row r="4998" spans="2:14" x14ac:dyDescent="0.2">
      <c r="B4998">
        <f t="shared" si="211"/>
        <v>4989</v>
      </c>
      <c r="C4998" s="52">
        <f ca="1"/>
        <v>-0.3217606988872167</v>
      </c>
      <c r="D4998" s="52">
        <f ca="1">S0*EXP((μ-0.5*σ*σ)*T+σ*SQRT(T)*$C4998)</f>
        <v>0.58904350412620365</v>
      </c>
      <c r="E4998" s="52">
        <f t="shared" ca="1" si="209"/>
        <v>0</v>
      </c>
      <c r="F4998" s="17">
        <f t="shared" ca="1" si="210"/>
        <v>0</v>
      </c>
      <c r="H4998" s="17">
        <v>4989</v>
      </c>
      <c r="I4998" s="45">
        <v>0.67239417677118241</v>
      </c>
      <c r="J4998" s="45">
        <v>2.0110239182340141E-2</v>
      </c>
      <c r="K4998" s="45">
        <v>0.24979999999999999</v>
      </c>
      <c r="N4998" s="54"/>
    </row>
    <row r="4999" spans="2:14" x14ac:dyDescent="0.2">
      <c r="B4999">
        <f t="shared" si="211"/>
        <v>4990</v>
      </c>
      <c r="C4999" s="52">
        <f ca="1"/>
        <v>1.2153330006481595</v>
      </c>
      <c r="D4999" s="52">
        <f ca="1">S0*EXP((μ-0.5*σ*σ)*T+σ*SQRT(T)*$C4999)</f>
        <v>0.90090761474984249</v>
      </c>
      <c r="E4999" s="52">
        <f t="shared" ca="1" si="209"/>
        <v>0</v>
      </c>
      <c r="F4999" s="17">
        <f t="shared" ca="1" si="210"/>
        <v>0</v>
      </c>
      <c r="H4999" s="17">
        <v>4990</v>
      </c>
      <c r="I4999" s="45">
        <v>0.6705793113690306</v>
      </c>
      <c r="J4999" s="45">
        <v>1.8689862149309067E-2</v>
      </c>
      <c r="K4999" s="45">
        <v>0.23899999999999999</v>
      </c>
      <c r="N4999" s="54"/>
    </row>
    <row r="5000" spans="2:14" x14ac:dyDescent="0.2">
      <c r="B5000">
        <f t="shared" si="211"/>
        <v>4991</v>
      </c>
      <c r="C5000" s="52">
        <f ca="1"/>
        <v>-1.7878883171754421</v>
      </c>
      <c r="D5000" s="52">
        <f ca="1">S0*EXP((μ-0.5*σ*σ)*T+σ*SQRT(T)*$C5000)</f>
        <v>0.39276626917206375</v>
      </c>
      <c r="E5000" s="52">
        <f t="shared" ca="1" si="209"/>
        <v>0.14163373082793623</v>
      </c>
      <c r="F5000" s="17">
        <f t="shared" ca="1" si="210"/>
        <v>1</v>
      </c>
      <c r="H5000" s="17">
        <v>4991</v>
      </c>
      <c r="I5000" s="45">
        <v>0.67104783909769972</v>
      </c>
      <c r="J5000" s="45">
        <v>1.9261499995428245E-2</v>
      </c>
      <c r="K5000" s="45">
        <v>0.24579999999999999</v>
      </c>
      <c r="N5000" s="54"/>
    </row>
    <row r="5001" spans="2:14" x14ac:dyDescent="0.2">
      <c r="B5001">
        <f t="shared" si="211"/>
        <v>4992</v>
      </c>
      <c r="C5001" s="52">
        <f ca="1"/>
        <v>0.61172915472510014</v>
      </c>
      <c r="D5001" s="52">
        <f ca="1">S0*EXP((μ-0.5*σ*σ)*T+σ*SQRT(T)*$C5001)</f>
        <v>0.76245766682007121</v>
      </c>
      <c r="E5001" s="52">
        <f t="shared" ca="1" si="209"/>
        <v>0</v>
      </c>
      <c r="F5001" s="17">
        <f t="shared" ca="1" si="210"/>
        <v>0</v>
      </c>
      <c r="H5001" s="17">
        <v>4992</v>
      </c>
      <c r="I5001" s="45">
        <v>0.67106893099215803</v>
      </c>
      <c r="J5001" s="45">
        <v>1.8973758907863663E-2</v>
      </c>
      <c r="K5001" s="45">
        <v>0.24279999999999999</v>
      </c>
      <c r="N5001" s="54"/>
    </row>
    <row r="5002" spans="2:14" x14ac:dyDescent="0.2">
      <c r="B5002">
        <f t="shared" si="211"/>
        <v>4993</v>
      </c>
      <c r="C5002" s="52">
        <f ca="1"/>
        <v>-0.41097330366089563</v>
      </c>
      <c r="D5002" s="52">
        <f ca="1">S0*EXP((μ-0.5*σ*σ)*T+σ*SQRT(T)*$C5002)</f>
        <v>0.57469460467072098</v>
      </c>
      <c r="E5002" s="52">
        <f t="shared" ref="E5002:E5065" ca="1" si="212">MAX(0,CP*(D5002-K))</f>
        <v>0</v>
      </c>
      <c r="F5002" s="17">
        <f t="shared" ref="F5002:F5009" ca="1" si="213">(CP*(D5002-K)&gt;0)*1</f>
        <v>0</v>
      </c>
      <c r="H5002" s="17">
        <v>4993</v>
      </c>
      <c r="I5002" s="45">
        <v>0.67109158826973192</v>
      </c>
      <c r="J5002" s="45">
        <v>1.9026516555512525E-2</v>
      </c>
      <c r="K5002" s="45">
        <v>0.24179999999999999</v>
      </c>
      <c r="N5002" s="54"/>
    </row>
    <row r="5003" spans="2:14" x14ac:dyDescent="0.2">
      <c r="B5003">
        <f t="shared" si="211"/>
        <v>4994</v>
      </c>
      <c r="C5003" s="52">
        <f ca="1"/>
        <v>0.23874191220091892</v>
      </c>
      <c r="D5003" s="52">
        <f ca="1">S0*EXP((μ-0.5*σ*σ)*T+σ*SQRT(T)*$C5003)</f>
        <v>0.68776085789911079</v>
      </c>
      <c r="E5003" s="52">
        <f t="shared" ca="1" si="212"/>
        <v>0</v>
      </c>
      <c r="F5003" s="17">
        <f t="shared" ca="1" si="213"/>
        <v>0</v>
      </c>
      <c r="H5003" s="17">
        <v>4994</v>
      </c>
      <c r="I5003" s="45">
        <v>0.67085817723832952</v>
      </c>
      <c r="J5003" s="45">
        <v>1.89281618117433E-2</v>
      </c>
      <c r="K5003" s="45">
        <v>0.248</v>
      </c>
      <c r="N5003" s="54"/>
    </row>
    <row r="5004" spans="2:14" x14ac:dyDescent="0.2">
      <c r="B5004">
        <f t="shared" si="211"/>
        <v>4995</v>
      </c>
      <c r="C5004" s="52">
        <f ca="1"/>
        <v>1.5280419430370424</v>
      </c>
      <c r="D5004" s="52">
        <f ca="1">S0*EXP((μ-0.5*σ*σ)*T+σ*SQRT(T)*$C5004)</f>
        <v>0.98224978031672883</v>
      </c>
      <c r="E5004" s="52">
        <f t="shared" ca="1" si="212"/>
        <v>0</v>
      </c>
      <c r="F5004" s="17">
        <f t="shared" ca="1" si="213"/>
        <v>0</v>
      </c>
      <c r="H5004" s="17">
        <v>4995</v>
      </c>
      <c r="I5004" s="45">
        <v>0.67214971542068291</v>
      </c>
      <c r="J5004" s="45">
        <v>1.9939789888124969E-2</v>
      </c>
      <c r="K5004" s="45">
        <v>0.25319999999999998</v>
      </c>
      <c r="N5004" s="54"/>
    </row>
    <row r="5005" spans="2:14" x14ac:dyDescent="0.2">
      <c r="B5005">
        <f t="shared" si="211"/>
        <v>4996</v>
      </c>
      <c r="C5005" s="52">
        <f ca="1"/>
        <v>-2.3681723855458059</v>
      </c>
      <c r="D5005" s="52">
        <f ca="1">S0*EXP((μ-0.5*σ*σ)*T+σ*SQRT(T)*$C5005)</f>
        <v>0.33455634697863218</v>
      </c>
      <c r="E5005" s="52">
        <f t="shared" ca="1" si="212"/>
        <v>0.19984365302136781</v>
      </c>
      <c r="F5005" s="17">
        <f t="shared" ca="1" si="213"/>
        <v>1</v>
      </c>
      <c r="H5005" s="17">
        <v>4996</v>
      </c>
      <c r="I5005" s="45">
        <v>0.66921049296843982</v>
      </c>
      <c r="J5005" s="45">
        <v>1.7670247572803721E-2</v>
      </c>
      <c r="K5005" s="45">
        <v>0.2366</v>
      </c>
      <c r="N5005" s="54"/>
    </row>
    <row r="5006" spans="2:14" x14ac:dyDescent="0.2">
      <c r="B5006">
        <f t="shared" si="211"/>
        <v>4997</v>
      </c>
      <c r="C5006" s="52">
        <f ca="1"/>
        <v>1.4088790031267728</v>
      </c>
      <c r="D5006" s="52">
        <f ca="1">S0*EXP((μ-0.5*σ*σ)*T+σ*SQRT(T)*$C5006)</f>
        <v>0.95042107558259292</v>
      </c>
      <c r="E5006" s="52">
        <f t="shared" ca="1" si="212"/>
        <v>0</v>
      </c>
      <c r="F5006" s="17">
        <f t="shared" ca="1" si="213"/>
        <v>0</v>
      </c>
      <c r="H5006" s="17">
        <v>4997</v>
      </c>
      <c r="I5006" s="45">
        <v>0.67045705042376491</v>
      </c>
      <c r="J5006" s="45">
        <v>1.8451698966640343E-2</v>
      </c>
      <c r="K5006" s="45">
        <v>0.23499999999999999</v>
      </c>
      <c r="N5006" s="54"/>
    </row>
    <row r="5007" spans="2:14" x14ac:dyDescent="0.2">
      <c r="B5007">
        <f t="shared" si="211"/>
        <v>4998</v>
      </c>
      <c r="C5007" s="52">
        <f ca="1"/>
        <v>-0.7567756076051525</v>
      </c>
      <c r="D5007" s="52">
        <f ca="1">S0*EXP((μ-0.5*σ*σ)*T+σ*SQRT(T)*$C5007)</f>
        <v>0.52230294685962131</v>
      </c>
      <c r="E5007" s="52">
        <f t="shared" ca="1" si="212"/>
        <v>1.2097053140378677E-2</v>
      </c>
      <c r="F5007" s="17">
        <f t="shared" ca="1" si="213"/>
        <v>1</v>
      </c>
      <c r="H5007" s="17">
        <v>4998</v>
      </c>
      <c r="I5007" s="45">
        <v>0.67177200148934402</v>
      </c>
      <c r="J5007" s="45">
        <v>1.9448349512059881E-2</v>
      </c>
      <c r="K5007" s="45">
        <v>0.247</v>
      </c>
      <c r="N5007" s="54"/>
    </row>
    <row r="5008" spans="2:14" x14ac:dyDescent="0.2">
      <c r="B5008">
        <f t="shared" si="211"/>
        <v>4999</v>
      </c>
      <c r="C5008" s="52">
        <f ca="1"/>
        <v>-0.58012248293994451</v>
      </c>
      <c r="D5008" s="52">
        <f ca="1">S0*EXP((μ-0.5*σ*σ)*T+σ*SQRT(T)*$C5008)</f>
        <v>0.54844140411856335</v>
      </c>
      <c r="E5008" s="52">
        <f t="shared" ca="1" si="212"/>
        <v>0</v>
      </c>
      <c r="F5008" s="17">
        <f t="shared" ca="1" si="213"/>
        <v>0</v>
      </c>
      <c r="H5008" s="17">
        <v>4999</v>
      </c>
      <c r="I5008" s="45">
        <v>0.67031303969553635</v>
      </c>
      <c r="J5008" s="45">
        <v>1.8637179131877117E-2</v>
      </c>
      <c r="K5008" s="45">
        <v>0.249</v>
      </c>
      <c r="N5008" s="54"/>
    </row>
    <row r="5009" spans="2:14" x14ac:dyDescent="0.2">
      <c r="B5009">
        <f t="shared" si="211"/>
        <v>5000</v>
      </c>
      <c r="C5009" s="52">
        <f ca="1"/>
        <v>-0.9470380643873173</v>
      </c>
      <c r="D5009" s="52">
        <f ca="1">S0*EXP((μ-0.5*σ*σ)*T+σ*SQRT(T)*$C5009)</f>
        <v>0.49554246353351167</v>
      </c>
      <c r="E5009" s="52">
        <f t="shared" ca="1" si="212"/>
        <v>3.8857536466488318E-2</v>
      </c>
      <c r="F5009" s="17">
        <f t="shared" ca="1" si="213"/>
        <v>1</v>
      </c>
      <c r="H5009" s="17">
        <v>5000</v>
      </c>
      <c r="I5009" s="45">
        <v>0.67177887019899585</v>
      </c>
      <c r="J5009" s="45">
        <v>1.9644304063469047E-2</v>
      </c>
      <c r="K5009" s="45">
        <v>0.25</v>
      </c>
      <c r="N5009" s="54"/>
    </row>
  </sheetData>
  <mergeCells count="1">
    <mergeCell ref="E7:F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_Monte_Carlo">
                <anchor moveWithCells="1" sizeWithCells="1">
                  <from>
                    <xdr:col>13</xdr:col>
                    <xdr:colOff>85725</xdr:colOff>
                    <xdr:row>6</xdr:row>
                    <xdr:rowOff>85725</xdr:rowOff>
                  </from>
                  <to>
                    <xdr:col>14</xdr:col>
                    <xdr:colOff>742950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B6DB7-8CF0-4EC1-9369-48AE5614B10A}">
  <sheetPr codeName="Sheet3"/>
  <dimension ref="A1:F2"/>
  <sheetViews>
    <sheetView workbookViewId="0">
      <selection activeCell="F1" sqref="F1"/>
    </sheetView>
  </sheetViews>
  <sheetFormatPr defaultRowHeight="12.75" x14ac:dyDescent="0.2"/>
  <cols>
    <col min="1" max="1" width="4.28515625" bestFit="1" customWidth="1"/>
    <col min="2" max="2" width="5.28515625" bestFit="1" customWidth="1"/>
    <col min="3" max="3" width="17.7109375" bestFit="1" customWidth="1"/>
    <col min="4" max="4" width="9.7109375" bestFit="1" customWidth="1"/>
    <col min="5" max="5" width="4.140625" bestFit="1" customWidth="1"/>
    <col min="6" max="6" width="20.140625" bestFit="1" customWidth="1"/>
  </cols>
  <sheetData>
    <row r="1" spans="1:6" x14ac:dyDescent="0.2">
      <c r="A1" t="s">
        <v>9</v>
      </c>
      <c r="B1" t="s">
        <v>56</v>
      </c>
      <c r="C1" t="s">
        <v>11</v>
      </c>
      <c r="D1" t="s">
        <v>13</v>
      </c>
      <c r="E1" t="s">
        <v>57</v>
      </c>
      <c r="F1" t="s">
        <v>102</v>
      </c>
    </row>
    <row r="2" spans="1:6" x14ac:dyDescent="0.2">
      <c r="A2" t="s">
        <v>10</v>
      </c>
      <c r="B2" t="s">
        <v>55</v>
      </c>
      <c r="C2" t="s">
        <v>34</v>
      </c>
      <c r="D2" t="s">
        <v>20</v>
      </c>
      <c r="E2" t="s">
        <v>58</v>
      </c>
      <c r="F2" t="s">
        <v>101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GK Pricer</vt:lpstr>
      <vt:lpstr>GK Bulk</vt:lpstr>
      <vt:lpstr>MonteCarlo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Result_Divisor</vt:lpstr>
      <vt:lpstr>S0</vt:lpstr>
      <vt:lpstr>T</vt:lpstr>
      <vt:lpstr>μ</vt:lpstr>
      <vt:lpstr>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2024-04-07T01:56:57Z</dcterms:created>
  <dcterms:modified xsi:type="dcterms:W3CDTF">2024-05-11T06:20:51Z</dcterms:modified>
</cp:coreProperties>
</file>